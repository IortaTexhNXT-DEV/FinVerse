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6.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7.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8.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19.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20.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1.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22.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23.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24.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25.xml" ContentType="application/vnd.openxmlformats-officedocument.spreadsheetml.worksheet+xml"/>
  <Override PartName="/xl/comments/comment24.xml" ContentType="application/vnd.openxmlformats-officedocument.spreadsheetml.comments+xml"/>
  <Override PartName="/xl/tables/table24.xml" ContentType="application/vnd.openxmlformats-officedocument.spreadsheetml.table+xml"/>
  <Override PartName="/xl/worksheets/sheet26.xml" ContentType="application/vnd.openxmlformats-officedocument.spreadsheetml.worksheet+xml"/>
  <Override PartName="/xl/comments/comment25.xml" ContentType="application/vnd.openxmlformats-officedocument.spreadsheetml.comments+xml"/>
  <Override PartName="/xl/tables/table25.xml" ContentType="application/vnd.openxmlformats-officedocument.spreadsheetml.table+xml"/>
  <Override PartName="/xl/worksheets/sheet27.xml" ContentType="application/vnd.openxmlformats-officedocument.spreadsheetml.worksheet+xml"/>
  <Override PartName="/xl/comments/comment26.xml" ContentType="application/vnd.openxmlformats-officedocument.spreadsheetml.comments+xml"/>
  <Override PartName="/xl/tables/table26.xml" ContentType="application/vnd.openxmlformats-officedocument.spreadsheetml.table+xml"/>
  <Override PartName="/xl/worksheets/sheet28.xml" ContentType="application/vnd.openxmlformats-officedocument.spreadsheetml.worksheet+xml"/>
  <Override PartName="/xl/comments/comment27.xml" ContentType="application/vnd.openxmlformats-officedocument.spreadsheetml.comments+xml"/>
  <Override PartName="/xl/tables/table27.xml" ContentType="application/vnd.openxmlformats-officedocument.spreadsheetml.table+xml"/>
  <Override PartName="/xl/worksheets/sheet29.xml" ContentType="application/vnd.openxmlformats-officedocument.spreadsheetml.worksheet+xml"/>
  <Override PartName="/xl/comments/comment28.xml" ContentType="application/vnd.openxmlformats-officedocument.spreadsheetml.comments+xml"/>
  <Override PartName="/xl/tables/table28.xml" ContentType="application/vnd.openxmlformats-officedocument.spreadsheetml.table+xml"/>
  <Override PartName="/xl/worksheets/sheet30.xml" ContentType="application/vnd.openxmlformats-officedocument.spreadsheetml.worksheet+xml"/>
  <Override PartName="/xl/comments/comment29.xml" ContentType="application/vnd.openxmlformats-officedocument.spreadsheetml.comments+xml"/>
  <Override PartName="/xl/tables/table29.xml" ContentType="application/vnd.openxmlformats-officedocument.spreadsheetml.table+xml"/>
  <Override PartName="/xl/worksheets/sheet31.xml" ContentType="application/vnd.openxmlformats-officedocument.spreadsheetml.worksheet+xml"/>
  <Override PartName="/xl/comments/comment30.xml" ContentType="application/vnd.openxmlformats-officedocument.spreadsheetml.comments+xml"/>
  <Override PartName="/xl/tables/table30.xml" ContentType="application/vnd.openxmlformats-officedocument.spreadsheetml.table+xml"/>
  <Override PartName="/xl/worksheets/sheet32.xml" ContentType="application/vnd.openxmlformats-officedocument.spreadsheetml.worksheet+xml"/>
  <Override PartName="/xl/comments/comment31.xml" ContentType="application/vnd.openxmlformats-officedocument.spreadsheetml.comments+xml"/>
  <Override PartName="/xl/tables/table31.xml" ContentType="application/vnd.openxmlformats-officedocument.spreadsheetml.table+xml"/>
  <Override PartName="/xl/worksheets/sheet33.xml" ContentType="application/vnd.openxmlformats-officedocument.spreadsheetml.worksheet+xml"/>
  <Override PartName="/xl/comments/comment32.xml" ContentType="application/vnd.openxmlformats-officedocument.spreadsheetml.comments+xml"/>
  <Override PartName="/xl/worksheets/sheet34.xml" ContentType="application/vnd.openxmlformats-officedocument.spreadsheetml.worksheet+xml"/>
  <Override PartName="/xl/comments/comment33.xml" ContentType="application/vnd.openxmlformats-officedocument.spreadsheetml.comments+xml"/>
  <Override PartName="/xl/worksheets/sheet35.xml" ContentType="application/vnd.openxmlformats-officedocument.spreadsheetml.worksheet+xml"/>
  <Override PartName="/xl/comments/comment34.xml" ContentType="application/vnd.openxmlformats-officedocument.spreadsheetml.comments+xml"/>
  <Override PartName="/xl/worksheets/sheet36.xml" ContentType="application/vnd.openxmlformats-officedocument.spreadsheetml.worksheet+xml"/>
  <Override PartName="/xl/comments/comment35.xml" ContentType="application/vnd.openxmlformats-officedocument.spreadsheetml.comments+xml"/>
  <Override PartName="/xl/worksheets/sheet37.xml" ContentType="application/vnd.openxmlformats-officedocument.spreadsheetml.worksheet+xml"/>
  <Override PartName="/xl/comments/comment36.xml" ContentType="application/vnd.openxmlformats-officedocument.spreadsheetml.comments+xml"/>
  <Override PartName="/xl/worksheets/sheet38.xml" ContentType="application/vnd.openxmlformats-officedocument.spreadsheetml.worksheet+xml"/>
  <Override PartName="/xl/comments/comment37.xml" ContentType="application/vnd.openxmlformats-officedocument.spreadsheetml.comments+xml"/>
  <Override PartName="/xl/worksheets/sheet39.xml" ContentType="application/vnd.openxmlformats-officedocument.spreadsheetml.worksheet+xml"/>
  <Override PartName="/xl/comments/comment38.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0-02 Branches" sheetId="2" state="visible" r:id="rId2"/>
    <sheet xmlns:r="http://schemas.openxmlformats.org/officeDocument/2006/relationships" name="D0-04 Dimensions" sheetId="3" state="visible" r:id="rId3"/>
    <sheet xmlns:r="http://schemas.openxmlformats.org/officeDocument/2006/relationships" name="D0-07 Categories and numbering" sheetId="4" state="visible" r:id="rId4"/>
    <sheet xmlns:r="http://schemas.openxmlformats.org/officeDocument/2006/relationships" name="PM-09 Lists and parameters" sheetId="5" state="visible" r:id="rId5"/>
    <sheet xmlns:r="http://schemas.openxmlformats.org/officeDocument/2006/relationships" name="UA-02 Role matrix" sheetId="6" state="visible" r:id="rId6"/>
    <sheet xmlns:r="http://schemas.openxmlformats.org/officeDocument/2006/relationships" name="UA-06 Lists of values" sheetId="7" state="visible" r:id="rId7"/>
    <sheet xmlns:r="http://schemas.openxmlformats.org/officeDocument/2006/relationships" name="D0-05 Employees" sheetId="8" state="visible" r:id="rId8"/>
    <sheet xmlns:r="http://schemas.openxmlformats.org/officeDocument/2006/relationships" name="D0-06 Chart of accounts" sheetId="9" state="visible" r:id="rId9"/>
    <sheet xmlns:r="http://schemas.openxmlformats.org/officeDocument/2006/relationships" name="PM-01 Product catalogue" sheetId="10" state="visible" r:id="rId10"/>
    <sheet xmlns:r="http://schemas.openxmlformats.org/officeDocument/2006/relationships" name="UA-01 Users and roles" sheetId="11" state="visible" r:id="rId11"/>
    <sheet xmlns:r="http://schemas.openxmlformats.org/officeDocument/2006/relationships" name="D0-03 Holiday calendar" sheetId="12" state="visible" r:id="rId12"/>
    <sheet xmlns:r="http://schemas.openxmlformats.org/officeDocument/2006/relationships" name="UA-04 SoD rules" sheetId="13" state="visible" r:id="rId13"/>
    <sheet xmlns:r="http://schemas.openxmlformats.org/officeDocument/2006/relationships" name="D0-11 Bank accounts" sheetId="14" state="visible" r:id="rId14"/>
    <sheet xmlns:r="http://schemas.openxmlformats.org/officeDocument/2006/relationships" name="PM-02 Coverages and rules" sheetId="15" state="visible" r:id="rId15"/>
    <sheet xmlns:r="http://schemas.openxmlformats.org/officeDocument/2006/relationships" name="PM-03 Clause library" sheetId="16" state="visible" r:id="rId16"/>
    <sheet xmlns:r="http://schemas.openxmlformats.org/officeDocument/2006/relationships" name="PM-05 Insurers" sheetId="17" state="visible" r:id="rId17"/>
    <sheet xmlns:r="http://schemas.openxmlformats.org/officeDocument/2006/relationships" name="D0-01 Company" sheetId="18" state="visible" r:id="rId18"/>
    <sheet xmlns:r="http://schemas.openxmlformats.org/officeDocument/2006/relationships" name="D0-08 Accounting rules" sheetId="19" state="visible" r:id="rId19"/>
    <sheet xmlns:r="http://schemas.openxmlformats.org/officeDocument/2006/relationships" name="D0-09 Legacy accounts" sheetId="20" state="visible" r:id="rId20"/>
    <sheet xmlns:r="http://schemas.openxmlformats.org/officeDocument/2006/relationships" name="D0-10 Tax codes" sheetId="21" state="visible" r:id="rId21"/>
    <sheet xmlns:r="http://schemas.openxmlformats.org/officeDocument/2006/relationships" name="D0-15 Approval limits" sheetId="22" state="visible" r:id="rId22"/>
    <sheet xmlns:r="http://schemas.openxmlformats.org/officeDocument/2006/relationships" name="PM-04 Rate tables" sheetId="23" state="visible" r:id="rId23"/>
    <sheet xmlns:r="http://schemas.openxmlformats.org/officeDocument/2006/relationships" name="PM-10 Incentive criteria" sheetId="24" state="visible" r:id="rId24"/>
    <sheet xmlns:r="http://schemas.openxmlformats.org/officeDocument/2006/relationships" name="UA-03 Approval rules" sheetId="25" state="visible" r:id="rId25"/>
    <sheet xmlns:r="http://schemas.openxmlformats.org/officeDocument/2006/relationships" name="PM-06 Packages" sheetId="26" state="visible" r:id="rId26"/>
    <sheet xmlns:r="http://schemas.openxmlformats.org/officeDocument/2006/relationships" name="D0-12 Check books" sheetId="27" state="visible" r:id="rId27"/>
    <sheet xmlns:r="http://schemas.openxmlformats.org/officeDocument/2006/relationships" name="D0-13 Petty cash funds" sheetId="28" state="visible" r:id="rId28"/>
    <sheet xmlns:r="http://schemas.openxmlformats.org/officeDocument/2006/relationships" name="D0-14 Statement layouts" sheetId="29" state="visible" r:id="rId29"/>
    <sheet xmlns:r="http://schemas.openxmlformats.org/officeDocument/2006/relationships" name="PM-07 Package map" sheetId="30" state="visible" r:id="rId30"/>
    <sheet xmlns:r="http://schemas.openxmlformats.org/officeDocument/2006/relationships" name="PM-08 Document templates" sheetId="31" state="visible" r:id="rId31"/>
    <sheet xmlns:r="http://schemas.openxmlformats.org/officeDocument/2006/relationships" name="UA-05 Parameters" sheetId="32" state="visible" r:id="rId32"/>
    <sheet xmlns:r="http://schemas.openxmlformats.org/officeDocument/2006/relationships" name="Ref Lists of values" sheetId="33" state="visible" r:id="rId33"/>
    <sheet xmlns:r="http://schemas.openxmlformats.org/officeDocument/2006/relationships" name="Ref System parameters" sheetId="34" state="visible" r:id="rId34"/>
    <sheet xmlns:r="http://schemas.openxmlformats.org/officeDocument/2006/relationships" name="Ref Document numbering" sheetId="35" state="visible" r:id="rId35"/>
    <sheet xmlns:r="http://schemas.openxmlformats.org/officeDocument/2006/relationships" name="Ref Notifications" sheetId="36" state="visible" r:id="rId36"/>
    <sheet xmlns:r="http://schemas.openxmlformats.org/officeDocument/2006/relationships" name="Ref Document templates" sheetId="37" state="visible" r:id="rId37"/>
    <sheet xmlns:r="http://schemas.openxmlformats.org/officeDocument/2006/relationships" name="Ref Accounting events" sheetId="38" state="visible" r:id="rId38"/>
    <sheet xmlns:r="http://schemas.openxmlformats.org/officeDocument/2006/relationships" name="Ref Migration cross-reference" sheetId="39" state="visible" r:id="rId39"/>
    <sheet xmlns:r="http://schemas.openxmlformats.org/officeDocument/2006/relationships" name="Reference lists" sheetId="40" state="visible" r:id="rId40"/>
    <sheet xmlns:r="http://schemas.openxmlformats.org/officeDocument/2006/relationships" name="Questions and comments" sheetId="41" state="visible" r:id="rId41"/>
  </sheets>
  <definedNames>
    <definedName name="CODES_D0_02_BRANCH_CODE">'D0-02 Branches'!$B$17:$B$517</definedName>
    <definedName name="CODES_D0_04_CODE">'D0-04 Dimensions'!$C$17:$C$517</definedName>
    <definedName name="CODES_D0_06_ACCOUNT_CODE">'D0-06 Chart of accounts'!$C$17:$C$517</definedName>
    <definedName name="CODES_D0_07_CATEGORY_CODE">'D0-07 Categories and numbering'!$C$17:$C$517</definedName>
    <definedName name="CODES_PM_01_COVER_TYPE_CODE">'PM-01 Product catalogue'!$E$17:$E$517</definedName>
    <definedName name="CODES_PM_01_LINE_CODE">'PM-01 Product catalogue'!$B$17:$B$517</definedName>
    <definedName name="CODES_UA_02_GROUP_PROFILE_CODE">'UA-02 Role matrix'!$B$17:$B$517</definedName>
    <definedName name="CODES_UA_01_USER_ID">'UA-01 Users and roles'!$C$17:$C$517</definedName>
    <definedName name="CODES_PM_01_RISK_CODE">'PM-01 Product catalogue'!$H$17:$H$517</definedName>
    <definedName name="CODES_D0_11_BANK_ACCOUNT_CODE">'D0-11 Bank accounts'!$B$17:$B$517</definedName>
    <definedName name="CODES_D0_05_EMPLOYEE_NUMBER">'D0-05 Employees'!$B$17:$B$517</definedName>
    <definedName name="CODES_PM_05_PARTNER_CODE">'PM-05 Insurers'!$B$17:$B$517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lists'!$C$20:$C$82</definedName>
    <definedName name="LIST_CLAUSE_KIND">'Reference lists'!$C$83:$C$86</definedName>
    <definedName name="LIST_RATE_TABLE">'Reference lists'!$C$87:$C$89</definedName>
    <definedName name="LIST_MAP_ACTION">'Reference lists'!$C$90:$C$91</definedName>
    <definedName name="LIST_PKG_DOCUMENT">'Reference lists'!$C$92:$C$97</definedName>
    <definedName name="LIST_PM_LIST_OR_PARAMETER">'Reference lists'!$C$98:$C$137</definedName>
    <definedName name="LIST_INCENTIVE_TYPE">'Reference lists'!$C$138:$C$139</definedName>
    <definedName name="LIST_UA_ACTION">'Reference lists'!$C$140:$C$143</definedName>
    <definedName name="LIST_PRIVILEGE_LEVEL">'Reference lists'!$C$144:$C$147</definedName>
    <definedName name="LIST_KEEP_ADD_REMOVE">'Reference lists'!$C$148:$C$150</definedName>
    <definedName name="LIST_UA_ROLE">'Reference lists'!$C$151:$C$155</definedName>
    <definedName name="LIST_SOD_STATUS">'Reference lists'!$C$156:$C$158</definedName>
    <definedName name="LIST_SOD_CONTROL">'Reference lists'!$C$159:$C$161</definedName>
    <definedName name="LIST_REVIEW_FREQUENCY">'Reference lists'!$C$162:$C$163</definedName>
    <definedName name="LIST_UA_PARAMETER">'Reference lists'!$C$164:$C$180</definedName>
    <definedName name="LIST_UA_LIST">'Reference lists'!$C$181:$C$183</definedName>
    <definedName name="LIST_DIMENSION">'Reference lists'!$C$184:$C$185</definedName>
    <definedName name="LIST_ACCOUNT_CLASS">'Reference lists'!$C$186:$C$190</definedName>
    <definedName name="LIST_ACCOUNT_CLASS_CHART">'Reference lists'!$C$191:$C$196</definedName>
    <definedName name="LIST_ACCOUNT_LEVEL">'Reference lists'!$C$197:$C$200</definedName>
    <definedName name="LIST_NEGATIVE_BALANCE">'Reference lists'!$C$201:$C$203</definedName>
    <definedName name="LIST_CATEGORY_ROW">'Reference lists'!$C$204:$C$205</definedName>
    <definedName name="LIST_ACCOUNTING_EVENT">'Reference lists'!$C$206:$C$295</definedName>
    <definedName name="LIST_DEBIT_CREDIT">'Reference lists'!$C$296:$C$297</definedName>
    <definedName name="LIST_LEGACY_ACCOUNT">'Reference lists'!$C$298:$C$305</definedName>
    <definedName name="LIST_TAX_TYPE">'Reference lists'!$C$306:$C$309</definedName>
    <definedName name="LIST_PAYEE_CLASS">'Reference lists'!$C$310:$C$315</definedName>
    <definedName name="LIST_APPROVAL_MODULE">'Reference lists'!$C$316:$C$319</definedName>
    <definedName name="LIST_ROUTE">'Reference lists'!$C$320:$C$322</definedName>
    <definedName name="LIST_STATUS">'Reference lists'!$C$323:$C$327</definedName>
    <definedName name="LIST_TEMPLATES">'Reference lists'!$C$328:$C$359</definedName>
    <definedName name="LIST_QUESTION_STATUS">'Reference lists'!$C$360:$C$362</definedName>
    <definedName name="_xlnm._FilterDatabase" localSheetId="0" hidden="1">'Start here'!$A$22:$P$99</definedName>
    <definedName name="_xlnm.Print_Titles" localSheetId="0">'Start here'!$22:$22</definedName>
    <definedName name="_xlnm.Print_Titles" localSheetId="1">'D0-02 Branches'!$12:$16</definedName>
    <definedName name="_xlnm.Print_Area" localSheetId="1">'D0-02 Branches'!$A$1:$M$57</definedName>
    <definedName name="_xlnm.Print_Titles" localSheetId="2">'D0-04 Dimensions'!$12:$16</definedName>
    <definedName name="_xlnm.Print_Area" localSheetId="2">'D0-04 Dimensions'!$A$1:$G$57</definedName>
    <definedName name="_xlnm.Print_Titles" localSheetId="3">'D0-07 Categories and numbering'!$12:$16</definedName>
    <definedName name="_xlnm.Print_Area" localSheetId="3">'D0-07 Categories and numbering'!$A$1:$I$57</definedName>
    <definedName name="_xlnm.Print_Titles" localSheetId="4">'PM-09 Lists and parameters'!$12:$16</definedName>
    <definedName name="_xlnm.Print_Area" localSheetId="4">'PM-09 Lists and parameters'!$A$1:$G$57</definedName>
    <definedName name="_xlnm.Print_Titles" localSheetId="5">'UA-02 Role matrix'!$12:$16</definedName>
    <definedName name="_xlnm.Print_Area" localSheetId="5">'UA-02 Role matrix'!$A$1:$I$57</definedName>
    <definedName name="_xlnm.Print_Titles" localSheetId="6">'UA-06 Lists of values'!$12:$16</definedName>
    <definedName name="_xlnm.Print_Area" localSheetId="6">'UA-06 Lists of values'!$A$1:$G$57</definedName>
    <definedName name="_xlnm.Print_Titles" localSheetId="7">'D0-05 Employees'!$12:$16</definedName>
    <definedName name="_xlnm.Print_Area" localSheetId="7">'D0-05 Employees'!$A$1:$H$57</definedName>
    <definedName name="_xlnm.Print_Titles" localSheetId="8">'D0-06 Chart of accounts'!$12:$16</definedName>
    <definedName name="_xlnm.Print_Area" localSheetId="8">'D0-06 Chart of accounts'!$A$1:$Q$57</definedName>
    <definedName name="_xlnm.Print_Titles" localSheetId="9">'PM-01 Product catalogue'!$12:$16</definedName>
    <definedName name="_xlnm.Print_Area" localSheetId="9">'PM-01 Product catalogue'!$A$1:$W$57</definedName>
    <definedName name="_xlnm.Print_Titles" localSheetId="10">'UA-01 Users and roles'!$12:$16</definedName>
    <definedName name="_xlnm.Print_Area" localSheetId="10">'UA-01 Users and roles'!$A$1:$L$57</definedName>
    <definedName name="_xlnm.Print_Titles" localSheetId="11">'D0-03 Holiday calendar'!$12:$16</definedName>
    <definedName name="_xlnm.Print_Area" localSheetId="11">'D0-03 Holiday calendar'!$A$1:$G$57</definedName>
    <definedName name="_xlnm.Print_Titles" localSheetId="12">'UA-04 SoD rules'!$12:$16</definedName>
    <definedName name="_xlnm.Print_Area" localSheetId="12">'UA-04 SoD rules'!$A$1:$H$57</definedName>
    <definedName name="_xlnm.Print_Titles" localSheetId="13">'D0-11 Bank accounts'!$12:$16</definedName>
    <definedName name="_xlnm.Print_Area" localSheetId="13">'D0-11 Bank accounts'!$A$1:$J$57</definedName>
    <definedName name="_xlnm.Print_Titles" localSheetId="14">'PM-02 Coverages and rules'!$12:$16</definedName>
    <definedName name="_xlnm.Print_Area" localSheetId="14">'PM-02 Coverages and rules'!$A$1:$J$57</definedName>
    <definedName name="_xlnm.Print_Titles" localSheetId="15">'PM-03 Clause library'!$12:$16</definedName>
    <definedName name="_xlnm.Print_Area" localSheetId="15">'PM-03 Clause library'!$A$1:$G$57</definedName>
    <definedName name="_xlnm.Print_Titles" localSheetId="16">'PM-05 Insurers'!$12:$16</definedName>
    <definedName name="_xlnm.Print_Area" localSheetId="16">'PM-05 Insurers'!$A$1:$J$57</definedName>
    <definedName name="_xlnm.Print_Titles" localSheetId="17">'D0-01 Company'!$12:$16</definedName>
    <definedName name="_xlnm.Print_Area" localSheetId="17">'D0-01 Company'!$A$1:$J$57</definedName>
    <definedName name="_xlnm.Print_Titles" localSheetId="18">'D0-08 Accounting rules'!$12:$16</definedName>
    <definedName name="_xlnm.Print_Area" localSheetId="18">'D0-08 Accounting rules'!$A$1:$K$57</definedName>
    <definedName name="_xlnm.Print_Titles" localSheetId="19">'D0-09 Legacy accounts'!$12:$16</definedName>
    <definedName name="_xlnm.Print_Area" localSheetId="19">'D0-09 Legacy accounts'!$A$1:$G$57</definedName>
    <definedName name="_xlnm.Print_Titles" localSheetId="20">'D0-10 Tax codes'!$12:$16</definedName>
    <definedName name="_xlnm.Print_Area" localSheetId="20">'D0-10 Tax codes'!$A$1:$K$57</definedName>
    <definedName name="_xlnm.Print_Titles" localSheetId="21">'D0-15 Approval limits'!$12:$16</definedName>
    <definedName name="_xlnm.Print_Area" localSheetId="21">'D0-15 Approval limits'!$A$1:$J$57</definedName>
    <definedName name="_xlnm.Print_Titles" localSheetId="22">'PM-04 Rate tables'!$12:$16</definedName>
    <definedName name="_xlnm.Print_Area" localSheetId="22">'PM-04 Rate tables'!$A$1:$H$57</definedName>
    <definedName name="_xlnm.Print_Titles" localSheetId="23">'PM-10 Incentive criteria'!$12:$16</definedName>
    <definedName name="_xlnm.Print_Area" localSheetId="23">'PM-10 Incentive criteria'!$A$1:$G$57</definedName>
    <definedName name="_xlnm.Print_Titles" localSheetId="24">'UA-03 Approval rules'!$12:$16</definedName>
    <definedName name="_xlnm.Print_Area" localSheetId="24">'UA-03 Approval rules'!$A$1:$G$57</definedName>
    <definedName name="_xlnm.Print_Titles" localSheetId="25">'PM-06 Packages'!$12:$16</definedName>
    <definedName name="_xlnm.Print_Area" localSheetId="25">'PM-06 Packages'!$A$1:$J$57</definedName>
    <definedName name="_xlnm.Print_Titles" localSheetId="26">'D0-12 Check books'!$12:$16</definedName>
    <definedName name="_xlnm.Print_Area" localSheetId="26">'D0-12 Check books'!$A$1:$G$57</definedName>
    <definedName name="_xlnm.Print_Titles" localSheetId="27">'D0-13 Petty cash funds'!$12:$16</definedName>
    <definedName name="_xlnm.Print_Area" localSheetId="27">'D0-13 Petty cash funds'!$A$1:$I$57</definedName>
    <definedName name="_xlnm.Print_Titles" localSheetId="28">'D0-14 Statement layouts'!$12:$16</definedName>
    <definedName name="_xlnm.Print_Area" localSheetId="28">'D0-14 Statement layouts'!$A$1:$K$57</definedName>
    <definedName name="_xlnm.Print_Titles" localSheetId="29">'PM-07 Package map'!$12:$16</definedName>
    <definedName name="_xlnm.Print_Area" localSheetId="29">'PM-07 Package map'!$A$1:$I$57</definedName>
    <definedName name="_xlnm.Print_Titles" localSheetId="30">'PM-08 Document templates'!$12:$16</definedName>
    <definedName name="_xlnm.Print_Area" localSheetId="30">'PM-08 Document templates'!$A$1:$G$57</definedName>
    <definedName name="_xlnm.Print_Titles" localSheetId="31">'UA-05 Parameters'!$12:$16</definedName>
    <definedName name="_xlnm.Print_Area" localSheetId="31">'UA-05 Parameters'!$A$1:$G$57</definedName>
    <definedName name="_xlnm._FilterDatabase" localSheetId="32" hidden="1">'Ref Lists of values'!$A$4:$L$145</definedName>
    <definedName name="_xlnm.Print_Titles" localSheetId="32">'Ref Lists of values'!$4:$4</definedName>
    <definedName name="_xlnm._FilterDatabase" localSheetId="33" hidden="1">'Ref System parameters'!$A$4:$Q$359</definedName>
    <definedName name="_xlnm.Print_Titles" localSheetId="33">'Ref System parameters'!$4:$4</definedName>
    <definedName name="_xlnm._FilterDatabase" localSheetId="34" hidden="1">'Ref Document numbering'!$A$4:$I$17</definedName>
    <definedName name="_xlnm.Print_Titles" localSheetId="34">'Ref Document numbering'!$4:$4</definedName>
    <definedName name="_xlnm._FilterDatabase" localSheetId="35" hidden="1">'Ref Notifications'!$A$4:$M$118</definedName>
    <definedName name="_xlnm.Print_Titles" localSheetId="35">'Ref Notifications'!$4:$4</definedName>
    <definedName name="_xlnm._FilterDatabase" localSheetId="36" hidden="1">'Ref Document templates'!$A$4:$K$66</definedName>
    <definedName name="_xlnm.Print_Titles" localSheetId="36">'Ref Document templates'!$4:$4</definedName>
    <definedName name="_xlnm._FilterDatabase" localSheetId="37" hidden="1">'Ref Accounting events'!$A$4:$H$94</definedName>
    <definedName name="_xlnm.Print_Titles" localSheetId="37">'Ref Accounting events'!$4:$4</definedName>
    <definedName name="_xlnm._FilterDatabase" localSheetId="38" hidden="1">'Ref Migration cross-reference'!$A$4:$H$36</definedName>
    <definedName name="_xlnm.Print_Titles" localSheetId="38">'Ref Migration cross-reference'!$4:$4</definedName>
    <definedName name="_xlnm._FilterDatabase" localSheetId="39" hidden="1">'Reference lists'!$A$4:$E$362</definedName>
    <definedName name="_xlnm.Print_Titles" localSheetId="39">'Reference lists'!$4:$4</definedName>
    <definedName name="_xlnm._FilterDatabase" localSheetId="40" hidden="1">'Questions and comments'!$A$4:$I$104</definedName>
    <definedName name="_xlnm.Print_Titles" localSheetId="40">'Questions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2">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164" fontId="6" fillId="0" borderId="1" applyAlignment="1" pivotButton="0" quotePrefix="0" xfId="0">
      <alignment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164"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5" borderId="1" applyAlignment="1" pivotButton="0" quotePrefix="0" xfId="0">
      <alignment vertical="top" wrapText="1"/>
    </xf>
    <xf numFmtId="0" fontId="12" fillId="5"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dxfs count="8">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656565"/>
      </font>
      <fill>
        <patternFill patternType="solid">
          <fgColor rgb="00E4E4E4"/>
          <bgColor rgb="00E4E4E4"/>
        </patternFill>
      </fill>
    </dxf>
    <dxf>
      <font>
        <b val="1"/>
        <color rgb="00C62828"/>
      </font>
      <fill>
        <patternFill patternType="solid">
          <fgColor rgb="00FDECEA"/>
          <bgColor rgb="00FDECEA"/>
        </patternFill>
      </fill>
    </dxf>
    <dxf>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comments/comment1.xml><?xml version="1.0" encoding="utf-8"?>
<comments xmlns="http://schemas.openxmlformats.org/spreadsheetml/2006/main">
  <authors>
    <author>iorta TechNXT</author>
  </authors>
  <commentList>
    <comment ref="B16" authorId="0" shapeId="0">
      <text>
        <t>Branch code
Code of the branch; unique
Mandatory: Yes
Format: Up to 10 capitals
Allowed values: Free entry, up to 10 characters
Example: HO</t>
      </text>
    </comment>
    <comment ref="C16" authorId="0" shapeId="0">
      <text>
        <t>Branch name
Name shown on screens and documents
Mandatory: Yes
Format: Up to 120 characters
Allowed values: Free entry, up to 120 characters
Example: Head Office</t>
      </text>
    </comment>
    <comment ref="D16" authorId="0" shapeId="0">
      <text>
        <t>Region
Region of the branch
Mandatory: No
Format: Text
Allowed values: Free entry
Example: NCR</t>
      </text>
    </comment>
    <comment ref="E16" authorId="0" shapeId="0">
      <text>
        <t>Address
Address printed on documents
Mandatory: No
Format: Text
Allowed values: Free entry
Example: 7899 Makati Avenue, Makati City</t>
      </text>
    </comment>
    <comment ref="F16" authorId="0" shapeId="0">
      <text>
        <t>Opening date
Date the branch opened
Mandatory: Yes
Format: dd-MMM-yyyy
Allowed values: A date, for example 15-Jan-2028
Example: 01-Jan-2010</t>
      </text>
    </comment>
    <comment ref="G16" authorId="0" shapeId="0">
      <text>
        <t>Head office
Y for one branch only
Mandatory: Yes
Format: Y or N
Allowed values: Y or N
Example: Y</t>
      </text>
    </comment>
    <comment ref="H16" authorId="0" shapeId="0">
      <text>
        <t>Foreign currency authorised
May receive and pay in foreign currency
Mandatory: Yes
Format: Y or N
Allowed values: Y or N
Example: Y</t>
      </text>
    </comment>
    <comment ref="I16" authorId="0" shapeId="0">
      <text>
        <t>Contact phone
Branch telephone
Mandatory: No
Format: Text
Allowed values: Free entry
Example: (02) 8888-0000</t>
      </text>
    </comment>
    <comment ref="J16" authorId="0" shapeId="0">
      <text>
        <t>Contact e-mail
Branch mailbox
Mandatory: No
Format: E-mail address
Allowed values: Free entry
Example: ho@bdoi.example.ph</t>
      </text>
    </comment>
    <comment ref="K16" authorId="0" shapeId="0">
      <text>
        <t>Branch manager
Head of the branch
Mandatory: No
Format: Name
Allowed values: Free entry</t>
      </text>
    </comment>
    <comment ref="L16" authorId="0" shapeId="0">
      <text>
        <t>Weekly rest days
Days the branch is closed each week
Mandatory: No
Format: SAT, SUN
Allowed values: Free entry
Example: SAT,SUN</t>
      </text>
    </comment>
    <comment ref="M16" authorId="0" shapeId="0">
      <text>
        <t>Legacy branch codes
For the code map BRANCH (R02)
Mandatory: No
Format: EBIX codes separated by commas
Allowed values: Free entry
Example: 001</t>
      </text>
    </comment>
  </commentList>
</comments>
</file>

<file path=xl/comments/comment2.xml><?xml version="1.0" encoding="utf-8"?>
<comments xmlns="http://schemas.openxmlformats.org/spreadsheetml/2006/main">
  <authors>
    <author>iorta TechNXT</author>
  </authors>
  <commentList>
    <comment ref="B16" authorId="0" shapeId="0">
      <text>
        <t>Dimension
Dimension of the value
Mandatory: Yes
Format: COST_CENTER or BUSINESS_LINE
Allowed values: COST_CENTER, BUSINESS_LINE (list Dimension)
Example: COST_CENTER</t>
      </text>
    </comment>
    <comment ref="C16" authorId="0" shapeId="0">
      <text>
        <t>Code
Code of the value
Mandatory: Yes
Format: Up to 20 capitals or digits
Allowed values: Free entry, up to 20 characters
Example: FIN</t>
      </text>
    </comment>
    <comment ref="D16" authorId="0" shapeId="0">
      <text>
        <t>Name
Name shown on screens and reports
Mandatory: Yes
Format: Up to 120 characters
Allowed values: Free entry, up to 120 characters
Example: Finance and Accounting</t>
      </text>
    </comment>
    <comment ref="E16" authorId="0" shapeId="0">
      <text>
        <t>Active
N keeps the value for history only
Mandatory: Yes
Format: Y or N
Allowed values: Y or N
Example: Y</t>
      </text>
    </comment>
  </commentList>
</comments>
</file>

<file path=xl/comments/comment3.xml><?xml version="1.0" encoding="utf-8"?>
<comments xmlns="http://schemas.openxmlformats.org/spreadsheetml/2006/main">
  <authors>
    <author>iorta TechNXT</author>
  </authors>
  <commentList>
    <comment ref="B16" authorId="0" shapeId="0">
      <text>
        <t>Row
What the row defines
Mandatory: Yes
Format: CATEGORY or NUMBERING
Allowed values: CATEGORY, NUMBERING (list Category or numbering row)
Example: CATEGORY</t>
      </text>
    </comment>
    <comment ref="C16" authorId="0" shapeId="0">
      <text>
        <t>Category code
GL category
Mandatory: Conditional: CATEGORY
Format: Up to 20 capitals
Allowed values: Free entry, up to 20 characters
Example: CASH_IN_BANK</t>
      </text>
    </comment>
    <comment ref="D16" authorId="0" shapeId="0">
      <text>
        <t>Category name
Name of the category
Mandatory: Conditional: CATEGORY
Format: Text
Allowed values: Free entry
Example: Cash in bank</t>
      </text>
    </comment>
    <comment ref="E16" authorId="0" shapeId="0">
      <text>
        <t>Account class
Class of the accounts of the category
Mandatory: Conditional: CATEGORY
Format: ASSET, LIABILITY, EQUITY, INCOME, EXPENSE
Allowed values: ASSET, LIABILITY, EQUITY, INCOME, EXPENSE (list Account class)
Example: ASSET</t>
      </text>
    </comment>
    <comment ref="F16" authorId="0" shapeId="0">
      <text>
        <t>Bank category
Y for the accounts of bank accounts (D0-11)
Mandatory: Conditional: CATEGORY
Format: Y or N
Allowed values: Y or N
Example: Y</t>
      </text>
    </comment>
    <comment ref="G16" authorId="0" shapeId="0">
      <text>
        <t>Parent account
Parent whose children are numbered
Mandatory: Conditional: NUMBERING
Format: Account code of D0-06
Allowed values: Free entry
Example: 1110</t>
      </text>
    </comment>
    <comment ref="H16" authorId="0" shapeId="0">
      <text>
        <t>Separator
Between the parent code and the running number
Mandatory: Conditional: NUMBERING
Format: . or - or none
Allowed values: Free entry
Example: .</t>
      </text>
    </comment>
    <comment ref="I16" authorId="0" shapeId="0">
      <text>
        <t>Width
Digits of the running number
Mandatory: Conditional: NUMBERING
Format: 1 to 6
Allowed values: A whole number from 1 to 6
Example: 2</t>
      </text>
    </comment>
  </commentList>
</comments>
</file>

<file path=xl/comments/comment4.xml><?xml version="1.0" encoding="utf-8"?>
<comments xmlns="http://schemas.openxmlformats.org/spreadsheetml/2006/main">
  <authors>
    <author>iorta TechNXT</author>
  </authors>
  <commentList>
    <comment ref="B16" authorId="0" shapeId="0">
      <text>
        <t>List or parameter
For example PKG_REQUEST_REASON, PKG_SLA_NEGOTIATION
Mandatory: Yes
Format: Code of the list or parameter
Allowed values: List Product Maintenance list or parameter: 40 values, see Reference lists
Example: PKG_REQUEST_REASON</t>
      </text>
    </comment>
    <comment ref="C16" authorId="0" shapeId="0">
      <text>
        <t>Value code
Code of the value
Mandatory: Conditional: list
Format: Up to 40 capitals
Allowed values: Free entry, up to 40 characters
Example: LOSS_EXPERIENCE</t>
      </text>
    </comment>
    <comment ref="D16" authorId="0" shapeId="0">
      <text>
        <t>Label or value
Label shown to users, or the parameter value
Mandatory: Yes
Format: Text; number for a parameter
Allowed values: Free entry
Example: Loss experience</t>
      </text>
    </comment>
    <comment ref="E16" authorId="0" shapeId="0">
      <text>
        <t>Order / Active
Display order and status
Mandatory: No
Format: Number; Y or N
Allowed values: Free entry
Example: 50; Y</t>
      </text>
    </comment>
    <comment ref="F16" authorId="0" shapeId="0">
      <text>
        <t>Effective from
From when the value applies
Mandatory: No
Format: dd-MMM-yyyy
Allowed values: A date, for example 15-Jan-2028
Example: 01-Nov-2026</t>
      </text>
    </comment>
  </commentList>
</comments>
</file>

<file path=xl/comments/comment5.xml><?xml version="1.0" encoding="utf-8"?>
<comments xmlns="http://schemas.openxmlformats.org/spreadsheetml/2006/main">
  <authors>
    <author>iorta TechNXT</author>
  </authors>
  <commentList>
    <comment ref="B16" authorId="0" shapeId="0">
      <text>
        <t>Group profile code
Code of the profile; an existing code changes the profile
Mandatory: Yes
Format: Up to 40 capital letters, digits or _
Allowed values: Free entry, up to 40 characters
Example: MKT_AO</t>
      </text>
    </comment>
    <comment ref="C16" authorId="0" shapeId="0">
      <text>
        <t>Name
Name shown on screens
Mandatory: Yes
Format: Up to 120 characters
Allowed values: Free entry, up to 120 characters
Example: Marketing Account Officer</t>
      </text>
    </comment>
    <comment ref="D16" authorId="0" shapeId="0">
      <text>
        <t>Description
What the profile is for
Mandatory: No
Format: Up to 500 characters
Allowed values: Free entry, up to 500 characters
Example: Marketing account officers of the Combank and Corbank units</t>
      </text>
    </comment>
    <comment ref="E16" authorId="0" shapeId="0">
      <text>
        <t>Privilege level
High and Admin need a second approval when given or raised
Mandatory: Yes
Format: Low, Standard, High or Admin
Allowed values: Low, Standard, High, Admin (list Privilege level)
Example: Standard</t>
      </text>
    </comment>
    <comment ref="F16" authorId="0" shapeId="0">
      <text>
        <t>Permission
One row per permission of the profile
Mandatory: Yes
Format: Permission code of the User Access Matrix
Allowed values: Free entry
Example: QUOTE_MAINTAIN</t>
      </text>
    </comment>
    <comment ref="G16" authorId="0" shapeId="0">
      <text>
        <t>Action class
As shown by the matrix, for the review
Mandatory: No
Format: View only, Create, Amend, Approve / Validate
Allowed values: Free entry
Example: Create, Amend</t>
      </text>
    </comment>
    <comment ref="H16" authorId="0" shapeId="0">
      <text>
        <t>Keep / Add / Remove
Change against the matrix as delivered
Mandatory: Yes
Format: KEEP, ADD or REMOVE
Allowed values: KEEP, ADD, REMOVE (list Change against the matrix)
Example: KEEP</t>
      </text>
    </comment>
    <comment ref="I16" authorId="0" shapeId="0">
      <text>
        <t>Approved by unit head
Unit head who confirms the row
Mandatory: Yes
Format: Name
Allowed values: Free entry
Example: Carla Reyes</t>
      </text>
    </comment>
  </commentList>
</comments>
</file>

<file path=xl/comments/comment6.xml><?xml version="1.0" encoding="utf-8"?>
<comments xmlns="http://schemas.openxmlformats.org/spreadsheetml/2006/main">
  <authors>
    <author>iorta TechNXT</author>
  </authors>
  <commentList>
    <comment ref="B16" authorId="0" shapeId="0">
      <text>
        <t>List
The list
Mandatory: Yes
Format: UAM_BUSINESS_UNIT, UAM_USER_LEVEL or UAM_DEACTIVATION_REASON
Allowed values: UAM_BUSINESS_UNIT, UAM_USER_LEVEL, UAM_DEACTIVATION_REASON (list User access list)
Example: UAM_BUSINESS_UNIT</t>
      </text>
    </comment>
    <comment ref="C16" authorId="0" shapeId="0">
      <text>
        <t>Code
Code of the value
Mandatory: Yes
Format: Up to 30 capitals, digits or _
Allowed values: Free entry, up to 30 characters
Example: COMBANK_MKT</t>
      </text>
    </comment>
    <comment ref="D16" authorId="0" shapeId="0">
      <text>
        <t>Label
Label shown on screens
Mandatory: Yes
Format: Up to 120 characters
Allowed values: Free entry, up to 120 characters
Example: Combank Marketing</t>
      </text>
    </comment>
    <comment ref="E16" authorId="0" shapeId="0">
      <text>
        <t>Sort order
Order in the drop-down
Mandatory: No
Format: Whole number
Allowed values: A whole number
Example: 10</t>
      </text>
    </comment>
    <comment ref="F16" authorId="0" shapeId="0">
      <text>
        <t>Effective from
Date the value may be used
Mandatory: Yes
Format: dd-MMM-yyyy
Allowed values: A date, for example 15-Jan-2028
Example: 04-Jan-2027</t>
      </text>
    </comment>
  </commentList>
</comments>
</file>

<file path=xl/comments/comment7.xml><?xml version="1.0" encoding="utf-8"?>
<comments xmlns="http://schemas.openxmlformats.org/spreadsheetml/2006/main">
  <authors>
    <author>iorta TechNXT</author>
  </authors>
  <commentList>
    <comment ref="B16" authorId="0" shapeId="0">
      <text>
        <t>Employee number
Unique
Mandatory: Yes
Format: HR number
Allowed values: Free entry
Example: 1203344</t>
      </text>
    </comment>
    <comment ref="C16" authorId="0" shapeId="0">
      <text>
        <t>Full name
Name of the employee
Mandatory: Yes
Format: Up to 120 characters
Allowed values: Free entry, up to 120 characters
Example: Andrea Mercado</t>
      </text>
    </comment>
    <comment ref="D16" authorId="0" shapeId="0">
      <text>
        <t>Branch code
Home branch
Mandatory: Yes
Format: Code of D0-02
Allowed values: A code of D0-02 Branches, column Branch code
Example: HO</t>
      </text>
    </comment>
    <comment ref="E16" authorId="0" shapeId="0">
      <text>
        <t>Cost centre
Cost centre of the employee
Mandatory: Yes
Format: Cost centre of D0-04
Allowed values: A code of D0-04 Cost centres and business lines, column Code
Example: FIN</t>
      </text>
    </comment>
    <comment ref="F16" authorId="0" shapeId="0">
      <text>
        <t>Position
Position title
Mandatory: No
Format: Text
Allowed values: Free entry
Example: Accounting Officer</t>
      </text>
    </comment>
    <comment ref="G16" authorId="0" shapeId="0">
      <text>
        <t>E-mail
For advices and statements
Mandatory: No
Format: Company e-mail
Allowed values: Free entry
Example: andrea.mercado@bdoi.example.ph</t>
      </text>
    </comment>
    <comment ref="H16" authorId="0" shapeId="0">
      <text>
        <t>Hired on
Date of hire
Mandatory: No
Format: dd-MMM-yyyy
Allowed values: A date, for example 15-Jan-2028
Example: 03-Mar-2019</t>
      </text>
    </comment>
  </commentList>
</comments>
</file>

<file path=xl/comments/comment8.xml><?xml version="1.0" encoding="utf-8"?>
<comments xmlns="http://schemas.openxmlformats.org/spreadsheetml/2006/main">
  <authors>
    <author>iorta TechNXT</author>
  </authors>
  <commentList>
    <comment ref="B16" authorId="0" shapeId="0">
      <text>
        <t>Parent Code
Code of the parent account; blank for a top-level group
Mandatory: No
Format: Text
Allowed values: A code of D0-06 Chart of accounts, column Account Code</t>
      </text>
    </comment>
    <comment ref="C16" authorId="0" shapeId="0">
      <text>
        <t>Account Code
Account code; blank for the next number of the parent's scheme
Mandatory: No
Format: Text
Allowed values: Free entry
Example: 1210.07</t>
      </text>
    </comment>
    <comment ref="D16" authorId="0" shapeId="0">
      <text>
        <t>Account Name
Account name
Mandatory: Yes
Format: Text
Allowed values: Free entry
Example: Premium Receivable - Motor</t>
      </text>
    </comment>
    <comment ref="E16" authorId="0" shapeId="0">
      <text>
        <t>Short Code
Unique short code used on journal lines
Mandatory: No
Format: Text
Allowed values: Free entry
Example: PRMOTOR</t>
      </text>
    </comment>
    <comment ref="F16" authorId="0" shapeId="0">
      <text>
        <t>Class
Class of the account
Mandatory: Yes
Format: Text
Allowed values: ASSET, LIABILITY, EQUITY, INCOME, EXPENSE, MEMORANDUM (list Account class of the chart)
Example: ASSET</t>
      </text>
    </comment>
    <comment ref="G16" authorId="0" shapeId="0">
      <text>
        <t>Level
Level of the account, one tier below the parent
Mandatory: Yes
Format: Text
Allowed values: GROUP, MAIN, SUB, MICRO (list Account level)
Example: SUB</t>
      </text>
    </comment>
    <comment ref="H16" authorId="0" shapeId="0">
      <text>
        <t>Category
GL category
Mandatory: No
Format: Text
Allowed values: A code of D0-07 Account categories and numbering, column Category code</t>
      </text>
    </comment>
    <comment ref="I16" authorId="0" shapeId="0">
      <text>
        <t>Control Account
Control account
Mandatory: No
Format: Y or N
Allowed values: Y or N
Example: N</t>
      </text>
    </comment>
    <comment ref="J16" authorId="0" shapeId="0">
      <text>
        <t>Sub-ledger Type
Sub-ledger the account controls; blank for none
Mandatory: No
Format: Text
Allowed values: Free entry
Example: POLICYHOLDER</t>
      </text>
    </comment>
    <comment ref="K16" authorId="0" shapeId="0">
      <text>
        <t>Currencies
Currencies allowed on the account; blank for all
Mandatory: No
Format: Text
Allowed values: Free entry
Example: {baseCurrency}</t>
      </text>
    </comment>
    <comment ref="L16" authorId="0" shapeId="0">
      <text>
        <t>Manual Posting
Manual journals allowed; blank for Y
Mandatory: No
Format: Y or N
Allowed values: Y or N
Example: Y</t>
      </text>
    </comment>
    <comment ref="M16" authorId="0" shapeId="0">
      <text>
        <t>Cost Centre Required
Cost centre mandatory on journal lines
Mandatory: No
Format: Y or N
Allowed values: Y or N
Example: N</t>
      </text>
    </comment>
    <comment ref="N16" authorId="0" shapeId="0">
      <text>
        <t>Revaluation Required
Revalued at month end
Mandatory: No
Format: Y or N
Allowed values: Y or N
Example: N</t>
      </text>
    </comment>
    <comment ref="O16" authorId="0" shapeId="0">
      <text>
        <t>Report Group
Financial statement line
Mandatory: No
Format: Text
Allowed values: Free entry
Example: Premium Receivable</t>
      </text>
    </comment>
    <comment ref="P16" authorId="0" shapeId="0">
      <text>
        <t>Opened On
Opening date; blank for today
Mandatory: No
Format: yyyy-MM-dd
Allowed values: Free entry
Example: 2026-01-01</t>
      </text>
    </comment>
    <comment ref="Q16" authorId="0" shapeId="0">
      <text>
        <t>Negative Balance
What a negative balance does; blank for ALLOW
Mandatory: No
Format: Text
Allowed values: ALLOW, WARN, BLOCK (list Negative balance)
Example: WARN</t>
      </text>
    </comment>
  </commentList>
</comments>
</file>

<file path=xl/comments/comment9.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PM-01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10.xml><?xml version="1.0" encoding="utf-8"?>
<comments xmlns="http://schemas.openxmlformats.org/spreadsheetml/2006/main">
  <authors>
    <author>iorta TechNXT</author>
  </authors>
  <commentList>
    <comment ref="B16" authorId="0" shapeId="0">
      <text>
        <t>Action
ENROL for the go-live load
Mandatory: Yes
Format: ENROL, MODIFY, DEACTIVATE or REACTIVATE
Allowed values: ENROL, MODIFY, DEACTIVATE, REACTIVATE (list Bulk request action)
Example: ENROL</t>
      </text>
    </comment>
    <comment ref="C16" authorId="0" shapeId="0">
      <text>
        <t>User ID
The BIBS user ID; unique
Mandatory: Yes
Format: A letter and nine digits (BDOI format a999999999)
Allowed values: Free entry, up to 10 characters
Example: a013000201</t>
      </text>
    </comment>
    <comment ref="D16" authorId="0" shapeId="0">
      <text>
        <t>Full Name
Name shown on screens and reports
Mandatory: Conditional: ENROL
Format: Up to 120 characters
Allowed values: Free entry, up to 120 characters
Example: Andrea Mercado</t>
      </text>
    </comment>
    <comment ref="E16" authorId="0" shapeId="0">
      <text>
        <t>E-mail
Receives the access-changed notices and the reset links
Mandatory: No
Format: Company e-mail address
Allowed values: Free entry
Example: andrea.mercado@brokerverse-seed.ph</t>
      </text>
    </comment>
    <comment ref="F16" authorId="0" shapeId="0">
      <text>
        <t>Windows ID
Used for the BDO directory sign-in when it is enabled
Mandatory: No
Format: Windows log-on name; unique
Allowed values: Free entry
Example: AMERCADO</t>
      </text>
    </comment>
    <comment ref="G16" authorId="0" shapeId="0">
      <text>
        <t>Home Branch Code
Home branch of the user
Mandatory: No
Format: Branch code
Allowed values: Free entry
Example: HO</t>
      </text>
    </comment>
    <comment ref="H16" authorId="0" shapeId="0">
      <text>
        <t>Business Unit
Business unit group
Mandatory: No
Format: Code of the list Business unit group (CI-06)
Allowed values: Codes of UA-06 Lists of values, column Code (one or more)</t>
      </text>
    </comment>
    <comment ref="I16" authorId="0" shapeId="0">
      <text>
        <t>User Level
User level
Mandatory: No
Format: Code of the list User level (CI-06)
Allowed values: Codes of UA-06 Lists of values, column Code (one or more)</t>
      </text>
    </comment>
    <comment ref="J16" authorId="0" shapeId="0">
      <text>
        <t>Group Profiles
The group profiles of the user
Mandatory: Conditional: ENROL
Format: Profile codes of CI-02 separated by ';'
Allowed values: Codes of UA-02 Role-to-permission matrix, column Group profile code (one or more)
Example: MKT_AO</t>
      </text>
    </comment>
    <comment ref="K16" authorId="0" shapeId="0">
      <text>
        <t>Effective Date
Date the change applies
Mandatory: No
Format: yyyy-MM-dd; blank = on approval
Allowed values: Free entry</t>
      </text>
    </comment>
    <comment ref="L16" authorId="0" shapeId="0">
      <text>
        <t>Remarks
Justification of the line
Mandatory: Yes
Format: Up to 1,000 characters
Allowed values: Free entry, up to 1000 characters
Example: Joined Marketing</t>
      </text>
    </comment>
  </commentList>
</comments>
</file>

<file path=xl/comments/comment11.xml><?xml version="1.0" encoding="utf-8"?>
<comments xmlns="http://schemas.openxmlformats.org/spreadsheetml/2006/main">
  <authors>
    <author>iorta TechNXT</author>
  </authors>
  <commentList>
    <comment ref="B16" authorId="0" shapeId="0">
      <text>
        <t>Branch code
Branch the holiday applies to
Mandatory: No
Format: Code of D0-02; blank = every branch
Allowed values: A code of D0-02 Branches, column Branch code</t>
      </text>
    </comment>
    <comment ref="C16" authorId="0" shapeId="0">
      <text>
        <t>Date
Date of the holiday
Mandatory: Yes
Format: dd-MMM-yyyy
Allowed values: A date, for example 15-Jan-2028
Example: 01-Jan-2028</t>
      </text>
    </comment>
    <comment ref="D16" authorId="0" shapeId="0">
      <text>
        <t>Description
Name of the holiday
Mandatory: Yes
Format: Up to 120 characters
Allowed values: Free entry, up to 120 characters
Example: New Year's Day</t>
      </text>
    </comment>
  </commentList>
</comments>
</file>

<file path=xl/comments/comment12.xml><?xml version="1.0" encoding="utf-8"?>
<comments xmlns="http://schemas.openxmlformats.org/spreadsheetml/2006/main">
  <authors>
    <author>iorta TechNXT</author>
  </authors>
  <commentList>
    <comment ref="B16" authorId="0" shapeId="0">
      <text>
        <t>Rule ID
Identifier of the rule
Mandatory: Yes
Format: SOD-nn
Allowed values: Free entry
Example: SOD-01</t>
      </text>
    </comment>
    <comment ref="C16" authorId="0" shapeId="0">
      <text>
        <t>Rule
The rule
Mandatory: Yes
Format: Text
Allowed values: Free entry
Example: The requester never decides his own request</t>
      </text>
    </comment>
    <comment ref="D16" authorId="0" shapeId="0">
      <text>
        <t>Status
Enforced = a fixed rule of BIBS
Mandatory: Yes
Format: Enforced, To confirm, New
Allowed values: Enforced, To confirm, New (list Separation-of-duties rule status)
Example: Enforced</t>
      </text>
    </comment>
    <comment ref="E16" authorId="0" shapeId="0">
      <text>
        <t>Profile or permission A
First profile or permission of a combination
Mandatory: Conditional: combination rule
Format: Profile or permission of CI-02
Allowed values: Codes of UA-02 Role-to-permission matrix, column Group profile code (one or more)
Example: User Access Requestor</t>
      </text>
    </comment>
    <comment ref="F16" authorId="0" shapeId="0">
      <text>
        <t>Profile or permission B
Profile or permission that may not be held with A
Mandatory: Conditional: combination rule
Format: Profile or permission of CI-02
Allowed values: Codes of UA-02 Role-to-permission matrix, column Group profile code (one or more)
Example: User Access Approver</t>
      </text>
    </comment>
    <comment ref="G16" authorId="0" shapeId="0">
      <text>
        <t>Control
How the rule is controlled
Mandatory: Yes
Format: Prevent (a rule of Separation of Duties, for two profiles), Detect by review, Second approval
Allowed values: Prevent, Detect by review, Second approval (list Separation-of-duties control)
Example: Prevent</t>
      </text>
    </comment>
    <comment ref="H16" authorId="0" shapeId="0">
      <text>
        <t>Review frequency
How often the reports are reviewed
Mandatory: Conditional: Detect by review
Format: Monthly, Quarterly
Allowed values: Monthly, Quarterly (list Review frequency)
Example: Quarterly</t>
      </text>
    </comment>
  </commentList>
</comments>
</file>

<file path=xl/comments/comment13.xml><?xml version="1.0" encoding="utf-8"?>
<comments xmlns="http://schemas.openxmlformats.org/spreadsheetml/2006/main">
  <authors>
    <author>iorta TechNXT</author>
  </authors>
  <commentList>
    <comment ref="B16" authorId="0" shapeId="0">
      <text>
        <t>Bank account code
Code of the account in BIBS
Mandatory: Yes
Format: Up to 20 capitals
Allowed values: Free entry, up to 20 characters
Example: BDO-CA-001</t>
      </text>
    </comment>
    <comment ref="C16" authorId="0" shapeId="0">
      <text>
        <t>Name
Name shown on screens
Mandatory: Yes
Format: Text
Allowed values: Free entry
Example: BDO Makati current account</t>
      </text>
    </comment>
    <comment ref="D16" authorId="0" shapeId="0">
      <text>
        <t>Bank
Bank of the account
Mandatory: Yes
Format: Bank name
Allowed values: Free entry
Example: BDO Unibank, Inc.</t>
      </text>
    </comment>
    <comment ref="E16" authorId="0" shapeId="0">
      <text>
        <t>Account number
Account number
Mandatory: Yes
Format: As printed by the bank
Allowed values: Free entry
Example: 000123456789</t>
      </text>
    </comment>
    <comment ref="F16" authorId="0" shapeId="0">
      <text>
        <t>Currency
Currency of the account
Mandatory: Yes
Format: ISO 4217
Allowed values: Free entry, up to 3 characters
Example: PHP</t>
      </text>
    </comment>
    <comment ref="G16" authorId="0" shapeId="0">
      <text>
        <t>GL account
Cash-in-bank account
Mandatory: Yes
Format: Account of D0-06 with a bank category
Allowed values: A code of D0-06 Chart of accounts, column Account Code
Example: 1110.01</t>
      </text>
    </comment>
    <comment ref="H16" authorId="0" shapeId="0">
      <text>
        <t>PDC clearing account
Account of issued post-dated checks
Mandatory: No
Format: Account of D0-06
Allowed values: A code of D0-06 Chart of accounts, column Account Code
Example: 2241</t>
      </text>
    </comment>
    <comment ref="I16" authorId="0" shapeId="0">
      <text>
        <t>Branch code
Branch that uses the account
Mandatory: No
Format: Code of D0-02
Allowed values: A code of D0-02 Branches, column Branch code
Example: HO</t>
      </text>
    </comment>
    <comment ref="J16" authorId="0" shapeId="0">
      <text>
        <t>Payment notification format
Format of the notification to the payee
Mandatory: Yes
Format: Format of the bank advice
Allowed values: Free entry
Example: EMAIL</t>
      </text>
    </comment>
  </commentList>
</comments>
</file>

<file path=xl/comments/comment14.xml><?xml version="1.0" encoding="utf-8"?>
<comments xmlns="http://schemas.openxmlformats.org/spreadsheetml/2006/main">
  <authors>
    <author>iorta TechNXT</author>
  </authors>
  <commentList>
    <comment ref="B16" authorId="0" shapeId="0">
      <text>
        <t>Record
What the row defines
Mandatory: Yes
Format: COVERAGE, FIELD_RULE or DOCUMENT_RULE
Allowed values: COVERAGE, FIELD_RULE, DOCUMENT_RULE (list Coverage and rule record)
Example: COVERAGE</t>
      </text>
    </comment>
    <comment ref="C16" authorId="0" shapeId="0">
      <text>
        <t>Line code / Risk code
Scope of the row
Mandatory: Yes
Format: Line or product the row applies to; * = every product
Allowed values: Codes of PM-01 Product catalogue, column Risk code (one or more)
Example: MOTOR</t>
      </text>
    </comment>
    <comment ref="D16" authorId="0" shapeId="0">
      <text>
        <t>Code or field key
Coverage code or the account field checked
Mandatory: Yes
Format: A-Z, 0-9 and _ (coverage); field key (rule)
Allowed values: Free entry
Example: OD_THEFT</t>
      </text>
    </comment>
    <comment ref="E16" authorId="0" shapeId="0">
      <text>
        <t>Name or label
Coverage name or field label
Mandatory: Yes
Format: Text
Allowed values: Free entry
Example: Own damage and theft</t>
      </text>
    </comment>
    <comment ref="F16" authorId="0" shapeId="0">
      <text>
        <t>Kind or check
Coverage kind or rule check
Mandatory: Yes
Format: Coverage kind (Section, Coverage, Peril, Extension); check (Presence, List of values, Number range, Format)
Allowed values: Free entry
Example: Coverage</t>
      </text>
    </comment>
    <comment ref="G16" authorId="0" shapeId="0">
      <text>
        <t>Basic
A package needs at least one basic coverage
Mandatory: Conditional: coverage
Format: Y or N
Allowed values: Y or N
Example: Y</t>
      </text>
    </comment>
    <comment ref="H16" authorId="0" shapeId="0">
      <text>
        <t>Parameters
Parameters of the check
Mandatory: Conditional: list, range or format rules
Format: List code; minimum and maximum; pattern
Allowed values: Free entry</t>
      </text>
    </comment>
    <comment ref="I16" authorId="0" shapeId="0">
      <text>
        <t>Document type
Document an account needs before submission
Mandatory: Conditional: document rule
Format: List DOCUMENT_TYPE
Allowed values: List Document type: 63 values, see Reference lists</t>
      </text>
    </comment>
    <comment ref="J16" authorId="0" shapeId="0">
      <text>
        <t>Mandatory
Required or optional
Mandatory: Yes
Format: Y or N
Allowed values: Y or N
Example: Y</t>
      </text>
    </comment>
  </commentList>
</comments>
</file>

<file path=xl/comments/comment15.xml><?xml version="1.0" encoding="utf-8"?>
<comments xmlns="http://schemas.openxmlformats.org/spreadsheetml/2006/main">
  <authors>
    <author>iorta TechNXT</author>
  </authors>
  <commentList>
    <comment ref="B16" authorId="0" shapeId="0">
      <text>
        <t>Clause code
Unique code
Mandatory: Yes
Format: A-Z, 0-9 and _
Allowed values: Free entry
Example: FLEET_REPAIR</t>
      </text>
    </comment>
    <comment ref="C16" authorId="0" shapeId="0">
      <text>
        <t>Kind
Code of the list CLAUSE_KIND
Mandatory: Yes
Format: WARRANTY, CLAUSE, EXCLUSION or DEDUCTIBLE_WORDING
Allowed values: WARRANTY, CLAUSE, EXCLUSION, DEDUCTIBLE_WORDING (list Clause kind)
Example: CLAUSE</t>
      </text>
    </comment>
    <comment ref="D16" authorId="0" shapeId="0">
      <text>
        <t>Line code
Lines the clause is offered for
Mandatory: No
Format: Line code; blank = every line
Allowed values: A code of PM-01 Product catalogue, column Line code
Example: MOTOR</t>
      </text>
    </comment>
    <comment ref="E16" authorId="0" shapeId="0">
      <text>
        <t>Title
Title shown in the pickers
Mandatory: Yes
Format: Text
Allowed values: Free entry
Example: Accredited repair shops for fleets</t>
      </text>
    </comment>
    <comment ref="F16" authorId="0" shapeId="0">
      <text>
        <t>Wording
Wording printed on the package documents
Mandatory: Yes
Format: Full text
Allowed values: Free entry
Example: Repairs are made at the accredited shops of the insurer...</t>
      </text>
    </comment>
    <comment ref="G16" authorId="0" shapeId="0">
      <text>
        <t>Effective from / to
Validity of the wording
Mandatory: Yes (from)
Format: dd-MMM-yyyy
Allowed values: Free entry
Example: 01-Jan-2027</t>
      </text>
    </comment>
  </commentList>
</comments>
</file>

<file path=xl/comments/comment16.xml><?xml version="1.0" encoding="utf-8"?>
<comments xmlns="http://schemas.openxmlformats.org/spreadsheetml/2006/main">
  <authors>
    <author>iorta TechNXT</author>
  </authors>
  <commentList>
    <comment ref="B16" authorId="0" shapeId="0">
      <text>
        <t>Partner code
Insurer code; unique
Mandatory: Yes
Format: INS- followed by capitals
Allowed values: Free entry
Example: INS-MGIC</t>
      </text>
    </comment>
    <comment ref="C16" authorId="0" shapeId="0">
      <text>
        <t>Name / Short name
Registered and short name
Mandatory: Yes (name)
Format: Text
Allowed values: Free entry
Example: Mabuhay General Insurance Corp.</t>
      </text>
    </comment>
    <comment ref="D16" authorId="0" shapeId="0">
      <text>
        <t>TIN / Address
Business partner details
Mandatory: No
Format: 000-000-000-000; text
Allowed values: Free entry
Example: 123-456-789-000</t>
      </text>
    </comment>
    <comment ref="E16" authorId="0" shapeId="0">
      <text>
        <t>IC accreditation no. / Accredited until
Insurance Commission accreditation
Mandatory: No
Format: Text; dd-MMM-yyyy
Allowed values: Free entry
Example: IC-2026-001; 31-Dec-2027</t>
      </text>
    </comment>
    <comment ref="F16" authorId="0" shapeId="0">
      <text>
        <t>Placement e-mails
Where quotation and placement slips are sent
Mandatory: Conditional: for package insurers
Format: Addresses separated by commas
Allowed values: Free entry
Example: placement@insurer.example</t>
      </text>
    </comment>
    <comment ref="G16" authorId="0" shapeId="0">
      <text>
        <t>Credit days
Default credit days
Mandatory: No
Format: 0 to 365
Allowed values: A whole number from 0 to 365
Example: 30</t>
      </text>
    </comment>
    <comment ref="H16" authorId="0" shapeId="0">
      <text>
        <t>Branch code / Branch name / City
Branch of the insurer
Mandatory: Conditional: branch rows
Format: Text
Allowed values: Free entry
Example: MKT; Makati; Makati City</t>
      </text>
    </comment>
    <comment ref="I16" authorId="0" shapeId="0">
      <text>
        <t>LGT %
Local government tax on premium
Mandatory: Conditional: branch rows
Format: 0 to 100
Allowed values: A number from 0 to 100
Example: 0.5000</t>
      </text>
    </comment>
    <comment ref="J16" authorId="0" shapeId="0">
      <text>
        <t>Commission product / Commission % / From / To
Commission rate of the insurer
Mandatory: Conditional: commission rows
Format: Risk code or blank for all; percentage; dd-MMM-yyyy
Allowed values: Codes of PM-01 Product catalogue, column Risk code (one or more)
Example: MTR30; 15; 01-Jan-2028; -</t>
      </text>
    </comment>
  </commentList>
</comments>
</file>

<file path=xl/comments/comment17.xml><?xml version="1.0" encoding="utf-8"?>
<comments xmlns="http://schemas.openxmlformats.org/spreadsheetml/2006/main">
  <authors>
    <author>iorta TechNXT</author>
  </authors>
  <commentList>
    <comment ref="B16" authorId="0" shapeId="0">
      <text>
        <t>Company code
Code of the company on every record
Mandatory: Yes
Format: Up to 10 capitals
Allowed values: Free entry, up to 10 characters
Example: BDOI</t>
      </text>
    </comment>
    <comment ref="C16" authorId="0" shapeId="0">
      <text>
        <t>Registered name
Name as registered with the SEC
Mandatory: Yes
Format: Up to 200 characters
Allowed values: Free entry, up to 200 characters
Example: BDO Insurance and Reinsurance Brokers, Inc.</t>
      </text>
    </comment>
    <comment ref="D16" authorId="0" shapeId="0">
      <text>
        <t>TIN
Tax identification number with branch code
Mandatory: Yes
Format: 000-000-000-00000
Allowed values: Free entry
Example: 000-000-000-00000</t>
      </text>
    </comment>
    <comment ref="E16" authorId="0" shapeId="0">
      <text>
        <t>Registered address
Address printed on receipts and BIR forms
Mandatory: Yes
Format: Text
Allowed values: Free entry
Example: 7899 Makati Avenue, Makati City</t>
      </text>
    </comment>
    <comment ref="F16" authorId="0" shapeId="0">
      <text>
        <t>Base currency
Currency of the books
Mandatory: Yes
Format: ISO 4217
Allowed values: Free entry, up to 3 characters
Example: PHP</t>
      </text>
    </comment>
    <comment ref="G16" authorId="0" shapeId="0">
      <text>
        <t>Fiscal year start month
First month of the financial year
Mandatory: Yes
Format: 1 to 12
Allowed values: A whole number from 1 to 12
Example: 1</t>
      </text>
    </comment>
    <comment ref="H16" authorId="0" shapeId="0">
      <text>
        <t>Back-value days
How many days before today a posting may be dated
Mandatory: Yes
Format: Whole number
Allowed values: A whole number from 0 to 365
Example: 5</t>
      </text>
    </comment>
    <comment ref="I16" authorId="0" shapeId="0">
      <text>
        <t>Forward-value days
How many days after today a posting may be dated
Mandatory: Yes
Format: Whole number
Allowed values: A whole number from 0 to 365
Example: 0</t>
      </text>
    </comment>
    <comment ref="J16" authorId="0" shapeId="0">
      <text>
        <t>Retained earnings account
Account that receives the year-end result
Mandatory: Yes
Format: Account code of D0-06
Allowed values: A code of D0-06 Chart of accounts, column Account Code
Example: 3200</t>
      </text>
    </comment>
  </commentList>
</comments>
</file>

<file path=xl/comments/comment18.xml><?xml version="1.0" encoding="utf-8"?>
<comments xmlns="http://schemas.openxmlformats.org/spreadsheetml/2006/main">
  <authors>
    <author>iorta TechNXT</author>
  </authors>
  <commentList>
    <comment ref="B16" authorId="0" shapeId="0">
      <text>
        <t>Event type
Event that the rule posts
Mandatory: Yes
Format: Code of the sheet Ref Accounting events
Allowed values: List Accounting event: 90 values, see Reference lists
Example: PREMIUM_BOOKED</t>
      </text>
    </comment>
    <comment ref="C16" authorId="0" shapeId="0">
      <text>
        <t>Rule name
Name of the rule
Mandatory: Yes
Format: Text
Allowed values: Free entry
Example: Premium booked - non-life</t>
      </text>
    </comment>
    <comment ref="D16" authorId="0" shapeId="0">
      <text>
        <t>Business line
Line the rule applies to
Mandatory: No
Format: Code of D0-04; blank = every line
Allowed values: A code of D0-04 Cost centres and business lines, column Code</t>
      </text>
    </comment>
    <comment ref="E16" authorId="0" shapeId="0">
      <text>
        <t>Currency
Currency the rule applies to
Mandatory: No
Format: ISO 4217; blank = every currency
Allowed values: Free entry</t>
      </text>
    </comment>
    <comment ref="F16" authorId="0" shapeId="0">
      <text>
        <t>Effective from
First posting date of the rule
Mandatory: Yes
Format: dd-MMM-yyyy
Allowed values: A date, for example 15-Jan-2028
Example: 01-Jan-2028</t>
      </text>
    </comment>
    <comment ref="G16" authorId="0" shapeId="0">
      <text>
        <t>Line
Order of the line in the entry
Mandatory: Yes
Format: 1, 2, 3
Allowed values: A whole number from 1 to 99
Example: 1</t>
      </text>
    </comment>
    <comment ref="H16" authorId="0" shapeId="0">
      <text>
        <t>Debit or credit
Side of the line
Mandatory: Yes
Format: DEBIT or CREDIT
Allowed values: DEBIT, CREDIT (list Debit or credit)
Example: DEBIT</t>
      </text>
    </comment>
    <comment ref="I16" authorId="0" shapeId="0">
      <text>
        <t>Account code
Account posted
Mandatory: Yes
Format: Account of D0-06
Allowed values: A code of D0-06 Chart of accounts, column Account Code
Example: 1210.07</t>
      </text>
    </comment>
    <comment ref="J16" authorId="0" shapeId="0">
      <text>
        <t>Amount component
Amount the line posts
Mandatory: Yes
Format: Component of the event
Allowed values: Free entry
Example: GROSS_PREMIUM</t>
      </text>
    </comment>
    <comment ref="K16" authorId="0" shapeId="0">
      <text>
        <t>Narration
Text of the journal line
Mandatory: No
Format: Text
Allowed values: Free entry
Example: Premium receivable</t>
      </text>
    </comment>
  </commentList>
</comments>
</file>

<file path=xl/comments/comment19.xml><?xml version="1.0" encoding="utf-8"?>
<comments xmlns="http://schemas.openxmlformats.org/spreadsheetml/2006/main">
  <authors>
    <author>iorta TechNXT</author>
  </authors>
  <commentList>
    <comment ref="B16" authorId="0" shapeId="0">
      <text>
        <t>Legacy account
One row per account
Mandatory: Yes
Format: Premium Receivable - Legacy (per component), PR 2307 - Legacy, Due to Insurers - Legacy, Commission Receivable - Legacy, Unrealised Commission - Legacy, Deferred Output VAT - Legacy, Unapplied Collections - Legacy, Migration Clearing
Allowed values: List Legacy control account: 8 values, see Reference lists
Example: Migration Clearing</t>
      </text>
    </comment>
    <comment ref="C16" authorId="0" shapeId="0">
      <text>
        <t>Component
Component the account holds
Mandatory: Conditional: Premium Receivable - Legacy
Format: Basic premium, DST, premium tax or VAT, LGT, FST, other charges
Allowed values: Free entry</t>
      </text>
    </comment>
    <comment ref="D16" authorId="0" shapeId="0">
      <text>
        <t>BIBS account code
Account in the production chart
Mandatory: Yes
Format: Account of D0-06
Allowed values: A code of D0-06 Chart of accounts, column Account Code
Example: 1990.01</t>
      </text>
    </comment>
    <comment ref="E16" authorId="0" shapeId="0">
      <text>
        <t>Legacy GL accounts
The legacy accounts it replaces (for the code map GL_ACCOUNT, R08)
Mandatory: No
Format: EBIX and ISYS account codes separated by commas
Allowed values: Free entry
Example: 1210-01</t>
      </text>
    </comment>
    <comment ref="F16" authorId="0" shapeId="0">
      <text>
        <t>Remarks
End state after the run-off
Mandatory: No
Format: Text
Allowed values: Free entry
Example: Nets to 0.00 after the opening</t>
      </text>
    </comment>
  </commentList>
</comments>
</file>

<file path=xl/comments/comment20.xml><?xml version="1.0" encoding="utf-8"?>
<comments xmlns="http://schemas.openxmlformats.org/spreadsheetml/2006/main">
  <authors>
    <author>iorta TechNXT</author>
  </authors>
  <commentList>
    <comment ref="B16" authorId="0" shapeId="0">
      <text>
        <t>Tax code
Code of the tax
Mandatory: Yes
Format: Up to 20 capitals
Allowed values: Free entry, up to 20 characters
Example: EWT_WC158</t>
      </text>
    </comment>
    <comment ref="C16" authorId="0" shapeId="0">
      <text>
        <t>Name
Name shown on screens
Mandatory: Yes
Format: Text
Allowed values: Free entry
Example: EWT 1% - goods</t>
      </text>
    </comment>
    <comment ref="D16" authorId="0" shapeId="0">
      <text>
        <t>Tax type
Kind of tax
Mandatory: Yes
Format: EWT, FWT, VAT, PT
Allowed values: EWT, FWT, VAT, PT (list Tax type)
Example: EWT</t>
      </text>
    </comment>
    <comment ref="E16" authorId="0" shapeId="0">
      <text>
        <t>ATC
Alphanumeric tax code
Mandatory: Conditional: withholding
Format: BIR ATC
Allowed values: Free entry
Example: WC158</t>
      </text>
    </comment>
    <comment ref="F16" authorId="0" shapeId="0">
      <text>
        <t>Payee class
Payees it applies to
Mandatory: No
Format: List PAYEE_CLASS
Allowed values: SUPPLIER, INSURER, EMPLOYEE, CLIENT, GOVERNMENT, OTHER (list Payee class)
Example: CORPORATE</t>
      </text>
    </comment>
    <comment ref="G16" authorId="0" shapeId="0">
      <text>
        <t>Rate %
Rate of the tax
Mandatory: Yes
Format: 0 to 100
Allowed values: A number from 0 to 100
Example: 1</t>
      </text>
    </comment>
    <comment ref="H16" authorId="0" shapeId="0">
      <text>
        <t>GL account
Account of the tax
Mandatory: Yes
Format: Account of D0-06
Allowed values: A code of D0-06 Chart of accounts, column Account Code
Example: 2150.02</t>
      </text>
    </comment>
    <comment ref="I16" authorId="0" shapeId="0">
      <text>
        <t>Income nature
Nature of the income payment
Mandatory: No
Format: Text
Allowed values: Free entry
Example: Purchase of goods</t>
      </text>
    </comment>
    <comment ref="J16" authorId="0" shapeId="0">
      <text>
        <t>Effective from
First date of the rate
Mandatory: Yes
Format: dd-MMM-yyyy
Allowed values: A date, for example 15-Jan-2028
Example: 01-Jan-2028</t>
      </text>
    </comment>
    <comment ref="K16" authorId="0" shapeId="0">
      <text>
        <t>Effective to
Last date of the rate
Mandatory: No
Format: dd-MMM-yyyy
Allowed values: A date, for example 15-Jan-2028</t>
      </text>
    </comment>
  </commentList>
</comments>
</file>

<file path=xl/comments/comment21.xml><?xml version="1.0" encoding="utf-8"?>
<comments xmlns="http://schemas.openxmlformats.org/spreadsheetml/2006/main">
  <authors>
    <author>iorta TechNXT</author>
  </authors>
  <commentList>
    <comment ref="B16" authorId="0" shapeId="0">
      <text>
        <t>Module
Module of the approval
Mandatory: Yes
Format: Submitted Policies, Employee Benefits, Sanction Screening, Disbursement
Allowed values: Submitted Policies, Employee Benefits, Sanction Screening, Disbursement (list Module of an approval matrix)
Example: Submitted Policies</t>
      </text>
    </comment>
    <comment ref="C16" authorId="0" shapeId="0">
      <text>
        <t>Document or transaction
What is approved
Mandatory: Yes
Format: Text
Allowed values: Free entry
Example: Terms of reference</t>
      </text>
    </comment>
    <comment ref="D16" authorId="0" shapeId="0">
      <text>
        <t>Segment or case type
Scope of the row
Mandatory: No
Format: Segment, benefit line or case type
Allowed values: Free entry
Example: CBG</t>
      </text>
    </comment>
    <comment ref="E16" authorId="0" shapeId="0">
      <text>
        <t>From amount
Lower bound (sum insured, premium or amount)
Mandatory: No
Format: PHP
Allowed values: A number
Example: 0.00</t>
      </text>
    </comment>
    <comment ref="F16" authorId="0" shapeId="0">
      <text>
        <t>To amount
Upper bound
Mandatory: No
Format: PHP; blank = no limit
Allowed values: A number
Example: 10000000.00</t>
      </text>
    </comment>
    <comment ref="G16" authorId="0" shapeId="0">
      <text>
        <t>Approval level
Order of the approval
Mandatory: Yes
Format: 1, 2, 3
Allowed values: A whole number from 1 to 9
Example: 1</t>
      </text>
    </comment>
    <comment ref="H16" authorId="0" shapeId="0">
      <text>
        <t>Approver role
Profile that approves
Mandatory: Yes
Format: Group profile of UA-02
Allowed values: A code of UA-02 Role-to-permission matrix, column Group profile code
Example: SBM_APPROVER</t>
      </text>
    </comment>
    <comment ref="I16" authorId="0" shapeId="0">
      <text>
        <t>Named approver
Only when one person approves
Mandatory: No
Format: User ID of UA-01
Allowed values: A code of UA-01 Users and roles load, column User ID</t>
      </text>
    </comment>
    <comment ref="J16" authorId="0" shapeId="0">
      <text>
        <t>Signatory title
Title printed on the document
Mandatory: No
Format: Text
Allowed values: Free entry
Example: Unit Head, Combank</t>
      </text>
    </comment>
  </commentList>
</comments>
</file>

<file path=xl/comments/comment22.xml><?xml version="1.0" encoding="utf-8"?>
<comments xmlns="http://schemas.openxmlformats.org/spreadsheetml/2006/main">
  <authors>
    <author>iorta TechNXT</author>
  </authors>
  <commentList>
    <comment ref="B16" authorId="0" shapeId="0">
      <text>
        <t>Table
Table of the row
Mandatory: Yes
Format: TAX, SHORT_PERIOD or MOTOR_LIMIT
Allowed values: TAX, SHORT_PERIOD, MOTOR_LIMIT (list Rate table)
Example: TAX</t>
      </text>
    </comment>
    <comment ref="C16" authorId="0" shapeId="0">
      <text>
        <t>Rate
Charge or factor
Mandatory: Conditional: TAX
Format: DST, premium tax, VAT, fire service tax, motor factors
Allowed values: Free entry
Example: DST</t>
      </text>
    </comment>
    <comment ref="D16" authorId="0" shapeId="0">
      <text>
        <t>Line code
Line the rate applies to
Mandatory: No
Format: Line; blank = every line
Allowed values: A code of PM-01 Product catalogue, column Line code</t>
      </text>
    </comment>
    <comment ref="E16" authorId="0" shapeId="0">
      <text>
        <t>Rate %
Rate, or % of the annual premium
Mandatory: Conditional: TAX, SHORT_PERIOD
Format: Up to four decimals, 0 to 100
Allowed values: A number from 0 to 100
Example: 12.5000</t>
      </text>
    </comment>
    <comment ref="F16" authorId="0" shapeId="0">
      <text>
        <t>Months covered
Months covered, up to
Mandatory: Conditional: SHORT_PERIOD
Format: 1 to 12
Allowed values: A whole number from 1 to 12
Example: 6</t>
      </text>
    </comment>
    <comment ref="G16" authorId="0" shapeId="0">
      <text>
        <t>Coverage / Limit / Premium
Limit and its premium
Mandatory: Conditional: MOTOR_LIMIT
Format: BI or PD; amounts in PHP
Allowed values: Free entry
Example: BI; 100000.00; 350.00</t>
      </text>
    </comment>
    <comment ref="H16" authorId="0" shapeId="0">
      <text>
        <t>Effective from / to
Validity of the row
Mandatory: Yes (from)
Format: dd-MMM-yyyy
Allowed values: Free entry
Example: 01-Jan-2028</t>
      </text>
    </comment>
  </commentList>
</comments>
</file>

<file path=xl/comments/comment23.xml><?xml version="1.0" encoding="utf-8"?>
<comments xmlns="http://schemas.openxmlformats.org/spreadsheetml/2006/main">
  <authors>
    <author>iorta TechNXT</author>
  </authors>
  <commentList>
    <comment ref="B16" authorId="0" shapeId="0">
      <text>
        <t>Code / Name
Criterion
Mandatory: Yes
Format: A-Z, 0-9, _ and -; text
Allowed values: Free entry
Example: CPC2; CPC2 campaign 2028</t>
      </text>
    </comment>
    <comment ref="C16" authorId="0" shapeId="0">
      <text>
        <t>Incentive type
Type of criterion
Mandatory: Yes
Format: List INCENTIVE_TYPE
Allowed values: OTHERS, MIGRATED (list Incentive type)
Example: CAMPAIGN</t>
      </text>
    </comment>
    <comment ref="D16" authorId="0" shapeId="0">
      <text>
        <t>Value basis / Value
Value of the criterion
Mandatory: Yes (basis)
Format: Rate (%), Fixed amount or Rule; number
Allowed values: Free entry
Example: Rate (%); 1.00</t>
      </text>
    </comment>
    <comment ref="E16" authorId="0" shapeId="0">
      <text>
        <t>Rule parameters
Parameters of a rule criterion, as agreed with Comptrollership
Mandatory: No
Format: Parameter and value pairs separated by semicolons
Allowed values: Free entry
Example: Minimum premium 5000</t>
      </text>
    </comment>
    <comment ref="F16" authorId="0" shapeId="0">
      <text>
        <t>Products matrix: risk code / segment
Products and segments the criterion applies to
Mandatory: Yes (one product)
Format: Active risk codes; segment or blank
Allowed values: Codes of PM-01 Product catalogue, column Risk code (one or more)
Example: MTR30; COMBANK</t>
      </text>
    </comment>
    <comment ref="G16" authorId="0" shapeId="0">
      <text>
        <t>Effective from / to
Validity; no overlap with another row of the code
Mandatory: Yes (from)
Format: dd-MMM-yyyy
Allowed values: Free entry
Example: 01-Jan-2028</t>
      </text>
    </comment>
  </commentList>
</comments>
</file>

<file path=xl/comments/comment24.xml><?xml version="1.0" encoding="utf-8"?>
<comments xmlns="http://schemas.openxmlformats.org/spreadsheetml/2006/main">
  <authors>
    <author>iorta TechNXT</author>
  </authors>
  <commentList>
    <comment ref="B16" authorId="0" shapeId="0">
      <text>
        <t>Role in user access
The user access role of the user
Mandatory: Yes
Format: Requestor, Approver, Second Approver, Group-profile requester, Implementer
Allowed values: Requestor, Approver, Second Approver, Group-profile requester, Implementer (list Role in user access)
Example: Approver</t>
      </text>
    </comment>
    <comment ref="C16" authorId="0" shapeId="0">
      <text>
        <t>User ID
The user who holds the role
Mandatory: Yes
Format: User ID of CI-01
Allowed values: A code of UA-01 Users and roles load, column User ID
Example: a013000205</t>
      </text>
    </comment>
    <comment ref="D16" authorId="0" shapeId="0">
      <text>
        <t>Unit
Unit the user requests or approves for
Mandatory: Yes
Format: Business unit
Allowed values: Free entry
Example: Combank Marketing</t>
      </text>
    </comment>
    <comment ref="E16" authorId="0" shapeId="0">
      <text>
        <t>Approver order for group profiles
Usual order of the approvers of a group-profile request
Mandatory: Conditional: Approver
Format: 1, 2, 3
Allowed values: A whole number from 1 to 9
Example: 1</t>
      </text>
    </comment>
    <comment ref="F16" authorId="0" shapeId="0">
      <text>
        <t>Any approver may decide
Y sets UAM_ANY_APPROVER: any approver decides any request, not only the chosen one
Mandatory: No
Format: Y or N
Allowed values: Y or N
Example: N</t>
      </text>
    </comment>
    <comment ref="G16" authorId="0" shapeId="0">
      <text>
        <t>Authorisation limit
Limit of the user's approvals by amount in the modules that use it (journals, payables)
Mandatory: No
Format: Amount in PHP; blank = unlimited
Allowed values: A number
Example: 500000.00</t>
      </text>
    </comment>
  </commentList>
</comments>
</file>

<file path=xl/comments/comment25.xml><?xml version="1.0" encoding="utf-8"?>
<comments xmlns="http://schemas.openxmlformats.org/spreadsheetml/2006/main">
  <authors>
    <author>iorta TechNXT</author>
  </authors>
  <commentList>
    <comment ref="B16" authorId="0" shapeId="0">
      <text>
        <t>Risk code
Package product
Mandatory: Yes
Format: Code of CI-01
Allowed values: A code of PM-01 Product catalogue, column Risk code
Example: MTR30</t>
      </text>
    </comment>
    <comment ref="C16" authorId="0" shapeId="0">
      <text>
        <t>Package name / Scope / Client code
As on the Package Request Form
Mandatory: Yes (name, scope)
Format: Text; Generic or Client-specific; client code
Allowed values: Free entry
Example: Motor Fleet Plus; Generic</t>
      </text>
    </comment>
    <comment ref="D16" authorId="0" shapeId="0">
      <text>
        <t>Effective from / Package start / Package end / Anniversary
Dates of the version
Mandatory: Yes (effective from, package end)
Format: dd-MMM-yyyy
Allowed values: Free entry
Example: 01-Jan-2028; 01-Jan-2028; 31-Dec-2028; -</t>
      </text>
    </comment>
    <comment ref="E16" authorId="0" shapeId="0">
      <text>
        <t>Package rate % / Minimum premium / Commission % / Package TSI limit
Rate scheme of the version
Mandatory: Yes (minimum, commission; rate or insurer rates)
Format: Percentages and PHP amounts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Coverages of the version
Mandatory: Yes (one basic coverage)
Format: Codes of CI-02; Y or N; PHP
Allowed values: Codes of PM-02 Coverages, perils and field rules, column Code or field key (one or more)
Example: OD_THEFT; Y; N; -; 2000.00</t>
      </text>
    </comment>
    <comment ref="H16" authorId="0" shapeId="0">
      <text>
        <t>Insurer code / Role / Share % / Rate % / Minimum premium
Panel insurers
Mandatory: Yes (the panel)
Format: Codes of CI-05; Panel, Lead or Participant; shares total 100
Allowed values: Codes of PM-05 Insurers, branches and commission rates, column Partner code (one or more)
Example: INS-MGIC; Panel; -; 1.2000; -</t>
      </text>
    </comment>
    <comment ref="I16" authorId="0" shapeId="0">
      <text>
        <t>Insurer terms: insurer / coverage / limit / deductible / clauses
Terms per insurer and coverage
Mandatory: Yes (every insurer and included coverage)
Format: Codes of CI-03 separated by commas
Allowed values: Codes of PM-03 Clause library, column Clause code (one or more)
Example: INS-MGIC; OD_THEFT; -; 2000.00; FLEET_REPAIR</t>
      </text>
    </comment>
    <comment ref="J16" authorId="0" shapeId="0">
      <text>
        <t>ManCom sign-off reference / Signed package slip
Evidence kept on the request
Mandatory: Yes
Format: Reference; the signed slip file
Allowed values: Free entry
Example: MC-2026-017</t>
      </text>
    </comment>
  </commentList>
</comments>
</file>

<file path=xl/comments/comment26.xml><?xml version="1.0" encoding="utf-8"?>
<comments xmlns="http://schemas.openxmlformats.org/spreadsheetml/2006/main">
  <authors>
    <author>iorta TechNXT</author>
  </authors>
  <commentList>
    <comment ref="B16" authorId="0" shapeId="0">
      <text>
        <t>Bank account code
Account of the check book
Mandatory: Yes
Format: Code of D0-11
Allowed values: A code of D0-11 Company bank accounts, column Bank account code
Example: BDO-CA-001</t>
      </text>
    </comment>
    <comment ref="C16" authorId="0" shapeId="0">
      <text>
        <t>First check number
First number of the book
Mandatory: Yes
Format: Digits
Allowed values: Free entry
Example: 0001001</t>
      </text>
    </comment>
    <comment ref="D16" authorId="0" shapeId="0">
      <text>
        <t>Last check number
Last number of the book
Mandatory: Yes
Format: Digits
Allowed values: Free entry
Example: 0001100</t>
      </text>
    </comment>
    <comment ref="E16" authorId="0" shapeId="0">
      <text>
        <t>Next check number
Next number to issue at go-live
Mandatory: Yes
Format: Digits
Allowed values: Free entry
Example: 0001001</t>
      </text>
    </comment>
    <comment ref="F16" authorId="0" shapeId="0">
      <text>
        <t>Received on
Date the book was received
Mandatory: Yes
Format: dd-MMM-yyyy
Allowed values: A date, for example 15-Jan-2028
Example: 01-Dec-2027</t>
      </text>
    </comment>
  </commentList>
</comments>
</file>

<file path=xl/comments/comment27.xml><?xml version="1.0" encoding="utf-8"?>
<comments xmlns="http://schemas.openxmlformats.org/spreadsheetml/2006/main">
  <authors>
    <author>iorta TechNXT</author>
  </authors>
  <commentList>
    <comment ref="B16" authorId="0" shapeId="0">
      <text>
        <t>Branch code
Branch of the fund
Mandatory: Yes
Format: Code of D0-02
Allowed values: A code of D0-02 Branches, column Branch code
Example: HO</t>
      </text>
    </comment>
    <comment ref="C16" authorId="0" shapeId="0">
      <text>
        <t>Fund code
Code of the fund
Mandatory: Yes
Format: Up to 20 capitals
Allowed values: Free entry, up to 20 characters
Example: PCF-HO</t>
      </text>
    </comment>
    <comment ref="D16" authorId="0" shapeId="0">
      <text>
        <t>Name
Name of the fund
Mandatory: Yes
Format: Text
Allowed values: Free entry
Example: Head Office petty cash</t>
      </text>
    </comment>
    <comment ref="E16" authorId="0" shapeId="0">
      <text>
        <t>Custodian
Custodian of the fund
Mandatory: Yes
Format: Employee of D0-05
Allowed values: A code of D0-05 Employees, column Employee number
Example: 1203344</t>
      </text>
    </comment>
    <comment ref="F16" authorId="0" shapeId="0">
      <text>
        <t>GL account
Petty cash account
Mandatory: Yes
Format: Account of D0-06
Allowed values: A code of D0-06 Chart of accounts, column Account Code
Example: 1101.01</t>
      </text>
    </comment>
    <comment ref="G16" authorId="0" shapeId="0">
      <text>
        <t>Replenishment bank account
Account that replenishes the fund
Mandatory: Yes
Format: Code of D0-11
Allowed values: A code of D0-11 Company bank accounts, column Bank account code
Example: BDO-CA-001</t>
      </text>
    </comment>
    <comment ref="H16" authorId="0" shapeId="0">
      <text>
        <t>Currency
Currency of the fund
Mandatory: Yes
Format: ISO 4217
Allowed values: Free entry, up to 3 characters
Example: PHP</t>
      </text>
    </comment>
    <comment ref="I16" authorId="0" shapeId="0">
      <text>
        <t>Imprest amount
Amount of the fund
Mandatory: Yes
Format: Amount
Allowed values: A number
Example: 20000.00</t>
      </text>
    </comment>
  </commentList>
</comments>
</file>

<file path=xl/comments/comment28.xml><?xml version="1.0" encoding="utf-8"?>
<comments xmlns="http://schemas.openxmlformats.org/spreadsheetml/2006/main">
  <authors>
    <author>iorta TechNXT</author>
  </authors>
  <commentList>
    <comment ref="B16" authorId="0" shapeId="0">
      <text>
        <t>Bank account code
Account of the statement
Mandatory: Yes
Format: Code of D0-11
Allowed values: A code of D0-11 Company bank accounts, column Bank account code
Example: BDO-CA-001</t>
      </text>
    </comment>
    <comment ref="C16" authorId="0" shapeId="0">
      <text>
        <t>Layout name
Name of the layout
Mandatory: Yes
Format: Text
Allowed values: Free entry
Example: BDO CSV statement</t>
      </text>
    </comment>
    <comment ref="D16" authorId="0" shapeId="0">
      <text>
        <t>Date column
Column of the transaction date
Mandatory: Yes
Format: Column header or number
Allowed values: Free entry
Example: Posting Date</t>
      </text>
    </comment>
    <comment ref="E16" authorId="0" shapeId="0">
      <text>
        <t>Description column
Column of the description
Mandatory: Yes
Format: Column header or number
Allowed values: Free entry
Example: Description</t>
      </text>
    </comment>
    <comment ref="F16" authorId="0" shapeId="0">
      <text>
        <t>Reference column
Column of the reference
Mandatory: No
Format: Column header or number
Allowed values: Free entry
Example: Reference No.</t>
      </text>
    </comment>
    <comment ref="G16" authorId="0" shapeId="0">
      <text>
        <t>Debit column
Column of the debits
Mandatory: Conditional: separate columns
Format: Column header or number
Allowed values: Free entry
Example: Debit</t>
      </text>
    </comment>
    <comment ref="H16" authorId="0" shapeId="0">
      <text>
        <t>Credit column
Column of the credits
Mandatory: Conditional: separate columns
Format: Column header or number
Allowed values: Free entry
Example: Credit</t>
      </text>
    </comment>
    <comment ref="I16" authorId="0" shapeId="0">
      <text>
        <t>Amount column
Column of a signed amount
Mandatory: Conditional: one signed column
Format: Column header or number
Allowed values: Free entry</t>
      </text>
    </comment>
    <comment ref="J16" authorId="0" shapeId="0">
      <text>
        <t>Balance column
Column of the running balance
Mandatory: No
Format: Column header or number
Allowed values: Free entry
Example: Balance</t>
      </text>
    </comment>
    <comment ref="K16" authorId="0" shapeId="0">
      <text>
        <t>Date format
Format of the dates in the file
Mandatory: Yes
Format: For example dd/MM/yyyy
Allowed values: Free entry
Example: MM/dd/yyyy</t>
      </text>
    </comment>
  </commentList>
</comments>
</file>

<file path=xl/comments/comment29.xml><?xml version="1.0" encoding="utf-8"?>
<comments xmlns="http://schemas.openxmlformats.org/spreadsheetml/2006/main">
  <authors>
    <author>iorta TechNXT</author>
  </authors>
  <commentList>
    <comment ref="B16" authorId="0" shapeId="0">
      <text>
        <t>Legacy package code / Legacy version
Package of the legacy policy headers
Mandatory: Yes
Format: As stored in QPS
Allowed values: Free entry
Example: PKG-MOTOR-FLEET; 3</t>
      </text>
    </comment>
    <comment ref="C16" authorId="0" shapeId="0">
      <text>
        <t>Legacy package name
For reading only
Mandatory: No
Format: Text
Allowed values: Free entry
Example: Motor fleet package 2025</t>
      </text>
    </comment>
    <comment ref="D16" authorId="0" shapeId="0">
      <text>
        <t>Qualifier: risk code
When one legacy package maps to several BIBS packages by product
Mandatory: No
Format: Risk code of CI-01
Allowed values: A code of PM-01 Product catalogue, column Risk code
Example: MTR30</t>
      </text>
    </comment>
    <comment ref="E16" authorId="0" shapeId="0">
      <text>
        <t>Qualifier: insurer
When the split is by insurer
Mandatory: No
Format: Partner code of CI-05
Allowed values: A code of PM-05 Insurers, branches and commission rates, column Partner code</t>
      </text>
    </comment>
    <comment ref="F16" authorId="0" shapeId="0">
      <text>
        <t>Qualifier: sum insured from / to
When the split is by sum-insured band
Mandatory: No
Format: PHP amounts
Allowed values: Free entry</t>
      </text>
    </comment>
    <comment ref="G16" authorId="0" shapeId="0">
      <text>
        <t>BIBS risk code / BIBS version
Target of the entry
Mandatory: Conditional: action MAP
Format: A package version active in Product Maintenance
Allowed values: Codes of PM-06 Packages in force at go-live, column Risk code (one or more)
Example: MTR30; 1</t>
      </text>
    </comment>
    <comment ref="H16" authorId="0" shapeId="0">
      <text>
        <t>Action
REJECT sends the candidate to the Renewal Exception bucket
Mandatory: Yes
Format: MAP or REJECT
Allowed values: MAP, REJECT (list Package map action)
Example: MAP</t>
      </text>
    </comment>
    <comment ref="I16" authorId="0" shapeId="0">
      <text>
        <t>Remarks
Reason of a REJECT or a split
Mandatory: No
Format: Text
Allowed values: Free entry</t>
      </text>
    </comment>
  </commentList>
</comments>
</file>

<file path=xl/comments/comment30.xml><?xml version="1.0" encoding="utf-8"?>
<comments xmlns="http://schemas.openxmlformats.org/spreadsheetml/2006/main">
  <authors>
    <author>iorta TechNXT</author>
  </authors>
  <commentList>
    <comment ref="B16" authorId="0" shapeId="0">
      <text>
        <t>Template
Template code
Mandatory: Yes
Format: PKG_REQUEST_FORM, PKG_QUOTATION_SLIP, PKG_COMPARATIVE, PKG_SLIP, PKG_ADVISORY, PKG_RENEWAL_ADVISORY
Allowed values: List Package document template: 6 values, see Reference lists
Example: PKG_ADVISORY</t>
      </text>
    </comment>
    <comment ref="C16" authorId="0" shapeId="0">
      <text>
        <t>Title
Title of the template version
Mandatory: Yes
Format: Text
Allowed values: Free entry
Example: Package advisory</t>
      </text>
    </comment>
    <comment ref="D16" authorId="0" shapeId="0">
      <text>
        <t>Text
Opening text of the document
Mandatory: Yes
Format: Text with merge fields in double braces
Allowed values: Free entry
Example: This is to advise that the package {{productCode}} - {{productName}} ...</t>
      </text>
    </comment>
    <comment ref="E16" authorId="0" shapeId="0">
      <text>
        <t>Merge fields used
Fields filled in by BIBS
Mandatory: No
Format: PKG_REQUEST_FORM: reference, requestType, title; PKG_QUOTATION_SLIP: reference, roundNo, replyBy; PKG_COMPARATIVE: reference, roundNo, variant; PKG_SLIP: reference, title; advisories: productCode, productName, versionNo, effectiveFrom, reference
Allowed values: Free entry
Example: productCode, productName, versionNo, effectiveFrom, reference</t>
      </text>
    </comment>
    <comment ref="F16" authorId="0" shapeId="0">
      <text>
        <t>Effective from
Date from which the version is used
Mandatory: Yes
Format: dd-MMM-yyyy
Allowed values: A date, for example 15-Jan-2028
Example: 01-Nov-2026</t>
      </text>
    </comment>
  </commentList>
</comments>
</file>

<file path=xl/comments/comment31.xml><?xml version="1.0" encoding="utf-8"?>
<comments xmlns="http://schemas.openxmlformats.org/spreadsheetml/2006/main">
  <authors>
    <author>iorta TechNXT</author>
  </authors>
  <commentList>
    <comment ref="B16" authorId="0" shapeId="0">
      <text>
        <t>Parameter
One row per parameter
Mandatory: Yes
Format: 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
Allowed values: List Sign-in: 17 values, see Reference lists
Example: PASSWORD_MAX_AGE_DAYS</t>
      </text>
    </comment>
    <comment ref="C16" authorId="0" shapeId="0">
      <text>
        <t>Value as delivered
The value proposed with the system
Mandatory: Yes
Format: As on System Parameters
Allowed values: Free entry
Example: 90</t>
      </text>
    </comment>
    <comment ref="D16" authorId="0" shapeId="0">
      <text>
        <t>Value wanted
The value BDOI wants
Mandatory: Yes
Format: Same type and range
Allowed values: Free entry
Example: 90</t>
      </text>
    </comment>
    <comment ref="E16" authorId="0" shapeId="0">
      <text>
        <t>Reason
Policy reference or reason
Mandatory: Conditional: value changed
Format: Text
Allowed values: Free entry
Example: BDO password policy</t>
      </text>
    </comment>
    <comment ref="F16" authorId="0" shapeId="0">
      <text>
        <t>Approved by
Information Security or BDOI IT approver of the value
Mandatory: Yes
Format: Name
Allowed values: Free entry
Example: Ramon Dizon</t>
      </text>
    </comment>
  </commentList>
</comments>
</file>

<file path=xl/comments/comment32.xml><?xml version="1.0" encoding="utf-8"?>
<comments xmlns="http://schemas.openxmlformats.org/spreadsheetml/2006/main">
  <authors>
    <author>iorta TechNXT</author>
  </authors>
  <commentList>
    <comment ref="A4" authorId="0" shapeId="0">
      <text>
        <t>List: Code of the list on Lists of Values</t>
      </text>
    </comment>
    <comment ref="B4" authorId="0" shapeId="0">
      <text>
        <t>Name: Name of the list</t>
      </text>
    </comment>
    <comment ref="C4" authorId="0" shapeId="0">
      <text>
        <t>Module: Module that uses the list</t>
      </text>
    </comment>
    <comment ref="D4" authorId="0" shapeId="0">
      <text>
        <t>Drop: Drop</t>
      </text>
    </comment>
    <comment ref="E4" authorId="0" shapeId="0">
      <text>
        <t>Owner (BDOI unit): Unit that owns the values</t>
      </text>
    </comment>
    <comment ref="F4" authorId="0" shapeId="0">
      <text>
        <t>Values proposed: Number of values proposed with the platform</t>
      </text>
    </comment>
    <comment ref="G4" authorId="0" shapeId="0">
      <text>
        <t>Route: Template or Migration object</t>
      </text>
    </comment>
    <comment ref="H4" authorId="0" shapeId="0">
      <text>
        <t>Prepared in: Template or code map where the values are given</t>
      </text>
    </comment>
    <comment ref="I4" authorId="0" shapeId="0">
      <text>
        <t>Due: Due date</t>
      </text>
    </comment>
    <comment ref="J4" authorId="0" shapeId="0">
      <text>
        <t>Values to keep, add or retire: The owner's decision on the values</t>
      </text>
    </comment>
    <comment ref="K4" authorId="0" shapeId="0">
      <text>
        <t>Status: Status of the row</t>
      </text>
    </comment>
    <comment ref="L4" authorId="0" shapeId="0">
      <text>
        <t>BDOI comments: Decision, value or comment of the owner</t>
      </text>
    </comment>
  </commentList>
</comments>
</file>

<file path=xl/comments/comment33.xml><?xml version="1.0" encoding="utf-8"?>
<comments xmlns="http://schemas.openxmlformats.org/spreadsheetml/2006/main">
  <authors>
    <author>iorta TechNXT</author>
  </authors>
  <commentList>
    <comment ref="A4" authorId="0" shapeId="0">
      <text>
        <t>Parameter: Parameter on System Parameters</t>
      </text>
    </comment>
    <comment ref="B4" authorId="0" shapeId="0">
      <text>
        <t>Group: Group of the parameter</t>
      </text>
    </comment>
    <comment ref="C4" authorId="0" shapeId="0">
      <text>
        <t>Module: Module</t>
      </text>
    </comment>
    <comment ref="D4" authorId="0" shapeId="0">
      <text>
        <t>Drop: Drop</t>
      </text>
    </comment>
    <comment ref="E4" authorId="0" shapeId="0">
      <text>
        <t>Owner (BDOI unit): Unit that decides the value</t>
      </text>
    </comment>
    <comment ref="F4" authorId="0" shapeId="0">
      <text>
        <t>What it controls: Meaning of the parameter</t>
      </text>
    </comment>
    <comment ref="G4" authorId="0" shapeId="0">
      <text>
        <t>Type: Kind of value</t>
      </text>
    </comment>
    <comment ref="H4" authorId="0" shapeId="0">
      <text>
        <t>Value proposed: Value proposed with the platform</t>
      </text>
    </comment>
    <comment ref="I4" authorId="0" shapeId="0">
      <text>
        <t>Allowed range: Minimum and maximum</t>
      </text>
    </comment>
    <comment ref="J4" authorId="0" shapeId="0">
      <text>
        <t>Route: Template: the value is given here or in the named template</t>
      </text>
    </comment>
    <comment ref="K4" authorId="0" shapeId="0">
      <text>
        <t>Prepared in: Where the value wanted is given</t>
      </text>
    </comment>
    <comment ref="L4" authorId="0" shapeId="0">
      <text>
        <t>Due: Due date</t>
      </text>
    </comment>
    <comment ref="M4" authorId="0" shapeId="0">
      <text>
        <t>Value wanted: Value BDOI wants</t>
      </text>
    </comment>
    <comment ref="N4" authorId="0" shapeId="0">
      <text>
        <t>Reason: Policy reference or reason of a change</t>
      </text>
    </comment>
    <comment ref="O4" authorId="0" shapeId="0">
      <text>
        <t>Approved by: BDOI approver of the value</t>
      </text>
    </comment>
    <comment ref="P4" authorId="0" shapeId="0">
      <text>
        <t>Status: Status of the row</t>
      </text>
    </comment>
    <comment ref="Q4" authorId="0" shapeId="0">
      <text>
        <t>BDOI comments: Decision, value or comment of the owner</t>
      </text>
    </comment>
  </commentList>
</comments>
</file>

<file path=xl/comments/comment34.xml><?xml version="1.0" encoding="utf-8"?>
<comments xmlns="http://schemas.openxmlformats.org/spreadsheetml/2006/main">
  <authors>
    <author>iorta TechNXT</author>
  </authors>
  <commentList>
    <comment ref="A4" authorId="0" shapeId="0">
      <text>
        <t>Parameter: Prefix parameter</t>
      </text>
    </comment>
    <comment ref="B4" authorId="0" shapeId="0">
      <text>
        <t>Module: Module of the document</t>
      </text>
    </comment>
    <comment ref="C4" authorId="0" shapeId="0">
      <text>
        <t>Numbered document: Document numbered with the prefix</t>
      </text>
    </comment>
    <comment ref="D4" authorId="0" shapeId="0">
      <text>
        <t>Prefix proposed: Prefix proposed with the platform</t>
      </text>
    </comment>
    <comment ref="E4" authorId="0" shapeId="0">
      <text>
        <t>Prepared in: Where the prefix wanted is given</t>
      </text>
    </comment>
    <comment ref="F4" authorId="0" shapeId="0">
      <text>
        <t>Owner (BDOI unit): Unit that decides the prefix</t>
      </text>
    </comment>
    <comment ref="G4" authorId="0" shapeId="0">
      <text>
        <t>Prefix wanted: Prefix BDOI wants; the year and a running number follow it</t>
      </text>
    </comment>
    <comment ref="H4" authorId="0" shapeId="0">
      <text>
        <t>Status: Status of the row</t>
      </text>
    </comment>
    <comment ref="I4" authorId="0" shapeId="0">
      <text>
        <t>BDOI comments: Decision, value or comment of the owner</t>
      </text>
    </comment>
  </commentList>
</comments>
</file>

<file path=xl/comments/comment35.xml><?xml version="1.0" encoding="utf-8"?>
<comments xmlns="http://schemas.openxmlformats.org/spreadsheetml/2006/main">
  <authors>
    <author>iorta TechNXT</author>
  </authors>
  <commentList>
    <comment ref="A4" authorId="0" shapeId="0">
      <text>
        <t>Event: Notification event</t>
      </text>
    </comment>
    <comment ref="B4" authorId="0" shapeId="0">
      <text>
        <t>Name: Name shown in Notification Settings</t>
      </text>
    </comment>
    <comment ref="C4" authorId="0" shapeId="0">
      <text>
        <t>Module: Module</t>
      </text>
    </comment>
    <comment ref="D4" authorId="0" shapeId="0">
      <text>
        <t>Drop: Drop</t>
      </text>
    </comment>
    <comment ref="E4" authorId="0" shapeId="0">
      <text>
        <t>Owner (BDOI unit): Unit that confirms the event</t>
      </text>
    </comment>
    <comment ref="F4" authorId="0" shapeId="0">
      <text>
        <t>Who is told and when: What the event tells the user</t>
      </text>
    </comment>
    <comment ref="G4" authorId="0" shapeId="0">
      <text>
        <t>In-app proposed: Y or N</t>
      </text>
    </comment>
    <comment ref="H4" authorId="0" shapeId="0">
      <text>
        <t>E-mail proposed: Y or N</t>
      </text>
    </comment>
    <comment ref="I4" authorId="0" shapeId="0">
      <text>
        <t>In-app wanted: Y or N</t>
      </text>
    </comment>
    <comment ref="J4" authorId="0" shapeId="0">
      <text>
        <t>E-mail wanted: Y or N</t>
      </text>
    </comment>
    <comment ref="K4" authorId="0" shapeId="0">
      <text>
        <t>Unit mailbox: Mailbox that also receives the e-mail (optional)</t>
      </text>
    </comment>
    <comment ref="L4" authorId="0" shapeId="0">
      <text>
        <t>Status: Status of the row</t>
      </text>
    </comment>
    <comment ref="M4" authorId="0" shapeId="0">
      <text>
        <t>BDOI comments: Decision, value or comment of the owner</t>
      </text>
    </comment>
  </commentList>
</comments>
</file>

<file path=xl/comments/comment36.xml><?xml version="1.0" encoding="utf-8"?>
<comments xmlns="http://schemas.openxmlformats.org/spreadsheetml/2006/main">
  <authors>
    <author>iorta TechNXT</author>
  </authors>
  <commentList>
    <comment ref="A4" authorId="0" shapeId="0">
      <text>
        <t>Template: Template code on Document Templates</t>
      </text>
    </comment>
    <comment ref="B4" authorId="0" shapeId="0">
      <text>
        <t>Title: Title of the template</t>
      </text>
    </comment>
    <comment ref="C4" authorId="0" shapeId="0">
      <text>
        <t>Module: Module that generates the document</t>
      </text>
    </comment>
    <comment ref="D4" authorId="0" shapeId="0">
      <text>
        <t>Drop: Drop</t>
      </text>
    </comment>
    <comment ref="E4" authorId="0" shapeId="0">
      <text>
        <t>Owner (BDOI unit): Unit that gives the wording and layout</t>
      </text>
    </comment>
    <comment ref="F4" authorId="0" shapeId="0">
      <text>
        <t>Merge fields available: Fields BIBS fills in</t>
      </text>
    </comment>
    <comment ref="G4" authorId="0" shapeId="0">
      <text>
        <t>Prepared in: Where the text is given</t>
      </text>
    </comment>
    <comment ref="H4" authorId="0" shapeId="0">
      <text>
        <t>Due: Due date</t>
      </text>
    </comment>
    <comment ref="I4" authorId="0" shapeId="0">
      <text>
        <t>BDOI layout attached: Y when the layout is sent</t>
      </text>
    </comment>
    <comment ref="J4" authorId="0" shapeId="0">
      <text>
        <t>Status: Status of the row</t>
      </text>
    </comment>
    <comment ref="K4" authorId="0" shapeId="0">
      <text>
        <t>BDOI comments: Decision, value or comment of the owner</t>
      </text>
    </comment>
  </commentList>
</comments>
</file>

<file path=xl/comments/comment37.xml><?xml version="1.0" encoding="utf-8"?>
<comments xmlns="http://schemas.openxmlformats.org/spreadsheetml/2006/main">
  <authors>
    <author>iorta TechNXT</author>
  </authors>
  <commentList>
    <comment ref="A4" authorId="0" shapeId="0">
      <text>
        <t>Event type: Accounting event of the platform</t>
      </text>
    </comment>
    <comment ref="B4" authorId="0" shapeId="0">
      <text>
        <t>Name: Name of the event</t>
      </text>
    </comment>
    <comment ref="C4" authorId="0" shapeId="0">
      <text>
        <t>Category: Category</t>
      </text>
    </comment>
    <comment ref="D4" authorId="0" shapeId="0">
      <text>
        <t>Journal type: Journal type of the entries</t>
      </text>
    </comment>
    <comment ref="E4" authorId="0" shapeId="0">
      <text>
        <t>Amount components: Amounts the rule lines can post</t>
      </text>
    </comment>
    <comment ref="F4" authorId="0" shapeId="0">
      <text>
        <t>Prepared in: Template of the rules</t>
      </text>
    </comment>
    <comment ref="G4" authorId="0" shapeId="0">
      <text>
        <t>Status: Status of the row</t>
      </text>
    </comment>
    <comment ref="H4" authorId="0" shapeId="0">
      <text>
        <t>BDOI comments: Decision, value or comment of the owner</t>
      </text>
    </comment>
  </commentList>
</comments>
</file>

<file path=xl/comments/comment38.xml><?xml version="1.0" encoding="utf-8"?>
<comments xmlns="http://schemas.openxmlformats.org/spreadsheetml/2006/main">
  <authors>
    <author>iorta TechNXT</author>
  </authors>
  <commentList>
    <comment ref="A4" authorId="0" shapeId="0">
      <text>
        <t>Object: Data migration object of the Migration Workbook</t>
      </text>
    </comment>
    <comment ref="B4" authorId="0" shapeId="0">
      <text>
        <t>Name: Object name</t>
      </text>
    </comment>
    <comment ref="C4" authorId="0" shapeId="0">
      <text>
        <t>Category: Object category</t>
      </text>
    </comment>
    <comment ref="D4" authorId="0" shapeId="0">
      <text>
        <t>Proposed decision: Decision proposed in the Data Migration set</t>
      </text>
    </comment>
    <comment ref="E4" authorId="0" shapeId="0">
      <text>
        <t>Business owner: Owner of the object</t>
      </text>
    </comment>
    <comment ref="F4" authorId="0" shapeId="0">
      <text>
        <t>Extracts due: Milestone of the extracts</t>
      </text>
    </comment>
    <comment ref="G4" authorId="0" shapeId="0">
      <text>
        <t>Configuration route: Register items loaded by the object, or why none is</t>
      </text>
    </comment>
    <comment ref="H4" authorId="0" shapeId="0">
      <text>
        <t>Duplication rule: The item is not also typed in this workbook</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15</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D0_02" displayName="T_D0_02" ref="B16:M517" headerRowCount="1">
  <autoFilter ref="B16:M517"/>
  <tableColumns count="12">
    <tableColumn id="2" name="Branch code *"/>
    <tableColumn id="3" name="Branch name *"/>
    <tableColumn id="4" name="Region"/>
    <tableColumn id="5" name="Address"/>
    <tableColumn id="6" name="Opening date *"/>
    <tableColumn id="7" name="Head office *"/>
    <tableColumn id="8" name="Foreign currency authorised *"/>
    <tableColumn id="9" name="Contact phone"/>
    <tableColumn id="10" name="Contact e-mail"/>
    <tableColumn id="11" name="Branch manager"/>
    <tableColumn id="12" name="Weekly rest days"/>
    <tableColumn id="13" name="Legacy branch codes"/>
  </tableColumns>
  <tableStyleInfo name="TableStyleLight9" showRowStripes="1"/>
</table>
</file>

<file path=xl/tables/table2.xml><?xml version="1.0" encoding="utf-8"?>
<table xmlns="http://schemas.openxmlformats.org/spreadsheetml/2006/main" id="2" name="T_D0_04" displayName="T_D0_04" ref="B16:E517" headerRowCount="1">
  <autoFilter ref="B16:E517"/>
  <tableColumns count="4">
    <tableColumn id="2" name="Dimension *"/>
    <tableColumn id="3" name="Code *"/>
    <tableColumn id="4" name="Name *"/>
    <tableColumn id="5" name="Active *"/>
  </tableColumns>
  <tableStyleInfo name="TableStyleLight9" showRowStripes="1"/>
</table>
</file>

<file path=xl/tables/table3.xml><?xml version="1.0" encoding="utf-8"?>
<table xmlns="http://schemas.openxmlformats.org/spreadsheetml/2006/main" id="3" name="T_D0_07" displayName="T_D0_07" ref="B16:I517" headerRowCount="1">
  <autoFilter ref="B16:I517"/>
  <tableColumns count="8">
    <tableColumn id="2" name="Row *"/>
    <tableColumn id="3" name="Category code"/>
    <tableColumn id="4" name="Category name"/>
    <tableColumn id="5" name="Account class"/>
    <tableColumn id="6" name="Bank category"/>
    <tableColumn id="7" name="Parent account"/>
    <tableColumn id="8" name="Separator"/>
    <tableColumn id="9" name="Width"/>
  </tableColumns>
  <tableStyleInfo name="TableStyleLight9" showRowStripes="1"/>
</table>
</file>

<file path=xl/tables/table4.xml><?xml version="1.0" encoding="utf-8"?>
<table xmlns="http://schemas.openxmlformats.org/spreadsheetml/2006/main" id="4" name="T_PM_09" displayName="T_PM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5.xml><?xml version="1.0" encoding="utf-8"?>
<table xmlns="http://schemas.openxmlformats.org/spreadsheetml/2006/main" id="5" name="T_UA_02" displayName="T_UA_02" ref="B16:I517" headerRowCount="1">
  <autoFilter ref="B16:I517"/>
  <tableColumns count="8">
    <tableColumn id="2" name="Group profile code *"/>
    <tableColumn id="3" name="Name *"/>
    <tableColumn id="4" name="Description"/>
    <tableColumn id="5" name="Privilege level *"/>
    <tableColumn id="6" name="Permission *"/>
    <tableColumn id="7" name="Action class"/>
    <tableColumn id="8" name="Keep / Add / Remove *"/>
    <tableColumn id="9" name="Approved by unit head *"/>
  </tableColumns>
  <tableStyleInfo name="TableStyleLight9" showRowStripes="1"/>
</table>
</file>

<file path=xl/tables/table6.xml><?xml version="1.0" encoding="utf-8"?>
<table xmlns="http://schemas.openxmlformats.org/spreadsheetml/2006/main" id="6" name="T_UA_06" displayName="T_UA_06" ref="B16:F517" headerRowCount="1">
  <autoFilter ref="B16:F517"/>
  <tableColumns count="5">
    <tableColumn id="2" name="List *"/>
    <tableColumn id="3" name="Code *"/>
    <tableColumn id="4" name="Label *"/>
    <tableColumn id="5" name="Sort order"/>
    <tableColumn id="6" name="Effective from *"/>
  </tableColumns>
  <tableStyleInfo name="TableStyleLight9" showRowStripes="1"/>
</table>
</file>

<file path=xl/tables/table7.xml><?xml version="1.0" encoding="utf-8"?>
<table xmlns="http://schemas.openxmlformats.org/spreadsheetml/2006/main" id="7" name="T_D0_05" displayName="T_D0_05" ref="B16:H517" headerRowCount="1">
  <autoFilter ref="B16:H517"/>
  <tableColumns count="7">
    <tableColumn id="2" name="Employee number *"/>
    <tableColumn id="3" name="Full name *"/>
    <tableColumn id="4" name="Branch code *"/>
    <tableColumn id="5" name="Cost centre *"/>
    <tableColumn id="6" name="Position"/>
    <tableColumn id="7" name="E-mail"/>
    <tableColumn id="8" name="Hired on"/>
  </tableColumns>
  <tableStyleInfo name="TableStyleLight9" showRowStripes="1"/>
</table>
</file>

<file path=xl/tables/table8.xml><?xml version="1.0" encoding="utf-8"?>
<table xmlns="http://schemas.openxmlformats.org/spreadsheetml/2006/main" id="8" name="T_D0_06" displayName="T_D0_06" ref="B16:Q517" headerRowCount="1">
  <autoFilter ref="B16:Q517"/>
  <tableColumns count="16">
    <tableColumn id="2" name="Parent Code"/>
    <tableColumn id="3" name="Account Code"/>
    <tableColumn id="4" name="Account Name *"/>
    <tableColumn id="5" name="Short Code"/>
    <tableColumn id="6" name="Class *"/>
    <tableColumn id="7" name="Level *"/>
    <tableColumn id="8" name="Category"/>
    <tableColumn id="9" name="Control Account"/>
    <tableColumn id="10" name="Sub-ledger Type"/>
    <tableColumn id="11" name="Currencies"/>
    <tableColumn id="12" name="Manual Posting"/>
    <tableColumn id="13" name="Cost Centre Required"/>
    <tableColumn id="14" name="Revaluation Required"/>
    <tableColumn id="15" name="Report Group"/>
    <tableColumn id="16" name="Opened On"/>
    <tableColumn id="17" name="Negative Balance"/>
  </tableColumns>
  <tableStyleInfo name="TableStyleLight9" showRowStripes="1"/>
</table>
</file>

<file path=xl/tables/table9.xml><?xml version="1.0" encoding="utf-8"?>
<table xmlns="http://schemas.openxmlformats.org/spreadsheetml/2006/main" id="9" name="T_PM_01" displayName="T_PM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10.xml><?xml version="1.0" encoding="utf-8"?>
<table xmlns="http://schemas.openxmlformats.org/spreadsheetml/2006/main" id="10" name="T_UA_01" displayName="T_UA_01" ref="B16:L517" headerRowCount="1">
  <autoFilter ref="B16:L517"/>
  <tableColumns count="11">
    <tableColumn id="2" name="Action *"/>
    <tableColumn id="3" name="User ID *"/>
    <tableColumn id="4" name="Full Name"/>
    <tableColumn id="5" name="E-mail"/>
    <tableColumn id="6" name="Windows ID"/>
    <tableColumn id="7" name="Home Branch Code"/>
    <tableColumn id="8" name="Business Unit"/>
    <tableColumn id="9" name="User Level"/>
    <tableColumn id="10" name="Group Profiles"/>
    <tableColumn id="11" name="Effective Date"/>
    <tableColumn id="12" name="Remarks *"/>
  </tableColumns>
  <tableStyleInfo name="TableStyleLight9" showRowStripes="1"/>
</table>
</file>

<file path=xl/tables/table11.xml><?xml version="1.0" encoding="utf-8"?>
<table xmlns="http://schemas.openxmlformats.org/spreadsheetml/2006/main" id="11" name="T_D0_03" displayName="T_D0_03" ref="B16:D517" headerRowCount="1">
  <autoFilter ref="B16:D517"/>
  <tableColumns count="3">
    <tableColumn id="2" name="Branch code"/>
    <tableColumn id="3" name="Date *"/>
    <tableColumn id="4" name="Description *"/>
  </tableColumns>
  <tableStyleInfo name="TableStyleLight9" showRowStripes="1"/>
</table>
</file>

<file path=xl/tables/table12.xml><?xml version="1.0" encoding="utf-8"?>
<table xmlns="http://schemas.openxmlformats.org/spreadsheetml/2006/main" id="12" name="T_UA_04" displayName="T_UA_04" ref="B16:H517" headerRowCount="1">
  <autoFilter ref="B16:H517"/>
  <tableColumns count="7">
    <tableColumn id="2" name="Rule ID *"/>
    <tableColumn id="3" name="Rule *"/>
    <tableColumn id="4" name="Status *"/>
    <tableColumn id="5" name="Profile or permission A"/>
    <tableColumn id="6" name="Profile or permission B"/>
    <tableColumn id="7" name="Control *"/>
    <tableColumn id="8" name="Review frequency"/>
  </tableColumns>
  <tableStyleInfo name="TableStyleLight9" showRowStripes="1"/>
</table>
</file>

<file path=xl/tables/table13.xml><?xml version="1.0" encoding="utf-8"?>
<table xmlns="http://schemas.openxmlformats.org/spreadsheetml/2006/main" id="13" name="T_D0_11" displayName="T_D0_11" ref="B16:J517" headerRowCount="1">
  <autoFilter ref="B16:J517"/>
  <tableColumns count="9">
    <tableColumn id="2" name="Bank account code *"/>
    <tableColumn id="3" name="Name *"/>
    <tableColumn id="4" name="Bank *"/>
    <tableColumn id="5" name="Account number *"/>
    <tableColumn id="6" name="Currency *"/>
    <tableColumn id="7" name="GL account *"/>
    <tableColumn id="8" name="PDC clearing account"/>
    <tableColumn id="9" name="Branch code"/>
    <tableColumn id="10" name="Payment notification format *"/>
  </tableColumns>
  <tableStyleInfo name="TableStyleLight9" showRowStripes="1"/>
</table>
</file>

<file path=xl/tables/table14.xml><?xml version="1.0" encoding="utf-8"?>
<table xmlns="http://schemas.openxmlformats.org/spreadsheetml/2006/main" id="14" name="T_PM_02" displayName="T_PM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15.xml><?xml version="1.0" encoding="utf-8"?>
<table xmlns="http://schemas.openxmlformats.org/spreadsheetml/2006/main" id="15" name="T_PM_03" displayName="T_PM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16.xml><?xml version="1.0" encoding="utf-8"?>
<table xmlns="http://schemas.openxmlformats.org/spreadsheetml/2006/main" id="16" name="T_PM_05" displayName="T_PM_05" ref="B16:J517" headerRowCount="1">
  <autoFilter ref="B16:J517"/>
  <tableColumns count="9">
    <tableColumn id="2" name="Partner code *"/>
    <tableColumn id="3" name="Name / Short name *"/>
    <tableColumn id="4" name="TIN / Address"/>
    <tableColumn id="5" name="IC accreditation no. / Accredited until"/>
    <tableColumn id="6" name="Placement e-mails"/>
    <tableColumn id="7" name="Credit days"/>
    <tableColumn id="8" name="Branch code / Branch name / City"/>
    <tableColumn id="9" name="LGT %"/>
    <tableColumn id="10" name="Commission product / Commission % / From / To"/>
  </tableColumns>
  <tableStyleInfo name="TableStyleLight9" showRowStripes="1"/>
</table>
</file>

<file path=xl/tables/table17.xml><?xml version="1.0" encoding="utf-8"?>
<table xmlns="http://schemas.openxmlformats.org/spreadsheetml/2006/main" id="17" name="T_D0_01" displayName="T_D0_01" ref="B16:J517" headerRowCount="1">
  <autoFilter ref="B16:J517"/>
  <tableColumns count="9">
    <tableColumn id="2" name="Company code *"/>
    <tableColumn id="3" name="Registered name *"/>
    <tableColumn id="4" name="TIN *"/>
    <tableColumn id="5" name="Registered address *"/>
    <tableColumn id="6" name="Base currency *"/>
    <tableColumn id="7" name="Fiscal year start month *"/>
    <tableColumn id="8" name="Back-value days *"/>
    <tableColumn id="9" name="Forward-value days *"/>
    <tableColumn id="10" name="Retained earnings account *"/>
  </tableColumns>
  <tableStyleInfo name="TableStyleLight9" showRowStripes="1"/>
</table>
</file>

<file path=xl/tables/table18.xml><?xml version="1.0" encoding="utf-8"?>
<table xmlns="http://schemas.openxmlformats.org/spreadsheetml/2006/main" id="18" name="T_D0_08" displayName="T_D0_08" ref="B16:K517" headerRowCount="1">
  <autoFilter ref="B16:K517"/>
  <tableColumns count="10">
    <tableColumn id="2" name="Event type *"/>
    <tableColumn id="3" name="Rule name *"/>
    <tableColumn id="4" name="Business line"/>
    <tableColumn id="5" name="Currency"/>
    <tableColumn id="6" name="Effective from *"/>
    <tableColumn id="7" name="Line *"/>
    <tableColumn id="8" name="Debit or credit *"/>
    <tableColumn id="9" name="Account code *"/>
    <tableColumn id="10" name="Amount component *"/>
    <tableColumn id="11" name="Narration"/>
  </tableColumns>
  <tableStyleInfo name="TableStyleLight9" showRowStripes="1"/>
</table>
</file>

<file path=xl/tables/table19.xml><?xml version="1.0" encoding="utf-8"?>
<table xmlns="http://schemas.openxmlformats.org/spreadsheetml/2006/main" id="19" name="T_D0_09" displayName="T_D0_09" ref="B16:F517" headerRowCount="1">
  <autoFilter ref="B16:F517"/>
  <tableColumns count="5">
    <tableColumn id="2" name="Legacy account *"/>
    <tableColumn id="3" name="Component"/>
    <tableColumn id="4" name="BIBS account code *"/>
    <tableColumn id="5" name="Legacy GL accounts"/>
    <tableColumn id="6" name="Remarks"/>
  </tableColumns>
  <tableStyleInfo name="TableStyleLight9" showRowStripes="1"/>
</table>
</file>

<file path=xl/tables/table20.xml><?xml version="1.0" encoding="utf-8"?>
<table xmlns="http://schemas.openxmlformats.org/spreadsheetml/2006/main" id="20" name="T_D0_10" displayName="T_D0_10" ref="B16:K517" headerRowCount="1">
  <autoFilter ref="B16:K517"/>
  <tableColumns count="10">
    <tableColumn id="2" name="Tax code *"/>
    <tableColumn id="3" name="Name *"/>
    <tableColumn id="4" name="Tax type *"/>
    <tableColumn id="5" name="ATC"/>
    <tableColumn id="6" name="Payee class"/>
    <tableColumn id="7" name="Rate % *"/>
    <tableColumn id="8" name="GL account *"/>
    <tableColumn id="9" name="Income nature"/>
    <tableColumn id="10" name="Effective from *"/>
    <tableColumn id="11" name="Effective to"/>
  </tableColumns>
  <tableStyleInfo name="TableStyleLight9" showRowStripes="1"/>
</table>
</file>

<file path=xl/tables/table21.xml><?xml version="1.0" encoding="utf-8"?>
<table xmlns="http://schemas.openxmlformats.org/spreadsheetml/2006/main" id="21" name="T_D0_15" displayName="T_D0_15" ref="B16:J517" headerRowCount="1">
  <autoFilter ref="B16:J517"/>
  <tableColumns count="9">
    <tableColumn id="2" name="Module *"/>
    <tableColumn id="3" name="Document or transaction *"/>
    <tableColumn id="4" name="Segment or case type"/>
    <tableColumn id="5" name="From amount"/>
    <tableColumn id="6" name="To amount"/>
    <tableColumn id="7" name="Approval level *"/>
    <tableColumn id="8" name="Approver role *"/>
    <tableColumn id="9" name="Named approver"/>
    <tableColumn id="10" name="Signatory title"/>
  </tableColumns>
  <tableStyleInfo name="TableStyleLight9" showRowStripes="1"/>
</table>
</file>

<file path=xl/tables/table22.xml><?xml version="1.0" encoding="utf-8"?>
<table xmlns="http://schemas.openxmlformats.org/spreadsheetml/2006/main" id="22" name="T_PM_04" displayName="T_PM_04" ref="B16:H517" headerRowCount="1">
  <autoFilter ref="B16:H517"/>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23.xml><?xml version="1.0" encoding="utf-8"?>
<table xmlns="http://schemas.openxmlformats.org/spreadsheetml/2006/main" id="23" name="T_PM_10" displayName="T_PM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24.xml><?xml version="1.0" encoding="utf-8"?>
<table xmlns="http://schemas.openxmlformats.org/spreadsheetml/2006/main" id="24" name="T_UA_03" displayName="T_UA_03" ref="B16:G517" headerRowCount="1">
  <autoFilter ref="B16:G517"/>
  <tableColumns count="6">
    <tableColumn id="2" name="Role in user access *"/>
    <tableColumn id="3" name="User ID *"/>
    <tableColumn id="4" name="Unit *"/>
    <tableColumn id="5" name="Approver order for group profiles"/>
    <tableColumn id="6" name="Any approver may decide"/>
    <tableColumn id="7" name="Authorisation limit"/>
  </tableColumns>
  <tableStyleInfo name="TableStyleLight9" showRowStripes="1"/>
</table>
</file>

<file path=xl/tables/table25.xml><?xml version="1.0" encoding="utf-8"?>
<table xmlns="http://schemas.openxmlformats.org/spreadsheetml/2006/main" id="25" name="T_PM_06" displayName="T_PM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26.xml><?xml version="1.0" encoding="utf-8"?>
<table xmlns="http://schemas.openxmlformats.org/spreadsheetml/2006/main" id="26" name="T_D0_12" displayName="T_D0_12" ref="B16:F517" headerRowCount="1">
  <autoFilter ref="B16:F517"/>
  <tableColumns count="5">
    <tableColumn id="2" name="Bank account code *"/>
    <tableColumn id="3" name="First check number *"/>
    <tableColumn id="4" name="Last check number *"/>
    <tableColumn id="5" name="Next check number *"/>
    <tableColumn id="6" name="Received on *"/>
  </tableColumns>
  <tableStyleInfo name="TableStyleLight9" showRowStripes="1"/>
</table>
</file>

<file path=xl/tables/table27.xml><?xml version="1.0" encoding="utf-8"?>
<table xmlns="http://schemas.openxmlformats.org/spreadsheetml/2006/main" id="27" name="T_D0_13" displayName="T_D0_13" ref="B16:I517" headerRowCount="1">
  <autoFilter ref="B16:I517"/>
  <tableColumns count="8">
    <tableColumn id="2" name="Branch code *"/>
    <tableColumn id="3" name="Fund code *"/>
    <tableColumn id="4" name="Name *"/>
    <tableColumn id="5" name="Custodian *"/>
    <tableColumn id="6" name="GL account *"/>
    <tableColumn id="7" name="Replenishment bank account *"/>
    <tableColumn id="8" name="Currency *"/>
    <tableColumn id="9" name="Imprest amount *"/>
  </tableColumns>
  <tableStyleInfo name="TableStyleLight9" showRowStripes="1"/>
</table>
</file>

<file path=xl/tables/table28.xml><?xml version="1.0" encoding="utf-8"?>
<table xmlns="http://schemas.openxmlformats.org/spreadsheetml/2006/main" id="28" name="T_D0_14" displayName="T_D0_14" ref="B16:K517" headerRowCount="1">
  <autoFilter ref="B16:K517"/>
  <tableColumns count="10">
    <tableColumn id="2" name="Bank account code *"/>
    <tableColumn id="3" name="Layout name *"/>
    <tableColumn id="4" name="Date column *"/>
    <tableColumn id="5" name="Description column *"/>
    <tableColumn id="6" name="Reference column"/>
    <tableColumn id="7" name="Debit column"/>
    <tableColumn id="8" name="Credit column"/>
    <tableColumn id="9" name="Amount column"/>
    <tableColumn id="10" name="Balance column"/>
    <tableColumn id="11" name="Date format *"/>
  </tableColumns>
  <tableStyleInfo name="TableStyleLight9" showRowStripes="1"/>
</table>
</file>

<file path=xl/tables/table29.xml><?xml version="1.0" encoding="utf-8"?>
<table xmlns="http://schemas.openxmlformats.org/spreadsheetml/2006/main" id="29" name="T_PM_07" displayName="T_PM_07" ref="B16:I517" headerRowCount="1">
  <autoFilter ref="B16:I517"/>
  <tableColumns count="8">
    <tableColumn id="2" name="Legacy package code / Legacy version *"/>
    <tableColumn id="3" name="Legacy package name"/>
    <tableColumn id="4" name="Qualifier: risk code"/>
    <tableColumn id="5" name="Qualifier: insurer"/>
    <tableColumn id="6" name="Qualifier: sum insured from / to"/>
    <tableColumn id="7" name="BIBS risk code / BIBS version"/>
    <tableColumn id="8" name="Action *"/>
    <tableColumn id="9" name="Remarks"/>
  </tableColumns>
  <tableStyleInfo name="TableStyleLight9" showRowStripes="1"/>
</table>
</file>

<file path=xl/tables/table30.xml><?xml version="1.0" encoding="utf-8"?>
<table xmlns="http://schemas.openxmlformats.org/spreadsheetml/2006/main" id="30" name="T_PM_08" displayName="T_PM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ables/table31.xml><?xml version="1.0" encoding="utf-8"?>
<table xmlns="http://schemas.openxmlformats.org/spreadsheetml/2006/main" id="31" name="T_UA_05" displayName="T_UA_05" ref="B16:F517" headerRowCount="1">
  <autoFilter ref="B16:F517"/>
  <tableColumns count="5">
    <tableColumn id="2" name="Parameter *"/>
    <tableColumn id="3" name="Value as delivered *"/>
    <tableColumn id="4" name="Value wanted *"/>
    <tableColumn id="5" name="Reason"/>
    <tableColumn id="6" name="Approved by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table" Target="/xl/tables/table11.xm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table" Target="/xl/tables/table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table" Target="/xl/tables/table16.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table" Target="/xl/tables/table17.xm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table" Target="/xl/tables/table18.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table" Target="/xl/tables/table19.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table" Target="/xl/tables/table20.xm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table" Target="/xl/tables/table21.xml" Id="rId1"/><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table" Target="/xl/tables/table22.xm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table" Target="/xl/tables/table23.xm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table" Target="/xl/tables/table24.xm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table" Target="/xl/tables/table26.xm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table" Target="/xl/tables/table27.xml" Id="rId1"/><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table" Target="/xl/tables/table28.xm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table" Target="/xl/tables/table29.xm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table" Target="/xl/tables/table30.xml" Id="rId1"/><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table" Target="/xl/tables/table31.xml" Id="rId1"/><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4.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5.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6.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7.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8.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9.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sheet1.xml><?xml version="1.0" encoding="utf-8"?>
<worksheet xmlns="http://schemas.openxmlformats.org/spreadsheetml/2006/main">
  <sheetPr>
    <tabColor rgb="00FDB913"/>
    <outlinePr summaryBelow="1" summaryRight="1"/>
    <pageSetUpPr fitToPage="1"/>
  </sheetPr>
  <dimension ref="A1:P123"/>
  <sheetViews>
    <sheetView showGridLines="0" tabSelected="1" workbookViewId="0">
      <selection activeCell="A1" sqref="A1"/>
    </sheetView>
  </sheetViews>
  <sheetFormatPr baseColWidth="8" defaultRowHeight="15"/>
  <cols>
    <col width="6" customWidth="1" min="1" max="1"/>
    <col width="9" customWidth="1" min="2" max="2"/>
    <col width="24" customWidth="1" min="3" max="3"/>
    <col width="40" customWidth="1" min="4" max="4"/>
    <col width="22" customWidth="1" min="5" max="5"/>
    <col width="20" customWidth="1" min="6" max="6"/>
    <col width="11" customWidth="1" min="7" max="7"/>
    <col width="28" customWidth="1" min="8" max="8"/>
    <col width="28" customWidth="1" min="9" max="9"/>
    <col width="12" customWidth="1" min="10" max="10"/>
    <col width="9" customWidth="1" min="11" max="11"/>
    <col width="10" customWidth="1" min="12" max="12"/>
    <col width="14" customWidth="1" min="13" max="13"/>
    <col width="28" customWidth="1" min="14" max="14"/>
    <col width="11" customWidth="1" min="15" max="15"/>
    <col width="9" customWidth="1" min="16" max="16"/>
  </cols>
  <sheetData>
    <row r="1" ht="34" customHeight="1"/>
    <row r="2" ht="6" customHeight="1">
      <c r="A2" s="1" t="n"/>
      <c r="B2" s="1" t="n"/>
      <c r="C2" s="1" t="n"/>
      <c r="D2" s="1" t="n"/>
      <c r="E2" s="1" t="n"/>
      <c r="F2" s="1" t="n"/>
      <c r="G2" s="1" t="n"/>
      <c r="H2" s="1" t="n"/>
      <c r="I2" s="1" t="n"/>
      <c r="J2" s="1" t="n"/>
      <c r="K2" s="1" t="n"/>
      <c r="L2" s="1" t="n"/>
      <c r="M2" s="1" t="n"/>
      <c r="N2" s="1" t="n"/>
      <c r="O2" s="1" t="n"/>
      <c r="P2" s="1" t="n"/>
    </row>
    <row r="3" ht="28" customHeight="1">
      <c r="A3" s="2" t="inlineStr">
        <is>
          <t>Drop 0 Configuration Inputs</t>
        </is>
      </c>
    </row>
    <row r="4">
      <c r="A4" s="3" t="inlineStr">
        <is>
          <t>Every configuration input BDOI provides before go-live for Drop 0 and the platform set-up Drop 1 depends on</t>
        </is>
      </c>
    </row>
    <row r="5"/>
    <row r="6">
      <c r="A6" s="4" t="inlineStr">
        <is>
          <t>Client</t>
        </is>
      </c>
      <c r="B6" s="5" t="n"/>
      <c r="C6" s="6" t="inlineStr">
        <is>
          <t>BDO Insurance and Reinsurance Brokers, Inc.</t>
        </is>
      </c>
      <c r="D6" s="7" t="n"/>
      <c r="E6" s="7" t="n"/>
      <c r="F6" s="7" t="n"/>
      <c r="G6" s="7" t="n"/>
      <c r="H6" s="7" t="n"/>
    </row>
    <row r="7">
      <c r="A7" s="4" t="inlineStr">
        <is>
          <t>Scope</t>
        </is>
      </c>
      <c r="B7" s="5" t="n"/>
      <c r="C7" s="6" t="inlineStr">
        <is>
          <t>Drop 0 (BRD-03, BRD-11, BRD-13) and the platform set-up Drop 1 depends on</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Go-live</t>
        </is>
      </c>
      <c r="B9" s="5" t="n"/>
      <c r="C9" s="6" t="inlineStr">
        <is>
          <t>Go-live is proposed for Monday 3 January 2028 (T), at the year-end boundary (option A of the Data Migration set, for Comptrollership to confirm).</t>
        </is>
      </c>
      <c r="D9" s="7" t="n"/>
      <c r="E9" s="7" t="n"/>
      <c r="F9" s="7" t="n"/>
      <c r="G9" s="7" t="n"/>
      <c r="H9" s="7" t="n"/>
    </row>
    <row r="10">
      <c r="A10" s="4" t="inlineStr">
        <is>
          <t>Owner</t>
        </is>
      </c>
      <c r="B10" s="5" t="n"/>
      <c r="C10" s="6" t="inlineStr">
        <is>
          <t>Program Manager, Business Project Services, with the BDOI owner of each item</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3"/>
    <row r="14">
      <c r="A14" s="8" t="inlineStr">
        <is>
          <t>How to fill in this workbook</t>
        </is>
      </c>
    </row>
    <row r="15" ht="16" customHeight="1">
      <c r="A15" s="9" t="n">
        <v>1</v>
      </c>
      <c r="B15" s="10" t="inlineStr">
        <is>
          <t>The index below lists every configuration input of Drop 0 and of the platform set-up that Drop 1 depends on, one row per item, by due date; within a due date the templates come in the order they are filled in, a template whose codes others use first.</t>
        </is>
      </c>
    </row>
    <row r="16" ht="29" customHeight="1">
      <c r="A16" s="9" t="n">
        <v>2</v>
      </c>
      <c r="B16" s="10" t="inlineStr">
        <is>
          <t>Each item has one route. Template: fill in the template sheet (Open →); its rows are then entered or uploaded on the named screen and authorised by a second user. Screen: enter the item on the named BIBS screen and record the decision in BDOI comments. Migration object: the item comes from the legacy systems through the named object of the Migration Workbook (BRD-13); it is not typed here.</t>
        </is>
      </c>
    </row>
    <row r="17" ht="29" customHeight="1">
      <c r="A17" s="9" t="n">
        <v>3</v>
      </c>
      <c r="B17" s="10" t="inlineStr">
        <is>
          <t>On a template sheet, read the header block and the guide above each column (Mandatory, Format, Allowed values, What to enter; * marks a mandatory column), overwrite or delete the grey example row and enter one row per record. Drop-downs offer the allowed values (sheet Reference lists) and the codes of the templates filled in before; a mandatory cell left empty turns red.</t>
        </is>
      </c>
    </row>
    <row r="18" ht="16" customHeight="1">
      <c r="A18" s="9" t="n">
        <v>4</v>
      </c>
      <c r="B18" s="10" t="inlineStr">
        <is>
          <t>The sheets starting with Ref list every list of values, system parameter, numbering prefix, notification event, document template and accounting event of BIBS, and the migration cross-reference; set the value wanted, the decision or the comment on each row you own.</t>
        </is>
      </c>
    </row>
    <row r="19" ht="29" customHeight="1">
      <c r="A19" s="9" t="n">
        <v>5</v>
      </c>
      <c r="B19" s="10" t="inlineStr">
        <is>
          <t>Set the Status of each item, follow Rows entered and Mandatory cells missing, raise questions on the sheet Questions and comments, and return the workbook to the iorta TechNXT project team by each due date. The status is reviewed at the weekly programme meeting. Codes must be the codes of the other sheets: branch codes of D0-02, accounts of D0-06, cost centres of D0-04, bank accounts of D0-11, group profiles of UA-02 and users of UA-01.</t>
        </is>
      </c>
    </row>
    <row r="20"/>
    <row r="21">
      <c r="A21" s="8" t="inlineStr">
        <is>
          <t>Configuration inputs by due date, templates in the order they are filled in</t>
        </is>
      </c>
    </row>
    <row r="22" ht="30" customHeight="1">
      <c r="A22" s="11" t="inlineStr">
        <is>
          <t>Step</t>
        </is>
      </c>
      <c r="B22" s="11" t="inlineStr">
        <is>
          <t>ID</t>
        </is>
      </c>
      <c r="C22" s="11" t="inlineStr">
        <is>
          <t>Configuration item</t>
        </is>
      </c>
      <c r="D22" s="11" t="inlineStr">
        <is>
          <t>What BDOI provides</t>
        </is>
      </c>
      <c r="E22" s="11" t="inlineStr">
        <is>
          <t>Owner (BDOI unit)</t>
        </is>
      </c>
      <c r="F22" s="11" t="inlineStr">
        <is>
          <t>Due</t>
        </is>
      </c>
      <c r="G22" s="11" t="inlineStr">
        <is>
          <t>Route</t>
        </is>
      </c>
      <c r="H22" s="11" t="inlineStr">
        <is>
          <t>Entered or loaded on</t>
        </is>
      </c>
      <c r="I22" s="11" t="inlineStr">
        <is>
          <t>Prepared in</t>
        </is>
      </c>
      <c r="J22" s="11" t="inlineStr">
        <is>
          <t>Depends on</t>
        </is>
      </c>
      <c r="K22" s="11" t="inlineStr">
        <is>
          <t>Rows entered</t>
        </is>
      </c>
      <c r="L22" s="11" t="inlineStr">
        <is>
          <t>Mandatory cells missing</t>
        </is>
      </c>
      <c r="M22" s="11" t="inlineStr">
        <is>
          <t>Status</t>
        </is>
      </c>
      <c r="N22" s="11" t="inlineStr">
        <is>
          <t>BDOI comments</t>
        </is>
      </c>
      <c r="O22" s="11" t="inlineStr">
        <is>
          <t>Provided on</t>
        </is>
      </c>
      <c r="P22" s="11" t="inlineStr">
        <is>
          <t>Open</t>
        </is>
      </c>
    </row>
    <row r="23" ht="43" customHeight="1">
      <c r="A23" s="12" t="n">
        <v>1</v>
      </c>
      <c r="B23" s="13" t="inlineStr">
        <is>
          <t>CFG-023</t>
        </is>
      </c>
      <c r="C23" s="14" t="inlineStr">
        <is>
          <t>Legacy control accounts and Migration Clearing</t>
        </is>
      </c>
      <c r="D23" s="14" t="inlineStr">
        <is>
          <t>The account codes of the legacy control accounts and of Migration Clearing in the production chart (proposed rule PR-DM-02)</t>
        </is>
      </c>
      <c r="E23" s="14" t="inlineStr">
        <is>
          <t>Head, Comptrollership</t>
        </is>
      </c>
      <c r="F23" s="14" t="inlineStr">
        <is>
          <t>1-Dec-2026 – Drafts with the Drop 0 sign-off</t>
        </is>
      </c>
      <c r="G23" s="14" t="inlineStr">
        <is>
          <t>Template</t>
        </is>
      </c>
      <c r="H23" s="14" t="inlineStr">
        <is>
          <t>Finance › General Ledger › Chart of Accounts</t>
        </is>
      </c>
      <c r="I23" s="14" t="inlineStr">
        <is>
          <t>Drop 0 template D0-09, sheet D0-09 Legacy accounts</t>
        </is>
      </c>
      <c r="J23" s="14" t="inlineStr">
        <is>
          <t>D0-06</t>
        </is>
      </c>
      <c r="K23" s="15">
        <f>'D0-09 Legacy accounts'!$C$9</f>
        <v/>
      </c>
      <c r="L23" s="15">
        <f>'D0-09 Legacy accounts'!$E$9</f>
        <v/>
      </c>
      <c r="M23" s="14" t="inlineStr">
        <is>
          <t>Not started</t>
        </is>
      </c>
      <c r="N23" s="14" t="n"/>
      <c r="O23" s="16" t="n"/>
      <c r="P23" s="17" t="inlineStr">
        <is>
          <t>D0-09 →</t>
        </is>
      </c>
    </row>
    <row r="24" ht="43" customHeight="1">
      <c r="A24" s="18" t="n">
        <v>2</v>
      </c>
      <c r="B24" s="19" t="inlineStr">
        <is>
          <t>CFG-075</t>
        </is>
      </c>
      <c r="C24" s="20" t="inlineStr">
        <is>
          <t>Directory sign-in and provisioning (EIAM, UIDM-ISC)</t>
        </is>
      </c>
      <c r="D24" s="20" t="inlineStr">
        <is>
          <t>The sign-in mode, the EIAM tenant and claims, and the UIDM-ISC option (clarifications CLR-UA-01 and CLR-UA-03)</t>
        </is>
      </c>
      <c r="E24" s="20" t="inlineStr">
        <is>
          <t>BDOI IT</t>
        </is>
      </c>
      <c r="F24" s="20" t="inlineStr">
        <is>
          <t>1-Dec-2026 – Drafts with the Drop 0 sign-off</t>
        </is>
      </c>
      <c r="G24" s="20" t="inlineStr">
        <is>
          <t>Screen</t>
        </is>
      </c>
      <c r="H24" s="20" t="inlineStr">
        <is>
          <t>Setup &amp; Administration › Administration › System Parameters</t>
        </is>
      </c>
      <c r="I24" s="20" t="inlineStr">
        <is>
          <t>This index row (decision and values in BDOI comments)</t>
        </is>
      </c>
      <c r="J24" s="20" t="inlineStr">
        <is>
          <t>-</t>
        </is>
      </c>
      <c r="K24" s="20" t="inlineStr"/>
      <c r="L24" s="20" t="inlineStr"/>
      <c r="M24" s="20" t="inlineStr">
        <is>
          <t>Not started</t>
        </is>
      </c>
      <c r="N24" s="20" t="n"/>
      <c r="O24" s="21" t="n"/>
      <c r="P24" s="20" t="inlineStr"/>
    </row>
    <row r="25" ht="56" customHeight="1">
      <c r="A25" s="12" t="n">
        <v>3</v>
      </c>
      <c r="B25" s="13" t="inlineStr">
        <is>
          <t>CFG-002</t>
        </is>
      </c>
      <c r="C25" s="14" t="inlineStr">
        <is>
          <t>Branches and invoicing branches</t>
        </is>
      </c>
      <c r="D25" s="14" t="inlineStr">
        <is>
          <t>Every BDOI branch with its region, address, opening date, head-office flag, contact and weekly rest days; the legacy branch codes are mapped to them by the migration (R02, check only)</t>
        </is>
      </c>
      <c r="E25" s="14" t="inlineStr">
        <is>
          <t>Head, Comptrollership</t>
        </is>
      </c>
      <c r="F25" s="14" t="inlineStr">
        <is>
          <t>4-Jan-2027 – Platform set-up for Drop 1 SIT</t>
        </is>
      </c>
      <c r="G25" s="14" t="inlineStr">
        <is>
          <t>Template</t>
        </is>
      </c>
      <c r="H25" s="14" t="inlineStr">
        <is>
          <t>Setup &amp; Administration › Setup › Branches</t>
        </is>
      </c>
      <c r="I25" s="14" t="inlineStr">
        <is>
          <t>Drop 0 template D0-02, sheet D0-02 Branches</t>
        </is>
      </c>
      <c r="J25" s="14" t="inlineStr">
        <is>
          <t>-</t>
        </is>
      </c>
      <c r="K25" s="15">
        <f>'D0-02 Branches'!$C$9</f>
        <v/>
      </c>
      <c r="L25" s="15">
        <f>'D0-02 Branches'!$E$9</f>
        <v/>
      </c>
      <c r="M25" s="14" t="inlineStr">
        <is>
          <t>Not started</t>
        </is>
      </c>
      <c r="N25" s="14" t="n"/>
      <c r="O25" s="16" t="n"/>
      <c r="P25" s="17" t="inlineStr">
        <is>
          <t>D0-02 →</t>
        </is>
      </c>
    </row>
    <row r="26" ht="56" customHeight="1">
      <c r="A26" s="18" t="n">
        <v>4</v>
      </c>
      <c r="B26" s="19" t="inlineStr">
        <is>
          <t>CFG-004</t>
        </is>
      </c>
      <c r="C26" s="20" t="inlineStr">
        <is>
          <t>Cost centres and business lines</t>
        </is>
      </c>
      <c r="D26" s="20" t="inlineStr">
        <is>
          <t>The cost centres and business lines used on journal lines and in the cost-centre rules; the legacy cost centres are mapped by code map COST_CENTER</t>
        </is>
      </c>
      <c r="E26" s="20" t="inlineStr">
        <is>
          <t>Head, Comptrollership</t>
        </is>
      </c>
      <c r="F26" s="20" t="inlineStr">
        <is>
          <t>4-Jan-2027 – Platform set-up for Drop 1 SIT</t>
        </is>
      </c>
      <c r="G26" s="20" t="inlineStr">
        <is>
          <t>Template</t>
        </is>
      </c>
      <c r="H26" s="20" t="inlineStr">
        <is>
          <t>Setup &amp; Administration › Setup › Dimensions</t>
        </is>
      </c>
      <c r="I26" s="20" t="inlineStr">
        <is>
          <t>Drop 0 template D0-04, sheet D0-04 Dimensions</t>
        </is>
      </c>
      <c r="J26" s="20" t="inlineStr">
        <is>
          <t>-</t>
        </is>
      </c>
      <c r="K26" s="22">
        <f>'D0-04 Dimensions'!$C$9</f>
        <v/>
      </c>
      <c r="L26" s="22">
        <f>'D0-04 Dimensions'!$E$9</f>
        <v/>
      </c>
      <c r="M26" s="20" t="inlineStr">
        <is>
          <t>Not started</t>
        </is>
      </c>
      <c r="N26" s="20" t="n"/>
      <c r="O26" s="21" t="n"/>
      <c r="P26" s="23" t="inlineStr">
        <is>
          <t>D0-04 →</t>
        </is>
      </c>
    </row>
    <row r="27" ht="43" customHeight="1">
      <c r="A27" s="12" t="n">
        <v>5</v>
      </c>
      <c r="B27" s="13" t="inlineStr">
        <is>
          <t>CFG-021</t>
        </is>
      </c>
      <c r="C27" s="14" t="inlineStr">
        <is>
          <t>Account categories and numbering scheme</t>
        </is>
      </c>
      <c r="D27" s="14" t="inlineStr">
        <is>
          <t>The GL categories (with the bank categories) and the numbering scheme under each parent (separator and width)</t>
        </is>
      </c>
      <c r="E27" s="14" t="inlineStr">
        <is>
          <t>Head, Comptrollership</t>
        </is>
      </c>
      <c r="F27" s="14" t="inlineStr">
        <is>
          <t>4-Jan-2027 – Platform set-up for Drop 1 SIT</t>
        </is>
      </c>
      <c r="G27" s="14" t="inlineStr">
        <is>
          <t>Template</t>
        </is>
      </c>
      <c r="H27" s="14" t="inlineStr">
        <is>
          <t>Finance › General Ledger › Chart of Accounts</t>
        </is>
      </c>
      <c r="I27" s="14" t="inlineStr">
        <is>
          <t>Drop 0 template D0-07, sheet D0-07 Categories and numbering</t>
        </is>
      </c>
      <c r="J27" s="14" t="inlineStr">
        <is>
          <t>-</t>
        </is>
      </c>
      <c r="K27" s="15">
        <f>'D0-07 Categories and numbering'!$C$9</f>
        <v/>
      </c>
      <c r="L27" s="15">
        <f>'D0-07 Categories and numbering'!$E$9</f>
        <v/>
      </c>
      <c r="M27" s="14" t="inlineStr">
        <is>
          <t>Not started</t>
        </is>
      </c>
      <c r="N27" s="14" t="n"/>
      <c r="O27" s="16" t="n"/>
      <c r="P27" s="17" t="inlineStr">
        <is>
          <t>D0-07 →</t>
        </is>
      </c>
    </row>
    <row r="28" ht="30" customHeight="1">
      <c r="A28" s="18" t="n">
        <v>6</v>
      </c>
      <c r="B28" s="19" t="inlineStr">
        <is>
          <t>CFG-052</t>
        </is>
      </c>
      <c r="C28" s="20" t="inlineStr">
        <is>
          <t>Account numbering scheme</t>
        </is>
      </c>
      <c r="D28" s="20" t="inlineStr">
        <is>
          <t>Covered by CFG-021: the separator and width of the account codes under each parent</t>
        </is>
      </c>
      <c r="E28" s="20" t="inlineStr">
        <is>
          <t>Head, Comptrollership</t>
        </is>
      </c>
      <c r="F28" s="20" t="inlineStr">
        <is>
          <t>4-Jan-2027 – Platform set-up for Drop 1 SIT</t>
        </is>
      </c>
      <c r="G28" s="20" t="inlineStr">
        <is>
          <t>Template</t>
        </is>
      </c>
      <c r="H28" s="20" t="inlineStr"/>
      <c r="I28" s="20" t="inlineStr">
        <is>
          <t>Drop 0 template D0-07, sheet D0-07 Categories and numbering</t>
        </is>
      </c>
      <c r="J28" s="20" t="inlineStr">
        <is>
          <t>-</t>
        </is>
      </c>
      <c r="K28" s="22">
        <f>'D0-07 Categories and numbering'!$C$9</f>
        <v/>
      </c>
      <c r="L28" s="22">
        <f>'D0-07 Categories and numbering'!$E$9</f>
        <v/>
      </c>
      <c r="M28" s="20" t="inlineStr">
        <is>
          <t>Not started</t>
        </is>
      </c>
      <c r="N28" s="20" t="n"/>
      <c r="O28" s="21" t="n"/>
      <c r="P28" s="23" t="inlineStr">
        <is>
          <t>D0-07 →</t>
        </is>
      </c>
    </row>
    <row r="29" ht="56" customHeight="1">
      <c r="A29" s="12" t="n">
        <v>7</v>
      </c>
      <c r="B29" s="13" t="inlineStr">
        <is>
          <t>CFG-020</t>
        </is>
      </c>
      <c r="C29" s="14" t="inlineStr">
        <is>
          <t>Chart of accounts</t>
        </is>
      </c>
      <c r="D29" s="14" t="inlineStr">
        <is>
          <t>The production chart of accounts of BDOI in the chart upload template: every account with its parent, class, level, control and sub-ledger flags, currencies and report group</t>
        </is>
      </c>
      <c r="E29" s="14" t="inlineStr">
        <is>
          <t>Head, Comptrollership</t>
        </is>
      </c>
      <c r="F29" s="14" t="inlineStr">
        <is>
          <t>4-Jan-2027 – Platform set-up for Drop 1 SIT</t>
        </is>
      </c>
      <c r="G29" s="14" t="inlineStr">
        <is>
          <t>Template</t>
        </is>
      </c>
      <c r="H29" s="14" t="inlineStr">
        <is>
          <t>Finance › General Ledger › Chart Upload</t>
        </is>
      </c>
      <c r="I29" s="14" t="inlineStr">
        <is>
          <t>Drop 0 template D0-06, sheet D0-06 Chart of accounts</t>
        </is>
      </c>
      <c r="J29" s="14" t="inlineStr">
        <is>
          <t>D0-07</t>
        </is>
      </c>
      <c r="K29" s="15">
        <f>'D0-06 Chart of accounts'!$C$9</f>
        <v/>
      </c>
      <c r="L29" s="15">
        <f>'D0-06 Chart of accounts'!$E$9</f>
        <v/>
      </c>
      <c r="M29" s="14" t="inlineStr">
        <is>
          <t>Not started</t>
        </is>
      </c>
      <c r="N29" s="14" t="n"/>
      <c r="O29" s="16" t="n"/>
      <c r="P29" s="17" t="inlineStr">
        <is>
          <t>D0-06 →</t>
        </is>
      </c>
    </row>
    <row r="30" ht="43" customHeight="1">
      <c r="A30" s="18" t="n">
        <v>8</v>
      </c>
      <c r="B30" s="19" t="inlineStr">
        <is>
          <t>CFG-003</t>
        </is>
      </c>
      <c r="C30" s="20" t="inlineStr">
        <is>
          <t>Holiday calendar</t>
        </is>
      </c>
      <c r="D30" s="20" t="inlineStr">
        <is>
          <t>Public and company holidays of 2027 and 2028, company-wide or per branch; they drive the working days of service levels, value dates and jobs</t>
        </is>
      </c>
      <c r="E30" s="20" t="inlineStr">
        <is>
          <t>Head, Comptrollership; Human Resources</t>
        </is>
      </c>
      <c r="F30" s="20" t="inlineStr">
        <is>
          <t>4-Jan-2027 – Platform set-up for Drop 1 SIT</t>
        </is>
      </c>
      <c r="G30" s="20" t="inlineStr">
        <is>
          <t>Template</t>
        </is>
      </c>
      <c r="H30" s="20" t="inlineStr">
        <is>
          <t>Setup &amp; Administration › Setup › Holiday Calendar</t>
        </is>
      </c>
      <c r="I30" s="20" t="inlineStr">
        <is>
          <t>Drop 0 template D0-03, sheet D0-03 Holiday calendar</t>
        </is>
      </c>
      <c r="J30" s="20" t="inlineStr">
        <is>
          <t>D0-02</t>
        </is>
      </c>
      <c r="K30" s="22">
        <f>'D0-03 Holiday calendar'!$C$9</f>
        <v/>
      </c>
      <c r="L30" s="22">
        <f>'D0-03 Holiday calendar'!$E$9</f>
        <v/>
      </c>
      <c r="M30" s="20" t="inlineStr">
        <is>
          <t>Not started</t>
        </is>
      </c>
      <c r="N30" s="20" t="n"/>
      <c r="O30" s="21" t="n"/>
      <c r="P30" s="23" t="inlineStr">
        <is>
          <t>D0-03 →</t>
        </is>
      </c>
    </row>
    <row r="31" ht="43" customHeight="1">
      <c r="A31" s="12" t="n">
        <v>9</v>
      </c>
      <c r="B31" s="13" t="inlineStr">
        <is>
          <t>CFG-040</t>
        </is>
      </c>
      <c r="C31" s="14" t="inlineStr">
        <is>
          <t>Company bank accounts</t>
        </is>
      </c>
      <c r="D31" s="14" t="inlineStr">
        <is>
          <t>Every BDOI bank account used for collections and disbursements: bank, account number, currency, branch, GL account and PDC clearing account</t>
        </is>
      </c>
      <c r="E31" s="14" t="inlineStr">
        <is>
          <t>Head, Comptrollership; Treasury</t>
        </is>
      </c>
      <c r="F31" s="14" t="inlineStr">
        <is>
          <t>4-Jan-2027 – Platform set-up for Drop 1 SIT</t>
        </is>
      </c>
      <c r="G31" s="14" t="inlineStr">
        <is>
          <t>Template</t>
        </is>
      </c>
      <c r="H31" s="14" t="inlineStr">
        <is>
          <t>Finance › Disbursement › Bank Accounts and Checks</t>
        </is>
      </c>
      <c r="I31" s="14" t="inlineStr">
        <is>
          <t>Drop 0 template D0-11, sheet D0-11 Bank accounts</t>
        </is>
      </c>
      <c r="J31" s="14" t="inlineStr">
        <is>
          <t>D0-06, D0-02</t>
        </is>
      </c>
      <c r="K31" s="15">
        <f>'D0-11 Bank accounts'!$C$9</f>
        <v/>
      </c>
      <c r="L31" s="15">
        <f>'D0-11 Bank accounts'!$E$9</f>
        <v/>
      </c>
      <c r="M31" s="14" t="inlineStr">
        <is>
          <t>Not started</t>
        </is>
      </c>
      <c r="N31" s="14" t="n"/>
      <c r="O31" s="16" t="n"/>
      <c r="P31" s="17" t="inlineStr">
        <is>
          <t>D0-11 →</t>
        </is>
      </c>
    </row>
    <row r="32" ht="43" customHeight="1">
      <c r="A32" s="18" t="n">
        <v>10</v>
      </c>
      <c r="B32" s="19" t="inlineStr">
        <is>
          <t>CFG-001</t>
        </is>
      </c>
      <c r="C32" s="20" t="inlineStr">
        <is>
          <t>Company</t>
        </is>
      </c>
      <c r="D32" s="20" t="inlineStr">
        <is>
          <t>The BDOI company record: code, registered name, TIN, address, base currency, fiscal year start and the value-date window of postings</t>
        </is>
      </c>
      <c r="E32" s="20" t="inlineStr">
        <is>
          <t>Head, Comptrollership</t>
        </is>
      </c>
      <c r="F32" s="20" t="inlineStr">
        <is>
          <t>4-Jan-2027 – Platform set-up for Drop 1 SIT</t>
        </is>
      </c>
      <c r="G32" s="20" t="inlineStr">
        <is>
          <t>Template</t>
        </is>
      </c>
      <c r="H32" s="20" t="inlineStr">
        <is>
          <t>Setup &amp; Administration › Setup › Companies</t>
        </is>
      </c>
      <c r="I32" s="20" t="inlineStr">
        <is>
          <t>Drop 0 template D0-01, sheet D0-01 Company</t>
        </is>
      </c>
      <c r="J32" s="20" t="inlineStr">
        <is>
          <t>D0-06</t>
        </is>
      </c>
      <c r="K32" s="22">
        <f>'D0-01 Company'!$C$9</f>
        <v/>
      </c>
      <c r="L32" s="22">
        <f>'D0-01 Company'!$E$9</f>
        <v/>
      </c>
      <c r="M32" s="20" t="inlineStr">
        <is>
          <t>Not started</t>
        </is>
      </c>
      <c r="N32" s="20" t="n"/>
      <c r="O32" s="21" t="n"/>
      <c r="P32" s="23" t="inlineStr">
        <is>
          <t>D0-01 →</t>
        </is>
      </c>
    </row>
    <row r="33" ht="43" customHeight="1">
      <c r="A33" s="12" t="n">
        <v>11</v>
      </c>
      <c r="B33" s="13" t="inlineStr">
        <is>
          <t>CFG-022</t>
        </is>
      </c>
      <c r="C33" s="14" t="inlineStr">
        <is>
          <t>Accounting rules per event</t>
        </is>
      </c>
      <c r="D33" s="14" t="inlineStr">
        <is>
          <t>For each accounting event of the platform, the debit and credit accounts per amount component, business line and currency</t>
        </is>
      </c>
      <c r="E33" s="14" t="inlineStr">
        <is>
          <t>Head, Comptrollership</t>
        </is>
      </c>
      <c r="F33" s="14" t="inlineStr">
        <is>
          <t>4-Jan-2027 – Platform set-up for Drop 1 SIT</t>
        </is>
      </c>
      <c r="G33" s="14" t="inlineStr">
        <is>
          <t>Template</t>
        </is>
      </c>
      <c r="H33" s="14" t="inlineStr">
        <is>
          <t>Finance › Accounting Engine › Accounting Rules</t>
        </is>
      </c>
      <c r="I33" s="14" t="inlineStr">
        <is>
          <t>Drop 0 template D0-08, sheet D0-08 Accounting rules</t>
        </is>
      </c>
      <c r="J33" s="14" t="inlineStr">
        <is>
          <t>D0-04, D0-06</t>
        </is>
      </c>
      <c r="K33" s="15">
        <f>'D0-08 Accounting rules'!$C$9</f>
        <v/>
      </c>
      <c r="L33" s="15">
        <f>'D0-08 Accounting rules'!$E$9</f>
        <v/>
      </c>
      <c r="M33" s="14" t="inlineStr">
        <is>
          <t>Not started</t>
        </is>
      </c>
      <c r="N33" s="14" t="n"/>
      <c r="O33" s="16" t="n"/>
      <c r="P33" s="17" t="inlineStr">
        <is>
          <t>D0-08 →</t>
        </is>
      </c>
    </row>
    <row r="34" ht="56" customHeight="1">
      <c r="A34" s="18" t="n">
        <v>12</v>
      </c>
      <c r="B34" s="19" t="inlineStr">
        <is>
          <t>CFG-111</t>
        </is>
      </c>
      <c r="C34" s="20" t="inlineStr">
        <is>
          <t>Role-to-permission matrix</t>
        </is>
      </c>
      <c r="D34" s="20" t="inlineStr">
        <is>
          <t>BRD-11 template CI-02</t>
        </is>
      </c>
      <c r="E34" s="20" t="inlineStr">
        <is>
          <t>Business Administration with the unit heads; reviewed and signed by BDOI Information Security</t>
        </is>
      </c>
      <c r="F34" s="20" t="inlineStr">
        <is>
          <t>9-Apr-2027 – Reference data for Trial migration 1 (M4)</t>
        </is>
      </c>
      <c r="G34" s="20" t="inlineStr">
        <is>
          <t>Template</t>
        </is>
      </c>
      <c r="H34" s="20" t="inlineStr">
        <is>
          <t>Setup &amp; Administration › User Access › Group Profile Requests</t>
        </is>
      </c>
      <c r="I34" s="20" t="inlineStr">
        <is>
          <t>BRD-11 template CI-02, sheet UA-02 Role matrix</t>
        </is>
      </c>
      <c r="J34" s="20" t="inlineStr">
        <is>
          <t>-</t>
        </is>
      </c>
      <c r="K34" s="22">
        <f>'UA-02 Role matrix'!$C$9</f>
        <v/>
      </c>
      <c r="L34" s="22">
        <f>'UA-02 Role matrix'!$E$9</f>
        <v/>
      </c>
      <c r="M34" s="20" t="inlineStr">
        <is>
          <t>Not started</t>
        </is>
      </c>
      <c r="N34" s="20" t="n"/>
      <c r="O34" s="21" t="n"/>
      <c r="P34" s="23" t="inlineStr">
        <is>
          <t>UA-02 →</t>
        </is>
      </c>
    </row>
    <row r="35" ht="43" customHeight="1">
      <c r="A35" s="12" t="n">
        <v>13</v>
      </c>
      <c r="B35" s="13" t="inlineStr">
        <is>
          <t>CFG-045</t>
        </is>
      </c>
      <c r="C35" s="14" t="inlineStr">
        <is>
          <t>Bank list (mortgagee banks)</t>
        </is>
      </c>
      <c r="D35" s="14" t="inlineStr">
        <is>
          <t>The banks named as mortgagee or payout bank; the legacy bank codes are mapped to this list by code map BANK</t>
        </is>
      </c>
      <c r="E35" s="14" t="inlineStr">
        <is>
          <t>Product Owner, BDOI (New Business)</t>
        </is>
      </c>
      <c r="F35" s="14" t="inlineStr">
        <is>
          <t>9-Apr-2027 – Reference data for Trial migration 1 (M4)</t>
        </is>
      </c>
      <c r="G35" s="14" t="inlineStr">
        <is>
          <t>Template</t>
        </is>
      </c>
      <c r="H35" s="14" t="inlineStr">
        <is>
          <t>Setup &amp; Administration › Broking Setup › Lists of Values</t>
        </is>
      </c>
      <c r="I35" s="14" t="inlineStr">
        <is>
          <t>This workbook, sheet Ref Lists of values</t>
        </is>
      </c>
      <c r="J35" s="14" t="inlineStr">
        <is>
          <t>-</t>
        </is>
      </c>
      <c r="K35" s="14" t="inlineStr"/>
      <c r="L35" s="14" t="inlineStr"/>
      <c r="M35" s="14" t="inlineStr">
        <is>
          <t>Not started</t>
        </is>
      </c>
      <c r="N35" s="14" t="n"/>
      <c r="O35" s="16" t="n"/>
      <c r="P35" s="17" t="inlineStr">
        <is>
          <t>Open →</t>
        </is>
      </c>
    </row>
    <row r="36" ht="82" customHeight="1">
      <c r="A36" s="18" t="n">
        <v>14</v>
      </c>
      <c r="B36" s="19" t="inlineStr">
        <is>
          <t>CFG-060</t>
        </is>
      </c>
      <c r="C36" s="20" t="inlineStr">
        <is>
          <t>Lists of values (every list of the platform)</t>
        </is>
      </c>
      <c r="D36" s="20" t="inlineStr">
        <is>
          <t>For every list: its owner, and the values BDOI keeps, adds or retires. The lists whose values come from the legacy systems are loaded by R01; the others are entered on Lists of Values under maker-checker (see the sheet Ref Lists of values for the route of each list)</t>
        </is>
      </c>
      <c r="E36" s="20" t="inlineStr">
        <is>
          <t>BDOI IT</t>
        </is>
      </c>
      <c r="F36" s="20" t="inlineStr">
        <is>
          <t>9-Apr-2027 – Reference data for Trial migration 1 (M4)</t>
        </is>
      </c>
      <c r="G36" s="20" t="inlineStr">
        <is>
          <t>Template</t>
        </is>
      </c>
      <c r="H36" s="20" t="inlineStr">
        <is>
          <t>Setup &amp; Administration › Broking Setup › Lists of Values</t>
        </is>
      </c>
      <c r="I36" s="20" t="inlineStr">
        <is>
          <t>This workbook, sheet Ref Lists of values</t>
        </is>
      </c>
      <c r="J36" s="20" t="inlineStr">
        <is>
          <t>-</t>
        </is>
      </c>
      <c r="K36" s="20" t="inlineStr"/>
      <c r="L36" s="20" t="inlineStr"/>
      <c r="M36" s="20" t="inlineStr">
        <is>
          <t>Not started</t>
        </is>
      </c>
      <c r="N36" s="20" t="n"/>
      <c r="O36" s="21" t="n"/>
      <c r="P36" s="23" t="inlineStr">
        <is>
          <t>Open →</t>
        </is>
      </c>
    </row>
    <row r="37" ht="69" customHeight="1">
      <c r="A37" s="12" t="n">
        <v>15</v>
      </c>
      <c r="B37" s="13" t="inlineStr">
        <is>
          <t>CFG-090</t>
        </is>
      </c>
      <c r="C37" s="14" t="inlineStr">
        <is>
          <t>Product catalogue</t>
        </is>
      </c>
      <c r="D37" s="14" t="inlineStr">
        <is>
          <t>Product lines, cover types and products (risk codes) with their features, prepared in BRD-03 template CI-01</t>
        </is>
      </c>
      <c r="E37" s="14" t="inlineStr">
        <is>
          <t>Product Owner, Marketing Business System (MBS)</t>
        </is>
      </c>
      <c r="F37" s="14" t="inlineStr">
        <is>
          <t>9-Apr-2027 – Reference data for Trial migration 1 (M4)</t>
        </is>
      </c>
      <c r="G37" s="14" t="inlineStr">
        <is>
          <t>Migration object</t>
        </is>
      </c>
      <c r="H37" s="14" t="inlineStr">
        <is>
          <t>Data migration object R05 Product lines, cover types, products and risk codes; after go-live: Client &amp; Policy › Product Maintenance › Products</t>
        </is>
      </c>
      <c r="I37" s="14" t="inlineStr">
        <is>
          <t>BRD-03 template CI-01, sheet PM-01 Product catalogue; delivered in the layout of R05</t>
        </is>
      </c>
      <c r="J37" s="14" t="inlineStr">
        <is>
          <t>PM-09</t>
        </is>
      </c>
      <c r="K37" s="15">
        <f>'PM-01 Product catalogue'!$C$9</f>
        <v/>
      </c>
      <c r="L37" s="15">
        <f>'PM-01 Product catalogue'!$E$9</f>
        <v/>
      </c>
      <c r="M37" s="14" t="inlineStr">
        <is>
          <t>Not started</t>
        </is>
      </c>
      <c r="N37" s="14" t="n"/>
      <c r="O37" s="16" t="n"/>
      <c r="P37" s="17" t="inlineStr">
        <is>
          <t>PM-01 →</t>
        </is>
      </c>
    </row>
    <row r="38" ht="56" customHeight="1">
      <c r="A38" s="18" t="n">
        <v>16</v>
      </c>
      <c r="B38" s="19" t="inlineStr">
        <is>
          <t>CFG-100</t>
        </is>
      </c>
      <c r="C38" s="20" t="inlineStr">
        <is>
          <t>Insurers and insurer branches</t>
        </is>
      </c>
      <c r="D38" s="20" t="inlineStr">
        <is>
          <t>The insurer panel with accreditation, placement e-mails and credit days, and the insurer branches with their LGT rate (BRD-03 template CI-05)</t>
        </is>
      </c>
      <c r="E38" s="20" t="inlineStr">
        <is>
          <t>Head, Operations Services</t>
        </is>
      </c>
      <c r="F38" s="20" t="inlineStr">
        <is>
          <t>9-Apr-2027 – Reference data for Trial migration 1 (M4)</t>
        </is>
      </c>
      <c r="G38" s="20" t="inlineStr">
        <is>
          <t>Migration object</t>
        </is>
      </c>
      <c r="H38" s="20" t="inlineStr">
        <is>
          <t>Data migration object R04 Insurers and insurer branches; after go-live: Client &amp; Policy › Product Maintenance › Insurers</t>
        </is>
      </c>
      <c r="I38" s="20" t="inlineStr">
        <is>
          <t>BRD-03 template CI-05, sheet PM-05 Insurers; delivered in the layout of R04</t>
        </is>
      </c>
      <c r="J38" s="20" t="inlineStr">
        <is>
          <t>PM-01</t>
        </is>
      </c>
      <c r="K38" s="22">
        <f>'PM-05 Insurers'!$C$9</f>
        <v/>
      </c>
      <c r="L38" s="22">
        <f>'PM-05 Insurers'!$E$9</f>
        <v/>
      </c>
      <c r="M38" s="20" t="inlineStr">
        <is>
          <t>Not started</t>
        </is>
      </c>
      <c r="N38" s="20" t="n"/>
      <c r="O38" s="21" t="n"/>
      <c r="P38" s="23" t="inlineStr">
        <is>
          <t>PM-05 →</t>
        </is>
      </c>
    </row>
    <row r="39" ht="56" customHeight="1">
      <c r="A39" s="12" t="n">
        <v>17</v>
      </c>
      <c r="B39" s="13" t="inlineStr">
        <is>
          <t>CFG-101</t>
        </is>
      </c>
      <c r="C39" s="14" t="inlineStr">
        <is>
          <t>Commission rates by insurer and product</t>
        </is>
      </c>
      <c r="D39" s="14" t="inlineStr">
        <is>
          <t>The commission rates in force at cut-over and later (commission rows of BRD-03 template CI-05)</t>
        </is>
      </c>
      <c r="E39" s="14" t="inlineStr">
        <is>
          <t>Head, Operations Services</t>
        </is>
      </c>
      <c r="F39" s="14" t="inlineStr">
        <is>
          <t>9-Apr-2027 – Reference data for Trial migration 1 (M4)</t>
        </is>
      </c>
      <c r="G39" s="14" t="inlineStr">
        <is>
          <t>Migration object</t>
        </is>
      </c>
      <c r="H39" s="14" t="inlineStr">
        <is>
          <t>Data migration object R07 Commission rates by insurer and product; after go-live: Client &amp; Policy › Product Maintenance › Insurers</t>
        </is>
      </c>
      <c r="I39" s="14" t="inlineStr">
        <is>
          <t>BRD-03 template CI-05, sheet PM-05 Insurers; delivered in the layout of R07</t>
        </is>
      </c>
      <c r="J39" s="14" t="inlineStr">
        <is>
          <t>PM-01</t>
        </is>
      </c>
      <c r="K39" s="15">
        <f>'PM-05 Insurers'!$C$9</f>
        <v/>
      </c>
      <c r="L39" s="15">
        <f>'PM-05 Insurers'!$E$9</f>
        <v/>
      </c>
      <c r="M39" s="14" t="inlineStr">
        <is>
          <t>Not started</t>
        </is>
      </c>
      <c r="N39" s="14" t="n"/>
      <c r="O39" s="16" t="n"/>
      <c r="P39" s="17" t="inlineStr">
        <is>
          <t>PM-05 →</t>
        </is>
      </c>
    </row>
    <row r="40" ht="82" customHeight="1">
      <c r="A40" s="18" t="n">
        <v>18</v>
      </c>
      <c r="B40" s="19" t="inlineStr">
        <is>
          <t>CFG-007</t>
        </is>
      </c>
      <c r="C40" s="20" t="inlineStr">
        <is>
          <t>Sales organisation (regions, departments, teams, unit heads, account officers)</t>
        </is>
      </c>
      <c r="D40" s="20" t="inlineStr">
        <is>
          <t>The sales units and account officers in force, and the inactive officers of open items; after go-live maintained on Sales Organisation</t>
        </is>
      </c>
      <c r="E40" s="20" t="inlineStr">
        <is>
          <t>Product Owner, BDOI (New Business)</t>
        </is>
      </c>
      <c r="F40" s="20" t="inlineStr">
        <is>
          <t>9-Apr-2027 – Reference data for Trial migration 1 (M4)</t>
        </is>
      </c>
      <c r="G40" s="20" t="inlineStr">
        <is>
          <t>Migration object</t>
        </is>
      </c>
      <c r="H40" s="20" t="inlineStr">
        <is>
          <t>Data migration object R03 Sales organisation (regions, departments, teams, unit heads, account officers); after go-live: Client &amp; Policy › Product Maintenance › Sales Organisation</t>
        </is>
      </c>
      <c r="I40" s="20" t="inlineStr">
        <is>
          <t>Migration Workbook, layout R03</t>
        </is>
      </c>
      <c r="J40" s="20" t="inlineStr">
        <is>
          <t>-</t>
        </is>
      </c>
      <c r="K40" s="20" t="inlineStr"/>
      <c r="L40" s="20" t="inlineStr"/>
      <c r="M40" s="20" t="inlineStr">
        <is>
          <t>Not started</t>
        </is>
      </c>
      <c r="N40" s="20" t="n"/>
      <c r="O40" s="21" t="n"/>
      <c r="P40" s="23" t="inlineStr">
        <is>
          <t>R03 →</t>
        </is>
      </c>
    </row>
    <row r="41" ht="56" customHeight="1">
      <c r="A41" s="12" t="n">
        <v>19</v>
      </c>
      <c r="B41" s="13" t="inlineStr">
        <is>
          <t>CFG-103</t>
        </is>
      </c>
      <c r="C41" s="14" t="inlineStr">
        <is>
          <t>Payees</t>
        </is>
      </c>
      <c r="D41" s="14" t="inlineStr">
        <is>
          <t>Active payees of EBIX, loaded by the payee registration of Disbursement if BDOI brings R09 into scope (conditional object, DMQ30); otherwise registered on Payees</t>
        </is>
      </c>
      <c r="E41" s="14" t="inlineStr">
        <is>
          <t>Head, Comptrollership</t>
        </is>
      </c>
      <c r="F41" s="14" t="inlineStr">
        <is>
          <t>9-Apr-2027 – Reference data for Trial migration 1 (M4)</t>
        </is>
      </c>
      <c r="G41" s="14" t="inlineStr">
        <is>
          <t>Migration object</t>
        </is>
      </c>
      <c r="H41" s="14" t="inlineStr">
        <is>
          <t>Data migration object R09 Payees; after go-live: Finance › Disbursement › Payees</t>
        </is>
      </c>
      <c r="I41" s="14" t="inlineStr">
        <is>
          <t>Migration Workbook, layout R09</t>
        </is>
      </c>
      <c r="J41" s="14" t="inlineStr">
        <is>
          <t>-</t>
        </is>
      </c>
      <c r="K41" s="14" t="inlineStr"/>
      <c r="L41" s="14" t="inlineStr"/>
      <c r="M41" s="14" t="inlineStr">
        <is>
          <t>Not started</t>
        </is>
      </c>
      <c r="N41" s="14" t="n"/>
      <c r="O41" s="16" t="n"/>
      <c r="P41" s="17" t="inlineStr">
        <is>
          <t>R09 →</t>
        </is>
      </c>
    </row>
    <row r="42" ht="69" customHeight="1">
      <c r="A42" s="18" t="n">
        <v>20</v>
      </c>
      <c r="B42" s="19" t="inlineStr">
        <is>
          <t>CFG-095</t>
        </is>
      </c>
      <c r="C42" s="20" t="inlineStr">
        <is>
          <t>Package map (legacy package to BIBS package version)</t>
        </is>
      </c>
      <c r="D42" s="20" t="inlineStr">
        <is>
          <t>BRD-03 template CI-07, loaded as reference data for the package check of the Renewal sanitation</t>
        </is>
      </c>
      <c r="E42" s="20" t="inlineStr">
        <is>
          <t>Product Owner, Marketing Business System (MBS)</t>
        </is>
      </c>
      <c r="F42" s="20" t="inlineStr">
        <is>
          <t>18-Jun-2027 – Code maps approved (M5)</t>
        </is>
      </c>
      <c r="G42" s="20" t="inlineStr">
        <is>
          <t>Migration object</t>
        </is>
      </c>
      <c r="H42" s="20" t="inlineStr">
        <is>
          <t>Data migration object R06 Package code map (legacy package and version to BIBS package version); after go-live: Data Migration › Data Migration › Code Maps</t>
        </is>
      </c>
      <c r="I42" s="20" t="inlineStr">
        <is>
          <t>BRD-03 template CI-07, sheet PM-07 Package map; delivered in the layout of R06</t>
        </is>
      </c>
      <c r="J42" s="20" t="inlineStr">
        <is>
          <t>PM-01, PM-05, PM-06</t>
        </is>
      </c>
      <c r="K42" s="22">
        <f>'PM-07 Package map'!$C$9</f>
        <v/>
      </c>
      <c r="L42" s="22">
        <f>'PM-07 Package map'!$E$9</f>
        <v/>
      </c>
      <c r="M42" s="20" t="inlineStr">
        <is>
          <t>Not started</t>
        </is>
      </c>
      <c r="N42" s="20" t="n"/>
      <c r="O42" s="21" t="n"/>
      <c r="P42" s="23" t="inlineStr">
        <is>
          <t>PM-07 →</t>
        </is>
      </c>
    </row>
    <row r="43" ht="69" customHeight="1">
      <c r="A43" s="12" t="n">
        <v>21</v>
      </c>
      <c r="B43" s="13" t="inlineStr">
        <is>
          <t>CFG-024</t>
        </is>
      </c>
      <c r="C43" s="14" t="inlineStr">
        <is>
          <t>Chart of accounts mapping (legacy GL account to BIBS account)</t>
        </is>
      </c>
      <c r="D43" s="14" t="inlineStr">
        <is>
          <t>The map of every legacy GL account of EBIX and ISYS to a BIBS account; control accounts to Migration Clearing</t>
        </is>
      </c>
      <c r="E43" s="14" t="inlineStr">
        <is>
          <t>Program Manager, Business Project Services (Data Migration)</t>
        </is>
      </c>
      <c r="F43" s="14" t="inlineStr">
        <is>
          <t>18-Jun-2027 – Code maps approved (M5)</t>
        </is>
      </c>
      <c r="G43" s="14" t="inlineStr">
        <is>
          <t>Migration object</t>
        </is>
      </c>
      <c r="H43" s="14" t="inlineStr">
        <is>
          <t>Data migration object R08 Chart of accounts mapping (legacy GL account to BIBS account); after go-live: Data Migration › Data Migration › Code Maps</t>
        </is>
      </c>
      <c r="I43" s="14" t="inlineStr">
        <is>
          <t>Migration Workbook, layout R08</t>
        </is>
      </c>
      <c r="J43" s="14" t="inlineStr">
        <is>
          <t>-</t>
        </is>
      </c>
      <c r="K43" s="14" t="inlineStr"/>
      <c r="L43" s="14" t="inlineStr"/>
      <c r="M43" s="14" t="inlineStr">
        <is>
          <t>Not started</t>
        </is>
      </c>
      <c r="N43" s="14" t="n"/>
      <c r="O43" s="16" t="n"/>
      <c r="P43" s="17" t="inlineStr">
        <is>
          <t>R08 →</t>
        </is>
      </c>
    </row>
    <row r="44" ht="56" customHeight="1">
      <c r="A44" s="18" t="n">
        <v>22</v>
      </c>
      <c r="B44" s="19" t="inlineStr">
        <is>
          <t>CFG-061</t>
        </is>
      </c>
      <c r="C44" s="20" t="inlineStr">
        <is>
          <t>Values of the lists used by migrated records</t>
        </is>
      </c>
      <c r="D44" s="20" t="inlineStr">
        <is>
          <t>The legacy values of the lists mapped by the code maps LOV and MIS, and the BIBS value of each</t>
        </is>
      </c>
      <c r="E44" s="20" t="inlineStr">
        <is>
          <t>Program Manager, Business Project Services (Data Migration)</t>
        </is>
      </c>
      <c r="F44" s="20" t="inlineStr">
        <is>
          <t>18-Jun-2027 – Code maps approved (M5)</t>
        </is>
      </c>
      <c r="G44" s="20" t="inlineStr">
        <is>
          <t>Migration object</t>
        </is>
      </c>
      <c r="H44" s="20" t="inlineStr">
        <is>
          <t>Data migration object R01 Lists of values and MIS values; after go-live: Data Migration › Data Migration › Code Maps</t>
        </is>
      </c>
      <c r="I44" s="20" t="inlineStr">
        <is>
          <t>Migration Workbook, layout R01</t>
        </is>
      </c>
      <c r="J44" s="20" t="inlineStr">
        <is>
          <t>-</t>
        </is>
      </c>
      <c r="K44" s="20" t="inlineStr"/>
      <c r="L44" s="20" t="inlineStr"/>
      <c r="M44" s="20" t="inlineStr">
        <is>
          <t>Not started</t>
        </is>
      </c>
      <c r="N44" s="20" t="n"/>
      <c r="O44" s="21" t="n"/>
      <c r="P44" s="23" t="inlineStr">
        <is>
          <t>R01 →</t>
        </is>
      </c>
    </row>
    <row r="45" ht="56" customHeight="1">
      <c r="A45" s="12" t="n">
        <v>23</v>
      </c>
      <c r="B45" s="13" t="inlineStr">
        <is>
          <t>CFG-140</t>
        </is>
      </c>
      <c r="C45" s="14" t="inlineStr">
        <is>
          <t>Code maps of the reference data</t>
        </is>
      </c>
      <c r="D45" s="14" t="inlineStr">
        <is>
          <t>The approved versions of the code maps (branches, sales units, officers, users, cost centres, banks, currencies, dispositions, statuses) that turn legacy codes into BIBS codes</t>
        </is>
      </c>
      <c r="E45" s="14" t="inlineStr">
        <is>
          <t>Program Manager, Business Project Services (Data Migration)</t>
        </is>
      </c>
      <c r="F45" s="14" t="inlineStr">
        <is>
          <t>18-Jun-2027 – Code maps approved (M5)</t>
        </is>
      </c>
      <c r="G45" s="14" t="inlineStr">
        <is>
          <t>Migration object</t>
        </is>
      </c>
      <c r="H45" s="14" t="inlineStr">
        <is>
          <t>Data migration object R01 Lists of values and MIS values; after go-live: Data Migration › Data Migration › Code Maps</t>
        </is>
      </c>
      <c r="I45" s="14" t="inlineStr">
        <is>
          <t>Migration Workbook, layout R01</t>
        </is>
      </c>
      <c r="J45" s="14" t="inlineStr">
        <is>
          <t>-</t>
        </is>
      </c>
      <c r="K45" s="14" t="inlineStr"/>
      <c r="L45" s="14" t="inlineStr"/>
      <c r="M45" s="14" t="inlineStr">
        <is>
          <t>Not started</t>
        </is>
      </c>
      <c r="N45" s="14" t="n"/>
      <c r="O45" s="16" t="n"/>
      <c r="P45" s="17" t="inlineStr">
        <is>
          <t>R01 →</t>
        </is>
      </c>
    </row>
    <row r="46" ht="56" customHeight="1">
      <c r="A46" s="18" t="n">
        <v>24</v>
      </c>
      <c r="B46" s="19" t="inlineStr">
        <is>
          <t>CFG-141</t>
        </is>
      </c>
      <c r="C46" s="20" t="inlineStr">
        <is>
          <t>Branch code map</t>
        </is>
      </c>
      <c r="D46" s="20" t="inlineStr">
        <is>
          <t>The map of every legacy branch and invoicing branch to a BIBS branch of CFG-002</t>
        </is>
      </c>
      <c r="E46" s="20" t="inlineStr">
        <is>
          <t>Program Manager, Business Project Services (Data Migration)</t>
        </is>
      </c>
      <c r="F46" s="20" t="inlineStr">
        <is>
          <t>18-Jun-2027 – Code maps approved (M5)</t>
        </is>
      </c>
      <c r="G46" s="20" t="inlineStr">
        <is>
          <t>Migration object</t>
        </is>
      </c>
      <c r="H46" s="20" t="inlineStr">
        <is>
          <t>Data migration object R02 Branches and invoicing branches; after go-live: Data Migration › Data Migration › Code Maps</t>
        </is>
      </c>
      <c r="I46" s="20" t="inlineStr">
        <is>
          <t>Migration Workbook, layout R02</t>
        </is>
      </c>
      <c r="J46" s="20" t="inlineStr">
        <is>
          <t>-</t>
        </is>
      </c>
      <c r="K46" s="20" t="inlineStr"/>
      <c r="L46" s="20" t="inlineStr"/>
      <c r="M46" s="20" t="inlineStr">
        <is>
          <t>Not started</t>
        </is>
      </c>
      <c r="N46" s="20" t="n"/>
      <c r="O46" s="21" t="n"/>
      <c r="P46" s="23" t="inlineStr">
        <is>
          <t>R02 →</t>
        </is>
      </c>
    </row>
    <row r="47" ht="56" customHeight="1">
      <c r="A47" s="12" t="n">
        <v>25</v>
      </c>
      <c r="B47" s="13" t="inlineStr">
        <is>
          <t>CFG-097</t>
        </is>
      </c>
      <c r="C47" s="14" t="inlineStr">
        <is>
          <t>Lists and parameters of Product Maintenance</t>
        </is>
      </c>
      <c r="D47" s="14" t="inlineStr">
        <is>
          <t>BRD-03 template CI-09 (the lists and parameters it names are listed with this route on the sheets Ref Lists of values and Ref System parameters)</t>
        </is>
      </c>
      <c r="E47" s="14" t="inlineStr">
        <is>
          <t>Product Owner, MBS; System Administrator (entry)</t>
        </is>
      </c>
      <c r="F47" s="14" t="inlineStr">
        <is>
          <t>16-Jul-2027 – Values for UAT</t>
        </is>
      </c>
      <c r="G47" s="14" t="inlineStr">
        <is>
          <t>Template</t>
        </is>
      </c>
      <c r="H47" s="14" t="inlineStr">
        <is>
          <t>Setup &amp; Administration › Broking Setup › Lists of Values</t>
        </is>
      </c>
      <c r="I47" s="14" t="inlineStr">
        <is>
          <t>BRD-03 template CI-09, sheet PM-09 Lists and parameters</t>
        </is>
      </c>
      <c r="J47" s="14" t="inlineStr">
        <is>
          <t>-</t>
        </is>
      </c>
      <c r="K47" s="15">
        <f>'PM-09 Lists and parameters'!$C$9</f>
        <v/>
      </c>
      <c r="L47" s="15">
        <f>'PM-09 Lists and parameters'!$E$9</f>
        <v/>
      </c>
      <c r="M47" s="14" t="inlineStr">
        <is>
          <t>Not started</t>
        </is>
      </c>
      <c r="N47" s="14" t="n"/>
      <c r="O47" s="16" t="n"/>
      <c r="P47" s="17" t="inlineStr">
        <is>
          <t>PM-09 →</t>
        </is>
      </c>
    </row>
    <row r="48" ht="43" customHeight="1">
      <c r="A48" s="18" t="n">
        <v>26</v>
      </c>
      <c r="B48" s="19" t="inlineStr">
        <is>
          <t>CFG-005</t>
        </is>
      </c>
      <c r="C48" s="20" t="inlineStr">
        <is>
          <t>Employees</t>
        </is>
      </c>
      <c r="D48" s="20" t="inlineStr">
        <is>
          <t>Employees with their branch and cost centre, for the cost-centre rules, petty cash custodians and staff advances</t>
        </is>
      </c>
      <c r="E48" s="20" t="inlineStr">
        <is>
          <t>Human Resources; Head, Comptrollership</t>
        </is>
      </c>
      <c r="F48" s="20" t="inlineStr">
        <is>
          <t>16-Jul-2027 – Values for UAT</t>
        </is>
      </c>
      <c r="G48" s="20" t="inlineStr">
        <is>
          <t>Template</t>
        </is>
      </c>
      <c r="H48" s="20" t="inlineStr">
        <is>
          <t>Setup &amp; Administration › Setup › Employees</t>
        </is>
      </c>
      <c r="I48" s="20" t="inlineStr">
        <is>
          <t>Drop 0 template D0-05, sheet D0-05 Employees</t>
        </is>
      </c>
      <c r="J48" s="20" t="inlineStr">
        <is>
          <t>D0-02, D0-04</t>
        </is>
      </c>
      <c r="K48" s="22">
        <f>'D0-05 Employees'!$C$9</f>
        <v/>
      </c>
      <c r="L48" s="22">
        <f>'D0-05 Employees'!$E$9</f>
        <v/>
      </c>
      <c r="M48" s="20" t="inlineStr">
        <is>
          <t>Not started</t>
        </is>
      </c>
      <c r="N48" s="20" t="n"/>
      <c r="O48" s="21" t="n"/>
      <c r="P48" s="23" t="inlineStr">
        <is>
          <t>D0-05 →</t>
        </is>
      </c>
    </row>
    <row r="49" ht="30" customHeight="1">
      <c r="A49" s="12" t="n">
        <v>27</v>
      </c>
      <c r="B49" s="13" t="inlineStr">
        <is>
          <t>CFG-113</t>
        </is>
      </c>
      <c r="C49" s="14" t="inlineStr">
        <is>
          <t>Separation-of-duties rules</t>
        </is>
      </c>
      <c r="D49" s="14" t="inlineStr">
        <is>
          <t>BRD-11 template CI-04</t>
        </is>
      </c>
      <c r="E49" s="14" t="inlineStr">
        <is>
          <t>BDOI Information Security</t>
        </is>
      </c>
      <c r="F49" s="14" t="inlineStr">
        <is>
          <t>16-Jul-2027 – Values for UAT</t>
        </is>
      </c>
      <c r="G49" s="14" t="inlineStr">
        <is>
          <t>Template</t>
        </is>
      </c>
      <c r="H49" s="14" t="inlineStr">
        <is>
          <t>Setup &amp; Administration › User Access › Separation of Duties</t>
        </is>
      </c>
      <c r="I49" s="14" t="inlineStr">
        <is>
          <t>BRD-11 template CI-04, sheet UA-04 SoD rules</t>
        </is>
      </c>
      <c r="J49" s="14" t="inlineStr">
        <is>
          <t>UA-02</t>
        </is>
      </c>
      <c r="K49" s="15">
        <f>'UA-04 SoD rules'!$C$9</f>
        <v/>
      </c>
      <c r="L49" s="15">
        <f>'UA-04 SoD rules'!$E$9</f>
        <v/>
      </c>
      <c r="M49" s="14" t="inlineStr">
        <is>
          <t>Not started</t>
        </is>
      </c>
      <c r="N49" s="14" t="n"/>
      <c r="O49" s="16" t="n"/>
      <c r="P49" s="17" t="inlineStr">
        <is>
          <t>UA-04 →</t>
        </is>
      </c>
    </row>
    <row r="50" ht="30" customHeight="1">
      <c r="A50" s="18" t="n">
        <v>28</v>
      </c>
      <c r="B50" s="19" t="inlineStr">
        <is>
          <t>CFG-091</t>
        </is>
      </c>
      <c r="C50" s="20" t="inlineStr">
        <is>
          <t>Coverages, perils and field rules</t>
        </is>
      </c>
      <c r="D50" s="20" t="inlineStr">
        <is>
          <t>BRD-03 template CI-02</t>
        </is>
      </c>
      <c r="E50" s="20" t="inlineStr">
        <is>
          <t>MBS</t>
        </is>
      </c>
      <c r="F50" s="20" t="inlineStr">
        <is>
          <t>16-Jul-2027 – Values for UAT</t>
        </is>
      </c>
      <c r="G50" s="20" t="inlineStr">
        <is>
          <t>Template</t>
        </is>
      </c>
      <c r="H50" s="20" t="inlineStr">
        <is>
          <t>Client &amp; Policy › Product Maintenance › Coverages &amp; Clauses</t>
        </is>
      </c>
      <c r="I50" s="20" t="inlineStr">
        <is>
          <t>BRD-03 template CI-02, sheet PM-02 Coverages and rules</t>
        </is>
      </c>
      <c r="J50" s="20" t="inlineStr">
        <is>
          <t>PM-09, PM-01</t>
        </is>
      </c>
      <c r="K50" s="22">
        <f>'PM-02 Coverages and rules'!$C$9</f>
        <v/>
      </c>
      <c r="L50" s="22">
        <f>'PM-02 Coverages and rules'!$E$9</f>
        <v/>
      </c>
      <c r="M50" s="20" t="inlineStr">
        <is>
          <t>Not started</t>
        </is>
      </c>
      <c r="N50" s="20" t="n"/>
      <c r="O50" s="21" t="n"/>
      <c r="P50" s="23" t="inlineStr">
        <is>
          <t>PM-02 →</t>
        </is>
      </c>
    </row>
    <row r="51" ht="30" customHeight="1">
      <c r="A51" s="12" t="n">
        <v>29</v>
      </c>
      <c r="B51" s="13" t="inlineStr">
        <is>
          <t>CFG-092</t>
        </is>
      </c>
      <c r="C51" s="14" t="inlineStr">
        <is>
          <t>Clause library</t>
        </is>
      </c>
      <c r="D51" s="14" t="inlineStr">
        <is>
          <t>BRD-03 template CI-03</t>
        </is>
      </c>
      <c r="E51" s="14" t="inlineStr">
        <is>
          <t>TSU (wordings); MBS (maintenance)</t>
        </is>
      </c>
      <c r="F51" s="14" t="inlineStr">
        <is>
          <t>16-Jul-2027 – Values for UAT</t>
        </is>
      </c>
      <c r="G51" s="14" t="inlineStr">
        <is>
          <t>Template</t>
        </is>
      </c>
      <c r="H51" s="14" t="inlineStr">
        <is>
          <t>Client &amp; Policy › Product Maintenance › Coverages &amp; Clauses</t>
        </is>
      </c>
      <c r="I51" s="14" t="inlineStr">
        <is>
          <t>BRD-03 template CI-03, sheet PM-03 Clause library</t>
        </is>
      </c>
      <c r="J51" s="14" t="inlineStr">
        <is>
          <t>PM-09, PM-01</t>
        </is>
      </c>
      <c r="K51" s="15">
        <f>'PM-03 Clause library'!$C$9</f>
        <v/>
      </c>
      <c r="L51" s="15">
        <f>'PM-03 Clause library'!$E$9</f>
        <v/>
      </c>
      <c r="M51" s="14" t="inlineStr">
        <is>
          <t>Not started</t>
        </is>
      </c>
      <c r="N51" s="14" t="n"/>
      <c r="O51" s="16" t="n"/>
      <c r="P51" s="17" t="inlineStr">
        <is>
          <t>PM-03 →</t>
        </is>
      </c>
    </row>
    <row r="52" ht="43" customHeight="1">
      <c r="A52" s="18" t="n">
        <v>30</v>
      </c>
      <c r="B52" s="19" t="inlineStr">
        <is>
          <t>CFG-025</t>
        </is>
      </c>
      <c r="C52" s="20" t="inlineStr">
        <is>
          <t>Tax codes and forms</t>
        </is>
      </c>
      <c r="D52" s="20" t="inlineStr">
        <is>
          <t>The withholding, VAT and percentage tax codes with their ATC, rate, GL account and effective dates; the RDO code</t>
        </is>
      </c>
      <c r="E52" s="20" t="inlineStr">
        <is>
          <t>Head, Comptrollership (Tax)</t>
        </is>
      </c>
      <c r="F52" s="20" t="inlineStr">
        <is>
          <t>16-Jul-2027 – Values for UAT</t>
        </is>
      </c>
      <c r="G52" s="20" t="inlineStr">
        <is>
          <t>Template</t>
        </is>
      </c>
      <c r="H52" s="20" t="inlineStr">
        <is>
          <t>Finance › Tax &amp; Statutory › Tax Codes &amp; Forms</t>
        </is>
      </c>
      <c r="I52" s="20" t="inlineStr">
        <is>
          <t>Drop 0 template D0-10, sheet D0-10 Tax codes</t>
        </is>
      </c>
      <c r="J52" s="20" t="inlineStr">
        <is>
          <t>D0-06</t>
        </is>
      </c>
      <c r="K52" s="22">
        <f>'D0-10 Tax codes'!$C$9</f>
        <v/>
      </c>
      <c r="L52" s="22">
        <f>'D0-10 Tax codes'!$E$9</f>
        <v/>
      </c>
      <c r="M52" s="20" t="inlineStr">
        <is>
          <t>Not started</t>
        </is>
      </c>
      <c r="N52" s="20" t="n"/>
      <c r="O52" s="21" t="n"/>
      <c r="P52" s="23" t="inlineStr">
        <is>
          <t>D0-10 →</t>
        </is>
      </c>
    </row>
    <row r="53" ht="56" customHeight="1">
      <c r="A53" s="12" t="n">
        <v>31</v>
      </c>
      <c r="B53" s="13" t="inlineStr">
        <is>
          <t>CFG-114</t>
        </is>
      </c>
      <c r="C53" s="14" t="inlineStr">
        <is>
          <t>Approval limits and matrices of the modules</t>
        </is>
      </c>
      <c r="D53" s="14" t="inlineStr">
        <is>
          <t>The approval levels by amount, sum insured or segment of Submitted Policies, Employee Benefits, Sanction Screening and Disbursement, with the approver role and the signatory</t>
        </is>
      </c>
      <c r="E53" s="14" t="inlineStr">
        <is>
          <t>Owners of the modules; Head, Comptrollership for the amounts</t>
        </is>
      </c>
      <c r="F53" s="14" t="inlineStr">
        <is>
          <t>16-Jul-2027 – Values for UAT</t>
        </is>
      </c>
      <c r="G53" s="14" t="inlineStr">
        <is>
          <t>Template</t>
        </is>
      </c>
      <c r="H53" s="14" t="inlineStr"/>
      <c r="I53" s="14" t="inlineStr">
        <is>
          <t>Drop 0 template D0-15, sheet D0-15 Approval limits</t>
        </is>
      </c>
      <c r="J53" s="14" t="inlineStr">
        <is>
          <t>UA-02, UA-01</t>
        </is>
      </c>
      <c r="K53" s="15">
        <f>'D0-15 Approval limits'!$C$9</f>
        <v/>
      </c>
      <c r="L53" s="15">
        <f>'D0-15 Approval limits'!$E$9</f>
        <v/>
      </c>
      <c r="M53" s="14" t="inlineStr">
        <is>
          <t>Not started</t>
        </is>
      </c>
      <c r="N53" s="14" t="n"/>
      <c r="O53" s="16" t="n"/>
      <c r="P53" s="17" t="inlineStr">
        <is>
          <t>D0-15 →</t>
        </is>
      </c>
    </row>
    <row r="54" ht="30" customHeight="1">
      <c r="A54" s="18" t="n">
        <v>32</v>
      </c>
      <c r="B54" s="19" t="inlineStr">
        <is>
          <t>CFG-093</t>
        </is>
      </c>
      <c r="C54" s="20" t="inlineStr">
        <is>
          <t>Rate tables</t>
        </is>
      </c>
      <c r="D54" s="20" t="inlineStr">
        <is>
          <t>BRD-03 template CI-04</t>
        </is>
      </c>
      <c r="E54" s="20" t="inlineStr">
        <is>
          <t>Product Owner, MBS; Comptrollership (taxes)</t>
        </is>
      </c>
      <c r="F54" s="20" t="inlineStr">
        <is>
          <t>16-Jul-2027 – Values for UAT</t>
        </is>
      </c>
      <c r="G54" s="20" t="inlineStr">
        <is>
          <t>Template</t>
        </is>
      </c>
      <c r="H54" s="20" t="inlineStr">
        <is>
          <t>Client &amp; Policy › Product Maintenance › Rates &amp; Taxes</t>
        </is>
      </c>
      <c r="I54" s="20" t="inlineStr">
        <is>
          <t>BRD-03 template CI-04, sheet PM-04 Rate tables</t>
        </is>
      </c>
      <c r="J54" s="20" t="inlineStr">
        <is>
          <t>PM-01</t>
        </is>
      </c>
      <c r="K54" s="22">
        <f>'PM-04 Rate tables'!$C$9</f>
        <v/>
      </c>
      <c r="L54" s="22">
        <f>'PM-04 Rate tables'!$E$9</f>
        <v/>
      </c>
      <c r="M54" s="20" t="inlineStr">
        <is>
          <t>Not started</t>
        </is>
      </c>
      <c r="N54" s="20" t="n"/>
      <c r="O54" s="21" t="n"/>
      <c r="P54" s="23" t="inlineStr">
        <is>
          <t>PM-04 →</t>
        </is>
      </c>
    </row>
    <row r="55" ht="43" customHeight="1">
      <c r="A55" s="12" t="n">
        <v>33</v>
      </c>
      <c r="B55" s="13" t="inlineStr">
        <is>
          <t>CFG-096</t>
        </is>
      </c>
      <c r="C55" s="14" t="inlineStr">
        <is>
          <t>Incentive criteria</t>
        </is>
      </c>
      <c r="D55" s="14" t="inlineStr">
        <is>
          <t>BRD-03 template CI-10</t>
        </is>
      </c>
      <c r="E55" s="14" t="inlineStr">
        <is>
          <t>Incentive Maintenance user (MBS); Comptrollership (CPC2 definition, PQ04)</t>
        </is>
      </c>
      <c r="F55" s="14" t="inlineStr">
        <is>
          <t>16-Jul-2027 – Values for UAT</t>
        </is>
      </c>
      <c r="G55" s="14" t="inlineStr">
        <is>
          <t>Template</t>
        </is>
      </c>
      <c r="H55" s="14" t="inlineStr">
        <is>
          <t>Client &amp; Policy › Product Maintenance › Incentive Criteria</t>
        </is>
      </c>
      <c r="I55" s="14" t="inlineStr">
        <is>
          <t>BRD-03 template CI-10, sheet PM-10 Incentive criteria</t>
        </is>
      </c>
      <c r="J55" s="14" t="inlineStr">
        <is>
          <t>PM-09, PM-01</t>
        </is>
      </c>
      <c r="K55" s="15">
        <f>'PM-10 Incentive criteria'!$C$9</f>
        <v/>
      </c>
      <c r="L55" s="15">
        <f>'PM-10 Incentive criteria'!$E$9</f>
        <v/>
      </c>
      <c r="M55" s="14" t="inlineStr">
        <is>
          <t>Not started</t>
        </is>
      </c>
      <c r="N55" s="14" t="n"/>
      <c r="O55" s="16" t="n"/>
      <c r="P55" s="17" t="inlineStr">
        <is>
          <t>PM-10 →</t>
        </is>
      </c>
    </row>
    <row r="56" ht="69" customHeight="1">
      <c r="A56" s="18" t="n">
        <v>34</v>
      </c>
      <c r="B56" s="19" t="inlineStr">
        <is>
          <t>CFG-112</t>
        </is>
      </c>
      <c r="C56" s="20" t="inlineStr">
        <is>
          <t>Approvers, approval rules and authorisation limits</t>
        </is>
      </c>
      <c r="D56" s="20" t="inlineStr">
        <is>
          <t>BRD-11 template CI-03: the access approvers and the authorisation limit of each user who approves by amount</t>
        </is>
      </c>
      <c r="E56" s="20" t="inlineStr">
        <is>
          <t>Business Administration; BDOI Information Security for the second approval; Comptrollership for the authorisation limits</t>
        </is>
      </c>
      <c r="F56" s="20" t="inlineStr">
        <is>
          <t>16-Jul-2027 – Values for UAT</t>
        </is>
      </c>
      <c r="G56" s="20" t="inlineStr">
        <is>
          <t>Template</t>
        </is>
      </c>
      <c r="H56" s="20" t="inlineStr">
        <is>
          <t>Setup &amp; Administration › User Access › New Request</t>
        </is>
      </c>
      <c r="I56" s="20" t="inlineStr">
        <is>
          <t>BRD-11 template CI-03, sheet UA-03 Approval rules</t>
        </is>
      </c>
      <c r="J56" s="20" t="inlineStr">
        <is>
          <t>UA-01</t>
        </is>
      </c>
      <c r="K56" s="22">
        <f>'UA-03 Approval rules'!$C$9</f>
        <v/>
      </c>
      <c r="L56" s="22">
        <f>'UA-03 Approval rules'!$E$9</f>
        <v/>
      </c>
      <c r="M56" s="20" t="inlineStr">
        <is>
          <t>Not started</t>
        </is>
      </c>
      <c r="N56" s="20" t="n"/>
      <c r="O56" s="21" t="n"/>
      <c r="P56" s="23" t="inlineStr">
        <is>
          <t>UA-03 →</t>
        </is>
      </c>
    </row>
    <row r="57" ht="30" customHeight="1">
      <c r="A57" s="12" t="n">
        <v>35</v>
      </c>
      <c r="B57" s="13" t="inlineStr">
        <is>
          <t>CFG-043</t>
        </is>
      </c>
      <c r="C57" s="14" t="inlineStr">
        <is>
          <t>Bank statement layouts</t>
        </is>
      </c>
      <c r="D57" s="14" t="inlineStr">
        <is>
          <t>The column layout of the statement file of each bank account for the bank reconciliation</t>
        </is>
      </c>
      <c r="E57" s="14" t="inlineStr">
        <is>
          <t>Head, Comptrollership; Treasury</t>
        </is>
      </c>
      <c r="F57" s="14" t="inlineStr">
        <is>
          <t>16-Jul-2027 – Values for UAT</t>
        </is>
      </c>
      <c r="G57" s="14" t="inlineStr">
        <is>
          <t>Template</t>
        </is>
      </c>
      <c r="H57" s="14" t="inlineStr">
        <is>
          <t>Setup &amp; Administration › Setup › Bank Statement Layouts</t>
        </is>
      </c>
      <c r="I57" s="14" t="inlineStr">
        <is>
          <t>Drop 0 template D0-14, sheet D0-14 Statement layouts</t>
        </is>
      </c>
      <c r="J57" s="14" t="inlineStr">
        <is>
          <t>D0-11</t>
        </is>
      </c>
      <c r="K57" s="15">
        <f>'D0-14 Statement layouts'!$C$9</f>
        <v/>
      </c>
      <c r="L57" s="15">
        <f>'D0-14 Statement layouts'!$E$9</f>
        <v/>
      </c>
      <c r="M57" s="14" t="inlineStr">
        <is>
          <t>Not started</t>
        </is>
      </c>
      <c r="N57" s="14" t="n"/>
      <c r="O57" s="16" t="n"/>
      <c r="P57" s="17" t="inlineStr">
        <is>
          <t>D0-14 →</t>
        </is>
      </c>
    </row>
    <row r="58" ht="43" customHeight="1">
      <c r="A58" s="18" t="n">
        <v>36</v>
      </c>
      <c r="B58" s="19" t="inlineStr">
        <is>
          <t>CFG-098</t>
        </is>
      </c>
      <c r="C58" s="20" t="inlineStr">
        <is>
          <t>Package document templates</t>
        </is>
      </c>
      <c r="D58" s="20" t="inlineStr">
        <is>
          <t>BRD-03 template CI-08: the texts of the package documents</t>
        </is>
      </c>
      <c r="E58" s="20" t="inlineStr">
        <is>
          <t>TSU and MBS (texts); Business Administrator (maintenance)</t>
        </is>
      </c>
      <c r="F58" s="20" t="inlineStr">
        <is>
          <t>16-Jul-2027 – Values for UAT</t>
        </is>
      </c>
      <c r="G58" s="20" t="inlineStr">
        <is>
          <t>Template</t>
        </is>
      </c>
      <c r="H58" s="20" t="inlineStr">
        <is>
          <t>Setup &amp; Administration › Broking Setup › Document Templates</t>
        </is>
      </c>
      <c r="I58" s="20" t="inlineStr">
        <is>
          <t>BRD-03 template CI-08, sheet PM-08 Document templates</t>
        </is>
      </c>
      <c r="J58" s="20" t="inlineStr">
        <is>
          <t>-</t>
        </is>
      </c>
      <c r="K58" s="22">
        <f>'PM-08 Document templates'!$C$9</f>
        <v/>
      </c>
      <c r="L58" s="22">
        <f>'PM-08 Document templates'!$E$9</f>
        <v/>
      </c>
      <c r="M58" s="20" t="inlineStr">
        <is>
          <t>Not started</t>
        </is>
      </c>
      <c r="N58" s="20" t="n"/>
      <c r="O58" s="21" t="n"/>
      <c r="P58" s="23" t="inlineStr">
        <is>
          <t>PM-08 →</t>
        </is>
      </c>
    </row>
    <row r="59" ht="43" customHeight="1">
      <c r="A59" s="12" t="n">
        <v>37</v>
      </c>
      <c r="B59" s="13" t="inlineStr">
        <is>
          <t>CFG-071</t>
        </is>
      </c>
      <c r="C59" s="14" t="inlineStr">
        <is>
          <t>Sign-in, password, session and access-request parameters</t>
        </is>
      </c>
      <c r="D59" s="14" t="inlineStr">
        <is>
          <t>The security values agreed with BDOI Information Security (BRD-11 template CI-05)</t>
        </is>
      </c>
      <c r="E59" s="14" t="inlineStr">
        <is>
          <t>BDOI Information Security; BDOI IT for the sign-in mode</t>
        </is>
      </c>
      <c r="F59" s="14" t="inlineStr">
        <is>
          <t>16-Jul-2027 – Values for UAT</t>
        </is>
      </c>
      <c r="G59" s="14" t="inlineStr">
        <is>
          <t>Template</t>
        </is>
      </c>
      <c r="H59" s="14" t="inlineStr">
        <is>
          <t>Setup &amp; Administration › Administration › System Parameters</t>
        </is>
      </c>
      <c r="I59" s="14" t="inlineStr">
        <is>
          <t>BRD-11 template CI-05, sheet UA-05 Parameters</t>
        </is>
      </c>
      <c r="J59" s="14" t="inlineStr">
        <is>
          <t>-</t>
        </is>
      </c>
      <c r="K59" s="15">
        <f>'UA-05 Parameters'!$C$9</f>
        <v/>
      </c>
      <c r="L59" s="15">
        <f>'UA-05 Parameters'!$E$9</f>
        <v/>
      </c>
      <c r="M59" s="14" t="inlineStr">
        <is>
          <t>Not started</t>
        </is>
      </c>
      <c r="N59" s="14" t="n"/>
      <c r="O59" s="16" t="n"/>
      <c r="P59" s="17" t="inlineStr">
        <is>
          <t>UA-05 →</t>
        </is>
      </c>
    </row>
    <row r="60" ht="56" customHeight="1">
      <c r="A60" s="18" t="n">
        <v>38</v>
      </c>
      <c r="B60" s="19" t="inlineStr">
        <is>
          <t>CFG-051</t>
        </is>
      </c>
      <c r="C60" s="20" t="inlineStr">
        <is>
          <t>Document number prefixes</t>
        </is>
      </c>
      <c r="D60" s="20" t="inlineStr">
        <is>
          <t>The prefix of every numbered document (quotations, proposals, slips, package requests, renewals, submitted policies, screening cases); the year and the running number follow the prefix</t>
        </is>
      </c>
      <c r="E60" s="20" t="inlineStr">
        <is>
          <t>BDOI IT</t>
        </is>
      </c>
      <c r="F60" s="20" t="inlineStr">
        <is>
          <t>16-Jul-2027 – Values for UAT</t>
        </is>
      </c>
      <c r="G60" s="20" t="inlineStr">
        <is>
          <t>Template</t>
        </is>
      </c>
      <c r="H60" s="20" t="inlineStr"/>
      <c r="I60" s="20" t="inlineStr">
        <is>
          <t>This workbook, sheet Ref Document numbering</t>
        </is>
      </c>
      <c r="J60" s="20" t="inlineStr">
        <is>
          <t>-</t>
        </is>
      </c>
      <c r="K60" s="20" t="inlineStr"/>
      <c r="L60" s="20" t="inlineStr"/>
      <c r="M60" s="20" t="inlineStr">
        <is>
          <t>Not started</t>
        </is>
      </c>
      <c r="N60" s="20" t="n"/>
      <c r="O60" s="21" t="n"/>
      <c r="P60" s="23" t="inlineStr">
        <is>
          <t>Open →</t>
        </is>
      </c>
    </row>
    <row r="61" ht="43" customHeight="1">
      <c r="A61" s="12" t="n">
        <v>39</v>
      </c>
      <c r="B61" s="13" t="inlineStr">
        <is>
          <t>CFG-070</t>
        </is>
      </c>
      <c r="C61" s="14" t="inlineStr">
        <is>
          <t>System parameters (every parameter of the platform)</t>
        </is>
      </c>
      <c r="D61" s="14" t="inlineStr">
        <is>
          <t>For every parameter: the value BDOI wants against the value proposed, with the reason and the approver (see the sheet Ref System parameters)</t>
        </is>
      </c>
      <c r="E61" s="14" t="inlineStr">
        <is>
          <t>BDOI IT</t>
        </is>
      </c>
      <c r="F61" s="14" t="inlineStr">
        <is>
          <t>16-Jul-2027 – Values for UAT</t>
        </is>
      </c>
      <c r="G61" s="14" t="inlineStr">
        <is>
          <t>Template</t>
        </is>
      </c>
      <c r="H61" s="14" t="inlineStr">
        <is>
          <t>Setup &amp; Administration › Administration › System Parameters</t>
        </is>
      </c>
      <c r="I61" s="14" t="inlineStr">
        <is>
          <t>This workbook, sheet Ref System parameters</t>
        </is>
      </c>
      <c r="J61" s="14" t="inlineStr">
        <is>
          <t>-</t>
        </is>
      </c>
      <c r="K61" s="14" t="inlineStr"/>
      <c r="L61" s="14" t="inlineStr"/>
      <c r="M61" s="14" t="inlineStr">
        <is>
          <t>Not started</t>
        </is>
      </c>
      <c r="N61" s="14" t="n"/>
      <c r="O61" s="16" t="n"/>
      <c r="P61" s="17" t="inlineStr">
        <is>
          <t>Open →</t>
        </is>
      </c>
    </row>
    <row r="62" ht="56" customHeight="1">
      <c r="A62" s="18" t="n">
        <v>40</v>
      </c>
      <c r="B62" s="19" t="inlineStr">
        <is>
          <t>CFG-080</t>
        </is>
      </c>
      <c r="C62" s="20" t="inlineStr">
        <is>
          <t>Notification events and recipients</t>
        </is>
      </c>
      <c r="D62" s="20" t="inlineStr">
        <is>
          <t>For every notification event: in-app and e-mail by default, and any unit mailbox that must receive it besides the users of the step (see the sheet Ref Notifications)</t>
        </is>
      </c>
      <c r="E62" s="20" t="inlineStr">
        <is>
          <t>BDOI IT</t>
        </is>
      </c>
      <c r="F62" s="20" t="inlineStr">
        <is>
          <t>16-Jul-2027 – Values for UAT</t>
        </is>
      </c>
      <c r="G62" s="20" t="inlineStr">
        <is>
          <t>Template</t>
        </is>
      </c>
      <c r="H62" s="20" t="inlineStr">
        <is>
          <t>Operations › Operations › Notification Settings</t>
        </is>
      </c>
      <c r="I62" s="20" t="inlineStr">
        <is>
          <t>This workbook, sheet Ref Notifications</t>
        </is>
      </c>
      <c r="J62" s="20" t="inlineStr">
        <is>
          <t>-</t>
        </is>
      </c>
      <c r="K62" s="20" t="inlineStr"/>
      <c r="L62" s="20" t="inlineStr"/>
      <c r="M62" s="20" t="inlineStr">
        <is>
          <t>Not started</t>
        </is>
      </c>
      <c r="N62" s="20" t="n"/>
      <c r="O62" s="21" t="n"/>
      <c r="P62" s="23" t="inlineStr">
        <is>
          <t>Open →</t>
        </is>
      </c>
    </row>
    <row r="63" ht="56" customHeight="1">
      <c r="A63" s="12" t="n">
        <v>41</v>
      </c>
      <c r="B63" s="13" t="inlineStr">
        <is>
          <t>CFG-081</t>
        </is>
      </c>
      <c r="C63" s="14" t="inlineStr">
        <is>
          <t>Fixed recipients and sender address</t>
        </is>
      </c>
      <c r="D63" s="14" t="inlineStr">
        <is>
          <t>The sender address of BIBS e-mails and the recipients of job failures and watchlist loads (parameters MAIL_FROM_ADDRESS, JOB_FAILURE_RECIPIENTS, SCR_INGEST_ALERT_RECIPIENTS)</t>
        </is>
      </c>
      <c r="E63" s="14" t="inlineStr">
        <is>
          <t>BDOI IT</t>
        </is>
      </c>
      <c r="F63" s="14" t="inlineStr">
        <is>
          <t>16-Jul-2027 – Values for UAT</t>
        </is>
      </c>
      <c r="G63" s="14" t="inlineStr">
        <is>
          <t>Template</t>
        </is>
      </c>
      <c r="H63" s="14" t="inlineStr">
        <is>
          <t>Setup &amp; Administration › Administration › System Parameters</t>
        </is>
      </c>
      <c r="I63" s="14" t="inlineStr">
        <is>
          <t>This workbook, sheet Ref System parameters</t>
        </is>
      </c>
      <c r="J63" s="14" t="inlineStr">
        <is>
          <t>-</t>
        </is>
      </c>
      <c r="K63" s="14" t="inlineStr"/>
      <c r="L63" s="14" t="inlineStr"/>
      <c r="M63" s="14" t="inlineStr">
        <is>
          <t>Not started</t>
        </is>
      </c>
      <c r="N63" s="14" t="n"/>
      <c r="O63" s="16" t="n"/>
      <c r="P63" s="17" t="inlineStr">
        <is>
          <t>Open →</t>
        </is>
      </c>
    </row>
    <row r="64" ht="30" customHeight="1">
      <c r="A64" s="18" t="n">
        <v>42</v>
      </c>
      <c r="B64" s="19" t="inlineStr">
        <is>
          <t>CFG-082</t>
        </is>
      </c>
      <c r="C64" s="20" t="inlineStr">
        <is>
          <t>Document templates (letters, slips, advices, e-mails)</t>
        </is>
      </c>
      <c r="D64" s="20" t="inlineStr">
        <is>
          <t>The BDOI wording and layout of every generated document (see the sheet Ref Document templates)</t>
        </is>
      </c>
      <c r="E64" s="20" t="inlineStr">
        <is>
          <t>BDOI IT</t>
        </is>
      </c>
      <c r="F64" s="20" t="inlineStr">
        <is>
          <t>16-Jul-2027 – Values for UAT</t>
        </is>
      </c>
      <c r="G64" s="20" t="inlineStr">
        <is>
          <t>Template</t>
        </is>
      </c>
      <c r="H64" s="20" t="inlineStr">
        <is>
          <t>Setup &amp; Administration › Broking Setup › Document Templates</t>
        </is>
      </c>
      <c r="I64" s="20" t="inlineStr">
        <is>
          <t>This workbook, sheet Ref Document templates</t>
        </is>
      </c>
      <c r="J64" s="20" t="inlineStr">
        <is>
          <t>-</t>
        </is>
      </c>
      <c r="K64" s="20" t="inlineStr"/>
      <c r="L64" s="20" t="inlineStr"/>
      <c r="M64" s="20" t="inlineStr">
        <is>
          <t>Not started</t>
        </is>
      </c>
      <c r="N64" s="20" t="n"/>
      <c r="O64" s="21" t="n"/>
      <c r="P64" s="23" t="inlineStr">
        <is>
          <t>Open →</t>
        </is>
      </c>
    </row>
    <row r="65" ht="30" customHeight="1">
      <c r="A65" s="12" t="n">
        <v>43</v>
      </c>
      <c r="B65" s="13" t="inlineStr">
        <is>
          <t>CFG-006</t>
        </is>
      </c>
      <c r="C65" s="14" t="inlineStr">
        <is>
          <t>Cost-centre rules</t>
        </is>
      </c>
      <c r="D65" s="14" t="inlineStr">
        <is>
          <t>Which cost centre an automatic posting takes by module, event, branch, party or account</t>
        </is>
      </c>
      <c r="E65" s="14" t="inlineStr">
        <is>
          <t>Head, Comptrollership</t>
        </is>
      </c>
      <c r="F65" s="14" t="inlineStr">
        <is>
          <t>16-Jul-2027 – Values for UAT</t>
        </is>
      </c>
      <c r="G65" s="14" t="inlineStr">
        <is>
          <t>Screen</t>
        </is>
      </c>
      <c r="H65" s="14" t="inlineStr">
        <is>
          <t>Setup &amp; Administration › Setup › Cost-Centre Rules</t>
        </is>
      </c>
      <c r="I65" s="14" t="inlineStr">
        <is>
          <t>This index row (decision and values in BDOI comments)</t>
        </is>
      </c>
      <c r="J65" s="14" t="inlineStr">
        <is>
          <t>-</t>
        </is>
      </c>
      <c r="K65" s="14" t="inlineStr"/>
      <c r="L65" s="14" t="inlineStr"/>
      <c r="M65" s="14" t="inlineStr">
        <is>
          <t>Not started</t>
        </is>
      </c>
      <c r="N65" s="14" t="n"/>
      <c r="O65" s="16" t="n"/>
      <c r="P65" s="14" t="inlineStr"/>
    </row>
    <row r="66" ht="30" customHeight="1">
      <c r="A66" s="18" t="n">
        <v>44</v>
      </c>
      <c r="B66" s="19" t="inlineStr">
        <is>
          <t>CFG-008</t>
        </is>
      </c>
      <c r="C66" s="20" t="inlineStr">
        <is>
          <t>Production targets</t>
        </is>
      </c>
      <c r="D66" s="20" t="inlineStr">
        <is>
          <t>The 2028 production targets per sales unit and officer for the New Business reports</t>
        </is>
      </c>
      <c r="E66" s="20" t="inlineStr">
        <is>
          <t>Product Owner, BDOI (New Business)</t>
        </is>
      </c>
      <c r="F66" s="20" t="inlineStr">
        <is>
          <t>16-Jul-2027 – Values for UAT</t>
        </is>
      </c>
      <c r="G66" s="20" t="inlineStr">
        <is>
          <t>Screen</t>
        </is>
      </c>
      <c r="H66" s="20" t="inlineStr">
        <is>
          <t>Reports › New Business Reports › Production Targets</t>
        </is>
      </c>
      <c r="I66" s="20" t="inlineStr">
        <is>
          <t>This index row (decision and values in BDOI comments)</t>
        </is>
      </c>
      <c r="J66" s="20" t="inlineStr">
        <is>
          <t>-</t>
        </is>
      </c>
      <c r="K66" s="20" t="inlineStr"/>
      <c r="L66" s="20" t="inlineStr"/>
      <c r="M66" s="20" t="inlineStr">
        <is>
          <t>Not started</t>
        </is>
      </c>
      <c r="N66" s="20" t="n"/>
      <c r="O66" s="21" t="n"/>
      <c r="P66" s="20" t="inlineStr"/>
    </row>
    <row r="67" ht="43" customHeight="1">
      <c r="A67" s="12" t="n">
        <v>45</v>
      </c>
      <c r="B67" s="13" t="inlineStr">
        <is>
          <t>CFG-010</t>
        </is>
      </c>
      <c r="C67" s="14" t="inlineStr">
        <is>
          <t>Currencies and exchange rates</t>
        </is>
      </c>
      <c r="D67" s="14" t="inlineStr">
        <is>
          <t>The currencies in use and the source and owner of the daily BOOK rate; the legacy currency codes are mapped by code map CURRENCY</t>
        </is>
      </c>
      <c r="E67" s="14" t="inlineStr">
        <is>
          <t>Head, Comptrollership</t>
        </is>
      </c>
      <c r="F67" s="14" t="inlineStr">
        <is>
          <t>16-Jul-2027 – Values for UAT</t>
        </is>
      </c>
      <c r="G67" s="14" t="inlineStr">
        <is>
          <t>Screen</t>
        </is>
      </c>
      <c r="H67" s="14" t="inlineStr">
        <is>
          <t>Setup &amp; Administration › Setup › Currencies &amp; Rates</t>
        </is>
      </c>
      <c r="I67" s="14" t="inlineStr">
        <is>
          <t>This index row (decision and values in BDOI comments)</t>
        </is>
      </c>
      <c r="J67" s="14" t="inlineStr">
        <is>
          <t>-</t>
        </is>
      </c>
      <c r="K67" s="14" t="inlineStr"/>
      <c r="L67" s="14" t="inlineStr"/>
      <c r="M67" s="14" t="inlineStr">
        <is>
          <t>Not started</t>
        </is>
      </c>
      <c r="N67" s="14" t="n"/>
      <c r="O67" s="16" t="n"/>
      <c r="P67" s="14" t="inlineStr"/>
    </row>
    <row r="68" ht="43" customHeight="1">
      <c r="A68" s="18" t="n">
        <v>46</v>
      </c>
      <c r="B68" s="19" t="inlineStr">
        <is>
          <t>CFG-026</t>
        </is>
      </c>
      <c r="C68" s="20" t="inlineStr">
        <is>
          <t>Financial statement formats and account schedules</t>
        </is>
      </c>
      <c r="D68" s="20" t="inlineStr">
        <is>
          <t>The lines of the financial statements and MIS formats and the accounts in each, as Comptrollership reports them</t>
        </is>
      </c>
      <c r="E68" s="20" t="inlineStr">
        <is>
          <t>Head, Comptrollership</t>
        </is>
      </c>
      <c r="F68" s="20" t="inlineStr">
        <is>
          <t>16-Jul-2027 – Values for UAT</t>
        </is>
      </c>
      <c r="G68" s="20" t="inlineStr">
        <is>
          <t>Screen</t>
        </is>
      </c>
      <c r="H68" s="20" t="inlineStr">
        <is>
          <t>Finance › Accounting Reports › Account Schedules</t>
        </is>
      </c>
      <c r="I68" s="20" t="inlineStr">
        <is>
          <t>This index row (decision and values in BDOI comments)</t>
        </is>
      </c>
      <c r="J68" s="20" t="inlineStr">
        <is>
          <t>-</t>
        </is>
      </c>
      <c r="K68" s="20" t="inlineStr"/>
      <c r="L68" s="20" t="inlineStr"/>
      <c r="M68" s="20" t="inlineStr">
        <is>
          <t>Not started</t>
        </is>
      </c>
      <c r="N68" s="20" t="n"/>
      <c r="O68" s="21" t="n"/>
      <c r="P68" s="20" t="inlineStr"/>
    </row>
    <row r="69" ht="30" customHeight="1">
      <c r="A69" s="12" t="n">
        <v>47</v>
      </c>
      <c r="B69" s="13" t="inlineStr">
        <is>
          <t>CFG-028</t>
        </is>
      </c>
      <c r="C69" s="14" t="inlineStr">
        <is>
          <t>Asset categories</t>
        </is>
      </c>
      <c r="D69" s="14" t="inlineStr">
        <is>
          <t>Fixed-asset categories with their useful life, method and accounts</t>
        </is>
      </c>
      <c r="E69" s="14" t="inlineStr">
        <is>
          <t>Head, Comptrollership</t>
        </is>
      </c>
      <c r="F69" s="14" t="inlineStr">
        <is>
          <t>16-Jul-2027 – Values for UAT</t>
        </is>
      </c>
      <c r="G69" s="14" t="inlineStr">
        <is>
          <t>Screen</t>
        </is>
      </c>
      <c r="H69" s="14" t="inlineStr">
        <is>
          <t>Finance › Assets &amp; Investments › Asset Categories</t>
        </is>
      </c>
      <c r="I69" s="14" t="inlineStr">
        <is>
          <t>This index row (decision and values in BDOI comments)</t>
        </is>
      </c>
      <c r="J69" s="14" t="inlineStr">
        <is>
          <t>-</t>
        </is>
      </c>
      <c r="K69" s="14" t="inlineStr"/>
      <c r="L69" s="14" t="inlineStr"/>
      <c r="M69" s="14" t="inlineStr">
        <is>
          <t>Not started</t>
        </is>
      </c>
      <c r="N69" s="14" t="n"/>
      <c r="O69" s="16" t="n"/>
      <c r="P69" s="14" t="inlineStr"/>
    </row>
    <row r="70" ht="30" customHeight="1">
      <c r="A70" s="18" t="n">
        <v>48</v>
      </c>
      <c r="B70" s="19" t="inlineStr">
        <is>
          <t>CFG-029</t>
        </is>
      </c>
      <c r="C70" s="20" t="inlineStr">
        <is>
          <t>Investment portfolios</t>
        </is>
      </c>
      <c r="D70" s="20" t="inlineStr">
        <is>
          <t>The investment portfolios and their accounts, when BDOI keeps investments in BIBS</t>
        </is>
      </c>
      <c r="E70" s="20" t="inlineStr">
        <is>
          <t>Head, Comptrollership</t>
        </is>
      </c>
      <c r="F70" s="20" t="inlineStr">
        <is>
          <t>16-Jul-2027 – Values for UAT</t>
        </is>
      </c>
      <c r="G70" s="20" t="inlineStr">
        <is>
          <t>Screen</t>
        </is>
      </c>
      <c r="H70" s="20" t="inlineStr">
        <is>
          <t>Finance › Assets &amp; Investments › Investment Portfolios</t>
        </is>
      </c>
      <c r="I70" s="20" t="inlineStr">
        <is>
          <t>This index row (decision and values in BDOI comments)</t>
        </is>
      </c>
      <c r="J70" s="20" t="inlineStr">
        <is>
          <t>-</t>
        </is>
      </c>
      <c r="K70" s="20" t="inlineStr"/>
      <c r="L70" s="20" t="inlineStr"/>
      <c r="M70" s="20" t="inlineStr">
        <is>
          <t>Not started</t>
        </is>
      </c>
      <c r="N70" s="20" t="n"/>
      <c r="O70" s="21" t="n"/>
      <c r="P70" s="20" t="inlineStr"/>
    </row>
    <row r="71" ht="30" customHeight="1">
      <c r="A71" s="12" t="n">
        <v>49</v>
      </c>
      <c r="B71" s="13" t="inlineStr">
        <is>
          <t>CFG-030</t>
        </is>
      </c>
      <c r="C71" s="14" t="inlineStr">
        <is>
          <t>GL-SL reconciliation controls (ACSL)</t>
        </is>
      </c>
      <c r="D71" s="14" t="inlineStr">
        <is>
          <t>The control accounts reconciled against their sub-ledgers and the tolerance of each</t>
        </is>
      </c>
      <c r="E71" s="14" t="inlineStr">
        <is>
          <t>Head, Comptrollership</t>
        </is>
      </c>
      <c r="F71" s="14" t="inlineStr">
        <is>
          <t>16-Jul-2027 – Values for UAT</t>
        </is>
      </c>
      <c r="G71" s="14" t="inlineStr">
        <is>
          <t>Screen</t>
        </is>
      </c>
      <c r="H71" s="14" t="inlineStr">
        <is>
          <t>Finance › ACSL › GL-SL Reconciliation</t>
        </is>
      </c>
      <c r="I71" s="14" t="inlineStr">
        <is>
          <t>This index row (decision and values in BDOI comments)</t>
        </is>
      </c>
      <c r="J71" s="14" t="inlineStr">
        <is>
          <t>-</t>
        </is>
      </c>
      <c r="K71" s="14" t="inlineStr"/>
      <c r="L71" s="14" t="inlineStr"/>
      <c r="M71" s="14" t="inlineStr">
        <is>
          <t>Not started</t>
        </is>
      </c>
      <c r="N71" s="14" t="n"/>
      <c r="O71" s="16" t="n"/>
      <c r="P71" s="14" t="inlineStr"/>
    </row>
    <row r="72" ht="30" customHeight="1">
      <c r="A72" s="18" t="n">
        <v>50</v>
      </c>
      <c r="B72" s="19" t="inlineStr">
        <is>
          <t>CFG-031</t>
        </is>
      </c>
      <c r="C72" s="20" t="inlineStr">
        <is>
          <t>Service fee rates</t>
        </is>
      </c>
      <c r="D72" s="20" t="inlineStr">
        <is>
          <t>The service fee rates per segment and their recipients</t>
        </is>
      </c>
      <c r="E72" s="20" t="inlineStr">
        <is>
          <t>Head, Comptrollership</t>
        </is>
      </c>
      <c r="F72" s="20" t="inlineStr">
        <is>
          <t>16-Jul-2027 – Values for UAT</t>
        </is>
      </c>
      <c r="G72" s="20" t="inlineStr">
        <is>
          <t>Screen</t>
        </is>
      </c>
      <c r="H72" s="20" t="inlineStr">
        <is>
          <t>Finance › Accounting Reports › Service Fee Rates</t>
        </is>
      </c>
      <c r="I72" s="20" t="inlineStr">
        <is>
          <t>This index row (decision and values in BDOI comments)</t>
        </is>
      </c>
      <c r="J72" s="20" t="inlineStr">
        <is>
          <t>-</t>
        </is>
      </c>
      <c r="K72" s="20" t="inlineStr"/>
      <c r="L72" s="20" t="inlineStr"/>
      <c r="M72" s="20" t="inlineStr">
        <is>
          <t>Not started</t>
        </is>
      </c>
      <c r="N72" s="20" t="n"/>
      <c r="O72" s="21" t="n"/>
      <c r="P72" s="20" t="inlineStr"/>
    </row>
    <row r="73" ht="43" customHeight="1">
      <c r="A73" s="12" t="n">
        <v>51</v>
      </c>
      <c r="B73" s="13" t="inlineStr">
        <is>
          <t>CFG-044</t>
        </is>
      </c>
      <c r="C73" s="14" t="inlineStr">
        <is>
          <t>Payment file layouts of the collection channels</t>
        </is>
      </c>
      <c r="D73" s="14" t="inlineStr">
        <is>
          <t>Confirmation of the payment files received from Bills Payment, Trade, Direct Credit, CLPC and PMS and their field names</t>
        </is>
      </c>
      <c r="E73" s="14" t="inlineStr">
        <is>
          <t>Head, Operations Services</t>
        </is>
      </c>
      <c r="F73" s="14" t="inlineStr">
        <is>
          <t>16-Jul-2027 – Values for UAT</t>
        </is>
      </c>
      <c r="G73" s="14" t="inlineStr">
        <is>
          <t>Screen</t>
        </is>
      </c>
      <c r="H73" s="14" t="inlineStr">
        <is>
          <t>Finance › Cashiering › Cashiering Setup</t>
        </is>
      </c>
      <c r="I73" s="14" t="inlineStr">
        <is>
          <t>This index row (decision and values in BDOI comments)</t>
        </is>
      </c>
      <c r="J73" s="14" t="inlineStr">
        <is>
          <t>-</t>
        </is>
      </c>
      <c r="K73" s="14" t="inlineStr"/>
      <c r="L73" s="14" t="inlineStr"/>
      <c r="M73" s="14" t="inlineStr">
        <is>
          <t>Not started</t>
        </is>
      </c>
      <c r="N73" s="14" t="n"/>
      <c r="O73" s="16" t="n"/>
      <c r="P73" s="14" t="inlineStr"/>
    </row>
    <row r="74" ht="30" customHeight="1">
      <c r="A74" s="18" t="n">
        <v>52</v>
      </c>
      <c r="B74" s="19" t="inlineStr">
        <is>
          <t>CFG-072</t>
        </is>
      </c>
      <c r="C74" s="20" t="inlineStr">
        <is>
          <t>Exception codes and alert thresholds</t>
        </is>
      </c>
      <c r="D74" s="20" t="inlineStr">
        <is>
          <t>Which exceptions raise an alert, with their severity and the amount or day threshold of each</t>
        </is>
      </c>
      <c r="E74" s="20" t="inlineStr">
        <is>
          <t>BDOI IT</t>
        </is>
      </c>
      <c r="F74" s="20" t="inlineStr">
        <is>
          <t>16-Jul-2027 – Values for UAT</t>
        </is>
      </c>
      <c r="G74" s="20" t="inlineStr">
        <is>
          <t>Screen</t>
        </is>
      </c>
      <c r="H74" s="20" t="inlineStr">
        <is>
          <t>Setup &amp; Administration › Administration › Exception Codes</t>
        </is>
      </c>
      <c r="I74" s="20" t="inlineStr">
        <is>
          <t>This index row (decision and values in BDOI comments)</t>
        </is>
      </c>
      <c r="J74" s="20" t="inlineStr">
        <is>
          <t>-</t>
        </is>
      </c>
      <c r="K74" s="20" t="inlineStr"/>
      <c r="L74" s="20" t="inlineStr"/>
      <c r="M74" s="20" t="inlineStr">
        <is>
          <t>Not started</t>
        </is>
      </c>
      <c r="N74" s="20" t="n"/>
      <c r="O74" s="21" t="n"/>
      <c r="P74" s="20" t="inlineStr"/>
    </row>
    <row r="75" ht="30" customHeight="1">
      <c r="A75" s="12" t="n">
        <v>53</v>
      </c>
      <c r="B75" s="13" t="inlineStr">
        <is>
          <t>CFG-073</t>
        </is>
      </c>
      <c r="C75" s="14" t="inlineStr">
        <is>
          <t>Scheduled job times</t>
        </is>
      </c>
      <c r="D75" s="14" t="inlineStr">
        <is>
          <t>The run time of each daily and monthly job in Philippine time, and the blackout windows</t>
        </is>
      </c>
      <c r="E75" s="14" t="inlineStr">
        <is>
          <t>BDOI IT</t>
        </is>
      </c>
      <c r="F75" s="14" t="inlineStr">
        <is>
          <t>16-Jul-2027 – Values for UAT</t>
        </is>
      </c>
      <c r="G75" s="14" t="inlineStr">
        <is>
          <t>Screen</t>
        </is>
      </c>
      <c r="H75" s="14" t="inlineStr">
        <is>
          <t>Setup &amp; Administration › Administration › Scheduled Jobs</t>
        </is>
      </c>
      <c r="I75" s="14" t="inlineStr">
        <is>
          <t>This index row (decision and values in BDOI comments)</t>
        </is>
      </c>
      <c r="J75" s="14" t="inlineStr">
        <is>
          <t>-</t>
        </is>
      </c>
      <c r="K75" s="14" t="inlineStr"/>
      <c r="L75" s="14" t="inlineStr"/>
      <c r="M75" s="14" t="inlineStr">
        <is>
          <t>Not started</t>
        </is>
      </c>
      <c r="N75" s="14" t="n"/>
      <c r="O75" s="16" t="n"/>
      <c r="P75" s="14" t="inlineStr"/>
    </row>
    <row r="76" ht="43" customHeight="1">
      <c r="A76" s="18" t="n">
        <v>54</v>
      </c>
      <c r="B76" s="19" t="inlineStr">
        <is>
          <t>CFG-074</t>
        </is>
      </c>
      <c r="C76" s="20" t="inlineStr">
        <is>
          <t>Data retention rules</t>
        </is>
      </c>
      <c r="D76" s="20" t="inlineStr">
        <is>
          <t>Years online and in the archive per record type, and the action at the end, as Compliance sets them</t>
        </is>
      </c>
      <c r="E76" s="20" t="inlineStr">
        <is>
          <t>Compliance</t>
        </is>
      </c>
      <c r="F76" s="20" t="inlineStr">
        <is>
          <t>16-Jul-2027 – Values for UAT</t>
        </is>
      </c>
      <c r="G76" s="20" t="inlineStr">
        <is>
          <t>Screen</t>
        </is>
      </c>
      <c r="H76" s="20" t="inlineStr">
        <is>
          <t>Setup &amp; Administration › Broking Setup › Data Retention</t>
        </is>
      </c>
      <c r="I76" s="20" t="inlineStr">
        <is>
          <t>This index row (decision and values in BDOI comments)</t>
        </is>
      </c>
      <c r="J76" s="20" t="inlineStr">
        <is>
          <t>-</t>
        </is>
      </c>
      <c r="K76" s="20" t="inlineStr"/>
      <c r="L76" s="20" t="inlineStr"/>
      <c r="M76" s="20" t="inlineStr">
        <is>
          <t>Not started</t>
        </is>
      </c>
      <c r="N76" s="20" t="n"/>
      <c r="O76" s="21" t="n"/>
      <c r="P76" s="20" t="inlineStr"/>
    </row>
    <row r="77" ht="30" customHeight="1">
      <c r="A77" s="12" t="n">
        <v>55</v>
      </c>
      <c r="B77" s="13" t="inlineStr">
        <is>
          <t>CFG-083</t>
        </is>
      </c>
      <c r="C77" s="14" t="inlineStr">
        <is>
          <t>Screening forms and STR layout</t>
        </is>
      </c>
      <c r="D77" s="14" t="inlineStr">
        <is>
          <t>The screening forms and the STR report layout Compliance submits</t>
        </is>
      </c>
      <c r="E77" s="14" t="inlineStr">
        <is>
          <t>Compliance</t>
        </is>
      </c>
      <c r="F77" s="14" t="inlineStr">
        <is>
          <t>16-Jul-2027 – Values for UAT</t>
        </is>
      </c>
      <c r="G77" s="14" t="inlineStr">
        <is>
          <t>Screen</t>
        </is>
      </c>
      <c r="H77" s="14" t="inlineStr">
        <is>
          <t>Setup &amp; Administration › Compliance Setup › Templates</t>
        </is>
      </c>
      <c r="I77" s="14" t="inlineStr">
        <is>
          <t>This index row (decision and values in BDOI comments)</t>
        </is>
      </c>
      <c r="J77" s="14" t="inlineStr">
        <is>
          <t>-</t>
        </is>
      </c>
      <c r="K77" s="14" t="inlineStr"/>
      <c r="L77" s="14" t="inlineStr"/>
      <c r="M77" s="14" t="inlineStr">
        <is>
          <t>Not started</t>
        </is>
      </c>
      <c r="N77" s="14" t="n"/>
      <c r="O77" s="16" t="n"/>
      <c r="P77" s="14" t="inlineStr"/>
    </row>
    <row r="78" ht="43" customHeight="1">
      <c r="A78" s="18" t="n">
        <v>56</v>
      </c>
      <c r="B78" s="19" t="inlineStr">
        <is>
          <t>CFG-102</t>
        </is>
      </c>
      <c r="C78" s="20" t="inlineStr">
        <is>
          <t>Business partners other than insurers (suppliers, service providers)</t>
        </is>
      </c>
      <c r="D78" s="20" t="inlineStr">
        <is>
          <t>Suppliers and other partners paid through Payables, with TIN, address and bank details</t>
        </is>
      </c>
      <c r="E78" s="20" t="inlineStr">
        <is>
          <t>Head, Comptrollership</t>
        </is>
      </c>
      <c r="F78" s="20" t="inlineStr">
        <is>
          <t>16-Jul-2027 – Values for UAT</t>
        </is>
      </c>
      <c r="G78" s="20" t="inlineStr">
        <is>
          <t>Screen</t>
        </is>
      </c>
      <c r="H78" s="20" t="inlineStr">
        <is>
          <t>Setup &amp; Administration › Setup › Business Partners</t>
        </is>
      </c>
      <c r="I78" s="20" t="inlineStr">
        <is>
          <t>This index row (decision and values in BDOI comments)</t>
        </is>
      </c>
      <c r="J78" s="20" t="inlineStr">
        <is>
          <t>-</t>
        </is>
      </c>
      <c r="K78" s="20" t="inlineStr"/>
      <c r="L78" s="20" t="inlineStr"/>
      <c r="M78" s="20" t="inlineStr">
        <is>
          <t>Not started</t>
        </is>
      </c>
      <c r="N78" s="20" t="n"/>
      <c r="O78" s="21" t="n"/>
      <c r="P78" s="20" t="inlineStr"/>
    </row>
    <row r="79" ht="43" customHeight="1">
      <c r="A79" s="12" t="n">
        <v>57</v>
      </c>
      <c r="B79" s="13" t="inlineStr">
        <is>
          <t>CFG-104</t>
        </is>
      </c>
      <c r="C79" s="14" t="inlineStr">
        <is>
          <t>Insurer location references (claims)</t>
        </is>
      </c>
      <c r="D79" s="14" t="inlineStr">
        <is>
          <t>The claim location references of each insurer, entered or uploaded on Insurer Location References</t>
        </is>
      </c>
      <c r="E79" s="14" t="inlineStr">
        <is>
          <t>Product Owner, Claims</t>
        </is>
      </c>
      <c r="F79" s="14" t="inlineStr">
        <is>
          <t>16-Jul-2027 – Values for UAT</t>
        </is>
      </c>
      <c r="G79" s="14" t="inlineStr">
        <is>
          <t>Screen</t>
        </is>
      </c>
      <c r="H79" s="14" t="inlineStr">
        <is>
          <t>Claims › Claims Handling › Insurer Location References</t>
        </is>
      </c>
      <c r="I79" s="14" t="inlineStr">
        <is>
          <t>This index row (decision and values in BDOI comments)</t>
        </is>
      </c>
      <c r="J79" s="14" t="inlineStr">
        <is>
          <t>-</t>
        </is>
      </c>
      <c r="K79" s="14" t="inlineStr"/>
      <c r="L79" s="14" t="inlineStr"/>
      <c r="M79" s="14" t="inlineStr">
        <is>
          <t>Not started</t>
        </is>
      </c>
      <c r="N79" s="14" t="n"/>
      <c r="O79" s="16" t="n"/>
      <c r="P79" s="14" t="inlineStr"/>
    </row>
    <row r="80" ht="30" customHeight="1">
      <c r="A80" s="18" t="n">
        <v>58</v>
      </c>
      <c r="B80" s="19" t="inlineStr">
        <is>
          <t>CFG-115</t>
        </is>
      </c>
      <c r="C80" s="20" t="inlineStr">
        <is>
          <t>User scope of Submitted Policies</t>
        </is>
      </c>
      <c r="D80" s="20" t="inlineStr">
        <is>
          <t>The segments and units each Submitted Policies user may see</t>
        </is>
      </c>
      <c r="E80" s="20" t="inlineStr">
        <is>
          <t>Product Owner, Submitted Policies</t>
        </is>
      </c>
      <c r="F80" s="20" t="inlineStr">
        <is>
          <t>16-Jul-2027 – Values for UAT</t>
        </is>
      </c>
      <c r="G80" s="20" t="inlineStr">
        <is>
          <t>Screen</t>
        </is>
      </c>
      <c r="H80" s="20" t="inlineStr">
        <is>
          <t>Client &amp; Policy › Submitted Policies › Submitted Policies Setup</t>
        </is>
      </c>
      <c r="I80" s="20" t="inlineStr">
        <is>
          <t>This index row (decision and values in BDOI comments)</t>
        </is>
      </c>
      <c r="J80" s="20" t="inlineStr">
        <is>
          <t>-</t>
        </is>
      </c>
      <c r="K80" s="20" t="inlineStr"/>
      <c r="L80" s="20" t="inlineStr"/>
      <c r="M80" s="20" t="inlineStr">
        <is>
          <t>Not started</t>
        </is>
      </c>
      <c r="N80" s="20" t="n"/>
      <c r="O80" s="21" t="n"/>
      <c r="P80" s="20" t="inlineStr"/>
    </row>
    <row r="81" ht="30" customHeight="1">
      <c r="A81" s="12" t="n">
        <v>59</v>
      </c>
      <c r="B81" s="13" t="inlineStr">
        <is>
          <t>CFG-120</t>
        </is>
      </c>
      <c r="C81" s="14" t="inlineStr">
        <is>
          <t>Booking rules and incentive rules</t>
        </is>
      </c>
      <c r="D81" s="14" t="inlineStr">
        <is>
          <t>The automatic booking rules and the booking incentive rules</t>
        </is>
      </c>
      <c r="E81" s="14" t="inlineStr">
        <is>
          <t>Product Owner, BDOI (New Business)</t>
        </is>
      </c>
      <c r="F81" s="14" t="inlineStr">
        <is>
          <t>16-Jul-2027 – Values for UAT</t>
        </is>
      </c>
      <c r="G81" s="14" t="inlineStr">
        <is>
          <t>Screen</t>
        </is>
      </c>
      <c r="H81" s="14" t="inlineStr">
        <is>
          <t>Client &amp; Policy › Booking › Booking Setup</t>
        </is>
      </c>
      <c r="I81" s="14" t="inlineStr">
        <is>
          <t>This index row (decision and values in BDOI comments)</t>
        </is>
      </c>
      <c r="J81" s="14" t="inlineStr">
        <is>
          <t>-</t>
        </is>
      </c>
      <c r="K81" s="14" t="inlineStr"/>
      <c r="L81" s="14" t="inlineStr"/>
      <c r="M81" s="14" t="inlineStr">
        <is>
          <t>Not started</t>
        </is>
      </c>
      <c r="N81" s="14" t="n"/>
      <c r="O81" s="16" t="n"/>
      <c r="P81" s="14" t="inlineStr"/>
    </row>
    <row r="82" ht="30" customHeight="1">
      <c r="A82" s="18" t="n">
        <v>60</v>
      </c>
      <c r="B82" s="19" t="inlineStr">
        <is>
          <t>CFG-121</t>
        </is>
      </c>
      <c r="C82" s="20" t="inlineStr">
        <is>
          <t>Remittance incentive rules</t>
        </is>
      </c>
      <c r="D82" s="20" t="inlineStr">
        <is>
          <t>The incentive deductions applied at remittance</t>
        </is>
      </c>
      <c r="E82" s="20" t="inlineStr">
        <is>
          <t>Head, Operations Services</t>
        </is>
      </c>
      <c r="F82" s="20" t="inlineStr">
        <is>
          <t>16-Jul-2027 – Values for UAT</t>
        </is>
      </c>
      <c r="G82" s="20" t="inlineStr">
        <is>
          <t>Screen</t>
        </is>
      </c>
      <c r="H82" s="20" t="inlineStr">
        <is>
          <t>Finance › Remittance › Incentive Rules</t>
        </is>
      </c>
      <c r="I82" s="20" t="inlineStr">
        <is>
          <t>This index row (decision and values in BDOI comments)</t>
        </is>
      </c>
      <c r="J82" s="20" t="inlineStr">
        <is>
          <t>-</t>
        </is>
      </c>
      <c r="K82" s="20" t="inlineStr"/>
      <c r="L82" s="20" t="inlineStr"/>
      <c r="M82" s="20" t="inlineStr">
        <is>
          <t>Not started</t>
        </is>
      </c>
      <c r="N82" s="20" t="n"/>
      <c r="O82" s="21" t="n"/>
      <c r="P82" s="20" t="inlineStr"/>
    </row>
    <row r="83" ht="30" customHeight="1">
      <c r="A83" s="12" t="n">
        <v>61</v>
      </c>
      <c r="B83" s="13" t="inlineStr">
        <is>
          <t>CFG-122</t>
        </is>
      </c>
      <c r="C83" s="14" t="inlineStr">
        <is>
          <t>Commission incentive schemes</t>
        </is>
      </c>
      <c r="D83" s="14" t="inlineStr">
        <is>
          <t>The commission incentive schemes and their rates</t>
        </is>
      </c>
      <c r="E83" s="14" t="inlineStr">
        <is>
          <t>VP and Head, BDOI Operations (Collections)</t>
        </is>
      </c>
      <c r="F83" s="14" t="inlineStr">
        <is>
          <t>16-Jul-2027 – Values for UAT</t>
        </is>
      </c>
      <c r="G83" s="14" t="inlineStr">
        <is>
          <t>Screen</t>
        </is>
      </c>
      <c r="H83" s="14" t="inlineStr">
        <is>
          <t>Finance › Commission Receivables › Incentive Schemes</t>
        </is>
      </c>
      <c r="I83" s="14" t="inlineStr">
        <is>
          <t>This index row (decision and values in BDOI comments)</t>
        </is>
      </c>
      <c r="J83" s="14" t="inlineStr">
        <is>
          <t>-</t>
        </is>
      </c>
      <c r="K83" s="14" t="inlineStr"/>
      <c r="L83" s="14" t="inlineStr"/>
      <c r="M83" s="14" t="inlineStr">
        <is>
          <t>Not started</t>
        </is>
      </c>
      <c r="N83" s="14" t="n"/>
      <c r="O83" s="16" t="n"/>
      <c r="P83" s="14" t="inlineStr"/>
    </row>
    <row r="84" ht="43" customHeight="1">
      <c r="A84" s="18" t="n">
        <v>62</v>
      </c>
      <c r="B84" s="19" t="inlineStr">
        <is>
          <t>CFG-123</t>
        </is>
      </c>
      <c r="C84" s="20" t="inlineStr">
        <is>
          <t>Collections assignment and escalation rules</t>
        </is>
      </c>
      <c r="D84" s="20" t="inlineStr">
        <is>
          <t>How accounts are assigned to collectors and when they escalate to the team lead and the unit head</t>
        </is>
      </c>
      <c r="E84" s="20" t="inlineStr">
        <is>
          <t>VP and Head, BDOI Operations (Collections)</t>
        </is>
      </c>
      <c r="F84" s="20" t="inlineStr">
        <is>
          <t>16-Jul-2027 – Values for UAT</t>
        </is>
      </c>
      <c r="G84" s="20" t="inlineStr">
        <is>
          <t>Screen</t>
        </is>
      </c>
      <c r="H84" s="20" t="inlineStr">
        <is>
          <t>Finance › Collections › Collections Setup</t>
        </is>
      </c>
      <c r="I84" s="20" t="inlineStr">
        <is>
          <t>This index row (decision and values in BDOI comments)</t>
        </is>
      </c>
      <c r="J84" s="20" t="inlineStr">
        <is>
          <t>-</t>
        </is>
      </c>
      <c r="K84" s="20" t="inlineStr"/>
      <c r="L84" s="20" t="inlineStr"/>
      <c r="M84" s="20" t="inlineStr">
        <is>
          <t>Not started</t>
        </is>
      </c>
      <c r="N84" s="20" t="n"/>
      <c r="O84" s="21" t="n"/>
      <c r="P84" s="20" t="inlineStr"/>
    </row>
    <row r="85" ht="30" customHeight="1">
      <c r="A85" s="12" t="n">
        <v>63</v>
      </c>
      <c r="B85" s="13" t="inlineStr">
        <is>
          <t>CFG-124</t>
        </is>
      </c>
      <c r="C85" s="14" t="inlineStr">
        <is>
          <t>Renewal buckets and decision matrix</t>
        </is>
      </c>
      <c r="D85" s="14" t="inlineStr">
        <is>
          <t>The renewal bucket rules, the decision matrix and the non-renewable risk codes</t>
        </is>
      </c>
      <c r="E85" s="14" t="inlineStr">
        <is>
          <t>Product Owner, Renewal</t>
        </is>
      </c>
      <c r="F85" s="14" t="inlineStr">
        <is>
          <t>16-Jul-2027 – Values for UAT</t>
        </is>
      </c>
      <c r="G85" s="14" t="inlineStr">
        <is>
          <t>Screen</t>
        </is>
      </c>
      <c r="H85" s="14" t="inlineStr">
        <is>
          <t>Client &amp; Policy › Renewal › Renewal Setup</t>
        </is>
      </c>
      <c r="I85" s="14" t="inlineStr">
        <is>
          <t>This index row (decision and values in BDOI comments)</t>
        </is>
      </c>
      <c r="J85" s="14" t="inlineStr">
        <is>
          <t>-</t>
        </is>
      </c>
      <c r="K85" s="14" t="inlineStr"/>
      <c r="L85" s="14" t="inlineStr"/>
      <c r="M85" s="14" t="inlineStr">
        <is>
          <t>Not started</t>
        </is>
      </c>
      <c r="N85" s="14" t="n"/>
      <c r="O85" s="16" t="n"/>
      <c r="P85" s="14" t="inlineStr"/>
    </row>
    <row r="86" ht="30" customHeight="1">
      <c r="A86" s="18" t="n">
        <v>64</v>
      </c>
      <c r="B86" s="19" t="inlineStr">
        <is>
          <t>CFG-125</t>
        </is>
      </c>
      <c r="C86" s="20" t="inlineStr">
        <is>
          <t>Submitted Policies rules, limits and letters</t>
        </is>
      </c>
      <c r="D86" s="20" t="inlineStr">
        <is>
          <t>The processing rules, insurer rules and limits, and the letter rules of Submitted Policies</t>
        </is>
      </c>
      <c r="E86" s="20" t="inlineStr">
        <is>
          <t>Product Owner, Submitted Policies</t>
        </is>
      </c>
      <c r="F86" s="20" t="inlineStr">
        <is>
          <t>16-Jul-2027 – Values for UAT</t>
        </is>
      </c>
      <c r="G86" s="20" t="inlineStr">
        <is>
          <t>Screen</t>
        </is>
      </c>
      <c r="H86" s="20" t="inlineStr">
        <is>
          <t>Client &amp; Policy › Submitted Policies › Submitted Policies Setup</t>
        </is>
      </c>
      <c r="I86" s="20" t="inlineStr">
        <is>
          <t>This index row (decision and values in BDOI comments)</t>
        </is>
      </c>
      <c r="J86" s="20" t="inlineStr">
        <is>
          <t>-</t>
        </is>
      </c>
      <c r="K86" s="20" t="inlineStr"/>
      <c r="L86" s="20" t="inlineStr"/>
      <c r="M86" s="20" t="inlineStr">
        <is>
          <t>Not started</t>
        </is>
      </c>
      <c r="N86" s="20" t="n"/>
      <c r="O86" s="21" t="n"/>
      <c r="P86" s="20" t="inlineStr"/>
    </row>
    <row r="87" ht="43" customHeight="1">
      <c r="A87" s="12" t="n">
        <v>65</v>
      </c>
      <c r="B87" s="13" t="inlineStr">
        <is>
          <t>CFG-126</t>
        </is>
      </c>
      <c r="C87" s="14" t="inlineStr">
        <is>
          <t>Screening configuration</t>
        </is>
      </c>
      <c r="D87" s="14" t="inlineStr">
        <is>
          <t>Match rules, risk categories and rules, assignment, service levels and validation rules of Sanction Screening</t>
        </is>
      </c>
      <c r="E87" s="14" t="inlineStr">
        <is>
          <t>Compliance</t>
        </is>
      </c>
      <c r="F87" s="14" t="inlineStr">
        <is>
          <t>16-Jul-2027 – Values for UAT</t>
        </is>
      </c>
      <c r="G87" s="14" t="inlineStr">
        <is>
          <t>Screen</t>
        </is>
      </c>
      <c r="H87" s="14" t="inlineStr">
        <is>
          <t>Setup &amp; Administration › Compliance Setup › Configuration Versions</t>
        </is>
      </c>
      <c r="I87" s="14" t="inlineStr">
        <is>
          <t>This index row (decision and values in BDOI comments)</t>
        </is>
      </c>
      <c r="J87" s="14" t="inlineStr">
        <is>
          <t>-</t>
        </is>
      </c>
      <c r="K87" s="14" t="inlineStr"/>
      <c r="L87" s="14" t="inlineStr"/>
      <c r="M87" s="14" t="inlineStr">
        <is>
          <t>Not started</t>
        </is>
      </c>
      <c r="N87" s="14" t="n"/>
      <c r="O87" s="16" t="n"/>
      <c r="P87" s="14" t="inlineStr"/>
    </row>
    <row r="88" ht="30" customHeight="1">
      <c r="A88" s="18" t="n">
        <v>66</v>
      </c>
      <c r="B88" s="19" t="inlineStr">
        <is>
          <t>CFG-127</t>
        </is>
      </c>
      <c r="C88" s="20" t="inlineStr">
        <is>
          <t>Watchlist sources and entries</t>
        </is>
      </c>
      <c r="D88" s="20" t="inlineStr">
        <is>
          <t>The sanctions and PEP list sources, their load schedule and the first load</t>
        </is>
      </c>
      <c r="E88" s="20" t="inlineStr">
        <is>
          <t>Compliance</t>
        </is>
      </c>
      <c r="F88" s="20" t="inlineStr">
        <is>
          <t>16-Jul-2027 – Values for UAT</t>
        </is>
      </c>
      <c r="G88" s="20" t="inlineStr">
        <is>
          <t>Screen</t>
        </is>
      </c>
      <c r="H88" s="20" t="inlineStr">
        <is>
          <t>Setup &amp; Administration › Compliance Setup › List Sources and Runs</t>
        </is>
      </c>
      <c r="I88" s="20" t="inlineStr">
        <is>
          <t>This index row (decision and values in BDOI comments)</t>
        </is>
      </c>
      <c r="J88" s="20" t="inlineStr">
        <is>
          <t>-</t>
        </is>
      </c>
      <c r="K88" s="20" t="inlineStr"/>
      <c r="L88" s="20" t="inlineStr"/>
      <c r="M88" s="20" t="inlineStr">
        <is>
          <t>Not started</t>
        </is>
      </c>
      <c r="N88" s="20" t="n"/>
      <c r="O88" s="21" t="n"/>
      <c r="P88" s="20" t="inlineStr"/>
    </row>
    <row r="89" ht="30" customHeight="1">
      <c r="A89" s="12" t="n">
        <v>67</v>
      </c>
      <c r="B89" s="13" t="inlineStr">
        <is>
          <t>CFG-128</t>
        </is>
      </c>
      <c r="C89" s="14" t="inlineStr">
        <is>
          <t>Employee Benefits set-up</t>
        </is>
      </c>
      <c r="D89" s="14" t="inlineStr">
        <is>
          <t>The required documents per process and the other Employee Benefits settings</t>
        </is>
      </c>
      <c r="E89" s="14" t="inlineStr">
        <is>
          <t>Product Owner, Employee Benefits</t>
        </is>
      </c>
      <c r="F89" s="14" t="inlineStr">
        <is>
          <t>16-Jul-2027 – Values for UAT</t>
        </is>
      </c>
      <c r="G89" s="14" t="inlineStr">
        <is>
          <t>Screen</t>
        </is>
      </c>
      <c r="H89" s="14" t="inlineStr">
        <is>
          <t>Client &amp; Policy › Employee Benefits › EB Setup</t>
        </is>
      </c>
      <c r="I89" s="14" t="inlineStr">
        <is>
          <t>This index row (decision and values in BDOI comments)</t>
        </is>
      </c>
      <c r="J89" s="14" t="inlineStr">
        <is>
          <t>-</t>
        </is>
      </c>
      <c r="K89" s="14" t="inlineStr"/>
      <c r="L89" s="14" t="inlineStr"/>
      <c r="M89" s="14" t="inlineStr">
        <is>
          <t>Not started</t>
        </is>
      </c>
      <c r="N89" s="14" t="n"/>
      <c r="O89" s="16" t="n"/>
      <c r="P89" s="14" t="inlineStr"/>
    </row>
    <row r="90" ht="30" customHeight="1">
      <c r="A90" s="18" t="n">
        <v>68</v>
      </c>
      <c r="B90" s="19" t="inlineStr">
        <is>
          <t>CFG-129</t>
        </is>
      </c>
      <c r="C90" s="20" t="inlineStr">
        <is>
          <t>Claims handlers and set-up</t>
        </is>
      </c>
      <c r="D90" s="20" t="inlineStr">
        <is>
          <t>The claims handlers per unit and the Claims settings</t>
        </is>
      </c>
      <c r="E90" s="20" t="inlineStr">
        <is>
          <t>Product Owner, Claims</t>
        </is>
      </c>
      <c r="F90" s="20" t="inlineStr">
        <is>
          <t>16-Jul-2027 – Values for UAT</t>
        </is>
      </c>
      <c r="G90" s="20" t="inlineStr">
        <is>
          <t>Screen</t>
        </is>
      </c>
      <c r="H90" s="20" t="inlineStr">
        <is>
          <t>Claims › Claims Handling › Claims Setup</t>
        </is>
      </c>
      <c r="I90" s="20" t="inlineStr">
        <is>
          <t>This index row (decision and values in BDOI comments)</t>
        </is>
      </c>
      <c r="J90" s="20" t="inlineStr">
        <is>
          <t>-</t>
        </is>
      </c>
      <c r="K90" s="20" t="inlineStr"/>
      <c r="L90" s="20" t="inlineStr"/>
      <c r="M90" s="20" t="inlineStr">
        <is>
          <t>Not started</t>
        </is>
      </c>
      <c r="N90" s="20" t="n"/>
      <c r="O90" s="21" t="n"/>
      <c r="P90" s="20" t="inlineStr"/>
    </row>
    <row r="91" ht="30" customHeight="1">
      <c r="A91" s="12" t="n">
        <v>69</v>
      </c>
      <c r="B91" s="13" t="inlineStr">
        <is>
          <t>CFG-130</t>
        </is>
      </c>
      <c r="C91" s="14" t="inlineStr">
        <is>
          <t>Production reconciliation extract schedules</t>
        </is>
      </c>
      <c r="D91" s="14" t="inlineStr">
        <is>
          <t>The insurers and the schedule of the production extracts sent for reconciliation</t>
        </is>
      </c>
      <c r="E91" s="14" t="inlineStr">
        <is>
          <t>Head, Operations Services</t>
        </is>
      </c>
      <c r="F91" s="14" t="inlineStr">
        <is>
          <t>16-Jul-2027 – Values for UAT</t>
        </is>
      </c>
      <c r="G91" s="14" t="inlineStr">
        <is>
          <t>Screen</t>
        </is>
      </c>
      <c r="H91" s="14" t="inlineStr">
        <is>
          <t>Client &amp; Policy › Production Reconciliation › Extract Schedules</t>
        </is>
      </c>
      <c r="I91" s="14" t="inlineStr">
        <is>
          <t>This index row (decision and values in BDOI comments)</t>
        </is>
      </c>
      <c r="J91" s="14" t="inlineStr">
        <is>
          <t>-</t>
        </is>
      </c>
      <c r="K91" s="14" t="inlineStr"/>
      <c r="L91" s="14" t="inlineStr"/>
      <c r="M91" s="14" t="inlineStr">
        <is>
          <t>Not started</t>
        </is>
      </c>
      <c r="N91" s="14" t="n"/>
      <c r="O91" s="16" t="n"/>
      <c r="P91" s="14" t="inlineStr"/>
    </row>
    <row r="92" ht="30" customHeight="1">
      <c r="A92" s="18" t="n">
        <v>70</v>
      </c>
      <c r="B92" s="19" t="inlineStr">
        <is>
          <t>CFG-131</t>
        </is>
      </c>
      <c r="C92" s="20" t="inlineStr">
        <is>
          <t>New Business report variants</t>
        </is>
      </c>
      <c r="D92" s="20" t="inlineStr">
        <is>
          <t>The report variants the units use</t>
        </is>
      </c>
      <c r="E92" s="20" t="inlineStr">
        <is>
          <t>Product Owner, BDOI (New Business)</t>
        </is>
      </c>
      <c r="F92" s="20" t="inlineStr">
        <is>
          <t>16-Jul-2027 – Values for UAT</t>
        </is>
      </c>
      <c r="G92" s="20" t="inlineStr">
        <is>
          <t>Screen</t>
        </is>
      </c>
      <c r="H92" s="20" t="inlineStr">
        <is>
          <t>Reports › New Business Reports › New Business Reports</t>
        </is>
      </c>
      <c r="I92" s="20" t="inlineStr">
        <is>
          <t>This index row (decision and values in BDOI comments)</t>
        </is>
      </c>
      <c r="J92" s="20" t="inlineStr">
        <is>
          <t>-</t>
        </is>
      </c>
      <c r="K92" s="20" t="inlineStr"/>
      <c r="L92" s="20" t="inlineStr"/>
      <c r="M92" s="20" t="inlineStr">
        <is>
          <t>Not started</t>
        </is>
      </c>
      <c r="N92" s="20" t="n"/>
      <c r="O92" s="21" t="n"/>
      <c r="P92" s="20" t="inlineStr"/>
    </row>
    <row r="93" ht="43" customHeight="1">
      <c r="A93" s="12" t="n">
        <v>71</v>
      </c>
      <c r="B93" s="13" t="inlineStr">
        <is>
          <t>CFG-110</t>
        </is>
      </c>
      <c r="C93" s="14" t="inlineStr">
        <is>
          <t>Users at go-live</t>
        </is>
      </c>
      <c r="D93" s="14" t="inlineStr">
        <is>
          <t>BRD-11 template CI-01, uploaded as a bulk request and approved; users are not migrated (R10 excluded, legacy user IDs only mapped)</t>
        </is>
      </c>
      <c r="E93" s="14" t="inlineStr">
        <is>
          <t>Business Administration, with the unit heads who name their users</t>
        </is>
      </c>
      <c r="F93" s="14" t="inlineStr">
        <is>
          <t>1-Nov-2027 – Production values before the dress rehearsal</t>
        </is>
      </c>
      <c r="G93" s="14" t="inlineStr">
        <is>
          <t>Template</t>
        </is>
      </c>
      <c r="H93" s="14" t="inlineStr">
        <is>
          <t>Setup &amp; Administration › User Access › Bulk Request</t>
        </is>
      </c>
      <c r="I93" s="14" t="inlineStr">
        <is>
          <t>BRD-11 template CI-01, sheet UA-01 Users and roles</t>
        </is>
      </c>
      <c r="J93" s="14" t="inlineStr">
        <is>
          <t>UA-06, UA-02</t>
        </is>
      </c>
      <c r="K93" s="15">
        <f>'UA-01 Users and roles'!$C$9</f>
        <v/>
      </c>
      <c r="L93" s="15">
        <f>'UA-01 Users and roles'!$E$9</f>
        <v/>
      </c>
      <c r="M93" s="14" t="inlineStr">
        <is>
          <t>Not started</t>
        </is>
      </c>
      <c r="N93" s="14" t="n"/>
      <c r="O93" s="16" t="n"/>
      <c r="P93" s="17" t="inlineStr">
        <is>
          <t>UA-01 →</t>
        </is>
      </c>
    </row>
    <row r="94" ht="43" customHeight="1">
      <c r="A94" s="18" t="n">
        <v>72</v>
      </c>
      <c r="B94" s="19" t="inlineStr">
        <is>
          <t>CFG-094</t>
        </is>
      </c>
      <c r="C94" s="20" t="inlineStr">
        <is>
          <t>Packages in force at go-live</t>
        </is>
      </c>
      <c r="D94" s="20" t="inlineStr">
        <is>
          <t>BRD-03 template CI-06: one package request per package, set up and validated before the map freeze</t>
        </is>
      </c>
      <c r="E94" s="20" t="inlineStr">
        <is>
          <t>TSU (prepares); Product Owner, MBS (approves)</t>
        </is>
      </c>
      <c r="F94" s="20" t="inlineStr">
        <is>
          <t>1-Nov-2027 – Production values before the dress rehearsal</t>
        </is>
      </c>
      <c r="G94" s="20" t="inlineStr">
        <is>
          <t>Template</t>
        </is>
      </c>
      <c r="H94" s="20" t="inlineStr">
        <is>
          <t>Client &amp; Policy › Product Maintenance › New Package Request</t>
        </is>
      </c>
      <c r="I94" s="20" t="inlineStr">
        <is>
          <t>BRD-03 template CI-06, sheet PM-06 Packages</t>
        </is>
      </c>
      <c r="J94" s="20" t="inlineStr">
        <is>
          <t>PM-01, PM-02, PM-05, PM-03</t>
        </is>
      </c>
      <c r="K94" s="22">
        <f>'PM-06 Packages'!$C$9</f>
        <v/>
      </c>
      <c r="L94" s="22">
        <f>'PM-06 Packages'!$E$9</f>
        <v/>
      </c>
      <c r="M94" s="20" t="inlineStr">
        <is>
          <t>Not started</t>
        </is>
      </c>
      <c r="N94" s="20" t="n"/>
      <c r="O94" s="21" t="n"/>
      <c r="P94" s="23" t="inlineStr">
        <is>
          <t>PM-06 →</t>
        </is>
      </c>
    </row>
    <row r="95" ht="43" customHeight="1">
      <c r="A95" s="12" t="n">
        <v>73</v>
      </c>
      <c r="B95" s="13" t="inlineStr">
        <is>
          <t>CFG-041</t>
        </is>
      </c>
      <c r="C95" s="14" t="inlineStr">
        <is>
          <t>Check books</t>
        </is>
      </c>
      <c r="D95" s="14" t="inlineStr">
        <is>
          <t>The check books in stock per bank account at go-live: first, last and next check number</t>
        </is>
      </c>
      <c r="E95" s="14" t="inlineStr">
        <is>
          <t>Treasury; Product Owner, Comptrollership - Disbursement</t>
        </is>
      </c>
      <c r="F95" s="14" t="inlineStr">
        <is>
          <t>1-Nov-2027 – Production values before the dress rehearsal</t>
        </is>
      </c>
      <c r="G95" s="14" t="inlineStr">
        <is>
          <t>Template</t>
        </is>
      </c>
      <c r="H95" s="14" t="inlineStr">
        <is>
          <t>Finance › Disbursement › Bank Accounts and Checks</t>
        </is>
      </c>
      <c r="I95" s="14" t="inlineStr">
        <is>
          <t>Drop 0 template D0-12, sheet D0-12 Check books</t>
        </is>
      </c>
      <c r="J95" s="14" t="inlineStr">
        <is>
          <t>D0-11</t>
        </is>
      </c>
      <c r="K95" s="15">
        <f>'D0-12 Check books'!$C$9</f>
        <v/>
      </c>
      <c r="L95" s="15">
        <f>'D0-12 Check books'!$E$9</f>
        <v/>
      </c>
      <c r="M95" s="14" t="inlineStr">
        <is>
          <t>Not started</t>
        </is>
      </c>
      <c r="N95" s="14" t="n"/>
      <c r="O95" s="16" t="n"/>
      <c r="P95" s="17" t="inlineStr">
        <is>
          <t>D0-12 →</t>
        </is>
      </c>
    </row>
    <row r="96" ht="43" customHeight="1">
      <c r="A96" s="18" t="n">
        <v>74</v>
      </c>
      <c r="B96" s="19" t="inlineStr">
        <is>
          <t>CFG-042</t>
        </is>
      </c>
      <c r="C96" s="20" t="inlineStr">
        <is>
          <t>Petty cash funds</t>
        </is>
      </c>
      <c r="D96" s="20" t="inlineStr">
        <is>
          <t>Each petty cash fund: branch, custodian, imprest amount, GL account and replenishment bank account</t>
        </is>
      </c>
      <c r="E96" s="20" t="inlineStr">
        <is>
          <t>Head, Comptrollership</t>
        </is>
      </c>
      <c r="F96" s="20" t="inlineStr">
        <is>
          <t>1-Nov-2027 – Production values before the dress rehearsal</t>
        </is>
      </c>
      <c r="G96" s="20" t="inlineStr">
        <is>
          <t>Template</t>
        </is>
      </c>
      <c r="H96" s="20" t="inlineStr">
        <is>
          <t>Finance › Payables &amp; Cash › Petty Cash</t>
        </is>
      </c>
      <c r="I96" s="20" t="inlineStr">
        <is>
          <t>Drop 0 template D0-13, sheet D0-13 Petty cash funds</t>
        </is>
      </c>
      <c r="J96" s="20" t="inlineStr">
        <is>
          <t>D0-02, D0-05, D0-06, D0-11</t>
        </is>
      </c>
      <c r="K96" s="22">
        <f>'D0-13 Petty cash funds'!$C$9</f>
        <v/>
      </c>
      <c r="L96" s="22">
        <f>'D0-13 Petty cash funds'!$E$9</f>
        <v/>
      </c>
      <c r="M96" s="20" t="inlineStr">
        <is>
          <t>Not started</t>
        </is>
      </c>
      <c r="N96" s="20" t="n"/>
      <c r="O96" s="21" t="n"/>
      <c r="P96" s="23" t="inlineStr">
        <is>
          <t>D0-13 →</t>
        </is>
      </c>
    </row>
    <row r="97" ht="43" customHeight="1">
      <c r="A97" s="12" t="n">
        <v>75</v>
      </c>
      <c r="B97" s="13" t="inlineStr">
        <is>
          <t>CFG-009</t>
        </is>
      </c>
      <c r="C97" s="14" t="inlineStr">
        <is>
          <t>Financial year and periods</t>
        </is>
      </c>
      <c r="D97" s="14" t="inlineStr">
        <is>
          <t>Financial year 2028 and its periods, opened by Comptrollership; FY2027 stays in legacy (year-end option A)</t>
        </is>
      </c>
      <c r="E97" s="14" t="inlineStr">
        <is>
          <t>Head, Comptrollership</t>
        </is>
      </c>
      <c r="F97" s="14" t="inlineStr">
        <is>
          <t>1-Nov-2027 – Production values before the dress rehearsal</t>
        </is>
      </c>
      <c r="G97" s="14" t="inlineStr">
        <is>
          <t>Screen</t>
        </is>
      </c>
      <c r="H97" s="14" t="inlineStr">
        <is>
          <t>Finance › General Ledger › Financial Periods</t>
        </is>
      </c>
      <c r="I97" s="14" t="inlineStr">
        <is>
          <t>This index row (decision and values in BDOI comments)</t>
        </is>
      </c>
      <c r="J97" s="14" t="inlineStr">
        <is>
          <t>-</t>
        </is>
      </c>
      <c r="K97" s="14" t="inlineStr"/>
      <c r="L97" s="14" t="inlineStr"/>
      <c r="M97" s="14" t="inlineStr">
        <is>
          <t>Not started</t>
        </is>
      </c>
      <c r="N97" s="14" t="n"/>
      <c r="O97" s="16" t="n"/>
      <c r="P97" s="14" t="inlineStr"/>
    </row>
    <row r="98" ht="43" customHeight="1">
      <c r="A98" s="18" t="n">
        <v>76</v>
      </c>
      <c r="B98" s="19" t="inlineStr">
        <is>
          <t>CFG-027</t>
        </is>
      </c>
      <c r="C98" s="20" t="inlineStr">
        <is>
          <t>Recurring journals</t>
        </is>
      </c>
      <c r="D98" s="20" t="inlineStr">
        <is>
          <t>The monthly accruals and allocations Comptrollership posts as recurring journals from January 2028</t>
        </is>
      </c>
      <c r="E98" s="20" t="inlineStr">
        <is>
          <t>Head, Comptrollership</t>
        </is>
      </c>
      <c r="F98" s="20" t="inlineStr">
        <is>
          <t>1-Nov-2027 – Production values before the dress rehearsal</t>
        </is>
      </c>
      <c r="G98" s="20" t="inlineStr">
        <is>
          <t>Screen</t>
        </is>
      </c>
      <c r="H98" s="20" t="inlineStr">
        <is>
          <t>Finance › General Ledger › Recurring Journals</t>
        </is>
      </c>
      <c r="I98" s="20" t="inlineStr">
        <is>
          <t>This index row (decision and values in BDOI comments)</t>
        </is>
      </c>
      <c r="J98" s="20" t="inlineStr">
        <is>
          <t>-</t>
        </is>
      </c>
      <c r="K98" s="20" t="inlineStr"/>
      <c r="L98" s="20" t="inlineStr"/>
      <c r="M98" s="20" t="inlineStr">
        <is>
          <t>Not started</t>
        </is>
      </c>
      <c r="N98" s="20" t="n"/>
      <c r="O98" s="21" t="n"/>
      <c r="P98" s="20" t="inlineStr"/>
    </row>
    <row r="99" ht="69" customHeight="1">
      <c r="A99" s="12" t="n">
        <v>77</v>
      </c>
      <c r="B99" s="13" t="inlineStr">
        <is>
          <t>CFG-050</t>
        </is>
      </c>
      <c r="C99" s="14" t="inlineStr">
        <is>
          <t>Receipt series in use (AR and OR)</t>
        </is>
      </c>
      <c r="D99" s="14" t="inlineStr">
        <is>
          <t>The BIR-authorised AR and OR series of each branch in use at the freeze (ATP, range and next number), so BIBS continues them without gap or overlap</t>
        </is>
      </c>
      <c r="E99" s="14" t="inlineStr">
        <is>
          <t>Head, Operations Services</t>
        </is>
      </c>
      <c r="F99" s="14" t="inlineStr">
        <is>
          <t>27-Dec-2027 – Map freeze (T-7)</t>
        </is>
      </c>
      <c r="G99" s="14" t="inlineStr">
        <is>
          <t>Migration object</t>
        </is>
      </c>
      <c r="H99" s="14" t="inlineStr">
        <is>
          <t>Data migration object R11 Receipt series in use (AR and OR, ATP and next number); after go-live: Finance › Cashiering › Receipt Series</t>
        </is>
      </c>
      <c r="I99" s="14" t="inlineStr">
        <is>
          <t>Migration Workbook, layout R11</t>
        </is>
      </c>
      <c r="J99" s="14" t="inlineStr">
        <is>
          <t>-</t>
        </is>
      </c>
      <c r="K99" s="14" t="inlineStr"/>
      <c r="L99" s="14" t="inlineStr"/>
      <c r="M99" s="14" t="inlineStr">
        <is>
          <t>Not started</t>
        </is>
      </c>
      <c r="N99" s="14" t="n"/>
      <c r="O99" s="16" t="n"/>
      <c r="P99" s="17" t="inlineStr">
        <is>
          <t>R11 →</t>
        </is>
      </c>
    </row>
    <row r="101">
      <c r="A101" s="8" t="inlineStr">
        <is>
          <t>Due milestones</t>
        </is>
      </c>
    </row>
    <row r="102">
      <c r="A102" s="24" t="inlineStr">
        <is>
          <t>Due</t>
        </is>
      </c>
      <c r="B102" s="24" t="inlineStr">
        <is>
          <t>Milestone</t>
        </is>
      </c>
      <c r="C102" s="25" t="n"/>
      <c r="D102" s="5" t="n"/>
      <c r="E102" s="24" t="inlineStr">
        <is>
          <t>Due date</t>
        </is>
      </c>
      <c r="F102" s="24" t="inlineStr">
        <is>
          <t>Before go-live</t>
        </is>
      </c>
      <c r="G102" s="24" t="inlineStr">
        <is>
          <t>Items</t>
        </is>
      </c>
      <c r="H102" s="24" t="inlineStr">
        <is>
          <t>Why this date</t>
        </is>
      </c>
      <c r="I102" s="25" t="n"/>
      <c r="J102" s="25" t="n"/>
      <c r="K102" s="25" t="n"/>
      <c r="L102" s="25" t="n"/>
      <c r="M102" s="5" t="n"/>
    </row>
    <row r="103">
      <c r="A103" s="14" t="inlineStr">
        <is>
          <t>D1</t>
        </is>
      </c>
      <c r="B103" s="14" t="inlineStr">
        <is>
          <t>Drafts with the Drop 0 sign-off</t>
        </is>
      </c>
      <c r="C103" s="25" t="n"/>
      <c r="D103" s="5" t="n"/>
      <c r="E103" s="14" t="inlineStr">
        <is>
          <t>1-Dec-2026</t>
        </is>
      </c>
      <c r="F103" s="14" t="inlineStr">
        <is>
          <t>T-56 weeks</t>
        </is>
      </c>
      <c r="G103" s="14" t="n">
        <v>2</v>
      </c>
      <c r="H103" s="14" t="inlineStr">
        <is>
          <t>Sign-off of BRD-11 on 1-Dec-2026, the last of the three Drop 0 sets</t>
        </is>
      </c>
      <c r="I103" s="25" t="n"/>
      <c r="J103" s="25" t="n"/>
      <c r="K103" s="25" t="n"/>
      <c r="L103" s="25" t="n"/>
      <c r="M103" s="5" t="n"/>
    </row>
    <row r="104">
      <c r="A104" s="14" t="inlineStr">
        <is>
          <t>D2</t>
        </is>
      </c>
      <c r="B104" s="14" t="inlineStr">
        <is>
          <t>Platform set-up for Drop 1 SIT</t>
        </is>
      </c>
      <c r="C104" s="25" t="n"/>
      <c r="D104" s="5" t="n"/>
      <c r="E104" s="14" t="inlineStr">
        <is>
          <t>4-Jan-2027</t>
        </is>
      </c>
      <c r="F104" s="14" t="inlineStr">
        <is>
          <t>T-52 weeks</t>
        </is>
      </c>
      <c r="G104" s="14" t="n">
        <v>9</v>
      </c>
      <c r="H104" s="14" t="inlineStr">
        <is>
          <t>Drop 1 SIT runs Jan - Jul 2027 on the BDOI organisation, chart of accounts and banks</t>
        </is>
      </c>
      <c r="I104" s="25" t="n"/>
      <c r="J104" s="25" t="n"/>
      <c r="K104" s="25" t="n"/>
      <c r="L104" s="25" t="n"/>
      <c r="M104" s="5" t="n"/>
    </row>
    <row r="105">
      <c r="A105" s="14" t="inlineStr">
        <is>
          <t>D3</t>
        </is>
      </c>
      <c r="B105" s="14" t="inlineStr">
        <is>
          <t>Reference data for Trial migration 1 (M4)</t>
        </is>
      </c>
      <c r="C105" s="25" t="n"/>
      <c r="D105" s="5" t="n"/>
      <c r="E105" s="14" t="inlineStr">
        <is>
          <t>9-Apr-2027</t>
        </is>
      </c>
      <c r="F105" s="14" t="inlineStr">
        <is>
          <t>T-38 weeks</t>
        </is>
      </c>
      <c r="G105" s="14" t="n">
        <v>8</v>
      </c>
      <c r="H105" s="14" t="inlineStr">
        <is>
          <t>Extracts for Trial migration 1; reference data and clients first</t>
        </is>
      </c>
      <c r="I105" s="25" t="n"/>
      <c r="J105" s="25" t="n"/>
      <c r="K105" s="25" t="n"/>
      <c r="L105" s="25" t="n"/>
      <c r="M105" s="5" t="n"/>
    </row>
    <row r="106">
      <c r="A106" s="14" t="inlineStr">
        <is>
          <t>D4</t>
        </is>
      </c>
      <c r="B106" s="14" t="inlineStr">
        <is>
          <t>Code maps approved (M5)</t>
        </is>
      </c>
      <c r="C106" s="25" t="n"/>
      <c r="D106" s="5" t="n"/>
      <c r="E106" s="14" t="inlineStr">
        <is>
          <t>18-Jun-2027</t>
        </is>
      </c>
      <c r="F106" s="14" t="inlineStr">
        <is>
          <t>T-28 weeks</t>
        </is>
      </c>
      <c r="G106" s="14" t="n">
        <v>5</v>
      </c>
      <c r="H106" s="14" t="inlineStr">
        <is>
          <t>Code maps approved for Trial migration 2, including the package code map</t>
        </is>
      </c>
      <c r="I106" s="25" t="n"/>
      <c r="J106" s="25" t="n"/>
      <c r="K106" s="25" t="n"/>
      <c r="L106" s="25" t="n"/>
      <c r="M106" s="5" t="n"/>
    </row>
    <row r="107">
      <c r="A107" s="14" t="inlineStr">
        <is>
          <t>D5</t>
        </is>
      </c>
      <c r="B107" s="14" t="inlineStr">
        <is>
          <t>Values for UAT</t>
        </is>
      </c>
      <c r="C107" s="25" t="n"/>
      <c r="D107" s="5" t="n"/>
      <c r="E107" s="14" t="inlineStr">
        <is>
          <t>16-Jul-2027</t>
        </is>
      </c>
      <c r="F107" s="14" t="inlineStr">
        <is>
          <t>T-24 weeks</t>
        </is>
      </c>
      <c r="G107" s="14" t="n">
        <v>46</v>
      </c>
      <c r="H107" s="14" t="inlineStr">
        <is>
          <t>UAT plans and sign-off forms due 16-Jul-2027; UAT Aug - Dec 2027 runs on the production values</t>
        </is>
      </c>
      <c r="I107" s="25" t="n"/>
      <c r="J107" s="25" t="n"/>
      <c r="K107" s="25" t="n"/>
      <c r="L107" s="25" t="n"/>
      <c r="M107" s="5" t="n"/>
    </row>
    <row r="108">
      <c r="A108" s="14" t="inlineStr">
        <is>
          <t>D6</t>
        </is>
      </c>
      <c r="B108" s="14" t="inlineStr">
        <is>
          <t>Production values before the dress rehearsal</t>
        </is>
      </c>
      <c r="C108" s="25" t="n"/>
      <c r="D108" s="5" t="n"/>
      <c r="E108" s="14" t="inlineStr">
        <is>
          <t>1-Nov-2027</t>
        </is>
      </c>
      <c r="F108" s="14" t="inlineStr">
        <is>
          <t>T-9 weeks</t>
        </is>
      </c>
      <c r="G108" s="14" t="n">
        <v>6</v>
      </c>
      <c r="H108" s="14" t="inlineStr">
        <is>
          <t>Dress rehearsal in November 2027; the values loaded for it are the go-live values</t>
        </is>
      </c>
      <c r="I108" s="25" t="n"/>
      <c r="J108" s="25" t="n"/>
      <c r="K108" s="25" t="n"/>
      <c r="L108" s="25" t="n"/>
      <c r="M108" s="5" t="n"/>
    </row>
    <row r="109">
      <c r="A109" s="14" t="inlineStr">
        <is>
          <t>D7</t>
        </is>
      </c>
      <c r="B109" s="14" t="inlineStr">
        <is>
          <t>Map freeze (T-7)</t>
        </is>
      </c>
      <c r="C109" s="25" t="n"/>
      <c r="D109" s="5" t="n"/>
      <c r="E109" s="14" t="inlineStr">
        <is>
          <t>27-Dec-2027</t>
        </is>
      </c>
      <c r="F109" s="14" t="inlineStr">
        <is>
          <t>T-1 weeks</t>
        </is>
      </c>
      <c r="G109" s="14" t="n">
        <v>1</v>
      </c>
      <c r="H109" s="14" t="inlineStr">
        <is>
          <t>No change of a code map or reference value after the freeze except by change request</t>
        </is>
      </c>
      <c r="I109" s="25" t="n"/>
      <c r="J109" s="25" t="n"/>
      <c r="K109" s="25" t="n"/>
      <c r="L109" s="25" t="n"/>
      <c r="M109" s="5" t="n"/>
    </row>
    <row r="111">
      <c r="A111" s="8" t="inlineStr">
        <is>
          <t>Reference sheets and other sheets</t>
        </is>
      </c>
    </row>
    <row r="112">
      <c r="A112" s="24" t="inlineStr">
        <is>
          <t>Sheet</t>
        </is>
      </c>
      <c r="B112" s="25" t="n"/>
      <c r="C112" s="5" t="n"/>
      <c r="D112" s="24" t="inlineStr">
        <is>
          <t>What it holds</t>
        </is>
      </c>
      <c r="E112" s="25" t="n"/>
      <c r="F112" s="25" t="n"/>
      <c r="G112" s="25" t="n"/>
      <c r="H112" s="25" t="n"/>
      <c r="I112" s="25" t="n"/>
      <c r="J112" s="25" t="n"/>
      <c r="K112" s="5" t="n"/>
    </row>
    <row r="113">
      <c r="A113" s="17" t="inlineStr">
        <is>
          <t>Ref Lists of values</t>
        </is>
      </c>
      <c r="B113" s="25" t="n"/>
      <c r="C113" s="5" t="n"/>
      <c r="D113" s="14" t="inlineStr">
        <is>
          <t>Every list of values of BIBS with its owner and its one route</t>
        </is>
      </c>
      <c r="E113" s="25" t="n"/>
      <c r="F113" s="25" t="n"/>
      <c r="G113" s="25" t="n"/>
      <c r="H113" s="25" t="n"/>
      <c r="I113" s="25" t="n"/>
      <c r="J113" s="25" t="n"/>
      <c r="K113" s="5" t="n"/>
    </row>
    <row r="114">
      <c r="A114" s="17" t="inlineStr">
        <is>
          <t>Ref System parameters</t>
        </is>
      </c>
      <c r="B114" s="25" t="n"/>
      <c r="C114" s="5" t="n"/>
      <c r="D114" s="14" t="inlineStr">
        <is>
          <t>Every system parameter with the value proposed and the value BDOI wants</t>
        </is>
      </c>
      <c r="E114" s="25" t="n"/>
      <c r="F114" s="25" t="n"/>
      <c r="G114" s="25" t="n"/>
      <c r="H114" s="25" t="n"/>
      <c r="I114" s="25" t="n"/>
      <c r="J114" s="25" t="n"/>
      <c r="K114" s="5" t="n"/>
    </row>
    <row r="115">
      <c r="A115" s="17" t="inlineStr">
        <is>
          <t>Ref Document numbering</t>
        </is>
      </c>
      <c r="B115" s="25" t="n"/>
      <c r="C115" s="5" t="n"/>
      <c r="D115" s="14" t="inlineStr">
        <is>
          <t>Prefixes of the numbered documents; receipt series come from object R11, check numbers from D0-12</t>
        </is>
      </c>
      <c r="E115" s="25" t="n"/>
      <c r="F115" s="25" t="n"/>
      <c r="G115" s="25" t="n"/>
      <c r="H115" s="25" t="n"/>
      <c r="I115" s="25" t="n"/>
      <c r="J115" s="25" t="n"/>
      <c r="K115" s="5" t="n"/>
    </row>
    <row r="116">
      <c r="A116" s="17" t="inlineStr">
        <is>
          <t>Ref Notifications</t>
        </is>
      </c>
      <c r="B116" s="25" t="n"/>
      <c r="C116" s="5" t="n"/>
      <c r="D116" s="14" t="inlineStr">
        <is>
          <t>Every notification event with its default channels; users choose their own channels in Notification Settings</t>
        </is>
      </c>
      <c r="E116" s="25" t="n"/>
      <c r="F116" s="25" t="n"/>
      <c r="G116" s="25" t="n"/>
      <c r="H116" s="25" t="n"/>
      <c r="I116" s="25" t="n"/>
      <c r="J116" s="25" t="n"/>
      <c r="K116" s="5" t="n"/>
    </row>
    <row r="117">
      <c r="A117" s="17" t="inlineStr">
        <is>
          <t>Ref Document templates</t>
        </is>
      </c>
      <c r="B117" s="25" t="n"/>
      <c r="C117" s="5" t="n"/>
      <c r="D117" s="14" t="inlineStr">
        <is>
          <t>Every generated document with the unit that gives its BDOI wording and layout</t>
        </is>
      </c>
      <c r="E117" s="25" t="n"/>
      <c r="F117" s="25" t="n"/>
      <c r="G117" s="25" t="n"/>
      <c r="H117" s="25" t="n"/>
      <c r="I117" s="25" t="n"/>
      <c r="J117" s="25" t="n"/>
      <c r="K117" s="5" t="n"/>
    </row>
    <row r="118">
      <c r="A118" s="17" t="inlineStr">
        <is>
          <t>Ref Accounting events</t>
        </is>
      </c>
      <c r="B118" s="25" t="n"/>
      <c r="C118" s="5" t="n"/>
      <c r="D118" s="14" t="inlineStr">
        <is>
          <t>The accounting events that need a rule of template D0-08; owner Head, Comptrollership</t>
        </is>
      </c>
      <c r="E118" s="25" t="n"/>
      <c r="F118" s="25" t="n"/>
      <c r="G118" s="25" t="n"/>
      <c r="H118" s="25" t="n"/>
      <c r="I118" s="25" t="n"/>
      <c r="J118" s="25" t="n"/>
      <c r="K118" s="5" t="n"/>
    </row>
    <row r="119">
      <c r="A119" s="17" t="inlineStr">
        <is>
          <t>Ref Migration cross-reference</t>
        </is>
      </c>
      <c r="B119" s="25" t="n"/>
      <c r="C119" s="5" t="n"/>
      <c r="D119" s="14" t="inlineStr">
        <is>
          <t>Reference data loaded by the migration and the register items it carries</t>
        </is>
      </c>
      <c r="E119" s="25" t="n"/>
      <c r="F119" s="25" t="n"/>
      <c r="G119" s="25" t="n"/>
      <c r="H119" s="25" t="n"/>
      <c r="I119" s="25" t="n"/>
      <c r="J119" s="25" t="n"/>
      <c r="K119" s="5" t="n"/>
    </row>
    <row r="120">
      <c r="A120" s="17" t="inlineStr">
        <is>
          <t>Reference lists</t>
        </is>
      </c>
      <c r="B120" s="25" t="n"/>
      <c r="C120" s="5" t="n"/>
      <c r="D120" s="14" t="inlineStr">
        <is>
          <t>Every list of allowed values of the drop-downs, with code and label</t>
        </is>
      </c>
      <c r="E120" s="25" t="n"/>
      <c r="F120" s="25" t="n"/>
      <c r="G120" s="25" t="n"/>
      <c r="H120" s="25" t="n"/>
      <c r="I120" s="25" t="n"/>
      <c r="J120" s="25" t="n"/>
      <c r="K120" s="5" t="n"/>
    </row>
    <row r="121">
      <c r="A121" s="17" t="inlineStr">
        <is>
          <t>Questions and comments</t>
        </is>
      </c>
      <c r="B121" s="25" t="n"/>
      <c r="C121" s="5" t="n"/>
      <c r="D121" s="14" t="inlineStr">
        <is>
          <t>Questions and comments per template and column, with the answer</t>
        </is>
      </c>
      <c r="E121" s="25" t="n"/>
      <c r="F121" s="25" t="n"/>
      <c r="G121" s="25" t="n"/>
      <c r="H121" s="25" t="n"/>
      <c r="I121" s="25" t="n"/>
      <c r="J121" s="25" t="n"/>
      <c r="K121" s="5" t="n"/>
    </row>
    <row r="123">
      <c r="A123" s="26" t="inlineStr">
        <is>
          <t>Prepared by iorta TechNXT for BDOI. Confidential – BDOI.</t>
        </is>
      </c>
    </row>
  </sheetData>
  <autoFilter ref="A22:P99"/>
  <mergeCells count="55">
    <mergeCell ref="C10:H10"/>
    <mergeCell ref="D115:K115"/>
    <mergeCell ref="A118:C118"/>
    <mergeCell ref="B107:D107"/>
    <mergeCell ref="A11:B11"/>
    <mergeCell ref="C9:H9"/>
    <mergeCell ref="D119:K119"/>
    <mergeCell ref="H108:M108"/>
    <mergeCell ref="A120:C120"/>
    <mergeCell ref="C12:H12"/>
    <mergeCell ref="B17:P17"/>
    <mergeCell ref="A6:B6"/>
    <mergeCell ref="B103:D103"/>
    <mergeCell ref="A113:C113"/>
    <mergeCell ref="C11:H11"/>
    <mergeCell ref="H109:M109"/>
    <mergeCell ref="A7:B7"/>
    <mergeCell ref="B108:D108"/>
    <mergeCell ref="A116:C116"/>
    <mergeCell ref="B19:P19"/>
    <mergeCell ref="C8:H8"/>
    <mergeCell ref="D120:K120"/>
    <mergeCell ref="H105:M105"/>
    <mergeCell ref="D116:K116"/>
    <mergeCell ref="C7:H7"/>
    <mergeCell ref="A12:B12"/>
    <mergeCell ref="H104:M104"/>
    <mergeCell ref="B15:P15"/>
    <mergeCell ref="B104:D104"/>
    <mergeCell ref="A112:C112"/>
    <mergeCell ref="A115:C115"/>
    <mergeCell ref="A121:C121"/>
    <mergeCell ref="A117:C117"/>
    <mergeCell ref="H107:M107"/>
    <mergeCell ref="D112:K112"/>
    <mergeCell ref="H106:M106"/>
    <mergeCell ref="B106:D106"/>
    <mergeCell ref="A114:C114"/>
    <mergeCell ref="A8:B8"/>
    <mergeCell ref="B109:D109"/>
    <mergeCell ref="D118:K118"/>
    <mergeCell ref="D121:K121"/>
    <mergeCell ref="C6:H6"/>
    <mergeCell ref="B16:P16"/>
    <mergeCell ref="H103:M103"/>
    <mergeCell ref="D114:K114"/>
    <mergeCell ref="B102:D102"/>
    <mergeCell ref="D117:K117"/>
    <mergeCell ref="A10:B10"/>
    <mergeCell ref="H102:M102"/>
    <mergeCell ref="A119:C119"/>
    <mergeCell ref="D113:K113"/>
    <mergeCell ref="B105:D105"/>
    <mergeCell ref="A9:B9"/>
    <mergeCell ref="B18:P18"/>
  </mergeCells>
  <conditionalFormatting sqref="M23:M9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L23:L99">
    <cfRule type="cellIs" priority="6" operator="greaterThan" dxfId="5">
      <formula>0</formula>
    </cfRule>
  </conditionalFormatting>
  <dataValidations count="2">
    <dataValidation sqref="M23:M99" showDropDown="0" showInputMessage="1" showErrorMessage="1" allowBlank="1" errorTitle="Status" error="Choose a value of the list Status (sheet Reference lists)." promptTitle="Status" prompt="Status of the template: Not started, In progress, Ready for review, Confirmed, Not applicable" type="list" errorStyle="stop">
      <formula1>=LIST_STATUS</formula1>
    </dataValidation>
    <dataValidation sqref="O23:O99" showDropDown="0" showInputMessage="0" showErrorMessage="1" allowBlank="1" errorTitle="Provided on" error="Enter a date." type="date" operator="greaterThan">
      <formula1>DATE(2026,1,1)</formula1>
    </dataValidation>
  </dataValidations>
  <hyperlinks>
    <hyperlink ref="P23" location="'D0-09 Legacy accounts'!A1"/>
    <hyperlink ref="P25" location="'D0-02 Branches'!A1"/>
    <hyperlink ref="P26" location="'D0-04 Dimensions'!A1"/>
    <hyperlink ref="P27" location="'D0-07 Categories and numbering'!A1"/>
    <hyperlink ref="P28" location="'D0-07 Categories and numbering'!A1"/>
    <hyperlink ref="P29" location="'D0-06 Chart of accounts'!A1"/>
    <hyperlink ref="P30" location="'D0-03 Holiday calendar'!A1"/>
    <hyperlink ref="P31" location="'D0-11 Bank accounts'!A1"/>
    <hyperlink ref="P32" location="'D0-01 Company'!A1"/>
    <hyperlink ref="P33" location="'D0-08 Accounting rules'!A1"/>
    <hyperlink ref="P34" location="'UA-02 Role matrix'!A1"/>
    <hyperlink ref="P35" location="'Ref Lists of values'!A1"/>
    <hyperlink ref="P36" location="'Ref Lists of values'!A1"/>
    <hyperlink ref="P37" location="'PM-01 Product catalogue'!A1"/>
    <hyperlink ref="P38" location="'PM-05 Insurers'!A1"/>
    <hyperlink ref="P39" location="'PM-05 Insurers'!A1"/>
    <hyperlink ref="P40" location="'Ref Migration cross-reference'!A1"/>
    <hyperlink ref="P41" location="'Ref Migration cross-reference'!A1"/>
    <hyperlink ref="P42" location="'PM-07 Package map'!A1"/>
    <hyperlink ref="P43" location="'Ref Migration cross-reference'!A1"/>
    <hyperlink ref="P44" location="'Ref Migration cross-reference'!A1"/>
    <hyperlink ref="P45" location="'Ref Migration cross-reference'!A1"/>
    <hyperlink ref="P46" location="'Ref Migration cross-reference'!A1"/>
    <hyperlink ref="P47" location="'PM-09 Lists and parameters'!A1"/>
    <hyperlink ref="P48" location="'D0-05 Employees'!A1"/>
    <hyperlink ref="P49" location="'UA-04 SoD rules'!A1"/>
    <hyperlink ref="P50" location="'PM-02 Coverages and rules'!A1"/>
    <hyperlink ref="P51" location="'PM-03 Clause library'!A1"/>
    <hyperlink ref="P52" location="'D0-10 Tax codes'!A1"/>
    <hyperlink ref="P53" location="'D0-15 Approval limits'!A1"/>
    <hyperlink ref="P54" location="'PM-04 Rate tables'!A1"/>
    <hyperlink ref="P55" location="'PM-10 Incentive criteria'!A1"/>
    <hyperlink ref="P56" location="'UA-03 Approval rules'!A1"/>
    <hyperlink ref="P57" location="'D0-14 Statement layouts'!A1"/>
    <hyperlink ref="P58" location="'PM-08 Document templates'!A1"/>
    <hyperlink ref="P59" location="'UA-05 Parameters'!A1"/>
    <hyperlink ref="P60" location="'Ref Document numbering'!A1"/>
    <hyperlink ref="P61" location="'Ref System parameters'!A1"/>
    <hyperlink ref="P62" location="'Ref Notifications'!A1"/>
    <hyperlink ref="P63" location="'Ref System parameters'!A1"/>
    <hyperlink ref="P64" location="'Ref Document templates'!A1"/>
    <hyperlink ref="P93" location="'UA-01 Users and roles'!A1"/>
    <hyperlink ref="P94" location="'PM-06 Packages'!A1"/>
    <hyperlink ref="P95" location="'D0-12 Check books'!A1"/>
    <hyperlink ref="P96" location="'D0-13 Petty cash funds'!A1"/>
    <hyperlink ref="P99" location="'Ref Migration cross-reference'!A1"/>
    <hyperlink ref="A113" location="'Ref Lists of values'!A1"/>
    <hyperlink ref="A114" location="'Ref System parameters'!A1"/>
    <hyperlink ref="A115" location="'Ref Document numbering'!A1"/>
    <hyperlink ref="A116" location="'Ref Notifications'!A1"/>
    <hyperlink ref="A117" location="'Ref Document templates'!A1"/>
    <hyperlink ref="A118" location="'Ref Accounting events'!A1"/>
    <hyperlink ref="A119" location="'Ref Migration cross-reference'!A1"/>
    <hyperlink ref="A120" location="'Reference lists'!A1"/>
    <hyperlink ref="A121" location="'Questions and comments'!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M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6" customWidth="1" min="3" max="3"/>
    <col width="12" customWidth="1" min="4" max="4"/>
    <col width="33" customWidth="1" min="5" max="5"/>
    <col width="17" customWidth="1" min="6" max="6"/>
    <col width="16" customWidth="1" min="7" max="7"/>
    <col width="32" customWidth="1" min="8" max="8"/>
    <col width="18" customWidth="1" min="9" max="9"/>
    <col width="20" customWidth="1" min="10" max="10"/>
    <col width="19" customWidth="1" min="11" max="11"/>
    <col width="21" customWidth="1" min="12" max="12"/>
    <col width="24" customWidth="1" min="13" max="13"/>
  </cols>
  <sheetData>
    <row r="1" ht="26" customHeight="1">
      <c r="A1" s="27" t="inlineStr">
        <is>
          <t>D0-02 Branches</t>
        </is>
      </c>
      <c r="M1" s="28" t="inlineStr">
        <is>
          <t>Step 1 of 31</t>
        </is>
      </c>
    </row>
    <row r="2">
      <c r="A2" s="29" t="inlineStr">
        <is>
          <t>← Back to Start here</t>
        </is>
      </c>
      <c r="B2" s="30" t="inlineStr">
        <is>
          <t>Step 1 of 31. Fill in one row per record below the column headers; the guide above each column says what to enter.</t>
        </is>
      </c>
      <c r="M2" s="31" t="inlineStr">
        <is>
          <t>Ask a question →</t>
        </is>
      </c>
    </row>
    <row r="3" outlineLevel="1" ht="15.5" customHeight="1">
      <c r="A3" s="32" t="inlineStr">
        <is>
          <t>Purpose</t>
        </is>
      </c>
      <c r="B3" s="33" t="inlineStr">
        <is>
          <t>Every BDOI branch and invoicing branch</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Branches (Setup &amp; Administration), before the first migration mock; the legacy branches are mapped to them by the code map BRANCH (object R02)</t>
        </is>
      </c>
    </row>
    <row r="7" outlineLevel="1" ht="15.5" customHeight="1">
      <c r="A7" s="32" t="inlineStr">
        <is>
          <t>Source</t>
        </is>
      </c>
      <c r="B7" s="33" t="inlineStr">
        <is>
          <t>BDOI branch list; EBIX branch codes for the code map BRANCH</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SUMPRODUCT(((ROW($B$17:$B$517)&gt;17)+($B$17&lt;&gt;"HO")&gt;0)*(LEN($B$17:$B$517&amp;$C$17:$C$517&amp;$D$17:$D$517&amp;$E$17:$E$517&amp;$F$17:$F$517&amp;$G$17:$G$517&amp;$H$17:$H$517&amp;$I$17:$I$517&amp;$J$17:$J$517&amp;$K$17:$K$517&amp;$L$17:$L$517&amp;$M$17:$M$517)&gt;0))</f>
        <v/>
      </c>
      <c r="D9" s="37" t="inlineStr">
        <is>
          <t>Mandatory cells missing</t>
        </is>
      </c>
      <c r="E9" s="38">
        <f>SUMPRODUCT(((ROW($B$17:$B$517)&gt;17)+($B$17&lt;&gt;"HO")&gt;0)*(LEN($B$17:$B$517&amp;$C$17:$C$517&amp;$D$17:$D$517&amp;$E$17:$E$517&amp;$F$17:$F$517&amp;$G$17:$G$517&amp;$H$17:$H$517&amp;$I$17:$I$517&amp;$J$17:$J$517&amp;$K$17:$K$517&amp;$L$17:$L$517&amp;$M$17:$M$517)&gt;0)*(($B$17:$B$517="")+($C$17:$C$517="")+($F$17:$F$517="")+($G$17:$G$517="")+($H$17:$H$517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c r="L11" s="42" t="n"/>
      <c r="M11" s="42" t="n"/>
    </row>
    <row r="12" ht="17" customHeight="1">
      <c r="A12" s="43" t="inlineStr">
        <is>
          <t>Mandatory</t>
        </is>
      </c>
      <c r="B12" s="44" t="inlineStr">
        <is>
          <t>Yes</t>
        </is>
      </c>
      <c r="C12" s="44" t="inlineStr">
        <is>
          <t>Yes</t>
        </is>
      </c>
      <c r="D12" s="45" t="inlineStr">
        <is>
          <t>No</t>
        </is>
      </c>
      <c r="E12" s="45" t="inlineStr">
        <is>
          <t>No</t>
        </is>
      </c>
      <c r="F12" s="44" t="inlineStr">
        <is>
          <t>Yes</t>
        </is>
      </c>
      <c r="G12" s="44" t="inlineStr">
        <is>
          <t>Yes</t>
        </is>
      </c>
      <c r="H12" s="44" t="inlineStr">
        <is>
          <t>Yes</t>
        </is>
      </c>
      <c r="I12" s="45" t="inlineStr">
        <is>
          <t>No</t>
        </is>
      </c>
      <c r="J12" s="45" t="inlineStr">
        <is>
          <t>No</t>
        </is>
      </c>
      <c r="K12" s="45" t="inlineStr">
        <is>
          <t>No</t>
        </is>
      </c>
      <c r="L12" s="45" t="inlineStr">
        <is>
          <t>No</t>
        </is>
      </c>
      <c r="M12" s="45" t="inlineStr">
        <is>
          <t>No</t>
        </is>
      </c>
    </row>
    <row r="13" ht="30" customHeight="1">
      <c r="A13" s="43" t="inlineStr">
        <is>
          <t>Format</t>
        </is>
      </c>
      <c r="B13" s="45" t="inlineStr">
        <is>
          <t>Up to 10 capitals</t>
        </is>
      </c>
      <c r="C13" s="45" t="inlineStr">
        <is>
          <t>Up to 120 characters</t>
        </is>
      </c>
      <c r="D13" s="45" t="inlineStr">
        <is>
          <t>Text</t>
        </is>
      </c>
      <c r="E13" s="45" t="inlineStr">
        <is>
          <t>Text</t>
        </is>
      </c>
      <c r="F13" s="45" t="inlineStr">
        <is>
          <t>dd-MMM-yyyy</t>
        </is>
      </c>
      <c r="G13" s="45" t="inlineStr">
        <is>
          <t>Y or N</t>
        </is>
      </c>
      <c r="H13" s="45" t="inlineStr">
        <is>
          <t>Y or N</t>
        </is>
      </c>
      <c r="I13" s="45" t="inlineStr">
        <is>
          <t>Text</t>
        </is>
      </c>
      <c r="J13" s="45" t="inlineStr">
        <is>
          <t>E-mail address</t>
        </is>
      </c>
      <c r="K13" s="45" t="inlineStr">
        <is>
          <t>Name</t>
        </is>
      </c>
      <c r="L13" s="45" t="inlineStr">
        <is>
          <t>SAT, SUN</t>
        </is>
      </c>
      <c r="M13" s="45" t="inlineStr">
        <is>
          <t>EBIX codes separated by commas</t>
        </is>
      </c>
    </row>
    <row r="14" ht="30" customHeight="1">
      <c r="A14" s="43" t="inlineStr">
        <is>
          <t>Allowed values</t>
        </is>
      </c>
      <c r="B14" s="45" t="inlineStr">
        <is>
          <t>Free entry, up to 10 characters</t>
        </is>
      </c>
      <c r="C14" s="45" t="inlineStr">
        <is>
          <t>Free entry, up to 120 characters</t>
        </is>
      </c>
      <c r="D14" s="45" t="inlineStr">
        <is>
          <t>Free entry</t>
        </is>
      </c>
      <c r="E14" s="45" t="inlineStr">
        <is>
          <t>Free entry</t>
        </is>
      </c>
      <c r="F14" s="45" t="inlineStr">
        <is>
          <t>A date, for example 15-Jan-2028</t>
        </is>
      </c>
      <c r="G14" s="45" t="inlineStr">
        <is>
          <t>Y or N</t>
        </is>
      </c>
      <c r="H14" s="45" t="inlineStr">
        <is>
          <t>Y or N</t>
        </is>
      </c>
      <c r="I14" s="45" t="inlineStr">
        <is>
          <t>Free entry</t>
        </is>
      </c>
      <c r="J14" s="45" t="inlineStr">
        <is>
          <t>Free entry</t>
        </is>
      </c>
      <c r="K14" s="45" t="inlineStr">
        <is>
          <t>Free entry</t>
        </is>
      </c>
      <c r="L14" s="45" t="inlineStr">
        <is>
          <t>Free entry</t>
        </is>
      </c>
      <c r="M14" s="45" t="inlineStr">
        <is>
          <t>Free entry</t>
        </is>
      </c>
    </row>
    <row r="15" ht="30" customHeight="1">
      <c r="A15" s="43" t="inlineStr">
        <is>
          <t>What to enter</t>
        </is>
      </c>
      <c r="B15" s="45" t="inlineStr">
        <is>
          <t>Code of the branch; unique</t>
        </is>
      </c>
      <c r="C15" s="45" t="inlineStr">
        <is>
          <t>Name shown on screens and documents</t>
        </is>
      </c>
      <c r="D15" s="45" t="inlineStr">
        <is>
          <t>Region of the branch</t>
        </is>
      </c>
      <c r="E15" s="45" t="inlineStr">
        <is>
          <t>Address printed on documents</t>
        </is>
      </c>
      <c r="F15" s="45" t="inlineStr">
        <is>
          <t>Date the branch opened</t>
        </is>
      </c>
      <c r="G15" s="45" t="inlineStr">
        <is>
          <t>Y for one branch only</t>
        </is>
      </c>
      <c r="H15" s="45" t="inlineStr">
        <is>
          <t>May receive and pay in foreign currency</t>
        </is>
      </c>
      <c r="I15" s="45" t="inlineStr">
        <is>
          <t>Branch telephone</t>
        </is>
      </c>
      <c r="J15" s="45" t="inlineStr">
        <is>
          <t>Branch mailbox</t>
        </is>
      </c>
      <c r="K15" s="45" t="inlineStr">
        <is>
          <t>Head of the branch</t>
        </is>
      </c>
      <c r="L15" s="45" t="inlineStr">
        <is>
          <t>Days the branch is closed each week</t>
        </is>
      </c>
      <c r="M15" s="45" t="inlineStr">
        <is>
          <t>For the code map BRANCH (R02)</t>
        </is>
      </c>
    </row>
    <row r="16" ht="30" customHeight="1">
      <c r="A16" s="46" t="inlineStr">
        <is>
          <t>Row</t>
        </is>
      </c>
      <c r="B16" s="47" t="inlineStr">
        <is>
          <t>Branch code *</t>
        </is>
      </c>
      <c r="C16" s="47" t="inlineStr">
        <is>
          <t>Branch name *</t>
        </is>
      </c>
      <c r="D16" s="47" t="inlineStr">
        <is>
          <t>Region</t>
        </is>
      </c>
      <c r="E16" s="47" t="inlineStr">
        <is>
          <t>Address</t>
        </is>
      </c>
      <c r="F16" s="47" t="inlineStr">
        <is>
          <t>Opening date *</t>
        </is>
      </c>
      <c r="G16" s="47" t="inlineStr">
        <is>
          <t>Head office *</t>
        </is>
      </c>
      <c r="H16" s="47" t="inlineStr">
        <is>
          <t>Foreign currency authorised *</t>
        </is>
      </c>
      <c r="I16" s="47" t="inlineStr">
        <is>
          <t>Contact phone</t>
        </is>
      </c>
      <c r="J16" s="47" t="inlineStr">
        <is>
          <t>Contact e-mail</t>
        </is>
      </c>
      <c r="K16" s="47" t="inlineStr">
        <is>
          <t>Branch manager</t>
        </is>
      </c>
      <c r="L16" s="47" t="inlineStr">
        <is>
          <t>Weekly rest days</t>
        </is>
      </c>
      <c r="M16" s="47" t="inlineStr">
        <is>
          <t>Legacy branch codes</t>
        </is>
      </c>
    </row>
    <row r="17" ht="18" customHeight="1">
      <c r="A17" s="48" t="inlineStr">
        <is>
          <t>Example – overwrite or delete</t>
        </is>
      </c>
      <c r="B17" s="49" t="inlineStr">
        <is>
          <t>HO</t>
        </is>
      </c>
      <c r="C17" s="49" t="inlineStr">
        <is>
          <t>Head Office</t>
        </is>
      </c>
      <c r="D17" s="49" t="inlineStr">
        <is>
          <t>NCR</t>
        </is>
      </c>
      <c r="E17" s="49" t="inlineStr">
        <is>
          <t>7899 Makati Avenue, Makati City</t>
        </is>
      </c>
      <c r="F17" s="50" t="n">
        <v>40179</v>
      </c>
      <c r="G17" s="49" t="inlineStr">
        <is>
          <t>Y</t>
        </is>
      </c>
      <c r="H17" s="49" t="inlineStr">
        <is>
          <t>Y</t>
        </is>
      </c>
      <c r="I17" s="49" t="inlineStr">
        <is>
          <t>(02) 8888-0000</t>
        </is>
      </c>
      <c r="J17" s="49" t="inlineStr">
        <is>
          <t>ho@bdoi.example.ph</t>
        </is>
      </c>
      <c r="K17" s="49" t="n"/>
      <c r="L17" s="49" t="inlineStr">
        <is>
          <t>SAT,SUN</t>
        </is>
      </c>
      <c r="M17" s="49" t="inlineStr">
        <is>
          <t>001</t>
        </is>
      </c>
    </row>
    <row r="18">
      <c r="B18" s="51" t="n"/>
      <c r="C18" s="51" t="n"/>
      <c r="D18" s="51" t="n"/>
      <c r="E18" s="51" t="n"/>
      <c r="F18" s="52" t="n"/>
      <c r="G18" s="51" t="n"/>
      <c r="H18" s="51" t="n"/>
      <c r="I18" s="51" t="n"/>
      <c r="J18" s="51" t="n"/>
      <c r="K18" s="51" t="n"/>
      <c r="L18" s="51" t="n"/>
      <c r="M18" s="51" t="n"/>
    </row>
    <row r="19">
      <c r="B19" s="51" t="n"/>
      <c r="C19" s="51" t="n"/>
      <c r="D19" s="51" t="n"/>
      <c r="E19" s="51" t="n"/>
      <c r="F19" s="52" t="n"/>
      <c r="G19" s="51" t="n"/>
      <c r="H19" s="51" t="n"/>
      <c r="I19" s="51" t="n"/>
      <c r="J19" s="51" t="n"/>
      <c r="K19" s="51" t="n"/>
      <c r="L19" s="51" t="n"/>
      <c r="M19" s="51" t="n"/>
    </row>
    <row r="20">
      <c r="B20" s="51" t="n"/>
      <c r="C20" s="51" t="n"/>
      <c r="D20" s="51" t="n"/>
      <c r="E20" s="51" t="n"/>
      <c r="F20" s="52" t="n"/>
      <c r="G20" s="51" t="n"/>
      <c r="H20" s="51" t="n"/>
      <c r="I20" s="51" t="n"/>
      <c r="J20" s="51" t="n"/>
      <c r="K20" s="51" t="n"/>
      <c r="L20" s="51" t="n"/>
      <c r="M20" s="51" t="n"/>
    </row>
    <row r="21">
      <c r="B21" s="51" t="n"/>
      <c r="C21" s="51" t="n"/>
      <c r="D21" s="51" t="n"/>
      <c r="E21" s="51" t="n"/>
      <c r="F21" s="52" t="n"/>
      <c r="G21" s="51" t="n"/>
      <c r="H21" s="51" t="n"/>
      <c r="I21" s="51" t="n"/>
      <c r="J21" s="51" t="n"/>
      <c r="K21" s="51" t="n"/>
      <c r="L21" s="51" t="n"/>
      <c r="M21" s="51" t="n"/>
    </row>
    <row r="22">
      <c r="B22" s="51" t="n"/>
      <c r="C22" s="51" t="n"/>
      <c r="D22" s="51" t="n"/>
      <c r="E22" s="51" t="n"/>
      <c r="F22" s="52" t="n"/>
      <c r="G22" s="51" t="n"/>
      <c r="H22" s="51" t="n"/>
      <c r="I22" s="51" t="n"/>
      <c r="J22" s="51" t="n"/>
      <c r="K22" s="51" t="n"/>
      <c r="L22" s="51" t="n"/>
      <c r="M22" s="51" t="n"/>
    </row>
    <row r="23">
      <c r="B23" s="51" t="n"/>
      <c r="C23" s="51" t="n"/>
      <c r="D23" s="51" t="n"/>
      <c r="E23" s="51" t="n"/>
      <c r="F23" s="52" t="n"/>
      <c r="G23" s="51" t="n"/>
      <c r="H23" s="51" t="n"/>
      <c r="I23" s="51" t="n"/>
      <c r="J23" s="51" t="n"/>
      <c r="K23" s="51" t="n"/>
      <c r="L23" s="51" t="n"/>
      <c r="M23" s="51" t="n"/>
    </row>
    <row r="24">
      <c r="B24" s="51" t="n"/>
      <c r="C24" s="51" t="n"/>
      <c r="D24" s="51" t="n"/>
      <c r="E24" s="51" t="n"/>
      <c r="F24" s="52" t="n"/>
      <c r="G24" s="51" t="n"/>
      <c r="H24" s="51" t="n"/>
      <c r="I24" s="51" t="n"/>
      <c r="J24" s="51" t="n"/>
      <c r="K24" s="51" t="n"/>
      <c r="L24" s="51" t="n"/>
      <c r="M24" s="51" t="n"/>
    </row>
    <row r="25">
      <c r="B25" s="51" t="n"/>
      <c r="C25" s="51" t="n"/>
      <c r="D25" s="51" t="n"/>
      <c r="E25" s="51" t="n"/>
      <c r="F25" s="52" t="n"/>
      <c r="G25" s="51" t="n"/>
      <c r="H25" s="51" t="n"/>
      <c r="I25" s="51" t="n"/>
      <c r="J25" s="51" t="n"/>
      <c r="K25" s="51" t="n"/>
      <c r="L25" s="51" t="n"/>
      <c r="M25" s="51" t="n"/>
    </row>
    <row r="26">
      <c r="B26" s="51" t="n"/>
      <c r="C26" s="51" t="n"/>
      <c r="D26" s="51" t="n"/>
      <c r="E26" s="51" t="n"/>
      <c r="F26" s="52" t="n"/>
      <c r="G26" s="51" t="n"/>
      <c r="H26" s="51" t="n"/>
      <c r="I26" s="51" t="n"/>
      <c r="J26" s="51" t="n"/>
      <c r="K26" s="51" t="n"/>
      <c r="L26" s="51" t="n"/>
      <c r="M26" s="51" t="n"/>
    </row>
    <row r="27">
      <c r="B27" s="51" t="n"/>
      <c r="C27" s="51" t="n"/>
      <c r="D27" s="51" t="n"/>
      <c r="E27" s="51" t="n"/>
      <c r="F27" s="52" t="n"/>
      <c r="G27" s="51" t="n"/>
      <c r="H27" s="51" t="n"/>
      <c r="I27" s="51" t="n"/>
      <c r="J27" s="51" t="n"/>
      <c r="K27" s="51" t="n"/>
      <c r="L27" s="51" t="n"/>
      <c r="M27" s="51" t="n"/>
    </row>
    <row r="28">
      <c r="B28" s="51" t="n"/>
      <c r="C28" s="51" t="n"/>
      <c r="D28" s="51" t="n"/>
      <c r="E28" s="51" t="n"/>
      <c r="F28" s="52" t="n"/>
      <c r="G28" s="51" t="n"/>
      <c r="H28" s="51" t="n"/>
      <c r="I28" s="51" t="n"/>
      <c r="J28" s="51" t="n"/>
      <c r="K28" s="51" t="n"/>
      <c r="L28" s="51" t="n"/>
      <c r="M28" s="51" t="n"/>
    </row>
    <row r="29">
      <c r="B29" s="51" t="n"/>
      <c r="C29" s="51" t="n"/>
      <c r="D29" s="51" t="n"/>
      <c r="E29" s="51" t="n"/>
      <c r="F29" s="52" t="n"/>
      <c r="G29" s="51" t="n"/>
      <c r="H29" s="51" t="n"/>
      <c r="I29" s="51" t="n"/>
      <c r="J29" s="51" t="n"/>
      <c r="K29" s="51" t="n"/>
      <c r="L29" s="51" t="n"/>
      <c r="M29" s="51" t="n"/>
    </row>
    <row r="30">
      <c r="B30" s="51" t="n"/>
      <c r="C30" s="51" t="n"/>
      <c r="D30" s="51" t="n"/>
      <c r="E30" s="51" t="n"/>
      <c r="F30" s="52" t="n"/>
      <c r="G30" s="51" t="n"/>
      <c r="H30" s="51" t="n"/>
      <c r="I30" s="51" t="n"/>
      <c r="J30" s="51" t="n"/>
      <c r="K30" s="51" t="n"/>
      <c r="L30" s="51" t="n"/>
      <c r="M30" s="51" t="n"/>
    </row>
    <row r="31">
      <c r="B31" s="51" t="n"/>
      <c r="C31" s="51" t="n"/>
      <c r="D31" s="51" t="n"/>
      <c r="E31" s="51" t="n"/>
      <c r="F31" s="52" t="n"/>
      <c r="G31" s="51" t="n"/>
      <c r="H31" s="51" t="n"/>
      <c r="I31" s="51" t="n"/>
      <c r="J31" s="51" t="n"/>
      <c r="K31" s="51" t="n"/>
      <c r="L31" s="51" t="n"/>
      <c r="M31" s="51" t="n"/>
    </row>
    <row r="32">
      <c r="B32" s="51" t="n"/>
      <c r="C32" s="51" t="n"/>
      <c r="D32" s="51" t="n"/>
      <c r="E32" s="51" t="n"/>
      <c r="F32" s="52" t="n"/>
      <c r="G32" s="51" t="n"/>
      <c r="H32" s="51" t="n"/>
      <c r="I32" s="51" t="n"/>
      <c r="J32" s="51" t="n"/>
      <c r="K32" s="51" t="n"/>
      <c r="L32" s="51" t="n"/>
      <c r="M32" s="51" t="n"/>
    </row>
    <row r="33">
      <c r="B33" s="51" t="n"/>
      <c r="C33" s="51" t="n"/>
      <c r="D33" s="51" t="n"/>
      <c r="E33" s="51" t="n"/>
      <c r="F33" s="52" t="n"/>
      <c r="G33" s="51" t="n"/>
      <c r="H33" s="51" t="n"/>
      <c r="I33" s="51" t="n"/>
      <c r="J33" s="51" t="n"/>
      <c r="K33" s="51" t="n"/>
      <c r="L33" s="51" t="n"/>
      <c r="M33" s="51" t="n"/>
    </row>
    <row r="34">
      <c r="B34" s="51" t="n"/>
      <c r="C34" s="51" t="n"/>
      <c r="D34" s="51" t="n"/>
      <c r="E34" s="51" t="n"/>
      <c r="F34" s="52" t="n"/>
      <c r="G34" s="51" t="n"/>
      <c r="H34" s="51" t="n"/>
      <c r="I34" s="51" t="n"/>
      <c r="J34" s="51" t="n"/>
      <c r="K34" s="51" t="n"/>
      <c r="L34" s="51" t="n"/>
      <c r="M34" s="51" t="n"/>
    </row>
    <row r="35">
      <c r="B35" s="51" t="n"/>
      <c r="C35" s="51" t="n"/>
      <c r="D35" s="51" t="n"/>
      <c r="E35" s="51" t="n"/>
      <c r="F35" s="52" t="n"/>
      <c r="G35" s="51" t="n"/>
      <c r="H35" s="51" t="n"/>
      <c r="I35" s="51" t="n"/>
      <c r="J35" s="51" t="n"/>
      <c r="K35" s="51" t="n"/>
      <c r="L35" s="51" t="n"/>
      <c r="M35" s="51" t="n"/>
    </row>
    <row r="36">
      <c r="B36" s="51" t="n"/>
      <c r="C36" s="51" t="n"/>
      <c r="D36" s="51" t="n"/>
      <c r="E36" s="51" t="n"/>
      <c r="F36" s="52" t="n"/>
      <c r="G36" s="51" t="n"/>
      <c r="H36" s="51" t="n"/>
      <c r="I36" s="51" t="n"/>
      <c r="J36" s="51" t="n"/>
      <c r="K36" s="51" t="n"/>
      <c r="L36" s="51" t="n"/>
      <c r="M36" s="51" t="n"/>
    </row>
    <row r="37">
      <c r="B37" s="51" t="n"/>
      <c r="C37" s="51" t="n"/>
      <c r="D37" s="51" t="n"/>
      <c r="E37" s="51" t="n"/>
      <c r="F37" s="52" t="n"/>
      <c r="G37" s="51" t="n"/>
      <c r="H37" s="51" t="n"/>
      <c r="I37" s="51" t="n"/>
      <c r="J37" s="51" t="n"/>
      <c r="K37" s="51" t="n"/>
      <c r="L37" s="51" t="n"/>
      <c r="M37" s="51" t="n"/>
    </row>
    <row r="38">
      <c r="B38" s="51" t="n"/>
      <c r="C38" s="51" t="n"/>
      <c r="D38" s="51" t="n"/>
      <c r="E38" s="51" t="n"/>
      <c r="F38" s="52" t="n"/>
      <c r="G38" s="51" t="n"/>
      <c r="H38" s="51" t="n"/>
      <c r="I38" s="51" t="n"/>
      <c r="J38" s="51" t="n"/>
      <c r="K38" s="51" t="n"/>
      <c r="L38" s="51" t="n"/>
      <c r="M38" s="51" t="n"/>
    </row>
    <row r="39">
      <c r="B39" s="51" t="n"/>
      <c r="C39" s="51" t="n"/>
      <c r="D39" s="51" t="n"/>
      <c r="E39" s="51" t="n"/>
      <c r="F39" s="52" t="n"/>
      <c r="G39" s="51" t="n"/>
      <c r="H39" s="51" t="n"/>
      <c r="I39" s="51" t="n"/>
      <c r="J39" s="51" t="n"/>
      <c r="K39" s="51" t="n"/>
      <c r="L39" s="51" t="n"/>
      <c r="M39" s="51" t="n"/>
    </row>
    <row r="40">
      <c r="B40" s="51" t="n"/>
      <c r="C40" s="51" t="n"/>
      <c r="D40" s="51" t="n"/>
      <c r="E40" s="51" t="n"/>
      <c r="F40" s="52" t="n"/>
      <c r="G40" s="51" t="n"/>
      <c r="H40" s="51" t="n"/>
      <c r="I40" s="51" t="n"/>
      <c r="J40" s="51" t="n"/>
      <c r="K40" s="51" t="n"/>
      <c r="L40" s="51" t="n"/>
      <c r="M40" s="51" t="n"/>
    </row>
    <row r="41">
      <c r="B41" s="51" t="n"/>
      <c r="C41" s="51" t="n"/>
      <c r="D41" s="51" t="n"/>
      <c r="E41" s="51" t="n"/>
      <c r="F41" s="52" t="n"/>
      <c r="G41" s="51" t="n"/>
      <c r="H41" s="51" t="n"/>
      <c r="I41" s="51" t="n"/>
      <c r="J41" s="51" t="n"/>
      <c r="K41" s="51" t="n"/>
      <c r="L41" s="51" t="n"/>
      <c r="M41" s="51" t="n"/>
    </row>
    <row r="42">
      <c r="B42" s="51" t="n"/>
      <c r="C42" s="51" t="n"/>
      <c r="D42" s="51" t="n"/>
      <c r="E42" s="51" t="n"/>
      <c r="F42" s="52" t="n"/>
      <c r="G42" s="51" t="n"/>
      <c r="H42" s="51" t="n"/>
      <c r="I42" s="51" t="n"/>
      <c r="J42" s="51" t="n"/>
      <c r="K42" s="51" t="n"/>
      <c r="L42" s="51" t="n"/>
      <c r="M42" s="51" t="n"/>
    </row>
    <row r="43">
      <c r="B43" s="51" t="n"/>
      <c r="C43" s="51" t="n"/>
      <c r="D43" s="51" t="n"/>
      <c r="E43" s="51" t="n"/>
      <c r="F43" s="52" t="n"/>
      <c r="G43" s="51" t="n"/>
      <c r="H43" s="51" t="n"/>
      <c r="I43" s="51" t="n"/>
      <c r="J43" s="51" t="n"/>
      <c r="K43" s="51" t="n"/>
      <c r="L43" s="51" t="n"/>
      <c r="M43" s="51" t="n"/>
    </row>
    <row r="44">
      <c r="B44" s="51" t="n"/>
      <c r="C44" s="51" t="n"/>
      <c r="D44" s="51" t="n"/>
      <c r="E44" s="51" t="n"/>
      <c r="F44" s="52" t="n"/>
      <c r="G44" s="51" t="n"/>
      <c r="H44" s="51" t="n"/>
      <c r="I44" s="51" t="n"/>
      <c r="J44" s="51" t="n"/>
      <c r="K44" s="51" t="n"/>
      <c r="L44" s="51" t="n"/>
      <c r="M44" s="51" t="n"/>
    </row>
    <row r="45">
      <c r="B45" s="51" t="n"/>
      <c r="C45" s="51" t="n"/>
      <c r="D45" s="51" t="n"/>
      <c r="E45" s="51" t="n"/>
      <c r="F45" s="52" t="n"/>
      <c r="G45" s="51" t="n"/>
      <c r="H45" s="51" t="n"/>
      <c r="I45" s="51" t="n"/>
      <c r="J45" s="51" t="n"/>
      <c r="K45" s="51" t="n"/>
      <c r="L45" s="51" t="n"/>
      <c r="M45" s="51" t="n"/>
    </row>
    <row r="46">
      <c r="B46" s="51" t="n"/>
      <c r="C46" s="51" t="n"/>
      <c r="D46" s="51" t="n"/>
      <c r="E46" s="51" t="n"/>
      <c r="F46" s="52" t="n"/>
      <c r="G46" s="51" t="n"/>
      <c r="H46" s="51" t="n"/>
      <c r="I46" s="51" t="n"/>
      <c r="J46" s="51" t="n"/>
      <c r="K46" s="51" t="n"/>
      <c r="L46" s="51" t="n"/>
      <c r="M46" s="51" t="n"/>
    </row>
    <row r="47">
      <c r="B47" s="51" t="n"/>
      <c r="C47" s="51" t="n"/>
      <c r="D47" s="51" t="n"/>
      <c r="E47" s="51" t="n"/>
      <c r="F47" s="52" t="n"/>
      <c r="G47" s="51" t="n"/>
      <c r="H47" s="51" t="n"/>
      <c r="I47" s="51" t="n"/>
      <c r="J47" s="51" t="n"/>
      <c r="K47" s="51" t="n"/>
      <c r="L47" s="51" t="n"/>
      <c r="M47" s="51" t="n"/>
    </row>
    <row r="48">
      <c r="B48" s="51" t="n"/>
      <c r="C48" s="51" t="n"/>
      <c r="D48" s="51" t="n"/>
      <c r="E48" s="51" t="n"/>
      <c r="F48" s="52" t="n"/>
      <c r="G48" s="51" t="n"/>
      <c r="H48" s="51" t="n"/>
      <c r="I48" s="51" t="n"/>
      <c r="J48" s="51" t="n"/>
      <c r="K48" s="51" t="n"/>
      <c r="L48" s="51" t="n"/>
      <c r="M48" s="51" t="n"/>
    </row>
    <row r="49">
      <c r="B49" s="51" t="n"/>
      <c r="C49" s="51" t="n"/>
      <c r="D49" s="51" t="n"/>
      <c r="E49" s="51" t="n"/>
      <c r="F49" s="52" t="n"/>
      <c r="G49" s="51" t="n"/>
      <c r="H49" s="51" t="n"/>
      <c r="I49" s="51" t="n"/>
      <c r="J49" s="51" t="n"/>
      <c r="K49" s="51" t="n"/>
      <c r="L49" s="51" t="n"/>
      <c r="M49" s="51" t="n"/>
    </row>
    <row r="50">
      <c r="B50" s="51" t="n"/>
      <c r="C50" s="51" t="n"/>
      <c r="D50" s="51" t="n"/>
      <c r="E50" s="51" t="n"/>
      <c r="F50" s="52" t="n"/>
      <c r="G50" s="51" t="n"/>
      <c r="H50" s="51" t="n"/>
      <c r="I50" s="51" t="n"/>
      <c r="J50" s="51" t="n"/>
      <c r="K50" s="51" t="n"/>
      <c r="L50" s="51" t="n"/>
      <c r="M50" s="51" t="n"/>
    </row>
    <row r="51">
      <c r="B51" s="51" t="n"/>
      <c r="C51" s="51" t="n"/>
      <c r="D51" s="51" t="n"/>
      <c r="E51" s="51" t="n"/>
      <c r="F51" s="52" t="n"/>
      <c r="G51" s="51" t="n"/>
      <c r="H51" s="51" t="n"/>
      <c r="I51" s="51" t="n"/>
      <c r="J51" s="51" t="n"/>
      <c r="K51" s="51" t="n"/>
      <c r="L51" s="51" t="n"/>
      <c r="M51" s="51" t="n"/>
    </row>
    <row r="52">
      <c r="B52" s="51" t="n"/>
      <c r="C52" s="51" t="n"/>
      <c r="D52" s="51" t="n"/>
      <c r="E52" s="51" t="n"/>
      <c r="F52" s="52" t="n"/>
      <c r="G52" s="51" t="n"/>
      <c r="H52" s="51" t="n"/>
      <c r="I52" s="51" t="n"/>
      <c r="J52" s="51" t="n"/>
      <c r="K52" s="51" t="n"/>
      <c r="L52" s="51" t="n"/>
      <c r="M52" s="51" t="n"/>
    </row>
    <row r="53">
      <c r="B53" s="51" t="n"/>
      <c r="C53" s="51" t="n"/>
      <c r="D53" s="51" t="n"/>
      <c r="E53" s="51" t="n"/>
      <c r="F53" s="52" t="n"/>
      <c r="G53" s="51" t="n"/>
      <c r="H53" s="51" t="n"/>
      <c r="I53" s="51" t="n"/>
      <c r="J53" s="51" t="n"/>
      <c r="K53" s="51" t="n"/>
      <c r="L53" s="51" t="n"/>
      <c r="M53" s="51" t="n"/>
    </row>
    <row r="54">
      <c r="B54" s="51" t="n"/>
      <c r="C54" s="51" t="n"/>
      <c r="D54" s="51" t="n"/>
      <c r="E54" s="51" t="n"/>
      <c r="F54" s="52" t="n"/>
      <c r="G54" s="51" t="n"/>
      <c r="H54" s="51" t="n"/>
      <c r="I54" s="51" t="n"/>
      <c r="J54" s="51" t="n"/>
      <c r="K54" s="51" t="n"/>
      <c r="L54" s="51" t="n"/>
      <c r="M54" s="51" t="n"/>
    </row>
    <row r="55">
      <c r="B55" s="51" t="n"/>
      <c r="C55" s="51" t="n"/>
      <c r="D55" s="51" t="n"/>
      <c r="E55" s="51" t="n"/>
      <c r="F55" s="52" t="n"/>
      <c r="G55" s="51" t="n"/>
      <c r="H55" s="51" t="n"/>
      <c r="I55" s="51" t="n"/>
      <c r="J55" s="51" t="n"/>
      <c r="K55" s="51" t="n"/>
      <c r="L55" s="51" t="n"/>
      <c r="M55" s="51" t="n"/>
    </row>
    <row r="56">
      <c r="B56" s="51" t="n"/>
      <c r="C56" s="51" t="n"/>
      <c r="D56" s="51" t="n"/>
      <c r="E56" s="51" t="n"/>
      <c r="F56" s="52" t="n"/>
      <c r="G56" s="51" t="n"/>
      <c r="H56" s="51" t="n"/>
      <c r="I56" s="51" t="n"/>
      <c r="J56" s="51" t="n"/>
      <c r="K56" s="51" t="n"/>
      <c r="L56" s="51" t="n"/>
      <c r="M56" s="51" t="n"/>
    </row>
    <row r="57">
      <c r="B57" s="51" t="n"/>
      <c r="C57" s="51" t="n"/>
      <c r="D57" s="51" t="n"/>
      <c r="E57" s="51" t="n"/>
      <c r="F57" s="52" t="n"/>
      <c r="G57" s="51" t="n"/>
      <c r="H57" s="51" t="n"/>
      <c r="I57" s="51" t="n"/>
      <c r="J57" s="51" t="n"/>
      <c r="K57" s="51" t="n"/>
      <c r="L57" s="51" t="n"/>
      <c r="M57" s="51" t="n"/>
    </row>
    <row r="58">
      <c r="B58" s="51" t="n"/>
      <c r="C58" s="51" t="n"/>
      <c r="D58" s="51" t="n"/>
      <c r="E58" s="51" t="n"/>
      <c r="F58" s="52" t="n"/>
      <c r="G58" s="51" t="n"/>
      <c r="H58" s="51" t="n"/>
      <c r="I58" s="51" t="n"/>
      <c r="J58" s="51" t="n"/>
      <c r="K58" s="51" t="n"/>
      <c r="L58" s="51" t="n"/>
      <c r="M58" s="51" t="n"/>
    </row>
    <row r="59">
      <c r="B59" s="51" t="n"/>
      <c r="C59" s="51" t="n"/>
      <c r="D59" s="51" t="n"/>
      <c r="E59" s="51" t="n"/>
      <c r="F59" s="52" t="n"/>
      <c r="G59" s="51" t="n"/>
      <c r="H59" s="51" t="n"/>
      <c r="I59" s="51" t="n"/>
      <c r="J59" s="51" t="n"/>
      <c r="K59" s="51" t="n"/>
      <c r="L59" s="51" t="n"/>
      <c r="M59" s="51" t="n"/>
    </row>
    <row r="60">
      <c r="B60" s="51" t="n"/>
      <c r="C60" s="51" t="n"/>
      <c r="D60" s="51" t="n"/>
      <c r="E60" s="51" t="n"/>
      <c r="F60" s="52" t="n"/>
      <c r="G60" s="51" t="n"/>
      <c r="H60" s="51" t="n"/>
      <c r="I60" s="51" t="n"/>
      <c r="J60" s="51" t="n"/>
      <c r="K60" s="51" t="n"/>
      <c r="L60" s="51" t="n"/>
      <c r="M60" s="51" t="n"/>
    </row>
    <row r="61">
      <c r="B61" s="51" t="n"/>
      <c r="C61" s="51" t="n"/>
      <c r="D61" s="51" t="n"/>
      <c r="E61" s="51" t="n"/>
      <c r="F61" s="52" t="n"/>
      <c r="G61" s="51" t="n"/>
      <c r="H61" s="51" t="n"/>
      <c r="I61" s="51" t="n"/>
      <c r="J61" s="51" t="n"/>
      <c r="K61" s="51" t="n"/>
      <c r="L61" s="51" t="n"/>
      <c r="M61" s="51" t="n"/>
    </row>
    <row r="62">
      <c r="B62" s="51" t="n"/>
      <c r="C62" s="51" t="n"/>
      <c r="D62" s="51" t="n"/>
      <c r="E62" s="51" t="n"/>
      <c r="F62" s="52" t="n"/>
      <c r="G62" s="51" t="n"/>
      <c r="H62" s="51" t="n"/>
      <c r="I62" s="51" t="n"/>
      <c r="J62" s="51" t="n"/>
      <c r="K62" s="51" t="n"/>
      <c r="L62" s="51" t="n"/>
      <c r="M62" s="51" t="n"/>
    </row>
    <row r="63">
      <c r="B63" s="51" t="n"/>
      <c r="C63" s="51" t="n"/>
      <c r="D63" s="51" t="n"/>
      <c r="E63" s="51" t="n"/>
      <c r="F63" s="52" t="n"/>
      <c r="G63" s="51" t="n"/>
      <c r="H63" s="51" t="n"/>
      <c r="I63" s="51" t="n"/>
      <c r="J63" s="51" t="n"/>
      <c r="K63" s="51" t="n"/>
      <c r="L63" s="51" t="n"/>
      <c r="M63" s="51" t="n"/>
    </row>
    <row r="64">
      <c r="B64" s="51" t="n"/>
      <c r="C64" s="51" t="n"/>
      <c r="D64" s="51" t="n"/>
      <c r="E64" s="51" t="n"/>
      <c r="F64" s="52" t="n"/>
      <c r="G64" s="51" t="n"/>
      <c r="H64" s="51" t="n"/>
      <c r="I64" s="51" t="n"/>
      <c r="J64" s="51" t="n"/>
      <c r="K64" s="51" t="n"/>
      <c r="L64" s="51" t="n"/>
      <c r="M64" s="51" t="n"/>
    </row>
    <row r="65">
      <c r="B65" s="51" t="n"/>
      <c r="C65" s="51" t="n"/>
      <c r="D65" s="51" t="n"/>
      <c r="E65" s="51" t="n"/>
      <c r="F65" s="52" t="n"/>
      <c r="G65" s="51" t="n"/>
      <c r="H65" s="51" t="n"/>
      <c r="I65" s="51" t="n"/>
      <c r="J65" s="51" t="n"/>
      <c r="K65" s="51" t="n"/>
      <c r="L65" s="51" t="n"/>
      <c r="M65" s="51" t="n"/>
    </row>
    <row r="66">
      <c r="B66" s="51" t="n"/>
      <c r="C66" s="51" t="n"/>
      <c r="D66" s="51" t="n"/>
      <c r="E66" s="51" t="n"/>
      <c r="F66" s="52" t="n"/>
      <c r="G66" s="51" t="n"/>
      <c r="H66" s="51" t="n"/>
      <c r="I66" s="51" t="n"/>
      <c r="J66" s="51" t="n"/>
      <c r="K66" s="51" t="n"/>
      <c r="L66" s="51" t="n"/>
      <c r="M66" s="51" t="n"/>
    </row>
    <row r="67">
      <c r="B67" s="51" t="n"/>
      <c r="C67" s="51" t="n"/>
      <c r="D67" s="51" t="n"/>
      <c r="E67" s="51" t="n"/>
      <c r="F67" s="52" t="n"/>
      <c r="G67" s="51" t="n"/>
      <c r="H67" s="51" t="n"/>
      <c r="I67" s="51" t="n"/>
      <c r="J67" s="51" t="n"/>
      <c r="K67" s="51" t="n"/>
      <c r="L67" s="51" t="n"/>
      <c r="M67" s="51" t="n"/>
    </row>
    <row r="68">
      <c r="B68" s="51" t="n"/>
      <c r="C68" s="51" t="n"/>
      <c r="D68" s="51" t="n"/>
      <c r="E68" s="51" t="n"/>
      <c r="F68" s="52" t="n"/>
      <c r="G68" s="51" t="n"/>
      <c r="H68" s="51" t="n"/>
      <c r="I68" s="51" t="n"/>
      <c r="J68" s="51" t="n"/>
      <c r="K68" s="51" t="n"/>
      <c r="L68" s="51" t="n"/>
      <c r="M68" s="51" t="n"/>
    </row>
    <row r="69">
      <c r="B69" s="51" t="n"/>
      <c r="C69" s="51" t="n"/>
      <c r="D69" s="51" t="n"/>
      <c r="E69" s="51" t="n"/>
      <c r="F69" s="52" t="n"/>
      <c r="G69" s="51" t="n"/>
      <c r="H69" s="51" t="n"/>
      <c r="I69" s="51" t="n"/>
      <c r="J69" s="51" t="n"/>
      <c r="K69" s="51" t="n"/>
      <c r="L69" s="51" t="n"/>
      <c r="M69" s="51" t="n"/>
    </row>
    <row r="70">
      <c r="B70" s="51" t="n"/>
      <c r="C70" s="51" t="n"/>
      <c r="D70" s="51" t="n"/>
      <c r="E70" s="51" t="n"/>
      <c r="F70" s="52" t="n"/>
      <c r="G70" s="51" t="n"/>
      <c r="H70" s="51" t="n"/>
      <c r="I70" s="51" t="n"/>
      <c r="J70" s="51" t="n"/>
      <c r="K70" s="51" t="n"/>
      <c r="L70" s="51" t="n"/>
      <c r="M70" s="51" t="n"/>
    </row>
    <row r="71">
      <c r="B71" s="51" t="n"/>
      <c r="C71" s="51" t="n"/>
      <c r="D71" s="51" t="n"/>
      <c r="E71" s="51" t="n"/>
      <c r="F71" s="52" t="n"/>
      <c r="G71" s="51" t="n"/>
      <c r="H71" s="51" t="n"/>
      <c r="I71" s="51" t="n"/>
      <c r="J71" s="51" t="n"/>
      <c r="K71" s="51" t="n"/>
      <c r="L71" s="51" t="n"/>
      <c r="M71" s="51" t="n"/>
    </row>
    <row r="72">
      <c r="B72" s="51" t="n"/>
      <c r="C72" s="51" t="n"/>
      <c r="D72" s="51" t="n"/>
      <c r="E72" s="51" t="n"/>
      <c r="F72" s="52" t="n"/>
      <c r="G72" s="51" t="n"/>
      <c r="H72" s="51" t="n"/>
      <c r="I72" s="51" t="n"/>
      <c r="J72" s="51" t="n"/>
      <c r="K72" s="51" t="n"/>
      <c r="L72" s="51" t="n"/>
      <c r="M72" s="51" t="n"/>
    </row>
    <row r="73">
      <c r="B73" s="51" t="n"/>
      <c r="C73" s="51" t="n"/>
      <c r="D73" s="51" t="n"/>
      <c r="E73" s="51" t="n"/>
      <c r="F73" s="52" t="n"/>
      <c r="G73" s="51" t="n"/>
      <c r="H73" s="51" t="n"/>
      <c r="I73" s="51" t="n"/>
      <c r="J73" s="51" t="n"/>
      <c r="K73" s="51" t="n"/>
      <c r="L73" s="51" t="n"/>
      <c r="M73" s="51" t="n"/>
    </row>
    <row r="74">
      <c r="B74" s="51" t="n"/>
      <c r="C74" s="51" t="n"/>
      <c r="D74" s="51" t="n"/>
      <c r="E74" s="51" t="n"/>
      <c r="F74" s="52" t="n"/>
      <c r="G74" s="51" t="n"/>
      <c r="H74" s="51" t="n"/>
      <c r="I74" s="51" t="n"/>
      <c r="J74" s="51" t="n"/>
      <c r="K74" s="51" t="n"/>
      <c r="L74" s="51" t="n"/>
      <c r="M74" s="51" t="n"/>
    </row>
    <row r="75">
      <c r="B75" s="51" t="n"/>
      <c r="C75" s="51" t="n"/>
      <c r="D75" s="51" t="n"/>
      <c r="E75" s="51" t="n"/>
      <c r="F75" s="52" t="n"/>
      <c r="G75" s="51" t="n"/>
      <c r="H75" s="51" t="n"/>
      <c r="I75" s="51" t="n"/>
      <c r="J75" s="51" t="n"/>
      <c r="K75" s="51" t="n"/>
      <c r="L75" s="51" t="n"/>
      <c r="M75" s="51" t="n"/>
    </row>
    <row r="76">
      <c r="B76" s="51" t="n"/>
      <c r="C76" s="51" t="n"/>
      <c r="D76" s="51" t="n"/>
      <c r="E76" s="51" t="n"/>
      <c r="F76" s="52" t="n"/>
      <c r="G76" s="51" t="n"/>
      <c r="H76" s="51" t="n"/>
      <c r="I76" s="51" t="n"/>
      <c r="J76" s="51" t="n"/>
      <c r="K76" s="51" t="n"/>
      <c r="L76" s="51" t="n"/>
      <c r="M76" s="51" t="n"/>
    </row>
    <row r="77">
      <c r="B77" s="51" t="n"/>
      <c r="C77" s="51" t="n"/>
      <c r="D77" s="51" t="n"/>
      <c r="E77" s="51" t="n"/>
      <c r="F77" s="52" t="n"/>
      <c r="G77" s="51" t="n"/>
      <c r="H77" s="51" t="n"/>
      <c r="I77" s="51" t="n"/>
      <c r="J77" s="51" t="n"/>
      <c r="K77" s="51" t="n"/>
      <c r="L77" s="51" t="n"/>
      <c r="M77" s="51" t="n"/>
    </row>
    <row r="78">
      <c r="B78" s="51" t="n"/>
      <c r="C78" s="51" t="n"/>
      <c r="D78" s="51" t="n"/>
      <c r="E78" s="51" t="n"/>
      <c r="F78" s="52" t="n"/>
      <c r="G78" s="51" t="n"/>
      <c r="H78" s="51" t="n"/>
      <c r="I78" s="51" t="n"/>
      <c r="J78" s="51" t="n"/>
      <c r="K78" s="51" t="n"/>
      <c r="L78" s="51" t="n"/>
      <c r="M78" s="51" t="n"/>
    </row>
    <row r="79">
      <c r="B79" s="51" t="n"/>
      <c r="C79" s="51" t="n"/>
      <c r="D79" s="51" t="n"/>
      <c r="E79" s="51" t="n"/>
      <c r="F79" s="52" t="n"/>
      <c r="G79" s="51" t="n"/>
      <c r="H79" s="51" t="n"/>
      <c r="I79" s="51" t="n"/>
      <c r="J79" s="51" t="n"/>
      <c r="K79" s="51" t="n"/>
      <c r="L79" s="51" t="n"/>
      <c r="M79" s="51" t="n"/>
    </row>
    <row r="80">
      <c r="B80" s="51" t="n"/>
      <c r="C80" s="51" t="n"/>
      <c r="D80" s="51" t="n"/>
      <c r="E80" s="51" t="n"/>
      <c r="F80" s="52" t="n"/>
      <c r="G80" s="51" t="n"/>
      <c r="H80" s="51" t="n"/>
      <c r="I80" s="51" t="n"/>
      <c r="J80" s="51" t="n"/>
      <c r="K80" s="51" t="n"/>
      <c r="L80" s="51" t="n"/>
      <c r="M80" s="51" t="n"/>
    </row>
    <row r="81">
      <c r="B81" s="51" t="n"/>
      <c r="C81" s="51" t="n"/>
      <c r="D81" s="51" t="n"/>
      <c r="E81" s="51" t="n"/>
      <c r="F81" s="52" t="n"/>
      <c r="G81" s="51" t="n"/>
      <c r="H81" s="51" t="n"/>
      <c r="I81" s="51" t="n"/>
      <c r="J81" s="51" t="n"/>
      <c r="K81" s="51" t="n"/>
      <c r="L81" s="51" t="n"/>
      <c r="M81" s="51" t="n"/>
    </row>
    <row r="82">
      <c r="B82" s="51" t="n"/>
      <c r="C82" s="51" t="n"/>
      <c r="D82" s="51" t="n"/>
      <c r="E82" s="51" t="n"/>
      <c r="F82" s="52" t="n"/>
      <c r="G82" s="51" t="n"/>
      <c r="H82" s="51" t="n"/>
      <c r="I82" s="51" t="n"/>
      <c r="J82" s="51" t="n"/>
      <c r="K82" s="51" t="n"/>
      <c r="L82" s="51" t="n"/>
      <c r="M82" s="51" t="n"/>
    </row>
    <row r="83">
      <c r="B83" s="51" t="n"/>
      <c r="C83" s="51" t="n"/>
      <c r="D83" s="51" t="n"/>
      <c r="E83" s="51" t="n"/>
      <c r="F83" s="52" t="n"/>
      <c r="G83" s="51" t="n"/>
      <c r="H83" s="51" t="n"/>
      <c r="I83" s="51" t="n"/>
      <c r="J83" s="51" t="n"/>
      <c r="K83" s="51" t="n"/>
      <c r="L83" s="51" t="n"/>
      <c r="M83" s="51" t="n"/>
    </row>
    <row r="84">
      <c r="B84" s="51" t="n"/>
      <c r="C84" s="51" t="n"/>
      <c r="D84" s="51" t="n"/>
      <c r="E84" s="51" t="n"/>
      <c r="F84" s="52" t="n"/>
      <c r="G84" s="51" t="n"/>
      <c r="H84" s="51" t="n"/>
      <c r="I84" s="51" t="n"/>
      <c r="J84" s="51" t="n"/>
      <c r="K84" s="51" t="n"/>
      <c r="L84" s="51" t="n"/>
      <c r="M84" s="51" t="n"/>
    </row>
    <row r="85">
      <c r="B85" s="51" t="n"/>
      <c r="C85" s="51" t="n"/>
      <c r="D85" s="51" t="n"/>
      <c r="E85" s="51" t="n"/>
      <c r="F85" s="52" t="n"/>
      <c r="G85" s="51" t="n"/>
      <c r="H85" s="51" t="n"/>
      <c r="I85" s="51" t="n"/>
      <c r="J85" s="51" t="n"/>
      <c r="K85" s="51" t="n"/>
      <c r="L85" s="51" t="n"/>
      <c r="M85" s="51" t="n"/>
    </row>
    <row r="86">
      <c r="B86" s="51" t="n"/>
      <c r="C86" s="51" t="n"/>
      <c r="D86" s="51" t="n"/>
      <c r="E86" s="51" t="n"/>
      <c r="F86" s="52" t="n"/>
      <c r="G86" s="51" t="n"/>
      <c r="H86" s="51" t="n"/>
      <c r="I86" s="51" t="n"/>
      <c r="J86" s="51" t="n"/>
      <c r="K86" s="51" t="n"/>
      <c r="L86" s="51" t="n"/>
      <c r="M86" s="51" t="n"/>
    </row>
    <row r="87">
      <c r="B87" s="51" t="n"/>
      <c r="C87" s="51" t="n"/>
      <c r="D87" s="51" t="n"/>
      <c r="E87" s="51" t="n"/>
      <c r="F87" s="52" t="n"/>
      <c r="G87" s="51" t="n"/>
      <c r="H87" s="51" t="n"/>
      <c r="I87" s="51" t="n"/>
      <c r="J87" s="51" t="n"/>
      <c r="K87" s="51" t="n"/>
      <c r="L87" s="51" t="n"/>
      <c r="M87" s="51" t="n"/>
    </row>
    <row r="88">
      <c r="B88" s="51" t="n"/>
      <c r="C88" s="51" t="n"/>
      <c r="D88" s="51" t="n"/>
      <c r="E88" s="51" t="n"/>
      <c r="F88" s="52" t="n"/>
      <c r="G88" s="51" t="n"/>
      <c r="H88" s="51" t="n"/>
      <c r="I88" s="51" t="n"/>
      <c r="J88" s="51" t="n"/>
      <c r="K88" s="51" t="n"/>
      <c r="L88" s="51" t="n"/>
      <c r="M88" s="51" t="n"/>
    </row>
    <row r="89">
      <c r="B89" s="51" t="n"/>
      <c r="C89" s="51" t="n"/>
      <c r="D89" s="51" t="n"/>
      <c r="E89" s="51" t="n"/>
      <c r="F89" s="52" t="n"/>
      <c r="G89" s="51" t="n"/>
      <c r="H89" s="51" t="n"/>
      <c r="I89" s="51" t="n"/>
      <c r="J89" s="51" t="n"/>
      <c r="K89" s="51" t="n"/>
      <c r="L89" s="51" t="n"/>
      <c r="M89" s="51" t="n"/>
    </row>
    <row r="90">
      <c r="B90" s="51" t="n"/>
      <c r="C90" s="51" t="n"/>
      <c r="D90" s="51" t="n"/>
      <c r="E90" s="51" t="n"/>
      <c r="F90" s="52" t="n"/>
      <c r="G90" s="51" t="n"/>
      <c r="H90" s="51" t="n"/>
      <c r="I90" s="51" t="n"/>
      <c r="J90" s="51" t="n"/>
      <c r="K90" s="51" t="n"/>
      <c r="L90" s="51" t="n"/>
      <c r="M90" s="51" t="n"/>
    </row>
    <row r="91">
      <c r="B91" s="51" t="n"/>
      <c r="C91" s="51" t="n"/>
      <c r="D91" s="51" t="n"/>
      <c r="E91" s="51" t="n"/>
      <c r="F91" s="52" t="n"/>
      <c r="G91" s="51" t="n"/>
      <c r="H91" s="51" t="n"/>
      <c r="I91" s="51" t="n"/>
      <c r="J91" s="51" t="n"/>
      <c r="K91" s="51" t="n"/>
      <c r="L91" s="51" t="n"/>
      <c r="M91" s="51" t="n"/>
    </row>
    <row r="92">
      <c r="B92" s="51" t="n"/>
      <c r="C92" s="51" t="n"/>
      <c r="D92" s="51" t="n"/>
      <c r="E92" s="51" t="n"/>
      <c r="F92" s="52" t="n"/>
      <c r="G92" s="51" t="n"/>
      <c r="H92" s="51" t="n"/>
      <c r="I92" s="51" t="n"/>
      <c r="J92" s="51" t="n"/>
      <c r="K92" s="51" t="n"/>
      <c r="L92" s="51" t="n"/>
      <c r="M92" s="51" t="n"/>
    </row>
    <row r="93">
      <c r="B93" s="51" t="n"/>
      <c r="C93" s="51" t="n"/>
      <c r="D93" s="51" t="n"/>
      <c r="E93" s="51" t="n"/>
      <c r="F93" s="52" t="n"/>
      <c r="G93" s="51" t="n"/>
      <c r="H93" s="51" t="n"/>
      <c r="I93" s="51" t="n"/>
      <c r="J93" s="51" t="n"/>
      <c r="K93" s="51" t="n"/>
      <c r="L93" s="51" t="n"/>
      <c r="M93" s="51" t="n"/>
    </row>
    <row r="94">
      <c r="B94" s="51" t="n"/>
      <c r="C94" s="51" t="n"/>
      <c r="D94" s="51" t="n"/>
      <c r="E94" s="51" t="n"/>
      <c r="F94" s="52" t="n"/>
      <c r="G94" s="51" t="n"/>
      <c r="H94" s="51" t="n"/>
      <c r="I94" s="51" t="n"/>
      <c r="J94" s="51" t="n"/>
      <c r="K94" s="51" t="n"/>
      <c r="L94" s="51" t="n"/>
      <c r="M94" s="51" t="n"/>
    </row>
    <row r="95">
      <c r="B95" s="51" t="n"/>
      <c r="C95" s="51" t="n"/>
      <c r="D95" s="51" t="n"/>
      <c r="E95" s="51" t="n"/>
      <c r="F95" s="52" t="n"/>
      <c r="G95" s="51" t="n"/>
      <c r="H95" s="51" t="n"/>
      <c r="I95" s="51" t="n"/>
      <c r="J95" s="51" t="n"/>
      <c r="K95" s="51" t="n"/>
      <c r="L95" s="51" t="n"/>
      <c r="M95" s="51" t="n"/>
    </row>
    <row r="96">
      <c r="B96" s="51" t="n"/>
      <c r="C96" s="51" t="n"/>
      <c r="D96" s="51" t="n"/>
      <c r="E96" s="51" t="n"/>
      <c r="F96" s="52" t="n"/>
      <c r="G96" s="51" t="n"/>
      <c r="H96" s="51" t="n"/>
      <c r="I96" s="51" t="n"/>
      <c r="J96" s="51" t="n"/>
      <c r="K96" s="51" t="n"/>
      <c r="L96" s="51" t="n"/>
      <c r="M96" s="51" t="n"/>
    </row>
    <row r="97">
      <c r="B97" s="51" t="n"/>
      <c r="C97" s="51" t="n"/>
      <c r="D97" s="51" t="n"/>
      <c r="E97" s="51" t="n"/>
      <c r="F97" s="52" t="n"/>
      <c r="G97" s="51" t="n"/>
      <c r="H97" s="51" t="n"/>
      <c r="I97" s="51" t="n"/>
      <c r="J97" s="51" t="n"/>
      <c r="K97" s="51" t="n"/>
      <c r="L97" s="51" t="n"/>
      <c r="M97" s="51" t="n"/>
    </row>
    <row r="98">
      <c r="B98" s="51" t="n"/>
      <c r="C98" s="51" t="n"/>
      <c r="D98" s="51" t="n"/>
      <c r="E98" s="51" t="n"/>
      <c r="F98" s="52" t="n"/>
      <c r="G98" s="51" t="n"/>
      <c r="H98" s="51" t="n"/>
      <c r="I98" s="51" t="n"/>
      <c r="J98" s="51" t="n"/>
      <c r="K98" s="51" t="n"/>
      <c r="L98" s="51" t="n"/>
      <c r="M98" s="51" t="n"/>
    </row>
    <row r="99">
      <c r="B99" s="51" t="n"/>
      <c r="C99" s="51" t="n"/>
      <c r="D99" s="51" t="n"/>
      <c r="E99" s="51" t="n"/>
      <c r="F99" s="52" t="n"/>
      <c r="G99" s="51" t="n"/>
      <c r="H99" s="51" t="n"/>
      <c r="I99" s="51" t="n"/>
      <c r="J99" s="51" t="n"/>
      <c r="K99" s="51" t="n"/>
      <c r="L99" s="51" t="n"/>
      <c r="M99" s="51" t="n"/>
    </row>
    <row r="100">
      <c r="B100" s="51" t="n"/>
      <c r="C100" s="51" t="n"/>
      <c r="D100" s="51" t="n"/>
      <c r="E100" s="51" t="n"/>
      <c r="F100" s="52" t="n"/>
      <c r="G100" s="51" t="n"/>
      <c r="H100" s="51" t="n"/>
      <c r="I100" s="51" t="n"/>
      <c r="J100" s="51" t="n"/>
      <c r="K100" s="51" t="n"/>
      <c r="L100" s="51" t="n"/>
      <c r="M100" s="51" t="n"/>
    </row>
    <row r="101">
      <c r="B101" s="51" t="n"/>
      <c r="C101" s="51" t="n"/>
      <c r="D101" s="51" t="n"/>
      <c r="E101" s="51" t="n"/>
      <c r="F101" s="52" t="n"/>
      <c r="G101" s="51" t="n"/>
      <c r="H101" s="51" t="n"/>
      <c r="I101" s="51" t="n"/>
      <c r="J101" s="51" t="n"/>
      <c r="K101" s="51" t="n"/>
      <c r="L101" s="51" t="n"/>
      <c r="M101" s="51" t="n"/>
    </row>
    <row r="102">
      <c r="B102" s="51" t="n"/>
      <c r="C102" s="51" t="n"/>
      <c r="D102" s="51" t="n"/>
      <c r="E102" s="51" t="n"/>
      <c r="F102" s="52" t="n"/>
      <c r="G102" s="51" t="n"/>
      <c r="H102" s="51" t="n"/>
      <c r="I102" s="51" t="n"/>
      <c r="J102" s="51" t="n"/>
      <c r="K102" s="51" t="n"/>
      <c r="L102" s="51" t="n"/>
      <c r="M102" s="51" t="n"/>
    </row>
    <row r="103">
      <c r="B103" s="51" t="n"/>
      <c r="C103" s="51" t="n"/>
      <c r="D103" s="51" t="n"/>
      <c r="E103" s="51" t="n"/>
      <c r="F103" s="52" t="n"/>
      <c r="G103" s="51" t="n"/>
      <c r="H103" s="51" t="n"/>
      <c r="I103" s="51" t="n"/>
      <c r="J103" s="51" t="n"/>
      <c r="K103" s="51" t="n"/>
      <c r="L103" s="51" t="n"/>
      <c r="M103" s="51" t="n"/>
    </row>
    <row r="104">
      <c r="B104" s="51" t="n"/>
      <c r="C104" s="51" t="n"/>
      <c r="D104" s="51" t="n"/>
      <c r="E104" s="51" t="n"/>
      <c r="F104" s="52" t="n"/>
      <c r="G104" s="51" t="n"/>
      <c r="H104" s="51" t="n"/>
      <c r="I104" s="51" t="n"/>
      <c r="J104" s="51" t="n"/>
      <c r="K104" s="51" t="n"/>
      <c r="L104" s="51" t="n"/>
      <c r="M104" s="51" t="n"/>
    </row>
    <row r="105">
      <c r="B105" s="51" t="n"/>
      <c r="C105" s="51" t="n"/>
      <c r="D105" s="51" t="n"/>
      <c r="E105" s="51" t="n"/>
      <c r="F105" s="52" t="n"/>
      <c r="G105" s="51" t="n"/>
      <c r="H105" s="51" t="n"/>
      <c r="I105" s="51" t="n"/>
      <c r="J105" s="51" t="n"/>
      <c r="K105" s="51" t="n"/>
      <c r="L105" s="51" t="n"/>
      <c r="M105" s="51" t="n"/>
    </row>
    <row r="106">
      <c r="B106" s="51" t="n"/>
      <c r="C106" s="51" t="n"/>
      <c r="D106" s="51" t="n"/>
      <c r="E106" s="51" t="n"/>
      <c r="F106" s="52" t="n"/>
      <c r="G106" s="51" t="n"/>
      <c r="H106" s="51" t="n"/>
      <c r="I106" s="51" t="n"/>
      <c r="J106" s="51" t="n"/>
      <c r="K106" s="51" t="n"/>
      <c r="L106" s="51" t="n"/>
      <c r="M106" s="51" t="n"/>
    </row>
    <row r="107">
      <c r="B107" s="51" t="n"/>
      <c r="C107" s="51" t="n"/>
      <c r="D107" s="51" t="n"/>
      <c r="E107" s="51" t="n"/>
      <c r="F107" s="52" t="n"/>
      <c r="G107" s="51" t="n"/>
      <c r="H107" s="51" t="n"/>
      <c r="I107" s="51" t="n"/>
      <c r="J107" s="51" t="n"/>
      <c r="K107" s="51" t="n"/>
      <c r="L107" s="51" t="n"/>
      <c r="M107" s="51" t="n"/>
    </row>
    <row r="108">
      <c r="B108" s="51" t="n"/>
      <c r="C108" s="51" t="n"/>
      <c r="D108" s="51" t="n"/>
      <c r="E108" s="51" t="n"/>
      <c r="F108" s="52" t="n"/>
      <c r="G108" s="51" t="n"/>
      <c r="H108" s="51" t="n"/>
      <c r="I108" s="51" t="n"/>
      <c r="J108" s="51" t="n"/>
      <c r="K108" s="51" t="n"/>
      <c r="L108" s="51" t="n"/>
      <c r="M108" s="51" t="n"/>
    </row>
    <row r="109">
      <c r="B109" s="51" t="n"/>
      <c r="C109" s="51" t="n"/>
      <c r="D109" s="51" t="n"/>
      <c r="E109" s="51" t="n"/>
      <c r="F109" s="52" t="n"/>
      <c r="G109" s="51" t="n"/>
      <c r="H109" s="51" t="n"/>
      <c r="I109" s="51" t="n"/>
      <c r="J109" s="51" t="n"/>
      <c r="K109" s="51" t="n"/>
      <c r="L109" s="51" t="n"/>
      <c r="M109" s="51" t="n"/>
    </row>
    <row r="110">
      <c r="B110" s="51" t="n"/>
      <c r="C110" s="51" t="n"/>
      <c r="D110" s="51" t="n"/>
      <c r="E110" s="51" t="n"/>
      <c r="F110" s="52" t="n"/>
      <c r="G110" s="51" t="n"/>
      <c r="H110" s="51" t="n"/>
      <c r="I110" s="51" t="n"/>
      <c r="J110" s="51" t="n"/>
      <c r="K110" s="51" t="n"/>
      <c r="L110" s="51" t="n"/>
      <c r="M110" s="51" t="n"/>
    </row>
    <row r="111">
      <c r="B111" s="51" t="n"/>
      <c r="C111" s="51" t="n"/>
      <c r="D111" s="51" t="n"/>
      <c r="E111" s="51" t="n"/>
      <c r="F111" s="52" t="n"/>
      <c r="G111" s="51" t="n"/>
      <c r="H111" s="51" t="n"/>
      <c r="I111" s="51" t="n"/>
      <c r="J111" s="51" t="n"/>
      <c r="K111" s="51" t="n"/>
      <c r="L111" s="51" t="n"/>
      <c r="M111" s="51" t="n"/>
    </row>
    <row r="112">
      <c r="B112" s="51" t="n"/>
      <c r="C112" s="51" t="n"/>
      <c r="D112" s="51" t="n"/>
      <c r="E112" s="51" t="n"/>
      <c r="F112" s="52" t="n"/>
      <c r="G112" s="51" t="n"/>
      <c r="H112" s="51" t="n"/>
      <c r="I112" s="51" t="n"/>
      <c r="J112" s="51" t="n"/>
      <c r="K112" s="51" t="n"/>
      <c r="L112" s="51" t="n"/>
      <c r="M112" s="51" t="n"/>
    </row>
    <row r="113">
      <c r="B113" s="51" t="n"/>
      <c r="C113" s="51" t="n"/>
      <c r="D113" s="51" t="n"/>
      <c r="E113" s="51" t="n"/>
      <c r="F113" s="52" t="n"/>
      <c r="G113" s="51" t="n"/>
      <c r="H113" s="51" t="n"/>
      <c r="I113" s="51" t="n"/>
      <c r="J113" s="51" t="n"/>
      <c r="K113" s="51" t="n"/>
      <c r="L113" s="51" t="n"/>
      <c r="M113" s="51" t="n"/>
    </row>
    <row r="114">
      <c r="B114" s="51" t="n"/>
      <c r="C114" s="51" t="n"/>
      <c r="D114" s="51" t="n"/>
      <c r="E114" s="51" t="n"/>
      <c r="F114" s="52" t="n"/>
      <c r="G114" s="51" t="n"/>
      <c r="H114" s="51" t="n"/>
      <c r="I114" s="51" t="n"/>
      <c r="J114" s="51" t="n"/>
      <c r="K114" s="51" t="n"/>
      <c r="L114" s="51" t="n"/>
      <c r="M114" s="51" t="n"/>
    </row>
    <row r="115">
      <c r="B115" s="51" t="n"/>
      <c r="C115" s="51" t="n"/>
      <c r="D115" s="51" t="n"/>
      <c r="E115" s="51" t="n"/>
      <c r="F115" s="52" t="n"/>
      <c r="G115" s="51" t="n"/>
      <c r="H115" s="51" t="n"/>
      <c r="I115" s="51" t="n"/>
      <c r="J115" s="51" t="n"/>
      <c r="K115" s="51" t="n"/>
      <c r="L115" s="51" t="n"/>
      <c r="M115" s="51" t="n"/>
    </row>
    <row r="116">
      <c r="B116" s="51" t="n"/>
      <c r="C116" s="51" t="n"/>
      <c r="D116" s="51" t="n"/>
      <c r="E116" s="51" t="n"/>
      <c r="F116" s="52" t="n"/>
      <c r="G116" s="51" t="n"/>
      <c r="H116" s="51" t="n"/>
      <c r="I116" s="51" t="n"/>
      <c r="J116" s="51" t="n"/>
      <c r="K116" s="51" t="n"/>
      <c r="L116" s="51" t="n"/>
      <c r="M116" s="51" t="n"/>
    </row>
    <row r="117">
      <c r="B117" s="51" t="n"/>
      <c r="C117" s="51" t="n"/>
      <c r="D117" s="51" t="n"/>
      <c r="E117" s="51" t="n"/>
      <c r="F117" s="52" t="n"/>
      <c r="G117" s="51" t="n"/>
      <c r="H117" s="51" t="n"/>
      <c r="I117" s="51" t="n"/>
      <c r="J117" s="51" t="n"/>
      <c r="K117" s="51" t="n"/>
      <c r="L117" s="51" t="n"/>
      <c r="M117" s="51" t="n"/>
    </row>
    <row r="118">
      <c r="B118" s="51" t="n"/>
      <c r="C118" s="51" t="n"/>
      <c r="D118" s="51" t="n"/>
      <c r="E118" s="51" t="n"/>
      <c r="F118" s="52" t="n"/>
      <c r="G118" s="51" t="n"/>
      <c r="H118" s="51" t="n"/>
      <c r="I118" s="51" t="n"/>
      <c r="J118" s="51" t="n"/>
      <c r="K118" s="51" t="n"/>
      <c r="L118" s="51" t="n"/>
      <c r="M118" s="51" t="n"/>
    </row>
    <row r="119">
      <c r="B119" s="51" t="n"/>
      <c r="C119" s="51" t="n"/>
      <c r="D119" s="51" t="n"/>
      <c r="E119" s="51" t="n"/>
      <c r="F119" s="52" t="n"/>
      <c r="G119" s="51" t="n"/>
      <c r="H119" s="51" t="n"/>
      <c r="I119" s="51" t="n"/>
      <c r="J119" s="51" t="n"/>
      <c r="K119" s="51" t="n"/>
      <c r="L119" s="51" t="n"/>
      <c r="M119" s="51" t="n"/>
    </row>
    <row r="120">
      <c r="B120" s="51" t="n"/>
      <c r="C120" s="51" t="n"/>
      <c r="D120" s="51" t="n"/>
      <c r="E120" s="51" t="n"/>
      <c r="F120" s="52" t="n"/>
      <c r="G120" s="51" t="n"/>
      <c r="H120" s="51" t="n"/>
      <c r="I120" s="51" t="n"/>
      <c r="J120" s="51" t="n"/>
      <c r="K120" s="51" t="n"/>
      <c r="L120" s="51" t="n"/>
      <c r="M120" s="51" t="n"/>
    </row>
    <row r="121">
      <c r="B121" s="51" t="n"/>
      <c r="C121" s="51" t="n"/>
      <c r="D121" s="51" t="n"/>
      <c r="E121" s="51" t="n"/>
      <c r="F121" s="52" t="n"/>
      <c r="G121" s="51" t="n"/>
      <c r="H121" s="51" t="n"/>
      <c r="I121" s="51" t="n"/>
      <c r="J121" s="51" t="n"/>
      <c r="K121" s="51" t="n"/>
      <c r="L121" s="51" t="n"/>
      <c r="M121" s="51" t="n"/>
    </row>
    <row r="122">
      <c r="B122" s="51" t="n"/>
      <c r="C122" s="51" t="n"/>
      <c r="D122" s="51" t="n"/>
      <c r="E122" s="51" t="n"/>
      <c r="F122" s="52" t="n"/>
      <c r="G122" s="51" t="n"/>
      <c r="H122" s="51" t="n"/>
      <c r="I122" s="51" t="n"/>
      <c r="J122" s="51" t="n"/>
      <c r="K122" s="51" t="n"/>
      <c r="L122" s="51" t="n"/>
      <c r="M122" s="51" t="n"/>
    </row>
    <row r="123">
      <c r="B123" s="51" t="n"/>
      <c r="C123" s="51" t="n"/>
      <c r="D123" s="51" t="n"/>
      <c r="E123" s="51" t="n"/>
      <c r="F123" s="52" t="n"/>
      <c r="G123" s="51" t="n"/>
      <c r="H123" s="51" t="n"/>
      <c r="I123" s="51" t="n"/>
      <c r="J123" s="51" t="n"/>
      <c r="K123" s="51" t="n"/>
      <c r="L123" s="51" t="n"/>
      <c r="M123" s="51" t="n"/>
    </row>
    <row r="124">
      <c r="B124" s="51" t="n"/>
      <c r="C124" s="51" t="n"/>
      <c r="D124" s="51" t="n"/>
      <c r="E124" s="51" t="n"/>
      <c r="F124" s="52" t="n"/>
      <c r="G124" s="51" t="n"/>
      <c r="H124" s="51" t="n"/>
      <c r="I124" s="51" t="n"/>
      <c r="J124" s="51" t="n"/>
      <c r="K124" s="51" t="n"/>
      <c r="L124" s="51" t="n"/>
      <c r="M124" s="51" t="n"/>
    </row>
    <row r="125">
      <c r="B125" s="51" t="n"/>
      <c r="C125" s="51" t="n"/>
      <c r="D125" s="51" t="n"/>
      <c r="E125" s="51" t="n"/>
      <c r="F125" s="52" t="n"/>
      <c r="G125" s="51" t="n"/>
      <c r="H125" s="51" t="n"/>
      <c r="I125" s="51" t="n"/>
      <c r="J125" s="51" t="n"/>
      <c r="K125" s="51" t="n"/>
      <c r="L125" s="51" t="n"/>
      <c r="M125" s="51" t="n"/>
    </row>
    <row r="126">
      <c r="B126" s="51" t="n"/>
      <c r="C126" s="51" t="n"/>
      <c r="D126" s="51" t="n"/>
      <c r="E126" s="51" t="n"/>
      <c r="F126" s="52" t="n"/>
      <c r="G126" s="51" t="n"/>
      <c r="H126" s="51" t="n"/>
      <c r="I126" s="51" t="n"/>
      <c r="J126" s="51" t="n"/>
      <c r="K126" s="51" t="n"/>
      <c r="L126" s="51" t="n"/>
      <c r="M126" s="51" t="n"/>
    </row>
    <row r="127">
      <c r="B127" s="51" t="n"/>
      <c r="C127" s="51" t="n"/>
      <c r="D127" s="51" t="n"/>
      <c r="E127" s="51" t="n"/>
      <c r="F127" s="52" t="n"/>
      <c r="G127" s="51" t="n"/>
      <c r="H127" s="51" t="n"/>
      <c r="I127" s="51" t="n"/>
      <c r="J127" s="51" t="n"/>
      <c r="K127" s="51" t="n"/>
      <c r="L127" s="51" t="n"/>
      <c r="M127" s="51" t="n"/>
    </row>
    <row r="128">
      <c r="B128" s="51" t="n"/>
      <c r="C128" s="51" t="n"/>
      <c r="D128" s="51" t="n"/>
      <c r="E128" s="51" t="n"/>
      <c r="F128" s="52" t="n"/>
      <c r="G128" s="51" t="n"/>
      <c r="H128" s="51" t="n"/>
      <c r="I128" s="51" t="n"/>
      <c r="J128" s="51" t="n"/>
      <c r="K128" s="51" t="n"/>
      <c r="L128" s="51" t="n"/>
      <c r="M128" s="51" t="n"/>
    </row>
    <row r="129">
      <c r="B129" s="51" t="n"/>
      <c r="C129" s="51" t="n"/>
      <c r="D129" s="51" t="n"/>
      <c r="E129" s="51" t="n"/>
      <c r="F129" s="52" t="n"/>
      <c r="G129" s="51" t="n"/>
      <c r="H129" s="51" t="n"/>
      <c r="I129" s="51" t="n"/>
      <c r="J129" s="51" t="n"/>
      <c r="K129" s="51" t="n"/>
      <c r="L129" s="51" t="n"/>
      <c r="M129" s="51" t="n"/>
    </row>
    <row r="130">
      <c r="B130" s="51" t="n"/>
      <c r="C130" s="51" t="n"/>
      <c r="D130" s="51" t="n"/>
      <c r="E130" s="51" t="n"/>
      <c r="F130" s="52" t="n"/>
      <c r="G130" s="51" t="n"/>
      <c r="H130" s="51" t="n"/>
      <c r="I130" s="51" t="n"/>
      <c r="J130" s="51" t="n"/>
      <c r="K130" s="51" t="n"/>
      <c r="L130" s="51" t="n"/>
      <c r="M130" s="51" t="n"/>
    </row>
    <row r="131">
      <c r="B131" s="51" t="n"/>
      <c r="C131" s="51" t="n"/>
      <c r="D131" s="51" t="n"/>
      <c r="E131" s="51" t="n"/>
      <c r="F131" s="52" t="n"/>
      <c r="G131" s="51" t="n"/>
      <c r="H131" s="51" t="n"/>
      <c r="I131" s="51" t="n"/>
      <c r="J131" s="51" t="n"/>
      <c r="K131" s="51" t="n"/>
      <c r="L131" s="51" t="n"/>
      <c r="M131" s="51" t="n"/>
    </row>
    <row r="132">
      <c r="B132" s="51" t="n"/>
      <c r="C132" s="51" t="n"/>
      <c r="D132" s="51" t="n"/>
      <c r="E132" s="51" t="n"/>
      <c r="F132" s="52" t="n"/>
      <c r="G132" s="51" t="n"/>
      <c r="H132" s="51" t="n"/>
      <c r="I132" s="51" t="n"/>
      <c r="J132" s="51" t="n"/>
      <c r="K132" s="51" t="n"/>
      <c r="L132" s="51" t="n"/>
      <c r="M132" s="51" t="n"/>
    </row>
    <row r="133">
      <c r="B133" s="51" t="n"/>
      <c r="C133" s="51" t="n"/>
      <c r="D133" s="51" t="n"/>
      <c r="E133" s="51" t="n"/>
      <c r="F133" s="52" t="n"/>
      <c r="G133" s="51" t="n"/>
      <c r="H133" s="51" t="n"/>
      <c r="I133" s="51" t="n"/>
      <c r="J133" s="51" t="n"/>
      <c r="K133" s="51" t="n"/>
      <c r="L133" s="51" t="n"/>
      <c r="M133" s="51" t="n"/>
    </row>
    <row r="134">
      <c r="B134" s="51" t="n"/>
      <c r="C134" s="51" t="n"/>
      <c r="D134" s="51" t="n"/>
      <c r="E134" s="51" t="n"/>
      <c r="F134" s="52" t="n"/>
      <c r="G134" s="51" t="n"/>
      <c r="H134" s="51" t="n"/>
      <c r="I134" s="51" t="n"/>
      <c r="J134" s="51" t="n"/>
      <c r="K134" s="51" t="n"/>
      <c r="L134" s="51" t="n"/>
      <c r="M134" s="51" t="n"/>
    </row>
    <row r="135">
      <c r="B135" s="51" t="n"/>
      <c r="C135" s="51" t="n"/>
      <c r="D135" s="51" t="n"/>
      <c r="E135" s="51" t="n"/>
      <c r="F135" s="52" t="n"/>
      <c r="G135" s="51" t="n"/>
      <c r="H135" s="51" t="n"/>
      <c r="I135" s="51" t="n"/>
      <c r="J135" s="51" t="n"/>
      <c r="K135" s="51" t="n"/>
      <c r="L135" s="51" t="n"/>
      <c r="M135" s="51" t="n"/>
    </row>
    <row r="136">
      <c r="B136" s="51" t="n"/>
      <c r="C136" s="51" t="n"/>
      <c r="D136" s="51" t="n"/>
      <c r="E136" s="51" t="n"/>
      <c r="F136" s="52" t="n"/>
      <c r="G136" s="51" t="n"/>
      <c r="H136" s="51" t="n"/>
      <c r="I136" s="51" t="n"/>
      <c r="J136" s="51" t="n"/>
      <c r="K136" s="51" t="n"/>
      <c r="L136" s="51" t="n"/>
      <c r="M136" s="51" t="n"/>
    </row>
    <row r="137">
      <c r="B137" s="51" t="n"/>
      <c r="C137" s="51" t="n"/>
      <c r="D137" s="51" t="n"/>
      <c r="E137" s="51" t="n"/>
      <c r="F137" s="52" t="n"/>
      <c r="G137" s="51" t="n"/>
      <c r="H137" s="51" t="n"/>
      <c r="I137" s="51" t="n"/>
      <c r="J137" s="51" t="n"/>
      <c r="K137" s="51" t="n"/>
      <c r="L137" s="51" t="n"/>
      <c r="M137" s="51" t="n"/>
    </row>
    <row r="138">
      <c r="B138" s="51" t="n"/>
      <c r="C138" s="51" t="n"/>
      <c r="D138" s="51" t="n"/>
      <c r="E138" s="51" t="n"/>
      <c r="F138" s="52" t="n"/>
      <c r="G138" s="51" t="n"/>
      <c r="H138" s="51" t="n"/>
      <c r="I138" s="51" t="n"/>
      <c r="J138" s="51" t="n"/>
      <c r="K138" s="51" t="n"/>
      <c r="L138" s="51" t="n"/>
      <c r="M138" s="51" t="n"/>
    </row>
    <row r="139">
      <c r="B139" s="51" t="n"/>
      <c r="C139" s="51" t="n"/>
      <c r="D139" s="51" t="n"/>
      <c r="E139" s="51" t="n"/>
      <c r="F139" s="52" t="n"/>
      <c r="G139" s="51" t="n"/>
      <c r="H139" s="51" t="n"/>
      <c r="I139" s="51" t="n"/>
      <c r="J139" s="51" t="n"/>
      <c r="K139" s="51" t="n"/>
      <c r="L139" s="51" t="n"/>
      <c r="M139" s="51" t="n"/>
    </row>
    <row r="140">
      <c r="B140" s="51" t="n"/>
      <c r="C140" s="51" t="n"/>
      <c r="D140" s="51" t="n"/>
      <c r="E140" s="51" t="n"/>
      <c r="F140" s="52" t="n"/>
      <c r="G140" s="51" t="n"/>
      <c r="H140" s="51" t="n"/>
      <c r="I140" s="51" t="n"/>
      <c r="J140" s="51" t="n"/>
      <c r="K140" s="51" t="n"/>
      <c r="L140" s="51" t="n"/>
      <c r="M140" s="51" t="n"/>
    </row>
    <row r="141">
      <c r="B141" s="51" t="n"/>
      <c r="C141" s="51" t="n"/>
      <c r="D141" s="51" t="n"/>
      <c r="E141" s="51" t="n"/>
      <c r="F141" s="52" t="n"/>
      <c r="G141" s="51" t="n"/>
      <c r="H141" s="51" t="n"/>
      <c r="I141" s="51" t="n"/>
      <c r="J141" s="51" t="n"/>
      <c r="K141" s="51" t="n"/>
      <c r="L141" s="51" t="n"/>
      <c r="M141" s="51" t="n"/>
    </row>
    <row r="142">
      <c r="B142" s="51" t="n"/>
      <c r="C142" s="51" t="n"/>
      <c r="D142" s="51" t="n"/>
      <c r="E142" s="51" t="n"/>
      <c r="F142" s="52" t="n"/>
      <c r="G142" s="51" t="n"/>
      <c r="H142" s="51" t="n"/>
      <c r="I142" s="51" t="n"/>
      <c r="J142" s="51" t="n"/>
      <c r="K142" s="51" t="n"/>
      <c r="L142" s="51" t="n"/>
      <c r="M142" s="51" t="n"/>
    </row>
    <row r="143">
      <c r="B143" s="51" t="n"/>
      <c r="C143" s="51" t="n"/>
      <c r="D143" s="51" t="n"/>
      <c r="E143" s="51" t="n"/>
      <c r="F143" s="52" t="n"/>
      <c r="G143" s="51" t="n"/>
      <c r="H143" s="51" t="n"/>
      <c r="I143" s="51" t="n"/>
      <c r="J143" s="51" t="n"/>
      <c r="K143" s="51" t="n"/>
      <c r="L143" s="51" t="n"/>
      <c r="M143" s="51" t="n"/>
    </row>
    <row r="144">
      <c r="B144" s="51" t="n"/>
      <c r="C144" s="51" t="n"/>
      <c r="D144" s="51" t="n"/>
      <c r="E144" s="51" t="n"/>
      <c r="F144" s="52" t="n"/>
      <c r="G144" s="51" t="n"/>
      <c r="H144" s="51" t="n"/>
      <c r="I144" s="51" t="n"/>
      <c r="J144" s="51" t="n"/>
      <c r="K144" s="51" t="n"/>
      <c r="L144" s="51" t="n"/>
      <c r="M144" s="51" t="n"/>
    </row>
    <row r="145">
      <c r="B145" s="51" t="n"/>
      <c r="C145" s="51" t="n"/>
      <c r="D145" s="51" t="n"/>
      <c r="E145" s="51" t="n"/>
      <c r="F145" s="52" t="n"/>
      <c r="G145" s="51" t="n"/>
      <c r="H145" s="51" t="n"/>
      <c r="I145" s="51" t="n"/>
      <c r="J145" s="51" t="n"/>
      <c r="K145" s="51" t="n"/>
      <c r="L145" s="51" t="n"/>
      <c r="M145" s="51" t="n"/>
    </row>
    <row r="146">
      <c r="B146" s="51" t="n"/>
      <c r="C146" s="51" t="n"/>
      <c r="D146" s="51" t="n"/>
      <c r="E146" s="51" t="n"/>
      <c r="F146" s="52" t="n"/>
      <c r="G146" s="51" t="n"/>
      <c r="H146" s="51" t="n"/>
      <c r="I146" s="51" t="n"/>
      <c r="J146" s="51" t="n"/>
      <c r="K146" s="51" t="n"/>
      <c r="L146" s="51" t="n"/>
      <c r="M146" s="51" t="n"/>
    </row>
    <row r="147">
      <c r="B147" s="51" t="n"/>
      <c r="C147" s="51" t="n"/>
      <c r="D147" s="51" t="n"/>
      <c r="E147" s="51" t="n"/>
      <c r="F147" s="52" t="n"/>
      <c r="G147" s="51" t="n"/>
      <c r="H147" s="51" t="n"/>
      <c r="I147" s="51" t="n"/>
      <c r="J147" s="51" t="n"/>
      <c r="K147" s="51" t="n"/>
      <c r="L147" s="51" t="n"/>
      <c r="M147" s="51" t="n"/>
    </row>
    <row r="148">
      <c r="B148" s="51" t="n"/>
      <c r="C148" s="51" t="n"/>
      <c r="D148" s="51" t="n"/>
      <c r="E148" s="51" t="n"/>
      <c r="F148" s="52" t="n"/>
      <c r="G148" s="51" t="n"/>
      <c r="H148" s="51" t="n"/>
      <c r="I148" s="51" t="n"/>
      <c r="J148" s="51" t="n"/>
      <c r="K148" s="51" t="n"/>
      <c r="L148" s="51" t="n"/>
      <c r="M148" s="51" t="n"/>
    </row>
    <row r="149">
      <c r="B149" s="51" t="n"/>
      <c r="C149" s="51" t="n"/>
      <c r="D149" s="51" t="n"/>
      <c r="E149" s="51" t="n"/>
      <c r="F149" s="52" t="n"/>
      <c r="G149" s="51" t="n"/>
      <c r="H149" s="51" t="n"/>
      <c r="I149" s="51" t="n"/>
      <c r="J149" s="51" t="n"/>
      <c r="K149" s="51" t="n"/>
      <c r="L149" s="51" t="n"/>
      <c r="M149" s="51" t="n"/>
    </row>
    <row r="150">
      <c r="B150" s="51" t="n"/>
      <c r="C150" s="51" t="n"/>
      <c r="D150" s="51" t="n"/>
      <c r="E150" s="51" t="n"/>
      <c r="F150" s="52" t="n"/>
      <c r="G150" s="51" t="n"/>
      <c r="H150" s="51" t="n"/>
      <c r="I150" s="51" t="n"/>
      <c r="J150" s="51" t="n"/>
      <c r="K150" s="51" t="n"/>
      <c r="L150" s="51" t="n"/>
      <c r="M150" s="51" t="n"/>
    </row>
    <row r="151">
      <c r="B151" s="51" t="n"/>
      <c r="C151" s="51" t="n"/>
      <c r="D151" s="51" t="n"/>
      <c r="E151" s="51" t="n"/>
      <c r="F151" s="52" t="n"/>
      <c r="G151" s="51" t="n"/>
      <c r="H151" s="51" t="n"/>
      <c r="I151" s="51" t="n"/>
      <c r="J151" s="51" t="n"/>
      <c r="K151" s="51" t="n"/>
      <c r="L151" s="51" t="n"/>
      <c r="M151" s="51" t="n"/>
    </row>
    <row r="152">
      <c r="B152" s="51" t="n"/>
      <c r="C152" s="51" t="n"/>
      <c r="D152" s="51" t="n"/>
      <c r="E152" s="51" t="n"/>
      <c r="F152" s="52" t="n"/>
      <c r="G152" s="51" t="n"/>
      <c r="H152" s="51" t="n"/>
      <c r="I152" s="51" t="n"/>
      <c r="J152" s="51" t="n"/>
      <c r="K152" s="51" t="n"/>
      <c r="L152" s="51" t="n"/>
      <c r="M152" s="51" t="n"/>
    </row>
    <row r="153">
      <c r="B153" s="51" t="n"/>
      <c r="C153" s="51" t="n"/>
      <c r="D153" s="51" t="n"/>
      <c r="E153" s="51" t="n"/>
      <c r="F153" s="52" t="n"/>
      <c r="G153" s="51" t="n"/>
      <c r="H153" s="51" t="n"/>
      <c r="I153" s="51" t="n"/>
      <c r="J153" s="51" t="n"/>
      <c r="K153" s="51" t="n"/>
      <c r="L153" s="51" t="n"/>
      <c r="M153" s="51" t="n"/>
    </row>
    <row r="154">
      <c r="B154" s="51" t="n"/>
      <c r="C154" s="51" t="n"/>
      <c r="D154" s="51" t="n"/>
      <c r="E154" s="51" t="n"/>
      <c r="F154" s="52" t="n"/>
      <c r="G154" s="51" t="n"/>
      <c r="H154" s="51" t="n"/>
      <c r="I154" s="51" t="n"/>
      <c r="J154" s="51" t="n"/>
      <c r="K154" s="51" t="n"/>
      <c r="L154" s="51" t="n"/>
      <c r="M154" s="51" t="n"/>
    </row>
    <row r="155">
      <c r="B155" s="51" t="n"/>
      <c r="C155" s="51" t="n"/>
      <c r="D155" s="51" t="n"/>
      <c r="E155" s="51" t="n"/>
      <c r="F155" s="52" t="n"/>
      <c r="G155" s="51" t="n"/>
      <c r="H155" s="51" t="n"/>
      <c r="I155" s="51" t="n"/>
      <c r="J155" s="51" t="n"/>
      <c r="K155" s="51" t="n"/>
      <c r="L155" s="51" t="n"/>
      <c r="M155" s="51" t="n"/>
    </row>
    <row r="156">
      <c r="B156" s="51" t="n"/>
      <c r="C156" s="51" t="n"/>
      <c r="D156" s="51" t="n"/>
      <c r="E156" s="51" t="n"/>
      <c r="F156" s="52" t="n"/>
      <c r="G156" s="51" t="n"/>
      <c r="H156" s="51" t="n"/>
      <c r="I156" s="51" t="n"/>
      <c r="J156" s="51" t="n"/>
      <c r="K156" s="51" t="n"/>
      <c r="L156" s="51" t="n"/>
      <c r="M156" s="51" t="n"/>
    </row>
    <row r="157">
      <c r="B157" s="51" t="n"/>
      <c r="C157" s="51" t="n"/>
      <c r="D157" s="51" t="n"/>
      <c r="E157" s="51" t="n"/>
      <c r="F157" s="52" t="n"/>
      <c r="G157" s="51" t="n"/>
      <c r="H157" s="51" t="n"/>
      <c r="I157" s="51" t="n"/>
      <c r="J157" s="51" t="n"/>
      <c r="K157" s="51" t="n"/>
      <c r="L157" s="51" t="n"/>
      <c r="M157" s="51" t="n"/>
    </row>
    <row r="158">
      <c r="B158" s="51" t="n"/>
      <c r="C158" s="51" t="n"/>
      <c r="D158" s="51" t="n"/>
      <c r="E158" s="51" t="n"/>
      <c r="F158" s="52" t="n"/>
      <c r="G158" s="51" t="n"/>
      <c r="H158" s="51" t="n"/>
      <c r="I158" s="51" t="n"/>
      <c r="J158" s="51" t="n"/>
      <c r="K158" s="51" t="n"/>
      <c r="L158" s="51" t="n"/>
      <c r="M158" s="51" t="n"/>
    </row>
    <row r="159">
      <c r="B159" s="51" t="n"/>
      <c r="C159" s="51" t="n"/>
      <c r="D159" s="51" t="n"/>
      <c r="E159" s="51" t="n"/>
      <c r="F159" s="52" t="n"/>
      <c r="G159" s="51" t="n"/>
      <c r="H159" s="51" t="n"/>
      <c r="I159" s="51" t="n"/>
      <c r="J159" s="51" t="n"/>
      <c r="K159" s="51" t="n"/>
      <c r="L159" s="51" t="n"/>
      <c r="M159" s="51" t="n"/>
    </row>
    <row r="160">
      <c r="B160" s="51" t="n"/>
      <c r="C160" s="51" t="n"/>
      <c r="D160" s="51" t="n"/>
      <c r="E160" s="51" t="n"/>
      <c r="F160" s="52" t="n"/>
      <c r="G160" s="51" t="n"/>
      <c r="H160" s="51" t="n"/>
      <c r="I160" s="51" t="n"/>
      <c r="J160" s="51" t="n"/>
      <c r="K160" s="51" t="n"/>
      <c r="L160" s="51" t="n"/>
      <c r="M160" s="51" t="n"/>
    </row>
    <row r="161">
      <c r="B161" s="51" t="n"/>
      <c r="C161" s="51" t="n"/>
      <c r="D161" s="51" t="n"/>
      <c r="E161" s="51" t="n"/>
      <c r="F161" s="52" t="n"/>
      <c r="G161" s="51" t="n"/>
      <c r="H161" s="51" t="n"/>
      <c r="I161" s="51" t="n"/>
      <c r="J161" s="51" t="n"/>
      <c r="K161" s="51" t="n"/>
      <c r="L161" s="51" t="n"/>
      <c r="M161" s="51" t="n"/>
    </row>
    <row r="162">
      <c r="B162" s="51" t="n"/>
      <c r="C162" s="51" t="n"/>
      <c r="D162" s="51" t="n"/>
      <c r="E162" s="51" t="n"/>
      <c r="F162" s="52" t="n"/>
      <c r="G162" s="51" t="n"/>
      <c r="H162" s="51" t="n"/>
      <c r="I162" s="51" t="n"/>
      <c r="J162" s="51" t="n"/>
      <c r="K162" s="51" t="n"/>
      <c r="L162" s="51" t="n"/>
      <c r="M162" s="51" t="n"/>
    </row>
    <row r="163">
      <c r="B163" s="51" t="n"/>
      <c r="C163" s="51" t="n"/>
      <c r="D163" s="51" t="n"/>
      <c r="E163" s="51" t="n"/>
      <c r="F163" s="52" t="n"/>
      <c r="G163" s="51" t="n"/>
      <c r="H163" s="51" t="n"/>
      <c r="I163" s="51" t="n"/>
      <c r="J163" s="51" t="n"/>
      <c r="K163" s="51" t="n"/>
      <c r="L163" s="51" t="n"/>
      <c r="M163" s="51" t="n"/>
    </row>
    <row r="164">
      <c r="B164" s="51" t="n"/>
      <c r="C164" s="51" t="n"/>
      <c r="D164" s="51" t="n"/>
      <c r="E164" s="51" t="n"/>
      <c r="F164" s="52" t="n"/>
      <c r="G164" s="51" t="n"/>
      <c r="H164" s="51" t="n"/>
      <c r="I164" s="51" t="n"/>
      <c r="J164" s="51" t="n"/>
      <c r="K164" s="51" t="n"/>
      <c r="L164" s="51" t="n"/>
      <c r="M164" s="51" t="n"/>
    </row>
    <row r="165">
      <c r="B165" s="51" t="n"/>
      <c r="C165" s="51" t="n"/>
      <c r="D165" s="51" t="n"/>
      <c r="E165" s="51" t="n"/>
      <c r="F165" s="52" t="n"/>
      <c r="G165" s="51" t="n"/>
      <c r="H165" s="51" t="n"/>
      <c r="I165" s="51" t="n"/>
      <c r="J165" s="51" t="n"/>
      <c r="K165" s="51" t="n"/>
      <c r="L165" s="51" t="n"/>
      <c r="M165" s="51" t="n"/>
    </row>
    <row r="166">
      <c r="B166" s="51" t="n"/>
      <c r="C166" s="51" t="n"/>
      <c r="D166" s="51" t="n"/>
      <c r="E166" s="51" t="n"/>
      <c r="F166" s="52" t="n"/>
      <c r="G166" s="51" t="n"/>
      <c r="H166" s="51" t="n"/>
      <c r="I166" s="51" t="n"/>
      <c r="J166" s="51" t="n"/>
      <c r="K166" s="51" t="n"/>
      <c r="L166" s="51" t="n"/>
      <c r="M166" s="51" t="n"/>
    </row>
    <row r="167">
      <c r="B167" s="51" t="n"/>
      <c r="C167" s="51" t="n"/>
      <c r="D167" s="51" t="n"/>
      <c r="E167" s="51" t="n"/>
      <c r="F167" s="52" t="n"/>
      <c r="G167" s="51" t="n"/>
      <c r="H167" s="51" t="n"/>
      <c r="I167" s="51" t="n"/>
      <c r="J167" s="51" t="n"/>
      <c r="K167" s="51" t="n"/>
      <c r="L167" s="51" t="n"/>
      <c r="M167" s="51" t="n"/>
    </row>
    <row r="168">
      <c r="B168" s="51" t="n"/>
      <c r="C168" s="51" t="n"/>
      <c r="D168" s="51" t="n"/>
      <c r="E168" s="51" t="n"/>
      <c r="F168" s="52" t="n"/>
      <c r="G168" s="51" t="n"/>
      <c r="H168" s="51" t="n"/>
      <c r="I168" s="51" t="n"/>
      <c r="J168" s="51" t="n"/>
      <c r="K168" s="51" t="n"/>
      <c r="L168" s="51" t="n"/>
      <c r="M168" s="51" t="n"/>
    </row>
    <row r="169">
      <c r="B169" s="51" t="n"/>
      <c r="C169" s="51" t="n"/>
      <c r="D169" s="51" t="n"/>
      <c r="E169" s="51" t="n"/>
      <c r="F169" s="52" t="n"/>
      <c r="G169" s="51" t="n"/>
      <c r="H169" s="51" t="n"/>
      <c r="I169" s="51" t="n"/>
      <c r="J169" s="51" t="n"/>
      <c r="K169" s="51" t="n"/>
      <c r="L169" s="51" t="n"/>
      <c r="M169" s="51" t="n"/>
    </row>
    <row r="170">
      <c r="B170" s="51" t="n"/>
      <c r="C170" s="51" t="n"/>
      <c r="D170" s="51" t="n"/>
      <c r="E170" s="51" t="n"/>
      <c r="F170" s="52" t="n"/>
      <c r="G170" s="51" t="n"/>
      <c r="H170" s="51" t="n"/>
      <c r="I170" s="51" t="n"/>
      <c r="J170" s="51" t="n"/>
      <c r="K170" s="51" t="n"/>
      <c r="L170" s="51" t="n"/>
      <c r="M170" s="51" t="n"/>
    </row>
    <row r="171">
      <c r="B171" s="51" t="n"/>
      <c r="C171" s="51" t="n"/>
      <c r="D171" s="51" t="n"/>
      <c r="E171" s="51" t="n"/>
      <c r="F171" s="52" t="n"/>
      <c r="G171" s="51" t="n"/>
      <c r="H171" s="51" t="n"/>
      <c r="I171" s="51" t="n"/>
      <c r="J171" s="51" t="n"/>
      <c r="K171" s="51" t="n"/>
      <c r="L171" s="51" t="n"/>
      <c r="M171" s="51" t="n"/>
    </row>
    <row r="172">
      <c r="B172" s="51" t="n"/>
      <c r="C172" s="51" t="n"/>
      <c r="D172" s="51" t="n"/>
      <c r="E172" s="51" t="n"/>
      <c r="F172" s="52" t="n"/>
      <c r="G172" s="51" t="n"/>
      <c r="H172" s="51" t="n"/>
      <c r="I172" s="51" t="n"/>
      <c r="J172" s="51" t="n"/>
      <c r="K172" s="51" t="n"/>
      <c r="L172" s="51" t="n"/>
      <c r="M172" s="51" t="n"/>
    </row>
    <row r="173">
      <c r="B173" s="51" t="n"/>
      <c r="C173" s="51" t="n"/>
      <c r="D173" s="51" t="n"/>
      <c r="E173" s="51" t="n"/>
      <c r="F173" s="52" t="n"/>
      <c r="G173" s="51" t="n"/>
      <c r="H173" s="51" t="n"/>
      <c r="I173" s="51" t="n"/>
      <c r="J173" s="51" t="n"/>
      <c r="K173" s="51" t="n"/>
      <c r="L173" s="51" t="n"/>
      <c r="M173" s="51" t="n"/>
    </row>
    <row r="174">
      <c r="B174" s="51" t="n"/>
      <c r="C174" s="51" t="n"/>
      <c r="D174" s="51" t="n"/>
      <c r="E174" s="51" t="n"/>
      <c r="F174" s="52" t="n"/>
      <c r="G174" s="51" t="n"/>
      <c r="H174" s="51" t="n"/>
      <c r="I174" s="51" t="n"/>
      <c r="J174" s="51" t="n"/>
      <c r="K174" s="51" t="n"/>
      <c r="L174" s="51" t="n"/>
      <c r="M174" s="51" t="n"/>
    </row>
    <row r="175">
      <c r="B175" s="51" t="n"/>
      <c r="C175" s="51" t="n"/>
      <c r="D175" s="51" t="n"/>
      <c r="E175" s="51" t="n"/>
      <c r="F175" s="52" t="n"/>
      <c r="G175" s="51" t="n"/>
      <c r="H175" s="51" t="n"/>
      <c r="I175" s="51" t="n"/>
      <c r="J175" s="51" t="n"/>
      <c r="K175" s="51" t="n"/>
      <c r="L175" s="51" t="n"/>
      <c r="M175" s="51" t="n"/>
    </row>
    <row r="176">
      <c r="B176" s="51" t="n"/>
      <c r="C176" s="51" t="n"/>
      <c r="D176" s="51" t="n"/>
      <c r="E176" s="51" t="n"/>
      <c r="F176" s="52" t="n"/>
      <c r="G176" s="51" t="n"/>
      <c r="H176" s="51" t="n"/>
      <c r="I176" s="51" t="n"/>
      <c r="J176" s="51" t="n"/>
      <c r="K176" s="51" t="n"/>
      <c r="L176" s="51" t="n"/>
      <c r="M176" s="51" t="n"/>
    </row>
    <row r="177">
      <c r="B177" s="51" t="n"/>
      <c r="C177" s="51" t="n"/>
      <c r="D177" s="51" t="n"/>
      <c r="E177" s="51" t="n"/>
      <c r="F177" s="52" t="n"/>
      <c r="G177" s="51" t="n"/>
      <c r="H177" s="51" t="n"/>
      <c r="I177" s="51" t="n"/>
      <c r="J177" s="51" t="n"/>
      <c r="K177" s="51" t="n"/>
      <c r="L177" s="51" t="n"/>
      <c r="M177" s="51" t="n"/>
    </row>
    <row r="178">
      <c r="B178" s="51" t="n"/>
      <c r="C178" s="51" t="n"/>
      <c r="D178" s="51" t="n"/>
      <c r="E178" s="51" t="n"/>
      <c r="F178" s="52" t="n"/>
      <c r="G178" s="51" t="n"/>
      <c r="H178" s="51" t="n"/>
      <c r="I178" s="51" t="n"/>
      <c r="J178" s="51" t="n"/>
      <c r="K178" s="51" t="n"/>
      <c r="L178" s="51" t="n"/>
      <c r="M178" s="51" t="n"/>
    </row>
    <row r="179">
      <c r="B179" s="51" t="n"/>
      <c r="C179" s="51" t="n"/>
      <c r="D179" s="51" t="n"/>
      <c r="E179" s="51" t="n"/>
      <c r="F179" s="52" t="n"/>
      <c r="G179" s="51" t="n"/>
      <c r="H179" s="51" t="n"/>
      <c r="I179" s="51" t="n"/>
      <c r="J179" s="51" t="n"/>
      <c r="K179" s="51" t="n"/>
      <c r="L179" s="51" t="n"/>
      <c r="M179" s="51" t="n"/>
    </row>
    <row r="180">
      <c r="B180" s="51" t="n"/>
      <c r="C180" s="51" t="n"/>
      <c r="D180" s="51" t="n"/>
      <c r="E180" s="51" t="n"/>
      <c r="F180" s="52" t="n"/>
      <c r="G180" s="51" t="n"/>
      <c r="H180" s="51" t="n"/>
      <c r="I180" s="51" t="n"/>
      <c r="J180" s="51" t="n"/>
      <c r="K180" s="51" t="n"/>
      <c r="L180" s="51" t="n"/>
      <c r="M180" s="51" t="n"/>
    </row>
    <row r="181">
      <c r="B181" s="51" t="n"/>
      <c r="C181" s="51" t="n"/>
      <c r="D181" s="51" t="n"/>
      <c r="E181" s="51" t="n"/>
      <c r="F181" s="52" t="n"/>
      <c r="G181" s="51" t="n"/>
      <c r="H181" s="51" t="n"/>
      <c r="I181" s="51" t="n"/>
      <c r="J181" s="51" t="n"/>
      <c r="K181" s="51" t="n"/>
      <c r="L181" s="51" t="n"/>
      <c r="M181" s="51" t="n"/>
    </row>
    <row r="182">
      <c r="B182" s="51" t="n"/>
      <c r="C182" s="51" t="n"/>
      <c r="D182" s="51" t="n"/>
      <c r="E182" s="51" t="n"/>
      <c r="F182" s="52" t="n"/>
      <c r="G182" s="51" t="n"/>
      <c r="H182" s="51" t="n"/>
      <c r="I182" s="51" t="n"/>
      <c r="J182" s="51" t="n"/>
      <c r="K182" s="51" t="n"/>
      <c r="L182" s="51" t="n"/>
      <c r="M182" s="51" t="n"/>
    </row>
    <row r="183">
      <c r="B183" s="51" t="n"/>
      <c r="C183" s="51" t="n"/>
      <c r="D183" s="51" t="n"/>
      <c r="E183" s="51" t="n"/>
      <c r="F183" s="52" t="n"/>
      <c r="G183" s="51" t="n"/>
      <c r="H183" s="51" t="n"/>
      <c r="I183" s="51" t="n"/>
      <c r="J183" s="51" t="n"/>
      <c r="K183" s="51" t="n"/>
      <c r="L183" s="51" t="n"/>
      <c r="M183" s="51" t="n"/>
    </row>
    <row r="184">
      <c r="B184" s="51" t="n"/>
      <c r="C184" s="51" t="n"/>
      <c r="D184" s="51" t="n"/>
      <c r="E184" s="51" t="n"/>
      <c r="F184" s="52" t="n"/>
      <c r="G184" s="51" t="n"/>
      <c r="H184" s="51" t="n"/>
      <c r="I184" s="51" t="n"/>
      <c r="J184" s="51" t="n"/>
      <c r="K184" s="51" t="n"/>
      <c r="L184" s="51" t="n"/>
      <c r="M184" s="51" t="n"/>
    </row>
    <row r="185">
      <c r="B185" s="51" t="n"/>
      <c r="C185" s="51" t="n"/>
      <c r="D185" s="51" t="n"/>
      <c r="E185" s="51" t="n"/>
      <c r="F185" s="52" t="n"/>
      <c r="G185" s="51" t="n"/>
      <c r="H185" s="51" t="n"/>
      <c r="I185" s="51" t="n"/>
      <c r="J185" s="51" t="n"/>
      <c r="K185" s="51" t="n"/>
      <c r="L185" s="51" t="n"/>
      <c r="M185" s="51" t="n"/>
    </row>
    <row r="186">
      <c r="B186" s="51" t="n"/>
      <c r="C186" s="51" t="n"/>
      <c r="D186" s="51" t="n"/>
      <c r="E186" s="51" t="n"/>
      <c r="F186" s="52" t="n"/>
      <c r="G186" s="51" t="n"/>
      <c r="H186" s="51" t="n"/>
      <c r="I186" s="51" t="n"/>
      <c r="J186" s="51" t="n"/>
      <c r="K186" s="51" t="n"/>
      <c r="L186" s="51" t="n"/>
      <c r="M186" s="51" t="n"/>
    </row>
    <row r="187">
      <c r="B187" s="51" t="n"/>
      <c r="C187" s="51" t="n"/>
      <c r="D187" s="51" t="n"/>
      <c r="E187" s="51" t="n"/>
      <c r="F187" s="52" t="n"/>
      <c r="G187" s="51" t="n"/>
      <c r="H187" s="51" t="n"/>
      <c r="I187" s="51" t="n"/>
      <c r="J187" s="51" t="n"/>
      <c r="K187" s="51" t="n"/>
      <c r="L187" s="51" t="n"/>
      <c r="M187" s="51" t="n"/>
    </row>
    <row r="188">
      <c r="B188" s="51" t="n"/>
      <c r="C188" s="51" t="n"/>
      <c r="D188" s="51" t="n"/>
      <c r="E188" s="51" t="n"/>
      <c r="F188" s="52" t="n"/>
      <c r="G188" s="51" t="n"/>
      <c r="H188" s="51" t="n"/>
      <c r="I188" s="51" t="n"/>
      <c r="J188" s="51" t="n"/>
      <c r="K188" s="51" t="n"/>
      <c r="L188" s="51" t="n"/>
      <c r="M188" s="51" t="n"/>
    </row>
    <row r="189">
      <c r="B189" s="51" t="n"/>
      <c r="C189" s="51" t="n"/>
      <c r="D189" s="51" t="n"/>
      <c r="E189" s="51" t="n"/>
      <c r="F189" s="52" t="n"/>
      <c r="G189" s="51" t="n"/>
      <c r="H189" s="51" t="n"/>
      <c r="I189" s="51" t="n"/>
      <c r="J189" s="51" t="n"/>
      <c r="K189" s="51" t="n"/>
      <c r="L189" s="51" t="n"/>
      <c r="M189" s="51" t="n"/>
    </row>
    <row r="190">
      <c r="B190" s="51" t="n"/>
      <c r="C190" s="51" t="n"/>
      <c r="D190" s="51" t="n"/>
      <c r="E190" s="51" t="n"/>
      <c r="F190" s="52" t="n"/>
      <c r="G190" s="51" t="n"/>
      <c r="H190" s="51" t="n"/>
      <c r="I190" s="51" t="n"/>
      <c r="J190" s="51" t="n"/>
      <c r="K190" s="51" t="n"/>
      <c r="L190" s="51" t="n"/>
      <c r="M190" s="51" t="n"/>
    </row>
    <row r="191">
      <c r="B191" s="51" t="n"/>
      <c r="C191" s="51" t="n"/>
      <c r="D191" s="51" t="n"/>
      <c r="E191" s="51" t="n"/>
      <c r="F191" s="52" t="n"/>
      <c r="G191" s="51" t="n"/>
      <c r="H191" s="51" t="n"/>
      <c r="I191" s="51" t="n"/>
      <c r="J191" s="51" t="n"/>
      <c r="K191" s="51" t="n"/>
      <c r="L191" s="51" t="n"/>
      <c r="M191" s="51" t="n"/>
    </row>
    <row r="192">
      <c r="B192" s="51" t="n"/>
      <c r="C192" s="51" t="n"/>
      <c r="D192" s="51" t="n"/>
      <c r="E192" s="51" t="n"/>
      <c r="F192" s="52" t="n"/>
      <c r="G192" s="51" t="n"/>
      <c r="H192" s="51" t="n"/>
      <c r="I192" s="51" t="n"/>
      <c r="J192" s="51" t="n"/>
      <c r="K192" s="51" t="n"/>
      <c r="L192" s="51" t="n"/>
      <c r="M192" s="51" t="n"/>
    </row>
    <row r="193">
      <c r="B193" s="51" t="n"/>
      <c r="C193" s="51" t="n"/>
      <c r="D193" s="51" t="n"/>
      <c r="E193" s="51" t="n"/>
      <c r="F193" s="52" t="n"/>
      <c r="G193" s="51" t="n"/>
      <c r="H193" s="51" t="n"/>
      <c r="I193" s="51" t="n"/>
      <c r="J193" s="51" t="n"/>
      <c r="K193" s="51" t="n"/>
      <c r="L193" s="51" t="n"/>
      <c r="M193" s="51" t="n"/>
    </row>
    <row r="194">
      <c r="B194" s="51" t="n"/>
      <c r="C194" s="51" t="n"/>
      <c r="D194" s="51" t="n"/>
      <c r="E194" s="51" t="n"/>
      <c r="F194" s="52" t="n"/>
      <c r="G194" s="51" t="n"/>
      <c r="H194" s="51" t="n"/>
      <c r="I194" s="51" t="n"/>
      <c r="J194" s="51" t="n"/>
      <c r="K194" s="51" t="n"/>
      <c r="L194" s="51" t="n"/>
      <c r="M194" s="51" t="n"/>
    </row>
    <row r="195">
      <c r="B195" s="51" t="n"/>
      <c r="C195" s="51" t="n"/>
      <c r="D195" s="51" t="n"/>
      <c r="E195" s="51" t="n"/>
      <c r="F195" s="52" t="n"/>
      <c r="G195" s="51" t="n"/>
      <c r="H195" s="51" t="n"/>
      <c r="I195" s="51" t="n"/>
      <c r="J195" s="51" t="n"/>
      <c r="K195" s="51" t="n"/>
      <c r="L195" s="51" t="n"/>
      <c r="M195" s="51" t="n"/>
    </row>
    <row r="196">
      <c r="B196" s="51" t="n"/>
      <c r="C196" s="51" t="n"/>
      <c r="D196" s="51" t="n"/>
      <c r="E196" s="51" t="n"/>
      <c r="F196" s="52" t="n"/>
      <c r="G196" s="51" t="n"/>
      <c r="H196" s="51" t="n"/>
      <c r="I196" s="51" t="n"/>
      <c r="J196" s="51" t="n"/>
      <c r="K196" s="51" t="n"/>
      <c r="L196" s="51" t="n"/>
      <c r="M196" s="51" t="n"/>
    </row>
    <row r="197">
      <c r="B197" s="51" t="n"/>
      <c r="C197" s="51" t="n"/>
      <c r="D197" s="51" t="n"/>
      <c r="E197" s="51" t="n"/>
      <c r="F197" s="52" t="n"/>
      <c r="G197" s="51" t="n"/>
      <c r="H197" s="51" t="n"/>
      <c r="I197" s="51" t="n"/>
      <c r="J197" s="51" t="n"/>
      <c r="K197" s="51" t="n"/>
      <c r="L197" s="51" t="n"/>
      <c r="M197" s="51" t="n"/>
    </row>
    <row r="198">
      <c r="B198" s="51" t="n"/>
      <c r="C198" s="51" t="n"/>
      <c r="D198" s="51" t="n"/>
      <c r="E198" s="51" t="n"/>
      <c r="F198" s="52" t="n"/>
      <c r="G198" s="51" t="n"/>
      <c r="H198" s="51" t="n"/>
      <c r="I198" s="51" t="n"/>
      <c r="J198" s="51" t="n"/>
      <c r="K198" s="51" t="n"/>
      <c r="L198" s="51" t="n"/>
      <c r="M198" s="51" t="n"/>
    </row>
    <row r="199">
      <c r="B199" s="51" t="n"/>
      <c r="C199" s="51" t="n"/>
      <c r="D199" s="51" t="n"/>
      <c r="E199" s="51" t="n"/>
      <c r="F199" s="52" t="n"/>
      <c r="G199" s="51" t="n"/>
      <c r="H199" s="51" t="n"/>
      <c r="I199" s="51" t="n"/>
      <c r="J199" s="51" t="n"/>
      <c r="K199" s="51" t="n"/>
      <c r="L199" s="51" t="n"/>
      <c r="M199" s="51" t="n"/>
    </row>
    <row r="200">
      <c r="B200" s="51" t="n"/>
      <c r="C200" s="51" t="n"/>
      <c r="D200" s="51" t="n"/>
      <c r="E200" s="51" t="n"/>
      <c r="F200" s="52" t="n"/>
      <c r="G200" s="51" t="n"/>
      <c r="H200" s="51" t="n"/>
      <c r="I200" s="51" t="n"/>
      <c r="J200" s="51" t="n"/>
      <c r="K200" s="51" t="n"/>
      <c r="L200" s="51" t="n"/>
      <c r="M200" s="51" t="n"/>
    </row>
    <row r="201">
      <c r="B201" s="51" t="n"/>
      <c r="C201" s="51" t="n"/>
      <c r="D201" s="51" t="n"/>
      <c r="E201" s="51" t="n"/>
      <c r="F201" s="52" t="n"/>
      <c r="G201" s="51" t="n"/>
      <c r="H201" s="51" t="n"/>
      <c r="I201" s="51" t="n"/>
      <c r="J201" s="51" t="n"/>
      <c r="K201" s="51" t="n"/>
      <c r="L201" s="51" t="n"/>
      <c r="M201" s="51" t="n"/>
    </row>
    <row r="202">
      <c r="B202" s="51" t="n"/>
      <c r="C202" s="51" t="n"/>
      <c r="D202" s="51" t="n"/>
      <c r="E202" s="51" t="n"/>
      <c r="F202" s="52" t="n"/>
      <c r="G202" s="51" t="n"/>
      <c r="H202" s="51" t="n"/>
      <c r="I202" s="51" t="n"/>
      <c r="J202" s="51" t="n"/>
      <c r="K202" s="51" t="n"/>
      <c r="L202" s="51" t="n"/>
      <c r="M202" s="51" t="n"/>
    </row>
    <row r="203">
      <c r="B203" s="51" t="n"/>
      <c r="C203" s="51" t="n"/>
      <c r="D203" s="51" t="n"/>
      <c r="E203" s="51" t="n"/>
      <c r="F203" s="52" t="n"/>
      <c r="G203" s="51" t="n"/>
      <c r="H203" s="51" t="n"/>
      <c r="I203" s="51" t="n"/>
      <c r="J203" s="51" t="n"/>
      <c r="K203" s="51" t="n"/>
      <c r="L203" s="51" t="n"/>
      <c r="M203" s="51" t="n"/>
    </row>
    <row r="204">
      <c r="B204" s="51" t="n"/>
      <c r="C204" s="51" t="n"/>
      <c r="D204" s="51" t="n"/>
      <c r="E204" s="51" t="n"/>
      <c r="F204" s="52" t="n"/>
      <c r="G204" s="51" t="n"/>
      <c r="H204" s="51" t="n"/>
      <c r="I204" s="51" t="n"/>
      <c r="J204" s="51" t="n"/>
      <c r="K204" s="51" t="n"/>
      <c r="L204" s="51" t="n"/>
      <c r="M204" s="51" t="n"/>
    </row>
    <row r="205">
      <c r="B205" s="51" t="n"/>
      <c r="C205" s="51" t="n"/>
      <c r="D205" s="51" t="n"/>
      <c r="E205" s="51" t="n"/>
      <c r="F205" s="52" t="n"/>
      <c r="G205" s="51" t="n"/>
      <c r="H205" s="51" t="n"/>
      <c r="I205" s="51" t="n"/>
      <c r="J205" s="51" t="n"/>
      <c r="K205" s="51" t="n"/>
      <c r="L205" s="51" t="n"/>
      <c r="M205" s="51" t="n"/>
    </row>
    <row r="206">
      <c r="B206" s="51" t="n"/>
      <c r="C206" s="51" t="n"/>
      <c r="D206" s="51" t="n"/>
      <c r="E206" s="51" t="n"/>
      <c r="F206" s="52" t="n"/>
      <c r="G206" s="51" t="n"/>
      <c r="H206" s="51" t="n"/>
      <c r="I206" s="51" t="n"/>
      <c r="J206" s="51" t="n"/>
      <c r="K206" s="51" t="n"/>
      <c r="L206" s="51" t="n"/>
      <c r="M206" s="51" t="n"/>
    </row>
    <row r="207">
      <c r="B207" s="51" t="n"/>
      <c r="C207" s="51" t="n"/>
      <c r="D207" s="51" t="n"/>
      <c r="E207" s="51" t="n"/>
      <c r="F207" s="52" t="n"/>
      <c r="G207" s="51" t="n"/>
      <c r="H207" s="51" t="n"/>
      <c r="I207" s="51" t="n"/>
      <c r="J207" s="51" t="n"/>
      <c r="K207" s="51" t="n"/>
      <c r="L207" s="51" t="n"/>
      <c r="M207" s="51" t="n"/>
    </row>
    <row r="208">
      <c r="B208" s="51" t="n"/>
      <c r="C208" s="51" t="n"/>
      <c r="D208" s="51" t="n"/>
      <c r="E208" s="51" t="n"/>
      <c r="F208" s="52" t="n"/>
      <c r="G208" s="51" t="n"/>
      <c r="H208" s="51" t="n"/>
      <c r="I208" s="51" t="n"/>
      <c r="J208" s="51" t="n"/>
      <c r="K208" s="51" t="n"/>
      <c r="L208" s="51" t="n"/>
      <c r="M208" s="51" t="n"/>
    </row>
    <row r="209">
      <c r="B209" s="51" t="n"/>
      <c r="C209" s="51" t="n"/>
      <c r="D209" s="51" t="n"/>
      <c r="E209" s="51" t="n"/>
      <c r="F209" s="52" t="n"/>
      <c r="G209" s="51" t="n"/>
      <c r="H209" s="51" t="n"/>
      <c r="I209" s="51" t="n"/>
      <c r="J209" s="51" t="n"/>
      <c r="K209" s="51" t="n"/>
      <c r="L209" s="51" t="n"/>
      <c r="M209" s="51" t="n"/>
    </row>
    <row r="210">
      <c r="B210" s="51" t="n"/>
      <c r="C210" s="51" t="n"/>
      <c r="D210" s="51" t="n"/>
      <c r="E210" s="51" t="n"/>
      <c r="F210" s="52" t="n"/>
      <c r="G210" s="51" t="n"/>
      <c r="H210" s="51" t="n"/>
      <c r="I210" s="51" t="n"/>
      <c r="J210" s="51" t="n"/>
      <c r="K210" s="51" t="n"/>
      <c r="L210" s="51" t="n"/>
      <c r="M210" s="51" t="n"/>
    </row>
    <row r="211">
      <c r="B211" s="51" t="n"/>
      <c r="C211" s="51" t="n"/>
      <c r="D211" s="51" t="n"/>
      <c r="E211" s="51" t="n"/>
      <c r="F211" s="52" t="n"/>
      <c r="G211" s="51" t="n"/>
      <c r="H211" s="51" t="n"/>
      <c r="I211" s="51" t="n"/>
      <c r="J211" s="51" t="n"/>
      <c r="K211" s="51" t="n"/>
      <c r="L211" s="51" t="n"/>
      <c r="M211" s="51" t="n"/>
    </row>
    <row r="212">
      <c r="B212" s="51" t="n"/>
      <c r="C212" s="51" t="n"/>
      <c r="D212" s="51" t="n"/>
      <c r="E212" s="51" t="n"/>
      <c r="F212" s="52" t="n"/>
      <c r="G212" s="51" t="n"/>
      <c r="H212" s="51" t="n"/>
      <c r="I212" s="51" t="n"/>
      <c r="J212" s="51" t="n"/>
      <c r="K212" s="51" t="n"/>
      <c r="L212" s="51" t="n"/>
      <c r="M212" s="51" t="n"/>
    </row>
    <row r="213">
      <c r="B213" s="51" t="n"/>
      <c r="C213" s="51" t="n"/>
      <c r="D213" s="51" t="n"/>
      <c r="E213" s="51" t="n"/>
      <c r="F213" s="52" t="n"/>
      <c r="G213" s="51" t="n"/>
      <c r="H213" s="51" t="n"/>
      <c r="I213" s="51" t="n"/>
      <c r="J213" s="51" t="n"/>
      <c r="K213" s="51" t="n"/>
      <c r="L213" s="51" t="n"/>
      <c r="M213" s="51" t="n"/>
    </row>
    <row r="214">
      <c r="B214" s="51" t="n"/>
      <c r="C214" s="51" t="n"/>
      <c r="D214" s="51" t="n"/>
      <c r="E214" s="51" t="n"/>
      <c r="F214" s="52" t="n"/>
      <c r="G214" s="51" t="n"/>
      <c r="H214" s="51" t="n"/>
      <c r="I214" s="51" t="n"/>
      <c r="J214" s="51" t="n"/>
      <c r="K214" s="51" t="n"/>
      <c r="L214" s="51" t="n"/>
      <c r="M214" s="51" t="n"/>
    </row>
    <row r="215">
      <c r="B215" s="51" t="n"/>
      <c r="C215" s="51" t="n"/>
      <c r="D215" s="51" t="n"/>
      <c r="E215" s="51" t="n"/>
      <c r="F215" s="52" t="n"/>
      <c r="G215" s="51" t="n"/>
      <c r="H215" s="51" t="n"/>
      <c r="I215" s="51" t="n"/>
      <c r="J215" s="51" t="n"/>
      <c r="K215" s="51" t="n"/>
      <c r="L215" s="51" t="n"/>
      <c r="M215" s="51" t="n"/>
    </row>
    <row r="216">
      <c r="B216" s="51" t="n"/>
      <c r="C216" s="51" t="n"/>
      <c r="D216" s="51" t="n"/>
      <c r="E216" s="51" t="n"/>
      <c r="F216" s="52" t="n"/>
      <c r="G216" s="51" t="n"/>
      <c r="H216" s="51" t="n"/>
      <c r="I216" s="51" t="n"/>
      <c r="J216" s="51" t="n"/>
      <c r="K216" s="51" t="n"/>
      <c r="L216" s="51" t="n"/>
      <c r="M216" s="51" t="n"/>
    </row>
    <row r="217">
      <c r="B217" s="51" t="n"/>
      <c r="C217" s="51" t="n"/>
      <c r="D217" s="51" t="n"/>
      <c r="E217" s="51" t="n"/>
      <c r="F217" s="52" t="n"/>
      <c r="G217" s="51" t="n"/>
      <c r="H217" s="51" t="n"/>
      <c r="I217" s="51" t="n"/>
      <c r="J217" s="51" t="n"/>
      <c r="K217" s="51" t="n"/>
      <c r="L217" s="51" t="n"/>
      <c r="M217" s="51" t="n"/>
    </row>
    <row r="218">
      <c r="B218" s="51" t="n"/>
      <c r="C218" s="51" t="n"/>
      <c r="D218" s="51" t="n"/>
      <c r="E218" s="51" t="n"/>
      <c r="F218" s="52" t="n"/>
      <c r="G218" s="51" t="n"/>
      <c r="H218" s="51" t="n"/>
      <c r="I218" s="51" t="n"/>
      <c r="J218" s="51" t="n"/>
      <c r="K218" s="51" t="n"/>
      <c r="L218" s="51" t="n"/>
      <c r="M218" s="51" t="n"/>
    </row>
    <row r="219">
      <c r="B219" s="51" t="n"/>
      <c r="C219" s="51" t="n"/>
      <c r="D219" s="51" t="n"/>
      <c r="E219" s="51" t="n"/>
      <c r="F219" s="52" t="n"/>
      <c r="G219" s="51" t="n"/>
      <c r="H219" s="51" t="n"/>
      <c r="I219" s="51" t="n"/>
      <c r="J219" s="51" t="n"/>
      <c r="K219" s="51" t="n"/>
      <c r="L219" s="51" t="n"/>
      <c r="M219" s="51" t="n"/>
    </row>
    <row r="220">
      <c r="B220" s="51" t="n"/>
      <c r="C220" s="51" t="n"/>
      <c r="D220" s="51" t="n"/>
      <c r="E220" s="51" t="n"/>
      <c r="F220" s="52" t="n"/>
      <c r="G220" s="51" t="n"/>
      <c r="H220" s="51" t="n"/>
      <c r="I220" s="51" t="n"/>
      <c r="J220" s="51" t="n"/>
      <c r="K220" s="51" t="n"/>
      <c r="L220" s="51" t="n"/>
      <c r="M220" s="51" t="n"/>
    </row>
    <row r="221">
      <c r="B221" s="51" t="n"/>
      <c r="C221" s="51" t="n"/>
      <c r="D221" s="51" t="n"/>
      <c r="E221" s="51" t="n"/>
      <c r="F221" s="52" t="n"/>
      <c r="G221" s="51" t="n"/>
      <c r="H221" s="51" t="n"/>
      <c r="I221" s="51" t="n"/>
      <c r="J221" s="51" t="n"/>
      <c r="K221" s="51" t="n"/>
      <c r="L221" s="51" t="n"/>
      <c r="M221" s="51" t="n"/>
    </row>
    <row r="222">
      <c r="B222" s="51" t="n"/>
      <c r="C222" s="51" t="n"/>
      <c r="D222" s="51" t="n"/>
      <c r="E222" s="51" t="n"/>
      <c r="F222" s="52" t="n"/>
      <c r="G222" s="51" t="n"/>
      <c r="H222" s="51" t="n"/>
      <c r="I222" s="51" t="n"/>
      <c r="J222" s="51" t="n"/>
      <c r="K222" s="51" t="n"/>
      <c r="L222" s="51" t="n"/>
      <c r="M222" s="51" t="n"/>
    </row>
    <row r="223">
      <c r="B223" s="51" t="n"/>
      <c r="C223" s="51" t="n"/>
      <c r="D223" s="51" t="n"/>
      <c r="E223" s="51" t="n"/>
      <c r="F223" s="52" t="n"/>
      <c r="G223" s="51" t="n"/>
      <c r="H223" s="51" t="n"/>
      <c r="I223" s="51" t="n"/>
      <c r="J223" s="51" t="n"/>
      <c r="K223" s="51" t="n"/>
      <c r="L223" s="51" t="n"/>
      <c r="M223" s="51" t="n"/>
    </row>
    <row r="224">
      <c r="B224" s="51" t="n"/>
      <c r="C224" s="51" t="n"/>
      <c r="D224" s="51" t="n"/>
      <c r="E224" s="51" t="n"/>
      <c r="F224" s="52" t="n"/>
      <c r="G224" s="51" t="n"/>
      <c r="H224" s="51" t="n"/>
      <c r="I224" s="51" t="n"/>
      <c r="J224" s="51" t="n"/>
      <c r="K224" s="51" t="n"/>
      <c r="L224" s="51" t="n"/>
      <c r="M224" s="51" t="n"/>
    </row>
    <row r="225">
      <c r="B225" s="51" t="n"/>
      <c r="C225" s="51" t="n"/>
      <c r="D225" s="51" t="n"/>
      <c r="E225" s="51" t="n"/>
      <c r="F225" s="52" t="n"/>
      <c r="G225" s="51" t="n"/>
      <c r="H225" s="51" t="n"/>
      <c r="I225" s="51" t="n"/>
      <c r="J225" s="51" t="n"/>
      <c r="K225" s="51" t="n"/>
      <c r="L225" s="51" t="n"/>
      <c r="M225" s="51" t="n"/>
    </row>
    <row r="226">
      <c r="B226" s="51" t="n"/>
      <c r="C226" s="51" t="n"/>
      <c r="D226" s="51" t="n"/>
      <c r="E226" s="51" t="n"/>
      <c r="F226" s="52" t="n"/>
      <c r="G226" s="51" t="n"/>
      <c r="H226" s="51" t="n"/>
      <c r="I226" s="51" t="n"/>
      <c r="J226" s="51" t="n"/>
      <c r="K226" s="51" t="n"/>
      <c r="L226" s="51" t="n"/>
      <c r="M226" s="51" t="n"/>
    </row>
    <row r="227">
      <c r="B227" s="51" t="n"/>
      <c r="C227" s="51" t="n"/>
      <c r="D227" s="51" t="n"/>
      <c r="E227" s="51" t="n"/>
      <c r="F227" s="52" t="n"/>
      <c r="G227" s="51" t="n"/>
      <c r="H227" s="51" t="n"/>
      <c r="I227" s="51" t="n"/>
      <c r="J227" s="51" t="n"/>
      <c r="K227" s="51" t="n"/>
      <c r="L227" s="51" t="n"/>
      <c r="M227" s="51" t="n"/>
    </row>
    <row r="228">
      <c r="B228" s="51" t="n"/>
      <c r="C228" s="51" t="n"/>
      <c r="D228" s="51" t="n"/>
      <c r="E228" s="51" t="n"/>
      <c r="F228" s="52" t="n"/>
      <c r="G228" s="51" t="n"/>
      <c r="H228" s="51" t="n"/>
      <c r="I228" s="51" t="n"/>
      <c r="J228" s="51" t="n"/>
      <c r="K228" s="51" t="n"/>
      <c r="L228" s="51" t="n"/>
      <c r="M228" s="51" t="n"/>
    </row>
    <row r="229">
      <c r="B229" s="51" t="n"/>
      <c r="C229" s="51" t="n"/>
      <c r="D229" s="51" t="n"/>
      <c r="E229" s="51" t="n"/>
      <c r="F229" s="52" t="n"/>
      <c r="G229" s="51" t="n"/>
      <c r="H229" s="51" t="n"/>
      <c r="I229" s="51" t="n"/>
      <c r="J229" s="51" t="n"/>
      <c r="K229" s="51" t="n"/>
      <c r="L229" s="51" t="n"/>
      <c r="M229" s="51" t="n"/>
    </row>
    <row r="230">
      <c r="B230" s="51" t="n"/>
      <c r="C230" s="51" t="n"/>
      <c r="D230" s="51" t="n"/>
      <c r="E230" s="51" t="n"/>
      <c r="F230" s="52" t="n"/>
      <c r="G230" s="51" t="n"/>
      <c r="H230" s="51" t="n"/>
      <c r="I230" s="51" t="n"/>
      <c r="J230" s="51" t="n"/>
      <c r="K230" s="51" t="n"/>
      <c r="L230" s="51" t="n"/>
      <c r="M230" s="51" t="n"/>
    </row>
    <row r="231">
      <c r="B231" s="51" t="n"/>
      <c r="C231" s="51" t="n"/>
      <c r="D231" s="51" t="n"/>
      <c r="E231" s="51" t="n"/>
      <c r="F231" s="52" t="n"/>
      <c r="G231" s="51" t="n"/>
      <c r="H231" s="51" t="n"/>
      <c r="I231" s="51" t="n"/>
      <c r="J231" s="51" t="n"/>
      <c r="K231" s="51" t="n"/>
      <c r="L231" s="51" t="n"/>
      <c r="M231" s="51" t="n"/>
    </row>
    <row r="232">
      <c r="B232" s="51" t="n"/>
      <c r="C232" s="51" t="n"/>
      <c r="D232" s="51" t="n"/>
      <c r="E232" s="51" t="n"/>
      <c r="F232" s="52" t="n"/>
      <c r="G232" s="51" t="n"/>
      <c r="H232" s="51" t="n"/>
      <c r="I232" s="51" t="n"/>
      <c r="J232" s="51" t="n"/>
      <c r="K232" s="51" t="n"/>
      <c r="L232" s="51" t="n"/>
      <c r="M232" s="51" t="n"/>
    </row>
    <row r="233">
      <c r="B233" s="51" t="n"/>
      <c r="C233" s="51" t="n"/>
      <c r="D233" s="51" t="n"/>
      <c r="E233" s="51" t="n"/>
      <c r="F233" s="52" t="n"/>
      <c r="G233" s="51" t="n"/>
      <c r="H233" s="51" t="n"/>
      <c r="I233" s="51" t="n"/>
      <c r="J233" s="51" t="n"/>
      <c r="K233" s="51" t="n"/>
      <c r="L233" s="51" t="n"/>
      <c r="M233" s="51" t="n"/>
    </row>
    <row r="234">
      <c r="B234" s="51" t="n"/>
      <c r="C234" s="51" t="n"/>
      <c r="D234" s="51" t="n"/>
      <c r="E234" s="51" t="n"/>
      <c r="F234" s="52" t="n"/>
      <c r="G234" s="51" t="n"/>
      <c r="H234" s="51" t="n"/>
      <c r="I234" s="51" t="n"/>
      <c r="J234" s="51" t="n"/>
      <c r="K234" s="51" t="n"/>
      <c r="L234" s="51" t="n"/>
      <c r="M234" s="51" t="n"/>
    </row>
    <row r="235">
      <c r="B235" s="51" t="n"/>
      <c r="C235" s="51" t="n"/>
      <c r="D235" s="51" t="n"/>
      <c r="E235" s="51" t="n"/>
      <c r="F235" s="52" t="n"/>
      <c r="G235" s="51" t="n"/>
      <c r="H235" s="51" t="n"/>
      <c r="I235" s="51" t="n"/>
      <c r="J235" s="51" t="n"/>
      <c r="K235" s="51" t="n"/>
      <c r="L235" s="51" t="n"/>
      <c r="M235" s="51" t="n"/>
    </row>
    <row r="236">
      <c r="B236" s="51" t="n"/>
      <c r="C236" s="51" t="n"/>
      <c r="D236" s="51" t="n"/>
      <c r="E236" s="51" t="n"/>
      <c r="F236" s="52" t="n"/>
      <c r="G236" s="51" t="n"/>
      <c r="H236" s="51" t="n"/>
      <c r="I236" s="51" t="n"/>
      <c r="J236" s="51" t="n"/>
      <c r="K236" s="51" t="n"/>
      <c r="L236" s="51" t="n"/>
      <c r="M236" s="51" t="n"/>
    </row>
    <row r="237">
      <c r="B237" s="51" t="n"/>
      <c r="C237" s="51" t="n"/>
      <c r="D237" s="51" t="n"/>
      <c r="E237" s="51" t="n"/>
      <c r="F237" s="52" t="n"/>
      <c r="G237" s="51" t="n"/>
      <c r="H237" s="51" t="n"/>
      <c r="I237" s="51" t="n"/>
      <c r="J237" s="51" t="n"/>
      <c r="K237" s="51" t="n"/>
      <c r="L237" s="51" t="n"/>
      <c r="M237" s="51" t="n"/>
    </row>
    <row r="238">
      <c r="B238" s="51" t="n"/>
      <c r="C238" s="51" t="n"/>
      <c r="D238" s="51" t="n"/>
      <c r="E238" s="51" t="n"/>
      <c r="F238" s="52" t="n"/>
      <c r="G238" s="51" t="n"/>
      <c r="H238" s="51" t="n"/>
      <c r="I238" s="51" t="n"/>
      <c r="J238" s="51" t="n"/>
      <c r="K238" s="51" t="n"/>
      <c r="L238" s="51" t="n"/>
      <c r="M238" s="51" t="n"/>
    </row>
    <row r="239">
      <c r="B239" s="51" t="n"/>
      <c r="C239" s="51" t="n"/>
      <c r="D239" s="51" t="n"/>
      <c r="E239" s="51" t="n"/>
      <c r="F239" s="52" t="n"/>
      <c r="G239" s="51" t="n"/>
      <c r="H239" s="51" t="n"/>
      <c r="I239" s="51" t="n"/>
      <c r="J239" s="51" t="n"/>
      <c r="K239" s="51" t="n"/>
      <c r="L239" s="51" t="n"/>
      <c r="M239" s="51" t="n"/>
    </row>
    <row r="240">
      <c r="B240" s="51" t="n"/>
      <c r="C240" s="51" t="n"/>
      <c r="D240" s="51" t="n"/>
      <c r="E240" s="51" t="n"/>
      <c r="F240" s="52" t="n"/>
      <c r="G240" s="51" t="n"/>
      <c r="H240" s="51" t="n"/>
      <c r="I240" s="51" t="n"/>
      <c r="J240" s="51" t="n"/>
      <c r="K240" s="51" t="n"/>
      <c r="L240" s="51" t="n"/>
      <c r="M240" s="51" t="n"/>
    </row>
    <row r="241">
      <c r="B241" s="51" t="n"/>
      <c r="C241" s="51" t="n"/>
      <c r="D241" s="51" t="n"/>
      <c r="E241" s="51" t="n"/>
      <c r="F241" s="52" t="n"/>
      <c r="G241" s="51" t="n"/>
      <c r="H241" s="51" t="n"/>
      <c r="I241" s="51" t="n"/>
      <c r="J241" s="51" t="n"/>
      <c r="K241" s="51" t="n"/>
      <c r="L241" s="51" t="n"/>
      <c r="M241" s="51" t="n"/>
    </row>
    <row r="242">
      <c r="B242" s="51" t="n"/>
      <c r="C242" s="51" t="n"/>
      <c r="D242" s="51" t="n"/>
      <c r="E242" s="51" t="n"/>
      <c r="F242" s="52" t="n"/>
      <c r="G242" s="51" t="n"/>
      <c r="H242" s="51" t="n"/>
      <c r="I242" s="51" t="n"/>
      <c r="J242" s="51" t="n"/>
      <c r="K242" s="51" t="n"/>
      <c r="L242" s="51" t="n"/>
      <c r="M242" s="51" t="n"/>
    </row>
    <row r="243">
      <c r="B243" s="51" t="n"/>
      <c r="C243" s="51" t="n"/>
      <c r="D243" s="51" t="n"/>
      <c r="E243" s="51" t="n"/>
      <c r="F243" s="52" t="n"/>
      <c r="G243" s="51" t="n"/>
      <c r="H243" s="51" t="n"/>
      <c r="I243" s="51" t="n"/>
      <c r="J243" s="51" t="n"/>
      <c r="K243" s="51" t="n"/>
      <c r="L243" s="51" t="n"/>
      <c r="M243" s="51" t="n"/>
    </row>
    <row r="244">
      <c r="B244" s="51" t="n"/>
      <c r="C244" s="51" t="n"/>
      <c r="D244" s="51" t="n"/>
      <c r="E244" s="51" t="n"/>
      <c r="F244" s="52" t="n"/>
      <c r="G244" s="51" t="n"/>
      <c r="H244" s="51" t="n"/>
      <c r="I244" s="51" t="n"/>
      <c r="J244" s="51" t="n"/>
      <c r="K244" s="51" t="n"/>
      <c r="L244" s="51" t="n"/>
      <c r="M244" s="51" t="n"/>
    </row>
    <row r="245">
      <c r="B245" s="51" t="n"/>
      <c r="C245" s="51" t="n"/>
      <c r="D245" s="51" t="n"/>
      <c r="E245" s="51" t="n"/>
      <c r="F245" s="52" t="n"/>
      <c r="G245" s="51" t="n"/>
      <c r="H245" s="51" t="n"/>
      <c r="I245" s="51" t="n"/>
      <c r="J245" s="51" t="n"/>
      <c r="K245" s="51" t="n"/>
      <c r="L245" s="51" t="n"/>
      <c r="M245" s="51" t="n"/>
    </row>
    <row r="246">
      <c r="B246" s="51" t="n"/>
      <c r="C246" s="51" t="n"/>
      <c r="D246" s="51" t="n"/>
      <c r="E246" s="51" t="n"/>
      <c r="F246" s="52" t="n"/>
      <c r="G246" s="51" t="n"/>
      <c r="H246" s="51" t="n"/>
      <c r="I246" s="51" t="n"/>
      <c r="J246" s="51" t="n"/>
      <c r="K246" s="51" t="n"/>
      <c r="L246" s="51" t="n"/>
      <c r="M246" s="51" t="n"/>
    </row>
    <row r="247">
      <c r="B247" s="51" t="n"/>
      <c r="C247" s="51" t="n"/>
      <c r="D247" s="51" t="n"/>
      <c r="E247" s="51" t="n"/>
      <c r="F247" s="52" t="n"/>
      <c r="G247" s="51" t="n"/>
      <c r="H247" s="51" t="n"/>
      <c r="I247" s="51" t="n"/>
      <c r="J247" s="51" t="n"/>
      <c r="K247" s="51" t="n"/>
      <c r="L247" s="51" t="n"/>
      <c r="M247" s="51" t="n"/>
    </row>
    <row r="248">
      <c r="B248" s="51" t="n"/>
      <c r="C248" s="51" t="n"/>
      <c r="D248" s="51" t="n"/>
      <c r="E248" s="51" t="n"/>
      <c r="F248" s="52" t="n"/>
      <c r="G248" s="51" t="n"/>
      <c r="H248" s="51" t="n"/>
      <c r="I248" s="51" t="n"/>
      <c r="J248" s="51" t="n"/>
      <c r="K248" s="51" t="n"/>
      <c r="L248" s="51" t="n"/>
      <c r="M248" s="51" t="n"/>
    </row>
    <row r="249">
      <c r="B249" s="51" t="n"/>
      <c r="C249" s="51" t="n"/>
      <c r="D249" s="51" t="n"/>
      <c r="E249" s="51" t="n"/>
      <c r="F249" s="52" t="n"/>
      <c r="G249" s="51" t="n"/>
      <c r="H249" s="51" t="n"/>
      <c r="I249" s="51" t="n"/>
      <c r="J249" s="51" t="n"/>
      <c r="K249" s="51" t="n"/>
      <c r="L249" s="51" t="n"/>
      <c r="M249" s="51" t="n"/>
    </row>
    <row r="250">
      <c r="B250" s="51" t="n"/>
      <c r="C250" s="51" t="n"/>
      <c r="D250" s="51" t="n"/>
      <c r="E250" s="51" t="n"/>
      <c r="F250" s="52" t="n"/>
      <c r="G250" s="51" t="n"/>
      <c r="H250" s="51" t="n"/>
      <c r="I250" s="51" t="n"/>
      <c r="J250" s="51" t="n"/>
      <c r="K250" s="51" t="n"/>
      <c r="L250" s="51" t="n"/>
      <c r="M250" s="51" t="n"/>
    </row>
    <row r="251">
      <c r="B251" s="51" t="n"/>
      <c r="C251" s="51" t="n"/>
      <c r="D251" s="51" t="n"/>
      <c r="E251" s="51" t="n"/>
      <c r="F251" s="52" t="n"/>
      <c r="G251" s="51" t="n"/>
      <c r="H251" s="51" t="n"/>
      <c r="I251" s="51" t="n"/>
      <c r="J251" s="51" t="n"/>
      <c r="K251" s="51" t="n"/>
      <c r="L251" s="51" t="n"/>
      <c r="M251" s="51" t="n"/>
    </row>
    <row r="252">
      <c r="B252" s="51" t="n"/>
      <c r="C252" s="51" t="n"/>
      <c r="D252" s="51" t="n"/>
      <c r="E252" s="51" t="n"/>
      <c r="F252" s="52" t="n"/>
      <c r="G252" s="51" t="n"/>
      <c r="H252" s="51" t="n"/>
      <c r="I252" s="51" t="n"/>
      <c r="J252" s="51" t="n"/>
      <c r="K252" s="51" t="n"/>
      <c r="L252" s="51" t="n"/>
      <c r="M252" s="51" t="n"/>
    </row>
    <row r="253">
      <c r="B253" s="51" t="n"/>
      <c r="C253" s="51" t="n"/>
      <c r="D253" s="51" t="n"/>
      <c r="E253" s="51" t="n"/>
      <c r="F253" s="52" t="n"/>
      <c r="G253" s="51" t="n"/>
      <c r="H253" s="51" t="n"/>
      <c r="I253" s="51" t="n"/>
      <c r="J253" s="51" t="n"/>
      <c r="K253" s="51" t="n"/>
      <c r="L253" s="51" t="n"/>
      <c r="M253" s="51" t="n"/>
    </row>
    <row r="254">
      <c r="B254" s="51" t="n"/>
      <c r="C254" s="51" t="n"/>
      <c r="D254" s="51" t="n"/>
      <c r="E254" s="51" t="n"/>
      <c r="F254" s="52" t="n"/>
      <c r="G254" s="51" t="n"/>
      <c r="H254" s="51" t="n"/>
      <c r="I254" s="51" t="n"/>
      <c r="J254" s="51" t="n"/>
      <c r="K254" s="51" t="n"/>
      <c r="L254" s="51" t="n"/>
      <c r="M254" s="51" t="n"/>
    </row>
    <row r="255">
      <c r="B255" s="51" t="n"/>
      <c r="C255" s="51" t="n"/>
      <c r="D255" s="51" t="n"/>
      <c r="E255" s="51" t="n"/>
      <c r="F255" s="52" t="n"/>
      <c r="G255" s="51" t="n"/>
      <c r="H255" s="51" t="n"/>
      <c r="I255" s="51" t="n"/>
      <c r="J255" s="51" t="n"/>
      <c r="K255" s="51" t="n"/>
      <c r="L255" s="51" t="n"/>
      <c r="M255" s="51" t="n"/>
    </row>
    <row r="256">
      <c r="B256" s="51" t="n"/>
      <c r="C256" s="51" t="n"/>
      <c r="D256" s="51" t="n"/>
      <c r="E256" s="51" t="n"/>
      <c r="F256" s="52" t="n"/>
      <c r="G256" s="51" t="n"/>
      <c r="H256" s="51" t="n"/>
      <c r="I256" s="51" t="n"/>
      <c r="J256" s="51" t="n"/>
      <c r="K256" s="51" t="n"/>
      <c r="L256" s="51" t="n"/>
      <c r="M256" s="51" t="n"/>
    </row>
    <row r="257">
      <c r="B257" s="51" t="n"/>
      <c r="C257" s="51" t="n"/>
      <c r="D257" s="51" t="n"/>
      <c r="E257" s="51" t="n"/>
      <c r="F257" s="52" t="n"/>
      <c r="G257" s="51" t="n"/>
      <c r="H257" s="51" t="n"/>
      <c r="I257" s="51" t="n"/>
      <c r="J257" s="51" t="n"/>
      <c r="K257" s="51" t="n"/>
      <c r="L257" s="51" t="n"/>
      <c r="M257" s="51" t="n"/>
    </row>
    <row r="258">
      <c r="B258" s="51" t="n"/>
      <c r="C258" s="51" t="n"/>
      <c r="D258" s="51" t="n"/>
      <c r="E258" s="51" t="n"/>
      <c r="F258" s="52" t="n"/>
      <c r="G258" s="51" t="n"/>
      <c r="H258" s="51" t="n"/>
      <c r="I258" s="51" t="n"/>
      <c r="J258" s="51" t="n"/>
      <c r="K258" s="51" t="n"/>
      <c r="L258" s="51" t="n"/>
      <c r="M258" s="51" t="n"/>
    </row>
    <row r="259">
      <c r="B259" s="51" t="n"/>
      <c r="C259" s="51" t="n"/>
      <c r="D259" s="51" t="n"/>
      <c r="E259" s="51" t="n"/>
      <c r="F259" s="52" t="n"/>
      <c r="G259" s="51" t="n"/>
      <c r="H259" s="51" t="n"/>
      <c r="I259" s="51" t="n"/>
      <c r="J259" s="51" t="n"/>
      <c r="K259" s="51" t="n"/>
      <c r="L259" s="51" t="n"/>
      <c r="M259" s="51" t="n"/>
    </row>
    <row r="260">
      <c r="B260" s="51" t="n"/>
      <c r="C260" s="51" t="n"/>
      <c r="D260" s="51" t="n"/>
      <c r="E260" s="51" t="n"/>
      <c r="F260" s="52" t="n"/>
      <c r="G260" s="51" t="n"/>
      <c r="H260" s="51" t="n"/>
      <c r="I260" s="51" t="n"/>
      <c r="J260" s="51" t="n"/>
      <c r="K260" s="51" t="n"/>
      <c r="L260" s="51" t="n"/>
      <c r="M260" s="51" t="n"/>
    </row>
    <row r="261">
      <c r="B261" s="51" t="n"/>
      <c r="C261" s="51" t="n"/>
      <c r="D261" s="51" t="n"/>
      <c r="E261" s="51" t="n"/>
      <c r="F261" s="52" t="n"/>
      <c r="G261" s="51" t="n"/>
      <c r="H261" s="51" t="n"/>
      <c r="I261" s="51" t="n"/>
      <c r="J261" s="51" t="n"/>
      <c r="K261" s="51" t="n"/>
      <c r="L261" s="51" t="n"/>
      <c r="M261" s="51" t="n"/>
    </row>
    <row r="262">
      <c r="B262" s="51" t="n"/>
      <c r="C262" s="51" t="n"/>
      <c r="D262" s="51" t="n"/>
      <c r="E262" s="51" t="n"/>
      <c r="F262" s="52" t="n"/>
      <c r="G262" s="51" t="n"/>
      <c r="H262" s="51" t="n"/>
      <c r="I262" s="51" t="n"/>
      <c r="J262" s="51" t="n"/>
      <c r="K262" s="51" t="n"/>
      <c r="L262" s="51" t="n"/>
      <c r="M262" s="51" t="n"/>
    </row>
    <row r="263">
      <c r="B263" s="51" t="n"/>
      <c r="C263" s="51" t="n"/>
      <c r="D263" s="51" t="n"/>
      <c r="E263" s="51" t="n"/>
      <c r="F263" s="52" t="n"/>
      <c r="G263" s="51" t="n"/>
      <c r="H263" s="51" t="n"/>
      <c r="I263" s="51" t="n"/>
      <c r="J263" s="51" t="n"/>
      <c r="K263" s="51" t="n"/>
      <c r="L263" s="51" t="n"/>
      <c r="M263" s="51" t="n"/>
    </row>
    <row r="264">
      <c r="B264" s="51" t="n"/>
      <c r="C264" s="51" t="n"/>
      <c r="D264" s="51" t="n"/>
      <c r="E264" s="51" t="n"/>
      <c r="F264" s="52" t="n"/>
      <c r="G264" s="51" t="n"/>
      <c r="H264" s="51" t="n"/>
      <c r="I264" s="51" t="n"/>
      <c r="J264" s="51" t="n"/>
      <c r="K264" s="51" t="n"/>
      <c r="L264" s="51" t="n"/>
      <c r="M264" s="51" t="n"/>
    </row>
    <row r="265">
      <c r="B265" s="51" t="n"/>
      <c r="C265" s="51" t="n"/>
      <c r="D265" s="51" t="n"/>
      <c r="E265" s="51" t="n"/>
      <c r="F265" s="52" t="n"/>
      <c r="G265" s="51" t="n"/>
      <c r="H265" s="51" t="n"/>
      <c r="I265" s="51" t="n"/>
      <c r="J265" s="51" t="n"/>
      <c r="K265" s="51" t="n"/>
      <c r="L265" s="51" t="n"/>
      <c r="M265" s="51" t="n"/>
    </row>
    <row r="266">
      <c r="B266" s="51" t="n"/>
      <c r="C266" s="51" t="n"/>
      <c r="D266" s="51" t="n"/>
      <c r="E266" s="51" t="n"/>
      <c r="F266" s="52" t="n"/>
      <c r="G266" s="51" t="n"/>
      <c r="H266" s="51" t="n"/>
      <c r="I266" s="51" t="n"/>
      <c r="J266" s="51" t="n"/>
      <c r="K266" s="51" t="n"/>
      <c r="L266" s="51" t="n"/>
      <c r="M266" s="51" t="n"/>
    </row>
    <row r="267">
      <c r="B267" s="51" t="n"/>
      <c r="C267" s="51" t="n"/>
      <c r="D267" s="51" t="n"/>
      <c r="E267" s="51" t="n"/>
      <c r="F267" s="52" t="n"/>
      <c r="G267" s="51" t="n"/>
      <c r="H267" s="51" t="n"/>
      <c r="I267" s="51" t="n"/>
      <c r="J267" s="51" t="n"/>
      <c r="K267" s="51" t="n"/>
      <c r="L267" s="51" t="n"/>
      <c r="M267" s="51" t="n"/>
    </row>
    <row r="268">
      <c r="B268" s="51" t="n"/>
      <c r="C268" s="51" t="n"/>
      <c r="D268" s="51" t="n"/>
      <c r="E268" s="51" t="n"/>
      <c r="F268" s="52" t="n"/>
      <c r="G268" s="51" t="n"/>
      <c r="H268" s="51" t="n"/>
      <c r="I268" s="51" t="n"/>
      <c r="J268" s="51" t="n"/>
      <c r="K268" s="51" t="n"/>
      <c r="L268" s="51" t="n"/>
      <c r="M268" s="51" t="n"/>
    </row>
    <row r="269">
      <c r="B269" s="51" t="n"/>
      <c r="C269" s="51" t="n"/>
      <c r="D269" s="51" t="n"/>
      <c r="E269" s="51" t="n"/>
      <c r="F269" s="52" t="n"/>
      <c r="G269" s="51" t="n"/>
      <c r="H269" s="51" t="n"/>
      <c r="I269" s="51" t="n"/>
      <c r="J269" s="51" t="n"/>
      <c r="K269" s="51" t="n"/>
      <c r="L269" s="51" t="n"/>
      <c r="M269" s="51" t="n"/>
    </row>
    <row r="270">
      <c r="B270" s="51" t="n"/>
      <c r="C270" s="51" t="n"/>
      <c r="D270" s="51" t="n"/>
      <c r="E270" s="51" t="n"/>
      <c r="F270" s="52" t="n"/>
      <c r="G270" s="51" t="n"/>
      <c r="H270" s="51" t="n"/>
      <c r="I270" s="51" t="n"/>
      <c r="J270" s="51" t="n"/>
      <c r="K270" s="51" t="n"/>
      <c r="L270" s="51" t="n"/>
      <c r="M270" s="51" t="n"/>
    </row>
    <row r="271">
      <c r="B271" s="51" t="n"/>
      <c r="C271" s="51" t="n"/>
      <c r="D271" s="51" t="n"/>
      <c r="E271" s="51" t="n"/>
      <c r="F271" s="52" t="n"/>
      <c r="G271" s="51" t="n"/>
      <c r="H271" s="51" t="n"/>
      <c r="I271" s="51" t="n"/>
      <c r="J271" s="51" t="n"/>
      <c r="K271" s="51" t="n"/>
      <c r="L271" s="51" t="n"/>
      <c r="M271" s="51" t="n"/>
    </row>
    <row r="272">
      <c r="B272" s="51" t="n"/>
      <c r="C272" s="51" t="n"/>
      <c r="D272" s="51" t="n"/>
      <c r="E272" s="51" t="n"/>
      <c r="F272" s="52" t="n"/>
      <c r="G272" s="51" t="n"/>
      <c r="H272" s="51" t="n"/>
      <c r="I272" s="51" t="n"/>
      <c r="J272" s="51" t="n"/>
      <c r="K272" s="51" t="n"/>
      <c r="L272" s="51" t="n"/>
      <c r="M272" s="51" t="n"/>
    </row>
    <row r="273">
      <c r="B273" s="51" t="n"/>
      <c r="C273" s="51" t="n"/>
      <c r="D273" s="51" t="n"/>
      <c r="E273" s="51" t="n"/>
      <c r="F273" s="52" t="n"/>
      <c r="G273" s="51" t="n"/>
      <c r="H273" s="51" t="n"/>
      <c r="I273" s="51" t="n"/>
      <c r="J273" s="51" t="n"/>
      <c r="K273" s="51" t="n"/>
      <c r="L273" s="51" t="n"/>
      <c r="M273" s="51" t="n"/>
    </row>
    <row r="274">
      <c r="B274" s="51" t="n"/>
      <c r="C274" s="51" t="n"/>
      <c r="D274" s="51" t="n"/>
      <c r="E274" s="51" t="n"/>
      <c r="F274" s="52" t="n"/>
      <c r="G274" s="51" t="n"/>
      <c r="H274" s="51" t="n"/>
      <c r="I274" s="51" t="n"/>
      <c r="J274" s="51" t="n"/>
      <c r="K274" s="51" t="n"/>
      <c r="L274" s="51" t="n"/>
      <c r="M274" s="51" t="n"/>
    </row>
    <row r="275">
      <c r="B275" s="51" t="n"/>
      <c r="C275" s="51" t="n"/>
      <c r="D275" s="51" t="n"/>
      <c r="E275" s="51" t="n"/>
      <c r="F275" s="52" t="n"/>
      <c r="G275" s="51" t="n"/>
      <c r="H275" s="51" t="n"/>
      <c r="I275" s="51" t="n"/>
      <c r="J275" s="51" t="n"/>
      <c r="K275" s="51" t="n"/>
      <c r="L275" s="51" t="n"/>
      <c r="M275" s="51" t="n"/>
    </row>
    <row r="276">
      <c r="B276" s="51" t="n"/>
      <c r="C276" s="51" t="n"/>
      <c r="D276" s="51" t="n"/>
      <c r="E276" s="51" t="n"/>
      <c r="F276" s="52" t="n"/>
      <c r="G276" s="51" t="n"/>
      <c r="H276" s="51" t="n"/>
      <c r="I276" s="51" t="n"/>
      <c r="J276" s="51" t="n"/>
      <c r="K276" s="51" t="n"/>
      <c r="L276" s="51" t="n"/>
      <c r="M276" s="51" t="n"/>
    </row>
    <row r="277">
      <c r="B277" s="51" t="n"/>
      <c r="C277" s="51" t="n"/>
      <c r="D277" s="51" t="n"/>
      <c r="E277" s="51" t="n"/>
      <c r="F277" s="52" t="n"/>
      <c r="G277" s="51" t="n"/>
      <c r="H277" s="51" t="n"/>
      <c r="I277" s="51" t="n"/>
      <c r="J277" s="51" t="n"/>
      <c r="K277" s="51" t="n"/>
      <c r="L277" s="51" t="n"/>
      <c r="M277" s="51" t="n"/>
    </row>
    <row r="278">
      <c r="B278" s="51" t="n"/>
      <c r="C278" s="51" t="n"/>
      <c r="D278" s="51" t="n"/>
      <c r="E278" s="51" t="n"/>
      <c r="F278" s="52" t="n"/>
      <c r="G278" s="51" t="n"/>
      <c r="H278" s="51" t="n"/>
      <c r="I278" s="51" t="n"/>
      <c r="J278" s="51" t="n"/>
      <c r="K278" s="51" t="n"/>
      <c r="L278" s="51" t="n"/>
      <c r="M278" s="51" t="n"/>
    </row>
    <row r="279">
      <c r="B279" s="51" t="n"/>
      <c r="C279" s="51" t="n"/>
      <c r="D279" s="51" t="n"/>
      <c r="E279" s="51" t="n"/>
      <c r="F279" s="52" t="n"/>
      <c r="G279" s="51" t="n"/>
      <c r="H279" s="51" t="n"/>
      <c r="I279" s="51" t="n"/>
      <c r="J279" s="51" t="n"/>
      <c r="K279" s="51" t="n"/>
      <c r="L279" s="51" t="n"/>
      <c r="M279" s="51" t="n"/>
    </row>
    <row r="280">
      <c r="B280" s="51" t="n"/>
      <c r="C280" s="51" t="n"/>
      <c r="D280" s="51" t="n"/>
      <c r="E280" s="51" t="n"/>
      <c r="F280" s="52" t="n"/>
      <c r="G280" s="51" t="n"/>
      <c r="H280" s="51" t="n"/>
      <c r="I280" s="51" t="n"/>
      <c r="J280" s="51" t="n"/>
      <c r="K280" s="51" t="n"/>
      <c r="L280" s="51" t="n"/>
      <c r="M280" s="51" t="n"/>
    </row>
    <row r="281">
      <c r="B281" s="51" t="n"/>
      <c r="C281" s="51" t="n"/>
      <c r="D281" s="51" t="n"/>
      <c r="E281" s="51" t="n"/>
      <c r="F281" s="52" t="n"/>
      <c r="G281" s="51" t="n"/>
      <c r="H281" s="51" t="n"/>
      <c r="I281" s="51" t="n"/>
      <c r="J281" s="51" t="n"/>
      <c r="K281" s="51" t="n"/>
      <c r="L281" s="51" t="n"/>
      <c r="M281" s="51" t="n"/>
    </row>
    <row r="282">
      <c r="B282" s="51" t="n"/>
      <c r="C282" s="51" t="n"/>
      <c r="D282" s="51" t="n"/>
      <c r="E282" s="51" t="n"/>
      <c r="F282" s="52" t="n"/>
      <c r="G282" s="51" t="n"/>
      <c r="H282" s="51" t="n"/>
      <c r="I282" s="51" t="n"/>
      <c r="J282" s="51" t="n"/>
      <c r="K282" s="51" t="n"/>
      <c r="L282" s="51" t="n"/>
      <c r="M282" s="51" t="n"/>
    </row>
    <row r="283">
      <c r="B283" s="51" t="n"/>
      <c r="C283" s="51" t="n"/>
      <c r="D283" s="51" t="n"/>
      <c r="E283" s="51" t="n"/>
      <c r="F283" s="52" t="n"/>
      <c r="G283" s="51" t="n"/>
      <c r="H283" s="51" t="n"/>
      <c r="I283" s="51" t="n"/>
      <c r="J283" s="51" t="n"/>
      <c r="K283" s="51" t="n"/>
      <c r="L283" s="51" t="n"/>
      <c r="M283" s="51" t="n"/>
    </row>
    <row r="284">
      <c r="B284" s="51" t="n"/>
      <c r="C284" s="51" t="n"/>
      <c r="D284" s="51" t="n"/>
      <c r="E284" s="51" t="n"/>
      <c r="F284" s="52" t="n"/>
      <c r="G284" s="51" t="n"/>
      <c r="H284" s="51" t="n"/>
      <c r="I284" s="51" t="n"/>
      <c r="J284" s="51" t="n"/>
      <c r="K284" s="51" t="n"/>
      <c r="L284" s="51" t="n"/>
      <c r="M284" s="51" t="n"/>
    </row>
    <row r="285">
      <c r="B285" s="51" t="n"/>
      <c r="C285" s="51" t="n"/>
      <c r="D285" s="51" t="n"/>
      <c r="E285" s="51" t="n"/>
      <c r="F285" s="52" t="n"/>
      <c r="G285" s="51" t="n"/>
      <c r="H285" s="51" t="n"/>
      <c r="I285" s="51" t="n"/>
      <c r="J285" s="51" t="n"/>
      <c r="K285" s="51" t="n"/>
      <c r="L285" s="51" t="n"/>
      <c r="M285" s="51" t="n"/>
    </row>
    <row r="286">
      <c r="B286" s="51" t="n"/>
      <c r="C286" s="51" t="n"/>
      <c r="D286" s="51" t="n"/>
      <c r="E286" s="51" t="n"/>
      <c r="F286" s="52" t="n"/>
      <c r="G286" s="51" t="n"/>
      <c r="H286" s="51" t="n"/>
      <c r="I286" s="51" t="n"/>
      <c r="J286" s="51" t="n"/>
      <c r="K286" s="51" t="n"/>
      <c r="L286" s="51" t="n"/>
      <c r="M286" s="51" t="n"/>
    </row>
    <row r="287">
      <c r="B287" s="51" t="n"/>
      <c r="C287" s="51" t="n"/>
      <c r="D287" s="51" t="n"/>
      <c r="E287" s="51" t="n"/>
      <c r="F287" s="52" t="n"/>
      <c r="G287" s="51" t="n"/>
      <c r="H287" s="51" t="n"/>
      <c r="I287" s="51" t="n"/>
      <c r="J287" s="51" t="n"/>
      <c r="K287" s="51" t="n"/>
      <c r="L287" s="51" t="n"/>
      <c r="M287" s="51" t="n"/>
    </row>
    <row r="288">
      <c r="B288" s="51" t="n"/>
      <c r="C288" s="51" t="n"/>
      <c r="D288" s="51" t="n"/>
      <c r="E288" s="51" t="n"/>
      <c r="F288" s="52" t="n"/>
      <c r="G288" s="51" t="n"/>
      <c r="H288" s="51" t="n"/>
      <c r="I288" s="51" t="n"/>
      <c r="J288" s="51" t="n"/>
      <c r="K288" s="51" t="n"/>
      <c r="L288" s="51" t="n"/>
      <c r="M288" s="51" t="n"/>
    </row>
    <row r="289">
      <c r="B289" s="51" t="n"/>
      <c r="C289" s="51" t="n"/>
      <c r="D289" s="51" t="n"/>
      <c r="E289" s="51" t="n"/>
      <c r="F289" s="52" t="n"/>
      <c r="G289" s="51" t="n"/>
      <c r="H289" s="51" t="n"/>
      <c r="I289" s="51" t="n"/>
      <c r="J289" s="51" t="n"/>
      <c r="K289" s="51" t="n"/>
      <c r="L289" s="51" t="n"/>
      <c r="M289" s="51" t="n"/>
    </row>
    <row r="290">
      <c r="B290" s="51" t="n"/>
      <c r="C290" s="51" t="n"/>
      <c r="D290" s="51" t="n"/>
      <c r="E290" s="51" t="n"/>
      <c r="F290" s="52" t="n"/>
      <c r="G290" s="51" t="n"/>
      <c r="H290" s="51" t="n"/>
      <c r="I290" s="51" t="n"/>
      <c r="J290" s="51" t="n"/>
      <c r="K290" s="51" t="n"/>
      <c r="L290" s="51" t="n"/>
      <c r="M290" s="51" t="n"/>
    </row>
    <row r="291">
      <c r="B291" s="51" t="n"/>
      <c r="C291" s="51" t="n"/>
      <c r="D291" s="51" t="n"/>
      <c r="E291" s="51" t="n"/>
      <c r="F291" s="52" t="n"/>
      <c r="G291" s="51" t="n"/>
      <c r="H291" s="51" t="n"/>
      <c r="I291" s="51" t="n"/>
      <c r="J291" s="51" t="n"/>
      <c r="K291" s="51" t="n"/>
      <c r="L291" s="51" t="n"/>
      <c r="M291" s="51" t="n"/>
    </row>
    <row r="292">
      <c r="B292" s="51" t="n"/>
      <c r="C292" s="51" t="n"/>
      <c r="D292" s="51" t="n"/>
      <c r="E292" s="51" t="n"/>
      <c r="F292" s="52" t="n"/>
      <c r="G292" s="51" t="n"/>
      <c r="H292" s="51" t="n"/>
      <c r="I292" s="51" t="n"/>
      <c r="J292" s="51" t="n"/>
      <c r="K292" s="51" t="n"/>
      <c r="L292" s="51" t="n"/>
      <c r="M292" s="51" t="n"/>
    </row>
    <row r="293">
      <c r="B293" s="51" t="n"/>
      <c r="C293" s="51" t="n"/>
      <c r="D293" s="51" t="n"/>
      <c r="E293" s="51" t="n"/>
      <c r="F293" s="52" t="n"/>
      <c r="G293" s="51" t="n"/>
      <c r="H293" s="51" t="n"/>
      <c r="I293" s="51" t="n"/>
      <c r="J293" s="51" t="n"/>
      <c r="K293" s="51" t="n"/>
      <c r="L293" s="51" t="n"/>
      <c r="M293" s="51" t="n"/>
    </row>
    <row r="294">
      <c r="B294" s="51" t="n"/>
      <c r="C294" s="51" t="n"/>
      <c r="D294" s="51" t="n"/>
      <c r="E294" s="51" t="n"/>
      <c r="F294" s="52" t="n"/>
      <c r="G294" s="51" t="n"/>
      <c r="H294" s="51" t="n"/>
      <c r="I294" s="51" t="n"/>
      <c r="J294" s="51" t="n"/>
      <c r="K294" s="51" t="n"/>
      <c r="L294" s="51" t="n"/>
      <c r="M294" s="51" t="n"/>
    </row>
    <row r="295">
      <c r="B295" s="51" t="n"/>
      <c r="C295" s="51" t="n"/>
      <c r="D295" s="51" t="n"/>
      <c r="E295" s="51" t="n"/>
      <c r="F295" s="52" t="n"/>
      <c r="G295" s="51" t="n"/>
      <c r="H295" s="51" t="n"/>
      <c r="I295" s="51" t="n"/>
      <c r="J295" s="51" t="n"/>
      <c r="K295" s="51" t="n"/>
      <c r="L295" s="51" t="n"/>
      <c r="M295" s="51" t="n"/>
    </row>
    <row r="296">
      <c r="B296" s="51" t="n"/>
      <c r="C296" s="51" t="n"/>
      <c r="D296" s="51" t="n"/>
      <c r="E296" s="51" t="n"/>
      <c r="F296" s="52" t="n"/>
      <c r="G296" s="51" t="n"/>
      <c r="H296" s="51" t="n"/>
      <c r="I296" s="51" t="n"/>
      <c r="J296" s="51" t="n"/>
      <c r="K296" s="51" t="n"/>
      <c r="L296" s="51" t="n"/>
      <c r="M296" s="51" t="n"/>
    </row>
    <row r="297">
      <c r="B297" s="51" t="n"/>
      <c r="C297" s="51" t="n"/>
      <c r="D297" s="51" t="n"/>
      <c r="E297" s="51" t="n"/>
      <c r="F297" s="52" t="n"/>
      <c r="G297" s="51" t="n"/>
      <c r="H297" s="51" t="n"/>
      <c r="I297" s="51" t="n"/>
      <c r="J297" s="51" t="n"/>
      <c r="K297" s="51" t="n"/>
      <c r="L297" s="51" t="n"/>
      <c r="M297" s="51" t="n"/>
    </row>
    <row r="298">
      <c r="B298" s="51" t="n"/>
      <c r="C298" s="51" t="n"/>
      <c r="D298" s="51" t="n"/>
      <c r="E298" s="51" t="n"/>
      <c r="F298" s="52" t="n"/>
      <c r="G298" s="51" t="n"/>
      <c r="H298" s="51" t="n"/>
      <c r="I298" s="51" t="n"/>
      <c r="J298" s="51" t="n"/>
      <c r="K298" s="51" t="n"/>
      <c r="L298" s="51" t="n"/>
      <c r="M298" s="51" t="n"/>
    </row>
    <row r="299">
      <c r="B299" s="51" t="n"/>
      <c r="C299" s="51" t="n"/>
      <c r="D299" s="51" t="n"/>
      <c r="E299" s="51" t="n"/>
      <c r="F299" s="52" t="n"/>
      <c r="G299" s="51" t="n"/>
      <c r="H299" s="51" t="n"/>
      <c r="I299" s="51" t="n"/>
      <c r="J299" s="51" t="n"/>
      <c r="K299" s="51" t="n"/>
      <c r="L299" s="51" t="n"/>
      <c r="M299" s="51" t="n"/>
    </row>
    <row r="300">
      <c r="B300" s="51" t="n"/>
      <c r="C300" s="51" t="n"/>
      <c r="D300" s="51" t="n"/>
      <c r="E300" s="51" t="n"/>
      <c r="F300" s="52" t="n"/>
      <c r="G300" s="51" t="n"/>
      <c r="H300" s="51" t="n"/>
      <c r="I300" s="51" t="n"/>
      <c r="J300" s="51" t="n"/>
      <c r="K300" s="51" t="n"/>
      <c r="L300" s="51" t="n"/>
      <c r="M300" s="51" t="n"/>
    </row>
    <row r="301">
      <c r="B301" s="51" t="n"/>
      <c r="C301" s="51" t="n"/>
      <c r="D301" s="51" t="n"/>
      <c r="E301" s="51" t="n"/>
      <c r="F301" s="52" t="n"/>
      <c r="G301" s="51" t="n"/>
      <c r="H301" s="51" t="n"/>
      <c r="I301" s="51" t="n"/>
      <c r="J301" s="51" t="n"/>
      <c r="K301" s="51" t="n"/>
      <c r="L301" s="51" t="n"/>
      <c r="M301" s="51" t="n"/>
    </row>
    <row r="302">
      <c r="B302" s="51" t="n"/>
      <c r="C302" s="51" t="n"/>
      <c r="D302" s="51" t="n"/>
      <c r="E302" s="51" t="n"/>
      <c r="F302" s="52" t="n"/>
      <c r="G302" s="51" t="n"/>
      <c r="H302" s="51" t="n"/>
      <c r="I302" s="51" t="n"/>
      <c r="J302" s="51" t="n"/>
      <c r="K302" s="51" t="n"/>
      <c r="L302" s="51" t="n"/>
      <c r="M302" s="51" t="n"/>
    </row>
    <row r="303">
      <c r="B303" s="51" t="n"/>
      <c r="C303" s="51" t="n"/>
      <c r="D303" s="51" t="n"/>
      <c r="E303" s="51" t="n"/>
      <c r="F303" s="52" t="n"/>
      <c r="G303" s="51" t="n"/>
      <c r="H303" s="51" t="n"/>
      <c r="I303" s="51" t="n"/>
      <c r="J303" s="51" t="n"/>
      <c r="K303" s="51" t="n"/>
      <c r="L303" s="51" t="n"/>
      <c r="M303" s="51" t="n"/>
    </row>
    <row r="304">
      <c r="B304" s="51" t="n"/>
      <c r="C304" s="51" t="n"/>
      <c r="D304" s="51" t="n"/>
      <c r="E304" s="51" t="n"/>
      <c r="F304" s="52" t="n"/>
      <c r="G304" s="51" t="n"/>
      <c r="H304" s="51" t="n"/>
      <c r="I304" s="51" t="n"/>
      <c r="J304" s="51" t="n"/>
      <c r="K304" s="51" t="n"/>
      <c r="L304" s="51" t="n"/>
      <c r="M304" s="51" t="n"/>
    </row>
    <row r="305">
      <c r="B305" s="51" t="n"/>
      <c r="C305" s="51" t="n"/>
      <c r="D305" s="51" t="n"/>
      <c r="E305" s="51" t="n"/>
      <c r="F305" s="52" t="n"/>
      <c r="G305" s="51" t="n"/>
      <c r="H305" s="51" t="n"/>
      <c r="I305" s="51" t="n"/>
      <c r="J305" s="51" t="n"/>
      <c r="K305" s="51" t="n"/>
      <c r="L305" s="51" t="n"/>
      <c r="M305" s="51" t="n"/>
    </row>
    <row r="306">
      <c r="B306" s="51" t="n"/>
      <c r="C306" s="51" t="n"/>
      <c r="D306" s="51" t="n"/>
      <c r="E306" s="51" t="n"/>
      <c r="F306" s="52" t="n"/>
      <c r="G306" s="51" t="n"/>
      <c r="H306" s="51" t="n"/>
      <c r="I306" s="51" t="n"/>
      <c r="J306" s="51" t="n"/>
      <c r="K306" s="51" t="n"/>
      <c r="L306" s="51" t="n"/>
      <c r="M306" s="51" t="n"/>
    </row>
    <row r="307">
      <c r="B307" s="51" t="n"/>
      <c r="C307" s="51" t="n"/>
      <c r="D307" s="51" t="n"/>
      <c r="E307" s="51" t="n"/>
      <c r="F307" s="52" t="n"/>
      <c r="G307" s="51" t="n"/>
      <c r="H307" s="51" t="n"/>
      <c r="I307" s="51" t="n"/>
      <c r="J307" s="51" t="n"/>
      <c r="K307" s="51" t="n"/>
      <c r="L307" s="51" t="n"/>
      <c r="M307" s="51" t="n"/>
    </row>
    <row r="308">
      <c r="B308" s="51" t="n"/>
      <c r="C308" s="51" t="n"/>
      <c r="D308" s="51" t="n"/>
      <c r="E308" s="51" t="n"/>
      <c r="F308" s="52" t="n"/>
      <c r="G308" s="51" t="n"/>
      <c r="H308" s="51" t="n"/>
      <c r="I308" s="51" t="n"/>
      <c r="J308" s="51" t="n"/>
      <c r="K308" s="51" t="n"/>
      <c r="L308" s="51" t="n"/>
      <c r="M308" s="51" t="n"/>
    </row>
    <row r="309">
      <c r="B309" s="51" t="n"/>
      <c r="C309" s="51" t="n"/>
      <c r="D309" s="51" t="n"/>
      <c r="E309" s="51" t="n"/>
      <c r="F309" s="52" t="n"/>
      <c r="G309" s="51" t="n"/>
      <c r="H309" s="51" t="n"/>
      <c r="I309" s="51" t="n"/>
      <c r="J309" s="51" t="n"/>
      <c r="K309" s="51" t="n"/>
      <c r="L309" s="51" t="n"/>
      <c r="M309" s="51" t="n"/>
    </row>
    <row r="310">
      <c r="B310" s="51" t="n"/>
      <c r="C310" s="51" t="n"/>
      <c r="D310" s="51" t="n"/>
      <c r="E310" s="51" t="n"/>
      <c r="F310" s="52" t="n"/>
      <c r="G310" s="51" t="n"/>
      <c r="H310" s="51" t="n"/>
      <c r="I310" s="51" t="n"/>
      <c r="J310" s="51" t="n"/>
      <c r="K310" s="51" t="n"/>
      <c r="L310" s="51" t="n"/>
      <c r="M310" s="51" t="n"/>
    </row>
    <row r="311">
      <c r="B311" s="51" t="n"/>
      <c r="C311" s="51" t="n"/>
      <c r="D311" s="51" t="n"/>
      <c r="E311" s="51" t="n"/>
      <c r="F311" s="52" t="n"/>
      <c r="G311" s="51" t="n"/>
      <c r="H311" s="51" t="n"/>
      <c r="I311" s="51" t="n"/>
      <c r="J311" s="51" t="n"/>
      <c r="K311" s="51" t="n"/>
      <c r="L311" s="51" t="n"/>
      <c r="M311" s="51" t="n"/>
    </row>
    <row r="312">
      <c r="B312" s="51" t="n"/>
      <c r="C312" s="51" t="n"/>
      <c r="D312" s="51" t="n"/>
      <c r="E312" s="51" t="n"/>
      <c r="F312" s="52" t="n"/>
      <c r="G312" s="51" t="n"/>
      <c r="H312" s="51" t="n"/>
      <c r="I312" s="51" t="n"/>
      <c r="J312" s="51" t="n"/>
      <c r="K312" s="51" t="n"/>
      <c r="L312" s="51" t="n"/>
      <c r="M312" s="51" t="n"/>
    </row>
    <row r="313">
      <c r="B313" s="51" t="n"/>
      <c r="C313" s="51" t="n"/>
      <c r="D313" s="51" t="n"/>
      <c r="E313" s="51" t="n"/>
      <c r="F313" s="52" t="n"/>
      <c r="G313" s="51" t="n"/>
      <c r="H313" s="51" t="n"/>
      <c r="I313" s="51" t="n"/>
      <c r="J313" s="51" t="n"/>
      <c r="K313" s="51" t="n"/>
      <c r="L313" s="51" t="n"/>
      <c r="M313" s="51" t="n"/>
    </row>
    <row r="314">
      <c r="B314" s="51" t="n"/>
      <c r="C314" s="51" t="n"/>
      <c r="D314" s="51" t="n"/>
      <c r="E314" s="51" t="n"/>
      <c r="F314" s="52" t="n"/>
      <c r="G314" s="51" t="n"/>
      <c r="H314" s="51" t="n"/>
      <c r="I314" s="51" t="n"/>
      <c r="J314" s="51" t="n"/>
      <c r="K314" s="51" t="n"/>
      <c r="L314" s="51" t="n"/>
      <c r="M314" s="51" t="n"/>
    </row>
    <row r="315">
      <c r="B315" s="51" t="n"/>
      <c r="C315" s="51" t="n"/>
      <c r="D315" s="51" t="n"/>
      <c r="E315" s="51" t="n"/>
      <c r="F315" s="52" t="n"/>
      <c r="G315" s="51" t="n"/>
      <c r="H315" s="51" t="n"/>
      <c r="I315" s="51" t="n"/>
      <c r="J315" s="51" t="n"/>
      <c r="K315" s="51" t="n"/>
      <c r="L315" s="51" t="n"/>
      <c r="M315" s="51" t="n"/>
    </row>
    <row r="316">
      <c r="B316" s="51" t="n"/>
      <c r="C316" s="51" t="n"/>
      <c r="D316" s="51" t="n"/>
      <c r="E316" s="51" t="n"/>
      <c r="F316" s="52" t="n"/>
      <c r="G316" s="51" t="n"/>
      <c r="H316" s="51" t="n"/>
      <c r="I316" s="51" t="n"/>
      <c r="J316" s="51" t="n"/>
      <c r="K316" s="51" t="n"/>
      <c r="L316" s="51" t="n"/>
      <c r="M316" s="51" t="n"/>
    </row>
    <row r="317">
      <c r="B317" s="51" t="n"/>
      <c r="C317" s="51" t="n"/>
      <c r="D317" s="51" t="n"/>
      <c r="E317" s="51" t="n"/>
      <c r="F317" s="52" t="n"/>
      <c r="G317" s="51" t="n"/>
      <c r="H317" s="51" t="n"/>
      <c r="I317" s="51" t="n"/>
      <c r="J317" s="51" t="n"/>
      <c r="K317" s="51" t="n"/>
      <c r="L317" s="51" t="n"/>
      <c r="M317" s="51" t="n"/>
    </row>
    <row r="318">
      <c r="B318" s="51" t="n"/>
      <c r="C318" s="51" t="n"/>
      <c r="D318" s="51" t="n"/>
      <c r="E318" s="51" t="n"/>
      <c r="F318" s="52" t="n"/>
      <c r="G318" s="51" t="n"/>
      <c r="H318" s="51" t="n"/>
      <c r="I318" s="51" t="n"/>
      <c r="J318" s="51" t="n"/>
      <c r="K318" s="51" t="n"/>
      <c r="L318" s="51" t="n"/>
      <c r="M318" s="51" t="n"/>
    </row>
    <row r="319">
      <c r="B319" s="51" t="n"/>
      <c r="C319" s="51" t="n"/>
      <c r="D319" s="51" t="n"/>
      <c r="E319" s="51" t="n"/>
      <c r="F319" s="52" t="n"/>
      <c r="G319" s="51" t="n"/>
      <c r="H319" s="51" t="n"/>
      <c r="I319" s="51" t="n"/>
      <c r="J319" s="51" t="n"/>
      <c r="K319" s="51" t="n"/>
      <c r="L319" s="51" t="n"/>
      <c r="M319" s="51" t="n"/>
    </row>
    <row r="320">
      <c r="B320" s="51" t="n"/>
      <c r="C320" s="51" t="n"/>
      <c r="D320" s="51" t="n"/>
      <c r="E320" s="51" t="n"/>
      <c r="F320" s="52" t="n"/>
      <c r="G320" s="51" t="n"/>
      <c r="H320" s="51" t="n"/>
      <c r="I320" s="51" t="n"/>
      <c r="J320" s="51" t="n"/>
      <c r="K320" s="51" t="n"/>
      <c r="L320" s="51" t="n"/>
      <c r="M320" s="51" t="n"/>
    </row>
    <row r="321">
      <c r="B321" s="51" t="n"/>
      <c r="C321" s="51" t="n"/>
      <c r="D321" s="51" t="n"/>
      <c r="E321" s="51" t="n"/>
      <c r="F321" s="52" t="n"/>
      <c r="G321" s="51" t="n"/>
      <c r="H321" s="51" t="n"/>
      <c r="I321" s="51" t="n"/>
      <c r="J321" s="51" t="n"/>
      <c r="K321" s="51" t="n"/>
      <c r="L321" s="51" t="n"/>
      <c r="M321" s="51" t="n"/>
    </row>
    <row r="322">
      <c r="B322" s="51" t="n"/>
      <c r="C322" s="51" t="n"/>
      <c r="D322" s="51" t="n"/>
      <c r="E322" s="51" t="n"/>
      <c r="F322" s="52" t="n"/>
      <c r="G322" s="51" t="n"/>
      <c r="H322" s="51" t="n"/>
      <c r="I322" s="51" t="n"/>
      <c r="J322" s="51" t="n"/>
      <c r="K322" s="51" t="n"/>
      <c r="L322" s="51" t="n"/>
      <c r="M322" s="51" t="n"/>
    </row>
    <row r="323">
      <c r="B323" s="51" t="n"/>
      <c r="C323" s="51" t="n"/>
      <c r="D323" s="51" t="n"/>
      <c r="E323" s="51" t="n"/>
      <c r="F323" s="52" t="n"/>
      <c r="G323" s="51" t="n"/>
      <c r="H323" s="51" t="n"/>
      <c r="I323" s="51" t="n"/>
      <c r="J323" s="51" t="n"/>
      <c r="K323" s="51" t="n"/>
      <c r="L323" s="51" t="n"/>
      <c r="M323" s="51" t="n"/>
    </row>
    <row r="324">
      <c r="B324" s="51" t="n"/>
      <c r="C324" s="51" t="n"/>
      <c r="D324" s="51" t="n"/>
      <c r="E324" s="51" t="n"/>
      <c r="F324" s="52" t="n"/>
      <c r="G324" s="51" t="n"/>
      <c r="H324" s="51" t="n"/>
      <c r="I324" s="51" t="n"/>
      <c r="J324" s="51" t="n"/>
      <c r="K324" s="51" t="n"/>
      <c r="L324" s="51" t="n"/>
      <c r="M324" s="51" t="n"/>
    </row>
    <row r="325">
      <c r="B325" s="51" t="n"/>
      <c r="C325" s="51" t="n"/>
      <c r="D325" s="51" t="n"/>
      <c r="E325" s="51" t="n"/>
      <c r="F325" s="52" t="n"/>
      <c r="G325" s="51" t="n"/>
      <c r="H325" s="51" t="n"/>
      <c r="I325" s="51" t="n"/>
      <c r="J325" s="51" t="n"/>
      <c r="K325" s="51" t="n"/>
      <c r="L325" s="51" t="n"/>
      <c r="M325" s="51" t="n"/>
    </row>
    <row r="326">
      <c r="B326" s="51" t="n"/>
      <c r="C326" s="51" t="n"/>
      <c r="D326" s="51" t="n"/>
      <c r="E326" s="51" t="n"/>
      <c r="F326" s="52" t="n"/>
      <c r="G326" s="51" t="n"/>
      <c r="H326" s="51" t="n"/>
      <c r="I326" s="51" t="n"/>
      <c r="J326" s="51" t="n"/>
      <c r="K326" s="51" t="n"/>
      <c r="L326" s="51" t="n"/>
      <c r="M326" s="51" t="n"/>
    </row>
    <row r="327">
      <c r="B327" s="51" t="n"/>
      <c r="C327" s="51" t="n"/>
      <c r="D327" s="51" t="n"/>
      <c r="E327" s="51" t="n"/>
      <c r="F327" s="52" t="n"/>
      <c r="G327" s="51" t="n"/>
      <c r="H327" s="51" t="n"/>
      <c r="I327" s="51" t="n"/>
      <c r="J327" s="51" t="n"/>
      <c r="K327" s="51" t="n"/>
      <c r="L327" s="51" t="n"/>
      <c r="M327" s="51" t="n"/>
    </row>
    <row r="328">
      <c r="B328" s="51" t="n"/>
      <c r="C328" s="51" t="n"/>
      <c r="D328" s="51" t="n"/>
      <c r="E328" s="51" t="n"/>
      <c r="F328" s="52" t="n"/>
      <c r="G328" s="51" t="n"/>
      <c r="H328" s="51" t="n"/>
      <c r="I328" s="51" t="n"/>
      <c r="J328" s="51" t="n"/>
      <c r="K328" s="51" t="n"/>
      <c r="L328" s="51" t="n"/>
      <c r="M328" s="51" t="n"/>
    </row>
    <row r="329">
      <c r="B329" s="51" t="n"/>
      <c r="C329" s="51" t="n"/>
      <c r="D329" s="51" t="n"/>
      <c r="E329" s="51" t="n"/>
      <c r="F329" s="52" t="n"/>
      <c r="G329" s="51" t="n"/>
      <c r="H329" s="51" t="n"/>
      <c r="I329" s="51" t="n"/>
      <c r="J329" s="51" t="n"/>
      <c r="K329" s="51" t="n"/>
      <c r="L329" s="51" t="n"/>
      <c r="M329" s="51" t="n"/>
    </row>
    <row r="330">
      <c r="B330" s="51" t="n"/>
      <c r="C330" s="51" t="n"/>
      <c r="D330" s="51" t="n"/>
      <c r="E330" s="51" t="n"/>
      <c r="F330" s="52" t="n"/>
      <c r="G330" s="51" t="n"/>
      <c r="H330" s="51" t="n"/>
      <c r="I330" s="51" t="n"/>
      <c r="J330" s="51" t="n"/>
      <c r="K330" s="51" t="n"/>
      <c r="L330" s="51" t="n"/>
      <c r="M330" s="51" t="n"/>
    </row>
    <row r="331">
      <c r="B331" s="51" t="n"/>
      <c r="C331" s="51" t="n"/>
      <c r="D331" s="51" t="n"/>
      <c r="E331" s="51" t="n"/>
      <c r="F331" s="52" t="n"/>
      <c r="G331" s="51" t="n"/>
      <c r="H331" s="51" t="n"/>
      <c r="I331" s="51" t="n"/>
      <c r="J331" s="51" t="n"/>
      <c r="K331" s="51" t="n"/>
      <c r="L331" s="51" t="n"/>
      <c r="M331" s="51" t="n"/>
    </row>
    <row r="332">
      <c r="B332" s="51" t="n"/>
      <c r="C332" s="51" t="n"/>
      <c r="D332" s="51" t="n"/>
      <c r="E332" s="51" t="n"/>
      <c r="F332" s="52" t="n"/>
      <c r="G332" s="51" t="n"/>
      <c r="H332" s="51" t="n"/>
      <c r="I332" s="51" t="n"/>
      <c r="J332" s="51" t="n"/>
      <c r="K332" s="51" t="n"/>
      <c r="L332" s="51" t="n"/>
      <c r="M332" s="51" t="n"/>
    </row>
    <row r="333">
      <c r="B333" s="51" t="n"/>
      <c r="C333" s="51" t="n"/>
      <c r="D333" s="51" t="n"/>
      <c r="E333" s="51" t="n"/>
      <c r="F333" s="52" t="n"/>
      <c r="G333" s="51" t="n"/>
      <c r="H333" s="51" t="n"/>
      <c r="I333" s="51" t="n"/>
      <c r="J333" s="51" t="n"/>
      <c r="K333" s="51" t="n"/>
      <c r="L333" s="51" t="n"/>
      <c r="M333" s="51" t="n"/>
    </row>
    <row r="334">
      <c r="B334" s="51" t="n"/>
      <c r="C334" s="51" t="n"/>
      <c r="D334" s="51" t="n"/>
      <c r="E334" s="51" t="n"/>
      <c r="F334" s="52" t="n"/>
      <c r="G334" s="51" t="n"/>
      <c r="H334" s="51" t="n"/>
      <c r="I334" s="51" t="n"/>
      <c r="J334" s="51" t="n"/>
      <c r="K334" s="51" t="n"/>
      <c r="L334" s="51" t="n"/>
      <c r="M334" s="51" t="n"/>
    </row>
    <row r="335">
      <c r="B335" s="51" t="n"/>
      <c r="C335" s="51" t="n"/>
      <c r="D335" s="51" t="n"/>
      <c r="E335" s="51" t="n"/>
      <c r="F335" s="52" t="n"/>
      <c r="G335" s="51" t="n"/>
      <c r="H335" s="51" t="n"/>
      <c r="I335" s="51" t="n"/>
      <c r="J335" s="51" t="n"/>
      <c r="K335" s="51" t="n"/>
      <c r="L335" s="51" t="n"/>
      <c r="M335" s="51" t="n"/>
    </row>
    <row r="336">
      <c r="B336" s="51" t="n"/>
      <c r="C336" s="51" t="n"/>
      <c r="D336" s="51" t="n"/>
      <c r="E336" s="51" t="n"/>
      <c r="F336" s="52" t="n"/>
      <c r="G336" s="51" t="n"/>
      <c r="H336" s="51" t="n"/>
      <c r="I336" s="51" t="n"/>
      <c r="J336" s="51" t="n"/>
      <c r="K336" s="51" t="n"/>
      <c r="L336" s="51" t="n"/>
      <c r="M336" s="51" t="n"/>
    </row>
    <row r="337">
      <c r="B337" s="51" t="n"/>
      <c r="C337" s="51" t="n"/>
      <c r="D337" s="51" t="n"/>
      <c r="E337" s="51" t="n"/>
      <c r="F337" s="52" t="n"/>
      <c r="G337" s="51" t="n"/>
      <c r="H337" s="51" t="n"/>
      <c r="I337" s="51" t="n"/>
      <c r="J337" s="51" t="n"/>
      <c r="K337" s="51" t="n"/>
      <c r="L337" s="51" t="n"/>
      <c r="M337" s="51" t="n"/>
    </row>
    <row r="338">
      <c r="B338" s="51" t="n"/>
      <c r="C338" s="51" t="n"/>
      <c r="D338" s="51" t="n"/>
      <c r="E338" s="51" t="n"/>
      <c r="F338" s="52" t="n"/>
      <c r="G338" s="51" t="n"/>
      <c r="H338" s="51" t="n"/>
      <c r="I338" s="51" t="n"/>
      <c r="J338" s="51" t="n"/>
      <c r="K338" s="51" t="n"/>
      <c r="L338" s="51" t="n"/>
      <c r="M338" s="51" t="n"/>
    </row>
    <row r="339">
      <c r="B339" s="51" t="n"/>
      <c r="C339" s="51" t="n"/>
      <c r="D339" s="51" t="n"/>
      <c r="E339" s="51" t="n"/>
      <c r="F339" s="52" t="n"/>
      <c r="G339" s="51" t="n"/>
      <c r="H339" s="51" t="n"/>
      <c r="I339" s="51" t="n"/>
      <c r="J339" s="51" t="n"/>
      <c r="K339" s="51" t="n"/>
      <c r="L339" s="51" t="n"/>
      <c r="M339" s="51" t="n"/>
    </row>
    <row r="340">
      <c r="B340" s="51" t="n"/>
      <c r="C340" s="51" t="n"/>
      <c r="D340" s="51" t="n"/>
      <c r="E340" s="51" t="n"/>
      <c r="F340" s="52" t="n"/>
      <c r="G340" s="51" t="n"/>
      <c r="H340" s="51" t="n"/>
      <c r="I340" s="51" t="n"/>
      <c r="J340" s="51" t="n"/>
      <c r="K340" s="51" t="n"/>
      <c r="L340" s="51" t="n"/>
      <c r="M340" s="51" t="n"/>
    </row>
    <row r="341">
      <c r="B341" s="51" t="n"/>
      <c r="C341" s="51" t="n"/>
      <c r="D341" s="51" t="n"/>
      <c r="E341" s="51" t="n"/>
      <c r="F341" s="52" t="n"/>
      <c r="G341" s="51" t="n"/>
      <c r="H341" s="51" t="n"/>
      <c r="I341" s="51" t="n"/>
      <c r="J341" s="51" t="n"/>
      <c r="K341" s="51" t="n"/>
      <c r="L341" s="51" t="n"/>
      <c r="M341" s="51" t="n"/>
    </row>
    <row r="342">
      <c r="B342" s="51" t="n"/>
      <c r="C342" s="51" t="n"/>
      <c r="D342" s="51" t="n"/>
      <c r="E342" s="51" t="n"/>
      <c r="F342" s="52" t="n"/>
      <c r="G342" s="51" t="n"/>
      <c r="H342" s="51" t="n"/>
      <c r="I342" s="51" t="n"/>
      <c r="J342" s="51" t="n"/>
      <c r="K342" s="51" t="n"/>
      <c r="L342" s="51" t="n"/>
      <c r="M342" s="51" t="n"/>
    </row>
    <row r="343">
      <c r="B343" s="51" t="n"/>
      <c r="C343" s="51" t="n"/>
      <c r="D343" s="51" t="n"/>
      <c r="E343" s="51" t="n"/>
      <c r="F343" s="52" t="n"/>
      <c r="G343" s="51" t="n"/>
      <c r="H343" s="51" t="n"/>
      <c r="I343" s="51" t="n"/>
      <c r="J343" s="51" t="n"/>
      <c r="K343" s="51" t="n"/>
      <c r="L343" s="51" t="n"/>
      <c r="M343" s="51" t="n"/>
    </row>
    <row r="344">
      <c r="B344" s="51" t="n"/>
      <c r="C344" s="51" t="n"/>
      <c r="D344" s="51" t="n"/>
      <c r="E344" s="51" t="n"/>
      <c r="F344" s="52" t="n"/>
      <c r="G344" s="51" t="n"/>
      <c r="H344" s="51" t="n"/>
      <c r="I344" s="51" t="n"/>
      <c r="J344" s="51" t="n"/>
      <c r="K344" s="51" t="n"/>
      <c r="L344" s="51" t="n"/>
      <c r="M344" s="51" t="n"/>
    </row>
    <row r="345">
      <c r="B345" s="51" t="n"/>
      <c r="C345" s="51" t="n"/>
      <c r="D345" s="51" t="n"/>
      <c r="E345" s="51" t="n"/>
      <c r="F345" s="52" t="n"/>
      <c r="G345" s="51" t="n"/>
      <c r="H345" s="51" t="n"/>
      <c r="I345" s="51" t="n"/>
      <c r="J345" s="51" t="n"/>
      <c r="K345" s="51" t="n"/>
      <c r="L345" s="51" t="n"/>
      <c r="M345" s="51" t="n"/>
    </row>
    <row r="346">
      <c r="B346" s="51" t="n"/>
      <c r="C346" s="51" t="n"/>
      <c r="D346" s="51" t="n"/>
      <c r="E346" s="51" t="n"/>
      <c r="F346" s="52" t="n"/>
      <c r="G346" s="51" t="n"/>
      <c r="H346" s="51" t="n"/>
      <c r="I346" s="51" t="n"/>
      <c r="J346" s="51" t="n"/>
      <c r="K346" s="51" t="n"/>
      <c r="L346" s="51" t="n"/>
      <c r="M346" s="51" t="n"/>
    </row>
    <row r="347">
      <c r="B347" s="51" t="n"/>
      <c r="C347" s="51" t="n"/>
      <c r="D347" s="51" t="n"/>
      <c r="E347" s="51" t="n"/>
      <c r="F347" s="52" t="n"/>
      <c r="G347" s="51" t="n"/>
      <c r="H347" s="51" t="n"/>
      <c r="I347" s="51" t="n"/>
      <c r="J347" s="51" t="n"/>
      <c r="K347" s="51" t="n"/>
      <c r="L347" s="51" t="n"/>
      <c r="M347" s="51" t="n"/>
    </row>
    <row r="348">
      <c r="B348" s="51" t="n"/>
      <c r="C348" s="51" t="n"/>
      <c r="D348" s="51" t="n"/>
      <c r="E348" s="51" t="n"/>
      <c r="F348" s="52" t="n"/>
      <c r="G348" s="51" t="n"/>
      <c r="H348" s="51" t="n"/>
      <c r="I348" s="51" t="n"/>
      <c r="J348" s="51" t="n"/>
      <c r="K348" s="51" t="n"/>
      <c r="L348" s="51" t="n"/>
      <c r="M348" s="51" t="n"/>
    </row>
    <row r="349">
      <c r="B349" s="51" t="n"/>
      <c r="C349" s="51" t="n"/>
      <c r="D349" s="51" t="n"/>
      <c r="E349" s="51" t="n"/>
      <c r="F349" s="52" t="n"/>
      <c r="G349" s="51" t="n"/>
      <c r="H349" s="51" t="n"/>
      <c r="I349" s="51" t="n"/>
      <c r="J349" s="51" t="n"/>
      <c r="K349" s="51" t="n"/>
      <c r="L349" s="51" t="n"/>
      <c r="M349" s="51" t="n"/>
    </row>
    <row r="350">
      <c r="B350" s="51" t="n"/>
      <c r="C350" s="51" t="n"/>
      <c r="D350" s="51" t="n"/>
      <c r="E350" s="51" t="n"/>
      <c r="F350" s="52" t="n"/>
      <c r="G350" s="51" t="n"/>
      <c r="H350" s="51" t="n"/>
      <c r="I350" s="51" t="n"/>
      <c r="J350" s="51" t="n"/>
      <c r="K350" s="51" t="n"/>
      <c r="L350" s="51" t="n"/>
      <c r="M350" s="51" t="n"/>
    </row>
    <row r="351">
      <c r="B351" s="51" t="n"/>
      <c r="C351" s="51" t="n"/>
      <c r="D351" s="51" t="n"/>
      <c r="E351" s="51" t="n"/>
      <c r="F351" s="52" t="n"/>
      <c r="G351" s="51" t="n"/>
      <c r="H351" s="51" t="n"/>
      <c r="I351" s="51" t="n"/>
      <c r="J351" s="51" t="n"/>
      <c r="K351" s="51" t="n"/>
      <c r="L351" s="51" t="n"/>
      <c r="M351" s="51" t="n"/>
    </row>
    <row r="352">
      <c r="B352" s="51" t="n"/>
      <c r="C352" s="51" t="n"/>
      <c r="D352" s="51" t="n"/>
      <c r="E352" s="51" t="n"/>
      <c r="F352" s="52" t="n"/>
      <c r="G352" s="51" t="n"/>
      <c r="H352" s="51" t="n"/>
      <c r="I352" s="51" t="n"/>
      <c r="J352" s="51" t="n"/>
      <c r="K352" s="51" t="n"/>
      <c r="L352" s="51" t="n"/>
      <c r="M352" s="51" t="n"/>
    </row>
    <row r="353">
      <c r="B353" s="51" t="n"/>
      <c r="C353" s="51" t="n"/>
      <c r="D353" s="51" t="n"/>
      <c r="E353" s="51" t="n"/>
      <c r="F353" s="52" t="n"/>
      <c r="G353" s="51" t="n"/>
      <c r="H353" s="51" t="n"/>
      <c r="I353" s="51" t="n"/>
      <c r="J353" s="51" t="n"/>
      <c r="K353" s="51" t="n"/>
      <c r="L353" s="51" t="n"/>
      <c r="M353" s="51" t="n"/>
    </row>
    <row r="354">
      <c r="B354" s="51" t="n"/>
      <c r="C354" s="51" t="n"/>
      <c r="D354" s="51" t="n"/>
      <c r="E354" s="51" t="n"/>
      <c r="F354" s="52" t="n"/>
      <c r="G354" s="51" t="n"/>
      <c r="H354" s="51" t="n"/>
      <c r="I354" s="51" t="n"/>
      <c r="J354" s="51" t="n"/>
      <c r="K354" s="51" t="n"/>
      <c r="L354" s="51" t="n"/>
      <c r="M354" s="51" t="n"/>
    </row>
    <row r="355">
      <c r="B355" s="51" t="n"/>
      <c r="C355" s="51" t="n"/>
      <c r="D355" s="51" t="n"/>
      <c r="E355" s="51" t="n"/>
      <c r="F355" s="52" t="n"/>
      <c r="G355" s="51" t="n"/>
      <c r="H355" s="51" t="n"/>
      <c r="I355" s="51" t="n"/>
      <c r="J355" s="51" t="n"/>
      <c r="K355" s="51" t="n"/>
      <c r="L355" s="51" t="n"/>
      <c r="M355" s="51" t="n"/>
    </row>
    <row r="356">
      <c r="B356" s="51" t="n"/>
      <c r="C356" s="51" t="n"/>
      <c r="D356" s="51" t="n"/>
      <c r="E356" s="51" t="n"/>
      <c r="F356" s="52" t="n"/>
      <c r="G356" s="51" t="n"/>
      <c r="H356" s="51" t="n"/>
      <c r="I356" s="51" t="n"/>
      <c r="J356" s="51" t="n"/>
      <c r="K356" s="51" t="n"/>
      <c r="L356" s="51" t="n"/>
      <c r="M356" s="51" t="n"/>
    </row>
    <row r="357">
      <c r="B357" s="51" t="n"/>
      <c r="C357" s="51" t="n"/>
      <c r="D357" s="51" t="n"/>
      <c r="E357" s="51" t="n"/>
      <c r="F357" s="52" t="n"/>
      <c r="G357" s="51" t="n"/>
      <c r="H357" s="51" t="n"/>
      <c r="I357" s="51" t="n"/>
      <c r="J357" s="51" t="n"/>
      <c r="K357" s="51" t="n"/>
      <c r="L357" s="51" t="n"/>
      <c r="M357" s="51" t="n"/>
    </row>
    <row r="358">
      <c r="B358" s="51" t="n"/>
      <c r="C358" s="51" t="n"/>
      <c r="D358" s="51" t="n"/>
      <c r="E358" s="51" t="n"/>
      <c r="F358" s="52" t="n"/>
      <c r="G358" s="51" t="n"/>
      <c r="H358" s="51" t="n"/>
      <c r="I358" s="51" t="n"/>
      <c r="J358" s="51" t="n"/>
      <c r="K358" s="51" t="n"/>
      <c r="L358" s="51" t="n"/>
      <c r="M358" s="51" t="n"/>
    </row>
    <row r="359">
      <c r="B359" s="51" t="n"/>
      <c r="C359" s="51" t="n"/>
      <c r="D359" s="51" t="n"/>
      <c r="E359" s="51" t="n"/>
      <c r="F359" s="52" t="n"/>
      <c r="G359" s="51" t="n"/>
      <c r="H359" s="51" t="n"/>
      <c r="I359" s="51" t="n"/>
      <c r="J359" s="51" t="n"/>
      <c r="K359" s="51" t="n"/>
      <c r="L359" s="51" t="n"/>
      <c r="M359" s="51" t="n"/>
    </row>
    <row r="360">
      <c r="B360" s="51" t="n"/>
      <c r="C360" s="51" t="n"/>
      <c r="D360" s="51" t="n"/>
      <c r="E360" s="51" t="n"/>
      <c r="F360" s="52" t="n"/>
      <c r="G360" s="51" t="n"/>
      <c r="H360" s="51" t="n"/>
      <c r="I360" s="51" t="n"/>
      <c r="J360" s="51" t="n"/>
      <c r="K360" s="51" t="n"/>
      <c r="L360" s="51" t="n"/>
      <c r="M360" s="51" t="n"/>
    </row>
    <row r="361">
      <c r="B361" s="51" t="n"/>
      <c r="C361" s="51" t="n"/>
      <c r="D361" s="51" t="n"/>
      <c r="E361" s="51" t="n"/>
      <c r="F361" s="52" t="n"/>
      <c r="G361" s="51" t="n"/>
      <c r="H361" s="51" t="n"/>
      <c r="I361" s="51" t="n"/>
      <c r="J361" s="51" t="n"/>
      <c r="K361" s="51" t="n"/>
      <c r="L361" s="51" t="n"/>
      <c r="M361" s="51" t="n"/>
    </row>
    <row r="362">
      <c r="B362" s="51" t="n"/>
      <c r="C362" s="51" t="n"/>
      <c r="D362" s="51" t="n"/>
      <c r="E362" s="51" t="n"/>
      <c r="F362" s="52" t="n"/>
      <c r="G362" s="51" t="n"/>
      <c r="H362" s="51" t="n"/>
      <c r="I362" s="51" t="n"/>
      <c r="J362" s="51" t="n"/>
      <c r="K362" s="51" t="n"/>
      <c r="L362" s="51" t="n"/>
      <c r="M362" s="51" t="n"/>
    </row>
    <row r="363">
      <c r="B363" s="51" t="n"/>
      <c r="C363" s="51" t="n"/>
      <c r="D363" s="51" t="n"/>
      <c r="E363" s="51" t="n"/>
      <c r="F363" s="52" t="n"/>
      <c r="G363" s="51" t="n"/>
      <c r="H363" s="51" t="n"/>
      <c r="I363" s="51" t="n"/>
      <c r="J363" s="51" t="n"/>
      <c r="K363" s="51" t="n"/>
      <c r="L363" s="51" t="n"/>
      <c r="M363" s="51" t="n"/>
    </row>
    <row r="364">
      <c r="B364" s="51" t="n"/>
      <c r="C364" s="51" t="n"/>
      <c r="D364" s="51" t="n"/>
      <c r="E364" s="51" t="n"/>
      <c r="F364" s="52" t="n"/>
      <c r="G364" s="51" t="n"/>
      <c r="H364" s="51" t="n"/>
      <c r="I364" s="51" t="n"/>
      <c r="J364" s="51" t="n"/>
      <c r="K364" s="51" t="n"/>
      <c r="L364" s="51" t="n"/>
      <c r="M364" s="51" t="n"/>
    </row>
    <row r="365">
      <c r="B365" s="51" t="n"/>
      <c r="C365" s="51" t="n"/>
      <c r="D365" s="51" t="n"/>
      <c r="E365" s="51" t="n"/>
      <c r="F365" s="52" t="n"/>
      <c r="G365" s="51" t="n"/>
      <c r="H365" s="51" t="n"/>
      <c r="I365" s="51" t="n"/>
      <c r="J365" s="51" t="n"/>
      <c r="K365" s="51" t="n"/>
      <c r="L365" s="51" t="n"/>
      <c r="M365" s="51" t="n"/>
    </row>
    <row r="366">
      <c r="B366" s="51" t="n"/>
      <c r="C366" s="51" t="n"/>
      <c r="D366" s="51" t="n"/>
      <c r="E366" s="51" t="n"/>
      <c r="F366" s="52" t="n"/>
      <c r="G366" s="51" t="n"/>
      <c r="H366" s="51" t="n"/>
      <c r="I366" s="51" t="n"/>
      <c r="J366" s="51" t="n"/>
      <c r="K366" s="51" t="n"/>
      <c r="L366" s="51" t="n"/>
      <c r="M366" s="51" t="n"/>
    </row>
    <row r="367">
      <c r="B367" s="51" t="n"/>
      <c r="C367" s="51" t="n"/>
      <c r="D367" s="51" t="n"/>
      <c r="E367" s="51" t="n"/>
      <c r="F367" s="52" t="n"/>
      <c r="G367" s="51" t="n"/>
      <c r="H367" s="51" t="n"/>
      <c r="I367" s="51" t="n"/>
      <c r="J367" s="51" t="n"/>
      <c r="K367" s="51" t="n"/>
      <c r="L367" s="51" t="n"/>
      <c r="M367" s="51" t="n"/>
    </row>
    <row r="368">
      <c r="B368" s="51" t="n"/>
      <c r="C368" s="51" t="n"/>
      <c r="D368" s="51" t="n"/>
      <c r="E368" s="51" t="n"/>
      <c r="F368" s="52" t="n"/>
      <c r="G368" s="51" t="n"/>
      <c r="H368" s="51" t="n"/>
      <c r="I368" s="51" t="n"/>
      <c r="J368" s="51" t="n"/>
      <c r="K368" s="51" t="n"/>
      <c r="L368" s="51" t="n"/>
      <c r="M368" s="51" t="n"/>
    </row>
    <row r="369">
      <c r="B369" s="51" t="n"/>
      <c r="C369" s="51" t="n"/>
      <c r="D369" s="51" t="n"/>
      <c r="E369" s="51" t="n"/>
      <c r="F369" s="52" t="n"/>
      <c r="G369" s="51" t="n"/>
      <c r="H369" s="51" t="n"/>
      <c r="I369" s="51" t="n"/>
      <c r="J369" s="51" t="n"/>
      <c r="K369" s="51" t="n"/>
      <c r="L369" s="51" t="n"/>
      <c r="M369" s="51" t="n"/>
    </row>
    <row r="370">
      <c r="B370" s="51" t="n"/>
      <c r="C370" s="51" t="n"/>
      <c r="D370" s="51" t="n"/>
      <c r="E370" s="51" t="n"/>
      <c r="F370" s="52" t="n"/>
      <c r="G370" s="51" t="n"/>
      <c r="H370" s="51" t="n"/>
      <c r="I370" s="51" t="n"/>
      <c r="J370" s="51" t="n"/>
      <c r="K370" s="51" t="n"/>
      <c r="L370" s="51" t="n"/>
      <c r="M370" s="51" t="n"/>
    </row>
    <row r="371">
      <c r="B371" s="51" t="n"/>
      <c r="C371" s="51" t="n"/>
      <c r="D371" s="51" t="n"/>
      <c r="E371" s="51" t="n"/>
      <c r="F371" s="52" t="n"/>
      <c r="G371" s="51" t="n"/>
      <c r="H371" s="51" t="n"/>
      <c r="I371" s="51" t="n"/>
      <c r="J371" s="51" t="n"/>
      <c r="K371" s="51" t="n"/>
      <c r="L371" s="51" t="n"/>
      <c r="M371" s="51" t="n"/>
    </row>
    <row r="372">
      <c r="B372" s="51" t="n"/>
      <c r="C372" s="51" t="n"/>
      <c r="D372" s="51" t="n"/>
      <c r="E372" s="51" t="n"/>
      <c r="F372" s="52" t="n"/>
      <c r="G372" s="51" t="n"/>
      <c r="H372" s="51" t="n"/>
      <c r="I372" s="51" t="n"/>
      <c r="J372" s="51" t="n"/>
      <c r="K372" s="51" t="n"/>
      <c r="L372" s="51" t="n"/>
      <c r="M372" s="51" t="n"/>
    </row>
    <row r="373">
      <c r="B373" s="51" t="n"/>
      <c r="C373" s="51" t="n"/>
      <c r="D373" s="51" t="n"/>
      <c r="E373" s="51" t="n"/>
      <c r="F373" s="52" t="n"/>
      <c r="G373" s="51" t="n"/>
      <c r="H373" s="51" t="n"/>
      <c r="I373" s="51" t="n"/>
      <c r="J373" s="51" t="n"/>
      <c r="K373" s="51" t="n"/>
      <c r="L373" s="51" t="n"/>
      <c r="M373" s="51" t="n"/>
    </row>
    <row r="374">
      <c r="B374" s="51" t="n"/>
      <c r="C374" s="51" t="n"/>
      <c r="D374" s="51" t="n"/>
      <c r="E374" s="51" t="n"/>
      <c r="F374" s="52" t="n"/>
      <c r="G374" s="51" t="n"/>
      <c r="H374" s="51" t="n"/>
      <c r="I374" s="51" t="n"/>
      <c r="J374" s="51" t="n"/>
      <c r="K374" s="51" t="n"/>
      <c r="L374" s="51" t="n"/>
      <c r="M374" s="51" t="n"/>
    </row>
    <row r="375">
      <c r="B375" s="51" t="n"/>
      <c r="C375" s="51" t="n"/>
      <c r="D375" s="51" t="n"/>
      <c r="E375" s="51" t="n"/>
      <c r="F375" s="52" t="n"/>
      <c r="G375" s="51" t="n"/>
      <c r="H375" s="51" t="n"/>
      <c r="I375" s="51" t="n"/>
      <c r="J375" s="51" t="n"/>
      <c r="K375" s="51" t="n"/>
      <c r="L375" s="51" t="n"/>
      <c r="M375" s="51" t="n"/>
    </row>
    <row r="376">
      <c r="B376" s="51" t="n"/>
      <c r="C376" s="51" t="n"/>
      <c r="D376" s="51" t="n"/>
      <c r="E376" s="51" t="n"/>
      <c r="F376" s="52" t="n"/>
      <c r="G376" s="51" t="n"/>
      <c r="H376" s="51" t="n"/>
      <c r="I376" s="51" t="n"/>
      <c r="J376" s="51" t="n"/>
      <c r="K376" s="51" t="n"/>
      <c r="L376" s="51" t="n"/>
      <c r="M376" s="51" t="n"/>
    </row>
    <row r="377">
      <c r="B377" s="51" t="n"/>
      <c r="C377" s="51" t="n"/>
      <c r="D377" s="51" t="n"/>
      <c r="E377" s="51" t="n"/>
      <c r="F377" s="52" t="n"/>
      <c r="G377" s="51" t="n"/>
      <c r="H377" s="51" t="n"/>
      <c r="I377" s="51" t="n"/>
      <c r="J377" s="51" t="n"/>
      <c r="K377" s="51" t="n"/>
      <c r="L377" s="51" t="n"/>
      <c r="M377" s="51" t="n"/>
    </row>
    <row r="378">
      <c r="B378" s="51" t="n"/>
      <c r="C378" s="51" t="n"/>
      <c r="D378" s="51" t="n"/>
      <c r="E378" s="51" t="n"/>
      <c r="F378" s="52" t="n"/>
      <c r="G378" s="51" t="n"/>
      <c r="H378" s="51" t="n"/>
      <c r="I378" s="51" t="n"/>
      <c r="J378" s="51" t="n"/>
      <c r="K378" s="51" t="n"/>
      <c r="L378" s="51" t="n"/>
      <c r="M378" s="51" t="n"/>
    </row>
    <row r="379">
      <c r="B379" s="51" t="n"/>
      <c r="C379" s="51" t="n"/>
      <c r="D379" s="51" t="n"/>
      <c r="E379" s="51" t="n"/>
      <c r="F379" s="52" t="n"/>
      <c r="G379" s="51" t="n"/>
      <c r="H379" s="51" t="n"/>
      <c r="I379" s="51" t="n"/>
      <c r="J379" s="51" t="n"/>
      <c r="K379" s="51" t="n"/>
      <c r="L379" s="51" t="n"/>
      <c r="M379" s="51" t="n"/>
    </row>
    <row r="380">
      <c r="B380" s="51" t="n"/>
      <c r="C380" s="51" t="n"/>
      <c r="D380" s="51" t="n"/>
      <c r="E380" s="51" t="n"/>
      <c r="F380" s="52" t="n"/>
      <c r="G380" s="51" t="n"/>
      <c r="H380" s="51" t="n"/>
      <c r="I380" s="51" t="n"/>
      <c r="J380" s="51" t="n"/>
      <c r="K380" s="51" t="n"/>
      <c r="L380" s="51" t="n"/>
      <c r="M380" s="51" t="n"/>
    </row>
    <row r="381">
      <c r="B381" s="51" t="n"/>
      <c r="C381" s="51" t="n"/>
      <c r="D381" s="51" t="n"/>
      <c r="E381" s="51" t="n"/>
      <c r="F381" s="52" t="n"/>
      <c r="G381" s="51" t="n"/>
      <c r="H381" s="51" t="n"/>
      <c r="I381" s="51" t="n"/>
      <c r="J381" s="51" t="n"/>
      <c r="K381" s="51" t="n"/>
      <c r="L381" s="51" t="n"/>
      <c r="M381" s="51" t="n"/>
    </row>
    <row r="382">
      <c r="B382" s="51" t="n"/>
      <c r="C382" s="51" t="n"/>
      <c r="D382" s="51" t="n"/>
      <c r="E382" s="51" t="n"/>
      <c r="F382" s="52" t="n"/>
      <c r="G382" s="51" t="n"/>
      <c r="H382" s="51" t="n"/>
      <c r="I382" s="51" t="n"/>
      <c r="J382" s="51" t="n"/>
      <c r="K382" s="51" t="n"/>
      <c r="L382" s="51" t="n"/>
      <c r="M382" s="51" t="n"/>
    </row>
    <row r="383">
      <c r="B383" s="51" t="n"/>
      <c r="C383" s="51" t="n"/>
      <c r="D383" s="51" t="n"/>
      <c r="E383" s="51" t="n"/>
      <c r="F383" s="52" t="n"/>
      <c r="G383" s="51" t="n"/>
      <c r="H383" s="51" t="n"/>
      <c r="I383" s="51" t="n"/>
      <c r="J383" s="51" t="n"/>
      <c r="K383" s="51" t="n"/>
      <c r="L383" s="51" t="n"/>
      <c r="M383" s="51" t="n"/>
    </row>
    <row r="384">
      <c r="B384" s="51" t="n"/>
      <c r="C384" s="51" t="n"/>
      <c r="D384" s="51" t="n"/>
      <c r="E384" s="51" t="n"/>
      <c r="F384" s="52" t="n"/>
      <c r="G384" s="51" t="n"/>
      <c r="H384" s="51" t="n"/>
      <c r="I384" s="51" t="n"/>
      <c r="J384" s="51" t="n"/>
      <c r="K384" s="51" t="n"/>
      <c r="L384" s="51" t="n"/>
      <c r="M384" s="51" t="n"/>
    </row>
    <row r="385">
      <c r="B385" s="51" t="n"/>
      <c r="C385" s="51" t="n"/>
      <c r="D385" s="51" t="n"/>
      <c r="E385" s="51" t="n"/>
      <c r="F385" s="52" t="n"/>
      <c r="G385" s="51" t="n"/>
      <c r="H385" s="51" t="n"/>
      <c r="I385" s="51" t="n"/>
      <c r="J385" s="51" t="n"/>
      <c r="K385" s="51" t="n"/>
      <c r="L385" s="51" t="n"/>
      <c r="M385" s="51" t="n"/>
    </row>
    <row r="386">
      <c r="B386" s="51" t="n"/>
      <c r="C386" s="51" t="n"/>
      <c r="D386" s="51" t="n"/>
      <c r="E386" s="51" t="n"/>
      <c r="F386" s="52" t="n"/>
      <c r="G386" s="51" t="n"/>
      <c r="H386" s="51" t="n"/>
      <c r="I386" s="51" t="n"/>
      <c r="J386" s="51" t="n"/>
      <c r="K386" s="51" t="n"/>
      <c r="L386" s="51" t="n"/>
      <c r="M386" s="51" t="n"/>
    </row>
    <row r="387">
      <c r="B387" s="51" t="n"/>
      <c r="C387" s="51" t="n"/>
      <c r="D387" s="51" t="n"/>
      <c r="E387" s="51" t="n"/>
      <c r="F387" s="52" t="n"/>
      <c r="G387" s="51" t="n"/>
      <c r="H387" s="51" t="n"/>
      <c r="I387" s="51" t="n"/>
      <c r="J387" s="51" t="n"/>
      <c r="K387" s="51" t="n"/>
      <c r="L387" s="51" t="n"/>
      <c r="M387" s="51" t="n"/>
    </row>
    <row r="388">
      <c r="B388" s="51" t="n"/>
      <c r="C388" s="51" t="n"/>
      <c r="D388" s="51" t="n"/>
      <c r="E388" s="51" t="n"/>
      <c r="F388" s="52" t="n"/>
      <c r="G388" s="51" t="n"/>
      <c r="H388" s="51" t="n"/>
      <c r="I388" s="51" t="n"/>
      <c r="J388" s="51" t="n"/>
      <c r="K388" s="51" t="n"/>
      <c r="L388" s="51" t="n"/>
      <c r="M388" s="51" t="n"/>
    </row>
    <row r="389">
      <c r="B389" s="51" t="n"/>
      <c r="C389" s="51" t="n"/>
      <c r="D389" s="51" t="n"/>
      <c r="E389" s="51" t="n"/>
      <c r="F389" s="52" t="n"/>
      <c r="G389" s="51" t="n"/>
      <c r="H389" s="51" t="n"/>
      <c r="I389" s="51" t="n"/>
      <c r="J389" s="51" t="n"/>
      <c r="K389" s="51" t="n"/>
      <c r="L389" s="51" t="n"/>
      <c r="M389" s="51" t="n"/>
    </row>
    <row r="390">
      <c r="B390" s="51" t="n"/>
      <c r="C390" s="51" t="n"/>
      <c r="D390" s="51" t="n"/>
      <c r="E390" s="51" t="n"/>
      <c r="F390" s="52" t="n"/>
      <c r="G390" s="51" t="n"/>
      <c r="H390" s="51" t="n"/>
      <c r="I390" s="51" t="n"/>
      <c r="J390" s="51" t="n"/>
      <c r="K390" s="51" t="n"/>
      <c r="L390" s="51" t="n"/>
      <c r="M390" s="51" t="n"/>
    </row>
    <row r="391">
      <c r="B391" s="51" t="n"/>
      <c r="C391" s="51" t="n"/>
      <c r="D391" s="51" t="n"/>
      <c r="E391" s="51" t="n"/>
      <c r="F391" s="52" t="n"/>
      <c r="G391" s="51" t="n"/>
      <c r="H391" s="51" t="n"/>
      <c r="I391" s="51" t="n"/>
      <c r="J391" s="51" t="n"/>
      <c r="K391" s="51" t="n"/>
      <c r="L391" s="51" t="n"/>
      <c r="M391" s="51" t="n"/>
    </row>
    <row r="392">
      <c r="B392" s="51" t="n"/>
      <c r="C392" s="51" t="n"/>
      <c r="D392" s="51" t="n"/>
      <c r="E392" s="51" t="n"/>
      <c r="F392" s="52" t="n"/>
      <c r="G392" s="51" t="n"/>
      <c r="H392" s="51" t="n"/>
      <c r="I392" s="51" t="n"/>
      <c r="J392" s="51" t="n"/>
      <c r="K392" s="51" t="n"/>
      <c r="L392" s="51" t="n"/>
      <c r="M392" s="51" t="n"/>
    </row>
    <row r="393">
      <c r="B393" s="51" t="n"/>
      <c r="C393" s="51" t="n"/>
      <c r="D393" s="51" t="n"/>
      <c r="E393" s="51" t="n"/>
      <c r="F393" s="52" t="n"/>
      <c r="G393" s="51" t="n"/>
      <c r="H393" s="51" t="n"/>
      <c r="I393" s="51" t="n"/>
      <c r="J393" s="51" t="n"/>
      <c r="K393" s="51" t="n"/>
      <c r="L393" s="51" t="n"/>
      <c r="M393" s="51" t="n"/>
    </row>
    <row r="394">
      <c r="B394" s="51" t="n"/>
      <c r="C394" s="51" t="n"/>
      <c r="D394" s="51" t="n"/>
      <c r="E394" s="51" t="n"/>
      <c r="F394" s="52" t="n"/>
      <c r="G394" s="51" t="n"/>
      <c r="H394" s="51" t="n"/>
      <c r="I394" s="51" t="n"/>
      <c r="J394" s="51" t="n"/>
      <c r="K394" s="51" t="n"/>
      <c r="L394" s="51" t="n"/>
      <c r="M394" s="51" t="n"/>
    </row>
    <row r="395">
      <c r="B395" s="51" t="n"/>
      <c r="C395" s="51" t="n"/>
      <c r="D395" s="51" t="n"/>
      <c r="E395" s="51" t="n"/>
      <c r="F395" s="52" t="n"/>
      <c r="G395" s="51" t="n"/>
      <c r="H395" s="51" t="n"/>
      <c r="I395" s="51" t="n"/>
      <c r="J395" s="51" t="n"/>
      <c r="K395" s="51" t="n"/>
      <c r="L395" s="51" t="n"/>
      <c r="M395" s="51" t="n"/>
    </row>
    <row r="396">
      <c r="B396" s="51" t="n"/>
      <c r="C396" s="51" t="n"/>
      <c r="D396" s="51" t="n"/>
      <c r="E396" s="51" t="n"/>
      <c r="F396" s="52" t="n"/>
      <c r="G396" s="51" t="n"/>
      <c r="H396" s="51" t="n"/>
      <c r="I396" s="51" t="n"/>
      <c r="J396" s="51" t="n"/>
      <c r="K396" s="51" t="n"/>
      <c r="L396" s="51" t="n"/>
      <c r="M396" s="51" t="n"/>
    </row>
    <row r="397">
      <c r="B397" s="51" t="n"/>
      <c r="C397" s="51" t="n"/>
      <c r="D397" s="51" t="n"/>
      <c r="E397" s="51" t="n"/>
      <c r="F397" s="52" t="n"/>
      <c r="G397" s="51" t="n"/>
      <c r="H397" s="51" t="n"/>
      <c r="I397" s="51" t="n"/>
      <c r="J397" s="51" t="n"/>
      <c r="K397" s="51" t="n"/>
      <c r="L397" s="51" t="n"/>
      <c r="M397" s="51" t="n"/>
    </row>
    <row r="398">
      <c r="B398" s="51" t="n"/>
      <c r="C398" s="51" t="n"/>
      <c r="D398" s="51" t="n"/>
      <c r="E398" s="51" t="n"/>
      <c r="F398" s="52" t="n"/>
      <c r="G398" s="51" t="n"/>
      <c r="H398" s="51" t="n"/>
      <c r="I398" s="51" t="n"/>
      <c r="J398" s="51" t="n"/>
      <c r="K398" s="51" t="n"/>
      <c r="L398" s="51" t="n"/>
      <c r="M398" s="51" t="n"/>
    </row>
    <row r="399">
      <c r="B399" s="51" t="n"/>
      <c r="C399" s="51" t="n"/>
      <c r="D399" s="51" t="n"/>
      <c r="E399" s="51" t="n"/>
      <c r="F399" s="52" t="n"/>
      <c r="G399" s="51" t="n"/>
      <c r="H399" s="51" t="n"/>
      <c r="I399" s="51" t="n"/>
      <c r="J399" s="51" t="n"/>
      <c r="K399" s="51" t="n"/>
      <c r="L399" s="51" t="n"/>
      <c r="M399" s="51" t="n"/>
    </row>
    <row r="400">
      <c r="B400" s="51" t="n"/>
      <c r="C400" s="51" t="n"/>
      <c r="D400" s="51" t="n"/>
      <c r="E400" s="51" t="n"/>
      <c r="F400" s="52" t="n"/>
      <c r="G400" s="51" t="n"/>
      <c r="H400" s="51" t="n"/>
      <c r="I400" s="51" t="n"/>
      <c r="J400" s="51" t="n"/>
      <c r="K400" s="51" t="n"/>
      <c r="L400" s="51" t="n"/>
      <c r="M400" s="51" t="n"/>
    </row>
    <row r="401">
      <c r="B401" s="51" t="n"/>
      <c r="C401" s="51" t="n"/>
      <c r="D401" s="51" t="n"/>
      <c r="E401" s="51" t="n"/>
      <c r="F401" s="52" t="n"/>
      <c r="G401" s="51" t="n"/>
      <c r="H401" s="51" t="n"/>
      <c r="I401" s="51" t="n"/>
      <c r="J401" s="51" t="n"/>
      <c r="K401" s="51" t="n"/>
      <c r="L401" s="51" t="n"/>
      <c r="M401" s="51" t="n"/>
    </row>
    <row r="402">
      <c r="B402" s="51" t="n"/>
      <c r="C402" s="51" t="n"/>
      <c r="D402" s="51" t="n"/>
      <c r="E402" s="51" t="n"/>
      <c r="F402" s="52" t="n"/>
      <c r="G402" s="51" t="n"/>
      <c r="H402" s="51" t="n"/>
      <c r="I402" s="51" t="n"/>
      <c r="J402" s="51" t="n"/>
      <c r="K402" s="51" t="n"/>
      <c r="L402" s="51" t="n"/>
      <c r="M402" s="51" t="n"/>
    </row>
    <row r="403">
      <c r="B403" s="51" t="n"/>
      <c r="C403" s="51" t="n"/>
      <c r="D403" s="51" t="n"/>
      <c r="E403" s="51" t="n"/>
      <c r="F403" s="52" t="n"/>
      <c r="G403" s="51" t="n"/>
      <c r="H403" s="51" t="n"/>
      <c r="I403" s="51" t="n"/>
      <c r="J403" s="51" t="n"/>
      <c r="K403" s="51" t="n"/>
      <c r="L403" s="51" t="n"/>
      <c r="M403" s="51" t="n"/>
    </row>
    <row r="404">
      <c r="B404" s="51" t="n"/>
      <c r="C404" s="51" t="n"/>
      <c r="D404" s="51" t="n"/>
      <c r="E404" s="51" t="n"/>
      <c r="F404" s="52" t="n"/>
      <c r="G404" s="51" t="n"/>
      <c r="H404" s="51" t="n"/>
      <c r="I404" s="51" t="n"/>
      <c r="J404" s="51" t="n"/>
      <c r="K404" s="51" t="n"/>
      <c r="L404" s="51" t="n"/>
      <c r="M404" s="51" t="n"/>
    </row>
    <row r="405">
      <c r="B405" s="51" t="n"/>
      <c r="C405" s="51" t="n"/>
      <c r="D405" s="51" t="n"/>
      <c r="E405" s="51" t="n"/>
      <c r="F405" s="52" t="n"/>
      <c r="G405" s="51" t="n"/>
      <c r="H405" s="51" t="n"/>
      <c r="I405" s="51" t="n"/>
      <c r="J405" s="51" t="n"/>
      <c r="K405" s="51" t="n"/>
      <c r="L405" s="51" t="n"/>
      <c r="M405" s="51" t="n"/>
    </row>
    <row r="406">
      <c r="B406" s="51" t="n"/>
      <c r="C406" s="51" t="n"/>
      <c r="D406" s="51" t="n"/>
      <c r="E406" s="51" t="n"/>
      <c r="F406" s="52" t="n"/>
      <c r="G406" s="51" t="n"/>
      <c r="H406" s="51" t="n"/>
      <c r="I406" s="51" t="n"/>
      <c r="J406" s="51" t="n"/>
      <c r="K406" s="51" t="n"/>
      <c r="L406" s="51" t="n"/>
      <c r="M406" s="51" t="n"/>
    </row>
    <row r="407">
      <c r="B407" s="51" t="n"/>
      <c r="C407" s="51" t="n"/>
      <c r="D407" s="51" t="n"/>
      <c r="E407" s="51" t="n"/>
      <c r="F407" s="52" t="n"/>
      <c r="G407" s="51" t="n"/>
      <c r="H407" s="51" t="n"/>
      <c r="I407" s="51" t="n"/>
      <c r="J407" s="51" t="n"/>
      <c r="K407" s="51" t="n"/>
      <c r="L407" s="51" t="n"/>
      <c r="M407" s="51" t="n"/>
    </row>
    <row r="408">
      <c r="B408" s="51" t="n"/>
      <c r="C408" s="51" t="n"/>
      <c r="D408" s="51" t="n"/>
      <c r="E408" s="51" t="n"/>
      <c r="F408" s="52" t="n"/>
      <c r="G408" s="51" t="n"/>
      <c r="H408" s="51" t="n"/>
      <c r="I408" s="51" t="n"/>
      <c r="J408" s="51" t="n"/>
      <c r="K408" s="51" t="n"/>
      <c r="L408" s="51" t="n"/>
      <c r="M408" s="51" t="n"/>
    </row>
    <row r="409">
      <c r="B409" s="51" t="n"/>
      <c r="C409" s="51" t="n"/>
      <c r="D409" s="51" t="n"/>
      <c r="E409" s="51" t="n"/>
      <c r="F409" s="52" t="n"/>
      <c r="G409" s="51" t="n"/>
      <c r="H409" s="51" t="n"/>
      <c r="I409" s="51" t="n"/>
      <c r="J409" s="51" t="n"/>
      <c r="K409" s="51" t="n"/>
      <c r="L409" s="51" t="n"/>
      <c r="M409" s="51" t="n"/>
    </row>
    <row r="410">
      <c r="B410" s="51" t="n"/>
      <c r="C410" s="51" t="n"/>
      <c r="D410" s="51" t="n"/>
      <c r="E410" s="51" t="n"/>
      <c r="F410" s="52" t="n"/>
      <c r="G410" s="51" t="n"/>
      <c r="H410" s="51" t="n"/>
      <c r="I410" s="51" t="n"/>
      <c r="J410" s="51" t="n"/>
      <c r="K410" s="51" t="n"/>
      <c r="L410" s="51" t="n"/>
      <c r="M410" s="51" t="n"/>
    </row>
    <row r="411">
      <c r="B411" s="51" t="n"/>
      <c r="C411" s="51" t="n"/>
      <c r="D411" s="51" t="n"/>
      <c r="E411" s="51" t="n"/>
      <c r="F411" s="52" t="n"/>
      <c r="G411" s="51" t="n"/>
      <c r="H411" s="51" t="n"/>
      <c r="I411" s="51" t="n"/>
      <c r="J411" s="51" t="n"/>
      <c r="K411" s="51" t="n"/>
      <c r="L411" s="51" t="n"/>
      <c r="M411" s="51" t="n"/>
    </row>
    <row r="412">
      <c r="B412" s="51" t="n"/>
      <c r="C412" s="51" t="n"/>
      <c r="D412" s="51" t="n"/>
      <c r="E412" s="51" t="n"/>
      <c r="F412" s="52" t="n"/>
      <c r="G412" s="51" t="n"/>
      <c r="H412" s="51" t="n"/>
      <c r="I412" s="51" t="n"/>
      <c r="J412" s="51" t="n"/>
      <c r="K412" s="51" t="n"/>
      <c r="L412" s="51" t="n"/>
      <c r="M412" s="51" t="n"/>
    </row>
    <row r="413">
      <c r="B413" s="51" t="n"/>
      <c r="C413" s="51" t="n"/>
      <c r="D413" s="51" t="n"/>
      <c r="E413" s="51" t="n"/>
      <c r="F413" s="52" t="n"/>
      <c r="G413" s="51" t="n"/>
      <c r="H413" s="51" t="n"/>
      <c r="I413" s="51" t="n"/>
      <c r="J413" s="51" t="n"/>
      <c r="K413" s="51" t="n"/>
      <c r="L413" s="51" t="n"/>
      <c r="M413" s="51" t="n"/>
    </row>
    <row r="414">
      <c r="B414" s="51" t="n"/>
      <c r="C414" s="51" t="n"/>
      <c r="D414" s="51" t="n"/>
      <c r="E414" s="51" t="n"/>
      <c r="F414" s="52" t="n"/>
      <c r="G414" s="51" t="n"/>
      <c r="H414" s="51" t="n"/>
      <c r="I414" s="51" t="n"/>
      <c r="J414" s="51" t="n"/>
      <c r="K414" s="51" t="n"/>
      <c r="L414" s="51" t="n"/>
      <c r="M414" s="51" t="n"/>
    </row>
    <row r="415">
      <c r="B415" s="51" t="n"/>
      <c r="C415" s="51" t="n"/>
      <c r="D415" s="51" t="n"/>
      <c r="E415" s="51" t="n"/>
      <c r="F415" s="52" t="n"/>
      <c r="G415" s="51" t="n"/>
      <c r="H415" s="51" t="n"/>
      <c r="I415" s="51" t="n"/>
      <c r="J415" s="51" t="n"/>
      <c r="K415" s="51" t="n"/>
      <c r="L415" s="51" t="n"/>
      <c r="M415" s="51" t="n"/>
    </row>
    <row r="416">
      <c r="B416" s="51" t="n"/>
      <c r="C416" s="51" t="n"/>
      <c r="D416" s="51" t="n"/>
      <c r="E416" s="51" t="n"/>
      <c r="F416" s="52" t="n"/>
      <c r="G416" s="51" t="n"/>
      <c r="H416" s="51" t="n"/>
      <c r="I416" s="51" t="n"/>
      <c r="J416" s="51" t="n"/>
      <c r="K416" s="51" t="n"/>
      <c r="L416" s="51" t="n"/>
      <c r="M416" s="51" t="n"/>
    </row>
    <row r="417">
      <c r="B417" s="51" t="n"/>
      <c r="C417" s="51" t="n"/>
      <c r="D417" s="51" t="n"/>
      <c r="E417" s="51" t="n"/>
      <c r="F417" s="52" t="n"/>
      <c r="G417" s="51" t="n"/>
      <c r="H417" s="51" t="n"/>
      <c r="I417" s="51" t="n"/>
      <c r="J417" s="51" t="n"/>
      <c r="K417" s="51" t="n"/>
      <c r="L417" s="51" t="n"/>
      <c r="M417" s="51" t="n"/>
    </row>
    <row r="418">
      <c r="B418" s="51" t="n"/>
      <c r="C418" s="51" t="n"/>
      <c r="D418" s="51" t="n"/>
      <c r="E418" s="51" t="n"/>
      <c r="F418" s="52" t="n"/>
      <c r="G418" s="51" t="n"/>
      <c r="H418" s="51" t="n"/>
      <c r="I418" s="51" t="n"/>
      <c r="J418" s="51" t="n"/>
      <c r="K418" s="51" t="n"/>
      <c r="L418" s="51" t="n"/>
      <c r="M418" s="51" t="n"/>
    </row>
    <row r="419">
      <c r="B419" s="51" t="n"/>
      <c r="C419" s="51" t="n"/>
      <c r="D419" s="51" t="n"/>
      <c r="E419" s="51" t="n"/>
      <c r="F419" s="52" t="n"/>
      <c r="G419" s="51" t="n"/>
      <c r="H419" s="51" t="n"/>
      <c r="I419" s="51" t="n"/>
      <c r="J419" s="51" t="n"/>
      <c r="K419" s="51" t="n"/>
      <c r="L419" s="51" t="n"/>
      <c r="M419" s="51" t="n"/>
    </row>
    <row r="420">
      <c r="B420" s="51" t="n"/>
      <c r="C420" s="51" t="n"/>
      <c r="D420" s="51" t="n"/>
      <c r="E420" s="51" t="n"/>
      <c r="F420" s="52" t="n"/>
      <c r="G420" s="51" t="n"/>
      <c r="H420" s="51" t="n"/>
      <c r="I420" s="51" t="n"/>
      <c r="J420" s="51" t="n"/>
      <c r="K420" s="51" t="n"/>
      <c r="L420" s="51" t="n"/>
      <c r="M420" s="51" t="n"/>
    </row>
    <row r="421">
      <c r="B421" s="51" t="n"/>
      <c r="C421" s="51" t="n"/>
      <c r="D421" s="51" t="n"/>
      <c r="E421" s="51" t="n"/>
      <c r="F421" s="52" t="n"/>
      <c r="G421" s="51" t="n"/>
      <c r="H421" s="51" t="n"/>
      <c r="I421" s="51" t="n"/>
      <c r="J421" s="51" t="n"/>
      <c r="K421" s="51" t="n"/>
      <c r="L421" s="51" t="n"/>
      <c r="M421" s="51" t="n"/>
    </row>
    <row r="422">
      <c r="B422" s="51" t="n"/>
      <c r="C422" s="51" t="n"/>
      <c r="D422" s="51" t="n"/>
      <c r="E422" s="51" t="n"/>
      <c r="F422" s="52" t="n"/>
      <c r="G422" s="51" t="n"/>
      <c r="H422" s="51" t="n"/>
      <c r="I422" s="51" t="n"/>
      <c r="J422" s="51" t="n"/>
      <c r="K422" s="51" t="n"/>
      <c r="L422" s="51" t="n"/>
      <c r="M422" s="51" t="n"/>
    </row>
    <row r="423">
      <c r="B423" s="51" t="n"/>
      <c r="C423" s="51" t="n"/>
      <c r="D423" s="51" t="n"/>
      <c r="E423" s="51" t="n"/>
      <c r="F423" s="52" t="n"/>
      <c r="G423" s="51" t="n"/>
      <c r="H423" s="51" t="n"/>
      <c r="I423" s="51" t="n"/>
      <c r="J423" s="51" t="n"/>
      <c r="K423" s="51" t="n"/>
      <c r="L423" s="51" t="n"/>
      <c r="M423" s="51" t="n"/>
    </row>
    <row r="424">
      <c r="B424" s="51" t="n"/>
      <c r="C424" s="51" t="n"/>
      <c r="D424" s="51" t="n"/>
      <c r="E424" s="51" t="n"/>
      <c r="F424" s="52" t="n"/>
      <c r="G424" s="51" t="n"/>
      <c r="H424" s="51" t="n"/>
      <c r="I424" s="51" t="n"/>
      <c r="J424" s="51" t="n"/>
      <c r="K424" s="51" t="n"/>
      <c r="L424" s="51" t="n"/>
      <c r="M424" s="51" t="n"/>
    </row>
    <row r="425">
      <c r="B425" s="51" t="n"/>
      <c r="C425" s="51" t="n"/>
      <c r="D425" s="51" t="n"/>
      <c r="E425" s="51" t="n"/>
      <c r="F425" s="52" t="n"/>
      <c r="G425" s="51" t="n"/>
      <c r="H425" s="51" t="n"/>
      <c r="I425" s="51" t="n"/>
      <c r="J425" s="51" t="n"/>
      <c r="K425" s="51" t="n"/>
      <c r="L425" s="51" t="n"/>
      <c r="M425" s="51" t="n"/>
    </row>
    <row r="426">
      <c r="B426" s="51" t="n"/>
      <c r="C426" s="51" t="n"/>
      <c r="D426" s="51" t="n"/>
      <c r="E426" s="51" t="n"/>
      <c r="F426" s="52" t="n"/>
      <c r="G426" s="51" t="n"/>
      <c r="H426" s="51" t="n"/>
      <c r="I426" s="51" t="n"/>
      <c r="J426" s="51" t="n"/>
      <c r="K426" s="51" t="n"/>
      <c r="L426" s="51" t="n"/>
      <c r="M426" s="51" t="n"/>
    </row>
    <row r="427">
      <c r="B427" s="51" t="n"/>
      <c r="C427" s="51" t="n"/>
      <c r="D427" s="51" t="n"/>
      <c r="E427" s="51" t="n"/>
      <c r="F427" s="52" t="n"/>
      <c r="G427" s="51" t="n"/>
      <c r="H427" s="51" t="n"/>
      <c r="I427" s="51" t="n"/>
      <c r="J427" s="51" t="n"/>
      <c r="K427" s="51" t="n"/>
      <c r="L427" s="51" t="n"/>
      <c r="M427" s="51" t="n"/>
    </row>
    <row r="428">
      <c r="B428" s="51" t="n"/>
      <c r="C428" s="51" t="n"/>
      <c r="D428" s="51" t="n"/>
      <c r="E428" s="51" t="n"/>
      <c r="F428" s="52" t="n"/>
      <c r="G428" s="51" t="n"/>
      <c r="H428" s="51" t="n"/>
      <c r="I428" s="51" t="n"/>
      <c r="J428" s="51" t="n"/>
      <c r="K428" s="51" t="n"/>
      <c r="L428" s="51" t="n"/>
      <c r="M428" s="51" t="n"/>
    </row>
    <row r="429">
      <c r="B429" s="51" t="n"/>
      <c r="C429" s="51" t="n"/>
      <c r="D429" s="51" t="n"/>
      <c r="E429" s="51" t="n"/>
      <c r="F429" s="52" t="n"/>
      <c r="G429" s="51" t="n"/>
      <c r="H429" s="51" t="n"/>
      <c r="I429" s="51" t="n"/>
      <c r="J429" s="51" t="n"/>
      <c r="K429" s="51" t="n"/>
      <c r="L429" s="51" t="n"/>
      <c r="M429" s="51" t="n"/>
    </row>
    <row r="430">
      <c r="B430" s="51" t="n"/>
      <c r="C430" s="51" t="n"/>
      <c r="D430" s="51" t="n"/>
      <c r="E430" s="51" t="n"/>
      <c r="F430" s="52" t="n"/>
      <c r="G430" s="51" t="n"/>
      <c r="H430" s="51" t="n"/>
      <c r="I430" s="51" t="n"/>
      <c r="J430" s="51" t="n"/>
      <c r="K430" s="51" t="n"/>
      <c r="L430" s="51" t="n"/>
      <c r="M430" s="51" t="n"/>
    </row>
    <row r="431">
      <c r="B431" s="51" t="n"/>
      <c r="C431" s="51" t="n"/>
      <c r="D431" s="51" t="n"/>
      <c r="E431" s="51" t="n"/>
      <c r="F431" s="52" t="n"/>
      <c r="G431" s="51" t="n"/>
      <c r="H431" s="51" t="n"/>
      <c r="I431" s="51" t="n"/>
      <c r="J431" s="51" t="n"/>
      <c r="K431" s="51" t="n"/>
      <c r="L431" s="51" t="n"/>
      <c r="M431" s="51" t="n"/>
    </row>
    <row r="432">
      <c r="B432" s="51" t="n"/>
      <c r="C432" s="51" t="n"/>
      <c r="D432" s="51" t="n"/>
      <c r="E432" s="51" t="n"/>
      <c r="F432" s="52" t="n"/>
      <c r="G432" s="51" t="n"/>
      <c r="H432" s="51" t="n"/>
      <c r="I432" s="51" t="n"/>
      <c r="J432" s="51" t="n"/>
      <c r="K432" s="51" t="n"/>
      <c r="L432" s="51" t="n"/>
      <c r="M432" s="51" t="n"/>
    </row>
    <row r="433">
      <c r="B433" s="51" t="n"/>
      <c r="C433" s="51" t="n"/>
      <c r="D433" s="51" t="n"/>
      <c r="E433" s="51" t="n"/>
      <c r="F433" s="52" t="n"/>
      <c r="G433" s="51" t="n"/>
      <c r="H433" s="51" t="n"/>
      <c r="I433" s="51" t="n"/>
      <c r="J433" s="51" t="n"/>
      <c r="K433" s="51" t="n"/>
      <c r="L433" s="51" t="n"/>
      <c r="M433" s="51" t="n"/>
    </row>
    <row r="434">
      <c r="B434" s="51" t="n"/>
      <c r="C434" s="51" t="n"/>
      <c r="D434" s="51" t="n"/>
      <c r="E434" s="51" t="n"/>
      <c r="F434" s="52" t="n"/>
      <c r="G434" s="51" t="n"/>
      <c r="H434" s="51" t="n"/>
      <c r="I434" s="51" t="n"/>
      <c r="J434" s="51" t="n"/>
      <c r="K434" s="51" t="n"/>
      <c r="L434" s="51" t="n"/>
      <c r="M434" s="51" t="n"/>
    </row>
    <row r="435">
      <c r="B435" s="51" t="n"/>
      <c r="C435" s="51" t="n"/>
      <c r="D435" s="51" t="n"/>
      <c r="E435" s="51" t="n"/>
      <c r="F435" s="52" t="n"/>
      <c r="G435" s="51" t="n"/>
      <c r="H435" s="51" t="n"/>
      <c r="I435" s="51" t="n"/>
      <c r="J435" s="51" t="n"/>
      <c r="K435" s="51" t="n"/>
      <c r="L435" s="51" t="n"/>
      <c r="M435" s="51" t="n"/>
    </row>
    <row r="436">
      <c r="B436" s="51" t="n"/>
      <c r="C436" s="51" t="n"/>
      <c r="D436" s="51" t="n"/>
      <c r="E436" s="51" t="n"/>
      <c r="F436" s="52" t="n"/>
      <c r="G436" s="51" t="n"/>
      <c r="H436" s="51" t="n"/>
      <c r="I436" s="51" t="n"/>
      <c r="J436" s="51" t="n"/>
      <c r="K436" s="51" t="n"/>
      <c r="L436" s="51" t="n"/>
      <c r="M436" s="51" t="n"/>
    </row>
    <row r="437">
      <c r="B437" s="51" t="n"/>
      <c r="C437" s="51" t="n"/>
      <c r="D437" s="51" t="n"/>
      <c r="E437" s="51" t="n"/>
      <c r="F437" s="52" t="n"/>
      <c r="G437" s="51" t="n"/>
      <c r="H437" s="51" t="n"/>
      <c r="I437" s="51" t="n"/>
      <c r="J437" s="51" t="n"/>
      <c r="K437" s="51" t="n"/>
      <c r="L437" s="51" t="n"/>
      <c r="M437" s="51" t="n"/>
    </row>
    <row r="438">
      <c r="B438" s="51" t="n"/>
      <c r="C438" s="51" t="n"/>
      <c r="D438" s="51" t="n"/>
      <c r="E438" s="51" t="n"/>
      <c r="F438" s="52" t="n"/>
      <c r="G438" s="51" t="n"/>
      <c r="H438" s="51" t="n"/>
      <c r="I438" s="51" t="n"/>
      <c r="J438" s="51" t="n"/>
      <c r="K438" s="51" t="n"/>
      <c r="L438" s="51" t="n"/>
      <c r="M438" s="51" t="n"/>
    </row>
    <row r="439">
      <c r="B439" s="51" t="n"/>
      <c r="C439" s="51" t="n"/>
      <c r="D439" s="51" t="n"/>
      <c r="E439" s="51" t="n"/>
      <c r="F439" s="52" t="n"/>
      <c r="G439" s="51" t="n"/>
      <c r="H439" s="51" t="n"/>
      <c r="I439" s="51" t="n"/>
      <c r="J439" s="51" t="n"/>
      <c r="K439" s="51" t="n"/>
      <c r="L439" s="51" t="n"/>
      <c r="M439" s="51" t="n"/>
    </row>
    <row r="440">
      <c r="B440" s="51" t="n"/>
      <c r="C440" s="51" t="n"/>
      <c r="D440" s="51" t="n"/>
      <c r="E440" s="51" t="n"/>
      <c r="F440" s="52" t="n"/>
      <c r="G440" s="51" t="n"/>
      <c r="H440" s="51" t="n"/>
      <c r="I440" s="51" t="n"/>
      <c r="J440" s="51" t="n"/>
      <c r="K440" s="51" t="n"/>
      <c r="L440" s="51" t="n"/>
      <c r="M440" s="51" t="n"/>
    </row>
    <row r="441">
      <c r="B441" s="51" t="n"/>
      <c r="C441" s="51" t="n"/>
      <c r="D441" s="51" t="n"/>
      <c r="E441" s="51" t="n"/>
      <c r="F441" s="52" t="n"/>
      <c r="G441" s="51" t="n"/>
      <c r="H441" s="51" t="n"/>
      <c r="I441" s="51" t="n"/>
      <c r="J441" s="51" t="n"/>
      <c r="K441" s="51" t="n"/>
      <c r="L441" s="51" t="n"/>
      <c r="M441" s="51" t="n"/>
    </row>
    <row r="442">
      <c r="B442" s="51" t="n"/>
      <c r="C442" s="51" t="n"/>
      <c r="D442" s="51" t="n"/>
      <c r="E442" s="51" t="n"/>
      <c r="F442" s="52" t="n"/>
      <c r="G442" s="51" t="n"/>
      <c r="H442" s="51" t="n"/>
      <c r="I442" s="51" t="n"/>
      <c r="J442" s="51" t="n"/>
      <c r="K442" s="51" t="n"/>
      <c r="L442" s="51" t="n"/>
      <c r="M442" s="51" t="n"/>
    </row>
    <row r="443">
      <c r="B443" s="51" t="n"/>
      <c r="C443" s="51" t="n"/>
      <c r="D443" s="51" t="n"/>
      <c r="E443" s="51" t="n"/>
      <c r="F443" s="52" t="n"/>
      <c r="G443" s="51" t="n"/>
      <c r="H443" s="51" t="n"/>
      <c r="I443" s="51" t="n"/>
      <c r="J443" s="51" t="n"/>
      <c r="K443" s="51" t="n"/>
      <c r="L443" s="51" t="n"/>
      <c r="M443" s="51" t="n"/>
    </row>
    <row r="444">
      <c r="B444" s="51" t="n"/>
      <c r="C444" s="51" t="n"/>
      <c r="D444" s="51" t="n"/>
      <c r="E444" s="51" t="n"/>
      <c r="F444" s="52" t="n"/>
      <c r="G444" s="51" t="n"/>
      <c r="H444" s="51" t="n"/>
      <c r="I444" s="51" t="n"/>
      <c r="J444" s="51" t="n"/>
      <c r="K444" s="51" t="n"/>
      <c r="L444" s="51" t="n"/>
      <c r="M444" s="51" t="n"/>
    </row>
    <row r="445">
      <c r="B445" s="51" t="n"/>
      <c r="C445" s="51" t="n"/>
      <c r="D445" s="51" t="n"/>
      <c r="E445" s="51" t="n"/>
      <c r="F445" s="52" t="n"/>
      <c r="G445" s="51" t="n"/>
      <c r="H445" s="51" t="n"/>
      <c r="I445" s="51" t="n"/>
      <c r="J445" s="51" t="n"/>
      <c r="K445" s="51" t="n"/>
      <c r="L445" s="51" t="n"/>
      <c r="M445" s="51" t="n"/>
    </row>
    <row r="446">
      <c r="B446" s="51" t="n"/>
      <c r="C446" s="51" t="n"/>
      <c r="D446" s="51" t="n"/>
      <c r="E446" s="51" t="n"/>
      <c r="F446" s="52" t="n"/>
      <c r="G446" s="51" t="n"/>
      <c r="H446" s="51" t="n"/>
      <c r="I446" s="51" t="n"/>
      <c r="J446" s="51" t="n"/>
      <c r="K446" s="51" t="n"/>
      <c r="L446" s="51" t="n"/>
      <c r="M446" s="51" t="n"/>
    </row>
    <row r="447">
      <c r="B447" s="51" t="n"/>
      <c r="C447" s="51" t="n"/>
      <c r="D447" s="51" t="n"/>
      <c r="E447" s="51" t="n"/>
      <c r="F447" s="52" t="n"/>
      <c r="G447" s="51" t="n"/>
      <c r="H447" s="51" t="n"/>
      <c r="I447" s="51" t="n"/>
      <c r="J447" s="51" t="n"/>
      <c r="K447" s="51" t="n"/>
      <c r="L447" s="51" t="n"/>
      <c r="M447" s="51" t="n"/>
    </row>
    <row r="448">
      <c r="B448" s="51" t="n"/>
      <c r="C448" s="51" t="n"/>
      <c r="D448" s="51" t="n"/>
      <c r="E448" s="51" t="n"/>
      <c r="F448" s="52" t="n"/>
      <c r="G448" s="51" t="n"/>
      <c r="H448" s="51" t="n"/>
      <c r="I448" s="51" t="n"/>
      <c r="J448" s="51" t="n"/>
      <c r="K448" s="51" t="n"/>
      <c r="L448" s="51" t="n"/>
      <c r="M448" s="51" t="n"/>
    </row>
    <row r="449">
      <c r="B449" s="51" t="n"/>
      <c r="C449" s="51" t="n"/>
      <c r="D449" s="51" t="n"/>
      <c r="E449" s="51" t="n"/>
      <c r="F449" s="52" t="n"/>
      <c r="G449" s="51" t="n"/>
      <c r="H449" s="51" t="n"/>
      <c r="I449" s="51" t="n"/>
      <c r="J449" s="51" t="n"/>
      <c r="K449" s="51" t="n"/>
      <c r="L449" s="51" t="n"/>
      <c r="M449" s="51" t="n"/>
    </row>
    <row r="450">
      <c r="B450" s="51" t="n"/>
      <c r="C450" s="51" t="n"/>
      <c r="D450" s="51" t="n"/>
      <c r="E450" s="51" t="n"/>
      <c r="F450" s="52" t="n"/>
      <c r="G450" s="51" t="n"/>
      <c r="H450" s="51" t="n"/>
      <c r="I450" s="51" t="n"/>
      <c r="J450" s="51" t="n"/>
      <c r="K450" s="51" t="n"/>
      <c r="L450" s="51" t="n"/>
      <c r="M450" s="51" t="n"/>
    </row>
    <row r="451">
      <c r="B451" s="51" t="n"/>
      <c r="C451" s="51" t="n"/>
      <c r="D451" s="51" t="n"/>
      <c r="E451" s="51" t="n"/>
      <c r="F451" s="52" t="n"/>
      <c r="G451" s="51" t="n"/>
      <c r="H451" s="51" t="n"/>
      <c r="I451" s="51" t="n"/>
      <c r="J451" s="51" t="n"/>
      <c r="K451" s="51" t="n"/>
      <c r="L451" s="51" t="n"/>
      <c r="M451" s="51" t="n"/>
    </row>
    <row r="452">
      <c r="B452" s="51" t="n"/>
      <c r="C452" s="51" t="n"/>
      <c r="D452" s="51" t="n"/>
      <c r="E452" s="51" t="n"/>
      <c r="F452" s="52" t="n"/>
      <c r="G452" s="51" t="n"/>
      <c r="H452" s="51" t="n"/>
      <c r="I452" s="51" t="n"/>
      <c r="J452" s="51" t="n"/>
      <c r="K452" s="51" t="n"/>
      <c r="L452" s="51" t="n"/>
      <c r="M452" s="51" t="n"/>
    </row>
    <row r="453">
      <c r="B453" s="51" t="n"/>
      <c r="C453" s="51" t="n"/>
      <c r="D453" s="51" t="n"/>
      <c r="E453" s="51" t="n"/>
      <c r="F453" s="52" t="n"/>
      <c r="G453" s="51" t="n"/>
      <c r="H453" s="51" t="n"/>
      <c r="I453" s="51" t="n"/>
      <c r="J453" s="51" t="n"/>
      <c r="K453" s="51" t="n"/>
      <c r="L453" s="51" t="n"/>
      <c r="M453" s="51" t="n"/>
    </row>
    <row r="454">
      <c r="B454" s="51" t="n"/>
      <c r="C454" s="51" t="n"/>
      <c r="D454" s="51" t="n"/>
      <c r="E454" s="51" t="n"/>
      <c r="F454" s="52" t="n"/>
      <c r="G454" s="51" t="n"/>
      <c r="H454" s="51" t="n"/>
      <c r="I454" s="51" t="n"/>
      <c r="J454" s="51" t="n"/>
      <c r="K454" s="51" t="n"/>
      <c r="L454" s="51" t="n"/>
      <c r="M454" s="51" t="n"/>
    </row>
    <row r="455">
      <c r="B455" s="51" t="n"/>
      <c r="C455" s="51" t="n"/>
      <c r="D455" s="51" t="n"/>
      <c r="E455" s="51" t="n"/>
      <c r="F455" s="52" t="n"/>
      <c r="G455" s="51" t="n"/>
      <c r="H455" s="51" t="n"/>
      <c r="I455" s="51" t="n"/>
      <c r="J455" s="51" t="n"/>
      <c r="K455" s="51" t="n"/>
      <c r="L455" s="51" t="n"/>
      <c r="M455" s="51" t="n"/>
    </row>
    <row r="456">
      <c r="B456" s="51" t="n"/>
      <c r="C456" s="51" t="n"/>
      <c r="D456" s="51" t="n"/>
      <c r="E456" s="51" t="n"/>
      <c r="F456" s="52" t="n"/>
      <c r="G456" s="51" t="n"/>
      <c r="H456" s="51" t="n"/>
      <c r="I456" s="51" t="n"/>
      <c r="J456" s="51" t="n"/>
      <c r="K456" s="51" t="n"/>
      <c r="L456" s="51" t="n"/>
      <c r="M456" s="51" t="n"/>
    </row>
    <row r="457">
      <c r="B457" s="51" t="n"/>
      <c r="C457" s="51" t="n"/>
      <c r="D457" s="51" t="n"/>
      <c r="E457" s="51" t="n"/>
      <c r="F457" s="52" t="n"/>
      <c r="G457" s="51" t="n"/>
      <c r="H457" s="51" t="n"/>
      <c r="I457" s="51" t="n"/>
      <c r="J457" s="51" t="n"/>
      <c r="K457" s="51" t="n"/>
      <c r="L457" s="51" t="n"/>
      <c r="M457" s="51" t="n"/>
    </row>
    <row r="458">
      <c r="B458" s="51" t="n"/>
      <c r="C458" s="51" t="n"/>
      <c r="D458" s="51" t="n"/>
      <c r="E458" s="51" t="n"/>
      <c r="F458" s="52" t="n"/>
      <c r="G458" s="51" t="n"/>
      <c r="H458" s="51" t="n"/>
      <c r="I458" s="51" t="n"/>
      <c r="J458" s="51" t="n"/>
      <c r="K458" s="51" t="n"/>
      <c r="L458" s="51" t="n"/>
      <c r="M458" s="51" t="n"/>
    </row>
    <row r="459">
      <c r="B459" s="51" t="n"/>
      <c r="C459" s="51" t="n"/>
      <c r="D459" s="51" t="n"/>
      <c r="E459" s="51" t="n"/>
      <c r="F459" s="52" t="n"/>
      <c r="G459" s="51" t="n"/>
      <c r="H459" s="51" t="n"/>
      <c r="I459" s="51" t="n"/>
      <c r="J459" s="51" t="n"/>
      <c r="K459" s="51" t="n"/>
      <c r="L459" s="51" t="n"/>
      <c r="M459" s="51" t="n"/>
    </row>
    <row r="460">
      <c r="B460" s="51" t="n"/>
      <c r="C460" s="51" t="n"/>
      <c r="D460" s="51" t="n"/>
      <c r="E460" s="51" t="n"/>
      <c r="F460" s="52" t="n"/>
      <c r="G460" s="51" t="n"/>
      <c r="H460" s="51" t="n"/>
      <c r="I460" s="51" t="n"/>
      <c r="J460" s="51" t="n"/>
      <c r="K460" s="51" t="n"/>
      <c r="L460" s="51" t="n"/>
      <c r="M460" s="51" t="n"/>
    </row>
    <row r="461">
      <c r="B461" s="51" t="n"/>
      <c r="C461" s="51" t="n"/>
      <c r="D461" s="51" t="n"/>
      <c r="E461" s="51" t="n"/>
      <c r="F461" s="52" t="n"/>
      <c r="G461" s="51" t="n"/>
      <c r="H461" s="51" t="n"/>
      <c r="I461" s="51" t="n"/>
      <c r="J461" s="51" t="n"/>
      <c r="K461" s="51" t="n"/>
      <c r="L461" s="51" t="n"/>
      <c r="M461" s="51" t="n"/>
    </row>
    <row r="462">
      <c r="B462" s="51" t="n"/>
      <c r="C462" s="51" t="n"/>
      <c r="D462" s="51" t="n"/>
      <c r="E462" s="51" t="n"/>
      <c r="F462" s="52" t="n"/>
      <c r="G462" s="51" t="n"/>
      <c r="H462" s="51" t="n"/>
      <c r="I462" s="51" t="n"/>
      <c r="J462" s="51" t="n"/>
      <c r="K462" s="51" t="n"/>
      <c r="L462" s="51" t="n"/>
      <c r="M462" s="51" t="n"/>
    </row>
    <row r="463">
      <c r="B463" s="51" t="n"/>
      <c r="C463" s="51" t="n"/>
      <c r="D463" s="51" t="n"/>
      <c r="E463" s="51" t="n"/>
      <c r="F463" s="52" t="n"/>
      <c r="G463" s="51" t="n"/>
      <c r="H463" s="51" t="n"/>
      <c r="I463" s="51" t="n"/>
      <c r="J463" s="51" t="n"/>
      <c r="K463" s="51" t="n"/>
      <c r="L463" s="51" t="n"/>
      <c r="M463" s="51" t="n"/>
    </row>
    <row r="464">
      <c r="B464" s="51" t="n"/>
      <c r="C464" s="51" t="n"/>
      <c r="D464" s="51" t="n"/>
      <c r="E464" s="51" t="n"/>
      <c r="F464" s="52" t="n"/>
      <c r="G464" s="51" t="n"/>
      <c r="H464" s="51" t="n"/>
      <c r="I464" s="51" t="n"/>
      <c r="J464" s="51" t="n"/>
      <c r="K464" s="51" t="n"/>
      <c r="L464" s="51" t="n"/>
      <c r="M464" s="51" t="n"/>
    </row>
    <row r="465">
      <c r="B465" s="51" t="n"/>
      <c r="C465" s="51" t="n"/>
      <c r="D465" s="51" t="n"/>
      <c r="E465" s="51" t="n"/>
      <c r="F465" s="52" t="n"/>
      <c r="G465" s="51" t="n"/>
      <c r="H465" s="51" t="n"/>
      <c r="I465" s="51" t="n"/>
      <c r="J465" s="51" t="n"/>
      <c r="K465" s="51" t="n"/>
      <c r="L465" s="51" t="n"/>
      <c r="M465" s="51" t="n"/>
    </row>
    <row r="466">
      <c r="B466" s="51" t="n"/>
      <c r="C466" s="51" t="n"/>
      <c r="D466" s="51" t="n"/>
      <c r="E466" s="51" t="n"/>
      <c r="F466" s="52" t="n"/>
      <c r="G466" s="51" t="n"/>
      <c r="H466" s="51" t="n"/>
      <c r="I466" s="51" t="n"/>
      <c r="J466" s="51" t="n"/>
      <c r="K466" s="51" t="n"/>
      <c r="L466" s="51" t="n"/>
      <c r="M466" s="51" t="n"/>
    </row>
    <row r="467">
      <c r="B467" s="51" t="n"/>
      <c r="C467" s="51" t="n"/>
      <c r="D467" s="51" t="n"/>
      <c r="E467" s="51" t="n"/>
      <c r="F467" s="52" t="n"/>
      <c r="G467" s="51" t="n"/>
      <c r="H467" s="51" t="n"/>
      <c r="I467" s="51" t="n"/>
      <c r="J467" s="51" t="n"/>
      <c r="K467" s="51" t="n"/>
      <c r="L467" s="51" t="n"/>
      <c r="M467" s="51" t="n"/>
    </row>
    <row r="468">
      <c r="B468" s="51" t="n"/>
      <c r="C468" s="51" t="n"/>
      <c r="D468" s="51" t="n"/>
      <c r="E468" s="51" t="n"/>
      <c r="F468" s="52" t="n"/>
      <c r="G468" s="51" t="n"/>
      <c r="H468" s="51" t="n"/>
      <c r="I468" s="51" t="n"/>
      <c r="J468" s="51" t="n"/>
      <c r="K468" s="51" t="n"/>
      <c r="L468" s="51" t="n"/>
      <c r="M468" s="51" t="n"/>
    </row>
    <row r="469">
      <c r="B469" s="51" t="n"/>
      <c r="C469" s="51" t="n"/>
      <c r="D469" s="51" t="n"/>
      <c r="E469" s="51" t="n"/>
      <c r="F469" s="52" t="n"/>
      <c r="G469" s="51" t="n"/>
      <c r="H469" s="51" t="n"/>
      <c r="I469" s="51" t="n"/>
      <c r="J469" s="51" t="n"/>
      <c r="K469" s="51" t="n"/>
      <c r="L469" s="51" t="n"/>
      <c r="M469" s="51" t="n"/>
    </row>
    <row r="470">
      <c r="B470" s="51" t="n"/>
      <c r="C470" s="51" t="n"/>
      <c r="D470" s="51" t="n"/>
      <c r="E470" s="51" t="n"/>
      <c r="F470" s="52" t="n"/>
      <c r="G470" s="51" t="n"/>
      <c r="H470" s="51" t="n"/>
      <c r="I470" s="51" t="n"/>
      <c r="J470" s="51" t="n"/>
      <c r="K470" s="51" t="n"/>
      <c r="L470" s="51" t="n"/>
      <c r="M470" s="51" t="n"/>
    </row>
    <row r="471">
      <c r="B471" s="51" t="n"/>
      <c r="C471" s="51" t="n"/>
      <c r="D471" s="51" t="n"/>
      <c r="E471" s="51" t="n"/>
      <c r="F471" s="52" t="n"/>
      <c r="G471" s="51" t="n"/>
      <c r="H471" s="51" t="n"/>
      <c r="I471" s="51" t="n"/>
      <c r="J471" s="51" t="n"/>
      <c r="K471" s="51" t="n"/>
      <c r="L471" s="51" t="n"/>
      <c r="M471" s="51" t="n"/>
    </row>
    <row r="472">
      <c r="B472" s="51" t="n"/>
      <c r="C472" s="51" t="n"/>
      <c r="D472" s="51" t="n"/>
      <c r="E472" s="51" t="n"/>
      <c r="F472" s="52" t="n"/>
      <c r="G472" s="51" t="n"/>
      <c r="H472" s="51" t="n"/>
      <c r="I472" s="51" t="n"/>
      <c r="J472" s="51" t="n"/>
      <c r="K472" s="51" t="n"/>
      <c r="L472" s="51" t="n"/>
      <c r="M472" s="51" t="n"/>
    </row>
    <row r="473">
      <c r="B473" s="51" t="n"/>
      <c r="C473" s="51" t="n"/>
      <c r="D473" s="51" t="n"/>
      <c r="E473" s="51" t="n"/>
      <c r="F473" s="52" t="n"/>
      <c r="G473" s="51" t="n"/>
      <c r="H473" s="51" t="n"/>
      <c r="I473" s="51" t="n"/>
      <c r="J473" s="51" t="n"/>
      <c r="K473" s="51" t="n"/>
      <c r="L473" s="51" t="n"/>
      <c r="M473" s="51" t="n"/>
    </row>
    <row r="474">
      <c r="B474" s="51" t="n"/>
      <c r="C474" s="51" t="n"/>
      <c r="D474" s="51" t="n"/>
      <c r="E474" s="51" t="n"/>
      <c r="F474" s="52" t="n"/>
      <c r="G474" s="51" t="n"/>
      <c r="H474" s="51" t="n"/>
      <c r="I474" s="51" t="n"/>
      <c r="J474" s="51" t="n"/>
      <c r="K474" s="51" t="n"/>
      <c r="L474" s="51" t="n"/>
      <c r="M474" s="51" t="n"/>
    </row>
    <row r="475">
      <c r="B475" s="51" t="n"/>
      <c r="C475" s="51" t="n"/>
      <c r="D475" s="51" t="n"/>
      <c r="E475" s="51" t="n"/>
      <c r="F475" s="52" t="n"/>
      <c r="G475" s="51" t="n"/>
      <c r="H475" s="51" t="n"/>
      <c r="I475" s="51" t="n"/>
      <c r="J475" s="51" t="n"/>
      <c r="K475" s="51" t="n"/>
      <c r="L475" s="51" t="n"/>
      <c r="M475" s="51" t="n"/>
    </row>
    <row r="476">
      <c r="B476" s="51" t="n"/>
      <c r="C476" s="51" t="n"/>
      <c r="D476" s="51" t="n"/>
      <c r="E476" s="51" t="n"/>
      <c r="F476" s="52" t="n"/>
      <c r="G476" s="51" t="n"/>
      <c r="H476" s="51" t="n"/>
      <c r="I476" s="51" t="n"/>
      <c r="J476" s="51" t="n"/>
      <c r="K476" s="51" t="n"/>
      <c r="L476" s="51" t="n"/>
      <c r="M476" s="51" t="n"/>
    </row>
    <row r="477">
      <c r="B477" s="51" t="n"/>
      <c r="C477" s="51" t="n"/>
      <c r="D477" s="51" t="n"/>
      <c r="E477" s="51" t="n"/>
      <c r="F477" s="52" t="n"/>
      <c r="G477" s="51" t="n"/>
      <c r="H477" s="51" t="n"/>
      <c r="I477" s="51" t="n"/>
      <c r="J477" s="51" t="n"/>
      <c r="K477" s="51" t="n"/>
      <c r="L477" s="51" t="n"/>
      <c r="M477" s="51" t="n"/>
    </row>
    <row r="478">
      <c r="B478" s="51" t="n"/>
      <c r="C478" s="51" t="n"/>
      <c r="D478" s="51" t="n"/>
      <c r="E478" s="51" t="n"/>
      <c r="F478" s="52" t="n"/>
      <c r="G478" s="51" t="n"/>
      <c r="H478" s="51" t="n"/>
      <c r="I478" s="51" t="n"/>
      <c r="J478" s="51" t="n"/>
      <c r="K478" s="51" t="n"/>
      <c r="L478" s="51" t="n"/>
      <c r="M478" s="51" t="n"/>
    </row>
    <row r="479">
      <c r="B479" s="51" t="n"/>
      <c r="C479" s="51" t="n"/>
      <c r="D479" s="51" t="n"/>
      <c r="E479" s="51" t="n"/>
      <c r="F479" s="52" t="n"/>
      <c r="G479" s="51" t="n"/>
      <c r="H479" s="51" t="n"/>
      <c r="I479" s="51" t="n"/>
      <c r="J479" s="51" t="n"/>
      <c r="K479" s="51" t="n"/>
      <c r="L479" s="51" t="n"/>
      <c r="M479" s="51" t="n"/>
    </row>
    <row r="480">
      <c r="B480" s="51" t="n"/>
      <c r="C480" s="51" t="n"/>
      <c r="D480" s="51" t="n"/>
      <c r="E480" s="51" t="n"/>
      <c r="F480" s="52" t="n"/>
      <c r="G480" s="51" t="n"/>
      <c r="H480" s="51" t="n"/>
      <c r="I480" s="51" t="n"/>
      <c r="J480" s="51" t="n"/>
      <c r="K480" s="51" t="n"/>
      <c r="L480" s="51" t="n"/>
      <c r="M480" s="51" t="n"/>
    </row>
    <row r="481">
      <c r="B481" s="51" t="n"/>
      <c r="C481" s="51" t="n"/>
      <c r="D481" s="51" t="n"/>
      <c r="E481" s="51" t="n"/>
      <c r="F481" s="52" t="n"/>
      <c r="G481" s="51" t="n"/>
      <c r="H481" s="51" t="n"/>
      <c r="I481" s="51" t="n"/>
      <c r="J481" s="51" t="n"/>
      <c r="K481" s="51" t="n"/>
      <c r="L481" s="51" t="n"/>
      <c r="M481" s="51" t="n"/>
    </row>
    <row r="482">
      <c r="B482" s="51" t="n"/>
      <c r="C482" s="51" t="n"/>
      <c r="D482" s="51" t="n"/>
      <c r="E482" s="51" t="n"/>
      <c r="F482" s="52" t="n"/>
      <c r="G482" s="51" t="n"/>
      <c r="H482" s="51" t="n"/>
      <c r="I482" s="51" t="n"/>
      <c r="J482" s="51" t="n"/>
      <c r="K482" s="51" t="n"/>
      <c r="L482" s="51" t="n"/>
      <c r="M482" s="51" t="n"/>
    </row>
    <row r="483">
      <c r="B483" s="51" t="n"/>
      <c r="C483" s="51" t="n"/>
      <c r="D483" s="51" t="n"/>
      <c r="E483" s="51" t="n"/>
      <c r="F483" s="52" t="n"/>
      <c r="G483" s="51" t="n"/>
      <c r="H483" s="51" t="n"/>
      <c r="I483" s="51" t="n"/>
      <c r="J483" s="51" t="n"/>
      <c r="K483" s="51" t="n"/>
      <c r="L483" s="51" t="n"/>
      <c r="M483" s="51" t="n"/>
    </row>
    <row r="484">
      <c r="B484" s="51" t="n"/>
      <c r="C484" s="51" t="n"/>
      <c r="D484" s="51" t="n"/>
      <c r="E484" s="51" t="n"/>
      <c r="F484" s="52" t="n"/>
      <c r="G484" s="51" t="n"/>
      <c r="H484" s="51" t="n"/>
      <c r="I484" s="51" t="n"/>
      <c r="J484" s="51" t="n"/>
      <c r="K484" s="51" t="n"/>
      <c r="L484" s="51" t="n"/>
      <c r="M484" s="51" t="n"/>
    </row>
    <row r="485">
      <c r="B485" s="51" t="n"/>
      <c r="C485" s="51" t="n"/>
      <c r="D485" s="51" t="n"/>
      <c r="E485" s="51" t="n"/>
      <c r="F485" s="52" t="n"/>
      <c r="G485" s="51" t="n"/>
      <c r="H485" s="51" t="n"/>
      <c r="I485" s="51" t="n"/>
      <c r="J485" s="51" t="n"/>
      <c r="K485" s="51" t="n"/>
      <c r="L485" s="51" t="n"/>
      <c r="M485" s="51" t="n"/>
    </row>
    <row r="486">
      <c r="B486" s="51" t="n"/>
      <c r="C486" s="51" t="n"/>
      <c r="D486" s="51" t="n"/>
      <c r="E486" s="51" t="n"/>
      <c r="F486" s="52" t="n"/>
      <c r="G486" s="51" t="n"/>
      <c r="H486" s="51" t="n"/>
      <c r="I486" s="51" t="n"/>
      <c r="J486" s="51" t="n"/>
      <c r="K486" s="51" t="n"/>
      <c r="L486" s="51" t="n"/>
      <c r="M486" s="51" t="n"/>
    </row>
    <row r="487">
      <c r="B487" s="51" t="n"/>
      <c r="C487" s="51" t="n"/>
      <c r="D487" s="51" t="n"/>
      <c r="E487" s="51" t="n"/>
      <c r="F487" s="52" t="n"/>
      <c r="G487" s="51" t="n"/>
      <c r="H487" s="51" t="n"/>
      <c r="I487" s="51" t="n"/>
      <c r="J487" s="51" t="n"/>
      <c r="K487" s="51" t="n"/>
      <c r="L487" s="51" t="n"/>
      <c r="M487" s="51" t="n"/>
    </row>
    <row r="488">
      <c r="B488" s="51" t="n"/>
      <c r="C488" s="51" t="n"/>
      <c r="D488" s="51" t="n"/>
      <c r="E488" s="51" t="n"/>
      <c r="F488" s="52" t="n"/>
      <c r="G488" s="51" t="n"/>
      <c r="H488" s="51" t="n"/>
      <c r="I488" s="51" t="n"/>
      <c r="J488" s="51" t="n"/>
      <c r="K488" s="51" t="n"/>
      <c r="L488" s="51" t="n"/>
      <c r="M488" s="51" t="n"/>
    </row>
    <row r="489">
      <c r="B489" s="51" t="n"/>
      <c r="C489" s="51" t="n"/>
      <c r="D489" s="51" t="n"/>
      <c r="E489" s="51" t="n"/>
      <c r="F489" s="52" t="n"/>
      <c r="G489" s="51" t="n"/>
      <c r="H489" s="51" t="n"/>
      <c r="I489" s="51" t="n"/>
      <c r="J489" s="51" t="n"/>
      <c r="K489" s="51" t="n"/>
      <c r="L489" s="51" t="n"/>
      <c r="M489" s="51" t="n"/>
    </row>
    <row r="490">
      <c r="B490" s="51" t="n"/>
      <c r="C490" s="51" t="n"/>
      <c r="D490" s="51" t="n"/>
      <c r="E490" s="51" t="n"/>
      <c r="F490" s="52" t="n"/>
      <c r="G490" s="51" t="n"/>
      <c r="H490" s="51" t="n"/>
      <c r="I490" s="51" t="n"/>
      <c r="J490" s="51" t="n"/>
      <c r="K490" s="51" t="n"/>
      <c r="L490" s="51" t="n"/>
      <c r="M490" s="51" t="n"/>
    </row>
    <row r="491">
      <c r="B491" s="51" t="n"/>
      <c r="C491" s="51" t="n"/>
      <c r="D491" s="51" t="n"/>
      <c r="E491" s="51" t="n"/>
      <c r="F491" s="52" t="n"/>
      <c r="G491" s="51" t="n"/>
      <c r="H491" s="51" t="n"/>
      <c r="I491" s="51" t="n"/>
      <c r="J491" s="51" t="n"/>
      <c r="K491" s="51" t="n"/>
      <c r="L491" s="51" t="n"/>
      <c r="M491" s="51" t="n"/>
    </row>
    <row r="492">
      <c r="B492" s="51" t="n"/>
      <c r="C492" s="51" t="n"/>
      <c r="D492" s="51" t="n"/>
      <c r="E492" s="51" t="n"/>
      <c r="F492" s="52" t="n"/>
      <c r="G492" s="51" t="n"/>
      <c r="H492" s="51" t="n"/>
      <c r="I492" s="51" t="n"/>
      <c r="J492" s="51" t="n"/>
      <c r="K492" s="51" t="n"/>
      <c r="L492" s="51" t="n"/>
      <c r="M492" s="51" t="n"/>
    </row>
    <row r="493">
      <c r="B493" s="51" t="n"/>
      <c r="C493" s="51" t="n"/>
      <c r="D493" s="51" t="n"/>
      <c r="E493" s="51" t="n"/>
      <c r="F493" s="52" t="n"/>
      <c r="G493" s="51" t="n"/>
      <c r="H493" s="51" t="n"/>
      <c r="I493" s="51" t="n"/>
      <c r="J493" s="51" t="n"/>
      <c r="K493" s="51" t="n"/>
      <c r="L493" s="51" t="n"/>
      <c r="M493" s="51" t="n"/>
    </row>
    <row r="494">
      <c r="B494" s="51" t="n"/>
      <c r="C494" s="51" t="n"/>
      <c r="D494" s="51" t="n"/>
      <c r="E494" s="51" t="n"/>
      <c r="F494" s="52" t="n"/>
      <c r="G494" s="51" t="n"/>
      <c r="H494" s="51" t="n"/>
      <c r="I494" s="51" t="n"/>
      <c r="J494" s="51" t="n"/>
      <c r="K494" s="51" t="n"/>
      <c r="L494" s="51" t="n"/>
      <c r="M494" s="51" t="n"/>
    </row>
    <row r="495">
      <c r="B495" s="51" t="n"/>
      <c r="C495" s="51" t="n"/>
      <c r="D495" s="51" t="n"/>
      <c r="E495" s="51" t="n"/>
      <c r="F495" s="52" t="n"/>
      <c r="G495" s="51" t="n"/>
      <c r="H495" s="51" t="n"/>
      <c r="I495" s="51" t="n"/>
      <c r="J495" s="51" t="n"/>
      <c r="K495" s="51" t="n"/>
      <c r="L495" s="51" t="n"/>
      <c r="M495" s="51" t="n"/>
    </row>
    <row r="496">
      <c r="B496" s="51" t="n"/>
      <c r="C496" s="51" t="n"/>
      <c r="D496" s="51" t="n"/>
      <c r="E496" s="51" t="n"/>
      <c r="F496" s="52" t="n"/>
      <c r="G496" s="51" t="n"/>
      <c r="H496" s="51" t="n"/>
      <c r="I496" s="51" t="n"/>
      <c r="J496" s="51" t="n"/>
      <c r="K496" s="51" t="n"/>
      <c r="L496" s="51" t="n"/>
      <c r="M496" s="51" t="n"/>
    </row>
    <row r="497">
      <c r="B497" s="51" t="n"/>
      <c r="C497" s="51" t="n"/>
      <c r="D497" s="51" t="n"/>
      <c r="E497" s="51" t="n"/>
      <c r="F497" s="52" t="n"/>
      <c r="G497" s="51" t="n"/>
      <c r="H497" s="51" t="n"/>
      <c r="I497" s="51" t="n"/>
      <c r="J497" s="51" t="n"/>
      <c r="K497" s="51" t="n"/>
      <c r="L497" s="51" t="n"/>
      <c r="M497" s="51" t="n"/>
    </row>
    <row r="498">
      <c r="B498" s="51" t="n"/>
      <c r="C498" s="51" t="n"/>
      <c r="D498" s="51" t="n"/>
      <c r="E498" s="51" t="n"/>
      <c r="F498" s="52" t="n"/>
      <c r="G498" s="51" t="n"/>
      <c r="H498" s="51" t="n"/>
      <c r="I498" s="51" t="n"/>
      <c r="J498" s="51" t="n"/>
      <c r="K498" s="51" t="n"/>
      <c r="L498" s="51" t="n"/>
      <c r="M498" s="51" t="n"/>
    </row>
    <row r="499">
      <c r="B499" s="51" t="n"/>
      <c r="C499" s="51" t="n"/>
      <c r="D499" s="51" t="n"/>
      <c r="E499" s="51" t="n"/>
      <c r="F499" s="52" t="n"/>
      <c r="G499" s="51" t="n"/>
      <c r="H499" s="51" t="n"/>
      <c r="I499" s="51" t="n"/>
      <c r="J499" s="51" t="n"/>
      <c r="K499" s="51" t="n"/>
      <c r="L499" s="51" t="n"/>
      <c r="M499" s="51" t="n"/>
    </row>
    <row r="500">
      <c r="B500" s="51" t="n"/>
      <c r="C500" s="51" t="n"/>
      <c r="D500" s="51" t="n"/>
      <c r="E500" s="51" t="n"/>
      <c r="F500" s="52" t="n"/>
      <c r="G500" s="51" t="n"/>
      <c r="H500" s="51" t="n"/>
      <c r="I500" s="51" t="n"/>
      <c r="J500" s="51" t="n"/>
      <c r="K500" s="51" t="n"/>
      <c r="L500" s="51" t="n"/>
      <c r="M500" s="51" t="n"/>
    </row>
    <row r="501">
      <c r="B501" s="51" t="n"/>
      <c r="C501" s="51" t="n"/>
      <c r="D501" s="51" t="n"/>
      <c r="E501" s="51" t="n"/>
      <c r="F501" s="52" t="n"/>
      <c r="G501" s="51" t="n"/>
      <c r="H501" s="51" t="n"/>
      <c r="I501" s="51" t="n"/>
      <c r="J501" s="51" t="n"/>
      <c r="K501" s="51" t="n"/>
      <c r="L501" s="51" t="n"/>
      <c r="M501" s="51" t="n"/>
    </row>
    <row r="502">
      <c r="B502" s="51" t="n"/>
      <c r="C502" s="51" t="n"/>
      <c r="D502" s="51" t="n"/>
      <c r="E502" s="51" t="n"/>
      <c r="F502" s="52" t="n"/>
      <c r="G502" s="51" t="n"/>
      <c r="H502" s="51" t="n"/>
      <c r="I502" s="51" t="n"/>
      <c r="J502" s="51" t="n"/>
      <c r="K502" s="51" t="n"/>
      <c r="L502" s="51" t="n"/>
      <c r="M502" s="51" t="n"/>
    </row>
    <row r="503">
      <c r="B503" s="51" t="n"/>
      <c r="C503" s="51" t="n"/>
      <c r="D503" s="51" t="n"/>
      <c r="E503" s="51" t="n"/>
      <c r="F503" s="52" t="n"/>
      <c r="G503" s="51" t="n"/>
      <c r="H503" s="51" t="n"/>
      <c r="I503" s="51" t="n"/>
      <c r="J503" s="51" t="n"/>
      <c r="K503" s="51" t="n"/>
      <c r="L503" s="51" t="n"/>
      <c r="M503" s="51" t="n"/>
    </row>
    <row r="504">
      <c r="B504" s="51" t="n"/>
      <c r="C504" s="51" t="n"/>
      <c r="D504" s="51" t="n"/>
      <c r="E504" s="51" t="n"/>
      <c r="F504" s="52" t="n"/>
      <c r="G504" s="51" t="n"/>
      <c r="H504" s="51" t="n"/>
      <c r="I504" s="51" t="n"/>
      <c r="J504" s="51" t="n"/>
      <c r="K504" s="51" t="n"/>
      <c r="L504" s="51" t="n"/>
      <c r="M504" s="51" t="n"/>
    </row>
    <row r="505">
      <c r="B505" s="51" t="n"/>
      <c r="C505" s="51" t="n"/>
      <c r="D505" s="51" t="n"/>
      <c r="E505" s="51" t="n"/>
      <c r="F505" s="52" t="n"/>
      <c r="G505" s="51" t="n"/>
      <c r="H505" s="51" t="n"/>
      <c r="I505" s="51" t="n"/>
      <c r="J505" s="51" t="n"/>
      <c r="K505" s="51" t="n"/>
      <c r="L505" s="51" t="n"/>
      <c r="M505" s="51" t="n"/>
    </row>
    <row r="506">
      <c r="B506" s="51" t="n"/>
      <c r="C506" s="51" t="n"/>
      <c r="D506" s="51" t="n"/>
      <c r="E506" s="51" t="n"/>
      <c r="F506" s="52" t="n"/>
      <c r="G506" s="51" t="n"/>
      <c r="H506" s="51" t="n"/>
      <c r="I506" s="51" t="n"/>
      <c r="J506" s="51" t="n"/>
      <c r="K506" s="51" t="n"/>
      <c r="L506" s="51" t="n"/>
      <c r="M506" s="51" t="n"/>
    </row>
    <row r="507">
      <c r="B507" s="51" t="n"/>
      <c r="C507" s="51" t="n"/>
      <c r="D507" s="51" t="n"/>
      <c r="E507" s="51" t="n"/>
      <c r="F507" s="52" t="n"/>
      <c r="G507" s="51" t="n"/>
      <c r="H507" s="51" t="n"/>
      <c r="I507" s="51" t="n"/>
      <c r="J507" s="51" t="n"/>
      <c r="K507" s="51" t="n"/>
      <c r="L507" s="51" t="n"/>
      <c r="M507" s="51" t="n"/>
    </row>
    <row r="508">
      <c r="B508" s="51" t="n"/>
      <c r="C508" s="51" t="n"/>
      <c r="D508" s="51" t="n"/>
      <c r="E508" s="51" t="n"/>
      <c r="F508" s="52" t="n"/>
      <c r="G508" s="51" t="n"/>
      <c r="H508" s="51" t="n"/>
      <c r="I508" s="51" t="n"/>
      <c r="J508" s="51" t="n"/>
      <c r="K508" s="51" t="n"/>
      <c r="L508" s="51" t="n"/>
      <c r="M508" s="51" t="n"/>
    </row>
    <row r="509">
      <c r="B509" s="51" t="n"/>
      <c r="C509" s="51" t="n"/>
      <c r="D509" s="51" t="n"/>
      <c r="E509" s="51" t="n"/>
      <c r="F509" s="52" t="n"/>
      <c r="G509" s="51" t="n"/>
      <c r="H509" s="51" t="n"/>
      <c r="I509" s="51" t="n"/>
      <c r="J509" s="51" t="n"/>
      <c r="K509" s="51" t="n"/>
      <c r="L509" s="51" t="n"/>
      <c r="M509" s="51" t="n"/>
    </row>
    <row r="510">
      <c r="B510" s="51" t="n"/>
      <c r="C510" s="51" t="n"/>
      <c r="D510" s="51" t="n"/>
      <c r="E510" s="51" t="n"/>
      <c r="F510" s="52" t="n"/>
      <c r="G510" s="51" t="n"/>
      <c r="H510" s="51" t="n"/>
      <c r="I510" s="51" t="n"/>
      <c r="J510" s="51" t="n"/>
      <c r="K510" s="51" t="n"/>
      <c r="L510" s="51" t="n"/>
      <c r="M510" s="51" t="n"/>
    </row>
    <row r="511">
      <c r="B511" s="51" t="n"/>
      <c r="C511" s="51" t="n"/>
      <c r="D511" s="51" t="n"/>
      <c r="E511" s="51" t="n"/>
      <c r="F511" s="52" t="n"/>
      <c r="G511" s="51" t="n"/>
      <c r="H511" s="51" t="n"/>
      <c r="I511" s="51" t="n"/>
      <c r="J511" s="51" t="n"/>
      <c r="K511" s="51" t="n"/>
      <c r="L511" s="51" t="n"/>
      <c r="M511" s="51" t="n"/>
    </row>
    <row r="512">
      <c r="B512" s="51" t="n"/>
      <c r="C512" s="51" t="n"/>
      <c r="D512" s="51" t="n"/>
      <c r="E512" s="51" t="n"/>
      <c r="F512" s="52" t="n"/>
      <c r="G512" s="51" t="n"/>
      <c r="H512" s="51" t="n"/>
      <c r="I512" s="51" t="n"/>
      <c r="J512" s="51" t="n"/>
      <c r="K512" s="51" t="n"/>
      <c r="L512" s="51" t="n"/>
      <c r="M512" s="51" t="n"/>
    </row>
    <row r="513">
      <c r="B513" s="51" t="n"/>
      <c r="C513" s="51" t="n"/>
      <c r="D513" s="51" t="n"/>
      <c r="E513" s="51" t="n"/>
      <c r="F513" s="52" t="n"/>
      <c r="G513" s="51" t="n"/>
      <c r="H513" s="51" t="n"/>
      <c r="I513" s="51" t="n"/>
      <c r="J513" s="51" t="n"/>
      <c r="K513" s="51" t="n"/>
      <c r="L513" s="51" t="n"/>
      <c r="M513" s="51" t="n"/>
    </row>
    <row r="514">
      <c r="B514" s="51" t="n"/>
      <c r="C514" s="51" t="n"/>
      <c r="D514" s="51" t="n"/>
      <c r="E514" s="51" t="n"/>
      <c r="F514" s="52" t="n"/>
      <c r="G514" s="51" t="n"/>
      <c r="H514" s="51" t="n"/>
      <c r="I514" s="51" t="n"/>
      <c r="J514" s="51" t="n"/>
      <c r="K514" s="51" t="n"/>
      <c r="L514" s="51" t="n"/>
      <c r="M514" s="51" t="n"/>
    </row>
    <row r="515">
      <c r="B515" s="51" t="n"/>
      <c r="C515" s="51" t="n"/>
      <c r="D515" s="51" t="n"/>
      <c r="E515" s="51" t="n"/>
      <c r="F515" s="52" t="n"/>
      <c r="G515" s="51" t="n"/>
      <c r="H515" s="51" t="n"/>
      <c r="I515" s="51" t="n"/>
      <c r="J515" s="51" t="n"/>
      <c r="K515" s="51" t="n"/>
      <c r="L515" s="51" t="n"/>
      <c r="M515" s="51" t="n"/>
    </row>
    <row r="516">
      <c r="B516" s="51" t="n"/>
      <c r="C516" s="51" t="n"/>
      <c r="D516" s="51" t="n"/>
      <c r="E516" s="51" t="n"/>
      <c r="F516" s="52" t="n"/>
      <c r="G516" s="51" t="n"/>
      <c r="H516" s="51" t="n"/>
      <c r="I516" s="51" t="n"/>
      <c r="J516" s="51" t="n"/>
      <c r="K516" s="51" t="n"/>
      <c r="L516" s="51" t="n"/>
      <c r="M516" s="51" t="n"/>
    </row>
    <row r="517">
      <c r="B517" s="51" t="n"/>
      <c r="C517" s="51" t="n"/>
      <c r="D517" s="51" t="n"/>
      <c r="E517" s="51" t="n"/>
      <c r="F517" s="52" t="n"/>
      <c r="G517" s="51" t="n"/>
      <c r="H517" s="51" t="n"/>
      <c r="I517" s="51" t="n"/>
      <c r="J517" s="51" t="n"/>
      <c r="K517" s="51" t="n"/>
      <c r="L517" s="51" t="n"/>
      <c r="M517" s="51" t="n"/>
    </row>
  </sheetData>
  <mergeCells count="7">
    <mergeCell ref="B6:M6"/>
    <mergeCell ref="B7:M7"/>
    <mergeCell ref="B3:M3"/>
    <mergeCell ref="B5:M5"/>
    <mergeCell ref="B10:C10"/>
    <mergeCell ref="B8:M8"/>
    <mergeCell ref="B4:M4"/>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AND(LEN($B17&amp;$C17&amp;$D17&amp;$E17&amp;$F17&amp;$G17&amp;$H17&amp;$I17&amp;$J17&amp;$K17&amp;$L17&amp;$M17)&gt;0,B17="")</formula>
    </cfRule>
  </conditionalFormatting>
  <conditionalFormatting sqref="C17:C517">
    <cfRule type="expression" priority="3" dxfId="6">
      <formula>AND(LEN($B17&amp;$C17&amp;$D17&amp;$E17&amp;$F17&amp;$G17&amp;$H17&amp;$I17&amp;$J17&amp;$K17&amp;$L17&amp;$M17)&gt;0,C17="")</formula>
    </cfRule>
  </conditionalFormatting>
  <conditionalFormatting sqref="F17:F517">
    <cfRule type="expression" priority="4" dxfId="6">
      <formula>AND(LEN($B17&amp;$C17&amp;$D17&amp;$E17&amp;$F17&amp;$G17&amp;$H17&amp;$I17&amp;$J17&amp;$K17&amp;$L17&amp;$M17)&gt;0,F17="")</formula>
    </cfRule>
  </conditionalFormatting>
  <conditionalFormatting sqref="G17:G517">
    <cfRule type="expression" priority="5" dxfId="6">
      <formula>AND(LEN($B17&amp;$C17&amp;$D17&amp;$E17&amp;$F17&amp;$G17&amp;$H17&amp;$I17&amp;$J17&amp;$K17&amp;$L17&amp;$M17)&gt;0,G17="")</formula>
    </cfRule>
  </conditionalFormatting>
  <conditionalFormatting sqref="H17:H517">
    <cfRule type="expression" priority="6" dxfId="6">
      <formula>AND(LEN($B17&amp;$C17&amp;$D17&amp;$E17&amp;$F17&amp;$G17&amp;$H17&amp;$I17&amp;$J17&amp;$K17&amp;$L17&amp;$M17)&gt;0,H17="")</formula>
    </cfRule>
  </conditionalFormatting>
  <dataValidations count="1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At most 10 characters." promptTitle="Branch code" prompt="Yes. Code of the branch; unique Allowed: Free entry, up to 10 characters" type="textLength" operator="lessThanOrEqual">
      <formula1>10</formula1>
    </dataValidation>
    <dataValidation sqref="C17:C517" showDropDown="0" showInputMessage="1" showErrorMessage="1" allowBlank="1" errorTitle="Branch name" error="At most 120 characters." promptTitle="Branch name" prompt="Yes. Name shown on screens and documents Allowed: Free entry, up to 120 characters" type="textLength" operator="lessThanOrEqual">
      <formula1>120</formula1>
    </dataValidation>
    <dataValidation sqref="D17:D517" showDropDown="0" showInputMessage="1" showErrorMessage="0" allowBlank="1" promptTitle="Region" prompt="No. Region of the branch"/>
    <dataValidation sqref="E17:E517" showDropDown="0" showInputMessage="1" showErrorMessage="0" allowBlank="1" promptTitle="Address" prompt="No. Address printed on documents"/>
    <dataValidation sqref="F17:F517" showDropDown="0" showInputMessage="1" showErrorMessage="1" allowBlank="1" errorTitle="Opening date" error="Enter a date, for example 15-Jan-2028." promptTitle="Opening date" prompt="Yes. Date the branch opened Allowed: A date, for example 15-Jan-2028" type="date" operator="greaterThan">
      <formula1>DATE(1900,1,1)</formula1>
    </dataValidation>
    <dataValidation sqref="G17:G517" showDropDown="0" showInputMessage="1" showErrorMessage="1" allowBlank="1" errorTitle="Head office" error="Choose a value of the list Yes or no (sheet Reference lists)." promptTitle="Head office" prompt="Yes. Y for one branch only Allowed: Y or N" type="list" errorStyle="stop">
      <formula1>=LIST_YES_NO</formula1>
    </dataValidation>
    <dataValidation sqref="H17:H517" showDropDown="0" showInputMessage="1" showErrorMessage="1" allowBlank="1" errorTitle="Foreign currency authorised" error="Choose a value of the list Yes or no (sheet Reference lists)." promptTitle="Foreign currency authorised" prompt="Yes. May receive and pay in foreign currency Allowed: Y or N" type="list" errorStyle="stop">
      <formula1>=LIST_YES_NO</formula1>
    </dataValidation>
    <dataValidation sqref="I17:I517" showDropDown="0" showInputMessage="1" showErrorMessage="0" allowBlank="1" promptTitle="Contact phone" prompt="No. Branch telephone"/>
    <dataValidation sqref="J17:J517" showDropDown="0" showInputMessage="1" showErrorMessage="0" allowBlank="1" promptTitle="Contact e-mail" prompt="No. Branch mailbox"/>
    <dataValidation sqref="K17:K517" showDropDown="0" showInputMessage="1" showErrorMessage="0" allowBlank="1" promptTitle="Branch manager" prompt="No. Head of the branch"/>
    <dataValidation sqref="L17:L517" showDropDown="0" showInputMessage="1" showErrorMessage="0" allowBlank="1" promptTitle="Weekly rest days" prompt="No. Days the branch is closed each week"/>
    <dataValidation sqref="M17:M517" showDropDown="0" showInputMessage="1" showErrorMessage="0" allowBlank="1" promptTitle="Legacy branch codes" prompt="No. For the code map BRANCH (R02)"/>
  </dataValidations>
  <hyperlinks>
    <hyperlink ref="A2" location="'Start here'!A1"/>
    <hyperlink ref="M2" location="'Questions and comments'!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27272727272727" customWidth="1" min="3" max="3"/>
    <col width="24" customWidth="1" min="4" max="4"/>
    <col width="12" customWidth="1" min="5" max="5"/>
    <col width="12" customWidth="1" min="6" max="6"/>
    <col width="12" customWidth="1" min="7" max="7"/>
  </cols>
  <sheetData>
    <row r="1" ht="26" customHeight="1">
      <c r="A1" s="27" t="inlineStr">
        <is>
          <t>D0-04 Cost centres and business lines</t>
        </is>
      </c>
      <c r="G1" s="28" t="inlineStr">
        <is>
          <t>Step 2 of 31</t>
        </is>
      </c>
    </row>
    <row r="2">
      <c r="A2" s="29" t="inlineStr">
        <is>
          <t>← Back to Start here</t>
        </is>
      </c>
      <c r="B2" s="30" t="inlineStr">
        <is>
          <t>Step 2 of 31. Fill in one row per record below the column headers; the guide above each column says what to enter.</t>
        </is>
      </c>
      <c r="G2" s="31" t="inlineStr">
        <is>
          <t>Ask a question →</t>
        </is>
      </c>
    </row>
    <row r="3" outlineLevel="1" ht="15.5" customHeight="1">
      <c r="A3" s="32" t="inlineStr">
        <is>
          <t>Purpose</t>
        </is>
      </c>
      <c r="B3" s="33" t="inlineStr">
        <is>
          <t>The values of the dimensions of journal lines</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Dimensions (Setup &amp; Administration); the legacy cost centres are mapped by the code map COST_CENTER</t>
        </is>
      </c>
    </row>
    <row r="7" outlineLevel="1" ht="15.5" customHeight="1">
      <c r="A7" s="32" t="inlineStr">
        <is>
          <t>Source</t>
        </is>
      </c>
      <c r="B7" s="33" t="inlineStr">
        <is>
          <t>Current cost centre list of Comptrollership; the product lines for the business lines</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SUMPRODUCT(((ROW($B$17:$B$517)&gt;17)+($B$17&lt;&gt;"COST_CENTER")&gt;0)*(LEN($B$17:$B$517&amp;$C$17:$C$517&amp;$D$17:$D$517&amp;$E$17:$E$517)&gt;0))</f>
        <v/>
      </c>
      <c r="D9" s="37" t="inlineStr">
        <is>
          <t>Mandatory cells missing</t>
        </is>
      </c>
      <c r="E9" s="38">
        <f>SUMPRODUCT(((ROW($B$17:$B$517)&gt;17)+($B$17&lt;&gt;"COST_CENTER")&gt;0)*(LEN($B$17:$B$517&amp;$C$17:$C$517&amp;$D$17:$D$517&amp;$E$17:$E$517)&gt;0)*(($B$17:$B$517="")+($C$17:$C$517="")+($D$17:$D$517="")+($E$17:$E$517="")))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t>
        </is>
      </c>
      <c r="E12" s="44" t="inlineStr">
        <is>
          <t>Yes</t>
        </is>
      </c>
    </row>
    <row r="13" ht="30" customHeight="1">
      <c r="A13" s="43" t="inlineStr">
        <is>
          <t>Format</t>
        </is>
      </c>
      <c r="B13" s="45" t="inlineStr">
        <is>
          <t>COST_CENTER or BUSINESS_LINE</t>
        </is>
      </c>
      <c r="C13" s="45" t="inlineStr">
        <is>
          <t>Up to 20 capitals or digits</t>
        </is>
      </c>
      <c r="D13" s="45" t="inlineStr">
        <is>
          <t>Up to 120 characters</t>
        </is>
      </c>
      <c r="E13" s="45" t="inlineStr">
        <is>
          <t>Y or N</t>
        </is>
      </c>
    </row>
    <row r="14" ht="43" customHeight="1">
      <c r="A14" s="43" t="inlineStr">
        <is>
          <t>Allowed values</t>
        </is>
      </c>
      <c r="B14" s="53" t="inlineStr">
        <is>
          <t>COST_CENTER, BUSINESS_LINE (list Dimension)</t>
        </is>
      </c>
      <c r="C14" s="45" t="inlineStr">
        <is>
          <t>Free entry, up to 20 characters</t>
        </is>
      </c>
      <c r="D14" s="45" t="inlineStr">
        <is>
          <t>Free entry, up to 120 characters</t>
        </is>
      </c>
      <c r="E14" s="45" t="inlineStr">
        <is>
          <t>Y or N</t>
        </is>
      </c>
    </row>
    <row r="15" ht="43" customHeight="1">
      <c r="A15" s="43" t="inlineStr">
        <is>
          <t>What to enter</t>
        </is>
      </c>
      <c r="B15" s="45" t="inlineStr">
        <is>
          <t>Dimension of the value</t>
        </is>
      </c>
      <c r="C15" s="45" t="inlineStr">
        <is>
          <t>Code of the value</t>
        </is>
      </c>
      <c r="D15" s="45" t="inlineStr">
        <is>
          <t>Name shown on screens and reports</t>
        </is>
      </c>
      <c r="E15" s="45" t="inlineStr">
        <is>
          <t>N keeps the value for history only</t>
        </is>
      </c>
    </row>
    <row r="16" ht="30" customHeight="1">
      <c r="A16" s="46" t="inlineStr">
        <is>
          <t>Row</t>
        </is>
      </c>
      <c r="B16" s="47" t="inlineStr">
        <is>
          <t>Dimension *</t>
        </is>
      </c>
      <c r="C16" s="47" t="inlineStr">
        <is>
          <t>Code *</t>
        </is>
      </c>
      <c r="D16" s="47" t="inlineStr">
        <is>
          <t>Name *</t>
        </is>
      </c>
      <c r="E16" s="47" t="inlineStr">
        <is>
          <t>Active *</t>
        </is>
      </c>
    </row>
    <row r="17" ht="18" customHeight="1">
      <c r="A17" s="48" t="inlineStr">
        <is>
          <t>Example – overwrite or delete</t>
        </is>
      </c>
      <c r="B17" s="49" t="inlineStr">
        <is>
          <t>COST_CENTER</t>
        </is>
      </c>
      <c r="C17" s="49" t="inlineStr">
        <is>
          <t>FIN</t>
        </is>
      </c>
      <c r="D17" s="49" t="inlineStr">
        <is>
          <t>Finance and Accounting</t>
        </is>
      </c>
      <c r="E17" s="49" t="inlineStr">
        <is>
          <t>Y</t>
        </is>
      </c>
    </row>
    <row r="18">
      <c r="B18" s="51" t="n"/>
      <c r="C18" s="51" t="n"/>
      <c r="D18" s="51" t="n"/>
      <c r="E18" s="51" t="n"/>
    </row>
    <row r="19">
      <c r="B19" s="51" t="n"/>
      <c r="C19" s="51" t="n"/>
      <c r="D19" s="51" t="n"/>
      <c r="E19" s="51" t="n"/>
    </row>
    <row r="20">
      <c r="B20" s="51" t="n"/>
      <c r="C20" s="51" t="n"/>
      <c r="D20" s="51" t="n"/>
      <c r="E20" s="51" t="n"/>
    </row>
    <row r="21">
      <c r="B21" s="51" t="n"/>
      <c r="C21" s="51" t="n"/>
      <c r="D21" s="51" t="n"/>
      <c r="E21" s="51" t="n"/>
    </row>
    <row r="22">
      <c r="B22" s="51" t="n"/>
      <c r="C22" s="51" t="n"/>
      <c r="D22" s="51" t="n"/>
      <c r="E22" s="51" t="n"/>
    </row>
    <row r="23">
      <c r="B23" s="51" t="n"/>
      <c r="C23" s="51" t="n"/>
      <c r="D23" s="51" t="n"/>
      <c r="E23" s="51" t="n"/>
    </row>
    <row r="24">
      <c r="B24" s="51" t="n"/>
      <c r="C24" s="51" t="n"/>
      <c r="D24" s="51" t="n"/>
      <c r="E24" s="51" t="n"/>
    </row>
    <row r="25">
      <c r="B25" s="51" t="n"/>
      <c r="C25" s="51" t="n"/>
      <c r="D25" s="51" t="n"/>
      <c r="E25" s="51" t="n"/>
    </row>
    <row r="26">
      <c r="B26" s="51" t="n"/>
      <c r="C26" s="51" t="n"/>
      <c r="D26" s="51" t="n"/>
      <c r="E26" s="51" t="n"/>
    </row>
    <row r="27">
      <c r="B27" s="51" t="n"/>
      <c r="C27" s="51" t="n"/>
      <c r="D27" s="51" t="n"/>
      <c r="E27" s="51" t="n"/>
    </row>
    <row r="28">
      <c r="B28" s="51" t="n"/>
      <c r="C28" s="51" t="n"/>
      <c r="D28" s="51" t="n"/>
      <c r="E28" s="51" t="n"/>
    </row>
    <row r="29">
      <c r="B29" s="51" t="n"/>
      <c r="C29" s="51" t="n"/>
      <c r="D29" s="51" t="n"/>
      <c r="E29" s="51" t="n"/>
    </row>
    <row r="30">
      <c r="B30" s="51" t="n"/>
      <c r="C30" s="51" t="n"/>
      <c r="D30" s="51" t="n"/>
      <c r="E30" s="51" t="n"/>
    </row>
    <row r="31">
      <c r="B31" s="51" t="n"/>
      <c r="C31" s="51" t="n"/>
      <c r="D31" s="51" t="n"/>
      <c r="E31" s="51" t="n"/>
    </row>
    <row r="32">
      <c r="B32" s="51" t="n"/>
      <c r="C32" s="51" t="n"/>
      <c r="D32" s="51" t="n"/>
      <c r="E32" s="51" t="n"/>
    </row>
    <row r="33">
      <c r="B33" s="51" t="n"/>
      <c r="C33" s="51" t="n"/>
      <c r="D33" s="51" t="n"/>
      <c r="E33" s="51" t="n"/>
    </row>
    <row r="34">
      <c r="B34" s="51" t="n"/>
      <c r="C34" s="51" t="n"/>
      <c r="D34" s="51" t="n"/>
      <c r="E34" s="51" t="n"/>
    </row>
    <row r="35">
      <c r="B35" s="51" t="n"/>
      <c r="C35" s="51" t="n"/>
      <c r="D35" s="51" t="n"/>
      <c r="E35" s="51" t="n"/>
    </row>
    <row r="36">
      <c r="B36" s="51" t="n"/>
      <c r="C36" s="51" t="n"/>
      <c r="D36" s="51" t="n"/>
      <c r="E36" s="51" t="n"/>
    </row>
    <row r="37">
      <c r="B37" s="51" t="n"/>
      <c r="C37" s="51" t="n"/>
      <c r="D37" s="51" t="n"/>
      <c r="E37" s="51" t="n"/>
    </row>
    <row r="38">
      <c r="B38" s="51" t="n"/>
      <c r="C38" s="51" t="n"/>
      <c r="D38" s="51" t="n"/>
      <c r="E38" s="51" t="n"/>
    </row>
    <row r="39">
      <c r="B39" s="51" t="n"/>
      <c r="C39" s="51" t="n"/>
      <c r="D39" s="51" t="n"/>
      <c r="E39" s="51" t="n"/>
    </row>
    <row r="40">
      <c r="B40" s="51" t="n"/>
      <c r="C40" s="51" t="n"/>
      <c r="D40" s="51" t="n"/>
      <c r="E40" s="51" t="n"/>
    </row>
    <row r="41">
      <c r="B41" s="51" t="n"/>
      <c r="C41" s="51" t="n"/>
      <c r="D41" s="51" t="n"/>
      <c r="E41" s="51" t="n"/>
    </row>
    <row r="42">
      <c r="B42" s="51" t="n"/>
      <c r="C42" s="51" t="n"/>
      <c r="D42" s="51" t="n"/>
      <c r="E42" s="51" t="n"/>
    </row>
    <row r="43">
      <c r="B43" s="51" t="n"/>
      <c r="C43" s="51" t="n"/>
      <c r="D43" s="51" t="n"/>
      <c r="E43" s="51" t="n"/>
    </row>
    <row r="44">
      <c r="B44" s="51" t="n"/>
      <c r="C44" s="51" t="n"/>
      <c r="D44" s="51" t="n"/>
      <c r="E44" s="51" t="n"/>
    </row>
    <row r="45">
      <c r="B45" s="51" t="n"/>
      <c r="C45" s="51" t="n"/>
      <c r="D45" s="51" t="n"/>
      <c r="E45" s="51" t="n"/>
    </row>
    <row r="46">
      <c r="B46" s="51" t="n"/>
      <c r="C46" s="51" t="n"/>
      <c r="D46" s="51" t="n"/>
      <c r="E46" s="51" t="n"/>
    </row>
    <row r="47">
      <c r="B47" s="51" t="n"/>
      <c r="C47" s="51" t="n"/>
      <c r="D47" s="51" t="n"/>
      <c r="E47" s="51" t="n"/>
    </row>
    <row r="48">
      <c r="B48" s="51" t="n"/>
      <c r="C48" s="51" t="n"/>
      <c r="D48" s="51" t="n"/>
      <c r="E48" s="51" t="n"/>
    </row>
    <row r="49">
      <c r="B49" s="51" t="n"/>
      <c r="C49" s="51" t="n"/>
      <c r="D49" s="51" t="n"/>
      <c r="E49" s="51" t="n"/>
    </row>
    <row r="50">
      <c r="B50" s="51" t="n"/>
      <c r="C50" s="51" t="n"/>
      <c r="D50" s="51" t="n"/>
      <c r="E50" s="51" t="n"/>
    </row>
    <row r="51">
      <c r="B51" s="51" t="n"/>
      <c r="C51" s="51" t="n"/>
      <c r="D51" s="51" t="n"/>
      <c r="E51" s="51" t="n"/>
    </row>
    <row r="52">
      <c r="B52" s="51" t="n"/>
      <c r="C52" s="51" t="n"/>
      <c r="D52" s="51" t="n"/>
      <c r="E52" s="51" t="n"/>
    </row>
    <row r="53">
      <c r="B53" s="51" t="n"/>
      <c r="C53" s="51" t="n"/>
      <c r="D53" s="51" t="n"/>
      <c r="E53" s="51" t="n"/>
    </row>
    <row r="54">
      <c r="B54" s="51" t="n"/>
      <c r="C54" s="51" t="n"/>
      <c r="D54" s="51" t="n"/>
      <c r="E54" s="51" t="n"/>
    </row>
    <row r="55">
      <c r="B55" s="51" t="n"/>
      <c r="C55" s="51" t="n"/>
      <c r="D55" s="51" t="n"/>
      <c r="E55" s="51" t="n"/>
    </row>
    <row r="56">
      <c r="B56" s="51" t="n"/>
      <c r="C56" s="51" t="n"/>
      <c r="D56" s="51" t="n"/>
      <c r="E56" s="51" t="n"/>
    </row>
    <row r="57">
      <c r="B57" s="51" t="n"/>
      <c r="C57" s="51" t="n"/>
      <c r="D57" s="51" t="n"/>
      <c r="E57" s="51" t="n"/>
    </row>
    <row r="58">
      <c r="B58" s="51" t="n"/>
      <c r="C58" s="51" t="n"/>
      <c r="D58" s="51" t="n"/>
      <c r="E58" s="51" t="n"/>
    </row>
    <row r="59">
      <c r="B59" s="51" t="n"/>
      <c r="C59" s="51" t="n"/>
      <c r="D59" s="51" t="n"/>
      <c r="E59" s="51" t="n"/>
    </row>
    <row r="60">
      <c r="B60" s="51" t="n"/>
      <c r="C60" s="51" t="n"/>
      <c r="D60" s="51" t="n"/>
      <c r="E60" s="51" t="n"/>
    </row>
    <row r="61">
      <c r="B61" s="51" t="n"/>
      <c r="C61" s="51" t="n"/>
      <c r="D61" s="51" t="n"/>
      <c r="E61" s="51" t="n"/>
    </row>
    <row r="62">
      <c r="B62" s="51" t="n"/>
      <c r="C62" s="51" t="n"/>
      <c r="D62" s="51" t="n"/>
      <c r="E62" s="51" t="n"/>
    </row>
    <row r="63">
      <c r="B63" s="51" t="n"/>
      <c r="C63" s="51" t="n"/>
      <c r="D63" s="51" t="n"/>
      <c r="E63" s="51" t="n"/>
    </row>
    <row r="64">
      <c r="B64" s="51" t="n"/>
      <c r="C64" s="51" t="n"/>
      <c r="D64" s="51" t="n"/>
      <c r="E64" s="51" t="n"/>
    </row>
    <row r="65">
      <c r="B65" s="51" t="n"/>
      <c r="C65" s="51" t="n"/>
      <c r="D65" s="51" t="n"/>
      <c r="E65" s="51" t="n"/>
    </row>
    <row r="66">
      <c r="B66" s="51" t="n"/>
      <c r="C66" s="51" t="n"/>
      <c r="D66" s="51" t="n"/>
      <c r="E66" s="51" t="n"/>
    </row>
    <row r="67">
      <c r="B67" s="51" t="n"/>
      <c r="C67" s="51" t="n"/>
      <c r="D67" s="51" t="n"/>
      <c r="E67" s="51" t="n"/>
    </row>
    <row r="68">
      <c r="B68" s="51" t="n"/>
      <c r="C68" s="51" t="n"/>
      <c r="D68" s="51" t="n"/>
      <c r="E68" s="51" t="n"/>
    </row>
    <row r="69">
      <c r="B69" s="51" t="n"/>
      <c r="C69" s="51" t="n"/>
      <c r="D69" s="51" t="n"/>
      <c r="E69" s="51" t="n"/>
    </row>
    <row r="70">
      <c r="B70" s="51" t="n"/>
      <c r="C70" s="51" t="n"/>
      <c r="D70" s="51" t="n"/>
      <c r="E70" s="51" t="n"/>
    </row>
    <row r="71">
      <c r="B71" s="51" t="n"/>
      <c r="C71" s="51" t="n"/>
      <c r="D71" s="51" t="n"/>
      <c r="E71" s="51" t="n"/>
    </row>
    <row r="72">
      <c r="B72" s="51" t="n"/>
      <c r="C72" s="51" t="n"/>
      <c r="D72" s="51" t="n"/>
      <c r="E72" s="51" t="n"/>
    </row>
    <row r="73">
      <c r="B73" s="51" t="n"/>
      <c r="C73" s="51" t="n"/>
      <c r="D73" s="51" t="n"/>
      <c r="E73" s="51" t="n"/>
    </row>
    <row r="74">
      <c r="B74" s="51" t="n"/>
      <c r="C74" s="51" t="n"/>
      <c r="D74" s="51" t="n"/>
      <c r="E74" s="51" t="n"/>
    </row>
    <row r="75">
      <c r="B75" s="51" t="n"/>
      <c r="C75" s="51" t="n"/>
      <c r="D75" s="51" t="n"/>
      <c r="E75" s="51" t="n"/>
    </row>
    <row r="76">
      <c r="B76" s="51" t="n"/>
      <c r="C76" s="51" t="n"/>
      <c r="D76" s="51" t="n"/>
      <c r="E76" s="51" t="n"/>
    </row>
    <row r="77">
      <c r="B77" s="51" t="n"/>
      <c r="C77" s="51" t="n"/>
      <c r="D77" s="51" t="n"/>
      <c r="E77" s="51" t="n"/>
    </row>
    <row r="78">
      <c r="B78" s="51" t="n"/>
      <c r="C78" s="51" t="n"/>
      <c r="D78" s="51" t="n"/>
      <c r="E78" s="51" t="n"/>
    </row>
    <row r="79">
      <c r="B79" s="51" t="n"/>
      <c r="C79" s="51" t="n"/>
      <c r="D79" s="51" t="n"/>
      <c r="E79" s="51" t="n"/>
    </row>
    <row r="80">
      <c r="B80" s="51" t="n"/>
      <c r="C80" s="51" t="n"/>
      <c r="D80" s="51" t="n"/>
      <c r="E80" s="51" t="n"/>
    </row>
    <row r="81">
      <c r="B81" s="51" t="n"/>
      <c r="C81" s="51" t="n"/>
      <c r="D81" s="51" t="n"/>
      <c r="E81" s="51" t="n"/>
    </row>
    <row r="82">
      <c r="B82" s="51" t="n"/>
      <c r="C82" s="51" t="n"/>
      <c r="D82" s="51" t="n"/>
      <c r="E82" s="51" t="n"/>
    </row>
    <row r="83">
      <c r="B83" s="51" t="n"/>
      <c r="C83" s="51" t="n"/>
      <c r="D83" s="51" t="n"/>
      <c r="E83" s="51" t="n"/>
    </row>
    <row r="84">
      <c r="B84" s="51" t="n"/>
      <c r="C84" s="51" t="n"/>
      <c r="D84" s="51" t="n"/>
      <c r="E84" s="51" t="n"/>
    </row>
    <row r="85">
      <c r="B85" s="51" t="n"/>
      <c r="C85" s="51" t="n"/>
      <c r="D85" s="51" t="n"/>
      <c r="E85" s="51" t="n"/>
    </row>
    <row r="86">
      <c r="B86" s="51" t="n"/>
      <c r="C86" s="51" t="n"/>
      <c r="D86" s="51" t="n"/>
      <c r="E86" s="51" t="n"/>
    </row>
    <row r="87">
      <c r="B87" s="51" t="n"/>
      <c r="C87" s="51" t="n"/>
      <c r="D87" s="51" t="n"/>
      <c r="E87" s="51" t="n"/>
    </row>
    <row r="88">
      <c r="B88" s="51" t="n"/>
      <c r="C88" s="51" t="n"/>
      <c r="D88" s="51" t="n"/>
      <c r="E88" s="51" t="n"/>
    </row>
    <row r="89">
      <c r="B89" s="51" t="n"/>
      <c r="C89" s="51" t="n"/>
      <c r="D89" s="51" t="n"/>
      <c r="E89" s="51" t="n"/>
    </row>
    <row r="90">
      <c r="B90" s="51" t="n"/>
      <c r="C90" s="51" t="n"/>
      <c r="D90" s="51" t="n"/>
      <c r="E90" s="51" t="n"/>
    </row>
    <row r="91">
      <c r="B91" s="51" t="n"/>
      <c r="C91" s="51" t="n"/>
      <c r="D91" s="51" t="n"/>
      <c r="E91" s="51" t="n"/>
    </row>
    <row r="92">
      <c r="B92" s="51" t="n"/>
      <c r="C92" s="51" t="n"/>
      <c r="D92" s="51" t="n"/>
      <c r="E92" s="51" t="n"/>
    </row>
    <row r="93">
      <c r="B93" s="51" t="n"/>
      <c r="C93" s="51" t="n"/>
      <c r="D93" s="51" t="n"/>
      <c r="E93" s="51" t="n"/>
    </row>
    <row r="94">
      <c r="B94" s="51" t="n"/>
      <c r="C94" s="51" t="n"/>
      <c r="D94" s="51" t="n"/>
      <c r="E94" s="51" t="n"/>
    </row>
    <row r="95">
      <c r="B95" s="51" t="n"/>
      <c r="C95" s="51" t="n"/>
      <c r="D95" s="51" t="n"/>
      <c r="E95" s="51" t="n"/>
    </row>
    <row r="96">
      <c r="B96" s="51" t="n"/>
      <c r="C96" s="51" t="n"/>
      <c r="D96" s="51" t="n"/>
      <c r="E96" s="51" t="n"/>
    </row>
    <row r="97">
      <c r="B97" s="51" t="n"/>
      <c r="C97" s="51" t="n"/>
      <c r="D97" s="51" t="n"/>
      <c r="E97" s="51" t="n"/>
    </row>
    <row r="98">
      <c r="B98" s="51" t="n"/>
      <c r="C98" s="51" t="n"/>
      <c r="D98" s="51" t="n"/>
      <c r="E98" s="51" t="n"/>
    </row>
    <row r="99">
      <c r="B99" s="51" t="n"/>
      <c r="C99" s="51" t="n"/>
      <c r="D99" s="51" t="n"/>
      <c r="E99" s="51" t="n"/>
    </row>
    <row r="100">
      <c r="B100" s="51" t="n"/>
      <c r="C100" s="51" t="n"/>
      <c r="D100" s="51" t="n"/>
      <c r="E100" s="51" t="n"/>
    </row>
    <row r="101">
      <c r="B101" s="51" t="n"/>
      <c r="C101" s="51" t="n"/>
      <c r="D101" s="51" t="n"/>
      <c r="E101" s="51" t="n"/>
    </row>
    <row r="102">
      <c r="B102" s="51" t="n"/>
      <c r="C102" s="51" t="n"/>
      <c r="D102" s="51" t="n"/>
      <c r="E102" s="51" t="n"/>
    </row>
    <row r="103">
      <c r="B103" s="51" t="n"/>
      <c r="C103" s="51" t="n"/>
      <c r="D103" s="51" t="n"/>
      <c r="E103" s="51" t="n"/>
    </row>
    <row r="104">
      <c r="B104" s="51" t="n"/>
      <c r="C104" s="51" t="n"/>
      <c r="D104" s="51" t="n"/>
      <c r="E104" s="51" t="n"/>
    </row>
    <row r="105">
      <c r="B105" s="51" t="n"/>
      <c r="C105" s="51" t="n"/>
      <c r="D105" s="51" t="n"/>
      <c r="E105" s="51" t="n"/>
    </row>
    <row r="106">
      <c r="B106" s="51" t="n"/>
      <c r="C106" s="51" t="n"/>
      <c r="D106" s="51" t="n"/>
      <c r="E106" s="51" t="n"/>
    </row>
    <row r="107">
      <c r="B107" s="51" t="n"/>
      <c r="C107" s="51" t="n"/>
      <c r="D107" s="51" t="n"/>
      <c r="E107" s="51" t="n"/>
    </row>
    <row r="108">
      <c r="B108" s="51" t="n"/>
      <c r="C108" s="51" t="n"/>
      <c r="D108" s="51" t="n"/>
      <c r="E108" s="51" t="n"/>
    </row>
    <row r="109">
      <c r="B109" s="51" t="n"/>
      <c r="C109" s="51" t="n"/>
      <c r="D109" s="51" t="n"/>
      <c r="E109" s="51" t="n"/>
    </row>
    <row r="110">
      <c r="B110" s="51" t="n"/>
      <c r="C110" s="51" t="n"/>
      <c r="D110" s="51" t="n"/>
      <c r="E110" s="51" t="n"/>
    </row>
    <row r="111">
      <c r="B111" s="51" t="n"/>
      <c r="C111" s="51" t="n"/>
      <c r="D111" s="51" t="n"/>
      <c r="E111" s="51" t="n"/>
    </row>
    <row r="112">
      <c r="B112" s="51" t="n"/>
      <c r="C112" s="51" t="n"/>
      <c r="D112" s="51" t="n"/>
      <c r="E112" s="51" t="n"/>
    </row>
    <row r="113">
      <c r="B113" s="51" t="n"/>
      <c r="C113" s="51" t="n"/>
      <c r="D113" s="51" t="n"/>
      <c r="E113" s="51" t="n"/>
    </row>
    <row r="114">
      <c r="B114" s="51" t="n"/>
      <c r="C114" s="51" t="n"/>
      <c r="D114" s="51" t="n"/>
      <c r="E114" s="51" t="n"/>
    </row>
    <row r="115">
      <c r="B115" s="51" t="n"/>
      <c r="C115" s="51" t="n"/>
      <c r="D115" s="51" t="n"/>
      <c r="E115" s="51" t="n"/>
    </row>
    <row r="116">
      <c r="B116" s="51" t="n"/>
      <c r="C116" s="51" t="n"/>
      <c r="D116" s="51" t="n"/>
      <c r="E116" s="51" t="n"/>
    </row>
    <row r="117">
      <c r="B117" s="51" t="n"/>
      <c r="C117" s="51" t="n"/>
      <c r="D117" s="51" t="n"/>
      <c r="E117" s="51" t="n"/>
    </row>
    <row r="118">
      <c r="B118" s="51" t="n"/>
      <c r="C118" s="51" t="n"/>
      <c r="D118" s="51" t="n"/>
      <c r="E118" s="51" t="n"/>
    </row>
    <row r="119">
      <c r="B119" s="51" t="n"/>
      <c r="C119" s="51" t="n"/>
      <c r="D119" s="51" t="n"/>
      <c r="E119" s="51" t="n"/>
    </row>
    <row r="120">
      <c r="B120" s="51" t="n"/>
      <c r="C120" s="51" t="n"/>
      <c r="D120" s="51" t="n"/>
      <c r="E120" s="51" t="n"/>
    </row>
    <row r="121">
      <c r="B121" s="51" t="n"/>
      <c r="C121" s="51" t="n"/>
      <c r="D121" s="51" t="n"/>
      <c r="E121" s="51" t="n"/>
    </row>
    <row r="122">
      <c r="B122" s="51" t="n"/>
      <c r="C122" s="51" t="n"/>
      <c r="D122" s="51" t="n"/>
      <c r="E122" s="51" t="n"/>
    </row>
    <row r="123">
      <c r="B123" s="51" t="n"/>
      <c r="C123" s="51" t="n"/>
      <c r="D123" s="51" t="n"/>
      <c r="E123" s="51" t="n"/>
    </row>
    <row r="124">
      <c r="B124" s="51" t="n"/>
      <c r="C124" s="51" t="n"/>
      <c r="D124" s="51" t="n"/>
      <c r="E124" s="51" t="n"/>
    </row>
    <row r="125">
      <c r="B125" s="51" t="n"/>
      <c r="C125" s="51" t="n"/>
      <c r="D125" s="51" t="n"/>
      <c r="E125" s="51" t="n"/>
    </row>
    <row r="126">
      <c r="B126" s="51" t="n"/>
      <c r="C126" s="51" t="n"/>
      <c r="D126" s="51" t="n"/>
      <c r="E126" s="51" t="n"/>
    </row>
    <row r="127">
      <c r="B127" s="51" t="n"/>
      <c r="C127" s="51" t="n"/>
      <c r="D127" s="51" t="n"/>
      <c r="E127" s="51" t="n"/>
    </row>
    <row r="128">
      <c r="B128" s="51" t="n"/>
      <c r="C128" s="51" t="n"/>
      <c r="D128" s="51" t="n"/>
      <c r="E128" s="51" t="n"/>
    </row>
    <row r="129">
      <c r="B129" s="51" t="n"/>
      <c r="C129" s="51" t="n"/>
      <c r="D129" s="51" t="n"/>
      <c r="E129" s="51" t="n"/>
    </row>
    <row r="130">
      <c r="B130" s="51" t="n"/>
      <c r="C130" s="51" t="n"/>
      <c r="D130" s="51" t="n"/>
      <c r="E130" s="51" t="n"/>
    </row>
    <row r="131">
      <c r="B131" s="51" t="n"/>
      <c r="C131" s="51" t="n"/>
      <c r="D131" s="51" t="n"/>
      <c r="E131" s="51" t="n"/>
    </row>
    <row r="132">
      <c r="B132" s="51" t="n"/>
      <c r="C132" s="51" t="n"/>
      <c r="D132" s="51" t="n"/>
      <c r="E132" s="51" t="n"/>
    </row>
    <row r="133">
      <c r="B133" s="51" t="n"/>
      <c r="C133" s="51" t="n"/>
      <c r="D133" s="51" t="n"/>
      <c r="E133" s="51" t="n"/>
    </row>
    <row r="134">
      <c r="B134" s="51" t="n"/>
      <c r="C134" s="51" t="n"/>
      <c r="D134" s="51" t="n"/>
      <c r="E134" s="51" t="n"/>
    </row>
    <row r="135">
      <c r="B135" s="51" t="n"/>
      <c r="C135" s="51" t="n"/>
      <c r="D135" s="51" t="n"/>
      <c r="E135" s="51" t="n"/>
    </row>
    <row r="136">
      <c r="B136" s="51" t="n"/>
      <c r="C136" s="51" t="n"/>
      <c r="D136" s="51" t="n"/>
      <c r="E136" s="51" t="n"/>
    </row>
    <row r="137">
      <c r="B137" s="51" t="n"/>
      <c r="C137" s="51" t="n"/>
      <c r="D137" s="51" t="n"/>
      <c r="E137" s="51" t="n"/>
    </row>
    <row r="138">
      <c r="B138" s="51" t="n"/>
      <c r="C138" s="51" t="n"/>
      <c r="D138" s="51" t="n"/>
      <c r="E138" s="51" t="n"/>
    </row>
    <row r="139">
      <c r="B139" s="51" t="n"/>
      <c r="C139" s="51" t="n"/>
      <c r="D139" s="51" t="n"/>
      <c r="E139" s="51" t="n"/>
    </row>
    <row r="140">
      <c r="B140" s="51" t="n"/>
      <c r="C140" s="51" t="n"/>
      <c r="D140" s="51" t="n"/>
      <c r="E140" s="51" t="n"/>
    </row>
    <row r="141">
      <c r="B141" s="51" t="n"/>
      <c r="C141" s="51" t="n"/>
      <c r="D141" s="51" t="n"/>
      <c r="E141" s="51" t="n"/>
    </row>
    <row r="142">
      <c r="B142" s="51" t="n"/>
      <c r="C142" s="51" t="n"/>
      <c r="D142" s="51" t="n"/>
      <c r="E142" s="51" t="n"/>
    </row>
    <row r="143">
      <c r="B143" s="51" t="n"/>
      <c r="C143" s="51" t="n"/>
      <c r="D143" s="51" t="n"/>
      <c r="E143" s="51" t="n"/>
    </row>
    <row r="144">
      <c r="B144" s="51" t="n"/>
      <c r="C144" s="51" t="n"/>
      <c r="D144" s="51" t="n"/>
      <c r="E144" s="51" t="n"/>
    </row>
    <row r="145">
      <c r="B145" s="51" t="n"/>
      <c r="C145" s="51" t="n"/>
      <c r="D145" s="51" t="n"/>
      <c r="E145" s="51" t="n"/>
    </row>
    <row r="146">
      <c r="B146" s="51" t="n"/>
      <c r="C146" s="51" t="n"/>
      <c r="D146" s="51" t="n"/>
      <c r="E146" s="51" t="n"/>
    </row>
    <row r="147">
      <c r="B147" s="51" t="n"/>
      <c r="C147" s="51" t="n"/>
      <c r="D147" s="51" t="n"/>
      <c r="E147" s="51" t="n"/>
    </row>
    <row r="148">
      <c r="B148" s="51" t="n"/>
      <c r="C148" s="51" t="n"/>
      <c r="D148" s="51" t="n"/>
      <c r="E148" s="51" t="n"/>
    </row>
    <row r="149">
      <c r="B149" s="51" t="n"/>
      <c r="C149" s="51" t="n"/>
      <c r="D149" s="51" t="n"/>
      <c r="E149" s="51" t="n"/>
    </row>
    <row r="150">
      <c r="B150" s="51" t="n"/>
      <c r="C150" s="51" t="n"/>
      <c r="D150" s="51" t="n"/>
      <c r="E150" s="51" t="n"/>
    </row>
    <row r="151">
      <c r="B151" s="51" t="n"/>
      <c r="C151" s="51" t="n"/>
      <c r="D151" s="51" t="n"/>
      <c r="E151" s="51" t="n"/>
    </row>
    <row r="152">
      <c r="B152" s="51" t="n"/>
      <c r="C152" s="51" t="n"/>
      <c r="D152" s="51" t="n"/>
      <c r="E152" s="51" t="n"/>
    </row>
    <row r="153">
      <c r="B153" s="51" t="n"/>
      <c r="C153" s="51" t="n"/>
      <c r="D153" s="51" t="n"/>
      <c r="E153" s="51" t="n"/>
    </row>
    <row r="154">
      <c r="B154" s="51" t="n"/>
      <c r="C154" s="51" t="n"/>
      <c r="D154" s="51" t="n"/>
      <c r="E154" s="51" t="n"/>
    </row>
    <row r="155">
      <c r="B155" s="51" t="n"/>
      <c r="C155" s="51" t="n"/>
      <c r="D155" s="51" t="n"/>
      <c r="E155" s="51" t="n"/>
    </row>
    <row r="156">
      <c r="B156" s="51" t="n"/>
      <c r="C156" s="51" t="n"/>
      <c r="D156" s="51" t="n"/>
      <c r="E156" s="51" t="n"/>
    </row>
    <row r="157">
      <c r="B157" s="51" t="n"/>
      <c r="C157" s="51" t="n"/>
      <c r="D157" s="51" t="n"/>
      <c r="E157" s="51" t="n"/>
    </row>
    <row r="158">
      <c r="B158" s="51" t="n"/>
      <c r="C158" s="51" t="n"/>
      <c r="D158" s="51" t="n"/>
      <c r="E158" s="51" t="n"/>
    </row>
    <row r="159">
      <c r="B159" s="51" t="n"/>
      <c r="C159" s="51" t="n"/>
      <c r="D159" s="51" t="n"/>
      <c r="E159" s="51" t="n"/>
    </row>
    <row r="160">
      <c r="B160" s="51" t="n"/>
      <c r="C160" s="51" t="n"/>
      <c r="D160" s="51" t="n"/>
      <c r="E160" s="51" t="n"/>
    </row>
    <row r="161">
      <c r="B161" s="51" t="n"/>
      <c r="C161" s="51" t="n"/>
      <c r="D161" s="51" t="n"/>
      <c r="E161" s="51" t="n"/>
    </row>
    <row r="162">
      <c r="B162" s="51" t="n"/>
      <c r="C162" s="51" t="n"/>
      <c r="D162" s="51" t="n"/>
      <c r="E162" s="51" t="n"/>
    </row>
    <row r="163">
      <c r="B163" s="51" t="n"/>
      <c r="C163" s="51" t="n"/>
      <c r="D163" s="51" t="n"/>
      <c r="E163" s="51" t="n"/>
    </row>
    <row r="164">
      <c r="B164" s="51" t="n"/>
      <c r="C164" s="51" t="n"/>
      <c r="D164" s="51" t="n"/>
      <c r="E164" s="51" t="n"/>
    </row>
    <row r="165">
      <c r="B165" s="51" t="n"/>
      <c r="C165" s="51" t="n"/>
      <c r="D165" s="51" t="n"/>
      <c r="E165" s="51" t="n"/>
    </row>
    <row r="166">
      <c r="B166" s="51" t="n"/>
      <c r="C166" s="51" t="n"/>
      <c r="D166" s="51" t="n"/>
      <c r="E166" s="51" t="n"/>
    </row>
    <row r="167">
      <c r="B167" s="51" t="n"/>
      <c r="C167" s="51" t="n"/>
      <c r="D167" s="51" t="n"/>
      <c r="E167" s="51" t="n"/>
    </row>
    <row r="168">
      <c r="B168" s="51" t="n"/>
      <c r="C168" s="51" t="n"/>
      <c r="D168" s="51" t="n"/>
      <c r="E168" s="51" t="n"/>
    </row>
    <row r="169">
      <c r="B169" s="51" t="n"/>
      <c r="C169" s="51" t="n"/>
      <c r="D169" s="51" t="n"/>
      <c r="E169" s="51" t="n"/>
    </row>
    <row r="170">
      <c r="B170" s="51" t="n"/>
      <c r="C170" s="51" t="n"/>
      <c r="D170" s="51" t="n"/>
      <c r="E170" s="51" t="n"/>
    </row>
    <row r="171">
      <c r="B171" s="51" t="n"/>
      <c r="C171" s="51" t="n"/>
      <c r="D171" s="51" t="n"/>
      <c r="E171" s="51" t="n"/>
    </row>
    <row r="172">
      <c r="B172" s="51" t="n"/>
      <c r="C172" s="51" t="n"/>
      <c r="D172" s="51" t="n"/>
      <c r="E172" s="51" t="n"/>
    </row>
    <row r="173">
      <c r="B173" s="51" t="n"/>
      <c r="C173" s="51" t="n"/>
      <c r="D173" s="51" t="n"/>
      <c r="E173" s="51" t="n"/>
    </row>
    <row r="174">
      <c r="B174" s="51" t="n"/>
      <c r="C174" s="51" t="n"/>
      <c r="D174" s="51" t="n"/>
      <c r="E174" s="51" t="n"/>
    </row>
    <row r="175">
      <c r="B175" s="51" t="n"/>
      <c r="C175" s="51" t="n"/>
      <c r="D175" s="51" t="n"/>
      <c r="E175" s="51" t="n"/>
    </row>
    <row r="176">
      <c r="B176" s="51" t="n"/>
      <c r="C176" s="51" t="n"/>
      <c r="D176" s="51" t="n"/>
      <c r="E176" s="51" t="n"/>
    </row>
    <row r="177">
      <c r="B177" s="51" t="n"/>
      <c r="C177" s="51" t="n"/>
      <c r="D177" s="51" t="n"/>
      <c r="E177" s="51" t="n"/>
    </row>
    <row r="178">
      <c r="B178" s="51" t="n"/>
      <c r="C178" s="51" t="n"/>
      <c r="D178" s="51" t="n"/>
      <c r="E178" s="51" t="n"/>
    </row>
    <row r="179">
      <c r="B179" s="51" t="n"/>
      <c r="C179" s="51" t="n"/>
      <c r="D179" s="51" t="n"/>
      <c r="E179" s="51" t="n"/>
    </row>
    <row r="180">
      <c r="B180" s="51" t="n"/>
      <c r="C180" s="51" t="n"/>
      <c r="D180" s="51" t="n"/>
      <c r="E180" s="51" t="n"/>
    </row>
    <row r="181">
      <c r="B181" s="51" t="n"/>
      <c r="C181" s="51" t="n"/>
      <c r="D181" s="51" t="n"/>
      <c r="E181" s="51" t="n"/>
    </row>
    <row r="182">
      <c r="B182" s="51" t="n"/>
      <c r="C182" s="51" t="n"/>
      <c r="D182" s="51" t="n"/>
      <c r="E182" s="51" t="n"/>
    </row>
    <row r="183">
      <c r="B183" s="51" t="n"/>
      <c r="C183" s="51" t="n"/>
      <c r="D183" s="51" t="n"/>
      <c r="E183" s="51" t="n"/>
    </row>
    <row r="184">
      <c r="B184" s="51" t="n"/>
      <c r="C184" s="51" t="n"/>
      <c r="D184" s="51" t="n"/>
      <c r="E184" s="51" t="n"/>
    </row>
    <row r="185">
      <c r="B185" s="51" t="n"/>
      <c r="C185" s="51" t="n"/>
      <c r="D185" s="51" t="n"/>
      <c r="E185" s="51" t="n"/>
    </row>
    <row r="186">
      <c r="B186" s="51" t="n"/>
      <c r="C186" s="51" t="n"/>
      <c r="D186" s="51" t="n"/>
      <c r="E186" s="51" t="n"/>
    </row>
    <row r="187">
      <c r="B187" s="51" t="n"/>
      <c r="C187" s="51" t="n"/>
      <c r="D187" s="51" t="n"/>
      <c r="E187" s="51" t="n"/>
    </row>
    <row r="188">
      <c r="B188" s="51" t="n"/>
      <c r="C188" s="51" t="n"/>
      <c r="D188" s="51" t="n"/>
      <c r="E188" s="51" t="n"/>
    </row>
    <row r="189">
      <c r="B189" s="51" t="n"/>
      <c r="C189" s="51" t="n"/>
      <c r="D189" s="51" t="n"/>
      <c r="E189" s="51" t="n"/>
    </row>
    <row r="190">
      <c r="B190" s="51" t="n"/>
      <c r="C190" s="51" t="n"/>
      <c r="D190" s="51" t="n"/>
      <c r="E190" s="51" t="n"/>
    </row>
    <row r="191">
      <c r="B191" s="51" t="n"/>
      <c r="C191" s="51" t="n"/>
      <c r="D191" s="51" t="n"/>
      <c r="E191" s="51" t="n"/>
    </row>
    <row r="192">
      <c r="B192" s="51" t="n"/>
      <c r="C192" s="51" t="n"/>
      <c r="D192" s="51" t="n"/>
      <c r="E192" s="51" t="n"/>
    </row>
    <row r="193">
      <c r="B193" s="51" t="n"/>
      <c r="C193" s="51" t="n"/>
      <c r="D193" s="51" t="n"/>
      <c r="E193" s="51" t="n"/>
    </row>
    <row r="194">
      <c r="B194" s="51" t="n"/>
      <c r="C194" s="51" t="n"/>
      <c r="D194" s="51" t="n"/>
      <c r="E194" s="51" t="n"/>
    </row>
    <row r="195">
      <c r="B195" s="51" t="n"/>
      <c r="C195" s="51" t="n"/>
      <c r="D195" s="51" t="n"/>
      <c r="E195" s="51" t="n"/>
    </row>
    <row r="196">
      <c r="B196" s="51" t="n"/>
      <c r="C196" s="51" t="n"/>
      <c r="D196" s="51" t="n"/>
      <c r="E196" s="51" t="n"/>
    </row>
    <row r="197">
      <c r="B197" s="51" t="n"/>
      <c r="C197" s="51" t="n"/>
      <c r="D197" s="51" t="n"/>
      <c r="E197" s="51" t="n"/>
    </row>
    <row r="198">
      <c r="B198" s="51" t="n"/>
      <c r="C198" s="51" t="n"/>
      <c r="D198" s="51" t="n"/>
      <c r="E198" s="51" t="n"/>
    </row>
    <row r="199">
      <c r="B199" s="51" t="n"/>
      <c r="C199" s="51" t="n"/>
      <c r="D199" s="51" t="n"/>
      <c r="E199" s="51" t="n"/>
    </row>
    <row r="200">
      <c r="B200" s="51" t="n"/>
      <c r="C200" s="51" t="n"/>
      <c r="D200" s="51" t="n"/>
      <c r="E200" s="51" t="n"/>
    </row>
    <row r="201">
      <c r="B201" s="51" t="n"/>
      <c r="C201" s="51" t="n"/>
      <c r="D201" s="51" t="n"/>
      <c r="E201" s="51" t="n"/>
    </row>
    <row r="202">
      <c r="B202" s="51" t="n"/>
      <c r="C202" s="51" t="n"/>
      <c r="D202" s="51" t="n"/>
      <c r="E202" s="51" t="n"/>
    </row>
    <row r="203">
      <c r="B203" s="51" t="n"/>
      <c r="C203" s="51" t="n"/>
      <c r="D203" s="51" t="n"/>
      <c r="E203" s="51" t="n"/>
    </row>
    <row r="204">
      <c r="B204" s="51" t="n"/>
      <c r="C204" s="51" t="n"/>
      <c r="D204" s="51" t="n"/>
      <c r="E204" s="51" t="n"/>
    </row>
    <row r="205">
      <c r="B205" s="51" t="n"/>
      <c r="C205" s="51" t="n"/>
      <c r="D205" s="51" t="n"/>
      <c r="E205" s="51" t="n"/>
    </row>
    <row r="206">
      <c r="B206" s="51" t="n"/>
      <c r="C206" s="51" t="n"/>
      <c r="D206" s="51" t="n"/>
      <c r="E206" s="51" t="n"/>
    </row>
    <row r="207">
      <c r="B207" s="51" t="n"/>
      <c r="C207" s="51" t="n"/>
      <c r="D207" s="51" t="n"/>
      <c r="E207" s="51" t="n"/>
    </row>
    <row r="208">
      <c r="B208" s="51" t="n"/>
      <c r="C208" s="51" t="n"/>
      <c r="D208" s="51" t="n"/>
      <c r="E208" s="51" t="n"/>
    </row>
    <row r="209">
      <c r="B209" s="51" t="n"/>
      <c r="C209" s="51" t="n"/>
      <c r="D209" s="51" t="n"/>
      <c r="E209" s="51" t="n"/>
    </row>
    <row r="210">
      <c r="B210" s="51" t="n"/>
      <c r="C210" s="51" t="n"/>
      <c r="D210" s="51" t="n"/>
      <c r="E210" s="51" t="n"/>
    </row>
    <row r="211">
      <c r="B211" s="51" t="n"/>
      <c r="C211" s="51" t="n"/>
      <c r="D211" s="51" t="n"/>
      <c r="E211" s="51" t="n"/>
    </row>
    <row r="212">
      <c r="B212" s="51" t="n"/>
      <c r="C212" s="51" t="n"/>
      <c r="D212" s="51" t="n"/>
      <c r="E212" s="51" t="n"/>
    </row>
    <row r="213">
      <c r="B213" s="51" t="n"/>
      <c r="C213" s="51" t="n"/>
      <c r="D213" s="51" t="n"/>
      <c r="E213" s="51" t="n"/>
    </row>
    <row r="214">
      <c r="B214" s="51" t="n"/>
      <c r="C214" s="51" t="n"/>
      <c r="D214" s="51" t="n"/>
      <c r="E214" s="51" t="n"/>
    </row>
    <row r="215">
      <c r="B215" s="51" t="n"/>
      <c r="C215" s="51" t="n"/>
      <c r="D215" s="51" t="n"/>
      <c r="E215" s="51" t="n"/>
    </row>
    <row r="216">
      <c r="B216" s="51" t="n"/>
      <c r="C216" s="51" t="n"/>
      <c r="D216" s="51" t="n"/>
      <c r="E216" s="51" t="n"/>
    </row>
    <row r="217">
      <c r="B217" s="51" t="n"/>
      <c r="C217" s="51" t="n"/>
      <c r="D217" s="51" t="n"/>
      <c r="E217" s="51" t="n"/>
    </row>
    <row r="218">
      <c r="B218" s="51" t="n"/>
      <c r="C218" s="51" t="n"/>
      <c r="D218" s="51" t="n"/>
      <c r="E218" s="51" t="n"/>
    </row>
    <row r="219">
      <c r="B219" s="51" t="n"/>
      <c r="C219" s="51" t="n"/>
      <c r="D219" s="51" t="n"/>
      <c r="E219" s="51" t="n"/>
    </row>
    <row r="220">
      <c r="B220" s="51" t="n"/>
      <c r="C220" s="51" t="n"/>
      <c r="D220" s="51" t="n"/>
      <c r="E220" s="51" t="n"/>
    </row>
    <row r="221">
      <c r="B221" s="51" t="n"/>
      <c r="C221" s="51" t="n"/>
      <c r="D221" s="51" t="n"/>
      <c r="E221" s="51" t="n"/>
    </row>
    <row r="222">
      <c r="B222" s="51" t="n"/>
      <c r="C222" s="51" t="n"/>
      <c r="D222" s="51" t="n"/>
      <c r="E222" s="51" t="n"/>
    </row>
    <row r="223">
      <c r="B223" s="51" t="n"/>
      <c r="C223" s="51" t="n"/>
      <c r="D223" s="51" t="n"/>
      <c r="E223" s="51" t="n"/>
    </row>
    <row r="224">
      <c r="B224" s="51" t="n"/>
      <c r="C224" s="51" t="n"/>
      <c r="D224" s="51" t="n"/>
      <c r="E224" s="51" t="n"/>
    </row>
    <row r="225">
      <c r="B225" s="51" t="n"/>
      <c r="C225" s="51" t="n"/>
      <c r="D225" s="51" t="n"/>
      <c r="E225" s="51" t="n"/>
    </row>
    <row r="226">
      <c r="B226" s="51" t="n"/>
      <c r="C226" s="51" t="n"/>
      <c r="D226" s="51" t="n"/>
      <c r="E226" s="51" t="n"/>
    </row>
    <row r="227">
      <c r="B227" s="51" t="n"/>
      <c r="C227" s="51" t="n"/>
      <c r="D227" s="51" t="n"/>
      <c r="E227" s="51" t="n"/>
    </row>
    <row r="228">
      <c r="B228" s="51" t="n"/>
      <c r="C228" s="51" t="n"/>
      <c r="D228" s="51" t="n"/>
      <c r="E228" s="51" t="n"/>
    </row>
    <row r="229">
      <c r="B229" s="51" t="n"/>
      <c r="C229" s="51" t="n"/>
      <c r="D229" s="51" t="n"/>
      <c r="E229" s="51" t="n"/>
    </row>
    <row r="230">
      <c r="B230" s="51" t="n"/>
      <c r="C230" s="51" t="n"/>
      <c r="D230" s="51" t="n"/>
      <c r="E230" s="51" t="n"/>
    </row>
    <row r="231">
      <c r="B231" s="51" t="n"/>
      <c r="C231" s="51" t="n"/>
      <c r="D231" s="51" t="n"/>
      <c r="E231" s="51" t="n"/>
    </row>
    <row r="232">
      <c r="B232" s="51" t="n"/>
      <c r="C232" s="51" t="n"/>
      <c r="D232" s="51" t="n"/>
      <c r="E232" s="51" t="n"/>
    </row>
    <row r="233">
      <c r="B233" s="51" t="n"/>
      <c r="C233" s="51" t="n"/>
      <c r="D233" s="51" t="n"/>
      <c r="E233" s="51" t="n"/>
    </row>
    <row r="234">
      <c r="B234" s="51" t="n"/>
      <c r="C234" s="51" t="n"/>
      <c r="D234" s="51" t="n"/>
      <c r="E234" s="51" t="n"/>
    </row>
    <row r="235">
      <c r="B235" s="51" t="n"/>
      <c r="C235" s="51" t="n"/>
      <c r="D235" s="51" t="n"/>
      <c r="E235" s="51" t="n"/>
    </row>
    <row r="236">
      <c r="B236" s="51" t="n"/>
      <c r="C236" s="51" t="n"/>
      <c r="D236" s="51" t="n"/>
      <c r="E236" s="51" t="n"/>
    </row>
    <row r="237">
      <c r="B237" s="51" t="n"/>
      <c r="C237" s="51" t="n"/>
      <c r="D237" s="51" t="n"/>
      <c r="E237" s="51" t="n"/>
    </row>
    <row r="238">
      <c r="B238" s="51" t="n"/>
      <c r="C238" s="51" t="n"/>
      <c r="D238" s="51" t="n"/>
      <c r="E238" s="51" t="n"/>
    </row>
    <row r="239">
      <c r="B239" s="51" t="n"/>
      <c r="C239" s="51" t="n"/>
      <c r="D239" s="51" t="n"/>
      <c r="E239" s="51" t="n"/>
    </row>
    <row r="240">
      <c r="B240" s="51" t="n"/>
      <c r="C240" s="51" t="n"/>
      <c r="D240" s="51" t="n"/>
      <c r="E240" s="51" t="n"/>
    </row>
    <row r="241">
      <c r="B241" s="51" t="n"/>
      <c r="C241" s="51" t="n"/>
      <c r="D241" s="51" t="n"/>
      <c r="E241" s="51" t="n"/>
    </row>
    <row r="242">
      <c r="B242" s="51" t="n"/>
      <c r="C242" s="51" t="n"/>
      <c r="D242" s="51" t="n"/>
      <c r="E242" s="51" t="n"/>
    </row>
    <row r="243">
      <c r="B243" s="51" t="n"/>
      <c r="C243" s="51" t="n"/>
      <c r="D243" s="51" t="n"/>
      <c r="E243" s="51" t="n"/>
    </row>
    <row r="244">
      <c r="B244" s="51" t="n"/>
      <c r="C244" s="51" t="n"/>
      <c r="D244" s="51" t="n"/>
      <c r="E244" s="51" t="n"/>
    </row>
    <row r="245">
      <c r="B245" s="51" t="n"/>
      <c r="C245" s="51" t="n"/>
      <c r="D245" s="51" t="n"/>
      <c r="E245" s="51" t="n"/>
    </row>
    <row r="246">
      <c r="B246" s="51" t="n"/>
      <c r="C246" s="51" t="n"/>
      <c r="D246" s="51" t="n"/>
      <c r="E246" s="51" t="n"/>
    </row>
    <row r="247">
      <c r="B247" s="51" t="n"/>
      <c r="C247" s="51" t="n"/>
      <c r="D247" s="51" t="n"/>
      <c r="E247" s="51" t="n"/>
    </row>
    <row r="248">
      <c r="B248" s="51" t="n"/>
      <c r="C248" s="51" t="n"/>
      <c r="D248" s="51" t="n"/>
      <c r="E248" s="51" t="n"/>
    </row>
    <row r="249">
      <c r="B249" s="51" t="n"/>
      <c r="C249" s="51" t="n"/>
      <c r="D249" s="51" t="n"/>
      <c r="E249" s="51" t="n"/>
    </row>
    <row r="250">
      <c r="B250" s="51" t="n"/>
      <c r="C250" s="51" t="n"/>
      <c r="D250" s="51" t="n"/>
      <c r="E250" s="51" t="n"/>
    </row>
    <row r="251">
      <c r="B251" s="51" t="n"/>
      <c r="C251" s="51" t="n"/>
      <c r="D251" s="51" t="n"/>
      <c r="E251" s="51" t="n"/>
    </row>
    <row r="252">
      <c r="B252" s="51" t="n"/>
      <c r="C252" s="51" t="n"/>
      <c r="D252" s="51" t="n"/>
      <c r="E252" s="51" t="n"/>
    </row>
    <row r="253">
      <c r="B253" s="51" t="n"/>
      <c r="C253" s="51" t="n"/>
      <c r="D253" s="51" t="n"/>
      <c r="E253" s="51" t="n"/>
    </row>
    <row r="254">
      <c r="B254" s="51" t="n"/>
      <c r="C254" s="51" t="n"/>
      <c r="D254" s="51" t="n"/>
      <c r="E254" s="51" t="n"/>
    </row>
    <row r="255">
      <c r="B255" s="51" t="n"/>
      <c r="C255" s="51" t="n"/>
      <c r="D255" s="51" t="n"/>
      <c r="E255" s="51" t="n"/>
    </row>
    <row r="256">
      <c r="B256" s="51" t="n"/>
      <c r="C256" s="51" t="n"/>
      <c r="D256" s="51" t="n"/>
      <c r="E256" s="51" t="n"/>
    </row>
    <row r="257">
      <c r="B257" s="51" t="n"/>
      <c r="C257" s="51" t="n"/>
      <c r="D257" s="51" t="n"/>
      <c r="E257" s="51" t="n"/>
    </row>
    <row r="258">
      <c r="B258" s="51" t="n"/>
      <c r="C258" s="51" t="n"/>
      <c r="D258" s="51" t="n"/>
      <c r="E258" s="51" t="n"/>
    </row>
    <row r="259">
      <c r="B259" s="51" t="n"/>
      <c r="C259" s="51" t="n"/>
      <c r="D259" s="51" t="n"/>
      <c r="E259" s="51" t="n"/>
    </row>
    <row r="260">
      <c r="B260" s="51" t="n"/>
      <c r="C260" s="51" t="n"/>
      <c r="D260" s="51" t="n"/>
      <c r="E260" s="51" t="n"/>
    </row>
    <row r="261">
      <c r="B261" s="51" t="n"/>
      <c r="C261" s="51" t="n"/>
      <c r="D261" s="51" t="n"/>
      <c r="E261" s="51" t="n"/>
    </row>
    <row r="262">
      <c r="B262" s="51" t="n"/>
      <c r="C262" s="51" t="n"/>
      <c r="D262" s="51" t="n"/>
      <c r="E262" s="51" t="n"/>
    </row>
    <row r="263">
      <c r="B263" s="51" t="n"/>
      <c r="C263" s="51" t="n"/>
      <c r="D263" s="51" t="n"/>
      <c r="E263" s="51" t="n"/>
    </row>
    <row r="264">
      <c r="B264" s="51" t="n"/>
      <c r="C264" s="51" t="n"/>
      <c r="D264" s="51" t="n"/>
      <c r="E264" s="51" t="n"/>
    </row>
    <row r="265">
      <c r="B265" s="51" t="n"/>
      <c r="C265" s="51" t="n"/>
      <c r="D265" s="51" t="n"/>
      <c r="E265" s="51" t="n"/>
    </row>
    <row r="266">
      <c r="B266" s="51" t="n"/>
      <c r="C266" s="51" t="n"/>
      <c r="D266" s="51" t="n"/>
      <c r="E266" s="51" t="n"/>
    </row>
    <row r="267">
      <c r="B267" s="51" t="n"/>
      <c r="C267" s="51" t="n"/>
      <c r="D267" s="51" t="n"/>
      <c r="E267" s="51" t="n"/>
    </row>
    <row r="268">
      <c r="B268" s="51" t="n"/>
      <c r="C268" s="51" t="n"/>
      <c r="D268" s="51" t="n"/>
      <c r="E268" s="51" t="n"/>
    </row>
    <row r="269">
      <c r="B269" s="51" t="n"/>
      <c r="C269" s="51" t="n"/>
      <c r="D269" s="51" t="n"/>
      <c r="E269" s="51" t="n"/>
    </row>
    <row r="270">
      <c r="B270" s="51" t="n"/>
      <c r="C270" s="51" t="n"/>
      <c r="D270" s="51" t="n"/>
      <c r="E270" s="51" t="n"/>
    </row>
    <row r="271">
      <c r="B271" s="51" t="n"/>
      <c r="C271" s="51" t="n"/>
      <c r="D271" s="51" t="n"/>
      <c r="E271" s="51" t="n"/>
    </row>
    <row r="272">
      <c r="B272" s="51" t="n"/>
      <c r="C272" s="51" t="n"/>
      <c r="D272" s="51" t="n"/>
      <c r="E272" s="51" t="n"/>
    </row>
    <row r="273">
      <c r="B273" s="51" t="n"/>
      <c r="C273" s="51" t="n"/>
      <c r="D273" s="51" t="n"/>
      <c r="E273" s="51" t="n"/>
    </row>
    <row r="274">
      <c r="B274" s="51" t="n"/>
      <c r="C274" s="51" t="n"/>
      <c r="D274" s="51" t="n"/>
      <c r="E274" s="51" t="n"/>
    </row>
    <row r="275">
      <c r="B275" s="51" t="n"/>
      <c r="C275" s="51" t="n"/>
      <c r="D275" s="51" t="n"/>
      <c r="E275" s="51" t="n"/>
    </row>
    <row r="276">
      <c r="B276" s="51" t="n"/>
      <c r="C276" s="51" t="n"/>
      <c r="D276" s="51" t="n"/>
      <c r="E276" s="51" t="n"/>
    </row>
    <row r="277">
      <c r="B277" s="51" t="n"/>
      <c r="C277" s="51" t="n"/>
      <c r="D277" s="51" t="n"/>
      <c r="E277" s="51" t="n"/>
    </row>
    <row r="278">
      <c r="B278" s="51" t="n"/>
      <c r="C278" s="51" t="n"/>
      <c r="D278" s="51" t="n"/>
      <c r="E278" s="51" t="n"/>
    </row>
    <row r="279">
      <c r="B279" s="51" t="n"/>
      <c r="C279" s="51" t="n"/>
      <c r="D279" s="51" t="n"/>
      <c r="E279" s="51" t="n"/>
    </row>
    <row r="280">
      <c r="B280" s="51" t="n"/>
      <c r="C280" s="51" t="n"/>
      <c r="D280" s="51" t="n"/>
      <c r="E280" s="51" t="n"/>
    </row>
    <row r="281">
      <c r="B281" s="51" t="n"/>
      <c r="C281" s="51" t="n"/>
      <c r="D281" s="51" t="n"/>
      <c r="E281" s="51" t="n"/>
    </row>
    <row r="282">
      <c r="B282" s="51" t="n"/>
      <c r="C282" s="51" t="n"/>
      <c r="D282" s="51" t="n"/>
      <c r="E282" s="51" t="n"/>
    </row>
    <row r="283">
      <c r="B283" s="51" t="n"/>
      <c r="C283" s="51" t="n"/>
      <c r="D283" s="51" t="n"/>
      <c r="E283" s="51" t="n"/>
    </row>
    <row r="284">
      <c r="B284" s="51" t="n"/>
      <c r="C284" s="51" t="n"/>
      <c r="D284" s="51" t="n"/>
      <c r="E284" s="51" t="n"/>
    </row>
    <row r="285">
      <c r="B285" s="51" t="n"/>
      <c r="C285" s="51" t="n"/>
      <c r="D285" s="51" t="n"/>
      <c r="E285" s="51" t="n"/>
    </row>
    <row r="286">
      <c r="B286" s="51" t="n"/>
      <c r="C286" s="51" t="n"/>
      <c r="D286" s="51" t="n"/>
      <c r="E286" s="51" t="n"/>
    </row>
    <row r="287">
      <c r="B287" s="51" t="n"/>
      <c r="C287" s="51" t="n"/>
      <c r="D287" s="51" t="n"/>
      <c r="E287" s="51" t="n"/>
    </row>
    <row r="288">
      <c r="B288" s="51" t="n"/>
      <c r="C288" s="51" t="n"/>
      <c r="D288" s="51" t="n"/>
      <c r="E288" s="51" t="n"/>
    </row>
    <row r="289">
      <c r="B289" s="51" t="n"/>
      <c r="C289" s="51" t="n"/>
      <c r="D289" s="51" t="n"/>
      <c r="E289" s="51" t="n"/>
    </row>
    <row r="290">
      <c r="B290" s="51" t="n"/>
      <c r="C290" s="51" t="n"/>
      <c r="D290" s="51" t="n"/>
      <c r="E290" s="51" t="n"/>
    </row>
    <row r="291">
      <c r="B291" s="51" t="n"/>
      <c r="C291" s="51" t="n"/>
      <c r="D291" s="51" t="n"/>
      <c r="E291" s="51" t="n"/>
    </row>
    <row r="292">
      <c r="B292" s="51" t="n"/>
      <c r="C292" s="51" t="n"/>
      <c r="D292" s="51" t="n"/>
      <c r="E292" s="51" t="n"/>
    </row>
    <row r="293">
      <c r="B293" s="51" t="n"/>
      <c r="C293" s="51" t="n"/>
      <c r="D293" s="51" t="n"/>
      <c r="E293" s="51" t="n"/>
    </row>
    <row r="294">
      <c r="B294" s="51" t="n"/>
      <c r="C294" s="51" t="n"/>
      <c r="D294" s="51" t="n"/>
      <c r="E294" s="51" t="n"/>
    </row>
    <row r="295">
      <c r="B295" s="51" t="n"/>
      <c r="C295" s="51" t="n"/>
      <c r="D295" s="51" t="n"/>
      <c r="E295" s="51" t="n"/>
    </row>
    <row r="296">
      <c r="B296" s="51" t="n"/>
      <c r="C296" s="51" t="n"/>
      <c r="D296" s="51" t="n"/>
      <c r="E296" s="51" t="n"/>
    </row>
    <row r="297">
      <c r="B297" s="51" t="n"/>
      <c r="C297" s="51" t="n"/>
      <c r="D297" s="51" t="n"/>
      <c r="E297" s="51" t="n"/>
    </row>
    <row r="298">
      <c r="B298" s="51" t="n"/>
      <c r="C298" s="51" t="n"/>
      <c r="D298" s="51" t="n"/>
      <c r="E298" s="51" t="n"/>
    </row>
    <row r="299">
      <c r="B299" s="51" t="n"/>
      <c r="C299" s="51" t="n"/>
      <c r="D299" s="51" t="n"/>
      <c r="E299" s="51" t="n"/>
    </row>
    <row r="300">
      <c r="B300" s="51" t="n"/>
      <c r="C300" s="51" t="n"/>
      <c r="D300" s="51" t="n"/>
      <c r="E300" s="51" t="n"/>
    </row>
    <row r="301">
      <c r="B301" s="51" t="n"/>
      <c r="C301" s="51" t="n"/>
      <c r="D301" s="51" t="n"/>
      <c r="E301" s="51" t="n"/>
    </row>
    <row r="302">
      <c r="B302" s="51" t="n"/>
      <c r="C302" s="51" t="n"/>
      <c r="D302" s="51" t="n"/>
      <c r="E302" s="51" t="n"/>
    </row>
    <row r="303">
      <c r="B303" s="51" t="n"/>
      <c r="C303" s="51" t="n"/>
      <c r="D303" s="51" t="n"/>
      <c r="E303" s="51" t="n"/>
    </row>
    <row r="304">
      <c r="B304" s="51" t="n"/>
      <c r="C304" s="51" t="n"/>
      <c r="D304" s="51" t="n"/>
      <c r="E304" s="51" t="n"/>
    </row>
    <row r="305">
      <c r="B305" s="51" t="n"/>
      <c r="C305" s="51" t="n"/>
      <c r="D305" s="51" t="n"/>
      <c r="E305" s="51" t="n"/>
    </row>
    <row r="306">
      <c r="B306" s="51" t="n"/>
      <c r="C306" s="51" t="n"/>
      <c r="D306" s="51" t="n"/>
      <c r="E306" s="51" t="n"/>
    </row>
    <row r="307">
      <c r="B307" s="51" t="n"/>
      <c r="C307" s="51" t="n"/>
      <c r="D307" s="51" t="n"/>
      <c r="E307" s="51" t="n"/>
    </row>
    <row r="308">
      <c r="B308" s="51" t="n"/>
      <c r="C308" s="51" t="n"/>
      <c r="D308" s="51" t="n"/>
      <c r="E308" s="51" t="n"/>
    </row>
    <row r="309">
      <c r="B309" s="51" t="n"/>
      <c r="C309" s="51" t="n"/>
      <c r="D309" s="51" t="n"/>
      <c r="E309" s="51" t="n"/>
    </row>
    <row r="310">
      <c r="B310" s="51" t="n"/>
      <c r="C310" s="51" t="n"/>
      <c r="D310" s="51" t="n"/>
      <c r="E310" s="51" t="n"/>
    </row>
    <row r="311">
      <c r="B311" s="51" t="n"/>
      <c r="C311" s="51" t="n"/>
      <c r="D311" s="51" t="n"/>
      <c r="E311" s="51" t="n"/>
    </row>
    <row r="312">
      <c r="B312" s="51" t="n"/>
      <c r="C312" s="51" t="n"/>
      <c r="D312" s="51" t="n"/>
      <c r="E312" s="51" t="n"/>
    </row>
    <row r="313">
      <c r="B313" s="51" t="n"/>
      <c r="C313" s="51" t="n"/>
      <c r="D313" s="51" t="n"/>
      <c r="E313" s="51" t="n"/>
    </row>
    <row r="314">
      <c r="B314" s="51" t="n"/>
      <c r="C314" s="51" t="n"/>
      <c r="D314" s="51" t="n"/>
      <c r="E314" s="51" t="n"/>
    </row>
    <row r="315">
      <c r="B315" s="51" t="n"/>
      <c r="C315" s="51" t="n"/>
      <c r="D315" s="51" t="n"/>
      <c r="E315" s="51" t="n"/>
    </row>
    <row r="316">
      <c r="B316" s="51" t="n"/>
      <c r="C316" s="51" t="n"/>
      <c r="D316" s="51" t="n"/>
      <c r="E316" s="51" t="n"/>
    </row>
    <row r="317">
      <c r="B317" s="51" t="n"/>
      <c r="C317" s="51" t="n"/>
      <c r="D317" s="51" t="n"/>
      <c r="E317" s="51" t="n"/>
    </row>
    <row r="318">
      <c r="B318" s="51" t="n"/>
      <c r="C318" s="51" t="n"/>
      <c r="D318" s="51" t="n"/>
      <c r="E318" s="51" t="n"/>
    </row>
    <row r="319">
      <c r="B319" s="51" t="n"/>
      <c r="C319" s="51" t="n"/>
      <c r="D319" s="51" t="n"/>
      <c r="E319" s="51" t="n"/>
    </row>
    <row r="320">
      <c r="B320" s="51" t="n"/>
      <c r="C320" s="51" t="n"/>
      <c r="D320" s="51" t="n"/>
      <c r="E320" s="51" t="n"/>
    </row>
    <row r="321">
      <c r="B321" s="51" t="n"/>
      <c r="C321" s="51" t="n"/>
      <c r="D321" s="51" t="n"/>
      <c r="E321" s="51" t="n"/>
    </row>
    <row r="322">
      <c r="B322" s="51" t="n"/>
      <c r="C322" s="51" t="n"/>
      <c r="D322" s="51" t="n"/>
      <c r="E322" s="51" t="n"/>
    </row>
    <row r="323">
      <c r="B323" s="51" t="n"/>
      <c r="C323" s="51" t="n"/>
      <c r="D323" s="51" t="n"/>
      <c r="E323" s="51" t="n"/>
    </row>
    <row r="324">
      <c r="B324" s="51" t="n"/>
      <c r="C324" s="51" t="n"/>
      <c r="D324" s="51" t="n"/>
      <c r="E324" s="51" t="n"/>
    </row>
    <row r="325">
      <c r="B325" s="51" t="n"/>
      <c r="C325" s="51" t="n"/>
      <c r="D325" s="51" t="n"/>
      <c r="E325" s="51" t="n"/>
    </row>
    <row r="326">
      <c r="B326" s="51" t="n"/>
      <c r="C326" s="51" t="n"/>
      <c r="D326" s="51" t="n"/>
      <c r="E326" s="51" t="n"/>
    </row>
    <row r="327">
      <c r="B327" s="51" t="n"/>
      <c r="C327" s="51" t="n"/>
      <c r="D327" s="51" t="n"/>
      <c r="E327" s="51" t="n"/>
    </row>
    <row r="328">
      <c r="B328" s="51" t="n"/>
      <c r="C328" s="51" t="n"/>
      <c r="D328" s="51" t="n"/>
      <c r="E328" s="51" t="n"/>
    </row>
    <row r="329">
      <c r="B329" s="51" t="n"/>
      <c r="C329" s="51" t="n"/>
      <c r="D329" s="51" t="n"/>
      <c r="E329" s="51" t="n"/>
    </row>
    <row r="330">
      <c r="B330" s="51" t="n"/>
      <c r="C330" s="51" t="n"/>
      <c r="D330" s="51" t="n"/>
      <c r="E330" s="51" t="n"/>
    </row>
    <row r="331">
      <c r="B331" s="51" t="n"/>
      <c r="C331" s="51" t="n"/>
      <c r="D331" s="51" t="n"/>
      <c r="E331" s="51" t="n"/>
    </row>
    <row r="332">
      <c r="B332" s="51" t="n"/>
      <c r="C332" s="51" t="n"/>
      <c r="D332" s="51" t="n"/>
      <c r="E332" s="51" t="n"/>
    </row>
    <row r="333">
      <c r="B333" s="51" t="n"/>
      <c r="C333" s="51" t="n"/>
      <c r="D333" s="51" t="n"/>
      <c r="E333" s="51" t="n"/>
    </row>
    <row r="334">
      <c r="B334" s="51" t="n"/>
      <c r="C334" s="51" t="n"/>
      <c r="D334" s="51" t="n"/>
      <c r="E334" s="51" t="n"/>
    </row>
    <row r="335">
      <c r="B335" s="51" t="n"/>
      <c r="C335" s="51" t="n"/>
      <c r="D335" s="51" t="n"/>
      <c r="E335" s="51" t="n"/>
    </row>
    <row r="336">
      <c r="B336" s="51" t="n"/>
      <c r="C336" s="51" t="n"/>
      <c r="D336" s="51" t="n"/>
      <c r="E336" s="51" t="n"/>
    </row>
    <row r="337">
      <c r="B337" s="51" t="n"/>
      <c r="C337" s="51" t="n"/>
      <c r="D337" s="51" t="n"/>
      <c r="E337" s="51" t="n"/>
    </row>
    <row r="338">
      <c r="B338" s="51" t="n"/>
      <c r="C338" s="51" t="n"/>
      <c r="D338" s="51" t="n"/>
      <c r="E338" s="51" t="n"/>
    </row>
    <row r="339">
      <c r="B339" s="51" t="n"/>
      <c r="C339" s="51" t="n"/>
      <c r="D339" s="51" t="n"/>
      <c r="E339" s="51" t="n"/>
    </row>
    <row r="340">
      <c r="B340" s="51" t="n"/>
      <c r="C340" s="51" t="n"/>
      <c r="D340" s="51" t="n"/>
      <c r="E340" s="51" t="n"/>
    </row>
    <row r="341">
      <c r="B341" s="51" t="n"/>
      <c r="C341" s="51" t="n"/>
      <c r="D341" s="51" t="n"/>
      <c r="E341" s="51" t="n"/>
    </row>
    <row r="342">
      <c r="B342" s="51" t="n"/>
      <c r="C342" s="51" t="n"/>
      <c r="D342" s="51" t="n"/>
      <c r="E342" s="51" t="n"/>
    </row>
    <row r="343">
      <c r="B343" s="51" t="n"/>
      <c r="C343" s="51" t="n"/>
      <c r="D343" s="51" t="n"/>
      <c r="E343" s="51" t="n"/>
    </row>
    <row r="344">
      <c r="B344" s="51" t="n"/>
      <c r="C344" s="51" t="n"/>
      <c r="D344" s="51" t="n"/>
      <c r="E344" s="51" t="n"/>
    </row>
    <row r="345">
      <c r="B345" s="51" t="n"/>
      <c r="C345" s="51" t="n"/>
      <c r="D345" s="51" t="n"/>
      <c r="E345" s="51" t="n"/>
    </row>
    <row r="346">
      <c r="B346" s="51" t="n"/>
      <c r="C346" s="51" t="n"/>
      <c r="D346" s="51" t="n"/>
      <c r="E346" s="51" t="n"/>
    </row>
    <row r="347">
      <c r="B347" s="51" t="n"/>
      <c r="C347" s="51" t="n"/>
      <c r="D347" s="51" t="n"/>
      <c r="E347" s="51" t="n"/>
    </row>
    <row r="348">
      <c r="B348" s="51" t="n"/>
      <c r="C348" s="51" t="n"/>
      <c r="D348" s="51" t="n"/>
      <c r="E348" s="51" t="n"/>
    </row>
    <row r="349">
      <c r="B349" s="51" t="n"/>
      <c r="C349" s="51" t="n"/>
      <c r="D349" s="51" t="n"/>
      <c r="E349" s="51" t="n"/>
    </row>
    <row r="350">
      <c r="B350" s="51" t="n"/>
      <c r="C350" s="51" t="n"/>
      <c r="D350" s="51" t="n"/>
      <c r="E350" s="51" t="n"/>
    </row>
    <row r="351">
      <c r="B351" s="51" t="n"/>
      <c r="C351" s="51" t="n"/>
      <c r="D351" s="51" t="n"/>
      <c r="E351" s="51" t="n"/>
    </row>
    <row r="352">
      <c r="B352" s="51" t="n"/>
      <c r="C352" s="51" t="n"/>
      <c r="D352" s="51" t="n"/>
      <c r="E352" s="51" t="n"/>
    </row>
    <row r="353">
      <c r="B353" s="51" t="n"/>
      <c r="C353" s="51" t="n"/>
      <c r="D353" s="51" t="n"/>
      <c r="E353" s="51" t="n"/>
    </row>
    <row r="354">
      <c r="B354" s="51" t="n"/>
      <c r="C354" s="51" t="n"/>
      <c r="D354" s="51" t="n"/>
      <c r="E354" s="51" t="n"/>
    </row>
    <row r="355">
      <c r="B355" s="51" t="n"/>
      <c r="C355" s="51" t="n"/>
      <c r="D355" s="51" t="n"/>
      <c r="E355" s="51" t="n"/>
    </row>
    <row r="356">
      <c r="B356" s="51" t="n"/>
      <c r="C356" s="51" t="n"/>
      <c r="D356" s="51" t="n"/>
      <c r="E356" s="51" t="n"/>
    </row>
    <row r="357">
      <c r="B357" s="51" t="n"/>
      <c r="C357" s="51" t="n"/>
      <c r="D357" s="51" t="n"/>
      <c r="E357" s="51" t="n"/>
    </row>
    <row r="358">
      <c r="B358" s="51" t="n"/>
      <c r="C358" s="51" t="n"/>
      <c r="D358" s="51" t="n"/>
      <c r="E358" s="51" t="n"/>
    </row>
    <row r="359">
      <c r="B359" s="51" t="n"/>
      <c r="C359" s="51" t="n"/>
      <c r="D359" s="51" t="n"/>
      <c r="E359" s="51" t="n"/>
    </row>
    <row r="360">
      <c r="B360" s="51" t="n"/>
      <c r="C360" s="51" t="n"/>
      <c r="D360" s="51" t="n"/>
      <c r="E360" s="51" t="n"/>
    </row>
    <row r="361">
      <c r="B361" s="51" t="n"/>
      <c r="C361" s="51" t="n"/>
      <c r="D361" s="51" t="n"/>
      <c r="E361" s="51" t="n"/>
    </row>
    <row r="362">
      <c r="B362" s="51" t="n"/>
      <c r="C362" s="51" t="n"/>
      <c r="D362" s="51" t="n"/>
      <c r="E362" s="51" t="n"/>
    </row>
    <row r="363">
      <c r="B363" s="51" t="n"/>
      <c r="C363" s="51" t="n"/>
      <c r="D363" s="51" t="n"/>
      <c r="E363" s="51" t="n"/>
    </row>
    <row r="364">
      <c r="B364" s="51" t="n"/>
      <c r="C364" s="51" t="n"/>
      <c r="D364" s="51" t="n"/>
      <c r="E364" s="51" t="n"/>
    </row>
    <row r="365">
      <c r="B365" s="51" t="n"/>
      <c r="C365" s="51" t="n"/>
      <c r="D365" s="51" t="n"/>
      <c r="E365" s="51" t="n"/>
    </row>
    <row r="366">
      <c r="B366" s="51" t="n"/>
      <c r="C366" s="51" t="n"/>
      <c r="D366" s="51" t="n"/>
      <c r="E366" s="51" t="n"/>
    </row>
    <row r="367">
      <c r="B367" s="51" t="n"/>
      <c r="C367" s="51" t="n"/>
      <c r="D367" s="51" t="n"/>
      <c r="E367" s="51" t="n"/>
    </row>
    <row r="368">
      <c r="B368" s="51" t="n"/>
      <c r="C368" s="51" t="n"/>
      <c r="D368" s="51" t="n"/>
      <c r="E368" s="51" t="n"/>
    </row>
    <row r="369">
      <c r="B369" s="51" t="n"/>
      <c r="C369" s="51" t="n"/>
      <c r="D369" s="51" t="n"/>
      <c r="E369" s="51" t="n"/>
    </row>
    <row r="370">
      <c r="B370" s="51" t="n"/>
      <c r="C370" s="51" t="n"/>
      <c r="D370" s="51" t="n"/>
      <c r="E370" s="51" t="n"/>
    </row>
    <row r="371">
      <c r="B371" s="51" t="n"/>
      <c r="C371" s="51" t="n"/>
      <c r="D371" s="51" t="n"/>
      <c r="E371" s="51" t="n"/>
    </row>
    <row r="372">
      <c r="B372" s="51" t="n"/>
      <c r="C372" s="51" t="n"/>
      <c r="D372" s="51" t="n"/>
      <c r="E372" s="51" t="n"/>
    </row>
    <row r="373">
      <c r="B373" s="51" t="n"/>
      <c r="C373" s="51" t="n"/>
      <c r="D373" s="51" t="n"/>
      <c r="E373" s="51" t="n"/>
    </row>
    <row r="374">
      <c r="B374" s="51" t="n"/>
      <c r="C374" s="51" t="n"/>
      <c r="D374" s="51" t="n"/>
      <c r="E374" s="51" t="n"/>
    </row>
    <row r="375">
      <c r="B375" s="51" t="n"/>
      <c r="C375" s="51" t="n"/>
      <c r="D375" s="51" t="n"/>
      <c r="E375" s="51" t="n"/>
    </row>
    <row r="376">
      <c r="B376" s="51" t="n"/>
      <c r="C376" s="51" t="n"/>
      <c r="D376" s="51" t="n"/>
      <c r="E376" s="51" t="n"/>
    </row>
    <row r="377">
      <c r="B377" s="51" t="n"/>
      <c r="C377" s="51" t="n"/>
      <c r="D377" s="51" t="n"/>
      <c r="E377" s="51" t="n"/>
    </row>
    <row r="378">
      <c r="B378" s="51" t="n"/>
      <c r="C378" s="51" t="n"/>
      <c r="D378" s="51" t="n"/>
      <c r="E378" s="51" t="n"/>
    </row>
    <row r="379">
      <c r="B379" s="51" t="n"/>
      <c r="C379" s="51" t="n"/>
      <c r="D379" s="51" t="n"/>
      <c r="E379" s="51" t="n"/>
    </row>
    <row r="380">
      <c r="B380" s="51" t="n"/>
      <c r="C380" s="51" t="n"/>
      <c r="D380" s="51" t="n"/>
      <c r="E380" s="51" t="n"/>
    </row>
    <row r="381">
      <c r="B381" s="51" t="n"/>
      <c r="C381" s="51" t="n"/>
      <c r="D381" s="51" t="n"/>
      <c r="E381" s="51" t="n"/>
    </row>
    <row r="382">
      <c r="B382" s="51" t="n"/>
      <c r="C382" s="51" t="n"/>
      <c r="D382" s="51" t="n"/>
      <c r="E382" s="51" t="n"/>
    </row>
    <row r="383">
      <c r="B383" s="51" t="n"/>
      <c r="C383" s="51" t="n"/>
      <c r="D383" s="51" t="n"/>
      <c r="E383" s="51" t="n"/>
    </row>
    <row r="384">
      <c r="B384" s="51" t="n"/>
      <c r="C384" s="51" t="n"/>
      <c r="D384" s="51" t="n"/>
      <c r="E384" s="51" t="n"/>
    </row>
    <row r="385">
      <c r="B385" s="51" t="n"/>
      <c r="C385" s="51" t="n"/>
      <c r="D385" s="51" t="n"/>
      <c r="E385" s="51" t="n"/>
    </row>
    <row r="386">
      <c r="B386" s="51" t="n"/>
      <c r="C386" s="51" t="n"/>
      <c r="D386" s="51" t="n"/>
      <c r="E386" s="51" t="n"/>
    </row>
    <row r="387">
      <c r="B387" s="51" t="n"/>
      <c r="C387" s="51" t="n"/>
      <c r="D387" s="51" t="n"/>
      <c r="E387" s="51" t="n"/>
    </row>
    <row r="388">
      <c r="B388" s="51" t="n"/>
      <c r="C388" s="51" t="n"/>
      <c r="D388" s="51" t="n"/>
      <c r="E388" s="51" t="n"/>
    </row>
    <row r="389">
      <c r="B389" s="51" t="n"/>
      <c r="C389" s="51" t="n"/>
      <c r="D389" s="51" t="n"/>
      <c r="E389" s="51" t="n"/>
    </row>
    <row r="390">
      <c r="B390" s="51" t="n"/>
      <c r="C390" s="51" t="n"/>
      <c r="D390" s="51" t="n"/>
      <c r="E390" s="51" t="n"/>
    </row>
    <row r="391">
      <c r="B391" s="51" t="n"/>
      <c r="C391" s="51" t="n"/>
      <c r="D391" s="51" t="n"/>
      <c r="E391" s="51" t="n"/>
    </row>
    <row r="392">
      <c r="B392" s="51" t="n"/>
      <c r="C392" s="51" t="n"/>
      <c r="D392" s="51" t="n"/>
      <c r="E392" s="51" t="n"/>
    </row>
    <row r="393">
      <c r="B393" s="51" t="n"/>
      <c r="C393" s="51" t="n"/>
      <c r="D393" s="51" t="n"/>
      <c r="E393" s="51" t="n"/>
    </row>
    <row r="394">
      <c r="B394" s="51" t="n"/>
      <c r="C394" s="51" t="n"/>
      <c r="D394" s="51" t="n"/>
      <c r="E394" s="51" t="n"/>
    </row>
    <row r="395">
      <c r="B395" s="51" t="n"/>
      <c r="C395" s="51" t="n"/>
      <c r="D395" s="51" t="n"/>
      <c r="E395" s="51" t="n"/>
    </row>
    <row r="396">
      <c r="B396" s="51" t="n"/>
      <c r="C396" s="51" t="n"/>
      <c r="D396" s="51" t="n"/>
      <c r="E396" s="51" t="n"/>
    </row>
    <row r="397">
      <c r="B397" s="51" t="n"/>
      <c r="C397" s="51" t="n"/>
      <c r="D397" s="51" t="n"/>
      <c r="E397" s="51" t="n"/>
    </row>
    <row r="398">
      <c r="B398" s="51" t="n"/>
      <c r="C398" s="51" t="n"/>
      <c r="D398" s="51" t="n"/>
      <c r="E398" s="51" t="n"/>
    </row>
    <row r="399">
      <c r="B399" s="51" t="n"/>
      <c r="C399" s="51" t="n"/>
      <c r="D399" s="51" t="n"/>
      <c r="E399" s="51" t="n"/>
    </row>
    <row r="400">
      <c r="B400" s="51" t="n"/>
      <c r="C400" s="51" t="n"/>
      <c r="D400" s="51" t="n"/>
      <c r="E400" s="51" t="n"/>
    </row>
    <row r="401">
      <c r="B401" s="51" t="n"/>
      <c r="C401" s="51" t="n"/>
      <c r="D401" s="51" t="n"/>
      <c r="E401" s="51" t="n"/>
    </row>
    <row r="402">
      <c r="B402" s="51" t="n"/>
      <c r="C402" s="51" t="n"/>
      <c r="D402" s="51" t="n"/>
      <c r="E402" s="51" t="n"/>
    </row>
    <row r="403">
      <c r="B403" s="51" t="n"/>
      <c r="C403" s="51" t="n"/>
      <c r="D403" s="51" t="n"/>
      <c r="E403" s="51" t="n"/>
    </row>
    <row r="404">
      <c r="B404" s="51" t="n"/>
      <c r="C404" s="51" t="n"/>
      <c r="D404" s="51" t="n"/>
      <c r="E404" s="51" t="n"/>
    </row>
    <row r="405">
      <c r="B405" s="51" t="n"/>
      <c r="C405" s="51" t="n"/>
      <c r="D405" s="51" t="n"/>
      <c r="E405" s="51" t="n"/>
    </row>
    <row r="406">
      <c r="B406" s="51" t="n"/>
      <c r="C406" s="51" t="n"/>
      <c r="D406" s="51" t="n"/>
      <c r="E406" s="51" t="n"/>
    </row>
    <row r="407">
      <c r="B407" s="51" t="n"/>
      <c r="C407" s="51" t="n"/>
      <c r="D407" s="51" t="n"/>
      <c r="E407" s="51" t="n"/>
    </row>
    <row r="408">
      <c r="B408" s="51" t="n"/>
      <c r="C408" s="51" t="n"/>
      <c r="D408" s="51" t="n"/>
      <c r="E408" s="51" t="n"/>
    </row>
    <row r="409">
      <c r="B409" s="51" t="n"/>
      <c r="C409" s="51" t="n"/>
      <c r="D409" s="51" t="n"/>
      <c r="E409" s="51" t="n"/>
    </row>
    <row r="410">
      <c r="B410" s="51" t="n"/>
      <c r="C410" s="51" t="n"/>
      <c r="D410" s="51" t="n"/>
      <c r="E410" s="51" t="n"/>
    </row>
    <row r="411">
      <c r="B411" s="51" t="n"/>
      <c r="C411" s="51" t="n"/>
      <c r="D411" s="51" t="n"/>
      <c r="E411" s="51" t="n"/>
    </row>
    <row r="412">
      <c r="B412" s="51" t="n"/>
      <c r="C412" s="51" t="n"/>
      <c r="D412" s="51" t="n"/>
      <c r="E412" s="51" t="n"/>
    </row>
    <row r="413">
      <c r="B413" s="51" t="n"/>
      <c r="C413" s="51" t="n"/>
      <c r="D413" s="51" t="n"/>
      <c r="E413" s="51" t="n"/>
    </row>
    <row r="414">
      <c r="B414" s="51" t="n"/>
      <c r="C414" s="51" t="n"/>
      <c r="D414" s="51" t="n"/>
      <c r="E414" s="51" t="n"/>
    </row>
    <row r="415">
      <c r="B415" s="51" t="n"/>
      <c r="C415" s="51" t="n"/>
      <c r="D415" s="51" t="n"/>
      <c r="E415" s="51" t="n"/>
    </row>
    <row r="416">
      <c r="B416" s="51" t="n"/>
      <c r="C416" s="51" t="n"/>
      <c r="D416" s="51" t="n"/>
      <c r="E416" s="51" t="n"/>
    </row>
    <row r="417">
      <c r="B417" s="51" t="n"/>
      <c r="C417" s="51" t="n"/>
      <c r="D417" s="51" t="n"/>
      <c r="E417" s="51" t="n"/>
    </row>
    <row r="418">
      <c r="B418" s="51" t="n"/>
      <c r="C418" s="51" t="n"/>
      <c r="D418" s="51" t="n"/>
      <c r="E418" s="51" t="n"/>
    </row>
    <row r="419">
      <c r="B419" s="51" t="n"/>
      <c r="C419" s="51" t="n"/>
      <c r="D419" s="51" t="n"/>
      <c r="E419" s="51" t="n"/>
    </row>
    <row r="420">
      <c r="B420" s="51" t="n"/>
      <c r="C420" s="51" t="n"/>
      <c r="D420" s="51" t="n"/>
      <c r="E420" s="51" t="n"/>
    </row>
    <row r="421">
      <c r="B421" s="51" t="n"/>
      <c r="C421" s="51" t="n"/>
      <c r="D421" s="51" t="n"/>
      <c r="E421" s="51" t="n"/>
    </row>
    <row r="422">
      <c r="B422" s="51" t="n"/>
      <c r="C422" s="51" t="n"/>
      <c r="D422" s="51" t="n"/>
      <c r="E422" s="51" t="n"/>
    </row>
    <row r="423">
      <c r="B423" s="51" t="n"/>
      <c r="C423" s="51" t="n"/>
      <c r="D423" s="51" t="n"/>
      <c r="E423" s="51" t="n"/>
    </row>
    <row r="424">
      <c r="B424" s="51" t="n"/>
      <c r="C424" s="51" t="n"/>
      <c r="D424" s="51" t="n"/>
      <c r="E424" s="51" t="n"/>
    </row>
    <row r="425">
      <c r="B425" s="51" t="n"/>
      <c r="C425" s="51" t="n"/>
      <c r="D425" s="51" t="n"/>
      <c r="E425" s="51" t="n"/>
    </row>
    <row r="426">
      <c r="B426" s="51" t="n"/>
      <c r="C426" s="51" t="n"/>
      <c r="D426" s="51" t="n"/>
      <c r="E426" s="51" t="n"/>
    </row>
    <row r="427">
      <c r="B427" s="51" t="n"/>
      <c r="C427" s="51" t="n"/>
      <c r="D427" s="51" t="n"/>
      <c r="E427" s="51" t="n"/>
    </row>
    <row r="428">
      <c r="B428" s="51" t="n"/>
      <c r="C428" s="51" t="n"/>
      <c r="D428" s="51" t="n"/>
      <c r="E428" s="51" t="n"/>
    </row>
    <row r="429">
      <c r="B429" s="51" t="n"/>
      <c r="C429" s="51" t="n"/>
      <c r="D429" s="51" t="n"/>
      <c r="E429" s="51" t="n"/>
    </row>
    <row r="430">
      <c r="B430" s="51" t="n"/>
      <c r="C430" s="51" t="n"/>
      <c r="D430" s="51" t="n"/>
      <c r="E430" s="51" t="n"/>
    </row>
    <row r="431">
      <c r="B431" s="51" t="n"/>
      <c r="C431" s="51" t="n"/>
      <c r="D431" s="51" t="n"/>
      <c r="E431" s="51" t="n"/>
    </row>
    <row r="432">
      <c r="B432" s="51" t="n"/>
      <c r="C432" s="51" t="n"/>
      <c r="D432" s="51" t="n"/>
      <c r="E432" s="51" t="n"/>
    </row>
    <row r="433">
      <c r="B433" s="51" t="n"/>
      <c r="C433" s="51" t="n"/>
      <c r="D433" s="51" t="n"/>
      <c r="E433" s="51" t="n"/>
    </row>
    <row r="434">
      <c r="B434" s="51" t="n"/>
      <c r="C434" s="51" t="n"/>
      <c r="D434" s="51" t="n"/>
      <c r="E434" s="51" t="n"/>
    </row>
    <row r="435">
      <c r="B435" s="51" t="n"/>
      <c r="C435" s="51" t="n"/>
      <c r="D435" s="51" t="n"/>
      <c r="E435" s="51" t="n"/>
    </row>
    <row r="436">
      <c r="B436" s="51" t="n"/>
      <c r="C436" s="51" t="n"/>
      <c r="D436" s="51" t="n"/>
      <c r="E436" s="51" t="n"/>
    </row>
    <row r="437">
      <c r="B437" s="51" t="n"/>
      <c r="C437" s="51" t="n"/>
      <c r="D437" s="51" t="n"/>
      <c r="E437" s="51" t="n"/>
    </row>
    <row r="438">
      <c r="B438" s="51" t="n"/>
      <c r="C438" s="51" t="n"/>
      <c r="D438" s="51" t="n"/>
      <c r="E438" s="51" t="n"/>
    </row>
    <row r="439">
      <c r="B439" s="51" t="n"/>
      <c r="C439" s="51" t="n"/>
      <c r="D439" s="51" t="n"/>
      <c r="E439" s="51" t="n"/>
    </row>
    <row r="440">
      <c r="B440" s="51" t="n"/>
      <c r="C440" s="51" t="n"/>
      <c r="D440" s="51" t="n"/>
      <c r="E440" s="51" t="n"/>
    </row>
    <row r="441">
      <c r="B441" s="51" t="n"/>
      <c r="C441" s="51" t="n"/>
      <c r="D441" s="51" t="n"/>
      <c r="E441" s="51" t="n"/>
    </row>
    <row r="442">
      <c r="B442" s="51" t="n"/>
      <c r="C442" s="51" t="n"/>
      <c r="D442" s="51" t="n"/>
      <c r="E442" s="51" t="n"/>
    </row>
    <row r="443">
      <c r="B443" s="51" t="n"/>
      <c r="C443" s="51" t="n"/>
      <c r="D443" s="51" t="n"/>
      <c r="E443" s="51" t="n"/>
    </row>
    <row r="444">
      <c r="B444" s="51" t="n"/>
      <c r="C444" s="51" t="n"/>
      <c r="D444" s="51" t="n"/>
      <c r="E444" s="51" t="n"/>
    </row>
    <row r="445">
      <c r="B445" s="51" t="n"/>
      <c r="C445" s="51" t="n"/>
      <c r="D445" s="51" t="n"/>
      <c r="E445" s="51" t="n"/>
    </row>
    <row r="446">
      <c r="B446" s="51" t="n"/>
      <c r="C446" s="51" t="n"/>
      <c r="D446" s="51" t="n"/>
      <c r="E446" s="51" t="n"/>
    </row>
    <row r="447">
      <c r="B447" s="51" t="n"/>
      <c r="C447" s="51" t="n"/>
      <c r="D447" s="51" t="n"/>
      <c r="E447" s="51" t="n"/>
    </row>
    <row r="448">
      <c r="B448" s="51" t="n"/>
      <c r="C448" s="51" t="n"/>
      <c r="D448" s="51" t="n"/>
      <c r="E448" s="51" t="n"/>
    </row>
    <row r="449">
      <c r="B449" s="51" t="n"/>
      <c r="C449" s="51" t="n"/>
      <c r="D449" s="51" t="n"/>
      <c r="E449" s="51" t="n"/>
    </row>
    <row r="450">
      <c r="B450" s="51" t="n"/>
      <c r="C450" s="51" t="n"/>
      <c r="D450" s="51" t="n"/>
      <c r="E450" s="51" t="n"/>
    </row>
    <row r="451">
      <c r="B451" s="51" t="n"/>
      <c r="C451" s="51" t="n"/>
      <c r="D451" s="51" t="n"/>
      <c r="E451" s="51" t="n"/>
    </row>
    <row r="452">
      <c r="B452" s="51" t="n"/>
      <c r="C452" s="51" t="n"/>
      <c r="D452" s="51" t="n"/>
      <c r="E452" s="51" t="n"/>
    </row>
    <row r="453">
      <c r="B453" s="51" t="n"/>
      <c r="C453" s="51" t="n"/>
      <c r="D453" s="51" t="n"/>
      <c r="E453" s="51" t="n"/>
    </row>
    <row r="454">
      <c r="B454" s="51" t="n"/>
      <c r="C454" s="51" t="n"/>
      <c r="D454" s="51" t="n"/>
      <c r="E454" s="51" t="n"/>
    </row>
    <row r="455">
      <c r="B455" s="51" t="n"/>
      <c r="C455" s="51" t="n"/>
      <c r="D455" s="51" t="n"/>
      <c r="E455" s="51" t="n"/>
    </row>
    <row r="456">
      <c r="B456" s="51" t="n"/>
      <c r="C456" s="51" t="n"/>
      <c r="D456" s="51" t="n"/>
      <c r="E456" s="51" t="n"/>
    </row>
    <row r="457">
      <c r="B457" s="51" t="n"/>
      <c r="C457" s="51" t="n"/>
      <c r="D457" s="51" t="n"/>
      <c r="E457" s="51" t="n"/>
    </row>
    <row r="458">
      <c r="B458" s="51" t="n"/>
      <c r="C458" s="51" t="n"/>
      <c r="D458" s="51" t="n"/>
      <c r="E458" s="51" t="n"/>
    </row>
    <row r="459">
      <c r="B459" s="51" t="n"/>
      <c r="C459" s="51" t="n"/>
      <c r="D459" s="51" t="n"/>
      <c r="E459" s="51" t="n"/>
    </row>
    <row r="460">
      <c r="B460" s="51" t="n"/>
      <c r="C460" s="51" t="n"/>
      <c r="D460" s="51" t="n"/>
      <c r="E460" s="51" t="n"/>
    </row>
    <row r="461">
      <c r="B461" s="51" t="n"/>
      <c r="C461" s="51" t="n"/>
      <c r="D461" s="51" t="n"/>
      <c r="E461" s="51" t="n"/>
    </row>
    <row r="462">
      <c r="B462" s="51" t="n"/>
      <c r="C462" s="51" t="n"/>
      <c r="D462" s="51" t="n"/>
      <c r="E462" s="51" t="n"/>
    </row>
    <row r="463">
      <c r="B463" s="51" t="n"/>
      <c r="C463" s="51" t="n"/>
      <c r="D463" s="51" t="n"/>
      <c r="E463" s="51" t="n"/>
    </row>
    <row r="464">
      <c r="B464" s="51" t="n"/>
      <c r="C464" s="51" t="n"/>
      <c r="D464" s="51" t="n"/>
      <c r="E464" s="51" t="n"/>
    </row>
    <row r="465">
      <c r="B465" s="51" t="n"/>
      <c r="C465" s="51" t="n"/>
      <c r="D465" s="51" t="n"/>
      <c r="E465" s="51" t="n"/>
    </row>
    <row r="466">
      <c r="B466" s="51" t="n"/>
      <c r="C466" s="51" t="n"/>
      <c r="D466" s="51" t="n"/>
      <c r="E466" s="51" t="n"/>
    </row>
    <row r="467">
      <c r="B467" s="51" t="n"/>
      <c r="C467" s="51" t="n"/>
      <c r="D467" s="51" t="n"/>
      <c r="E467" s="51" t="n"/>
    </row>
    <row r="468">
      <c r="B468" s="51" t="n"/>
      <c r="C468" s="51" t="n"/>
      <c r="D468" s="51" t="n"/>
      <c r="E468" s="51" t="n"/>
    </row>
    <row r="469">
      <c r="B469" s="51" t="n"/>
      <c r="C469" s="51" t="n"/>
      <c r="D469" s="51" t="n"/>
      <c r="E469" s="51" t="n"/>
    </row>
    <row r="470">
      <c r="B470" s="51" t="n"/>
      <c r="C470" s="51" t="n"/>
      <c r="D470" s="51" t="n"/>
      <c r="E470" s="51" t="n"/>
    </row>
    <row r="471">
      <c r="B471" s="51" t="n"/>
      <c r="C471" s="51" t="n"/>
      <c r="D471" s="51" t="n"/>
      <c r="E471" s="51" t="n"/>
    </row>
    <row r="472">
      <c r="B472" s="51" t="n"/>
      <c r="C472" s="51" t="n"/>
      <c r="D472" s="51" t="n"/>
      <c r="E472" s="51" t="n"/>
    </row>
    <row r="473">
      <c r="B473" s="51" t="n"/>
      <c r="C473" s="51" t="n"/>
      <c r="D473" s="51" t="n"/>
      <c r="E473" s="51" t="n"/>
    </row>
    <row r="474">
      <c r="B474" s="51" t="n"/>
      <c r="C474" s="51" t="n"/>
      <c r="D474" s="51" t="n"/>
      <c r="E474" s="51" t="n"/>
    </row>
    <row r="475">
      <c r="B475" s="51" t="n"/>
      <c r="C475" s="51" t="n"/>
      <c r="D475" s="51" t="n"/>
      <c r="E475" s="51" t="n"/>
    </row>
    <row r="476">
      <c r="B476" s="51" t="n"/>
      <c r="C476" s="51" t="n"/>
      <c r="D476" s="51" t="n"/>
      <c r="E476" s="51" t="n"/>
    </row>
    <row r="477">
      <c r="B477" s="51" t="n"/>
      <c r="C477" s="51" t="n"/>
      <c r="D477" s="51" t="n"/>
      <c r="E477" s="51" t="n"/>
    </row>
    <row r="478">
      <c r="B478" s="51" t="n"/>
      <c r="C478" s="51" t="n"/>
      <c r="D478" s="51" t="n"/>
      <c r="E478" s="51" t="n"/>
    </row>
    <row r="479">
      <c r="B479" s="51" t="n"/>
      <c r="C479" s="51" t="n"/>
      <c r="D479" s="51" t="n"/>
      <c r="E479" s="51" t="n"/>
    </row>
    <row r="480">
      <c r="B480" s="51" t="n"/>
      <c r="C480" s="51" t="n"/>
      <c r="D480" s="51" t="n"/>
      <c r="E480" s="51" t="n"/>
    </row>
    <row r="481">
      <c r="B481" s="51" t="n"/>
      <c r="C481" s="51" t="n"/>
      <c r="D481" s="51" t="n"/>
      <c r="E481" s="51" t="n"/>
    </row>
    <row r="482">
      <c r="B482" s="51" t="n"/>
      <c r="C482" s="51" t="n"/>
      <c r="D482" s="51" t="n"/>
      <c r="E482" s="51" t="n"/>
    </row>
    <row r="483">
      <c r="B483" s="51" t="n"/>
      <c r="C483" s="51" t="n"/>
      <c r="D483" s="51" t="n"/>
      <c r="E483" s="51" t="n"/>
    </row>
    <row r="484">
      <c r="B484" s="51" t="n"/>
      <c r="C484" s="51" t="n"/>
      <c r="D484" s="51" t="n"/>
      <c r="E484" s="51" t="n"/>
    </row>
    <row r="485">
      <c r="B485" s="51" t="n"/>
      <c r="C485" s="51" t="n"/>
      <c r="D485" s="51" t="n"/>
      <c r="E485" s="51" t="n"/>
    </row>
    <row r="486">
      <c r="B486" s="51" t="n"/>
      <c r="C486" s="51" t="n"/>
      <c r="D486" s="51" t="n"/>
      <c r="E486" s="51" t="n"/>
    </row>
    <row r="487">
      <c r="B487" s="51" t="n"/>
      <c r="C487" s="51" t="n"/>
      <c r="D487" s="51" t="n"/>
      <c r="E487" s="51" t="n"/>
    </row>
    <row r="488">
      <c r="B488" s="51" t="n"/>
      <c r="C488" s="51" t="n"/>
      <c r="D488" s="51" t="n"/>
      <c r="E488" s="51" t="n"/>
    </row>
    <row r="489">
      <c r="B489" s="51" t="n"/>
      <c r="C489" s="51" t="n"/>
      <c r="D489" s="51" t="n"/>
      <c r="E489" s="51" t="n"/>
    </row>
    <row r="490">
      <c r="B490" s="51" t="n"/>
      <c r="C490" s="51" t="n"/>
      <c r="D490" s="51" t="n"/>
      <c r="E490" s="51" t="n"/>
    </row>
    <row r="491">
      <c r="B491" s="51" t="n"/>
      <c r="C491" s="51" t="n"/>
      <c r="D491" s="51" t="n"/>
      <c r="E491" s="51" t="n"/>
    </row>
    <row r="492">
      <c r="B492" s="51" t="n"/>
      <c r="C492" s="51" t="n"/>
      <c r="D492" s="51" t="n"/>
      <c r="E492" s="51" t="n"/>
    </row>
    <row r="493">
      <c r="B493" s="51" t="n"/>
      <c r="C493" s="51" t="n"/>
      <c r="D493" s="51" t="n"/>
      <c r="E493" s="51" t="n"/>
    </row>
    <row r="494">
      <c r="B494" s="51" t="n"/>
      <c r="C494" s="51" t="n"/>
      <c r="D494" s="51" t="n"/>
      <c r="E494" s="51" t="n"/>
    </row>
    <row r="495">
      <c r="B495" s="51" t="n"/>
      <c r="C495" s="51" t="n"/>
      <c r="D495" s="51" t="n"/>
      <c r="E495" s="51" t="n"/>
    </row>
    <row r="496">
      <c r="B496" s="51" t="n"/>
      <c r="C496" s="51" t="n"/>
      <c r="D496" s="51" t="n"/>
      <c r="E496" s="51" t="n"/>
    </row>
    <row r="497">
      <c r="B497" s="51" t="n"/>
      <c r="C497" s="51" t="n"/>
      <c r="D497" s="51" t="n"/>
      <c r="E497" s="51" t="n"/>
    </row>
    <row r="498">
      <c r="B498" s="51" t="n"/>
      <c r="C498" s="51" t="n"/>
      <c r="D498" s="51" t="n"/>
      <c r="E498" s="51" t="n"/>
    </row>
    <row r="499">
      <c r="B499" s="51" t="n"/>
      <c r="C499" s="51" t="n"/>
      <c r="D499" s="51" t="n"/>
      <c r="E499" s="51" t="n"/>
    </row>
    <row r="500">
      <c r="B500" s="51" t="n"/>
      <c r="C500" s="51" t="n"/>
      <c r="D500" s="51" t="n"/>
      <c r="E500" s="51" t="n"/>
    </row>
    <row r="501">
      <c r="B501" s="51" t="n"/>
      <c r="C501" s="51" t="n"/>
      <c r="D501" s="51" t="n"/>
      <c r="E501" s="51" t="n"/>
    </row>
    <row r="502">
      <c r="B502" s="51" t="n"/>
      <c r="C502" s="51" t="n"/>
      <c r="D502" s="51" t="n"/>
      <c r="E502" s="51" t="n"/>
    </row>
    <row r="503">
      <c r="B503" s="51" t="n"/>
      <c r="C503" s="51" t="n"/>
      <c r="D503" s="51" t="n"/>
      <c r="E503" s="51" t="n"/>
    </row>
    <row r="504">
      <c r="B504" s="51" t="n"/>
      <c r="C504" s="51" t="n"/>
      <c r="D504" s="51" t="n"/>
      <c r="E504" s="51" t="n"/>
    </row>
    <row r="505">
      <c r="B505" s="51" t="n"/>
      <c r="C505" s="51" t="n"/>
      <c r="D505" s="51" t="n"/>
      <c r="E505" s="51" t="n"/>
    </row>
    <row r="506">
      <c r="B506" s="51" t="n"/>
      <c r="C506" s="51" t="n"/>
      <c r="D506" s="51" t="n"/>
      <c r="E506" s="51" t="n"/>
    </row>
    <row r="507">
      <c r="B507" s="51" t="n"/>
      <c r="C507" s="51" t="n"/>
      <c r="D507" s="51" t="n"/>
      <c r="E507" s="51" t="n"/>
    </row>
    <row r="508">
      <c r="B508" s="51" t="n"/>
      <c r="C508" s="51" t="n"/>
      <c r="D508" s="51" t="n"/>
      <c r="E508" s="51" t="n"/>
    </row>
    <row r="509">
      <c r="B509" s="51" t="n"/>
      <c r="C509" s="51" t="n"/>
      <c r="D509" s="51" t="n"/>
      <c r="E509" s="51" t="n"/>
    </row>
    <row r="510">
      <c r="B510" s="51" t="n"/>
      <c r="C510" s="51" t="n"/>
      <c r="D510" s="51" t="n"/>
      <c r="E510" s="51" t="n"/>
    </row>
    <row r="511">
      <c r="B511" s="51" t="n"/>
      <c r="C511" s="51" t="n"/>
      <c r="D511" s="51" t="n"/>
      <c r="E511" s="51" t="n"/>
    </row>
    <row r="512">
      <c r="B512" s="51" t="n"/>
      <c r="C512" s="51" t="n"/>
      <c r="D512" s="51" t="n"/>
      <c r="E512" s="51" t="n"/>
    </row>
    <row r="513">
      <c r="B513" s="51" t="n"/>
      <c r="C513" s="51" t="n"/>
      <c r="D513" s="51" t="n"/>
      <c r="E513" s="51" t="n"/>
    </row>
    <row r="514">
      <c r="B514" s="51" t="n"/>
      <c r="C514" s="51" t="n"/>
      <c r="D514" s="51" t="n"/>
      <c r="E514" s="51" t="n"/>
    </row>
    <row r="515">
      <c r="B515" s="51" t="n"/>
      <c r="C515" s="51" t="n"/>
      <c r="D515" s="51" t="n"/>
      <c r="E515" s="51" t="n"/>
    </row>
    <row r="516">
      <c r="B516" s="51" t="n"/>
      <c r="C516" s="51" t="n"/>
      <c r="D516" s="51" t="n"/>
      <c r="E516" s="51" t="n"/>
    </row>
    <row r="517">
      <c r="B517" s="51" t="n"/>
      <c r="C517" s="51" t="n"/>
      <c r="D517" s="51" t="n"/>
      <c r="E517" s="51"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AND(LEN($B17&amp;$C17&amp;$D17&amp;$E17)&gt;0,B17="")</formula>
    </cfRule>
  </conditionalFormatting>
  <conditionalFormatting sqref="C17:C517">
    <cfRule type="expression" priority="3" dxfId="6">
      <formula>AND(LEN($B17&amp;$C17&amp;$D17&amp;$E17)&gt;0,C17="")</formula>
    </cfRule>
  </conditionalFormatting>
  <conditionalFormatting sqref="D17:D517">
    <cfRule type="expression" priority="4" dxfId="6">
      <formula>AND(LEN($B17&amp;$C17&amp;$D17&amp;$E17)&gt;0,D17="")</formula>
    </cfRule>
  </conditionalFormatting>
  <conditionalFormatting sqref="E17:E517">
    <cfRule type="expression" priority="5" dxfId="6">
      <formula>AND(LEN($B17&amp;$C17&amp;$D17&amp;$E17)&gt;0,E17="")</formula>
    </cfRule>
  </conditionalFormatting>
  <dataValidations count="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Dimension" error="Choose a value of the list Dimension (sheet Reference lists)." promptTitle="Dimension" prompt="Yes. Dimension of the value Allowed: COST_CENTER, BUSINESS_LINE (list Dimension)" type="list" errorStyle="stop">
      <formula1>=LIST_DIMENSION</formula1>
    </dataValidation>
    <dataValidation sqref="C17:C517" showDropDown="0" showInputMessage="1" showErrorMessage="1" allowBlank="1" errorTitle="Code" error="At most 20 characters." promptTitle="Code" prompt="Yes. Code of the value Allowed: Free entry, up to 20 characters" type="textLength" operator="lessThanOrEqual">
      <formula1>20</formula1>
    </dataValidation>
    <dataValidation sqref="D17:D517" showDropDown="0" showInputMessage="1" showErrorMessage="1" allowBlank="1" errorTitle="Name" error="At most 120 characters." promptTitle="Name" prompt="Yes. Name shown on screens and reports Allowed: Free entry, up to 120 characters" type="textLength" operator="lessThanOrEqual">
      <formula1>120</formula1>
    </dataValidation>
    <dataValidation sqref="E17:E517" showDropDown="0" showInputMessage="1" showErrorMessage="1" allowBlank="1" errorTitle="Active" error="Choose a value of the list Yes or no (sheet Reference lists)." promptTitle="Active" prompt="Yes. N keeps the value for history only Allowed: Y or N" type="list" errorStyle="stop">
      <formula1>=LIST_YES_NO</formula1>
    </dataValidation>
  </dataValidations>
  <hyperlinks>
    <hyperlink ref="A2" location="'Start here'!A1"/>
    <hyperlink ref="G2" location="'Questions and comments'!A1"/>
    <hyperlink ref="B14" location="'Reference lists'!A184"/>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8" customWidth="1" min="4" max="4"/>
    <col width="18.63636363636363" customWidth="1" min="5" max="5"/>
    <col width="18" customWidth="1" min="6" max="6"/>
    <col width="19" customWidth="1" min="7" max="7"/>
    <col width="14" customWidth="1" min="8" max="8"/>
    <col width="12" customWidth="1" min="9" max="9"/>
  </cols>
  <sheetData>
    <row r="1" ht="26" customHeight="1">
      <c r="A1" s="27" t="inlineStr">
        <is>
          <t>D0-07 Account categories and numbering</t>
        </is>
      </c>
      <c r="I1" s="28" t="inlineStr">
        <is>
          <t>Step 3 of 31</t>
        </is>
      </c>
    </row>
    <row r="2">
      <c r="A2" s="29" t="inlineStr">
        <is>
          <t>← Back to Start here</t>
        </is>
      </c>
      <c r="B2" s="30" t="inlineStr">
        <is>
          <t>Step 3 of 31. Fill in one row per record below the column headers; the guide above each column says what to enter.</t>
        </is>
      </c>
      <c r="I2" s="31" t="inlineStr">
        <is>
          <t>Ask a question →</t>
        </is>
      </c>
    </row>
    <row r="3" outlineLevel="1" ht="15.5" customHeight="1">
      <c r="A3" s="32" t="inlineStr">
        <is>
          <t>Purpose</t>
        </is>
      </c>
      <c r="B3" s="33" t="inlineStr">
        <is>
          <t>The GL categories and the numbering scheme under each parent account</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Chart of Accounts (General Ledger)</t>
        </is>
      </c>
    </row>
    <row r="7" outlineLevel="1" ht="15.5" customHeight="1">
      <c r="A7" s="32" t="inlineStr">
        <is>
          <t>Source</t>
        </is>
      </c>
      <c r="B7" s="33" t="inlineStr">
        <is>
          <t>The BDOI chart of accounts</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SUMPRODUCT(((ROW($B$17:$B$517)&gt;17)+($B$17&lt;&gt;"CATEGORY")&gt;0)*(LEN($B$17:$B$517&amp;$C$17:$C$517&amp;$D$17:$D$517&amp;$E$17:$E$517&amp;$F$17:$F$517&amp;$G$17:$G$517&amp;$H$17:$H$517&amp;$I$17:$I$517)&gt;0))</f>
        <v/>
      </c>
      <c r="D9" s="37" t="inlineStr">
        <is>
          <t>Mandatory cells missing</t>
        </is>
      </c>
      <c r="E9" s="38">
        <f>SUMPRODUCT(((ROW($B$17:$B$517)&gt;17)+($B$17&lt;&gt;"CATEGORY")&gt;0)*(LEN($B$17:$B$517&amp;$C$17:$C$517&amp;$D$17:$D$517&amp;$E$17:$E$517&amp;$F$17:$F$517&amp;$G$17:$G$517&amp;$H$17:$H$517&amp;$I$17:$I$517)&gt;0)*(($B$17:$B$517="")))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row>
    <row r="12" ht="30" customHeight="1">
      <c r="A12" s="43" t="inlineStr">
        <is>
          <t>Mandatory</t>
        </is>
      </c>
      <c r="B12" s="44" t="inlineStr">
        <is>
          <t>Yes</t>
        </is>
      </c>
      <c r="C12" s="45" t="inlineStr">
        <is>
          <t>Conditional: CATEGORY</t>
        </is>
      </c>
      <c r="D12" s="45" t="inlineStr">
        <is>
          <t>Conditional: CATEGORY</t>
        </is>
      </c>
      <c r="E12" s="45" t="inlineStr">
        <is>
          <t>Conditional: CATEGORY</t>
        </is>
      </c>
      <c r="F12" s="45" t="inlineStr">
        <is>
          <t>Conditional: CATEGORY</t>
        </is>
      </c>
      <c r="G12" s="45" t="inlineStr">
        <is>
          <t>Conditional: NUMBERING</t>
        </is>
      </c>
      <c r="H12" s="45" t="inlineStr">
        <is>
          <t>Conditional: NUMBERING</t>
        </is>
      </c>
      <c r="I12" s="45" t="inlineStr">
        <is>
          <t>Conditional: NUMBERING</t>
        </is>
      </c>
    </row>
    <row r="13" ht="30" customHeight="1">
      <c r="A13" s="43" t="inlineStr">
        <is>
          <t>Format</t>
        </is>
      </c>
      <c r="B13" s="45" t="inlineStr">
        <is>
          <t>CATEGORY or NUMBERING</t>
        </is>
      </c>
      <c r="C13" s="45" t="inlineStr">
        <is>
          <t>Up to 20 capitals</t>
        </is>
      </c>
      <c r="D13" s="45" t="inlineStr">
        <is>
          <t>Text</t>
        </is>
      </c>
      <c r="E13" s="45" t="inlineStr">
        <is>
          <t>ASSET, LIABILITY, EQUITY, INCOME, EXPENSE</t>
        </is>
      </c>
      <c r="F13" s="45" t="inlineStr">
        <is>
          <t>Y or N</t>
        </is>
      </c>
      <c r="G13" s="45" t="inlineStr">
        <is>
          <t>Account code of D0-06</t>
        </is>
      </c>
      <c r="H13" s="45" t="inlineStr">
        <is>
          <t>. or - or none</t>
        </is>
      </c>
      <c r="I13" s="45" t="inlineStr">
        <is>
          <t>1 to 6</t>
        </is>
      </c>
    </row>
    <row r="14" ht="56" customHeight="1">
      <c r="A14" s="43" t="inlineStr">
        <is>
          <t>Allowed values</t>
        </is>
      </c>
      <c r="B14" s="53" t="inlineStr">
        <is>
          <t>CATEGORY, NUMBERING (list Category or numbering row)</t>
        </is>
      </c>
      <c r="C14" s="45" t="inlineStr">
        <is>
          <t>Free entry, up to 20 characters</t>
        </is>
      </c>
      <c r="D14" s="45" t="inlineStr">
        <is>
          <t>Free entry</t>
        </is>
      </c>
      <c r="E14" s="53" t="inlineStr">
        <is>
          <t>ASSET, LIABILITY, EQUITY, INCOME, EXPENSE (list Account class)</t>
        </is>
      </c>
      <c r="F14" s="45" t="inlineStr">
        <is>
          <t>Y or N</t>
        </is>
      </c>
      <c r="G14" s="45" t="inlineStr">
        <is>
          <t>Free entry</t>
        </is>
      </c>
      <c r="H14" s="45" t="inlineStr">
        <is>
          <t>Free entry</t>
        </is>
      </c>
      <c r="I14" s="45" t="inlineStr">
        <is>
          <t>A whole number from 1 to 6</t>
        </is>
      </c>
    </row>
    <row r="15" ht="43" customHeight="1">
      <c r="A15" s="43" t="inlineStr">
        <is>
          <t>What to enter</t>
        </is>
      </c>
      <c r="B15" s="45" t="inlineStr">
        <is>
          <t>What the row defines</t>
        </is>
      </c>
      <c r="C15" s="45" t="inlineStr">
        <is>
          <t>GL category</t>
        </is>
      </c>
      <c r="D15" s="45" t="inlineStr">
        <is>
          <t>Name of the category</t>
        </is>
      </c>
      <c r="E15" s="45" t="inlineStr">
        <is>
          <t>Class of the accounts of the category</t>
        </is>
      </c>
      <c r="F15" s="45" t="inlineStr">
        <is>
          <t>Y for the accounts of bank accounts (D0-11)</t>
        </is>
      </c>
      <c r="G15" s="45" t="inlineStr">
        <is>
          <t>Parent whose children are numbered</t>
        </is>
      </c>
      <c r="H15" s="45" t="inlineStr">
        <is>
          <t>Between the parent code and the running number</t>
        </is>
      </c>
      <c r="I15" s="45" t="inlineStr">
        <is>
          <t>Digits of the running number</t>
        </is>
      </c>
    </row>
    <row r="16" ht="30" customHeight="1">
      <c r="A16" s="46" t="inlineStr">
        <is>
          <t>Row</t>
        </is>
      </c>
      <c r="B16" s="47" t="inlineStr">
        <is>
          <t>Row *</t>
        </is>
      </c>
      <c r="C16" s="47" t="inlineStr">
        <is>
          <t>Category code</t>
        </is>
      </c>
      <c r="D16" s="47" t="inlineStr">
        <is>
          <t>Category name</t>
        </is>
      </c>
      <c r="E16" s="47" t="inlineStr">
        <is>
          <t>Account class</t>
        </is>
      </c>
      <c r="F16" s="47" t="inlineStr">
        <is>
          <t>Bank category</t>
        </is>
      </c>
      <c r="G16" s="47" t="inlineStr">
        <is>
          <t>Parent account</t>
        </is>
      </c>
      <c r="H16" s="47" t="inlineStr">
        <is>
          <t>Separator</t>
        </is>
      </c>
      <c r="I16" s="47" t="inlineStr">
        <is>
          <t>Width</t>
        </is>
      </c>
    </row>
    <row r="17" ht="18" customHeight="1">
      <c r="A17" s="48" t="inlineStr">
        <is>
          <t>Example – overwrite or delete</t>
        </is>
      </c>
      <c r="B17" s="49" t="inlineStr">
        <is>
          <t>CATEGORY</t>
        </is>
      </c>
      <c r="C17" s="49" t="inlineStr">
        <is>
          <t>CASH_IN_BANK</t>
        </is>
      </c>
      <c r="D17" s="49" t="inlineStr">
        <is>
          <t>Cash in bank</t>
        </is>
      </c>
      <c r="E17" s="49" t="inlineStr">
        <is>
          <t>ASSET</t>
        </is>
      </c>
      <c r="F17" s="49" t="inlineStr">
        <is>
          <t>Y</t>
        </is>
      </c>
      <c r="G17" s="49" t="inlineStr">
        <is>
          <t>1110</t>
        </is>
      </c>
      <c r="H17" s="49" t="inlineStr">
        <is>
          <t>.</t>
        </is>
      </c>
      <c r="I17" s="54" t="n">
        <v>2</v>
      </c>
    </row>
    <row r="18">
      <c r="B18" s="51" t="n"/>
      <c r="C18" s="51" t="n"/>
      <c r="D18" s="51" t="n"/>
      <c r="E18" s="51" t="n"/>
      <c r="F18" s="51" t="n"/>
      <c r="G18" s="51" t="n"/>
      <c r="H18" s="51" t="n"/>
    </row>
    <row r="19">
      <c r="B19" s="51" t="n"/>
      <c r="C19" s="51" t="n"/>
      <c r="D19" s="51" t="n"/>
      <c r="E19" s="51" t="n"/>
      <c r="F19" s="51" t="n"/>
      <c r="G19" s="51" t="n"/>
      <c r="H19" s="51" t="n"/>
    </row>
    <row r="20">
      <c r="B20" s="51" t="n"/>
      <c r="C20" s="51" t="n"/>
      <c r="D20" s="51" t="n"/>
      <c r="E20" s="51" t="n"/>
      <c r="F20" s="51" t="n"/>
      <c r="G20" s="51" t="n"/>
      <c r="H20" s="51" t="n"/>
    </row>
    <row r="21">
      <c r="B21" s="51" t="n"/>
      <c r="C21" s="51" t="n"/>
      <c r="D21" s="51" t="n"/>
      <c r="E21" s="51" t="n"/>
      <c r="F21" s="51" t="n"/>
      <c r="G21" s="51" t="n"/>
      <c r="H21" s="51" t="n"/>
    </row>
    <row r="22">
      <c r="B22" s="51" t="n"/>
      <c r="C22" s="51" t="n"/>
      <c r="D22" s="51" t="n"/>
      <c r="E22" s="51" t="n"/>
      <c r="F22" s="51" t="n"/>
      <c r="G22" s="51" t="n"/>
      <c r="H22" s="51" t="n"/>
    </row>
    <row r="23">
      <c r="B23" s="51" t="n"/>
      <c r="C23" s="51" t="n"/>
      <c r="D23" s="51" t="n"/>
      <c r="E23" s="51" t="n"/>
      <c r="F23" s="51" t="n"/>
      <c r="G23" s="51" t="n"/>
      <c r="H23" s="51" t="n"/>
    </row>
    <row r="24">
      <c r="B24" s="51" t="n"/>
      <c r="C24" s="51" t="n"/>
      <c r="D24" s="51" t="n"/>
      <c r="E24" s="51" t="n"/>
      <c r="F24" s="51" t="n"/>
      <c r="G24" s="51" t="n"/>
      <c r="H24" s="51" t="n"/>
    </row>
    <row r="25">
      <c r="B25" s="51" t="n"/>
      <c r="C25" s="51" t="n"/>
      <c r="D25" s="51" t="n"/>
      <c r="E25" s="51" t="n"/>
      <c r="F25" s="51" t="n"/>
      <c r="G25" s="51" t="n"/>
      <c r="H25" s="51" t="n"/>
    </row>
    <row r="26">
      <c r="B26" s="51" t="n"/>
      <c r="C26" s="51" t="n"/>
      <c r="D26" s="51" t="n"/>
      <c r="E26" s="51" t="n"/>
      <c r="F26" s="51" t="n"/>
      <c r="G26" s="51" t="n"/>
      <c r="H26" s="51" t="n"/>
    </row>
    <row r="27">
      <c r="B27" s="51" t="n"/>
      <c r="C27" s="51" t="n"/>
      <c r="D27" s="51" t="n"/>
      <c r="E27" s="51" t="n"/>
      <c r="F27" s="51" t="n"/>
      <c r="G27" s="51" t="n"/>
      <c r="H27" s="51" t="n"/>
    </row>
    <row r="28">
      <c r="B28" s="51" t="n"/>
      <c r="C28" s="51" t="n"/>
      <c r="D28" s="51" t="n"/>
      <c r="E28" s="51" t="n"/>
      <c r="F28" s="51" t="n"/>
      <c r="G28" s="51" t="n"/>
      <c r="H28" s="51" t="n"/>
    </row>
    <row r="29">
      <c r="B29" s="51" t="n"/>
      <c r="C29" s="51" t="n"/>
      <c r="D29" s="51" t="n"/>
      <c r="E29" s="51" t="n"/>
      <c r="F29" s="51" t="n"/>
      <c r="G29" s="51" t="n"/>
      <c r="H29" s="51" t="n"/>
    </row>
    <row r="30">
      <c r="B30" s="51" t="n"/>
      <c r="C30" s="51" t="n"/>
      <c r="D30" s="51" t="n"/>
      <c r="E30" s="51" t="n"/>
      <c r="F30" s="51" t="n"/>
      <c r="G30" s="51" t="n"/>
      <c r="H30" s="51" t="n"/>
    </row>
    <row r="31">
      <c r="B31" s="51" t="n"/>
      <c r="C31" s="51" t="n"/>
      <c r="D31" s="51" t="n"/>
      <c r="E31" s="51" t="n"/>
      <c r="F31" s="51" t="n"/>
      <c r="G31" s="51" t="n"/>
      <c r="H31" s="51" t="n"/>
    </row>
    <row r="32">
      <c r="B32" s="51" t="n"/>
      <c r="C32" s="51" t="n"/>
      <c r="D32" s="51" t="n"/>
      <c r="E32" s="51" t="n"/>
      <c r="F32" s="51" t="n"/>
      <c r="G32" s="51" t="n"/>
      <c r="H32" s="51" t="n"/>
    </row>
    <row r="33">
      <c r="B33" s="51" t="n"/>
      <c r="C33" s="51" t="n"/>
      <c r="D33" s="51" t="n"/>
      <c r="E33" s="51" t="n"/>
      <c r="F33" s="51" t="n"/>
      <c r="G33" s="51" t="n"/>
      <c r="H33" s="51" t="n"/>
    </row>
    <row r="34">
      <c r="B34" s="51" t="n"/>
      <c r="C34" s="51" t="n"/>
      <c r="D34" s="51" t="n"/>
      <c r="E34" s="51" t="n"/>
      <c r="F34" s="51" t="n"/>
      <c r="G34" s="51" t="n"/>
      <c r="H34" s="51" t="n"/>
    </row>
    <row r="35">
      <c r="B35" s="51" t="n"/>
      <c r="C35" s="51" t="n"/>
      <c r="D35" s="51" t="n"/>
      <c r="E35" s="51" t="n"/>
      <c r="F35" s="51" t="n"/>
      <c r="G35" s="51" t="n"/>
      <c r="H35" s="51" t="n"/>
    </row>
    <row r="36">
      <c r="B36" s="51" t="n"/>
      <c r="C36" s="51" t="n"/>
      <c r="D36" s="51" t="n"/>
      <c r="E36" s="51" t="n"/>
      <c r="F36" s="51" t="n"/>
      <c r="G36" s="51" t="n"/>
      <c r="H36" s="51" t="n"/>
    </row>
    <row r="37">
      <c r="B37" s="51" t="n"/>
      <c r="C37" s="51" t="n"/>
      <c r="D37" s="51" t="n"/>
      <c r="E37" s="51" t="n"/>
      <c r="F37" s="51" t="n"/>
      <c r="G37" s="51" t="n"/>
      <c r="H37" s="51" t="n"/>
    </row>
    <row r="38">
      <c r="B38" s="51" t="n"/>
      <c r="C38" s="51" t="n"/>
      <c r="D38" s="51" t="n"/>
      <c r="E38" s="51" t="n"/>
      <c r="F38" s="51" t="n"/>
      <c r="G38" s="51" t="n"/>
      <c r="H38" s="51" t="n"/>
    </row>
    <row r="39">
      <c r="B39" s="51" t="n"/>
      <c r="C39" s="51" t="n"/>
      <c r="D39" s="51" t="n"/>
      <c r="E39" s="51" t="n"/>
      <c r="F39" s="51" t="n"/>
      <c r="G39" s="51" t="n"/>
      <c r="H39" s="51" t="n"/>
    </row>
    <row r="40">
      <c r="B40" s="51" t="n"/>
      <c r="C40" s="51" t="n"/>
      <c r="D40" s="51" t="n"/>
      <c r="E40" s="51" t="n"/>
      <c r="F40" s="51" t="n"/>
      <c r="G40" s="51" t="n"/>
      <c r="H40" s="51" t="n"/>
    </row>
    <row r="41">
      <c r="B41" s="51" t="n"/>
      <c r="C41" s="51" t="n"/>
      <c r="D41" s="51" t="n"/>
      <c r="E41" s="51" t="n"/>
      <c r="F41" s="51" t="n"/>
      <c r="G41" s="51" t="n"/>
      <c r="H41" s="51" t="n"/>
    </row>
    <row r="42">
      <c r="B42" s="51" t="n"/>
      <c r="C42" s="51" t="n"/>
      <c r="D42" s="51" t="n"/>
      <c r="E42" s="51" t="n"/>
      <c r="F42" s="51" t="n"/>
      <c r="G42" s="51" t="n"/>
      <c r="H42" s="51" t="n"/>
    </row>
    <row r="43">
      <c r="B43" s="51" t="n"/>
      <c r="C43" s="51" t="n"/>
      <c r="D43" s="51" t="n"/>
      <c r="E43" s="51" t="n"/>
      <c r="F43" s="51" t="n"/>
      <c r="G43" s="51" t="n"/>
      <c r="H43" s="51" t="n"/>
    </row>
    <row r="44">
      <c r="B44" s="51" t="n"/>
      <c r="C44" s="51" t="n"/>
      <c r="D44" s="51" t="n"/>
      <c r="E44" s="51" t="n"/>
      <c r="F44" s="51" t="n"/>
      <c r="G44" s="51" t="n"/>
      <c r="H44" s="51" t="n"/>
    </row>
    <row r="45">
      <c r="B45" s="51" t="n"/>
      <c r="C45" s="51" t="n"/>
      <c r="D45" s="51" t="n"/>
      <c r="E45" s="51" t="n"/>
      <c r="F45" s="51" t="n"/>
      <c r="G45" s="51" t="n"/>
      <c r="H45" s="51" t="n"/>
    </row>
    <row r="46">
      <c r="B46" s="51" t="n"/>
      <c r="C46" s="51" t="n"/>
      <c r="D46" s="51" t="n"/>
      <c r="E46" s="51" t="n"/>
      <c r="F46" s="51" t="n"/>
      <c r="G46" s="51" t="n"/>
      <c r="H46" s="51" t="n"/>
    </row>
    <row r="47">
      <c r="B47" s="51" t="n"/>
      <c r="C47" s="51" t="n"/>
      <c r="D47" s="51" t="n"/>
      <c r="E47" s="51" t="n"/>
      <c r="F47" s="51" t="n"/>
      <c r="G47" s="51" t="n"/>
      <c r="H47" s="51" t="n"/>
    </row>
    <row r="48">
      <c r="B48" s="51" t="n"/>
      <c r="C48" s="51" t="n"/>
      <c r="D48" s="51" t="n"/>
      <c r="E48" s="51" t="n"/>
      <c r="F48" s="51" t="n"/>
      <c r="G48" s="51" t="n"/>
      <c r="H48" s="51" t="n"/>
    </row>
    <row r="49">
      <c r="B49" s="51" t="n"/>
      <c r="C49" s="51" t="n"/>
      <c r="D49" s="51" t="n"/>
      <c r="E49" s="51" t="n"/>
      <c r="F49" s="51" t="n"/>
      <c r="G49" s="51" t="n"/>
      <c r="H49" s="51" t="n"/>
    </row>
    <row r="50">
      <c r="B50" s="51" t="n"/>
      <c r="C50" s="51" t="n"/>
      <c r="D50" s="51" t="n"/>
      <c r="E50" s="51" t="n"/>
      <c r="F50" s="51" t="n"/>
      <c r="G50" s="51" t="n"/>
      <c r="H50" s="51" t="n"/>
    </row>
    <row r="51">
      <c r="B51" s="51" t="n"/>
      <c r="C51" s="51" t="n"/>
      <c r="D51" s="51" t="n"/>
      <c r="E51" s="51" t="n"/>
      <c r="F51" s="51" t="n"/>
      <c r="G51" s="51" t="n"/>
      <c r="H51" s="51" t="n"/>
    </row>
    <row r="52">
      <c r="B52" s="51" t="n"/>
      <c r="C52" s="51" t="n"/>
      <c r="D52" s="51" t="n"/>
      <c r="E52" s="51" t="n"/>
      <c r="F52" s="51" t="n"/>
      <c r="G52" s="51" t="n"/>
      <c r="H52" s="51" t="n"/>
    </row>
    <row r="53">
      <c r="B53" s="51" t="n"/>
      <c r="C53" s="51" t="n"/>
      <c r="D53" s="51" t="n"/>
      <c r="E53" s="51" t="n"/>
      <c r="F53" s="51" t="n"/>
      <c r="G53" s="51" t="n"/>
      <c r="H53" s="51" t="n"/>
    </row>
    <row r="54">
      <c r="B54" s="51" t="n"/>
      <c r="C54" s="51" t="n"/>
      <c r="D54" s="51" t="n"/>
      <c r="E54" s="51" t="n"/>
      <c r="F54" s="51" t="n"/>
      <c r="G54" s="51" t="n"/>
      <c r="H54" s="51" t="n"/>
    </row>
    <row r="55">
      <c r="B55" s="51" t="n"/>
      <c r="C55" s="51" t="n"/>
      <c r="D55" s="51" t="n"/>
      <c r="E55" s="51" t="n"/>
      <c r="F55" s="51" t="n"/>
      <c r="G55" s="51" t="n"/>
      <c r="H55" s="51" t="n"/>
    </row>
    <row r="56">
      <c r="B56" s="51" t="n"/>
      <c r="C56" s="51" t="n"/>
      <c r="D56" s="51" t="n"/>
      <c r="E56" s="51" t="n"/>
      <c r="F56" s="51" t="n"/>
      <c r="G56" s="51" t="n"/>
      <c r="H56" s="51" t="n"/>
    </row>
    <row r="57">
      <c r="B57" s="51" t="n"/>
      <c r="C57" s="51" t="n"/>
      <c r="D57" s="51" t="n"/>
      <c r="E57" s="51" t="n"/>
      <c r="F57" s="51" t="n"/>
      <c r="G57" s="51" t="n"/>
      <c r="H57" s="51" t="n"/>
    </row>
    <row r="58">
      <c r="B58" s="51" t="n"/>
      <c r="C58" s="51" t="n"/>
      <c r="D58" s="51" t="n"/>
      <c r="E58" s="51" t="n"/>
      <c r="F58" s="51" t="n"/>
      <c r="G58" s="51" t="n"/>
      <c r="H58" s="51" t="n"/>
    </row>
    <row r="59">
      <c r="B59" s="51" t="n"/>
      <c r="C59" s="51" t="n"/>
      <c r="D59" s="51" t="n"/>
      <c r="E59" s="51" t="n"/>
      <c r="F59" s="51" t="n"/>
      <c r="G59" s="51" t="n"/>
      <c r="H59" s="51" t="n"/>
    </row>
    <row r="60">
      <c r="B60" s="51" t="n"/>
      <c r="C60" s="51" t="n"/>
      <c r="D60" s="51" t="n"/>
      <c r="E60" s="51" t="n"/>
      <c r="F60" s="51" t="n"/>
      <c r="G60" s="51" t="n"/>
      <c r="H60" s="51" t="n"/>
    </row>
    <row r="61">
      <c r="B61" s="51" t="n"/>
      <c r="C61" s="51" t="n"/>
      <c r="D61" s="51" t="n"/>
      <c r="E61" s="51" t="n"/>
      <c r="F61" s="51" t="n"/>
      <c r="G61" s="51" t="n"/>
      <c r="H61" s="51" t="n"/>
    </row>
    <row r="62">
      <c r="B62" s="51" t="n"/>
      <c r="C62" s="51" t="n"/>
      <c r="D62" s="51" t="n"/>
      <c r="E62" s="51" t="n"/>
      <c r="F62" s="51" t="n"/>
      <c r="G62" s="51" t="n"/>
      <c r="H62" s="51" t="n"/>
    </row>
    <row r="63">
      <c r="B63" s="51" t="n"/>
      <c r="C63" s="51" t="n"/>
      <c r="D63" s="51" t="n"/>
      <c r="E63" s="51" t="n"/>
      <c r="F63" s="51" t="n"/>
      <c r="G63" s="51" t="n"/>
      <c r="H63" s="51" t="n"/>
    </row>
    <row r="64">
      <c r="B64" s="51" t="n"/>
      <c r="C64" s="51" t="n"/>
      <c r="D64" s="51" t="n"/>
      <c r="E64" s="51" t="n"/>
      <c r="F64" s="51" t="n"/>
      <c r="G64" s="51" t="n"/>
      <c r="H64" s="51" t="n"/>
    </row>
    <row r="65">
      <c r="B65" s="51" t="n"/>
      <c r="C65" s="51" t="n"/>
      <c r="D65" s="51" t="n"/>
      <c r="E65" s="51" t="n"/>
      <c r="F65" s="51" t="n"/>
      <c r="G65" s="51" t="n"/>
      <c r="H65" s="51" t="n"/>
    </row>
    <row r="66">
      <c r="B66" s="51" t="n"/>
      <c r="C66" s="51" t="n"/>
      <c r="D66" s="51" t="n"/>
      <c r="E66" s="51" t="n"/>
      <c r="F66" s="51" t="n"/>
      <c r="G66" s="51" t="n"/>
      <c r="H66" s="51" t="n"/>
    </row>
    <row r="67">
      <c r="B67" s="51" t="n"/>
      <c r="C67" s="51" t="n"/>
      <c r="D67" s="51" t="n"/>
      <c r="E67" s="51" t="n"/>
      <c r="F67" s="51" t="n"/>
      <c r="G67" s="51" t="n"/>
      <c r="H67" s="51" t="n"/>
    </row>
    <row r="68">
      <c r="B68" s="51" t="n"/>
      <c r="C68" s="51" t="n"/>
      <c r="D68" s="51" t="n"/>
      <c r="E68" s="51" t="n"/>
      <c r="F68" s="51" t="n"/>
      <c r="G68" s="51" t="n"/>
      <c r="H68" s="51" t="n"/>
    </row>
    <row r="69">
      <c r="B69" s="51" t="n"/>
      <c r="C69" s="51" t="n"/>
      <c r="D69" s="51" t="n"/>
      <c r="E69" s="51" t="n"/>
      <c r="F69" s="51" t="n"/>
      <c r="G69" s="51" t="n"/>
      <c r="H69" s="51" t="n"/>
    </row>
    <row r="70">
      <c r="B70" s="51" t="n"/>
      <c r="C70" s="51" t="n"/>
      <c r="D70" s="51" t="n"/>
      <c r="E70" s="51" t="n"/>
      <c r="F70" s="51" t="n"/>
      <c r="G70" s="51" t="n"/>
      <c r="H70" s="51" t="n"/>
    </row>
    <row r="71">
      <c r="B71" s="51" t="n"/>
      <c r="C71" s="51" t="n"/>
      <c r="D71" s="51" t="n"/>
      <c r="E71" s="51" t="n"/>
      <c r="F71" s="51" t="n"/>
      <c r="G71" s="51" t="n"/>
      <c r="H71" s="51" t="n"/>
    </row>
    <row r="72">
      <c r="B72" s="51" t="n"/>
      <c r="C72" s="51" t="n"/>
      <c r="D72" s="51" t="n"/>
      <c r="E72" s="51" t="n"/>
      <c r="F72" s="51" t="n"/>
      <c r="G72" s="51" t="n"/>
      <c r="H72" s="51" t="n"/>
    </row>
    <row r="73">
      <c r="B73" s="51" t="n"/>
      <c r="C73" s="51" t="n"/>
      <c r="D73" s="51" t="n"/>
      <c r="E73" s="51" t="n"/>
      <c r="F73" s="51" t="n"/>
      <c r="G73" s="51" t="n"/>
      <c r="H73" s="51" t="n"/>
    </row>
    <row r="74">
      <c r="B74" s="51" t="n"/>
      <c r="C74" s="51" t="n"/>
      <c r="D74" s="51" t="n"/>
      <c r="E74" s="51" t="n"/>
      <c r="F74" s="51" t="n"/>
      <c r="G74" s="51" t="n"/>
      <c r="H74" s="51" t="n"/>
    </row>
    <row r="75">
      <c r="B75" s="51" t="n"/>
      <c r="C75" s="51" t="n"/>
      <c r="D75" s="51" t="n"/>
      <c r="E75" s="51" t="n"/>
      <c r="F75" s="51" t="n"/>
      <c r="G75" s="51" t="n"/>
      <c r="H75" s="51" t="n"/>
    </row>
    <row r="76">
      <c r="B76" s="51" t="n"/>
      <c r="C76" s="51" t="n"/>
      <c r="D76" s="51" t="n"/>
      <c r="E76" s="51" t="n"/>
      <c r="F76" s="51" t="n"/>
      <c r="G76" s="51" t="n"/>
      <c r="H76" s="51" t="n"/>
    </row>
    <row r="77">
      <c r="B77" s="51" t="n"/>
      <c r="C77" s="51" t="n"/>
      <c r="D77" s="51" t="n"/>
      <c r="E77" s="51" t="n"/>
      <c r="F77" s="51" t="n"/>
      <c r="G77" s="51" t="n"/>
      <c r="H77" s="51" t="n"/>
    </row>
    <row r="78">
      <c r="B78" s="51" t="n"/>
      <c r="C78" s="51" t="n"/>
      <c r="D78" s="51" t="n"/>
      <c r="E78" s="51" t="n"/>
      <c r="F78" s="51" t="n"/>
      <c r="G78" s="51" t="n"/>
      <c r="H78" s="51" t="n"/>
    </row>
    <row r="79">
      <c r="B79" s="51" t="n"/>
      <c r="C79" s="51" t="n"/>
      <c r="D79" s="51" t="n"/>
      <c r="E79" s="51" t="n"/>
      <c r="F79" s="51" t="n"/>
      <c r="G79" s="51" t="n"/>
      <c r="H79" s="51" t="n"/>
    </row>
    <row r="80">
      <c r="B80" s="51" t="n"/>
      <c r="C80" s="51" t="n"/>
      <c r="D80" s="51" t="n"/>
      <c r="E80" s="51" t="n"/>
      <c r="F80" s="51" t="n"/>
      <c r="G80" s="51" t="n"/>
      <c r="H80" s="51" t="n"/>
    </row>
    <row r="81">
      <c r="B81" s="51" t="n"/>
      <c r="C81" s="51" t="n"/>
      <c r="D81" s="51" t="n"/>
      <c r="E81" s="51" t="n"/>
      <c r="F81" s="51" t="n"/>
      <c r="G81" s="51" t="n"/>
      <c r="H81" s="51" t="n"/>
    </row>
    <row r="82">
      <c r="B82" s="51" t="n"/>
      <c r="C82" s="51" t="n"/>
      <c r="D82" s="51" t="n"/>
      <c r="E82" s="51" t="n"/>
      <c r="F82" s="51" t="n"/>
      <c r="G82" s="51" t="n"/>
      <c r="H82" s="51" t="n"/>
    </row>
    <row r="83">
      <c r="B83" s="51" t="n"/>
      <c r="C83" s="51" t="n"/>
      <c r="D83" s="51" t="n"/>
      <c r="E83" s="51" t="n"/>
      <c r="F83" s="51" t="n"/>
      <c r="G83" s="51" t="n"/>
      <c r="H83" s="51" t="n"/>
    </row>
    <row r="84">
      <c r="B84" s="51" t="n"/>
      <c r="C84" s="51" t="n"/>
      <c r="D84" s="51" t="n"/>
      <c r="E84" s="51" t="n"/>
      <c r="F84" s="51" t="n"/>
      <c r="G84" s="51" t="n"/>
      <c r="H84" s="51" t="n"/>
    </row>
    <row r="85">
      <c r="B85" s="51" t="n"/>
      <c r="C85" s="51" t="n"/>
      <c r="D85" s="51" t="n"/>
      <c r="E85" s="51" t="n"/>
      <c r="F85" s="51" t="n"/>
      <c r="G85" s="51" t="n"/>
      <c r="H85" s="51" t="n"/>
    </row>
    <row r="86">
      <c r="B86" s="51" t="n"/>
      <c r="C86" s="51" t="n"/>
      <c r="D86" s="51" t="n"/>
      <c r="E86" s="51" t="n"/>
      <c r="F86" s="51" t="n"/>
      <c r="G86" s="51" t="n"/>
      <c r="H86" s="51" t="n"/>
    </row>
    <row r="87">
      <c r="B87" s="51" t="n"/>
      <c r="C87" s="51" t="n"/>
      <c r="D87" s="51" t="n"/>
      <c r="E87" s="51" t="n"/>
      <c r="F87" s="51" t="n"/>
      <c r="G87" s="51" t="n"/>
      <c r="H87" s="51" t="n"/>
    </row>
    <row r="88">
      <c r="B88" s="51" t="n"/>
      <c r="C88" s="51" t="n"/>
      <c r="D88" s="51" t="n"/>
      <c r="E88" s="51" t="n"/>
      <c r="F88" s="51" t="n"/>
      <c r="G88" s="51" t="n"/>
      <c r="H88" s="51" t="n"/>
    </row>
    <row r="89">
      <c r="B89" s="51" t="n"/>
      <c r="C89" s="51" t="n"/>
      <c r="D89" s="51" t="n"/>
      <c r="E89" s="51" t="n"/>
      <c r="F89" s="51" t="n"/>
      <c r="G89" s="51" t="n"/>
      <c r="H89" s="51" t="n"/>
    </row>
    <row r="90">
      <c r="B90" s="51" t="n"/>
      <c r="C90" s="51" t="n"/>
      <c r="D90" s="51" t="n"/>
      <c r="E90" s="51" t="n"/>
      <c r="F90" s="51" t="n"/>
      <c r="G90" s="51" t="n"/>
      <c r="H90" s="51" t="n"/>
    </row>
    <row r="91">
      <c r="B91" s="51" t="n"/>
      <c r="C91" s="51" t="n"/>
      <c r="D91" s="51" t="n"/>
      <c r="E91" s="51" t="n"/>
      <c r="F91" s="51" t="n"/>
      <c r="G91" s="51" t="n"/>
      <c r="H91" s="51" t="n"/>
    </row>
    <row r="92">
      <c r="B92" s="51" t="n"/>
      <c r="C92" s="51" t="n"/>
      <c r="D92" s="51" t="n"/>
      <c r="E92" s="51" t="n"/>
      <c r="F92" s="51" t="n"/>
      <c r="G92" s="51" t="n"/>
      <c r="H92" s="51" t="n"/>
    </row>
    <row r="93">
      <c r="B93" s="51" t="n"/>
      <c r="C93" s="51" t="n"/>
      <c r="D93" s="51" t="n"/>
      <c r="E93" s="51" t="n"/>
      <c r="F93" s="51" t="n"/>
      <c r="G93" s="51" t="n"/>
      <c r="H93" s="51" t="n"/>
    </row>
    <row r="94">
      <c r="B94" s="51" t="n"/>
      <c r="C94" s="51" t="n"/>
      <c r="D94" s="51" t="n"/>
      <c r="E94" s="51" t="n"/>
      <c r="F94" s="51" t="n"/>
      <c r="G94" s="51" t="n"/>
      <c r="H94" s="51" t="n"/>
    </row>
    <row r="95">
      <c r="B95" s="51" t="n"/>
      <c r="C95" s="51" t="n"/>
      <c r="D95" s="51" t="n"/>
      <c r="E95" s="51" t="n"/>
      <c r="F95" s="51" t="n"/>
      <c r="G95" s="51" t="n"/>
      <c r="H95" s="51" t="n"/>
    </row>
    <row r="96">
      <c r="B96" s="51" t="n"/>
      <c r="C96" s="51" t="n"/>
      <c r="D96" s="51" t="n"/>
      <c r="E96" s="51" t="n"/>
      <c r="F96" s="51" t="n"/>
      <c r="G96" s="51" t="n"/>
      <c r="H96" s="51" t="n"/>
    </row>
    <row r="97">
      <c r="B97" s="51" t="n"/>
      <c r="C97" s="51" t="n"/>
      <c r="D97" s="51" t="n"/>
      <c r="E97" s="51" t="n"/>
      <c r="F97" s="51" t="n"/>
      <c r="G97" s="51" t="n"/>
      <c r="H97" s="51" t="n"/>
    </row>
    <row r="98">
      <c r="B98" s="51" t="n"/>
      <c r="C98" s="51" t="n"/>
      <c r="D98" s="51" t="n"/>
      <c r="E98" s="51" t="n"/>
      <c r="F98" s="51" t="n"/>
      <c r="G98" s="51" t="n"/>
      <c r="H98" s="51" t="n"/>
    </row>
    <row r="99">
      <c r="B99" s="51" t="n"/>
      <c r="C99" s="51" t="n"/>
      <c r="D99" s="51" t="n"/>
      <c r="E99" s="51" t="n"/>
      <c r="F99" s="51" t="n"/>
      <c r="G99" s="51" t="n"/>
      <c r="H99" s="51" t="n"/>
    </row>
    <row r="100">
      <c r="B100" s="51" t="n"/>
      <c r="C100" s="51" t="n"/>
      <c r="D100" s="51" t="n"/>
      <c r="E100" s="51" t="n"/>
      <c r="F100" s="51" t="n"/>
      <c r="G100" s="51" t="n"/>
      <c r="H100" s="51" t="n"/>
    </row>
    <row r="101">
      <c r="B101" s="51" t="n"/>
      <c r="C101" s="51" t="n"/>
      <c r="D101" s="51" t="n"/>
      <c r="E101" s="51" t="n"/>
      <c r="F101" s="51" t="n"/>
      <c r="G101" s="51" t="n"/>
      <c r="H101" s="51" t="n"/>
    </row>
    <row r="102">
      <c r="B102" s="51" t="n"/>
      <c r="C102" s="51" t="n"/>
      <c r="D102" s="51" t="n"/>
      <c r="E102" s="51" t="n"/>
      <c r="F102" s="51" t="n"/>
      <c r="G102" s="51" t="n"/>
      <c r="H102" s="51" t="n"/>
    </row>
    <row r="103">
      <c r="B103" s="51" t="n"/>
      <c r="C103" s="51" t="n"/>
      <c r="D103" s="51" t="n"/>
      <c r="E103" s="51" t="n"/>
      <c r="F103" s="51" t="n"/>
      <c r="G103" s="51" t="n"/>
      <c r="H103" s="51" t="n"/>
    </row>
    <row r="104">
      <c r="B104" s="51" t="n"/>
      <c r="C104" s="51" t="n"/>
      <c r="D104" s="51" t="n"/>
      <c r="E104" s="51" t="n"/>
      <c r="F104" s="51" t="n"/>
      <c r="G104" s="51" t="n"/>
      <c r="H104" s="51" t="n"/>
    </row>
    <row r="105">
      <c r="B105" s="51" t="n"/>
      <c r="C105" s="51" t="n"/>
      <c r="D105" s="51" t="n"/>
      <c r="E105" s="51" t="n"/>
      <c r="F105" s="51" t="n"/>
      <c r="G105" s="51" t="n"/>
      <c r="H105" s="51" t="n"/>
    </row>
    <row r="106">
      <c r="B106" s="51" t="n"/>
      <c r="C106" s="51" t="n"/>
      <c r="D106" s="51" t="n"/>
      <c r="E106" s="51" t="n"/>
      <c r="F106" s="51" t="n"/>
      <c r="G106" s="51" t="n"/>
      <c r="H106" s="51" t="n"/>
    </row>
    <row r="107">
      <c r="B107" s="51" t="n"/>
      <c r="C107" s="51" t="n"/>
      <c r="D107" s="51" t="n"/>
      <c r="E107" s="51" t="n"/>
      <c r="F107" s="51" t="n"/>
      <c r="G107" s="51" t="n"/>
      <c r="H107" s="51" t="n"/>
    </row>
    <row r="108">
      <c r="B108" s="51" t="n"/>
      <c r="C108" s="51" t="n"/>
      <c r="D108" s="51" t="n"/>
      <c r="E108" s="51" t="n"/>
      <c r="F108" s="51" t="n"/>
      <c r="G108" s="51" t="n"/>
      <c r="H108" s="51" t="n"/>
    </row>
    <row r="109">
      <c r="B109" s="51" t="n"/>
      <c r="C109" s="51" t="n"/>
      <c r="D109" s="51" t="n"/>
      <c r="E109" s="51" t="n"/>
      <c r="F109" s="51" t="n"/>
      <c r="G109" s="51" t="n"/>
      <c r="H109" s="51" t="n"/>
    </row>
    <row r="110">
      <c r="B110" s="51" t="n"/>
      <c r="C110" s="51" t="n"/>
      <c r="D110" s="51" t="n"/>
      <c r="E110" s="51" t="n"/>
      <c r="F110" s="51" t="n"/>
      <c r="G110" s="51" t="n"/>
      <c r="H110" s="51" t="n"/>
    </row>
    <row r="111">
      <c r="B111" s="51" t="n"/>
      <c r="C111" s="51" t="n"/>
      <c r="D111" s="51" t="n"/>
      <c r="E111" s="51" t="n"/>
      <c r="F111" s="51" t="n"/>
      <c r="G111" s="51" t="n"/>
      <c r="H111" s="51" t="n"/>
    </row>
    <row r="112">
      <c r="B112" s="51" t="n"/>
      <c r="C112" s="51" t="n"/>
      <c r="D112" s="51" t="n"/>
      <c r="E112" s="51" t="n"/>
      <c r="F112" s="51" t="n"/>
      <c r="G112" s="51" t="n"/>
      <c r="H112" s="51" t="n"/>
    </row>
    <row r="113">
      <c r="B113" s="51" t="n"/>
      <c r="C113" s="51" t="n"/>
      <c r="D113" s="51" t="n"/>
      <c r="E113" s="51" t="n"/>
      <c r="F113" s="51" t="n"/>
      <c r="G113" s="51" t="n"/>
      <c r="H113" s="51" t="n"/>
    </row>
    <row r="114">
      <c r="B114" s="51" t="n"/>
      <c r="C114" s="51" t="n"/>
      <c r="D114" s="51" t="n"/>
      <c r="E114" s="51" t="n"/>
      <c r="F114" s="51" t="n"/>
      <c r="G114" s="51" t="n"/>
      <c r="H114" s="51" t="n"/>
    </row>
    <row r="115">
      <c r="B115" s="51" t="n"/>
      <c r="C115" s="51" t="n"/>
      <c r="D115" s="51" t="n"/>
      <c r="E115" s="51" t="n"/>
      <c r="F115" s="51" t="n"/>
      <c r="G115" s="51" t="n"/>
      <c r="H115" s="51" t="n"/>
    </row>
    <row r="116">
      <c r="B116" s="51" t="n"/>
      <c r="C116" s="51" t="n"/>
      <c r="D116" s="51" t="n"/>
      <c r="E116" s="51" t="n"/>
      <c r="F116" s="51" t="n"/>
      <c r="G116" s="51" t="n"/>
      <c r="H116" s="51" t="n"/>
    </row>
    <row r="117">
      <c r="B117" s="51" t="n"/>
      <c r="C117" s="51" t="n"/>
      <c r="D117" s="51" t="n"/>
      <c r="E117" s="51" t="n"/>
      <c r="F117" s="51" t="n"/>
      <c r="G117" s="51" t="n"/>
      <c r="H117" s="51" t="n"/>
    </row>
    <row r="118">
      <c r="B118" s="51" t="n"/>
      <c r="C118" s="51" t="n"/>
      <c r="D118" s="51" t="n"/>
      <c r="E118" s="51" t="n"/>
      <c r="F118" s="51" t="n"/>
      <c r="G118" s="51" t="n"/>
      <c r="H118" s="51" t="n"/>
    </row>
    <row r="119">
      <c r="B119" s="51" t="n"/>
      <c r="C119" s="51" t="n"/>
      <c r="D119" s="51" t="n"/>
      <c r="E119" s="51" t="n"/>
      <c r="F119" s="51" t="n"/>
      <c r="G119" s="51" t="n"/>
      <c r="H119" s="51" t="n"/>
    </row>
    <row r="120">
      <c r="B120" s="51" t="n"/>
      <c r="C120" s="51" t="n"/>
      <c r="D120" s="51" t="n"/>
      <c r="E120" s="51" t="n"/>
      <c r="F120" s="51" t="n"/>
      <c r="G120" s="51" t="n"/>
      <c r="H120" s="51" t="n"/>
    </row>
    <row r="121">
      <c r="B121" s="51" t="n"/>
      <c r="C121" s="51" t="n"/>
      <c r="D121" s="51" t="n"/>
      <c r="E121" s="51" t="n"/>
      <c r="F121" s="51" t="n"/>
      <c r="G121" s="51" t="n"/>
      <c r="H121" s="51" t="n"/>
    </row>
    <row r="122">
      <c r="B122" s="51" t="n"/>
      <c r="C122" s="51" t="n"/>
      <c r="D122" s="51" t="n"/>
      <c r="E122" s="51" t="n"/>
      <c r="F122" s="51" t="n"/>
      <c r="G122" s="51" t="n"/>
      <c r="H122" s="51" t="n"/>
    </row>
    <row r="123">
      <c r="B123" s="51" t="n"/>
      <c r="C123" s="51" t="n"/>
      <c r="D123" s="51" t="n"/>
      <c r="E123" s="51" t="n"/>
      <c r="F123" s="51" t="n"/>
      <c r="G123" s="51" t="n"/>
      <c r="H123" s="51" t="n"/>
    </row>
    <row r="124">
      <c r="B124" s="51" t="n"/>
      <c r="C124" s="51" t="n"/>
      <c r="D124" s="51" t="n"/>
      <c r="E124" s="51" t="n"/>
      <c r="F124" s="51" t="n"/>
      <c r="G124" s="51" t="n"/>
      <c r="H124" s="51" t="n"/>
    </row>
    <row r="125">
      <c r="B125" s="51" t="n"/>
      <c r="C125" s="51" t="n"/>
      <c r="D125" s="51" t="n"/>
      <c r="E125" s="51" t="n"/>
      <c r="F125" s="51" t="n"/>
      <c r="G125" s="51" t="n"/>
      <c r="H125" s="51" t="n"/>
    </row>
    <row r="126">
      <c r="B126" s="51" t="n"/>
      <c r="C126" s="51" t="n"/>
      <c r="D126" s="51" t="n"/>
      <c r="E126" s="51" t="n"/>
      <c r="F126" s="51" t="n"/>
      <c r="G126" s="51" t="n"/>
      <c r="H126" s="51" t="n"/>
    </row>
    <row r="127">
      <c r="B127" s="51" t="n"/>
      <c r="C127" s="51" t="n"/>
      <c r="D127" s="51" t="n"/>
      <c r="E127" s="51" t="n"/>
      <c r="F127" s="51" t="n"/>
      <c r="G127" s="51" t="n"/>
      <c r="H127" s="51" t="n"/>
    </row>
    <row r="128">
      <c r="B128" s="51" t="n"/>
      <c r="C128" s="51" t="n"/>
      <c r="D128" s="51" t="n"/>
      <c r="E128" s="51" t="n"/>
      <c r="F128" s="51" t="n"/>
      <c r="G128" s="51" t="n"/>
      <c r="H128" s="51" t="n"/>
    </row>
    <row r="129">
      <c r="B129" s="51" t="n"/>
      <c r="C129" s="51" t="n"/>
      <c r="D129" s="51" t="n"/>
      <c r="E129" s="51" t="n"/>
      <c r="F129" s="51" t="n"/>
      <c r="G129" s="51" t="n"/>
      <c r="H129" s="51" t="n"/>
    </row>
    <row r="130">
      <c r="B130" s="51" t="n"/>
      <c r="C130" s="51" t="n"/>
      <c r="D130" s="51" t="n"/>
      <c r="E130" s="51" t="n"/>
      <c r="F130" s="51" t="n"/>
      <c r="G130" s="51" t="n"/>
      <c r="H130" s="51" t="n"/>
    </row>
    <row r="131">
      <c r="B131" s="51" t="n"/>
      <c r="C131" s="51" t="n"/>
      <c r="D131" s="51" t="n"/>
      <c r="E131" s="51" t="n"/>
      <c r="F131" s="51" t="n"/>
      <c r="G131" s="51" t="n"/>
      <c r="H131" s="51" t="n"/>
    </row>
    <row r="132">
      <c r="B132" s="51" t="n"/>
      <c r="C132" s="51" t="n"/>
      <c r="D132" s="51" t="n"/>
      <c r="E132" s="51" t="n"/>
      <c r="F132" s="51" t="n"/>
      <c r="G132" s="51" t="n"/>
      <c r="H132" s="51" t="n"/>
    </row>
    <row r="133">
      <c r="B133" s="51" t="n"/>
      <c r="C133" s="51" t="n"/>
      <c r="D133" s="51" t="n"/>
      <c r="E133" s="51" t="n"/>
      <c r="F133" s="51" t="n"/>
      <c r="G133" s="51" t="n"/>
      <c r="H133" s="51" t="n"/>
    </row>
    <row r="134">
      <c r="B134" s="51" t="n"/>
      <c r="C134" s="51" t="n"/>
      <c r="D134" s="51" t="n"/>
      <c r="E134" s="51" t="n"/>
      <c r="F134" s="51" t="n"/>
      <c r="G134" s="51" t="n"/>
      <c r="H134" s="51" t="n"/>
    </row>
    <row r="135">
      <c r="B135" s="51" t="n"/>
      <c r="C135" s="51" t="n"/>
      <c r="D135" s="51" t="n"/>
      <c r="E135" s="51" t="n"/>
      <c r="F135" s="51" t="n"/>
      <c r="G135" s="51" t="n"/>
      <c r="H135" s="51" t="n"/>
    </row>
    <row r="136">
      <c r="B136" s="51" t="n"/>
      <c r="C136" s="51" t="n"/>
      <c r="D136" s="51" t="n"/>
      <c r="E136" s="51" t="n"/>
      <c r="F136" s="51" t="n"/>
      <c r="G136" s="51" t="n"/>
      <c r="H136" s="51" t="n"/>
    </row>
    <row r="137">
      <c r="B137" s="51" t="n"/>
      <c r="C137" s="51" t="n"/>
      <c r="D137" s="51" t="n"/>
      <c r="E137" s="51" t="n"/>
      <c r="F137" s="51" t="n"/>
      <c r="G137" s="51" t="n"/>
      <c r="H137" s="51" t="n"/>
    </row>
    <row r="138">
      <c r="B138" s="51" t="n"/>
      <c r="C138" s="51" t="n"/>
      <c r="D138" s="51" t="n"/>
      <c r="E138" s="51" t="n"/>
      <c r="F138" s="51" t="n"/>
      <c r="G138" s="51" t="n"/>
      <c r="H138" s="51" t="n"/>
    </row>
    <row r="139">
      <c r="B139" s="51" t="n"/>
      <c r="C139" s="51" t="n"/>
      <c r="D139" s="51" t="n"/>
      <c r="E139" s="51" t="n"/>
      <c r="F139" s="51" t="n"/>
      <c r="G139" s="51" t="n"/>
      <c r="H139" s="51" t="n"/>
    </row>
    <row r="140">
      <c r="B140" s="51" t="n"/>
      <c r="C140" s="51" t="n"/>
      <c r="D140" s="51" t="n"/>
      <c r="E140" s="51" t="n"/>
      <c r="F140" s="51" t="n"/>
      <c r="G140" s="51" t="n"/>
      <c r="H140" s="51" t="n"/>
    </row>
    <row r="141">
      <c r="B141" s="51" t="n"/>
      <c r="C141" s="51" t="n"/>
      <c r="D141" s="51" t="n"/>
      <c r="E141" s="51" t="n"/>
      <c r="F141" s="51" t="n"/>
      <c r="G141" s="51" t="n"/>
      <c r="H141" s="51" t="n"/>
    </row>
    <row r="142">
      <c r="B142" s="51" t="n"/>
      <c r="C142" s="51" t="n"/>
      <c r="D142" s="51" t="n"/>
      <c r="E142" s="51" t="n"/>
      <c r="F142" s="51" t="n"/>
      <c r="G142" s="51" t="n"/>
      <c r="H142" s="51" t="n"/>
    </row>
    <row r="143">
      <c r="B143" s="51" t="n"/>
      <c r="C143" s="51" t="n"/>
      <c r="D143" s="51" t="n"/>
      <c r="E143" s="51" t="n"/>
      <c r="F143" s="51" t="n"/>
      <c r="G143" s="51" t="n"/>
      <c r="H143" s="51" t="n"/>
    </row>
    <row r="144">
      <c r="B144" s="51" t="n"/>
      <c r="C144" s="51" t="n"/>
      <c r="D144" s="51" t="n"/>
      <c r="E144" s="51" t="n"/>
      <c r="F144" s="51" t="n"/>
      <c r="G144" s="51" t="n"/>
      <c r="H144" s="51" t="n"/>
    </row>
    <row r="145">
      <c r="B145" s="51" t="n"/>
      <c r="C145" s="51" t="n"/>
      <c r="D145" s="51" t="n"/>
      <c r="E145" s="51" t="n"/>
      <c r="F145" s="51" t="n"/>
      <c r="G145" s="51" t="n"/>
      <c r="H145" s="51" t="n"/>
    </row>
    <row r="146">
      <c r="B146" s="51" t="n"/>
      <c r="C146" s="51" t="n"/>
      <c r="D146" s="51" t="n"/>
      <c r="E146" s="51" t="n"/>
      <c r="F146" s="51" t="n"/>
      <c r="G146" s="51" t="n"/>
      <c r="H146" s="51" t="n"/>
    </row>
    <row r="147">
      <c r="B147" s="51" t="n"/>
      <c r="C147" s="51" t="n"/>
      <c r="D147" s="51" t="n"/>
      <c r="E147" s="51" t="n"/>
      <c r="F147" s="51" t="n"/>
      <c r="G147" s="51" t="n"/>
      <c r="H147" s="51" t="n"/>
    </row>
    <row r="148">
      <c r="B148" s="51" t="n"/>
      <c r="C148" s="51" t="n"/>
      <c r="D148" s="51" t="n"/>
      <c r="E148" s="51" t="n"/>
      <c r="F148" s="51" t="n"/>
      <c r="G148" s="51" t="n"/>
      <c r="H148" s="51" t="n"/>
    </row>
    <row r="149">
      <c r="B149" s="51" t="n"/>
      <c r="C149" s="51" t="n"/>
      <c r="D149" s="51" t="n"/>
      <c r="E149" s="51" t="n"/>
      <c r="F149" s="51" t="n"/>
      <c r="G149" s="51" t="n"/>
      <c r="H149" s="51" t="n"/>
    </row>
    <row r="150">
      <c r="B150" s="51" t="n"/>
      <c r="C150" s="51" t="n"/>
      <c r="D150" s="51" t="n"/>
      <c r="E150" s="51" t="n"/>
      <c r="F150" s="51" t="n"/>
      <c r="G150" s="51" t="n"/>
      <c r="H150" s="51" t="n"/>
    </row>
    <row r="151">
      <c r="B151" s="51" t="n"/>
      <c r="C151" s="51" t="n"/>
      <c r="D151" s="51" t="n"/>
      <c r="E151" s="51" t="n"/>
      <c r="F151" s="51" t="n"/>
      <c r="G151" s="51" t="n"/>
      <c r="H151" s="51" t="n"/>
    </row>
    <row r="152">
      <c r="B152" s="51" t="n"/>
      <c r="C152" s="51" t="n"/>
      <c r="D152" s="51" t="n"/>
      <c r="E152" s="51" t="n"/>
      <c r="F152" s="51" t="n"/>
      <c r="G152" s="51" t="n"/>
      <c r="H152" s="51" t="n"/>
    </row>
    <row r="153">
      <c r="B153" s="51" t="n"/>
      <c r="C153" s="51" t="n"/>
      <c r="D153" s="51" t="n"/>
      <c r="E153" s="51" t="n"/>
      <c r="F153" s="51" t="n"/>
      <c r="G153" s="51" t="n"/>
      <c r="H153" s="51" t="n"/>
    </row>
    <row r="154">
      <c r="B154" s="51" t="n"/>
      <c r="C154" s="51" t="n"/>
      <c r="D154" s="51" t="n"/>
      <c r="E154" s="51" t="n"/>
      <c r="F154" s="51" t="n"/>
      <c r="G154" s="51" t="n"/>
      <c r="H154" s="51" t="n"/>
    </row>
    <row r="155">
      <c r="B155" s="51" t="n"/>
      <c r="C155" s="51" t="n"/>
      <c r="D155" s="51" t="n"/>
      <c r="E155" s="51" t="n"/>
      <c r="F155" s="51" t="n"/>
      <c r="G155" s="51" t="n"/>
      <c r="H155" s="51" t="n"/>
    </row>
    <row r="156">
      <c r="B156" s="51" t="n"/>
      <c r="C156" s="51" t="n"/>
      <c r="D156" s="51" t="n"/>
      <c r="E156" s="51" t="n"/>
      <c r="F156" s="51" t="n"/>
      <c r="G156" s="51" t="n"/>
      <c r="H156" s="51" t="n"/>
    </row>
    <row r="157">
      <c r="B157" s="51" t="n"/>
      <c r="C157" s="51" t="n"/>
      <c r="D157" s="51" t="n"/>
      <c r="E157" s="51" t="n"/>
      <c r="F157" s="51" t="n"/>
      <c r="G157" s="51" t="n"/>
      <c r="H157" s="51" t="n"/>
    </row>
    <row r="158">
      <c r="B158" s="51" t="n"/>
      <c r="C158" s="51" t="n"/>
      <c r="D158" s="51" t="n"/>
      <c r="E158" s="51" t="n"/>
      <c r="F158" s="51" t="n"/>
      <c r="G158" s="51" t="n"/>
      <c r="H158" s="51" t="n"/>
    </row>
    <row r="159">
      <c r="B159" s="51" t="n"/>
      <c r="C159" s="51" t="n"/>
      <c r="D159" s="51" t="n"/>
      <c r="E159" s="51" t="n"/>
      <c r="F159" s="51" t="n"/>
      <c r="G159" s="51" t="n"/>
      <c r="H159" s="51" t="n"/>
    </row>
    <row r="160">
      <c r="B160" s="51" t="n"/>
      <c r="C160" s="51" t="n"/>
      <c r="D160" s="51" t="n"/>
      <c r="E160" s="51" t="n"/>
      <c r="F160" s="51" t="n"/>
      <c r="G160" s="51" t="n"/>
      <c r="H160" s="51" t="n"/>
    </row>
    <row r="161">
      <c r="B161" s="51" t="n"/>
      <c r="C161" s="51" t="n"/>
      <c r="D161" s="51" t="n"/>
      <c r="E161" s="51" t="n"/>
      <c r="F161" s="51" t="n"/>
      <c r="G161" s="51" t="n"/>
      <c r="H161" s="51" t="n"/>
    </row>
    <row r="162">
      <c r="B162" s="51" t="n"/>
      <c r="C162" s="51" t="n"/>
      <c r="D162" s="51" t="n"/>
      <c r="E162" s="51" t="n"/>
      <c r="F162" s="51" t="n"/>
      <c r="G162" s="51" t="n"/>
      <c r="H162" s="51" t="n"/>
    </row>
    <row r="163">
      <c r="B163" s="51" t="n"/>
      <c r="C163" s="51" t="n"/>
      <c r="D163" s="51" t="n"/>
      <c r="E163" s="51" t="n"/>
      <c r="F163" s="51" t="n"/>
      <c r="G163" s="51" t="n"/>
      <c r="H163" s="51" t="n"/>
    </row>
    <row r="164">
      <c r="B164" s="51" t="n"/>
      <c r="C164" s="51" t="n"/>
      <c r="D164" s="51" t="n"/>
      <c r="E164" s="51" t="n"/>
      <c r="F164" s="51" t="n"/>
      <c r="G164" s="51" t="n"/>
      <c r="H164" s="51" t="n"/>
    </row>
    <row r="165">
      <c r="B165" s="51" t="n"/>
      <c r="C165" s="51" t="n"/>
      <c r="D165" s="51" t="n"/>
      <c r="E165" s="51" t="n"/>
      <c r="F165" s="51" t="n"/>
      <c r="G165" s="51" t="n"/>
      <c r="H165" s="51" t="n"/>
    </row>
    <row r="166">
      <c r="B166" s="51" t="n"/>
      <c r="C166" s="51" t="n"/>
      <c r="D166" s="51" t="n"/>
      <c r="E166" s="51" t="n"/>
      <c r="F166" s="51" t="n"/>
      <c r="G166" s="51" t="n"/>
      <c r="H166" s="51" t="n"/>
    </row>
    <row r="167">
      <c r="B167" s="51" t="n"/>
      <c r="C167" s="51" t="n"/>
      <c r="D167" s="51" t="n"/>
      <c r="E167" s="51" t="n"/>
      <c r="F167" s="51" t="n"/>
      <c r="G167" s="51" t="n"/>
      <c r="H167" s="51" t="n"/>
    </row>
    <row r="168">
      <c r="B168" s="51" t="n"/>
      <c r="C168" s="51" t="n"/>
      <c r="D168" s="51" t="n"/>
      <c r="E168" s="51" t="n"/>
      <c r="F168" s="51" t="n"/>
      <c r="G168" s="51" t="n"/>
      <c r="H168" s="51" t="n"/>
    </row>
    <row r="169">
      <c r="B169" s="51" t="n"/>
      <c r="C169" s="51" t="n"/>
      <c r="D169" s="51" t="n"/>
      <c r="E169" s="51" t="n"/>
      <c r="F169" s="51" t="n"/>
      <c r="G169" s="51" t="n"/>
      <c r="H169" s="51" t="n"/>
    </row>
    <row r="170">
      <c r="B170" s="51" t="n"/>
      <c r="C170" s="51" t="n"/>
      <c r="D170" s="51" t="n"/>
      <c r="E170" s="51" t="n"/>
      <c r="F170" s="51" t="n"/>
      <c r="G170" s="51" t="n"/>
      <c r="H170" s="51" t="n"/>
    </row>
    <row r="171">
      <c r="B171" s="51" t="n"/>
      <c r="C171" s="51" t="n"/>
      <c r="D171" s="51" t="n"/>
      <c r="E171" s="51" t="n"/>
      <c r="F171" s="51" t="n"/>
      <c r="G171" s="51" t="n"/>
      <c r="H171" s="51" t="n"/>
    </row>
    <row r="172">
      <c r="B172" s="51" t="n"/>
      <c r="C172" s="51" t="n"/>
      <c r="D172" s="51" t="n"/>
      <c r="E172" s="51" t="n"/>
      <c r="F172" s="51" t="n"/>
      <c r="G172" s="51" t="n"/>
      <c r="H172" s="51" t="n"/>
    </row>
    <row r="173">
      <c r="B173" s="51" t="n"/>
      <c r="C173" s="51" t="n"/>
      <c r="D173" s="51" t="n"/>
      <c r="E173" s="51" t="n"/>
      <c r="F173" s="51" t="n"/>
      <c r="G173" s="51" t="n"/>
      <c r="H173" s="51" t="n"/>
    </row>
    <row r="174">
      <c r="B174" s="51" t="n"/>
      <c r="C174" s="51" t="n"/>
      <c r="D174" s="51" t="n"/>
      <c r="E174" s="51" t="n"/>
      <c r="F174" s="51" t="n"/>
      <c r="G174" s="51" t="n"/>
      <c r="H174" s="51" t="n"/>
    </row>
    <row r="175">
      <c r="B175" s="51" t="n"/>
      <c r="C175" s="51" t="n"/>
      <c r="D175" s="51" t="n"/>
      <c r="E175" s="51" t="n"/>
      <c r="F175" s="51" t="n"/>
      <c r="G175" s="51" t="n"/>
      <c r="H175" s="51" t="n"/>
    </row>
    <row r="176">
      <c r="B176" s="51" t="n"/>
      <c r="C176" s="51" t="n"/>
      <c r="D176" s="51" t="n"/>
      <c r="E176" s="51" t="n"/>
      <c r="F176" s="51" t="n"/>
      <c r="G176" s="51" t="n"/>
      <c r="H176" s="51" t="n"/>
    </row>
    <row r="177">
      <c r="B177" s="51" t="n"/>
      <c r="C177" s="51" t="n"/>
      <c r="D177" s="51" t="n"/>
      <c r="E177" s="51" t="n"/>
      <c r="F177" s="51" t="n"/>
      <c r="G177" s="51" t="n"/>
      <c r="H177" s="51" t="n"/>
    </row>
    <row r="178">
      <c r="B178" s="51" t="n"/>
      <c r="C178" s="51" t="n"/>
      <c r="D178" s="51" t="n"/>
      <c r="E178" s="51" t="n"/>
      <c r="F178" s="51" t="n"/>
      <c r="G178" s="51" t="n"/>
      <c r="H178" s="51" t="n"/>
    </row>
    <row r="179">
      <c r="B179" s="51" t="n"/>
      <c r="C179" s="51" t="n"/>
      <c r="D179" s="51" t="n"/>
      <c r="E179" s="51" t="n"/>
      <c r="F179" s="51" t="n"/>
      <c r="G179" s="51" t="n"/>
      <c r="H179" s="51" t="n"/>
    </row>
    <row r="180">
      <c r="B180" s="51" t="n"/>
      <c r="C180" s="51" t="n"/>
      <c r="D180" s="51" t="n"/>
      <c r="E180" s="51" t="n"/>
      <c r="F180" s="51" t="n"/>
      <c r="G180" s="51" t="n"/>
      <c r="H180" s="51" t="n"/>
    </row>
    <row r="181">
      <c r="B181" s="51" t="n"/>
      <c r="C181" s="51" t="n"/>
      <c r="D181" s="51" t="n"/>
      <c r="E181" s="51" t="n"/>
      <c r="F181" s="51" t="n"/>
      <c r="G181" s="51" t="n"/>
      <c r="H181" s="51" t="n"/>
    </row>
    <row r="182">
      <c r="B182" s="51" t="n"/>
      <c r="C182" s="51" t="n"/>
      <c r="D182" s="51" t="n"/>
      <c r="E182" s="51" t="n"/>
      <c r="F182" s="51" t="n"/>
      <c r="G182" s="51" t="n"/>
      <c r="H182" s="51" t="n"/>
    </row>
    <row r="183">
      <c r="B183" s="51" t="n"/>
      <c r="C183" s="51" t="n"/>
      <c r="D183" s="51" t="n"/>
      <c r="E183" s="51" t="n"/>
      <c r="F183" s="51" t="n"/>
      <c r="G183" s="51" t="n"/>
      <c r="H183" s="51" t="n"/>
    </row>
    <row r="184">
      <c r="B184" s="51" t="n"/>
      <c r="C184" s="51" t="n"/>
      <c r="D184" s="51" t="n"/>
      <c r="E184" s="51" t="n"/>
      <c r="F184" s="51" t="n"/>
      <c r="G184" s="51" t="n"/>
      <c r="H184" s="51" t="n"/>
    </row>
    <row r="185">
      <c r="B185" s="51" t="n"/>
      <c r="C185" s="51" t="n"/>
      <c r="D185" s="51" t="n"/>
      <c r="E185" s="51" t="n"/>
      <c r="F185" s="51" t="n"/>
      <c r="G185" s="51" t="n"/>
      <c r="H185" s="51" t="n"/>
    </row>
    <row r="186">
      <c r="B186" s="51" t="n"/>
      <c r="C186" s="51" t="n"/>
      <c r="D186" s="51" t="n"/>
      <c r="E186" s="51" t="n"/>
      <c r="F186" s="51" t="n"/>
      <c r="G186" s="51" t="n"/>
      <c r="H186" s="51" t="n"/>
    </row>
    <row r="187">
      <c r="B187" s="51" t="n"/>
      <c r="C187" s="51" t="n"/>
      <c r="D187" s="51" t="n"/>
      <c r="E187" s="51" t="n"/>
      <c r="F187" s="51" t="n"/>
      <c r="G187" s="51" t="n"/>
      <c r="H187" s="51" t="n"/>
    </row>
    <row r="188">
      <c r="B188" s="51" t="n"/>
      <c r="C188" s="51" t="n"/>
      <c r="D188" s="51" t="n"/>
      <c r="E188" s="51" t="n"/>
      <c r="F188" s="51" t="n"/>
      <c r="G188" s="51" t="n"/>
      <c r="H188" s="51" t="n"/>
    </row>
    <row r="189">
      <c r="B189" s="51" t="n"/>
      <c r="C189" s="51" t="n"/>
      <c r="D189" s="51" t="n"/>
      <c r="E189" s="51" t="n"/>
      <c r="F189" s="51" t="n"/>
      <c r="G189" s="51" t="n"/>
      <c r="H189" s="51" t="n"/>
    </row>
    <row r="190">
      <c r="B190" s="51" t="n"/>
      <c r="C190" s="51" t="n"/>
      <c r="D190" s="51" t="n"/>
      <c r="E190" s="51" t="n"/>
      <c r="F190" s="51" t="n"/>
      <c r="G190" s="51" t="n"/>
      <c r="H190" s="51" t="n"/>
    </row>
    <row r="191">
      <c r="B191" s="51" t="n"/>
      <c r="C191" s="51" t="n"/>
      <c r="D191" s="51" t="n"/>
      <c r="E191" s="51" t="n"/>
      <c r="F191" s="51" t="n"/>
      <c r="G191" s="51" t="n"/>
      <c r="H191" s="51" t="n"/>
    </row>
    <row r="192">
      <c r="B192" s="51" t="n"/>
      <c r="C192" s="51" t="n"/>
      <c r="D192" s="51" t="n"/>
      <c r="E192" s="51" t="n"/>
      <c r="F192" s="51" t="n"/>
      <c r="G192" s="51" t="n"/>
      <c r="H192" s="51" t="n"/>
    </row>
    <row r="193">
      <c r="B193" s="51" t="n"/>
      <c r="C193" s="51" t="n"/>
      <c r="D193" s="51" t="n"/>
      <c r="E193" s="51" t="n"/>
      <c r="F193" s="51" t="n"/>
      <c r="G193" s="51" t="n"/>
      <c r="H193" s="51" t="n"/>
    </row>
    <row r="194">
      <c r="B194" s="51" t="n"/>
      <c r="C194" s="51" t="n"/>
      <c r="D194" s="51" t="n"/>
      <c r="E194" s="51" t="n"/>
      <c r="F194" s="51" t="n"/>
      <c r="G194" s="51" t="n"/>
      <c r="H194" s="51" t="n"/>
    </row>
    <row r="195">
      <c r="B195" s="51" t="n"/>
      <c r="C195" s="51" t="n"/>
      <c r="D195" s="51" t="n"/>
      <c r="E195" s="51" t="n"/>
      <c r="F195" s="51" t="n"/>
      <c r="G195" s="51" t="n"/>
      <c r="H195" s="51" t="n"/>
    </row>
    <row r="196">
      <c r="B196" s="51" t="n"/>
      <c r="C196" s="51" t="n"/>
      <c r="D196" s="51" t="n"/>
      <c r="E196" s="51" t="n"/>
      <c r="F196" s="51" t="n"/>
      <c r="G196" s="51" t="n"/>
      <c r="H196" s="51" t="n"/>
    </row>
    <row r="197">
      <c r="B197" s="51" t="n"/>
      <c r="C197" s="51" t="n"/>
      <c r="D197" s="51" t="n"/>
      <c r="E197" s="51" t="n"/>
      <c r="F197" s="51" t="n"/>
      <c r="G197" s="51" t="n"/>
      <c r="H197" s="51" t="n"/>
    </row>
    <row r="198">
      <c r="B198" s="51" t="n"/>
      <c r="C198" s="51" t="n"/>
      <c r="D198" s="51" t="n"/>
      <c r="E198" s="51" t="n"/>
      <c r="F198" s="51" t="n"/>
      <c r="G198" s="51" t="n"/>
      <c r="H198" s="51" t="n"/>
    </row>
    <row r="199">
      <c r="B199" s="51" t="n"/>
      <c r="C199" s="51" t="n"/>
      <c r="D199" s="51" t="n"/>
      <c r="E199" s="51" t="n"/>
      <c r="F199" s="51" t="n"/>
      <c r="G199" s="51" t="n"/>
      <c r="H199" s="51" t="n"/>
    </row>
    <row r="200">
      <c r="B200" s="51" t="n"/>
      <c r="C200" s="51" t="n"/>
      <c r="D200" s="51" t="n"/>
      <c r="E200" s="51" t="n"/>
      <c r="F200" s="51" t="n"/>
      <c r="G200" s="51" t="n"/>
      <c r="H200" s="51" t="n"/>
    </row>
    <row r="201">
      <c r="B201" s="51" t="n"/>
      <c r="C201" s="51" t="n"/>
      <c r="D201" s="51" t="n"/>
      <c r="E201" s="51" t="n"/>
      <c r="F201" s="51" t="n"/>
      <c r="G201" s="51" t="n"/>
      <c r="H201" s="51" t="n"/>
    </row>
    <row r="202">
      <c r="B202" s="51" t="n"/>
      <c r="C202" s="51" t="n"/>
      <c r="D202" s="51" t="n"/>
      <c r="E202" s="51" t="n"/>
      <c r="F202" s="51" t="n"/>
      <c r="G202" s="51" t="n"/>
      <c r="H202" s="51" t="n"/>
    </row>
    <row r="203">
      <c r="B203" s="51" t="n"/>
      <c r="C203" s="51" t="n"/>
      <c r="D203" s="51" t="n"/>
      <c r="E203" s="51" t="n"/>
      <c r="F203" s="51" t="n"/>
      <c r="G203" s="51" t="n"/>
      <c r="H203" s="51" t="n"/>
    </row>
    <row r="204">
      <c r="B204" s="51" t="n"/>
      <c r="C204" s="51" t="n"/>
      <c r="D204" s="51" t="n"/>
      <c r="E204" s="51" t="n"/>
      <c r="F204" s="51" t="n"/>
      <c r="G204" s="51" t="n"/>
      <c r="H204" s="51" t="n"/>
    </row>
    <row r="205">
      <c r="B205" s="51" t="n"/>
      <c r="C205" s="51" t="n"/>
      <c r="D205" s="51" t="n"/>
      <c r="E205" s="51" t="n"/>
      <c r="F205" s="51" t="n"/>
      <c r="G205" s="51" t="n"/>
      <c r="H205" s="51" t="n"/>
    </row>
    <row r="206">
      <c r="B206" s="51" t="n"/>
      <c r="C206" s="51" t="n"/>
      <c r="D206" s="51" t="n"/>
      <c r="E206" s="51" t="n"/>
      <c r="F206" s="51" t="n"/>
      <c r="G206" s="51" t="n"/>
      <c r="H206" s="51" t="n"/>
    </row>
    <row r="207">
      <c r="B207" s="51" t="n"/>
      <c r="C207" s="51" t="n"/>
      <c r="D207" s="51" t="n"/>
      <c r="E207" s="51" t="n"/>
      <c r="F207" s="51" t="n"/>
      <c r="G207" s="51" t="n"/>
      <c r="H207" s="51" t="n"/>
    </row>
    <row r="208">
      <c r="B208" s="51" t="n"/>
      <c r="C208" s="51" t="n"/>
      <c r="D208" s="51" t="n"/>
      <c r="E208" s="51" t="n"/>
      <c r="F208" s="51" t="n"/>
      <c r="G208" s="51" t="n"/>
      <c r="H208" s="51" t="n"/>
    </row>
    <row r="209">
      <c r="B209" s="51" t="n"/>
      <c r="C209" s="51" t="n"/>
      <c r="D209" s="51" t="n"/>
      <c r="E209" s="51" t="n"/>
      <c r="F209" s="51" t="n"/>
      <c r="G209" s="51" t="n"/>
      <c r="H209" s="51" t="n"/>
    </row>
    <row r="210">
      <c r="B210" s="51" t="n"/>
      <c r="C210" s="51" t="n"/>
      <c r="D210" s="51" t="n"/>
      <c r="E210" s="51" t="n"/>
      <c r="F210" s="51" t="n"/>
      <c r="G210" s="51" t="n"/>
      <c r="H210" s="51" t="n"/>
    </row>
    <row r="211">
      <c r="B211" s="51" t="n"/>
      <c r="C211" s="51" t="n"/>
      <c r="D211" s="51" t="n"/>
      <c r="E211" s="51" t="n"/>
      <c r="F211" s="51" t="n"/>
      <c r="G211" s="51" t="n"/>
      <c r="H211" s="51" t="n"/>
    </row>
    <row r="212">
      <c r="B212" s="51" t="n"/>
      <c r="C212" s="51" t="n"/>
      <c r="D212" s="51" t="n"/>
      <c r="E212" s="51" t="n"/>
      <c r="F212" s="51" t="n"/>
      <c r="G212" s="51" t="n"/>
      <c r="H212" s="51" t="n"/>
    </row>
    <row r="213">
      <c r="B213" s="51" t="n"/>
      <c r="C213" s="51" t="n"/>
      <c r="D213" s="51" t="n"/>
      <c r="E213" s="51" t="n"/>
      <c r="F213" s="51" t="n"/>
      <c r="G213" s="51" t="n"/>
      <c r="H213" s="51" t="n"/>
    </row>
    <row r="214">
      <c r="B214" s="51" t="n"/>
      <c r="C214" s="51" t="n"/>
      <c r="D214" s="51" t="n"/>
      <c r="E214" s="51" t="n"/>
      <c r="F214" s="51" t="n"/>
      <c r="G214" s="51" t="n"/>
      <c r="H214" s="51" t="n"/>
    </row>
    <row r="215">
      <c r="B215" s="51" t="n"/>
      <c r="C215" s="51" t="n"/>
      <c r="D215" s="51" t="n"/>
      <c r="E215" s="51" t="n"/>
      <c r="F215" s="51" t="n"/>
      <c r="G215" s="51" t="n"/>
      <c r="H215" s="51" t="n"/>
    </row>
    <row r="216">
      <c r="B216" s="51" t="n"/>
      <c r="C216" s="51" t="n"/>
      <c r="D216" s="51" t="n"/>
      <c r="E216" s="51" t="n"/>
      <c r="F216" s="51" t="n"/>
      <c r="G216" s="51" t="n"/>
      <c r="H216" s="51" t="n"/>
    </row>
    <row r="217">
      <c r="B217" s="51" t="n"/>
      <c r="C217" s="51" t="n"/>
      <c r="D217" s="51" t="n"/>
      <c r="E217" s="51" t="n"/>
      <c r="F217" s="51" t="n"/>
      <c r="G217" s="51" t="n"/>
      <c r="H217" s="51" t="n"/>
    </row>
    <row r="218">
      <c r="B218" s="51" t="n"/>
      <c r="C218" s="51" t="n"/>
      <c r="D218" s="51" t="n"/>
      <c r="E218" s="51" t="n"/>
      <c r="F218" s="51" t="n"/>
      <c r="G218" s="51" t="n"/>
      <c r="H218" s="51" t="n"/>
    </row>
    <row r="219">
      <c r="B219" s="51" t="n"/>
      <c r="C219" s="51" t="n"/>
      <c r="D219" s="51" t="n"/>
      <c r="E219" s="51" t="n"/>
      <c r="F219" s="51" t="n"/>
      <c r="G219" s="51" t="n"/>
      <c r="H219" s="51" t="n"/>
    </row>
    <row r="220">
      <c r="B220" s="51" t="n"/>
      <c r="C220" s="51" t="n"/>
      <c r="D220" s="51" t="n"/>
      <c r="E220" s="51" t="n"/>
      <c r="F220" s="51" t="n"/>
      <c r="G220" s="51" t="n"/>
      <c r="H220" s="51" t="n"/>
    </row>
    <row r="221">
      <c r="B221" s="51" t="n"/>
      <c r="C221" s="51" t="n"/>
      <c r="D221" s="51" t="n"/>
      <c r="E221" s="51" t="n"/>
      <c r="F221" s="51" t="n"/>
      <c r="G221" s="51" t="n"/>
      <c r="H221" s="51" t="n"/>
    </row>
    <row r="222">
      <c r="B222" s="51" t="n"/>
      <c r="C222" s="51" t="n"/>
      <c r="D222" s="51" t="n"/>
      <c r="E222" s="51" t="n"/>
      <c r="F222" s="51" t="n"/>
      <c r="G222" s="51" t="n"/>
      <c r="H222" s="51" t="n"/>
    </row>
    <row r="223">
      <c r="B223" s="51" t="n"/>
      <c r="C223" s="51" t="n"/>
      <c r="D223" s="51" t="n"/>
      <c r="E223" s="51" t="n"/>
      <c r="F223" s="51" t="n"/>
      <c r="G223" s="51" t="n"/>
      <c r="H223" s="51" t="n"/>
    </row>
    <row r="224">
      <c r="B224" s="51" t="n"/>
      <c r="C224" s="51" t="n"/>
      <c r="D224" s="51" t="n"/>
      <c r="E224" s="51" t="n"/>
      <c r="F224" s="51" t="n"/>
      <c r="G224" s="51" t="n"/>
      <c r="H224" s="51" t="n"/>
    </row>
    <row r="225">
      <c r="B225" s="51" t="n"/>
      <c r="C225" s="51" t="n"/>
      <c r="D225" s="51" t="n"/>
      <c r="E225" s="51" t="n"/>
      <c r="F225" s="51" t="n"/>
      <c r="G225" s="51" t="n"/>
      <c r="H225" s="51" t="n"/>
    </row>
    <row r="226">
      <c r="B226" s="51" t="n"/>
      <c r="C226" s="51" t="n"/>
      <c r="D226" s="51" t="n"/>
      <c r="E226" s="51" t="n"/>
      <c r="F226" s="51" t="n"/>
      <c r="G226" s="51" t="n"/>
      <c r="H226" s="51" t="n"/>
    </row>
    <row r="227">
      <c r="B227" s="51" t="n"/>
      <c r="C227" s="51" t="n"/>
      <c r="D227" s="51" t="n"/>
      <c r="E227" s="51" t="n"/>
      <c r="F227" s="51" t="n"/>
      <c r="G227" s="51" t="n"/>
      <c r="H227" s="51" t="n"/>
    </row>
    <row r="228">
      <c r="B228" s="51" t="n"/>
      <c r="C228" s="51" t="n"/>
      <c r="D228" s="51" t="n"/>
      <c r="E228" s="51" t="n"/>
      <c r="F228" s="51" t="n"/>
      <c r="G228" s="51" t="n"/>
      <c r="H228" s="51" t="n"/>
    </row>
    <row r="229">
      <c r="B229" s="51" t="n"/>
      <c r="C229" s="51" t="n"/>
      <c r="D229" s="51" t="n"/>
      <c r="E229" s="51" t="n"/>
      <c r="F229" s="51" t="n"/>
      <c r="G229" s="51" t="n"/>
      <c r="H229" s="51" t="n"/>
    </row>
    <row r="230">
      <c r="B230" s="51" t="n"/>
      <c r="C230" s="51" t="n"/>
      <c r="D230" s="51" t="n"/>
      <c r="E230" s="51" t="n"/>
      <c r="F230" s="51" t="n"/>
      <c r="G230" s="51" t="n"/>
      <c r="H230" s="51" t="n"/>
    </row>
    <row r="231">
      <c r="B231" s="51" t="n"/>
      <c r="C231" s="51" t="n"/>
      <c r="D231" s="51" t="n"/>
      <c r="E231" s="51" t="n"/>
      <c r="F231" s="51" t="n"/>
      <c r="G231" s="51" t="n"/>
      <c r="H231" s="51" t="n"/>
    </row>
    <row r="232">
      <c r="B232" s="51" t="n"/>
      <c r="C232" s="51" t="n"/>
      <c r="D232" s="51" t="n"/>
      <c r="E232" s="51" t="n"/>
      <c r="F232" s="51" t="n"/>
      <c r="G232" s="51" t="n"/>
      <c r="H232" s="51" t="n"/>
    </row>
    <row r="233">
      <c r="B233" s="51" t="n"/>
      <c r="C233" s="51" t="n"/>
      <c r="D233" s="51" t="n"/>
      <c r="E233" s="51" t="n"/>
      <c r="F233" s="51" t="n"/>
      <c r="G233" s="51" t="n"/>
      <c r="H233" s="51" t="n"/>
    </row>
    <row r="234">
      <c r="B234" s="51" t="n"/>
      <c r="C234" s="51" t="n"/>
      <c r="D234" s="51" t="n"/>
      <c r="E234" s="51" t="n"/>
      <c r="F234" s="51" t="n"/>
      <c r="G234" s="51" t="n"/>
      <c r="H234" s="51" t="n"/>
    </row>
    <row r="235">
      <c r="B235" s="51" t="n"/>
      <c r="C235" s="51" t="n"/>
      <c r="D235" s="51" t="n"/>
      <c r="E235" s="51" t="n"/>
      <c r="F235" s="51" t="n"/>
      <c r="G235" s="51" t="n"/>
      <c r="H235" s="51" t="n"/>
    </row>
    <row r="236">
      <c r="B236" s="51" t="n"/>
      <c r="C236" s="51" t="n"/>
      <c r="D236" s="51" t="n"/>
      <c r="E236" s="51" t="n"/>
      <c r="F236" s="51" t="n"/>
      <c r="G236" s="51" t="n"/>
      <c r="H236" s="51" t="n"/>
    </row>
    <row r="237">
      <c r="B237" s="51" t="n"/>
      <c r="C237" s="51" t="n"/>
      <c r="D237" s="51" t="n"/>
      <c r="E237" s="51" t="n"/>
      <c r="F237" s="51" t="n"/>
      <c r="G237" s="51" t="n"/>
      <c r="H237" s="51" t="n"/>
    </row>
    <row r="238">
      <c r="B238" s="51" t="n"/>
      <c r="C238" s="51" t="n"/>
      <c r="D238" s="51" t="n"/>
      <c r="E238" s="51" t="n"/>
      <c r="F238" s="51" t="n"/>
      <c r="G238" s="51" t="n"/>
      <c r="H238" s="51" t="n"/>
    </row>
    <row r="239">
      <c r="B239" s="51" t="n"/>
      <c r="C239" s="51" t="n"/>
      <c r="D239" s="51" t="n"/>
      <c r="E239" s="51" t="n"/>
      <c r="F239" s="51" t="n"/>
      <c r="G239" s="51" t="n"/>
      <c r="H239" s="51" t="n"/>
    </row>
    <row r="240">
      <c r="B240" s="51" t="n"/>
      <c r="C240" s="51" t="n"/>
      <c r="D240" s="51" t="n"/>
      <c r="E240" s="51" t="n"/>
      <c r="F240" s="51" t="n"/>
      <c r="G240" s="51" t="n"/>
      <c r="H240" s="51" t="n"/>
    </row>
    <row r="241">
      <c r="B241" s="51" t="n"/>
      <c r="C241" s="51" t="n"/>
      <c r="D241" s="51" t="n"/>
      <c r="E241" s="51" t="n"/>
      <c r="F241" s="51" t="n"/>
      <c r="G241" s="51" t="n"/>
      <c r="H241" s="51" t="n"/>
    </row>
    <row r="242">
      <c r="B242" s="51" t="n"/>
      <c r="C242" s="51" t="n"/>
      <c r="D242" s="51" t="n"/>
      <c r="E242" s="51" t="n"/>
      <c r="F242" s="51" t="n"/>
      <c r="G242" s="51" t="n"/>
      <c r="H242" s="51" t="n"/>
    </row>
    <row r="243">
      <c r="B243" s="51" t="n"/>
      <c r="C243" s="51" t="n"/>
      <c r="D243" s="51" t="n"/>
      <c r="E243" s="51" t="n"/>
      <c r="F243" s="51" t="n"/>
      <c r="G243" s="51" t="n"/>
      <c r="H243" s="51" t="n"/>
    </row>
    <row r="244">
      <c r="B244" s="51" t="n"/>
      <c r="C244" s="51" t="n"/>
      <c r="D244" s="51" t="n"/>
      <c r="E244" s="51" t="n"/>
      <c r="F244" s="51" t="n"/>
      <c r="G244" s="51" t="n"/>
      <c r="H244" s="51" t="n"/>
    </row>
    <row r="245">
      <c r="B245" s="51" t="n"/>
      <c r="C245" s="51" t="n"/>
      <c r="D245" s="51" t="n"/>
      <c r="E245" s="51" t="n"/>
      <c r="F245" s="51" t="n"/>
      <c r="G245" s="51" t="n"/>
      <c r="H245" s="51" t="n"/>
    </row>
    <row r="246">
      <c r="B246" s="51" t="n"/>
      <c r="C246" s="51" t="n"/>
      <c r="D246" s="51" t="n"/>
      <c r="E246" s="51" t="n"/>
      <c r="F246" s="51" t="n"/>
      <c r="G246" s="51" t="n"/>
      <c r="H246" s="51" t="n"/>
    </row>
    <row r="247">
      <c r="B247" s="51" t="n"/>
      <c r="C247" s="51" t="n"/>
      <c r="D247" s="51" t="n"/>
      <c r="E247" s="51" t="n"/>
      <c r="F247" s="51" t="n"/>
      <c r="G247" s="51" t="n"/>
      <c r="H247" s="51" t="n"/>
    </row>
    <row r="248">
      <c r="B248" s="51" t="n"/>
      <c r="C248" s="51" t="n"/>
      <c r="D248" s="51" t="n"/>
      <c r="E248" s="51" t="n"/>
      <c r="F248" s="51" t="n"/>
      <c r="G248" s="51" t="n"/>
      <c r="H248" s="51" t="n"/>
    </row>
    <row r="249">
      <c r="B249" s="51" t="n"/>
      <c r="C249" s="51" t="n"/>
      <c r="D249" s="51" t="n"/>
      <c r="E249" s="51" t="n"/>
      <c r="F249" s="51" t="n"/>
      <c r="G249" s="51" t="n"/>
      <c r="H249" s="51" t="n"/>
    </row>
    <row r="250">
      <c r="B250" s="51" t="n"/>
      <c r="C250" s="51" t="n"/>
      <c r="D250" s="51" t="n"/>
      <c r="E250" s="51" t="n"/>
      <c r="F250" s="51" t="n"/>
      <c r="G250" s="51" t="n"/>
      <c r="H250" s="51" t="n"/>
    </row>
    <row r="251">
      <c r="B251" s="51" t="n"/>
      <c r="C251" s="51" t="n"/>
      <c r="D251" s="51" t="n"/>
      <c r="E251" s="51" t="n"/>
      <c r="F251" s="51" t="n"/>
      <c r="G251" s="51" t="n"/>
      <c r="H251" s="51" t="n"/>
    </row>
    <row r="252">
      <c r="B252" s="51" t="n"/>
      <c r="C252" s="51" t="n"/>
      <c r="D252" s="51" t="n"/>
      <c r="E252" s="51" t="n"/>
      <c r="F252" s="51" t="n"/>
      <c r="G252" s="51" t="n"/>
      <c r="H252" s="51" t="n"/>
    </row>
    <row r="253">
      <c r="B253" s="51" t="n"/>
      <c r="C253" s="51" t="n"/>
      <c r="D253" s="51" t="n"/>
      <c r="E253" s="51" t="n"/>
      <c r="F253" s="51" t="n"/>
      <c r="G253" s="51" t="n"/>
      <c r="H253" s="51" t="n"/>
    </row>
    <row r="254">
      <c r="B254" s="51" t="n"/>
      <c r="C254" s="51" t="n"/>
      <c r="D254" s="51" t="n"/>
      <c r="E254" s="51" t="n"/>
      <c r="F254" s="51" t="n"/>
      <c r="G254" s="51" t="n"/>
      <c r="H254" s="51" t="n"/>
    </row>
    <row r="255">
      <c r="B255" s="51" t="n"/>
      <c r="C255" s="51" t="n"/>
      <c r="D255" s="51" t="n"/>
      <c r="E255" s="51" t="n"/>
      <c r="F255" s="51" t="n"/>
      <c r="G255" s="51" t="n"/>
      <c r="H255" s="51" t="n"/>
    </row>
    <row r="256">
      <c r="B256" s="51" t="n"/>
      <c r="C256" s="51" t="n"/>
      <c r="D256" s="51" t="n"/>
      <c r="E256" s="51" t="n"/>
      <c r="F256" s="51" t="n"/>
      <c r="G256" s="51" t="n"/>
      <c r="H256" s="51" t="n"/>
    </row>
    <row r="257">
      <c r="B257" s="51" t="n"/>
      <c r="C257" s="51" t="n"/>
      <c r="D257" s="51" t="n"/>
      <c r="E257" s="51" t="n"/>
      <c r="F257" s="51" t="n"/>
      <c r="G257" s="51" t="n"/>
      <c r="H257" s="51" t="n"/>
    </row>
    <row r="258">
      <c r="B258" s="51" t="n"/>
      <c r="C258" s="51" t="n"/>
      <c r="D258" s="51" t="n"/>
      <c r="E258" s="51" t="n"/>
      <c r="F258" s="51" t="n"/>
      <c r="G258" s="51" t="n"/>
      <c r="H258" s="51" t="n"/>
    </row>
    <row r="259">
      <c r="B259" s="51" t="n"/>
      <c r="C259" s="51" t="n"/>
      <c r="D259" s="51" t="n"/>
      <c r="E259" s="51" t="n"/>
      <c r="F259" s="51" t="n"/>
      <c r="G259" s="51" t="n"/>
      <c r="H259" s="51" t="n"/>
    </row>
    <row r="260">
      <c r="B260" s="51" t="n"/>
      <c r="C260" s="51" t="n"/>
      <c r="D260" s="51" t="n"/>
      <c r="E260" s="51" t="n"/>
      <c r="F260" s="51" t="n"/>
      <c r="G260" s="51" t="n"/>
      <c r="H260" s="51" t="n"/>
    </row>
    <row r="261">
      <c r="B261" s="51" t="n"/>
      <c r="C261" s="51" t="n"/>
      <c r="D261" s="51" t="n"/>
      <c r="E261" s="51" t="n"/>
      <c r="F261" s="51" t="n"/>
      <c r="G261" s="51" t="n"/>
      <c r="H261" s="51" t="n"/>
    </row>
    <row r="262">
      <c r="B262" s="51" t="n"/>
      <c r="C262" s="51" t="n"/>
      <c r="D262" s="51" t="n"/>
      <c r="E262" s="51" t="n"/>
      <c r="F262" s="51" t="n"/>
      <c r="G262" s="51" t="n"/>
      <c r="H262" s="51" t="n"/>
    </row>
    <row r="263">
      <c r="B263" s="51" t="n"/>
      <c r="C263" s="51" t="n"/>
      <c r="D263" s="51" t="n"/>
      <c r="E263" s="51" t="n"/>
      <c r="F263" s="51" t="n"/>
      <c r="G263" s="51" t="n"/>
      <c r="H263" s="51" t="n"/>
    </row>
    <row r="264">
      <c r="B264" s="51" t="n"/>
      <c r="C264" s="51" t="n"/>
      <c r="D264" s="51" t="n"/>
      <c r="E264" s="51" t="n"/>
      <c r="F264" s="51" t="n"/>
      <c r="G264" s="51" t="n"/>
      <c r="H264" s="51" t="n"/>
    </row>
    <row r="265">
      <c r="B265" s="51" t="n"/>
      <c r="C265" s="51" t="n"/>
      <c r="D265" s="51" t="n"/>
      <c r="E265" s="51" t="n"/>
      <c r="F265" s="51" t="n"/>
      <c r="G265" s="51" t="n"/>
      <c r="H265" s="51" t="n"/>
    </row>
    <row r="266">
      <c r="B266" s="51" t="n"/>
      <c r="C266" s="51" t="n"/>
      <c r="D266" s="51" t="n"/>
      <c r="E266" s="51" t="n"/>
      <c r="F266" s="51" t="n"/>
      <c r="G266" s="51" t="n"/>
      <c r="H266" s="51" t="n"/>
    </row>
    <row r="267">
      <c r="B267" s="51" t="n"/>
      <c r="C267" s="51" t="n"/>
      <c r="D267" s="51" t="n"/>
      <c r="E267" s="51" t="n"/>
      <c r="F267" s="51" t="n"/>
      <c r="G267" s="51" t="n"/>
      <c r="H267" s="51" t="n"/>
    </row>
    <row r="268">
      <c r="B268" s="51" t="n"/>
      <c r="C268" s="51" t="n"/>
      <c r="D268" s="51" t="n"/>
      <c r="E268" s="51" t="n"/>
      <c r="F268" s="51" t="n"/>
      <c r="G268" s="51" t="n"/>
      <c r="H268" s="51" t="n"/>
    </row>
    <row r="269">
      <c r="B269" s="51" t="n"/>
      <c r="C269" s="51" t="n"/>
      <c r="D269" s="51" t="n"/>
      <c r="E269" s="51" t="n"/>
      <c r="F269" s="51" t="n"/>
      <c r="G269" s="51" t="n"/>
      <c r="H269" s="51" t="n"/>
    </row>
    <row r="270">
      <c r="B270" s="51" t="n"/>
      <c r="C270" s="51" t="n"/>
      <c r="D270" s="51" t="n"/>
      <c r="E270" s="51" t="n"/>
      <c r="F270" s="51" t="n"/>
      <c r="G270" s="51" t="n"/>
      <c r="H270" s="51" t="n"/>
    </row>
    <row r="271">
      <c r="B271" s="51" t="n"/>
      <c r="C271" s="51" t="n"/>
      <c r="D271" s="51" t="n"/>
      <c r="E271" s="51" t="n"/>
      <c r="F271" s="51" t="n"/>
      <c r="G271" s="51" t="n"/>
      <c r="H271" s="51" t="n"/>
    </row>
    <row r="272">
      <c r="B272" s="51" t="n"/>
      <c r="C272" s="51" t="n"/>
      <c r="D272" s="51" t="n"/>
      <c r="E272" s="51" t="n"/>
      <c r="F272" s="51" t="n"/>
      <c r="G272" s="51" t="n"/>
      <c r="H272" s="51" t="n"/>
    </row>
    <row r="273">
      <c r="B273" s="51" t="n"/>
      <c r="C273" s="51" t="n"/>
      <c r="D273" s="51" t="n"/>
      <c r="E273" s="51" t="n"/>
      <c r="F273" s="51" t="n"/>
      <c r="G273" s="51" t="n"/>
      <c r="H273" s="51" t="n"/>
    </row>
    <row r="274">
      <c r="B274" s="51" t="n"/>
      <c r="C274" s="51" t="n"/>
      <c r="D274" s="51" t="n"/>
      <c r="E274" s="51" t="n"/>
      <c r="F274" s="51" t="n"/>
      <c r="G274" s="51" t="n"/>
      <c r="H274" s="51" t="n"/>
    </row>
    <row r="275">
      <c r="B275" s="51" t="n"/>
      <c r="C275" s="51" t="n"/>
      <c r="D275" s="51" t="n"/>
      <c r="E275" s="51" t="n"/>
      <c r="F275" s="51" t="n"/>
      <c r="G275" s="51" t="n"/>
      <c r="H275" s="51" t="n"/>
    </row>
    <row r="276">
      <c r="B276" s="51" t="n"/>
      <c r="C276" s="51" t="n"/>
      <c r="D276" s="51" t="n"/>
      <c r="E276" s="51" t="n"/>
      <c r="F276" s="51" t="n"/>
      <c r="G276" s="51" t="n"/>
      <c r="H276" s="51" t="n"/>
    </row>
    <row r="277">
      <c r="B277" s="51" t="n"/>
      <c r="C277" s="51" t="n"/>
      <c r="D277" s="51" t="n"/>
      <c r="E277" s="51" t="n"/>
      <c r="F277" s="51" t="n"/>
      <c r="G277" s="51" t="n"/>
      <c r="H277" s="51" t="n"/>
    </row>
    <row r="278">
      <c r="B278" s="51" t="n"/>
      <c r="C278" s="51" t="n"/>
      <c r="D278" s="51" t="n"/>
      <c r="E278" s="51" t="n"/>
      <c r="F278" s="51" t="n"/>
      <c r="G278" s="51" t="n"/>
      <c r="H278" s="51" t="n"/>
    </row>
    <row r="279">
      <c r="B279" s="51" t="n"/>
      <c r="C279" s="51" t="n"/>
      <c r="D279" s="51" t="n"/>
      <c r="E279" s="51" t="n"/>
      <c r="F279" s="51" t="n"/>
      <c r="G279" s="51" t="n"/>
      <c r="H279" s="51" t="n"/>
    </row>
    <row r="280">
      <c r="B280" s="51" t="n"/>
      <c r="C280" s="51" t="n"/>
      <c r="D280" s="51" t="n"/>
      <c r="E280" s="51" t="n"/>
      <c r="F280" s="51" t="n"/>
      <c r="G280" s="51" t="n"/>
      <c r="H280" s="51" t="n"/>
    </row>
    <row r="281">
      <c r="B281" s="51" t="n"/>
      <c r="C281" s="51" t="n"/>
      <c r="D281" s="51" t="n"/>
      <c r="E281" s="51" t="n"/>
      <c r="F281" s="51" t="n"/>
      <c r="G281" s="51" t="n"/>
      <c r="H281" s="51" t="n"/>
    </row>
    <row r="282">
      <c r="B282" s="51" t="n"/>
      <c r="C282" s="51" t="n"/>
      <c r="D282" s="51" t="n"/>
      <c r="E282" s="51" t="n"/>
      <c r="F282" s="51" t="n"/>
      <c r="G282" s="51" t="n"/>
      <c r="H282" s="51" t="n"/>
    </row>
    <row r="283">
      <c r="B283" s="51" t="n"/>
      <c r="C283" s="51" t="n"/>
      <c r="D283" s="51" t="n"/>
      <c r="E283" s="51" t="n"/>
      <c r="F283" s="51" t="n"/>
      <c r="G283" s="51" t="n"/>
      <c r="H283" s="51" t="n"/>
    </row>
    <row r="284">
      <c r="B284" s="51" t="n"/>
      <c r="C284" s="51" t="n"/>
      <c r="D284" s="51" t="n"/>
      <c r="E284" s="51" t="n"/>
      <c r="F284" s="51" t="n"/>
      <c r="G284" s="51" t="n"/>
      <c r="H284" s="51" t="n"/>
    </row>
    <row r="285">
      <c r="B285" s="51" t="n"/>
      <c r="C285" s="51" t="n"/>
      <c r="D285" s="51" t="n"/>
      <c r="E285" s="51" t="n"/>
      <c r="F285" s="51" t="n"/>
      <c r="G285" s="51" t="n"/>
      <c r="H285" s="51" t="n"/>
    </row>
    <row r="286">
      <c r="B286" s="51" t="n"/>
      <c r="C286" s="51" t="n"/>
      <c r="D286" s="51" t="n"/>
      <c r="E286" s="51" t="n"/>
      <c r="F286" s="51" t="n"/>
      <c r="G286" s="51" t="n"/>
      <c r="H286" s="51" t="n"/>
    </row>
    <row r="287">
      <c r="B287" s="51" t="n"/>
      <c r="C287" s="51" t="n"/>
      <c r="D287" s="51" t="n"/>
      <c r="E287" s="51" t="n"/>
      <c r="F287" s="51" t="n"/>
      <c r="G287" s="51" t="n"/>
      <c r="H287" s="51" t="n"/>
    </row>
    <row r="288">
      <c r="B288" s="51" t="n"/>
      <c r="C288" s="51" t="n"/>
      <c r="D288" s="51" t="n"/>
      <c r="E288" s="51" t="n"/>
      <c r="F288" s="51" t="n"/>
      <c r="G288" s="51" t="n"/>
      <c r="H288" s="51" t="n"/>
    </row>
    <row r="289">
      <c r="B289" s="51" t="n"/>
      <c r="C289" s="51" t="n"/>
      <c r="D289" s="51" t="n"/>
      <c r="E289" s="51" t="n"/>
      <c r="F289" s="51" t="n"/>
      <c r="G289" s="51" t="n"/>
      <c r="H289" s="51" t="n"/>
    </row>
    <row r="290">
      <c r="B290" s="51" t="n"/>
      <c r="C290" s="51" t="n"/>
      <c r="D290" s="51" t="n"/>
      <c r="E290" s="51" t="n"/>
      <c r="F290" s="51" t="n"/>
      <c r="G290" s="51" t="n"/>
      <c r="H290" s="51" t="n"/>
    </row>
    <row r="291">
      <c r="B291" s="51" t="n"/>
      <c r="C291" s="51" t="n"/>
      <c r="D291" s="51" t="n"/>
      <c r="E291" s="51" t="n"/>
      <c r="F291" s="51" t="n"/>
      <c r="G291" s="51" t="n"/>
      <c r="H291" s="51" t="n"/>
    </row>
    <row r="292">
      <c r="B292" s="51" t="n"/>
      <c r="C292" s="51" t="n"/>
      <c r="D292" s="51" t="n"/>
      <c r="E292" s="51" t="n"/>
      <c r="F292" s="51" t="n"/>
      <c r="G292" s="51" t="n"/>
      <c r="H292" s="51" t="n"/>
    </row>
    <row r="293">
      <c r="B293" s="51" t="n"/>
      <c r="C293" s="51" t="n"/>
      <c r="D293" s="51" t="n"/>
      <c r="E293" s="51" t="n"/>
      <c r="F293" s="51" t="n"/>
      <c r="G293" s="51" t="n"/>
      <c r="H293" s="51" t="n"/>
    </row>
    <row r="294">
      <c r="B294" s="51" t="n"/>
      <c r="C294" s="51" t="n"/>
      <c r="D294" s="51" t="n"/>
      <c r="E294" s="51" t="n"/>
      <c r="F294" s="51" t="n"/>
      <c r="G294" s="51" t="n"/>
      <c r="H294" s="51" t="n"/>
    </row>
    <row r="295">
      <c r="B295" s="51" t="n"/>
      <c r="C295" s="51" t="n"/>
      <c r="D295" s="51" t="n"/>
      <c r="E295" s="51" t="n"/>
      <c r="F295" s="51" t="n"/>
      <c r="G295" s="51" t="n"/>
      <c r="H295" s="51" t="n"/>
    </row>
    <row r="296">
      <c r="B296" s="51" t="n"/>
      <c r="C296" s="51" t="n"/>
      <c r="D296" s="51" t="n"/>
      <c r="E296" s="51" t="n"/>
      <c r="F296" s="51" t="n"/>
      <c r="G296" s="51" t="n"/>
      <c r="H296" s="51" t="n"/>
    </row>
    <row r="297">
      <c r="B297" s="51" t="n"/>
      <c r="C297" s="51" t="n"/>
      <c r="D297" s="51" t="n"/>
      <c r="E297" s="51" t="n"/>
      <c r="F297" s="51" t="n"/>
      <c r="G297" s="51" t="n"/>
      <c r="H297" s="51" t="n"/>
    </row>
    <row r="298">
      <c r="B298" s="51" t="n"/>
      <c r="C298" s="51" t="n"/>
      <c r="D298" s="51" t="n"/>
      <c r="E298" s="51" t="n"/>
      <c r="F298" s="51" t="n"/>
      <c r="G298" s="51" t="n"/>
      <c r="H298" s="51" t="n"/>
    </row>
    <row r="299">
      <c r="B299" s="51" t="n"/>
      <c r="C299" s="51" t="n"/>
      <c r="D299" s="51" t="n"/>
      <c r="E299" s="51" t="n"/>
      <c r="F299" s="51" t="n"/>
      <c r="G299" s="51" t="n"/>
      <c r="H299" s="51" t="n"/>
    </row>
    <row r="300">
      <c r="B300" s="51" t="n"/>
      <c r="C300" s="51" t="n"/>
      <c r="D300" s="51" t="n"/>
      <c r="E300" s="51" t="n"/>
      <c r="F300" s="51" t="n"/>
      <c r="G300" s="51" t="n"/>
      <c r="H300" s="51" t="n"/>
    </row>
    <row r="301">
      <c r="B301" s="51" t="n"/>
      <c r="C301" s="51" t="n"/>
      <c r="D301" s="51" t="n"/>
      <c r="E301" s="51" t="n"/>
      <c r="F301" s="51" t="n"/>
      <c r="G301" s="51" t="n"/>
      <c r="H301" s="51" t="n"/>
    </row>
    <row r="302">
      <c r="B302" s="51" t="n"/>
      <c r="C302" s="51" t="n"/>
      <c r="D302" s="51" t="n"/>
      <c r="E302" s="51" t="n"/>
      <c r="F302" s="51" t="n"/>
      <c r="G302" s="51" t="n"/>
      <c r="H302" s="51" t="n"/>
    </row>
    <row r="303">
      <c r="B303" s="51" t="n"/>
      <c r="C303" s="51" t="n"/>
      <c r="D303" s="51" t="n"/>
      <c r="E303" s="51" t="n"/>
      <c r="F303" s="51" t="n"/>
      <c r="G303" s="51" t="n"/>
      <c r="H303" s="51" t="n"/>
    </row>
    <row r="304">
      <c r="B304" s="51" t="n"/>
      <c r="C304" s="51" t="n"/>
      <c r="D304" s="51" t="n"/>
      <c r="E304" s="51" t="n"/>
      <c r="F304" s="51" t="n"/>
      <c r="G304" s="51" t="n"/>
      <c r="H304" s="51" t="n"/>
    </row>
    <row r="305">
      <c r="B305" s="51" t="n"/>
      <c r="C305" s="51" t="n"/>
      <c r="D305" s="51" t="n"/>
      <c r="E305" s="51" t="n"/>
      <c r="F305" s="51" t="n"/>
      <c r="G305" s="51" t="n"/>
      <c r="H305" s="51" t="n"/>
    </row>
    <row r="306">
      <c r="B306" s="51" t="n"/>
      <c r="C306" s="51" t="n"/>
      <c r="D306" s="51" t="n"/>
      <c r="E306" s="51" t="n"/>
      <c r="F306" s="51" t="n"/>
      <c r="G306" s="51" t="n"/>
      <c r="H306" s="51" t="n"/>
    </row>
    <row r="307">
      <c r="B307" s="51" t="n"/>
      <c r="C307" s="51" t="n"/>
      <c r="D307" s="51" t="n"/>
      <c r="E307" s="51" t="n"/>
      <c r="F307" s="51" t="n"/>
      <c r="G307" s="51" t="n"/>
      <c r="H307" s="51" t="n"/>
    </row>
    <row r="308">
      <c r="B308" s="51" t="n"/>
      <c r="C308" s="51" t="n"/>
      <c r="D308" s="51" t="n"/>
      <c r="E308" s="51" t="n"/>
      <c r="F308" s="51" t="n"/>
      <c r="G308" s="51" t="n"/>
      <c r="H308" s="51" t="n"/>
    </row>
    <row r="309">
      <c r="B309" s="51" t="n"/>
      <c r="C309" s="51" t="n"/>
      <c r="D309" s="51" t="n"/>
      <c r="E309" s="51" t="n"/>
      <c r="F309" s="51" t="n"/>
      <c r="G309" s="51" t="n"/>
      <c r="H309" s="51" t="n"/>
    </row>
    <row r="310">
      <c r="B310" s="51" t="n"/>
      <c r="C310" s="51" t="n"/>
      <c r="D310" s="51" t="n"/>
      <c r="E310" s="51" t="n"/>
      <c r="F310" s="51" t="n"/>
      <c r="G310" s="51" t="n"/>
      <c r="H310" s="51" t="n"/>
    </row>
    <row r="311">
      <c r="B311" s="51" t="n"/>
      <c r="C311" s="51" t="n"/>
      <c r="D311" s="51" t="n"/>
      <c r="E311" s="51" t="n"/>
      <c r="F311" s="51" t="n"/>
      <c r="G311" s="51" t="n"/>
      <c r="H311" s="51" t="n"/>
    </row>
    <row r="312">
      <c r="B312" s="51" t="n"/>
      <c r="C312" s="51" t="n"/>
      <c r="D312" s="51" t="n"/>
      <c r="E312" s="51" t="n"/>
      <c r="F312" s="51" t="n"/>
      <c r="G312" s="51" t="n"/>
      <c r="H312" s="51" t="n"/>
    </row>
    <row r="313">
      <c r="B313" s="51" t="n"/>
      <c r="C313" s="51" t="n"/>
      <c r="D313" s="51" t="n"/>
      <c r="E313" s="51" t="n"/>
      <c r="F313" s="51" t="n"/>
      <c r="G313" s="51" t="n"/>
      <c r="H313" s="51" t="n"/>
    </row>
    <row r="314">
      <c r="B314" s="51" t="n"/>
      <c r="C314" s="51" t="n"/>
      <c r="D314" s="51" t="n"/>
      <c r="E314" s="51" t="n"/>
      <c r="F314" s="51" t="n"/>
      <c r="G314" s="51" t="n"/>
      <c r="H314" s="51" t="n"/>
    </row>
    <row r="315">
      <c r="B315" s="51" t="n"/>
      <c r="C315" s="51" t="n"/>
      <c r="D315" s="51" t="n"/>
      <c r="E315" s="51" t="n"/>
      <c r="F315" s="51" t="n"/>
      <c r="G315" s="51" t="n"/>
      <c r="H315" s="51" t="n"/>
    </row>
    <row r="316">
      <c r="B316" s="51" t="n"/>
      <c r="C316" s="51" t="n"/>
      <c r="D316" s="51" t="n"/>
      <c r="E316" s="51" t="n"/>
      <c r="F316" s="51" t="n"/>
      <c r="G316" s="51" t="n"/>
      <c r="H316" s="51" t="n"/>
    </row>
    <row r="317">
      <c r="B317" s="51" t="n"/>
      <c r="C317" s="51" t="n"/>
      <c r="D317" s="51" t="n"/>
      <c r="E317" s="51" t="n"/>
      <c r="F317" s="51" t="n"/>
      <c r="G317" s="51" t="n"/>
      <c r="H317" s="51" t="n"/>
    </row>
    <row r="318">
      <c r="B318" s="51" t="n"/>
      <c r="C318" s="51" t="n"/>
      <c r="D318" s="51" t="n"/>
      <c r="E318" s="51" t="n"/>
      <c r="F318" s="51" t="n"/>
      <c r="G318" s="51" t="n"/>
      <c r="H318" s="51" t="n"/>
    </row>
    <row r="319">
      <c r="B319" s="51" t="n"/>
      <c r="C319" s="51" t="n"/>
      <c r="D319" s="51" t="n"/>
      <c r="E319" s="51" t="n"/>
      <c r="F319" s="51" t="n"/>
      <c r="G319" s="51" t="n"/>
      <c r="H319" s="51" t="n"/>
    </row>
    <row r="320">
      <c r="B320" s="51" t="n"/>
      <c r="C320" s="51" t="n"/>
      <c r="D320" s="51" t="n"/>
      <c r="E320" s="51" t="n"/>
      <c r="F320" s="51" t="n"/>
      <c r="G320" s="51" t="n"/>
      <c r="H320" s="51" t="n"/>
    </row>
    <row r="321">
      <c r="B321" s="51" t="n"/>
      <c r="C321" s="51" t="n"/>
      <c r="D321" s="51" t="n"/>
      <c r="E321" s="51" t="n"/>
      <c r="F321" s="51" t="n"/>
      <c r="G321" s="51" t="n"/>
      <c r="H321" s="51" t="n"/>
    </row>
    <row r="322">
      <c r="B322" s="51" t="n"/>
      <c r="C322" s="51" t="n"/>
      <c r="D322" s="51" t="n"/>
      <c r="E322" s="51" t="n"/>
      <c r="F322" s="51" t="n"/>
      <c r="G322" s="51" t="n"/>
      <c r="H322" s="51" t="n"/>
    </row>
    <row r="323">
      <c r="B323" s="51" t="n"/>
      <c r="C323" s="51" t="n"/>
      <c r="D323" s="51" t="n"/>
      <c r="E323" s="51" t="n"/>
      <c r="F323" s="51" t="n"/>
      <c r="G323" s="51" t="n"/>
      <c r="H323" s="51" t="n"/>
    </row>
    <row r="324">
      <c r="B324" s="51" t="n"/>
      <c r="C324" s="51" t="n"/>
      <c r="D324" s="51" t="n"/>
      <c r="E324" s="51" t="n"/>
      <c r="F324" s="51" t="n"/>
      <c r="G324" s="51" t="n"/>
      <c r="H324" s="51" t="n"/>
    </row>
    <row r="325">
      <c r="B325" s="51" t="n"/>
      <c r="C325" s="51" t="n"/>
      <c r="D325" s="51" t="n"/>
      <c r="E325" s="51" t="n"/>
      <c r="F325" s="51" t="n"/>
      <c r="G325" s="51" t="n"/>
      <c r="H325" s="51" t="n"/>
    </row>
    <row r="326">
      <c r="B326" s="51" t="n"/>
      <c r="C326" s="51" t="n"/>
      <c r="D326" s="51" t="n"/>
      <c r="E326" s="51" t="n"/>
      <c r="F326" s="51" t="n"/>
      <c r="G326" s="51" t="n"/>
      <c r="H326" s="51" t="n"/>
    </row>
    <row r="327">
      <c r="B327" s="51" t="n"/>
      <c r="C327" s="51" t="n"/>
      <c r="D327" s="51" t="n"/>
      <c r="E327" s="51" t="n"/>
      <c r="F327" s="51" t="n"/>
      <c r="G327" s="51" t="n"/>
      <c r="H327" s="51" t="n"/>
    </row>
    <row r="328">
      <c r="B328" s="51" t="n"/>
      <c r="C328" s="51" t="n"/>
      <c r="D328" s="51" t="n"/>
      <c r="E328" s="51" t="n"/>
      <c r="F328" s="51" t="n"/>
      <c r="G328" s="51" t="n"/>
      <c r="H328" s="51" t="n"/>
    </row>
    <row r="329">
      <c r="B329" s="51" t="n"/>
      <c r="C329" s="51" t="n"/>
      <c r="D329" s="51" t="n"/>
      <c r="E329" s="51" t="n"/>
      <c r="F329" s="51" t="n"/>
      <c r="G329" s="51" t="n"/>
      <c r="H329" s="51" t="n"/>
    </row>
    <row r="330">
      <c r="B330" s="51" t="n"/>
      <c r="C330" s="51" t="n"/>
      <c r="D330" s="51" t="n"/>
      <c r="E330" s="51" t="n"/>
      <c r="F330" s="51" t="n"/>
      <c r="G330" s="51" t="n"/>
      <c r="H330" s="51" t="n"/>
    </row>
    <row r="331">
      <c r="B331" s="51" t="n"/>
      <c r="C331" s="51" t="n"/>
      <c r="D331" s="51" t="n"/>
      <c r="E331" s="51" t="n"/>
      <c r="F331" s="51" t="n"/>
      <c r="G331" s="51" t="n"/>
      <c r="H331" s="51" t="n"/>
    </row>
    <row r="332">
      <c r="B332" s="51" t="n"/>
      <c r="C332" s="51" t="n"/>
      <c r="D332" s="51" t="n"/>
      <c r="E332" s="51" t="n"/>
      <c r="F332" s="51" t="n"/>
      <c r="G332" s="51" t="n"/>
      <c r="H332" s="51" t="n"/>
    </row>
    <row r="333">
      <c r="B333" s="51" t="n"/>
      <c r="C333" s="51" t="n"/>
      <c r="D333" s="51" t="n"/>
      <c r="E333" s="51" t="n"/>
      <c r="F333" s="51" t="n"/>
      <c r="G333" s="51" t="n"/>
      <c r="H333" s="51" t="n"/>
    </row>
    <row r="334">
      <c r="B334" s="51" t="n"/>
      <c r="C334" s="51" t="n"/>
      <c r="D334" s="51" t="n"/>
      <c r="E334" s="51" t="n"/>
      <c r="F334" s="51" t="n"/>
      <c r="G334" s="51" t="n"/>
      <c r="H334" s="51" t="n"/>
    </row>
    <row r="335">
      <c r="B335" s="51" t="n"/>
      <c r="C335" s="51" t="n"/>
      <c r="D335" s="51" t="n"/>
      <c r="E335" s="51" t="n"/>
      <c r="F335" s="51" t="n"/>
      <c r="G335" s="51" t="n"/>
      <c r="H335" s="51" t="n"/>
    </row>
    <row r="336">
      <c r="B336" s="51" t="n"/>
      <c r="C336" s="51" t="n"/>
      <c r="D336" s="51" t="n"/>
      <c r="E336" s="51" t="n"/>
      <c r="F336" s="51" t="n"/>
      <c r="G336" s="51" t="n"/>
      <c r="H336" s="51" t="n"/>
    </row>
    <row r="337">
      <c r="B337" s="51" t="n"/>
      <c r="C337" s="51" t="n"/>
      <c r="D337" s="51" t="n"/>
      <c r="E337" s="51" t="n"/>
      <c r="F337" s="51" t="n"/>
      <c r="G337" s="51" t="n"/>
      <c r="H337" s="51" t="n"/>
    </row>
    <row r="338">
      <c r="B338" s="51" t="n"/>
      <c r="C338" s="51" t="n"/>
      <c r="D338" s="51" t="n"/>
      <c r="E338" s="51" t="n"/>
      <c r="F338" s="51" t="n"/>
      <c r="G338" s="51" t="n"/>
      <c r="H338" s="51" t="n"/>
    </row>
    <row r="339">
      <c r="B339" s="51" t="n"/>
      <c r="C339" s="51" t="n"/>
      <c r="D339" s="51" t="n"/>
      <c r="E339" s="51" t="n"/>
      <c r="F339" s="51" t="n"/>
      <c r="G339" s="51" t="n"/>
      <c r="H339" s="51" t="n"/>
    </row>
    <row r="340">
      <c r="B340" s="51" t="n"/>
      <c r="C340" s="51" t="n"/>
      <c r="D340" s="51" t="n"/>
      <c r="E340" s="51" t="n"/>
      <c r="F340" s="51" t="n"/>
      <c r="G340" s="51" t="n"/>
      <c r="H340" s="51" t="n"/>
    </row>
    <row r="341">
      <c r="B341" s="51" t="n"/>
      <c r="C341" s="51" t="n"/>
      <c r="D341" s="51" t="n"/>
      <c r="E341" s="51" t="n"/>
      <c r="F341" s="51" t="n"/>
      <c r="G341" s="51" t="n"/>
      <c r="H341" s="51" t="n"/>
    </row>
    <row r="342">
      <c r="B342" s="51" t="n"/>
      <c r="C342" s="51" t="n"/>
      <c r="D342" s="51" t="n"/>
      <c r="E342" s="51" t="n"/>
      <c r="F342" s="51" t="n"/>
      <c r="G342" s="51" t="n"/>
      <c r="H342" s="51" t="n"/>
    </row>
    <row r="343">
      <c r="B343" s="51" t="n"/>
      <c r="C343" s="51" t="n"/>
      <c r="D343" s="51" t="n"/>
      <c r="E343" s="51" t="n"/>
      <c r="F343" s="51" t="n"/>
      <c r="G343" s="51" t="n"/>
      <c r="H343" s="51" t="n"/>
    </row>
    <row r="344">
      <c r="B344" s="51" t="n"/>
      <c r="C344" s="51" t="n"/>
      <c r="D344" s="51" t="n"/>
      <c r="E344" s="51" t="n"/>
      <c r="F344" s="51" t="n"/>
      <c r="G344" s="51" t="n"/>
      <c r="H344" s="51" t="n"/>
    </row>
    <row r="345">
      <c r="B345" s="51" t="n"/>
      <c r="C345" s="51" t="n"/>
      <c r="D345" s="51" t="n"/>
      <c r="E345" s="51" t="n"/>
      <c r="F345" s="51" t="n"/>
      <c r="G345" s="51" t="n"/>
      <c r="H345" s="51" t="n"/>
    </row>
    <row r="346">
      <c r="B346" s="51" t="n"/>
      <c r="C346" s="51" t="n"/>
      <c r="D346" s="51" t="n"/>
      <c r="E346" s="51" t="n"/>
      <c r="F346" s="51" t="n"/>
      <c r="G346" s="51" t="n"/>
      <c r="H346" s="51" t="n"/>
    </row>
    <row r="347">
      <c r="B347" s="51" t="n"/>
      <c r="C347" s="51" t="n"/>
      <c r="D347" s="51" t="n"/>
      <c r="E347" s="51" t="n"/>
      <c r="F347" s="51" t="n"/>
      <c r="G347" s="51" t="n"/>
      <c r="H347" s="51" t="n"/>
    </row>
    <row r="348">
      <c r="B348" s="51" t="n"/>
      <c r="C348" s="51" t="n"/>
      <c r="D348" s="51" t="n"/>
      <c r="E348" s="51" t="n"/>
      <c r="F348" s="51" t="n"/>
      <c r="G348" s="51" t="n"/>
      <c r="H348" s="51" t="n"/>
    </row>
    <row r="349">
      <c r="B349" s="51" t="n"/>
      <c r="C349" s="51" t="n"/>
      <c r="D349" s="51" t="n"/>
      <c r="E349" s="51" t="n"/>
      <c r="F349" s="51" t="n"/>
      <c r="G349" s="51" t="n"/>
      <c r="H349" s="51" t="n"/>
    </row>
    <row r="350">
      <c r="B350" s="51" t="n"/>
      <c r="C350" s="51" t="n"/>
      <c r="D350" s="51" t="n"/>
      <c r="E350" s="51" t="n"/>
      <c r="F350" s="51" t="n"/>
      <c r="G350" s="51" t="n"/>
      <c r="H350" s="51" t="n"/>
    </row>
    <row r="351">
      <c r="B351" s="51" t="n"/>
      <c r="C351" s="51" t="n"/>
      <c r="D351" s="51" t="n"/>
      <c r="E351" s="51" t="n"/>
      <c r="F351" s="51" t="n"/>
      <c r="G351" s="51" t="n"/>
      <c r="H351" s="51" t="n"/>
    </row>
    <row r="352">
      <c r="B352" s="51" t="n"/>
      <c r="C352" s="51" t="n"/>
      <c r="D352" s="51" t="n"/>
      <c r="E352" s="51" t="n"/>
      <c r="F352" s="51" t="n"/>
      <c r="G352" s="51" t="n"/>
      <c r="H352" s="51" t="n"/>
    </row>
    <row r="353">
      <c r="B353" s="51" t="n"/>
      <c r="C353" s="51" t="n"/>
      <c r="D353" s="51" t="n"/>
      <c r="E353" s="51" t="n"/>
      <c r="F353" s="51" t="n"/>
      <c r="G353" s="51" t="n"/>
      <c r="H353" s="51" t="n"/>
    </row>
    <row r="354">
      <c r="B354" s="51" t="n"/>
      <c r="C354" s="51" t="n"/>
      <c r="D354" s="51" t="n"/>
      <c r="E354" s="51" t="n"/>
      <c r="F354" s="51" t="n"/>
      <c r="G354" s="51" t="n"/>
      <c r="H354" s="51" t="n"/>
    </row>
    <row r="355">
      <c r="B355" s="51" t="n"/>
      <c r="C355" s="51" t="n"/>
      <c r="D355" s="51" t="n"/>
      <c r="E355" s="51" t="n"/>
      <c r="F355" s="51" t="n"/>
      <c r="G355" s="51" t="n"/>
      <c r="H355" s="51" t="n"/>
    </row>
    <row r="356">
      <c r="B356" s="51" t="n"/>
      <c r="C356" s="51" t="n"/>
      <c r="D356" s="51" t="n"/>
      <c r="E356" s="51" t="n"/>
      <c r="F356" s="51" t="n"/>
      <c r="G356" s="51" t="n"/>
      <c r="H356" s="51" t="n"/>
    </row>
    <row r="357">
      <c r="B357" s="51" t="n"/>
      <c r="C357" s="51" t="n"/>
      <c r="D357" s="51" t="n"/>
      <c r="E357" s="51" t="n"/>
      <c r="F357" s="51" t="n"/>
      <c r="G357" s="51" t="n"/>
      <c r="H357" s="51" t="n"/>
    </row>
    <row r="358">
      <c r="B358" s="51" t="n"/>
      <c r="C358" s="51" t="n"/>
      <c r="D358" s="51" t="n"/>
      <c r="E358" s="51" t="n"/>
      <c r="F358" s="51" t="n"/>
      <c r="G358" s="51" t="n"/>
      <c r="H358" s="51" t="n"/>
    </row>
    <row r="359">
      <c r="B359" s="51" t="n"/>
      <c r="C359" s="51" t="n"/>
      <c r="D359" s="51" t="n"/>
      <c r="E359" s="51" t="n"/>
      <c r="F359" s="51" t="n"/>
      <c r="G359" s="51" t="n"/>
      <c r="H359" s="51" t="n"/>
    </row>
    <row r="360">
      <c r="B360" s="51" t="n"/>
      <c r="C360" s="51" t="n"/>
      <c r="D360" s="51" t="n"/>
      <c r="E360" s="51" t="n"/>
      <c r="F360" s="51" t="n"/>
      <c r="G360" s="51" t="n"/>
      <c r="H360" s="51" t="n"/>
    </row>
    <row r="361">
      <c r="B361" s="51" t="n"/>
      <c r="C361" s="51" t="n"/>
      <c r="D361" s="51" t="n"/>
      <c r="E361" s="51" t="n"/>
      <c r="F361" s="51" t="n"/>
      <c r="G361" s="51" t="n"/>
      <c r="H361" s="51" t="n"/>
    </row>
    <row r="362">
      <c r="B362" s="51" t="n"/>
      <c r="C362" s="51" t="n"/>
      <c r="D362" s="51" t="n"/>
      <c r="E362" s="51" t="n"/>
      <c r="F362" s="51" t="n"/>
      <c r="G362" s="51" t="n"/>
      <c r="H362" s="51" t="n"/>
    </row>
    <row r="363">
      <c r="B363" s="51" t="n"/>
      <c r="C363" s="51" t="n"/>
      <c r="D363" s="51" t="n"/>
      <c r="E363" s="51" t="n"/>
      <c r="F363" s="51" t="n"/>
      <c r="G363" s="51" t="n"/>
      <c r="H363" s="51" t="n"/>
    </row>
    <row r="364">
      <c r="B364" s="51" t="n"/>
      <c r="C364" s="51" t="n"/>
      <c r="D364" s="51" t="n"/>
      <c r="E364" s="51" t="n"/>
      <c r="F364" s="51" t="n"/>
      <c r="G364" s="51" t="n"/>
      <c r="H364" s="51" t="n"/>
    </row>
    <row r="365">
      <c r="B365" s="51" t="n"/>
      <c r="C365" s="51" t="n"/>
      <c r="D365" s="51" t="n"/>
      <c r="E365" s="51" t="n"/>
      <c r="F365" s="51" t="n"/>
      <c r="G365" s="51" t="n"/>
      <c r="H365" s="51" t="n"/>
    </row>
    <row r="366">
      <c r="B366" s="51" t="n"/>
      <c r="C366" s="51" t="n"/>
      <c r="D366" s="51" t="n"/>
      <c r="E366" s="51" t="n"/>
      <c r="F366" s="51" t="n"/>
      <c r="G366" s="51" t="n"/>
      <c r="H366" s="51" t="n"/>
    </row>
    <row r="367">
      <c r="B367" s="51" t="n"/>
      <c r="C367" s="51" t="n"/>
      <c r="D367" s="51" t="n"/>
      <c r="E367" s="51" t="n"/>
      <c r="F367" s="51" t="n"/>
      <c r="G367" s="51" t="n"/>
      <c r="H367" s="51" t="n"/>
    </row>
    <row r="368">
      <c r="B368" s="51" t="n"/>
      <c r="C368" s="51" t="n"/>
      <c r="D368" s="51" t="n"/>
      <c r="E368" s="51" t="n"/>
      <c r="F368" s="51" t="n"/>
      <c r="G368" s="51" t="n"/>
      <c r="H368" s="51" t="n"/>
    </row>
    <row r="369">
      <c r="B369" s="51" t="n"/>
      <c r="C369" s="51" t="n"/>
      <c r="D369" s="51" t="n"/>
      <c r="E369" s="51" t="n"/>
      <c r="F369" s="51" t="n"/>
      <c r="G369" s="51" t="n"/>
      <c r="H369" s="51" t="n"/>
    </row>
    <row r="370">
      <c r="B370" s="51" t="n"/>
      <c r="C370" s="51" t="n"/>
      <c r="D370" s="51" t="n"/>
      <c r="E370" s="51" t="n"/>
      <c r="F370" s="51" t="n"/>
      <c r="G370" s="51" t="n"/>
      <c r="H370" s="51" t="n"/>
    </row>
    <row r="371">
      <c r="B371" s="51" t="n"/>
      <c r="C371" s="51" t="n"/>
      <c r="D371" s="51" t="n"/>
      <c r="E371" s="51" t="n"/>
      <c r="F371" s="51" t="n"/>
      <c r="G371" s="51" t="n"/>
      <c r="H371" s="51" t="n"/>
    </row>
    <row r="372">
      <c r="B372" s="51" t="n"/>
      <c r="C372" s="51" t="n"/>
      <c r="D372" s="51" t="n"/>
      <c r="E372" s="51" t="n"/>
      <c r="F372" s="51" t="n"/>
      <c r="G372" s="51" t="n"/>
      <c r="H372" s="51" t="n"/>
    </row>
    <row r="373">
      <c r="B373" s="51" t="n"/>
      <c r="C373" s="51" t="n"/>
      <c r="D373" s="51" t="n"/>
      <c r="E373" s="51" t="n"/>
      <c r="F373" s="51" t="n"/>
      <c r="G373" s="51" t="n"/>
      <c r="H373" s="51" t="n"/>
    </row>
    <row r="374">
      <c r="B374" s="51" t="n"/>
      <c r="C374" s="51" t="n"/>
      <c r="D374" s="51" t="n"/>
      <c r="E374" s="51" t="n"/>
      <c r="F374" s="51" t="n"/>
      <c r="G374" s="51" t="n"/>
      <c r="H374" s="51" t="n"/>
    </row>
    <row r="375">
      <c r="B375" s="51" t="n"/>
      <c r="C375" s="51" t="n"/>
      <c r="D375" s="51" t="n"/>
      <c r="E375" s="51" t="n"/>
      <c r="F375" s="51" t="n"/>
      <c r="G375" s="51" t="n"/>
      <c r="H375" s="51" t="n"/>
    </row>
    <row r="376">
      <c r="B376" s="51" t="n"/>
      <c r="C376" s="51" t="n"/>
      <c r="D376" s="51" t="n"/>
      <c r="E376" s="51" t="n"/>
      <c r="F376" s="51" t="n"/>
      <c r="G376" s="51" t="n"/>
      <c r="H376" s="51" t="n"/>
    </row>
    <row r="377">
      <c r="B377" s="51" t="n"/>
      <c r="C377" s="51" t="n"/>
      <c r="D377" s="51" t="n"/>
      <c r="E377" s="51" t="n"/>
      <c r="F377" s="51" t="n"/>
      <c r="G377" s="51" t="n"/>
      <c r="H377" s="51" t="n"/>
    </row>
    <row r="378">
      <c r="B378" s="51" t="n"/>
      <c r="C378" s="51" t="n"/>
      <c r="D378" s="51" t="n"/>
      <c r="E378" s="51" t="n"/>
      <c r="F378" s="51" t="n"/>
      <c r="G378" s="51" t="n"/>
      <c r="H378" s="51" t="n"/>
    </row>
    <row r="379">
      <c r="B379" s="51" t="n"/>
      <c r="C379" s="51" t="n"/>
      <c r="D379" s="51" t="n"/>
      <c r="E379" s="51" t="n"/>
      <c r="F379" s="51" t="n"/>
      <c r="G379" s="51" t="n"/>
      <c r="H379" s="51" t="n"/>
    </row>
    <row r="380">
      <c r="B380" s="51" t="n"/>
      <c r="C380" s="51" t="n"/>
      <c r="D380" s="51" t="n"/>
      <c r="E380" s="51" t="n"/>
      <c r="F380" s="51" t="n"/>
      <c r="G380" s="51" t="n"/>
      <c r="H380" s="51" t="n"/>
    </row>
    <row r="381">
      <c r="B381" s="51" t="n"/>
      <c r="C381" s="51" t="n"/>
      <c r="D381" s="51" t="n"/>
      <c r="E381" s="51" t="n"/>
      <c r="F381" s="51" t="n"/>
      <c r="G381" s="51" t="n"/>
      <c r="H381" s="51" t="n"/>
    </row>
    <row r="382">
      <c r="B382" s="51" t="n"/>
      <c r="C382" s="51" t="n"/>
      <c r="D382" s="51" t="n"/>
      <c r="E382" s="51" t="n"/>
      <c r="F382" s="51" t="n"/>
      <c r="G382" s="51" t="n"/>
      <c r="H382" s="51" t="n"/>
    </row>
    <row r="383">
      <c r="B383" s="51" t="n"/>
      <c r="C383" s="51" t="n"/>
      <c r="D383" s="51" t="n"/>
      <c r="E383" s="51" t="n"/>
      <c r="F383" s="51" t="n"/>
      <c r="G383" s="51" t="n"/>
      <c r="H383" s="51" t="n"/>
    </row>
    <row r="384">
      <c r="B384" s="51" t="n"/>
      <c r="C384" s="51" t="n"/>
      <c r="D384" s="51" t="n"/>
      <c r="E384" s="51" t="n"/>
      <c r="F384" s="51" t="n"/>
      <c r="G384" s="51" t="n"/>
      <c r="H384" s="51" t="n"/>
    </row>
    <row r="385">
      <c r="B385" s="51" t="n"/>
      <c r="C385" s="51" t="n"/>
      <c r="D385" s="51" t="n"/>
      <c r="E385" s="51" t="n"/>
      <c r="F385" s="51" t="n"/>
      <c r="G385" s="51" t="n"/>
      <c r="H385" s="51" t="n"/>
    </row>
    <row r="386">
      <c r="B386" s="51" t="n"/>
      <c r="C386" s="51" t="n"/>
      <c r="D386" s="51" t="n"/>
      <c r="E386" s="51" t="n"/>
      <c r="F386" s="51" t="n"/>
      <c r="G386" s="51" t="n"/>
      <c r="H386" s="51" t="n"/>
    </row>
    <row r="387">
      <c r="B387" s="51" t="n"/>
      <c r="C387" s="51" t="n"/>
      <c r="D387" s="51" t="n"/>
      <c r="E387" s="51" t="n"/>
      <c r="F387" s="51" t="n"/>
      <c r="G387" s="51" t="n"/>
      <c r="H387" s="51" t="n"/>
    </row>
    <row r="388">
      <c r="B388" s="51" t="n"/>
      <c r="C388" s="51" t="n"/>
      <c r="D388" s="51" t="n"/>
      <c r="E388" s="51" t="n"/>
      <c r="F388" s="51" t="n"/>
      <c r="G388" s="51" t="n"/>
      <c r="H388" s="51" t="n"/>
    </row>
    <row r="389">
      <c r="B389" s="51" t="n"/>
      <c r="C389" s="51" t="n"/>
      <c r="D389" s="51" t="n"/>
      <c r="E389" s="51" t="n"/>
      <c r="F389" s="51" t="n"/>
      <c r="G389" s="51" t="n"/>
      <c r="H389" s="51" t="n"/>
    </row>
    <row r="390">
      <c r="B390" s="51" t="n"/>
      <c r="C390" s="51" t="n"/>
      <c r="D390" s="51" t="n"/>
      <c r="E390" s="51" t="n"/>
      <c r="F390" s="51" t="n"/>
      <c r="G390" s="51" t="n"/>
      <c r="H390" s="51" t="n"/>
    </row>
    <row r="391">
      <c r="B391" s="51" t="n"/>
      <c r="C391" s="51" t="n"/>
      <c r="D391" s="51" t="n"/>
      <c r="E391" s="51" t="n"/>
      <c r="F391" s="51" t="n"/>
      <c r="G391" s="51" t="n"/>
      <c r="H391" s="51" t="n"/>
    </row>
    <row r="392">
      <c r="B392" s="51" t="n"/>
      <c r="C392" s="51" t="n"/>
      <c r="D392" s="51" t="n"/>
      <c r="E392" s="51" t="n"/>
      <c r="F392" s="51" t="n"/>
      <c r="G392" s="51" t="n"/>
      <c r="H392" s="51" t="n"/>
    </row>
    <row r="393">
      <c r="B393" s="51" t="n"/>
      <c r="C393" s="51" t="n"/>
      <c r="D393" s="51" t="n"/>
      <c r="E393" s="51" t="n"/>
      <c r="F393" s="51" t="n"/>
      <c r="G393" s="51" t="n"/>
      <c r="H393" s="51" t="n"/>
    </row>
    <row r="394">
      <c r="B394" s="51" t="n"/>
      <c r="C394" s="51" t="n"/>
      <c r="D394" s="51" t="n"/>
      <c r="E394" s="51" t="n"/>
      <c r="F394" s="51" t="n"/>
      <c r="G394" s="51" t="n"/>
      <c r="H394" s="51" t="n"/>
    </row>
    <row r="395">
      <c r="B395" s="51" t="n"/>
      <c r="C395" s="51" t="n"/>
      <c r="D395" s="51" t="n"/>
      <c r="E395" s="51" t="n"/>
      <c r="F395" s="51" t="n"/>
      <c r="G395" s="51" t="n"/>
      <c r="H395" s="51" t="n"/>
    </row>
    <row r="396">
      <c r="B396" s="51" t="n"/>
      <c r="C396" s="51" t="n"/>
      <c r="D396" s="51" t="n"/>
      <c r="E396" s="51" t="n"/>
      <c r="F396" s="51" t="n"/>
      <c r="G396" s="51" t="n"/>
      <c r="H396" s="51" t="n"/>
    </row>
    <row r="397">
      <c r="B397" s="51" t="n"/>
      <c r="C397" s="51" t="n"/>
      <c r="D397" s="51" t="n"/>
      <c r="E397" s="51" t="n"/>
      <c r="F397" s="51" t="n"/>
      <c r="G397" s="51" t="n"/>
      <c r="H397" s="51" t="n"/>
    </row>
    <row r="398">
      <c r="B398" s="51" t="n"/>
      <c r="C398" s="51" t="n"/>
      <c r="D398" s="51" t="n"/>
      <c r="E398" s="51" t="n"/>
      <c r="F398" s="51" t="n"/>
      <c r="G398" s="51" t="n"/>
      <c r="H398" s="51" t="n"/>
    </row>
    <row r="399">
      <c r="B399" s="51" t="n"/>
      <c r="C399" s="51" t="n"/>
      <c r="D399" s="51" t="n"/>
      <c r="E399" s="51" t="n"/>
      <c r="F399" s="51" t="n"/>
      <c r="G399" s="51" t="n"/>
      <c r="H399" s="51" t="n"/>
    </row>
    <row r="400">
      <c r="B400" s="51" t="n"/>
      <c r="C400" s="51" t="n"/>
      <c r="D400" s="51" t="n"/>
      <c r="E400" s="51" t="n"/>
      <c r="F400" s="51" t="n"/>
      <c r="G400" s="51" t="n"/>
      <c r="H400" s="51" t="n"/>
    </row>
    <row r="401">
      <c r="B401" s="51" t="n"/>
      <c r="C401" s="51" t="n"/>
      <c r="D401" s="51" t="n"/>
      <c r="E401" s="51" t="n"/>
      <c r="F401" s="51" t="n"/>
      <c r="G401" s="51" t="n"/>
      <c r="H401" s="51" t="n"/>
    </row>
    <row r="402">
      <c r="B402" s="51" t="n"/>
      <c r="C402" s="51" t="n"/>
      <c r="D402" s="51" t="n"/>
      <c r="E402" s="51" t="n"/>
      <c r="F402" s="51" t="n"/>
      <c r="G402" s="51" t="n"/>
      <c r="H402" s="51" t="n"/>
    </row>
    <row r="403">
      <c r="B403" s="51" t="n"/>
      <c r="C403" s="51" t="n"/>
      <c r="D403" s="51" t="n"/>
      <c r="E403" s="51" t="n"/>
      <c r="F403" s="51" t="n"/>
      <c r="G403" s="51" t="n"/>
      <c r="H403" s="51" t="n"/>
    </row>
    <row r="404">
      <c r="B404" s="51" t="n"/>
      <c r="C404" s="51" t="n"/>
      <c r="D404" s="51" t="n"/>
      <c r="E404" s="51" t="n"/>
      <c r="F404" s="51" t="n"/>
      <c r="G404" s="51" t="n"/>
      <c r="H404" s="51" t="n"/>
    </row>
    <row r="405">
      <c r="B405" s="51" t="n"/>
      <c r="C405" s="51" t="n"/>
      <c r="D405" s="51" t="n"/>
      <c r="E405" s="51" t="n"/>
      <c r="F405" s="51" t="n"/>
      <c r="G405" s="51" t="n"/>
      <c r="H405" s="51" t="n"/>
    </row>
    <row r="406">
      <c r="B406" s="51" t="n"/>
      <c r="C406" s="51" t="n"/>
      <c r="D406" s="51" t="n"/>
      <c r="E406" s="51" t="n"/>
      <c r="F406" s="51" t="n"/>
      <c r="G406" s="51" t="n"/>
      <c r="H406" s="51" t="n"/>
    </row>
    <row r="407">
      <c r="B407" s="51" t="n"/>
      <c r="C407" s="51" t="n"/>
      <c r="D407" s="51" t="n"/>
      <c r="E407" s="51" t="n"/>
      <c r="F407" s="51" t="n"/>
      <c r="G407" s="51" t="n"/>
      <c r="H407" s="51" t="n"/>
    </row>
    <row r="408">
      <c r="B408" s="51" t="n"/>
      <c r="C408" s="51" t="n"/>
      <c r="D408" s="51" t="n"/>
      <c r="E408" s="51" t="n"/>
      <c r="F408" s="51" t="n"/>
      <c r="G408" s="51" t="n"/>
      <c r="H408" s="51" t="n"/>
    </row>
    <row r="409">
      <c r="B409" s="51" t="n"/>
      <c r="C409" s="51" t="n"/>
      <c r="D409" s="51" t="n"/>
      <c r="E409" s="51" t="n"/>
      <c r="F409" s="51" t="n"/>
      <c r="G409" s="51" t="n"/>
      <c r="H409" s="51" t="n"/>
    </row>
    <row r="410">
      <c r="B410" s="51" t="n"/>
      <c r="C410" s="51" t="n"/>
      <c r="D410" s="51" t="n"/>
      <c r="E410" s="51" t="n"/>
      <c r="F410" s="51" t="n"/>
      <c r="G410" s="51" t="n"/>
      <c r="H410" s="51" t="n"/>
    </row>
    <row r="411">
      <c r="B411" s="51" t="n"/>
      <c r="C411" s="51" t="n"/>
      <c r="D411" s="51" t="n"/>
      <c r="E411" s="51" t="n"/>
      <c r="F411" s="51" t="n"/>
      <c r="G411" s="51" t="n"/>
      <c r="H411" s="51" t="n"/>
    </row>
    <row r="412">
      <c r="B412" s="51" t="n"/>
      <c r="C412" s="51" t="n"/>
      <c r="D412" s="51" t="n"/>
      <c r="E412" s="51" t="n"/>
      <c r="F412" s="51" t="n"/>
      <c r="G412" s="51" t="n"/>
      <c r="H412" s="51" t="n"/>
    </row>
    <row r="413">
      <c r="B413" s="51" t="n"/>
      <c r="C413" s="51" t="n"/>
      <c r="D413" s="51" t="n"/>
      <c r="E413" s="51" t="n"/>
      <c r="F413" s="51" t="n"/>
      <c r="G413" s="51" t="n"/>
      <c r="H413" s="51" t="n"/>
    </row>
    <row r="414">
      <c r="B414" s="51" t="n"/>
      <c r="C414" s="51" t="n"/>
      <c r="D414" s="51" t="n"/>
      <c r="E414" s="51" t="n"/>
      <c r="F414" s="51" t="n"/>
      <c r="G414" s="51" t="n"/>
      <c r="H414" s="51" t="n"/>
    </row>
    <row r="415">
      <c r="B415" s="51" t="n"/>
      <c r="C415" s="51" t="n"/>
      <c r="D415" s="51" t="n"/>
      <c r="E415" s="51" t="n"/>
      <c r="F415" s="51" t="n"/>
      <c r="G415" s="51" t="n"/>
      <c r="H415" s="51" t="n"/>
    </row>
    <row r="416">
      <c r="B416" s="51" t="n"/>
      <c r="C416" s="51" t="n"/>
      <c r="D416" s="51" t="n"/>
      <c r="E416" s="51" t="n"/>
      <c r="F416" s="51" t="n"/>
      <c r="G416" s="51" t="n"/>
      <c r="H416" s="51" t="n"/>
    </row>
    <row r="417">
      <c r="B417" s="51" t="n"/>
      <c r="C417" s="51" t="n"/>
      <c r="D417" s="51" t="n"/>
      <c r="E417" s="51" t="n"/>
      <c r="F417" s="51" t="n"/>
      <c r="G417" s="51" t="n"/>
      <c r="H417" s="51" t="n"/>
    </row>
    <row r="418">
      <c r="B418" s="51" t="n"/>
      <c r="C418" s="51" t="n"/>
      <c r="D418" s="51" t="n"/>
      <c r="E418" s="51" t="n"/>
      <c r="F418" s="51" t="n"/>
      <c r="G418" s="51" t="n"/>
      <c r="H418" s="51" t="n"/>
    </row>
    <row r="419">
      <c r="B419" s="51" t="n"/>
      <c r="C419" s="51" t="n"/>
      <c r="D419" s="51" t="n"/>
      <c r="E419" s="51" t="n"/>
      <c r="F419" s="51" t="n"/>
      <c r="G419" s="51" t="n"/>
      <c r="H419" s="51" t="n"/>
    </row>
    <row r="420">
      <c r="B420" s="51" t="n"/>
      <c r="C420" s="51" t="n"/>
      <c r="D420" s="51" t="n"/>
      <c r="E420" s="51" t="n"/>
      <c r="F420" s="51" t="n"/>
      <c r="G420" s="51" t="n"/>
      <c r="H420" s="51" t="n"/>
    </row>
    <row r="421">
      <c r="B421" s="51" t="n"/>
      <c r="C421" s="51" t="n"/>
      <c r="D421" s="51" t="n"/>
      <c r="E421" s="51" t="n"/>
      <c r="F421" s="51" t="n"/>
      <c r="G421" s="51" t="n"/>
      <c r="H421" s="51" t="n"/>
    </row>
    <row r="422">
      <c r="B422" s="51" t="n"/>
      <c r="C422" s="51" t="n"/>
      <c r="D422" s="51" t="n"/>
      <c r="E422" s="51" t="n"/>
      <c r="F422" s="51" t="n"/>
      <c r="G422" s="51" t="n"/>
      <c r="H422" s="51" t="n"/>
    </row>
    <row r="423">
      <c r="B423" s="51" t="n"/>
      <c r="C423" s="51" t="n"/>
      <c r="D423" s="51" t="n"/>
      <c r="E423" s="51" t="n"/>
      <c r="F423" s="51" t="n"/>
      <c r="G423" s="51" t="n"/>
      <c r="H423" s="51" t="n"/>
    </row>
    <row r="424">
      <c r="B424" s="51" t="n"/>
      <c r="C424" s="51" t="n"/>
      <c r="D424" s="51" t="n"/>
      <c r="E424" s="51" t="n"/>
      <c r="F424" s="51" t="n"/>
      <c r="G424" s="51" t="n"/>
      <c r="H424" s="51" t="n"/>
    </row>
    <row r="425">
      <c r="B425" s="51" t="n"/>
      <c r="C425" s="51" t="n"/>
      <c r="D425" s="51" t="n"/>
      <c r="E425" s="51" t="n"/>
      <c r="F425" s="51" t="n"/>
      <c r="G425" s="51" t="n"/>
      <c r="H425" s="51" t="n"/>
    </row>
    <row r="426">
      <c r="B426" s="51" t="n"/>
      <c r="C426" s="51" t="n"/>
      <c r="D426" s="51" t="n"/>
      <c r="E426" s="51" t="n"/>
      <c r="F426" s="51" t="n"/>
      <c r="G426" s="51" t="n"/>
      <c r="H426" s="51" t="n"/>
    </row>
    <row r="427">
      <c r="B427" s="51" t="n"/>
      <c r="C427" s="51" t="n"/>
      <c r="D427" s="51" t="n"/>
      <c r="E427" s="51" t="n"/>
      <c r="F427" s="51" t="n"/>
      <c r="G427" s="51" t="n"/>
      <c r="H427" s="51" t="n"/>
    </row>
    <row r="428">
      <c r="B428" s="51" t="n"/>
      <c r="C428" s="51" t="n"/>
      <c r="D428" s="51" t="n"/>
      <c r="E428" s="51" t="n"/>
      <c r="F428" s="51" t="n"/>
      <c r="G428" s="51" t="n"/>
      <c r="H428" s="51" t="n"/>
    </row>
    <row r="429">
      <c r="B429" s="51" t="n"/>
      <c r="C429" s="51" t="n"/>
      <c r="D429" s="51" t="n"/>
      <c r="E429" s="51" t="n"/>
      <c r="F429" s="51" t="n"/>
      <c r="G429" s="51" t="n"/>
      <c r="H429" s="51" t="n"/>
    </row>
    <row r="430">
      <c r="B430" s="51" t="n"/>
      <c r="C430" s="51" t="n"/>
      <c r="D430" s="51" t="n"/>
      <c r="E430" s="51" t="n"/>
      <c r="F430" s="51" t="n"/>
      <c r="G430" s="51" t="n"/>
      <c r="H430" s="51" t="n"/>
    </row>
    <row r="431">
      <c r="B431" s="51" t="n"/>
      <c r="C431" s="51" t="n"/>
      <c r="D431" s="51" t="n"/>
      <c r="E431" s="51" t="n"/>
      <c r="F431" s="51" t="n"/>
      <c r="G431" s="51" t="n"/>
      <c r="H431" s="51" t="n"/>
    </row>
    <row r="432">
      <c r="B432" s="51" t="n"/>
      <c r="C432" s="51" t="n"/>
      <c r="D432" s="51" t="n"/>
      <c r="E432" s="51" t="n"/>
      <c r="F432" s="51" t="n"/>
      <c r="G432" s="51" t="n"/>
      <c r="H432" s="51" t="n"/>
    </row>
    <row r="433">
      <c r="B433" s="51" t="n"/>
      <c r="C433" s="51" t="n"/>
      <c r="D433" s="51" t="n"/>
      <c r="E433" s="51" t="n"/>
      <c r="F433" s="51" t="n"/>
      <c r="G433" s="51" t="n"/>
      <c r="H433" s="51" t="n"/>
    </row>
    <row r="434">
      <c r="B434" s="51" t="n"/>
      <c r="C434" s="51" t="n"/>
      <c r="D434" s="51" t="n"/>
      <c r="E434" s="51" t="n"/>
      <c r="F434" s="51" t="n"/>
      <c r="G434" s="51" t="n"/>
      <c r="H434" s="51" t="n"/>
    </row>
    <row r="435">
      <c r="B435" s="51" t="n"/>
      <c r="C435" s="51" t="n"/>
      <c r="D435" s="51" t="n"/>
      <c r="E435" s="51" t="n"/>
      <c r="F435" s="51" t="n"/>
      <c r="G435" s="51" t="n"/>
      <c r="H435" s="51" t="n"/>
    </row>
    <row r="436">
      <c r="B436" s="51" t="n"/>
      <c r="C436" s="51" t="n"/>
      <c r="D436" s="51" t="n"/>
      <c r="E436" s="51" t="n"/>
      <c r="F436" s="51" t="n"/>
      <c r="G436" s="51" t="n"/>
      <c r="H436" s="51" t="n"/>
    </row>
    <row r="437">
      <c r="B437" s="51" t="n"/>
      <c r="C437" s="51" t="n"/>
      <c r="D437" s="51" t="n"/>
      <c r="E437" s="51" t="n"/>
      <c r="F437" s="51" t="n"/>
      <c r="G437" s="51" t="n"/>
      <c r="H437" s="51" t="n"/>
    </row>
    <row r="438">
      <c r="B438" s="51" t="n"/>
      <c r="C438" s="51" t="n"/>
      <c r="D438" s="51" t="n"/>
      <c r="E438" s="51" t="n"/>
      <c r="F438" s="51" t="n"/>
      <c r="G438" s="51" t="n"/>
      <c r="H438" s="51" t="n"/>
    </row>
    <row r="439">
      <c r="B439" s="51" t="n"/>
      <c r="C439" s="51" t="n"/>
      <c r="D439" s="51" t="n"/>
      <c r="E439" s="51" t="n"/>
      <c r="F439" s="51" t="n"/>
      <c r="G439" s="51" t="n"/>
      <c r="H439" s="51" t="n"/>
    </row>
    <row r="440">
      <c r="B440" s="51" t="n"/>
      <c r="C440" s="51" t="n"/>
      <c r="D440" s="51" t="n"/>
      <c r="E440" s="51" t="n"/>
      <c r="F440" s="51" t="n"/>
      <c r="G440" s="51" t="n"/>
      <c r="H440" s="51" t="n"/>
    </row>
    <row r="441">
      <c r="B441" s="51" t="n"/>
      <c r="C441" s="51" t="n"/>
      <c r="D441" s="51" t="n"/>
      <c r="E441" s="51" t="n"/>
      <c r="F441" s="51" t="n"/>
      <c r="G441" s="51" t="n"/>
      <c r="H441" s="51" t="n"/>
    </row>
    <row r="442">
      <c r="B442" s="51" t="n"/>
      <c r="C442" s="51" t="n"/>
      <c r="D442" s="51" t="n"/>
      <c r="E442" s="51" t="n"/>
      <c r="F442" s="51" t="n"/>
      <c r="G442" s="51" t="n"/>
      <c r="H442" s="51" t="n"/>
    </row>
    <row r="443">
      <c r="B443" s="51" t="n"/>
      <c r="C443" s="51" t="n"/>
      <c r="D443" s="51" t="n"/>
      <c r="E443" s="51" t="n"/>
      <c r="F443" s="51" t="n"/>
      <c r="G443" s="51" t="n"/>
      <c r="H443" s="51" t="n"/>
    </row>
    <row r="444">
      <c r="B444" s="51" t="n"/>
      <c r="C444" s="51" t="n"/>
      <c r="D444" s="51" t="n"/>
      <c r="E444" s="51" t="n"/>
      <c r="F444" s="51" t="n"/>
      <c r="G444" s="51" t="n"/>
      <c r="H444" s="51" t="n"/>
    </row>
    <row r="445">
      <c r="B445" s="51" t="n"/>
      <c r="C445" s="51" t="n"/>
      <c r="D445" s="51" t="n"/>
      <c r="E445" s="51" t="n"/>
      <c r="F445" s="51" t="n"/>
      <c r="G445" s="51" t="n"/>
      <c r="H445" s="51" t="n"/>
    </row>
    <row r="446">
      <c r="B446" s="51" t="n"/>
      <c r="C446" s="51" t="n"/>
      <c r="D446" s="51" t="n"/>
      <c r="E446" s="51" t="n"/>
      <c r="F446" s="51" t="n"/>
      <c r="G446" s="51" t="n"/>
      <c r="H446" s="51" t="n"/>
    </row>
    <row r="447">
      <c r="B447" s="51" t="n"/>
      <c r="C447" s="51" t="n"/>
      <c r="D447" s="51" t="n"/>
      <c r="E447" s="51" t="n"/>
      <c r="F447" s="51" t="n"/>
      <c r="G447" s="51" t="n"/>
      <c r="H447" s="51" t="n"/>
    </row>
    <row r="448">
      <c r="B448" s="51" t="n"/>
      <c r="C448" s="51" t="n"/>
      <c r="D448" s="51" t="n"/>
      <c r="E448" s="51" t="n"/>
      <c r="F448" s="51" t="n"/>
      <c r="G448" s="51" t="n"/>
      <c r="H448" s="51" t="n"/>
    </row>
    <row r="449">
      <c r="B449" s="51" t="n"/>
      <c r="C449" s="51" t="n"/>
      <c r="D449" s="51" t="n"/>
      <c r="E449" s="51" t="n"/>
      <c r="F449" s="51" t="n"/>
      <c r="G449" s="51" t="n"/>
      <c r="H449" s="51" t="n"/>
    </row>
    <row r="450">
      <c r="B450" s="51" t="n"/>
      <c r="C450" s="51" t="n"/>
      <c r="D450" s="51" t="n"/>
      <c r="E450" s="51" t="n"/>
      <c r="F450" s="51" t="n"/>
      <c r="G450" s="51" t="n"/>
      <c r="H450" s="51" t="n"/>
    </row>
    <row r="451">
      <c r="B451" s="51" t="n"/>
      <c r="C451" s="51" t="n"/>
      <c r="D451" s="51" t="n"/>
      <c r="E451" s="51" t="n"/>
      <c r="F451" s="51" t="n"/>
      <c r="G451" s="51" t="n"/>
      <c r="H451" s="51" t="n"/>
    </row>
    <row r="452">
      <c r="B452" s="51" t="n"/>
      <c r="C452" s="51" t="n"/>
      <c r="D452" s="51" t="n"/>
      <c r="E452" s="51" t="n"/>
      <c r="F452" s="51" t="n"/>
      <c r="G452" s="51" t="n"/>
      <c r="H452" s="51" t="n"/>
    </row>
    <row r="453">
      <c r="B453" s="51" t="n"/>
      <c r="C453" s="51" t="n"/>
      <c r="D453" s="51" t="n"/>
      <c r="E453" s="51" t="n"/>
      <c r="F453" s="51" t="n"/>
      <c r="G453" s="51" t="n"/>
      <c r="H453" s="51" t="n"/>
    </row>
    <row r="454">
      <c r="B454" s="51" t="n"/>
      <c r="C454" s="51" t="n"/>
      <c r="D454" s="51" t="n"/>
      <c r="E454" s="51" t="n"/>
      <c r="F454" s="51" t="n"/>
      <c r="G454" s="51" t="n"/>
      <c r="H454" s="51" t="n"/>
    </row>
    <row r="455">
      <c r="B455" s="51" t="n"/>
      <c r="C455" s="51" t="n"/>
      <c r="D455" s="51" t="n"/>
      <c r="E455" s="51" t="n"/>
      <c r="F455" s="51" t="n"/>
      <c r="G455" s="51" t="n"/>
      <c r="H455" s="51" t="n"/>
    </row>
    <row r="456">
      <c r="B456" s="51" t="n"/>
      <c r="C456" s="51" t="n"/>
      <c r="D456" s="51" t="n"/>
      <c r="E456" s="51" t="n"/>
      <c r="F456" s="51" t="n"/>
      <c r="G456" s="51" t="n"/>
      <c r="H456" s="51" t="n"/>
    </row>
    <row r="457">
      <c r="B457" s="51" t="n"/>
      <c r="C457" s="51" t="n"/>
      <c r="D457" s="51" t="n"/>
      <c r="E457" s="51" t="n"/>
      <c r="F457" s="51" t="n"/>
      <c r="G457" s="51" t="n"/>
      <c r="H457" s="51" t="n"/>
    </row>
    <row r="458">
      <c r="B458" s="51" t="n"/>
      <c r="C458" s="51" t="n"/>
      <c r="D458" s="51" t="n"/>
      <c r="E458" s="51" t="n"/>
      <c r="F458" s="51" t="n"/>
      <c r="G458" s="51" t="n"/>
      <c r="H458" s="51" t="n"/>
    </row>
    <row r="459">
      <c r="B459" s="51" t="n"/>
      <c r="C459" s="51" t="n"/>
      <c r="D459" s="51" t="n"/>
      <c r="E459" s="51" t="n"/>
      <c r="F459" s="51" t="n"/>
      <c r="G459" s="51" t="n"/>
      <c r="H459" s="51" t="n"/>
    </row>
    <row r="460">
      <c r="B460" s="51" t="n"/>
      <c r="C460" s="51" t="n"/>
      <c r="D460" s="51" t="n"/>
      <c r="E460" s="51" t="n"/>
      <c r="F460" s="51" t="n"/>
      <c r="G460" s="51" t="n"/>
      <c r="H460" s="51" t="n"/>
    </row>
    <row r="461">
      <c r="B461" s="51" t="n"/>
      <c r="C461" s="51" t="n"/>
      <c r="D461" s="51" t="n"/>
      <c r="E461" s="51" t="n"/>
      <c r="F461" s="51" t="n"/>
      <c r="G461" s="51" t="n"/>
      <c r="H461" s="51" t="n"/>
    </row>
    <row r="462">
      <c r="B462" s="51" t="n"/>
      <c r="C462" s="51" t="n"/>
      <c r="D462" s="51" t="n"/>
      <c r="E462" s="51" t="n"/>
      <c r="F462" s="51" t="n"/>
      <c r="G462" s="51" t="n"/>
      <c r="H462" s="51" t="n"/>
    </row>
    <row r="463">
      <c r="B463" s="51" t="n"/>
      <c r="C463" s="51" t="n"/>
      <c r="D463" s="51" t="n"/>
      <c r="E463" s="51" t="n"/>
      <c r="F463" s="51" t="n"/>
      <c r="G463" s="51" t="n"/>
      <c r="H463" s="51" t="n"/>
    </row>
    <row r="464">
      <c r="B464" s="51" t="n"/>
      <c r="C464" s="51" t="n"/>
      <c r="D464" s="51" t="n"/>
      <c r="E464" s="51" t="n"/>
      <c r="F464" s="51" t="n"/>
      <c r="G464" s="51" t="n"/>
      <c r="H464" s="51" t="n"/>
    </row>
    <row r="465">
      <c r="B465" s="51" t="n"/>
      <c r="C465" s="51" t="n"/>
      <c r="D465" s="51" t="n"/>
      <c r="E465" s="51" t="n"/>
      <c r="F465" s="51" t="n"/>
      <c r="G465" s="51" t="n"/>
      <c r="H465" s="51" t="n"/>
    </row>
    <row r="466">
      <c r="B466" s="51" t="n"/>
      <c r="C466" s="51" t="n"/>
      <c r="D466" s="51" t="n"/>
      <c r="E466" s="51" t="n"/>
      <c r="F466" s="51" t="n"/>
      <c r="G466" s="51" t="n"/>
      <c r="H466" s="51" t="n"/>
    </row>
    <row r="467">
      <c r="B467" s="51" t="n"/>
      <c r="C467" s="51" t="n"/>
      <c r="D467" s="51" t="n"/>
      <c r="E467" s="51" t="n"/>
      <c r="F467" s="51" t="n"/>
      <c r="G467" s="51" t="n"/>
      <c r="H467" s="51" t="n"/>
    </row>
    <row r="468">
      <c r="B468" s="51" t="n"/>
      <c r="C468" s="51" t="n"/>
      <c r="D468" s="51" t="n"/>
      <c r="E468" s="51" t="n"/>
      <c r="F468" s="51" t="n"/>
      <c r="G468" s="51" t="n"/>
      <c r="H468" s="51" t="n"/>
    </row>
    <row r="469">
      <c r="B469" s="51" t="n"/>
      <c r="C469" s="51" t="n"/>
      <c r="D469" s="51" t="n"/>
      <c r="E469" s="51" t="n"/>
      <c r="F469" s="51" t="n"/>
      <c r="G469" s="51" t="n"/>
      <c r="H469" s="51" t="n"/>
    </row>
    <row r="470">
      <c r="B470" s="51" t="n"/>
      <c r="C470" s="51" t="n"/>
      <c r="D470" s="51" t="n"/>
      <c r="E470" s="51" t="n"/>
      <c r="F470" s="51" t="n"/>
      <c r="G470" s="51" t="n"/>
      <c r="H470" s="51" t="n"/>
    </row>
    <row r="471">
      <c r="B471" s="51" t="n"/>
      <c r="C471" s="51" t="n"/>
      <c r="D471" s="51" t="n"/>
      <c r="E471" s="51" t="n"/>
      <c r="F471" s="51" t="n"/>
      <c r="G471" s="51" t="n"/>
      <c r="H471" s="51" t="n"/>
    </row>
    <row r="472">
      <c r="B472" s="51" t="n"/>
      <c r="C472" s="51" t="n"/>
      <c r="D472" s="51" t="n"/>
      <c r="E472" s="51" t="n"/>
      <c r="F472" s="51" t="n"/>
      <c r="G472" s="51" t="n"/>
      <c r="H472" s="51" t="n"/>
    </row>
    <row r="473">
      <c r="B473" s="51" t="n"/>
      <c r="C473" s="51" t="n"/>
      <c r="D473" s="51" t="n"/>
      <c r="E473" s="51" t="n"/>
      <c r="F473" s="51" t="n"/>
      <c r="G473" s="51" t="n"/>
      <c r="H473" s="51" t="n"/>
    </row>
    <row r="474">
      <c r="B474" s="51" t="n"/>
      <c r="C474" s="51" t="n"/>
      <c r="D474" s="51" t="n"/>
      <c r="E474" s="51" t="n"/>
      <c r="F474" s="51" t="n"/>
      <c r="G474" s="51" t="n"/>
      <c r="H474" s="51" t="n"/>
    </row>
    <row r="475">
      <c r="B475" s="51" t="n"/>
      <c r="C475" s="51" t="n"/>
      <c r="D475" s="51" t="n"/>
      <c r="E475" s="51" t="n"/>
      <c r="F475" s="51" t="n"/>
      <c r="G475" s="51" t="n"/>
      <c r="H475" s="51" t="n"/>
    </row>
    <row r="476">
      <c r="B476" s="51" t="n"/>
      <c r="C476" s="51" t="n"/>
      <c r="D476" s="51" t="n"/>
      <c r="E476" s="51" t="n"/>
      <c r="F476" s="51" t="n"/>
      <c r="G476" s="51" t="n"/>
      <c r="H476" s="51" t="n"/>
    </row>
    <row r="477">
      <c r="B477" s="51" t="n"/>
      <c r="C477" s="51" t="n"/>
      <c r="D477" s="51" t="n"/>
      <c r="E477" s="51" t="n"/>
      <c r="F477" s="51" t="n"/>
      <c r="G477" s="51" t="n"/>
      <c r="H477" s="51" t="n"/>
    </row>
    <row r="478">
      <c r="B478" s="51" t="n"/>
      <c r="C478" s="51" t="n"/>
      <c r="D478" s="51" t="n"/>
      <c r="E478" s="51" t="n"/>
      <c r="F478" s="51" t="n"/>
      <c r="G478" s="51" t="n"/>
      <c r="H478" s="51" t="n"/>
    </row>
    <row r="479">
      <c r="B479" s="51" t="n"/>
      <c r="C479" s="51" t="n"/>
      <c r="D479" s="51" t="n"/>
      <c r="E479" s="51" t="n"/>
      <c r="F479" s="51" t="n"/>
      <c r="G479" s="51" t="n"/>
      <c r="H479" s="51" t="n"/>
    </row>
    <row r="480">
      <c r="B480" s="51" t="n"/>
      <c r="C480" s="51" t="n"/>
      <c r="D480" s="51" t="n"/>
      <c r="E480" s="51" t="n"/>
      <c r="F480" s="51" t="n"/>
      <c r="G480" s="51" t="n"/>
      <c r="H480" s="51" t="n"/>
    </row>
    <row r="481">
      <c r="B481" s="51" t="n"/>
      <c r="C481" s="51" t="n"/>
      <c r="D481" s="51" t="n"/>
      <c r="E481" s="51" t="n"/>
      <c r="F481" s="51" t="n"/>
      <c r="G481" s="51" t="n"/>
      <c r="H481" s="51" t="n"/>
    </row>
    <row r="482">
      <c r="B482" s="51" t="n"/>
      <c r="C482" s="51" t="n"/>
      <c r="D482" s="51" t="n"/>
      <c r="E482" s="51" t="n"/>
      <c r="F482" s="51" t="n"/>
      <c r="G482" s="51" t="n"/>
      <c r="H482" s="51" t="n"/>
    </row>
    <row r="483">
      <c r="B483" s="51" t="n"/>
      <c r="C483" s="51" t="n"/>
      <c r="D483" s="51" t="n"/>
      <c r="E483" s="51" t="n"/>
      <c r="F483" s="51" t="n"/>
      <c r="G483" s="51" t="n"/>
      <c r="H483" s="51" t="n"/>
    </row>
    <row r="484">
      <c r="B484" s="51" t="n"/>
      <c r="C484" s="51" t="n"/>
      <c r="D484" s="51" t="n"/>
      <c r="E484" s="51" t="n"/>
      <c r="F484" s="51" t="n"/>
      <c r="G484" s="51" t="n"/>
      <c r="H484" s="51" t="n"/>
    </row>
    <row r="485">
      <c r="B485" s="51" t="n"/>
      <c r="C485" s="51" t="n"/>
      <c r="D485" s="51" t="n"/>
      <c r="E485" s="51" t="n"/>
      <c r="F485" s="51" t="n"/>
      <c r="G485" s="51" t="n"/>
      <c r="H485" s="51" t="n"/>
    </row>
    <row r="486">
      <c r="B486" s="51" t="n"/>
      <c r="C486" s="51" t="n"/>
      <c r="D486" s="51" t="n"/>
      <c r="E486" s="51" t="n"/>
      <c r="F486" s="51" t="n"/>
      <c r="G486" s="51" t="n"/>
      <c r="H486" s="51" t="n"/>
    </row>
    <row r="487">
      <c r="B487" s="51" t="n"/>
      <c r="C487" s="51" t="n"/>
      <c r="D487" s="51" t="n"/>
      <c r="E487" s="51" t="n"/>
      <c r="F487" s="51" t="n"/>
      <c r="G487" s="51" t="n"/>
      <c r="H487" s="51" t="n"/>
    </row>
    <row r="488">
      <c r="B488" s="51" t="n"/>
      <c r="C488" s="51" t="n"/>
      <c r="D488" s="51" t="n"/>
      <c r="E488" s="51" t="n"/>
      <c r="F488" s="51" t="n"/>
      <c r="G488" s="51" t="n"/>
      <c r="H488" s="51" t="n"/>
    </row>
    <row r="489">
      <c r="B489" s="51" t="n"/>
      <c r="C489" s="51" t="n"/>
      <c r="D489" s="51" t="n"/>
      <c r="E489" s="51" t="n"/>
      <c r="F489" s="51" t="n"/>
      <c r="G489" s="51" t="n"/>
      <c r="H489" s="51" t="n"/>
    </row>
    <row r="490">
      <c r="B490" s="51" t="n"/>
      <c r="C490" s="51" t="n"/>
      <c r="D490" s="51" t="n"/>
      <c r="E490" s="51" t="n"/>
      <c r="F490" s="51" t="n"/>
      <c r="G490" s="51" t="n"/>
      <c r="H490" s="51" t="n"/>
    </row>
    <row r="491">
      <c r="B491" s="51" t="n"/>
      <c r="C491" s="51" t="n"/>
      <c r="D491" s="51" t="n"/>
      <c r="E491" s="51" t="n"/>
      <c r="F491" s="51" t="n"/>
      <c r="G491" s="51" t="n"/>
      <c r="H491" s="51" t="n"/>
    </row>
    <row r="492">
      <c r="B492" s="51" t="n"/>
      <c r="C492" s="51" t="n"/>
      <c r="D492" s="51" t="n"/>
      <c r="E492" s="51" t="n"/>
      <c r="F492" s="51" t="n"/>
      <c r="G492" s="51" t="n"/>
      <c r="H492" s="51" t="n"/>
    </row>
    <row r="493">
      <c r="B493" s="51" t="n"/>
      <c r="C493" s="51" t="n"/>
      <c r="D493" s="51" t="n"/>
      <c r="E493" s="51" t="n"/>
      <c r="F493" s="51" t="n"/>
      <c r="G493" s="51" t="n"/>
      <c r="H493" s="51" t="n"/>
    </row>
    <row r="494">
      <c r="B494" s="51" t="n"/>
      <c r="C494" s="51" t="n"/>
      <c r="D494" s="51" t="n"/>
      <c r="E494" s="51" t="n"/>
      <c r="F494" s="51" t="n"/>
      <c r="G494" s="51" t="n"/>
      <c r="H494" s="51" t="n"/>
    </row>
    <row r="495">
      <c r="B495" s="51" t="n"/>
      <c r="C495" s="51" t="n"/>
      <c r="D495" s="51" t="n"/>
      <c r="E495" s="51" t="n"/>
      <c r="F495" s="51" t="n"/>
      <c r="G495" s="51" t="n"/>
      <c r="H495" s="51" t="n"/>
    </row>
    <row r="496">
      <c r="B496" s="51" t="n"/>
      <c r="C496" s="51" t="n"/>
      <c r="D496" s="51" t="n"/>
      <c r="E496" s="51" t="n"/>
      <c r="F496" s="51" t="n"/>
      <c r="G496" s="51" t="n"/>
      <c r="H496" s="51" t="n"/>
    </row>
    <row r="497">
      <c r="B497" s="51" t="n"/>
      <c r="C497" s="51" t="n"/>
      <c r="D497" s="51" t="n"/>
      <c r="E497" s="51" t="n"/>
      <c r="F497" s="51" t="n"/>
      <c r="G497" s="51" t="n"/>
      <c r="H497" s="51" t="n"/>
    </row>
    <row r="498">
      <c r="B498" s="51" t="n"/>
      <c r="C498" s="51" t="n"/>
      <c r="D498" s="51" t="n"/>
      <c r="E498" s="51" t="n"/>
      <c r="F498" s="51" t="n"/>
      <c r="G498" s="51" t="n"/>
      <c r="H498" s="51" t="n"/>
    </row>
    <row r="499">
      <c r="B499" s="51" t="n"/>
      <c r="C499" s="51" t="n"/>
      <c r="D499" s="51" t="n"/>
      <c r="E499" s="51" t="n"/>
      <c r="F499" s="51" t="n"/>
      <c r="G499" s="51" t="n"/>
      <c r="H499" s="51" t="n"/>
    </row>
    <row r="500">
      <c r="B500" s="51" t="n"/>
      <c r="C500" s="51" t="n"/>
      <c r="D500" s="51" t="n"/>
      <c r="E500" s="51" t="n"/>
      <c r="F500" s="51" t="n"/>
      <c r="G500" s="51" t="n"/>
      <c r="H500" s="51" t="n"/>
    </row>
    <row r="501">
      <c r="B501" s="51" t="n"/>
      <c r="C501" s="51" t="n"/>
      <c r="D501" s="51" t="n"/>
      <c r="E501" s="51" t="n"/>
      <c r="F501" s="51" t="n"/>
      <c r="G501" s="51" t="n"/>
      <c r="H501" s="51" t="n"/>
    </row>
    <row r="502">
      <c r="B502" s="51" t="n"/>
      <c r="C502" s="51" t="n"/>
      <c r="D502" s="51" t="n"/>
      <c r="E502" s="51" t="n"/>
      <c r="F502" s="51" t="n"/>
      <c r="G502" s="51" t="n"/>
      <c r="H502" s="51" t="n"/>
    </row>
    <row r="503">
      <c r="B503" s="51" t="n"/>
      <c r="C503" s="51" t="n"/>
      <c r="D503" s="51" t="n"/>
      <c r="E503" s="51" t="n"/>
      <c r="F503" s="51" t="n"/>
      <c r="G503" s="51" t="n"/>
      <c r="H503" s="51" t="n"/>
    </row>
    <row r="504">
      <c r="B504" s="51" t="n"/>
      <c r="C504" s="51" t="n"/>
      <c r="D504" s="51" t="n"/>
      <c r="E504" s="51" t="n"/>
      <c r="F504" s="51" t="n"/>
      <c r="G504" s="51" t="n"/>
      <c r="H504" s="51" t="n"/>
    </row>
    <row r="505">
      <c r="B505" s="51" t="n"/>
      <c r="C505" s="51" t="n"/>
      <c r="D505" s="51" t="n"/>
      <c r="E505" s="51" t="n"/>
      <c r="F505" s="51" t="n"/>
      <c r="G505" s="51" t="n"/>
      <c r="H505" s="51" t="n"/>
    </row>
    <row r="506">
      <c r="B506" s="51" t="n"/>
      <c r="C506" s="51" t="n"/>
      <c r="D506" s="51" t="n"/>
      <c r="E506" s="51" t="n"/>
      <c r="F506" s="51" t="n"/>
      <c r="G506" s="51" t="n"/>
      <c r="H506" s="51" t="n"/>
    </row>
    <row r="507">
      <c r="B507" s="51" t="n"/>
      <c r="C507" s="51" t="n"/>
      <c r="D507" s="51" t="n"/>
      <c r="E507" s="51" t="n"/>
      <c r="F507" s="51" t="n"/>
      <c r="G507" s="51" t="n"/>
      <c r="H507" s="51" t="n"/>
    </row>
    <row r="508">
      <c r="B508" s="51" t="n"/>
      <c r="C508" s="51" t="n"/>
      <c r="D508" s="51" t="n"/>
      <c r="E508" s="51" t="n"/>
      <c r="F508" s="51" t="n"/>
      <c r="G508" s="51" t="n"/>
      <c r="H508" s="51" t="n"/>
    </row>
    <row r="509">
      <c r="B509" s="51" t="n"/>
      <c r="C509" s="51" t="n"/>
      <c r="D509" s="51" t="n"/>
      <c r="E509" s="51" t="n"/>
      <c r="F509" s="51" t="n"/>
      <c r="G509" s="51" t="n"/>
      <c r="H509" s="51" t="n"/>
    </row>
    <row r="510">
      <c r="B510" s="51" t="n"/>
      <c r="C510" s="51" t="n"/>
      <c r="D510" s="51" t="n"/>
      <c r="E510" s="51" t="n"/>
      <c r="F510" s="51" t="n"/>
      <c r="G510" s="51" t="n"/>
      <c r="H510" s="51" t="n"/>
    </row>
    <row r="511">
      <c r="B511" s="51" t="n"/>
      <c r="C511" s="51" t="n"/>
      <c r="D511" s="51" t="n"/>
      <c r="E511" s="51" t="n"/>
      <c r="F511" s="51" t="n"/>
      <c r="G511" s="51" t="n"/>
      <c r="H511" s="51" t="n"/>
    </row>
    <row r="512">
      <c r="B512" s="51" t="n"/>
      <c r="C512" s="51" t="n"/>
      <c r="D512" s="51" t="n"/>
      <c r="E512" s="51" t="n"/>
      <c r="F512" s="51" t="n"/>
      <c r="G512" s="51" t="n"/>
      <c r="H512" s="51" t="n"/>
    </row>
    <row r="513">
      <c r="B513" s="51" t="n"/>
      <c r="C513" s="51" t="n"/>
      <c r="D513" s="51" t="n"/>
      <c r="E513" s="51" t="n"/>
      <c r="F513" s="51" t="n"/>
      <c r="G513" s="51" t="n"/>
      <c r="H513" s="51" t="n"/>
    </row>
    <row r="514">
      <c r="B514" s="51" t="n"/>
      <c r="C514" s="51" t="n"/>
      <c r="D514" s="51" t="n"/>
      <c r="E514" s="51" t="n"/>
      <c r="F514" s="51" t="n"/>
      <c r="G514" s="51" t="n"/>
      <c r="H514" s="51" t="n"/>
    </row>
    <row r="515">
      <c r="B515" s="51" t="n"/>
      <c r="C515" s="51" t="n"/>
      <c r="D515" s="51" t="n"/>
      <c r="E515" s="51" t="n"/>
      <c r="F515" s="51" t="n"/>
      <c r="G515" s="51" t="n"/>
      <c r="H515" s="51" t="n"/>
    </row>
    <row r="516">
      <c r="B516" s="51" t="n"/>
      <c r="C516" s="51" t="n"/>
      <c r="D516" s="51" t="n"/>
      <c r="E516" s="51" t="n"/>
      <c r="F516" s="51" t="n"/>
      <c r="G516" s="51" t="n"/>
      <c r="H516" s="51" t="n"/>
    </row>
    <row r="517">
      <c r="B517" s="51" t="n"/>
      <c r="C517" s="51" t="n"/>
      <c r="D517" s="51" t="n"/>
      <c r="E517" s="51" t="n"/>
      <c r="F517" s="51" t="n"/>
      <c r="G517" s="51" t="n"/>
      <c r="H517" s="51"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w" error="Choose a value of the list Category or numbering row (sheet Reference lists)." promptTitle="Row" prompt="Yes. What the row defines Allowed: CATEGORY, NUMBERING (list Category or numbering row)" type="list" errorStyle="stop">
      <formula1>=LIST_CATEGORY_ROW</formula1>
    </dataValidation>
    <dataValidation sqref="C17:C517" showDropDown="0" showInputMessage="1" showErrorMessage="1" allowBlank="1" errorTitle="Category code" error="At most 20 characters." promptTitle="Category code" prompt="Conditional: CATEGORY. GL category Allowed: Free entry, up to 20 characters" type="textLength" operator="lessThanOrEqual">
      <formula1>20</formula1>
    </dataValidation>
    <dataValidation sqref="D17:D517" showDropDown="0" showInputMessage="1" showErrorMessage="0" allowBlank="1" promptTitle="Category name" prompt="Conditional: CATEGORY. Name of the category"/>
    <dataValidation sqref="E17:E517" showDropDown="0" showInputMessage="1" showErrorMessage="1" allowBlank="1" errorTitle="Account class" error="Choose a value of the list Account class (sheet Reference lists)." promptTitle="Account class" prompt="Conditional: CATEGORY. Class of the accounts of the category Allowed: ASSET, LIABILITY, EQUITY, INCOME, EXPENSE (list Account class)" type="list" errorStyle="stop">
      <formula1>=LIST_ACCOUNT_CLASS</formula1>
    </dataValidation>
    <dataValidation sqref="F17:F517" showDropDown="0" showInputMessage="1" showErrorMessage="1" allowBlank="1" errorTitle="Bank category" error="Choose a value of the list Yes or no (sheet Reference lists)." promptTitle="Bank category" prompt="Conditional: CATEGORY. Y for the accounts of bank accounts (D0-11) Allowed: Y or N" type="list" errorStyle="stop">
      <formula1>=LIST_YES_NO</formula1>
    </dataValidation>
    <dataValidation sqref="G17:G517" showDropDown="0" showInputMessage="1" showErrorMessage="0" allowBlank="1" promptTitle="Parent account" prompt="Conditional: NUMBERING. Parent whose children are numbered"/>
    <dataValidation sqref="H17:H517" showDropDown="0" showInputMessage="1" showErrorMessage="0" allowBlank="1" promptTitle="Separator" prompt="Conditional: NUMBERING. Between the parent code and the running number"/>
    <dataValidation sqref="I17:I517" showDropDown="0" showInputMessage="1" showErrorMessage="1" allowBlank="1" errorTitle="Width" error="Enter a whole number from 1 to 6." promptTitle="Width" prompt="Conditional: NUMBERING. Digits of the running number Allowed: A whole number from 1 to 6" type="whole" operator="between">
      <formula1>1</formula1>
      <formula2>6</formula2>
    </dataValidation>
  </dataValidations>
  <hyperlinks>
    <hyperlink ref="A2" location="'Start here'!A1"/>
    <hyperlink ref="I2" location="'Questions and comments'!A1"/>
    <hyperlink ref="B14" location="'Reference lists'!A204"/>
    <hyperlink ref="E14" location="'Reference lists'!A18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7" t="inlineStr">
        <is>
          <t>PM-09 Lists of values and parameters</t>
        </is>
      </c>
      <c r="G1" s="28" t="inlineStr">
        <is>
          <t>Step 4 of 31</t>
        </is>
      </c>
    </row>
    <row r="2">
      <c r="A2" s="29" t="inlineStr">
        <is>
          <t>← Back to Start here</t>
        </is>
      </c>
      <c r="B2" s="30" t="inlineStr">
        <is>
          <t>Step 4 of 31. Fill in one row per record below the column headers; the guide above each column says what to enter.</t>
        </is>
      </c>
      <c r="G2" s="31" t="inlineStr">
        <is>
          <t>Ask a question →</t>
        </is>
      </c>
    </row>
    <row r="3" outlineLevel="1" ht="40.5" customHeight="1">
      <c r="A3" s="32" t="inlineStr">
        <is>
          <t>Purpose</t>
        </is>
      </c>
      <c r="B3" s="33"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2" t="inlineStr">
        <is>
          <t>Provided by</t>
        </is>
      </c>
      <c r="B4" s="33" t="inlineStr">
        <is>
          <t>Product Owner, MBS; System Administrator (entry)</t>
        </is>
      </c>
    </row>
    <row r="5" outlineLevel="1" ht="15.5" customHeight="1">
      <c r="A5" s="32" t="inlineStr">
        <is>
          <t>Due</t>
        </is>
      </c>
      <c r="B5" s="34" t="inlineStr">
        <is>
          <t>16-Jul-2027 – Values for UAT</t>
        </is>
      </c>
    </row>
    <row r="6" outlineLevel="1" ht="15.5" customHeight="1">
      <c r="A6" s="32" t="inlineStr">
        <is>
          <t>How it is loaded</t>
        </is>
      </c>
      <c r="B6" s="33" t="inlineStr">
        <is>
          <t>Data migration object R01 for the values used by migrated records; the other values on Lists of Values and System Parameters</t>
        </is>
      </c>
    </row>
    <row r="7" outlineLevel="1" ht="15.5" customHeight="1">
      <c r="A7" s="32" t="inlineStr">
        <is>
          <t>Source</t>
        </is>
      </c>
      <c r="B7" s="33" t="inlineStr">
        <is>
          <t>Delivered values (FRS chapter 9) confirmed or changed by BDOI</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SUMPRODUCT(((ROW($B$17:$B$517)&gt;17)+($B$17&lt;&gt;"PKG_REQUEST_REASON")&gt;0)*(LEN($B$17:$B$517&amp;$C$17:$C$517&amp;$D$17:$D$517&amp;$E$17:$E$517&amp;$F$17:$F$517)&gt;0))</f>
        <v/>
      </c>
      <c r="D9" s="37" t="inlineStr">
        <is>
          <t>Mandatory cells missing</t>
        </is>
      </c>
      <c r="E9" s="38">
        <f>SUMPRODUCT(((ROW($B$17:$B$517)&gt;17)+($B$17&lt;&gt;"PKG_REQUEST_REASON")&gt;0)*(LEN($B$17:$B$517&amp;$C$17:$C$517&amp;$D$17:$D$517&amp;$E$17:$E$517&amp;$F$17:$F$517)&gt;0)*(($B$17:$B$517="")+($D$17:$D$517="")))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5" t="inlineStr">
        <is>
          <t>Conditional: list</t>
        </is>
      </c>
      <c r="D12" s="44" t="inlineStr">
        <is>
          <t>Yes</t>
        </is>
      </c>
      <c r="E12" s="45" t="inlineStr">
        <is>
          <t>No</t>
        </is>
      </c>
      <c r="F12" s="45" t="inlineStr">
        <is>
          <t>No</t>
        </is>
      </c>
    </row>
    <row r="13" ht="30" customHeight="1">
      <c r="A13" s="43" t="inlineStr">
        <is>
          <t>Format</t>
        </is>
      </c>
      <c r="B13" s="45" t="inlineStr">
        <is>
          <t>Code of the list or parameter</t>
        </is>
      </c>
      <c r="C13" s="45" t="inlineStr">
        <is>
          <t>Up to 40 capitals</t>
        </is>
      </c>
      <c r="D13" s="45" t="inlineStr">
        <is>
          <t>Text; number for a parameter</t>
        </is>
      </c>
      <c r="E13" s="45" t="inlineStr">
        <is>
          <t>Number; Y or N</t>
        </is>
      </c>
      <c r="F13" s="45" t="inlineStr">
        <is>
          <t>dd-MMM-yyyy</t>
        </is>
      </c>
    </row>
    <row r="14" ht="43" customHeight="1">
      <c r="A14" s="43" t="inlineStr">
        <is>
          <t>Allowed values</t>
        </is>
      </c>
      <c r="B14" s="53" t="inlineStr">
        <is>
          <t>List Product Maintenance list or parameter: 40 values, see Reference lists</t>
        </is>
      </c>
      <c r="C14" s="45" t="inlineStr">
        <is>
          <t>Free entry, up to 40 characters</t>
        </is>
      </c>
      <c r="D14" s="45" t="inlineStr">
        <is>
          <t>Free entry</t>
        </is>
      </c>
      <c r="E14" s="45" t="inlineStr">
        <is>
          <t>Free entry</t>
        </is>
      </c>
      <c r="F14" s="45" t="inlineStr">
        <is>
          <t>A date, for example 15-Jan-2028</t>
        </is>
      </c>
    </row>
    <row r="15" ht="43" customHeight="1">
      <c r="A15" s="43" t="inlineStr">
        <is>
          <t>What to enter</t>
        </is>
      </c>
      <c r="B15" s="45" t="inlineStr">
        <is>
          <t>For example PKG_REQUEST_REASON, PKG_SLA_NEGOTIATION</t>
        </is>
      </c>
      <c r="C15" s="45" t="inlineStr">
        <is>
          <t>Code of the value</t>
        </is>
      </c>
      <c r="D15" s="45" t="inlineStr">
        <is>
          <t>Label shown to users, or the parameter value</t>
        </is>
      </c>
      <c r="E15" s="45" t="inlineStr">
        <is>
          <t>Display order and status</t>
        </is>
      </c>
      <c r="F15" s="45" t="inlineStr">
        <is>
          <t>From when the value applies</t>
        </is>
      </c>
    </row>
    <row r="16" ht="30" customHeight="1">
      <c r="A16" s="46" t="inlineStr">
        <is>
          <t>Row</t>
        </is>
      </c>
      <c r="B16" s="47" t="inlineStr">
        <is>
          <t>List or parameter *</t>
        </is>
      </c>
      <c r="C16" s="47" t="inlineStr">
        <is>
          <t>Value code</t>
        </is>
      </c>
      <c r="D16" s="47" t="inlineStr">
        <is>
          <t>Label or value *</t>
        </is>
      </c>
      <c r="E16" s="47" t="inlineStr">
        <is>
          <t>Order / Active</t>
        </is>
      </c>
      <c r="F16" s="47" t="inlineStr">
        <is>
          <t>Effective from</t>
        </is>
      </c>
    </row>
    <row r="17" ht="18" customHeight="1">
      <c r="A17" s="48" t="inlineStr">
        <is>
          <t>Example – overwrite or delete</t>
        </is>
      </c>
      <c r="B17" s="49" t="inlineStr">
        <is>
          <t>PKG_REQUEST_REASON</t>
        </is>
      </c>
      <c r="C17" s="49" t="inlineStr">
        <is>
          <t>LOSS_EXPERIENCE</t>
        </is>
      </c>
      <c r="D17" s="49" t="inlineStr">
        <is>
          <t>Loss experience</t>
        </is>
      </c>
      <c r="E17" s="49" t="inlineStr">
        <is>
          <t>50; Y</t>
        </is>
      </c>
      <c r="F17" s="50" t="n">
        <v>46327</v>
      </c>
    </row>
    <row r="18">
      <c r="B18" s="51" t="n"/>
      <c r="C18" s="51" t="n"/>
      <c r="D18" s="51" t="n"/>
      <c r="E18" s="51" t="n"/>
      <c r="F18" s="52" t="n"/>
    </row>
    <row r="19">
      <c r="B19" s="51" t="n"/>
      <c r="C19" s="51" t="n"/>
      <c r="D19" s="51" t="n"/>
      <c r="E19" s="51" t="n"/>
      <c r="F19" s="52" t="n"/>
    </row>
    <row r="20">
      <c r="B20" s="51" t="n"/>
      <c r="C20" s="51" t="n"/>
      <c r="D20" s="51" t="n"/>
      <c r="E20" s="51" t="n"/>
      <c r="F20" s="52" t="n"/>
    </row>
    <row r="21">
      <c r="B21" s="51" t="n"/>
      <c r="C21" s="51" t="n"/>
      <c r="D21" s="51" t="n"/>
      <c r="E21" s="51" t="n"/>
      <c r="F21" s="52" t="n"/>
    </row>
    <row r="22">
      <c r="B22" s="51" t="n"/>
      <c r="C22" s="51" t="n"/>
      <c r="D22" s="51" t="n"/>
      <c r="E22" s="51" t="n"/>
      <c r="F22" s="52" t="n"/>
    </row>
    <row r="23">
      <c r="B23" s="51" t="n"/>
      <c r="C23" s="51" t="n"/>
      <c r="D23" s="51" t="n"/>
      <c r="E23" s="51" t="n"/>
      <c r="F23" s="52" t="n"/>
    </row>
    <row r="24">
      <c r="B24" s="51" t="n"/>
      <c r="C24" s="51" t="n"/>
      <c r="D24" s="51" t="n"/>
      <c r="E24" s="51" t="n"/>
      <c r="F24" s="52" t="n"/>
    </row>
    <row r="25">
      <c r="B25" s="51" t="n"/>
      <c r="C25" s="51" t="n"/>
      <c r="D25" s="51" t="n"/>
      <c r="E25" s="51" t="n"/>
      <c r="F25" s="52" t="n"/>
    </row>
    <row r="26">
      <c r="B26" s="51" t="n"/>
      <c r="C26" s="51" t="n"/>
      <c r="D26" s="51" t="n"/>
      <c r="E26" s="51" t="n"/>
      <c r="F26" s="52" t="n"/>
    </row>
    <row r="27">
      <c r="B27" s="51" t="n"/>
      <c r="C27" s="51" t="n"/>
      <c r="D27" s="51" t="n"/>
      <c r="E27" s="51" t="n"/>
      <c r="F27" s="52" t="n"/>
    </row>
    <row r="28">
      <c r="B28" s="51" t="n"/>
      <c r="C28" s="51" t="n"/>
      <c r="D28" s="51" t="n"/>
      <c r="E28" s="51" t="n"/>
      <c r="F28" s="52" t="n"/>
    </row>
    <row r="29">
      <c r="B29" s="51" t="n"/>
      <c r="C29" s="51" t="n"/>
      <c r="D29" s="51" t="n"/>
      <c r="E29" s="51" t="n"/>
      <c r="F29" s="52" t="n"/>
    </row>
    <row r="30">
      <c r="B30" s="51" t="n"/>
      <c r="C30" s="51" t="n"/>
      <c r="D30" s="51" t="n"/>
      <c r="E30" s="51" t="n"/>
      <c r="F30" s="52" t="n"/>
    </row>
    <row r="31">
      <c r="B31" s="51" t="n"/>
      <c r="C31" s="51" t="n"/>
      <c r="D31" s="51" t="n"/>
      <c r="E31" s="51" t="n"/>
      <c r="F31" s="52" t="n"/>
    </row>
    <row r="32">
      <c r="B32" s="51" t="n"/>
      <c r="C32" s="51" t="n"/>
      <c r="D32" s="51" t="n"/>
      <c r="E32" s="51" t="n"/>
      <c r="F32" s="52" t="n"/>
    </row>
    <row r="33">
      <c r="B33" s="51" t="n"/>
      <c r="C33" s="51" t="n"/>
      <c r="D33" s="51" t="n"/>
      <c r="E33" s="51" t="n"/>
      <c r="F33" s="52" t="n"/>
    </row>
    <row r="34">
      <c r="B34" s="51" t="n"/>
      <c r="C34" s="51" t="n"/>
      <c r="D34" s="51" t="n"/>
      <c r="E34" s="51" t="n"/>
      <c r="F34" s="52" t="n"/>
    </row>
    <row r="35">
      <c r="B35" s="51" t="n"/>
      <c r="C35" s="51" t="n"/>
      <c r="D35" s="51" t="n"/>
      <c r="E35" s="51" t="n"/>
      <c r="F35" s="52" t="n"/>
    </row>
    <row r="36">
      <c r="B36" s="51" t="n"/>
      <c r="C36" s="51" t="n"/>
      <c r="D36" s="51" t="n"/>
      <c r="E36" s="51" t="n"/>
      <c r="F36" s="52" t="n"/>
    </row>
    <row r="37">
      <c r="B37" s="51" t="n"/>
      <c r="C37" s="51" t="n"/>
      <c r="D37" s="51" t="n"/>
      <c r="E37" s="51" t="n"/>
      <c r="F37" s="52" t="n"/>
    </row>
    <row r="38">
      <c r="B38" s="51" t="n"/>
      <c r="C38" s="51" t="n"/>
      <c r="D38" s="51" t="n"/>
      <c r="E38" s="51" t="n"/>
      <c r="F38" s="52" t="n"/>
    </row>
    <row r="39">
      <c r="B39" s="51" t="n"/>
      <c r="C39" s="51" t="n"/>
      <c r="D39" s="51" t="n"/>
      <c r="E39" s="51" t="n"/>
      <c r="F39" s="52" t="n"/>
    </row>
    <row r="40">
      <c r="B40" s="51" t="n"/>
      <c r="C40" s="51" t="n"/>
      <c r="D40" s="51" t="n"/>
      <c r="E40" s="51" t="n"/>
      <c r="F40" s="52" t="n"/>
    </row>
    <row r="41">
      <c r="B41" s="51" t="n"/>
      <c r="C41" s="51" t="n"/>
      <c r="D41" s="51" t="n"/>
      <c r="E41" s="51" t="n"/>
      <c r="F41" s="52" t="n"/>
    </row>
    <row r="42">
      <c r="B42" s="51" t="n"/>
      <c r="C42" s="51" t="n"/>
      <c r="D42" s="51" t="n"/>
      <c r="E42" s="51" t="n"/>
      <c r="F42" s="52" t="n"/>
    </row>
    <row r="43">
      <c r="B43" s="51" t="n"/>
      <c r="C43" s="51" t="n"/>
      <c r="D43" s="51" t="n"/>
      <c r="E43" s="51" t="n"/>
      <c r="F43" s="52" t="n"/>
    </row>
    <row r="44">
      <c r="B44" s="51" t="n"/>
      <c r="C44" s="51" t="n"/>
      <c r="D44" s="51" t="n"/>
      <c r="E44" s="51" t="n"/>
      <c r="F44" s="52" t="n"/>
    </row>
    <row r="45">
      <c r="B45" s="51" t="n"/>
      <c r="C45" s="51" t="n"/>
      <c r="D45" s="51" t="n"/>
      <c r="E45" s="51" t="n"/>
      <c r="F45" s="52" t="n"/>
    </row>
    <row r="46">
      <c r="B46" s="51" t="n"/>
      <c r="C46" s="51" t="n"/>
      <c r="D46" s="51" t="n"/>
      <c r="E46" s="51" t="n"/>
      <c r="F46" s="52" t="n"/>
    </row>
    <row r="47">
      <c r="B47" s="51" t="n"/>
      <c r="C47" s="51" t="n"/>
      <c r="D47" s="51" t="n"/>
      <c r="E47" s="51" t="n"/>
      <c r="F47" s="52" t="n"/>
    </row>
    <row r="48">
      <c r="B48" s="51" t="n"/>
      <c r="C48" s="51" t="n"/>
      <c r="D48" s="51" t="n"/>
      <c r="E48" s="51" t="n"/>
      <c r="F48" s="52" t="n"/>
    </row>
    <row r="49">
      <c r="B49" s="51" t="n"/>
      <c r="C49" s="51" t="n"/>
      <c r="D49" s="51" t="n"/>
      <c r="E49" s="51" t="n"/>
      <c r="F49" s="52" t="n"/>
    </row>
    <row r="50">
      <c r="B50" s="51" t="n"/>
      <c r="C50" s="51" t="n"/>
      <c r="D50" s="51" t="n"/>
      <c r="E50" s="51" t="n"/>
      <c r="F50" s="52" t="n"/>
    </row>
    <row r="51">
      <c r="B51" s="51" t="n"/>
      <c r="C51" s="51" t="n"/>
      <c r="D51" s="51" t="n"/>
      <c r="E51" s="51" t="n"/>
      <c r="F51" s="52" t="n"/>
    </row>
    <row r="52">
      <c r="B52" s="51" t="n"/>
      <c r="C52" s="51" t="n"/>
      <c r="D52" s="51" t="n"/>
      <c r="E52" s="51" t="n"/>
      <c r="F52" s="52" t="n"/>
    </row>
    <row r="53">
      <c r="B53" s="51" t="n"/>
      <c r="C53" s="51" t="n"/>
      <c r="D53" s="51" t="n"/>
      <c r="E53" s="51" t="n"/>
      <c r="F53" s="52" t="n"/>
    </row>
    <row r="54">
      <c r="B54" s="51" t="n"/>
      <c r="C54" s="51" t="n"/>
      <c r="D54" s="51" t="n"/>
      <c r="E54" s="51" t="n"/>
      <c r="F54" s="52" t="n"/>
    </row>
    <row r="55">
      <c r="B55" s="51" t="n"/>
      <c r="C55" s="51" t="n"/>
      <c r="D55" s="51" t="n"/>
      <c r="E55" s="51" t="n"/>
      <c r="F55" s="52" t="n"/>
    </row>
    <row r="56">
      <c r="B56" s="51" t="n"/>
      <c r="C56" s="51" t="n"/>
      <c r="D56" s="51" t="n"/>
      <c r="E56" s="51" t="n"/>
      <c r="F56" s="52" t="n"/>
    </row>
    <row r="57">
      <c r="B57" s="51" t="n"/>
      <c r="C57" s="51" t="n"/>
      <c r="D57" s="51" t="n"/>
      <c r="E57" s="51" t="n"/>
      <c r="F57" s="52" t="n"/>
    </row>
    <row r="58">
      <c r="B58" s="51" t="n"/>
      <c r="C58" s="51" t="n"/>
      <c r="D58" s="51" t="n"/>
      <c r="E58" s="51" t="n"/>
      <c r="F58" s="52" t="n"/>
    </row>
    <row r="59">
      <c r="B59" s="51" t="n"/>
      <c r="C59" s="51" t="n"/>
      <c r="D59" s="51" t="n"/>
      <c r="E59" s="51" t="n"/>
      <c r="F59" s="52" t="n"/>
    </row>
    <row r="60">
      <c r="B60" s="51" t="n"/>
      <c r="C60" s="51" t="n"/>
      <c r="D60" s="51" t="n"/>
      <c r="E60" s="51" t="n"/>
      <c r="F60" s="52" t="n"/>
    </row>
    <row r="61">
      <c r="B61" s="51" t="n"/>
      <c r="C61" s="51" t="n"/>
      <c r="D61" s="51" t="n"/>
      <c r="E61" s="51" t="n"/>
      <c r="F61" s="52" t="n"/>
    </row>
    <row r="62">
      <c r="B62" s="51" t="n"/>
      <c r="C62" s="51" t="n"/>
      <c r="D62" s="51" t="n"/>
      <c r="E62" s="51" t="n"/>
      <c r="F62" s="52" t="n"/>
    </row>
    <row r="63">
      <c r="B63" s="51" t="n"/>
      <c r="C63" s="51" t="n"/>
      <c r="D63" s="51" t="n"/>
      <c r="E63" s="51" t="n"/>
      <c r="F63" s="52" t="n"/>
    </row>
    <row r="64">
      <c r="B64" s="51" t="n"/>
      <c r="C64" s="51" t="n"/>
      <c r="D64" s="51" t="n"/>
      <c r="E64" s="51" t="n"/>
      <c r="F64" s="52" t="n"/>
    </row>
    <row r="65">
      <c r="B65" s="51" t="n"/>
      <c r="C65" s="51" t="n"/>
      <c r="D65" s="51" t="n"/>
      <c r="E65" s="51" t="n"/>
      <c r="F65" s="52" t="n"/>
    </row>
    <row r="66">
      <c r="B66" s="51" t="n"/>
      <c r="C66" s="51" t="n"/>
      <c r="D66" s="51" t="n"/>
      <c r="E66" s="51" t="n"/>
      <c r="F66" s="52" t="n"/>
    </row>
    <row r="67">
      <c r="B67" s="51" t="n"/>
      <c r="C67" s="51" t="n"/>
      <c r="D67" s="51" t="n"/>
      <c r="E67" s="51" t="n"/>
      <c r="F67" s="52" t="n"/>
    </row>
    <row r="68">
      <c r="B68" s="51" t="n"/>
      <c r="C68" s="51" t="n"/>
      <c r="D68" s="51" t="n"/>
      <c r="E68" s="51" t="n"/>
      <c r="F68" s="52" t="n"/>
    </row>
    <row r="69">
      <c r="B69" s="51" t="n"/>
      <c r="C69" s="51" t="n"/>
      <c r="D69" s="51" t="n"/>
      <c r="E69" s="51" t="n"/>
      <c r="F69" s="52" t="n"/>
    </row>
    <row r="70">
      <c r="B70" s="51" t="n"/>
      <c r="C70" s="51" t="n"/>
      <c r="D70" s="51" t="n"/>
      <c r="E70" s="51" t="n"/>
      <c r="F70" s="52" t="n"/>
    </row>
    <row r="71">
      <c r="B71" s="51" t="n"/>
      <c r="C71" s="51" t="n"/>
      <c r="D71" s="51" t="n"/>
      <c r="E71" s="51" t="n"/>
      <c r="F71" s="52" t="n"/>
    </row>
    <row r="72">
      <c r="B72" s="51" t="n"/>
      <c r="C72" s="51" t="n"/>
      <c r="D72" s="51" t="n"/>
      <c r="E72" s="51" t="n"/>
      <c r="F72" s="52" t="n"/>
    </row>
    <row r="73">
      <c r="B73" s="51" t="n"/>
      <c r="C73" s="51" t="n"/>
      <c r="D73" s="51" t="n"/>
      <c r="E73" s="51" t="n"/>
      <c r="F73" s="52" t="n"/>
    </row>
    <row r="74">
      <c r="B74" s="51" t="n"/>
      <c r="C74" s="51" t="n"/>
      <c r="D74" s="51" t="n"/>
      <c r="E74" s="51" t="n"/>
      <c r="F74" s="52" t="n"/>
    </row>
    <row r="75">
      <c r="B75" s="51" t="n"/>
      <c r="C75" s="51" t="n"/>
      <c r="D75" s="51" t="n"/>
      <c r="E75" s="51" t="n"/>
      <c r="F75" s="52" t="n"/>
    </row>
    <row r="76">
      <c r="B76" s="51" t="n"/>
      <c r="C76" s="51" t="n"/>
      <c r="D76" s="51" t="n"/>
      <c r="E76" s="51" t="n"/>
      <c r="F76" s="52" t="n"/>
    </row>
    <row r="77">
      <c r="B77" s="51" t="n"/>
      <c r="C77" s="51" t="n"/>
      <c r="D77" s="51" t="n"/>
      <c r="E77" s="51" t="n"/>
      <c r="F77" s="52" t="n"/>
    </row>
    <row r="78">
      <c r="B78" s="51" t="n"/>
      <c r="C78" s="51" t="n"/>
      <c r="D78" s="51" t="n"/>
      <c r="E78" s="51" t="n"/>
      <c r="F78" s="52" t="n"/>
    </row>
    <row r="79">
      <c r="B79" s="51" t="n"/>
      <c r="C79" s="51" t="n"/>
      <c r="D79" s="51" t="n"/>
      <c r="E79" s="51" t="n"/>
      <c r="F79" s="52" t="n"/>
    </row>
    <row r="80">
      <c r="B80" s="51" t="n"/>
      <c r="C80" s="51" t="n"/>
      <c r="D80" s="51" t="n"/>
      <c r="E80" s="51" t="n"/>
      <c r="F80" s="52" t="n"/>
    </row>
    <row r="81">
      <c r="B81" s="51" t="n"/>
      <c r="C81" s="51" t="n"/>
      <c r="D81" s="51" t="n"/>
      <c r="E81" s="51" t="n"/>
      <c r="F81" s="52" t="n"/>
    </row>
    <row r="82">
      <c r="B82" s="51" t="n"/>
      <c r="C82" s="51" t="n"/>
      <c r="D82" s="51" t="n"/>
      <c r="E82" s="51" t="n"/>
      <c r="F82" s="52" t="n"/>
    </row>
    <row r="83">
      <c r="B83" s="51" t="n"/>
      <c r="C83" s="51" t="n"/>
      <c r="D83" s="51" t="n"/>
      <c r="E83" s="51" t="n"/>
      <c r="F83" s="52" t="n"/>
    </row>
    <row r="84">
      <c r="B84" s="51" t="n"/>
      <c r="C84" s="51" t="n"/>
      <c r="D84" s="51" t="n"/>
      <c r="E84" s="51" t="n"/>
      <c r="F84" s="52" t="n"/>
    </row>
    <row r="85">
      <c r="B85" s="51" t="n"/>
      <c r="C85" s="51" t="n"/>
      <c r="D85" s="51" t="n"/>
      <c r="E85" s="51" t="n"/>
      <c r="F85" s="52" t="n"/>
    </row>
    <row r="86">
      <c r="B86" s="51" t="n"/>
      <c r="C86" s="51" t="n"/>
      <c r="D86" s="51" t="n"/>
      <c r="E86" s="51" t="n"/>
      <c r="F86" s="52" t="n"/>
    </row>
    <row r="87">
      <c r="B87" s="51" t="n"/>
      <c r="C87" s="51" t="n"/>
      <c r="D87" s="51" t="n"/>
      <c r="E87" s="51" t="n"/>
      <c r="F87" s="52" t="n"/>
    </row>
    <row r="88">
      <c r="B88" s="51" t="n"/>
      <c r="C88" s="51" t="n"/>
      <c r="D88" s="51" t="n"/>
      <c r="E88" s="51" t="n"/>
      <c r="F88" s="52" t="n"/>
    </row>
    <row r="89">
      <c r="B89" s="51" t="n"/>
      <c r="C89" s="51" t="n"/>
      <c r="D89" s="51" t="n"/>
      <c r="E89" s="51" t="n"/>
      <c r="F89" s="52" t="n"/>
    </row>
    <row r="90">
      <c r="B90" s="51" t="n"/>
      <c r="C90" s="51" t="n"/>
      <c r="D90" s="51" t="n"/>
      <c r="E90" s="51" t="n"/>
      <c r="F90" s="52" t="n"/>
    </row>
    <row r="91">
      <c r="B91" s="51" t="n"/>
      <c r="C91" s="51" t="n"/>
      <c r="D91" s="51" t="n"/>
      <c r="E91" s="51" t="n"/>
      <c r="F91" s="52" t="n"/>
    </row>
    <row r="92">
      <c r="B92" s="51" t="n"/>
      <c r="C92" s="51" t="n"/>
      <c r="D92" s="51" t="n"/>
      <c r="E92" s="51" t="n"/>
      <c r="F92" s="52" t="n"/>
    </row>
    <row r="93">
      <c r="B93" s="51" t="n"/>
      <c r="C93" s="51" t="n"/>
      <c r="D93" s="51" t="n"/>
      <c r="E93" s="51" t="n"/>
      <c r="F93" s="52" t="n"/>
    </row>
    <row r="94">
      <c r="B94" s="51" t="n"/>
      <c r="C94" s="51" t="n"/>
      <c r="D94" s="51" t="n"/>
      <c r="E94" s="51" t="n"/>
      <c r="F94" s="52" t="n"/>
    </row>
    <row r="95">
      <c r="B95" s="51" t="n"/>
      <c r="C95" s="51" t="n"/>
      <c r="D95" s="51" t="n"/>
      <c r="E95" s="51" t="n"/>
      <c r="F95" s="52" t="n"/>
    </row>
    <row r="96">
      <c r="B96" s="51" t="n"/>
      <c r="C96" s="51" t="n"/>
      <c r="D96" s="51" t="n"/>
      <c r="E96" s="51" t="n"/>
      <c r="F96" s="52" t="n"/>
    </row>
    <row r="97">
      <c r="B97" s="51" t="n"/>
      <c r="C97" s="51" t="n"/>
      <c r="D97" s="51" t="n"/>
      <c r="E97" s="51" t="n"/>
      <c r="F97" s="52" t="n"/>
    </row>
    <row r="98">
      <c r="B98" s="51" t="n"/>
      <c r="C98" s="51" t="n"/>
      <c r="D98" s="51" t="n"/>
      <c r="E98" s="51" t="n"/>
      <c r="F98" s="52" t="n"/>
    </row>
    <row r="99">
      <c r="B99" s="51" t="n"/>
      <c r="C99" s="51" t="n"/>
      <c r="D99" s="51" t="n"/>
      <c r="E99" s="51" t="n"/>
      <c r="F99" s="52" t="n"/>
    </row>
    <row r="100">
      <c r="B100" s="51" t="n"/>
      <c r="C100" s="51" t="n"/>
      <c r="D100" s="51" t="n"/>
      <c r="E100" s="51" t="n"/>
      <c r="F100" s="52" t="n"/>
    </row>
    <row r="101">
      <c r="B101" s="51" t="n"/>
      <c r="C101" s="51" t="n"/>
      <c r="D101" s="51" t="n"/>
      <c r="E101" s="51" t="n"/>
      <c r="F101" s="52" t="n"/>
    </row>
    <row r="102">
      <c r="B102" s="51" t="n"/>
      <c r="C102" s="51" t="n"/>
      <c r="D102" s="51" t="n"/>
      <c r="E102" s="51" t="n"/>
      <c r="F102" s="52" t="n"/>
    </row>
    <row r="103">
      <c r="B103" s="51" t="n"/>
      <c r="C103" s="51" t="n"/>
      <c r="D103" s="51" t="n"/>
      <c r="E103" s="51" t="n"/>
      <c r="F103" s="52" t="n"/>
    </row>
    <row r="104">
      <c r="B104" s="51" t="n"/>
      <c r="C104" s="51" t="n"/>
      <c r="D104" s="51" t="n"/>
      <c r="E104" s="51" t="n"/>
      <c r="F104" s="52" t="n"/>
    </row>
    <row r="105">
      <c r="B105" s="51" t="n"/>
      <c r="C105" s="51" t="n"/>
      <c r="D105" s="51" t="n"/>
      <c r="E105" s="51" t="n"/>
      <c r="F105" s="52" t="n"/>
    </row>
    <row r="106">
      <c r="B106" s="51" t="n"/>
      <c r="C106" s="51" t="n"/>
      <c r="D106" s="51" t="n"/>
      <c r="E106" s="51" t="n"/>
      <c r="F106" s="52" t="n"/>
    </row>
    <row r="107">
      <c r="B107" s="51" t="n"/>
      <c r="C107" s="51" t="n"/>
      <c r="D107" s="51" t="n"/>
      <c r="E107" s="51" t="n"/>
      <c r="F107" s="52" t="n"/>
    </row>
    <row r="108">
      <c r="B108" s="51" t="n"/>
      <c r="C108" s="51" t="n"/>
      <c r="D108" s="51" t="n"/>
      <c r="E108" s="51" t="n"/>
      <c r="F108" s="52" t="n"/>
    </row>
    <row r="109">
      <c r="B109" s="51" t="n"/>
      <c r="C109" s="51" t="n"/>
      <c r="D109" s="51" t="n"/>
      <c r="E109" s="51" t="n"/>
      <c r="F109" s="52" t="n"/>
    </row>
    <row r="110">
      <c r="B110" s="51" t="n"/>
      <c r="C110" s="51" t="n"/>
      <c r="D110" s="51" t="n"/>
      <c r="E110" s="51" t="n"/>
      <c r="F110" s="52" t="n"/>
    </row>
    <row r="111">
      <c r="B111" s="51" t="n"/>
      <c r="C111" s="51" t="n"/>
      <c r="D111" s="51" t="n"/>
      <c r="E111" s="51" t="n"/>
      <c r="F111" s="52" t="n"/>
    </row>
    <row r="112">
      <c r="B112" s="51" t="n"/>
      <c r="C112" s="51" t="n"/>
      <c r="D112" s="51" t="n"/>
      <c r="E112" s="51" t="n"/>
      <c r="F112" s="52" t="n"/>
    </row>
    <row r="113">
      <c r="B113" s="51" t="n"/>
      <c r="C113" s="51" t="n"/>
      <c r="D113" s="51" t="n"/>
      <c r="E113" s="51" t="n"/>
      <c r="F113" s="52" t="n"/>
    </row>
    <row r="114">
      <c r="B114" s="51" t="n"/>
      <c r="C114" s="51" t="n"/>
      <c r="D114" s="51" t="n"/>
      <c r="E114" s="51" t="n"/>
      <c r="F114" s="52" t="n"/>
    </row>
    <row r="115">
      <c r="B115" s="51" t="n"/>
      <c r="C115" s="51" t="n"/>
      <c r="D115" s="51" t="n"/>
      <c r="E115" s="51" t="n"/>
      <c r="F115" s="52" t="n"/>
    </row>
    <row r="116">
      <c r="B116" s="51" t="n"/>
      <c r="C116" s="51" t="n"/>
      <c r="D116" s="51" t="n"/>
      <c r="E116" s="51" t="n"/>
      <c r="F116" s="52" t="n"/>
    </row>
    <row r="117">
      <c r="B117" s="51" t="n"/>
      <c r="C117" s="51" t="n"/>
      <c r="D117" s="51" t="n"/>
      <c r="E117" s="51" t="n"/>
      <c r="F117" s="52" t="n"/>
    </row>
    <row r="118">
      <c r="B118" s="51" t="n"/>
      <c r="C118" s="51" t="n"/>
      <c r="D118" s="51" t="n"/>
      <c r="E118" s="51" t="n"/>
      <c r="F118" s="52" t="n"/>
    </row>
    <row r="119">
      <c r="B119" s="51" t="n"/>
      <c r="C119" s="51" t="n"/>
      <c r="D119" s="51" t="n"/>
      <c r="E119" s="51" t="n"/>
      <c r="F119" s="52" t="n"/>
    </row>
    <row r="120">
      <c r="B120" s="51" t="n"/>
      <c r="C120" s="51" t="n"/>
      <c r="D120" s="51" t="n"/>
      <c r="E120" s="51" t="n"/>
      <c r="F120" s="52" t="n"/>
    </row>
    <row r="121">
      <c r="B121" s="51" t="n"/>
      <c r="C121" s="51" t="n"/>
      <c r="D121" s="51" t="n"/>
      <c r="E121" s="51" t="n"/>
      <c r="F121" s="52" t="n"/>
    </row>
    <row r="122">
      <c r="B122" s="51" t="n"/>
      <c r="C122" s="51" t="n"/>
      <c r="D122" s="51" t="n"/>
      <c r="E122" s="51" t="n"/>
      <c r="F122" s="52" t="n"/>
    </row>
    <row r="123">
      <c r="B123" s="51" t="n"/>
      <c r="C123" s="51" t="n"/>
      <c r="D123" s="51" t="n"/>
      <c r="E123" s="51" t="n"/>
      <c r="F123" s="52" t="n"/>
    </row>
    <row r="124">
      <c r="B124" s="51" t="n"/>
      <c r="C124" s="51" t="n"/>
      <c r="D124" s="51" t="n"/>
      <c r="E124" s="51" t="n"/>
      <c r="F124" s="52" t="n"/>
    </row>
    <row r="125">
      <c r="B125" s="51" t="n"/>
      <c r="C125" s="51" t="n"/>
      <c r="D125" s="51" t="n"/>
      <c r="E125" s="51" t="n"/>
      <c r="F125" s="52" t="n"/>
    </row>
    <row r="126">
      <c r="B126" s="51" t="n"/>
      <c r="C126" s="51" t="n"/>
      <c r="D126" s="51" t="n"/>
      <c r="E126" s="51" t="n"/>
      <c r="F126" s="52" t="n"/>
    </row>
    <row r="127">
      <c r="B127" s="51" t="n"/>
      <c r="C127" s="51" t="n"/>
      <c r="D127" s="51" t="n"/>
      <c r="E127" s="51" t="n"/>
      <c r="F127" s="52" t="n"/>
    </row>
    <row r="128">
      <c r="B128" s="51" t="n"/>
      <c r="C128" s="51" t="n"/>
      <c r="D128" s="51" t="n"/>
      <c r="E128" s="51" t="n"/>
      <c r="F128" s="52" t="n"/>
    </row>
    <row r="129">
      <c r="B129" s="51" t="n"/>
      <c r="C129" s="51" t="n"/>
      <c r="D129" s="51" t="n"/>
      <c r="E129" s="51" t="n"/>
      <c r="F129" s="52" t="n"/>
    </row>
    <row r="130">
      <c r="B130" s="51" t="n"/>
      <c r="C130" s="51" t="n"/>
      <c r="D130" s="51" t="n"/>
      <c r="E130" s="51" t="n"/>
      <c r="F130" s="52" t="n"/>
    </row>
    <row r="131">
      <c r="B131" s="51" t="n"/>
      <c r="C131" s="51" t="n"/>
      <c r="D131" s="51" t="n"/>
      <c r="E131" s="51" t="n"/>
      <c r="F131" s="52" t="n"/>
    </row>
    <row r="132">
      <c r="B132" s="51" t="n"/>
      <c r="C132" s="51" t="n"/>
      <c r="D132" s="51" t="n"/>
      <c r="E132" s="51" t="n"/>
      <c r="F132" s="52" t="n"/>
    </row>
    <row r="133">
      <c r="B133" s="51" t="n"/>
      <c r="C133" s="51" t="n"/>
      <c r="D133" s="51" t="n"/>
      <c r="E133" s="51" t="n"/>
      <c r="F133" s="52" t="n"/>
    </row>
    <row r="134">
      <c r="B134" s="51" t="n"/>
      <c r="C134" s="51" t="n"/>
      <c r="D134" s="51" t="n"/>
      <c r="E134" s="51" t="n"/>
      <c r="F134" s="52" t="n"/>
    </row>
    <row r="135">
      <c r="B135" s="51" t="n"/>
      <c r="C135" s="51" t="n"/>
      <c r="D135" s="51" t="n"/>
      <c r="E135" s="51" t="n"/>
      <c r="F135" s="52" t="n"/>
    </row>
    <row r="136">
      <c r="B136" s="51" t="n"/>
      <c r="C136" s="51" t="n"/>
      <c r="D136" s="51" t="n"/>
      <c r="E136" s="51" t="n"/>
      <c r="F136" s="52" t="n"/>
    </row>
    <row r="137">
      <c r="B137" s="51" t="n"/>
      <c r="C137" s="51" t="n"/>
      <c r="D137" s="51" t="n"/>
      <c r="E137" s="51" t="n"/>
      <c r="F137" s="52" t="n"/>
    </row>
    <row r="138">
      <c r="B138" s="51" t="n"/>
      <c r="C138" s="51" t="n"/>
      <c r="D138" s="51" t="n"/>
      <c r="E138" s="51" t="n"/>
      <c r="F138" s="52" t="n"/>
    </row>
    <row r="139">
      <c r="B139" s="51" t="n"/>
      <c r="C139" s="51" t="n"/>
      <c r="D139" s="51" t="n"/>
      <c r="E139" s="51" t="n"/>
      <c r="F139" s="52" t="n"/>
    </row>
    <row r="140">
      <c r="B140" s="51" t="n"/>
      <c r="C140" s="51" t="n"/>
      <c r="D140" s="51" t="n"/>
      <c r="E140" s="51" t="n"/>
      <c r="F140" s="52" t="n"/>
    </row>
    <row r="141">
      <c r="B141" s="51" t="n"/>
      <c r="C141" s="51" t="n"/>
      <c r="D141" s="51" t="n"/>
      <c r="E141" s="51" t="n"/>
      <c r="F141" s="52" t="n"/>
    </row>
    <row r="142">
      <c r="B142" s="51" t="n"/>
      <c r="C142" s="51" t="n"/>
      <c r="D142" s="51" t="n"/>
      <c r="E142" s="51" t="n"/>
      <c r="F142" s="52" t="n"/>
    </row>
    <row r="143">
      <c r="B143" s="51" t="n"/>
      <c r="C143" s="51" t="n"/>
      <c r="D143" s="51" t="n"/>
      <c r="E143" s="51" t="n"/>
      <c r="F143" s="52" t="n"/>
    </row>
    <row r="144">
      <c r="B144" s="51" t="n"/>
      <c r="C144" s="51" t="n"/>
      <c r="D144" s="51" t="n"/>
      <c r="E144" s="51" t="n"/>
      <c r="F144" s="52" t="n"/>
    </row>
    <row r="145">
      <c r="B145" s="51" t="n"/>
      <c r="C145" s="51" t="n"/>
      <c r="D145" s="51" t="n"/>
      <c r="E145" s="51" t="n"/>
      <c r="F145" s="52" t="n"/>
    </row>
    <row r="146">
      <c r="B146" s="51" t="n"/>
      <c r="C146" s="51" t="n"/>
      <c r="D146" s="51" t="n"/>
      <c r="E146" s="51" t="n"/>
      <c r="F146" s="52" t="n"/>
    </row>
    <row r="147">
      <c r="B147" s="51" t="n"/>
      <c r="C147" s="51" t="n"/>
      <c r="D147" s="51" t="n"/>
      <c r="E147" s="51" t="n"/>
      <c r="F147" s="52" t="n"/>
    </row>
    <row r="148">
      <c r="B148" s="51" t="n"/>
      <c r="C148" s="51" t="n"/>
      <c r="D148" s="51" t="n"/>
      <c r="E148" s="51" t="n"/>
      <c r="F148" s="52" t="n"/>
    </row>
    <row r="149">
      <c r="B149" s="51" t="n"/>
      <c r="C149" s="51" t="n"/>
      <c r="D149" s="51" t="n"/>
      <c r="E149" s="51" t="n"/>
      <c r="F149" s="52" t="n"/>
    </row>
    <row r="150">
      <c r="B150" s="51" t="n"/>
      <c r="C150" s="51" t="n"/>
      <c r="D150" s="51" t="n"/>
      <c r="E150" s="51" t="n"/>
      <c r="F150" s="52" t="n"/>
    </row>
    <row r="151">
      <c r="B151" s="51" t="n"/>
      <c r="C151" s="51" t="n"/>
      <c r="D151" s="51" t="n"/>
      <c r="E151" s="51" t="n"/>
      <c r="F151" s="52" t="n"/>
    </row>
    <row r="152">
      <c r="B152" s="51" t="n"/>
      <c r="C152" s="51" t="n"/>
      <c r="D152" s="51" t="n"/>
      <c r="E152" s="51" t="n"/>
      <c r="F152" s="52" t="n"/>
    </row>
    <row r="153">
      <c r="B153" s="51" t="n"/>
      <c r="C153" s="51" t="n"/>
      <c r="D153" s="51" t="n"/>
      <c r="E153" s="51" t="n"/>
      <c r="F153" s="52" t="n"/>
    </row>
    <row r="154">
      <c r="B154" s="51" t="n"/>
      <c r="C154" s="51" t="n"/>
      <c r="D154" s="51" t="n"/>
      <c r="E154" s="51" t="n"/>
      <c r="F154" s="52" t="n"/>
    </row>
    <row r="155">
      <c r="B155" s="51" t="n"/>
      <c r="C155" s="51" t="n"/>
      <c r="D155" s="51" t="n"/>
      <c r="E155" s="51" t="n"/>
      <c r="F155" s="52" t="n"/>
    </row>
    <row r="156">
      <c r="B156" s="51" t="n"/>
      <c r="C156" s="51" t="n"/>
      <c r="D156" s="51" t="n"/>
      <c r="E156" s="51" t="n"/>
      <c r="F156" s="52" t="n"/>
    </row>
    <row r="157">
      <c r="B157" s="51" t="n"/>
      <c r="C157" s="51" t="n"/>
      <c r="D157" s="51" t="n"/>
      <c r="E157" s="51" t="n"/>
      <c r="F157" s="52" t="n"/>
    </row>
    <row r="158">
      <c r="B158" s="51" t="n"/>
      <c r="C158" s="51" t="n"/>
      <c r="D158" s="51" t="n"/>
      <c r="E158" s="51" t="n"/>
      <c r="F158" s="52" t="n"/>
    </row>
    <row r="159">
      <c r="B159" s="51" t="n"/>
      <c r="C159" s="51" t="n"/>
      <c r="D159" s="51" t="n"/>
      <c r="E159" s="51" t="n"/>
      <c r="F159" s="52" t="n"/>
    </row>
    <row r="160">
      <c r="B160" s="51" t="n"/>
      <c r="C160" s="51" t="n"/>
      <c r="D160" s="51" t="n"/>
      <c r="E160" s="51" t="n"/>
      <c r="F160" s="52" t="n"/>
    </row>
    <row r="161">
      <c r="B161" s="51" t="n"/>
      <c r="C161" s="51" t="n"/>
      <c r="D161" s="51" t="n"/>
      <c r="E161" s="51" t="n"/>
      <c r="F161" s="52" t="n"/>
    </row>
    <row r="162">
      <c r="B162" s="51" t="n"/>
      <c r="C162" s="51" t="n"/>
      <c r="D162" s="51" t="n"/>
      <c r="E162" s="51" t="n"/>
      <c r="F162" s="52" t="n"/>
    </row>
    <row r="163">
      <c r="B163" s="51" t="n"/>
      <c r="C163" s="51" t="n"/>
      <c r="D163" s="51" t="n"/>
      <c r="E163" s="51" t="n"/>
      <c r="F163" s="52" t="n"/>
    </row>
    <row r="164">
      <c r="B164" s="51" t="n"/>
      <c r="C164" s="51" t="n"/>
      <c r="D164" s="51" t="n"/>
      <c r="E164" s="51" t="n"/>
      <c r="F164" s="52" t="n"/>
    </row>
    <row r="165">
      <c r="B165" s="51" t="n"/>
      <c r="C165" s="51" t="n"/>
      <c r="D165" s="51" t="n"/>
      <c r="E165" s="51" t="n"/>
      <c r="F165" s="52" t="n"/>
    </row>
    <row r="166">
      <c r="B166" s="51" t="n"/>
      <c r="C166" s="51" t="n"/>
      <c r="D166" s="51" t="n"/>
      <c r="E166" s="51" t="n"/>
      <c r="F166" s="52" t="n"/>
    </row>
    <row r="167">
      <c r="B167" s="51" t="n"/>
      <c r="C167" s="51" t="n"/>
      <c r="D167" s="51" t="n"/>
      <c r="E167" s="51" t="n"/>
      <c r="F167" s="52" t="n"/>
    </row>
    <row r="168">
      <c r="B168" s="51" t="n"/>
      <c r="C168" s="51" t="n"/>
      <c r="D168" s="51" t="n"/>
      <c r="E168" s="51" t="n"/>
      <c r="F168" s="52" t="n"/>
    </row>
    <row r="169">
      <c r="B169" s="51" t="n"/>
      <c r="C169" s="51" t="n"/>
      <c r="D169" s="51" t="n"/>
      <c r="E169" s="51" t="n"/>
      <c r="F169" s="52" t="n"/>
    </row>
    <row r="170">
      <c r="B170" s="51" t="n"/>
      <c r="C170" s="51" t="n"/>
      <c r="D170" s="51" t="n"/>
      <c r="E170" s="51" t="n"/>
      <c r="F170" s="52" t="n"/>
    </row>
    <row r="171">
      <c r="B171" s="51" t="n"/>
      <c r="C171" s="51" t="n"/>
      <c r="D171" s="51" t="n"/>
      <c r="E171" s="51" t="n"/>
      <c r="F171" s="52" t="n"/>
    </row>
    <row r="172">
      <c r="B172" s="51" t="n"/>
      <c r="C172" s="51" t="n"/>
      <c r="D172" s="51" t="n"/>
      <c r="E172" s="51" t="n"/>
      <c r="F172" s="52" t="n"/>
    </row>
    <row r="173">
      <c r="B173" s="51" t="n"/>
      <c r="C173" s="51" t="n"/>
      <c r="D173" s="51" t="n"/>
      <c r="E173" s="51" t="n"/>
      <c r="F173" s="52" t="n"/>
    </row>
    <row r="174">
      <c r="B174" s="51" t="n"/>
      <c r="C174" s="51" t="n"/>
      <c r="D174" s="51" t="n"/>
      <c r="E174" s="51" t="n"/>
      <c r="F174" s="52" t="n"/>
    </row>
    <row r="175">
      <c r="B175" s="51" t="n"/>
      <c r="C175" s="51" t="n"/>
      <c r="D175" s="51" t="n"/>
      <c r="E175" s="51" t="n"/>
      <c r="F175" s="52" t="n"/>
    </row>
    <row r="176">
      <c r="B176" s="51" t="n"/>
      <c r="C176" s="51" t="n"/>
      <c r="D176" s="51" t="n"/>
      <c r="E176" s="51" t="n"/>
      <c r="F176" s="52" t="n"/>
    </row>
    <row r="177">
      <c r="B177" s="51" t="n"/>
      <c r="C177" s="51" t="n"/>
      <c r="D177" s="51" t="n"/>
      <c r="E177" s="51" t="n"/>
      <c r="F177" s="52" t="n"/>
    </row>
    <row r="178">
      <c r="B178" s="51" t="n"/>
      <c r="C178" s="51" t="n"/>
      <c r="D178" s="51" t="n"/>
      <c r="E178" s="51" t="n"/>
      <c r="F178" s="52" t="n"/>
    </row>
    <row r="179">
      <c r="B179" s="51" t="n"/>
      <c r="C179" s="51" t="n"/>
      <c r="D179" s="51" t="n"/>
      <c r="E179" s="51" t="n"/>
      <c r="F179" s="52" t="n"/>
    </row>
    <row r="180">
      <c r="B180" s="51" t="n"/>
      <c r="C180" s="51" t="n"/>
      <c r="D180" s="51" t="n"/>
      <c r="E180" s="51" t="n"/>
      <c r="F180" s="52" t="n"/>
    </row>
    <row r="181">
      <c r="B181" s="51" t="n"/>
      <c r="C181" s="51" t="n"/>
      <c r="D181" s="51" t="n"/>
      <c r="E181" s="51" t="n"/>
      <c r="F181" s="52" t="n"/>
    </row>
    <row r="182">
      <c r="B182" s="51" t="n"/>
      <c r="C182" s="51" t="n"/>
      <c r="D182" s="51" t="n"/>
      <c r="E182" s="51" t="n"/>
      <c r="F182" s="52" t="n"/>
    </row>
    <row r="183">
      <c r="B183" s="51" t="n"/>
      <c r="C183" s="51" t="n"/>
      <c r="D183" s="51" t="n"/>
      <c r="E183" s="51" t="n"/>
      <c r="F183" s="52" t="n"/>
    </row>
    <row r="184">
      <c r="B184" s="51" t="n"/>
      <c r="C184" s="51" t="n"/>
      <c r="D184" s="51" t="n"/>
      <c r="E184" s="51" t="n"/>
      <c r="F184" s="52" t="n"/>
    </row>
    <row r="185">
      <c r="B185" s="51" t="n"/>
      <c r="C185" s="51" t="n"/>
      <c r="D185" s="51" t="n"/>
      <c r="E185" s="51" t="n"/>
      <c r="F185" s="52" t="n"/>
    </row>
    <row r="186">
      <c r="B186" s="51" t="n"/>
      <c r="C186" s="51" t="n"/>
      <c r="D186" s="51" t="n"/>
      <c r="E186" s="51" t="n"/>
      <c r="F186" s="52" t="n"/>
    </row>
    <row r="187">
      <c r="B187" s="51" t="n"/>
      <c r="C187" s="51" t="n"/>
      <c r="D187" s="51" t="n"/>
      <c r="E187" s="51" t="n"/>
      <c r="F187" s="52" t="n"/>
    </row>
    <row r="188">
      <c r="B188" s="51" t="n"/>
      <c r="C188" s="51" t="n"/>
      <c r="D188" s="51" t="n"/>
      <c r="E188" s="51" t="n"/>
      <c r="F188" s="52" t="n"/>
    </row>
    <row r="189">
      <c r="B189" s="51" t="n"/>
      <c r="C189" s="51" t="n"/>
      <c r="D189" s="51" t="n"/>
      <c r="E189" s="51" t="n"/>
      <c r="F189" s="52" t="n"/>
    </row>
    <row r="190">
      <c r="B190" s="51" t="n"/>
      <c r="C190" s="51" t="n"/>
      <c r="D190" s="51" t="n"/>
      <c r="E190" s="51" t="n"/>
      <c r="F190" s="52" t="n"/>
    </row>
    <row r="191">
      <c r="B191" s="51" t="n"/>
      <c r="C191" s="51" t="n"/>
      <c r="D191" s="51" t="n"/>
      <c r="E191" s="51" t="n"/>
      <c r="F191" s="52" t="n"/>
    </row>
    <row r="192">
      <c r="B192" s="51" t="n"/>
      <c r="C192" s="51" t="n"/>
      <c r="D192" s="51" t="n"/>
      <c r="E192" s="51" t="n"/>
      <c r="F192" s="52" t="n"/>
    </row>
    <row r="193">
      <c r="B193" s="51" t="n"/>
      <c r="C193" s="51" t="n"/>
      <c r="D193" s="51" t="n"/>
      <c r="E193" s="51" t="n"/>
      <c r="F193" s="52" t="n"/>
    </row>
    <row r="194">
      <c r="B194" s="51" t="n"/>
      <c r="C194" s="51" t="n"/>
      <c r="D194" s="51" t="n"/>
      <c r="E194" s="51" t="n"/>
      <c r="F194" s="52" t="n"/>
    </row>
    <row r="195">
      <c r="B195" s="51" t="n"/>
      <c r="C195" s="51" t="n"/>
      <c r="D195" s="51" t="n"/>
      <c r="E195" s="51" t="n"/>
      <c r="F195" s="52" t="n"/>
    </row>
    <row r="196">
      <c r="B196" s="51" t="n"/>
      <c r="C196" s="51" t="n"/>
      <c r="D196" s="51" t="n"/>
      <c r="E196" s="51" t="n"/>
      <c r="F196" s="52" t="n"/>
    </row>
    <row r="197">
      <c r="B197" s="51" t="n"/>
      <c r="C197" s="51" t="n"/>
      <c r="D197" s="51" t="n"/>
      <c r="E197" s="51" t="n"/>
      <c r="F197" s="52" t="n"/>
    </row>
    <row r="198">
      <c r="B198" s="51" t="n"/>
      <c r="C198" s="51" t="n"/>
      <c r="D198" s="51" t="n"/>
      <c r="E198" s="51" t="n"/>
      <c r="F198" s="52" t="n"/>
    </row>
    <row r="199">
      <c r="B199" s="51" t="n"/>
      <c r="C199" s="51" t="n"/>
      <c r="D199" s="51" t="n"/>
      <c r="E199" s="51" t="n"/>
      <c r="F199" s="52" t="n"/>
    </row>
    <row r="200">
      <c r="B200" s="51" t="n"/>
      <c r="C200" s="51" t="n"/>
      <c r="D200" s="51" t="n"/>
      <c r="E200" s="51" t="n"/>
      <c r="F200" s="52" t="n"/>
    </row>
    <row r="201">
      <c r="B201" s="51" t="n"/>
      <c r="C201" s="51" t="n"/>
      <c r="D201" s="51" t="n"/>
      <c r="E201" s="51" t="n"/>
      <c r="F201" s="52" t="n"/>
    </row>
    <row r="202">
      <c r="B202" s="51" t="n"/>
      <c r="C202" s="51" t="n"/>
      <c r="D202" s="51" t="n"/>
      <c r="E202" s="51" t="n"/>
      <c r="F202" s="52" t="n"/>
    </row>
    <row r="203">
      <c r="B203" s="51" t="n"/>
      <c r="C203" s="51" t="n"/>
      <c r="D203" s="51" t="n"/>
      <c r="E203" s="51" t="n"/>
      <c r="F203" s="52" t="n"/>
    </row>
    <row r="204">
      <c r="B204" s="51" t="n"/>
      <c r="C204" s="51" t="n"/>
      <c r="D204" s="51" t="n"/>
      <c r="E204" s="51" t="n"/>
      <c r="F204" s="52" t="n"/>
    </row>
    <row r="205">
      <c r="B205" s="51" t="n"/>
      <c r="C205" s="51" t="n"/>
      <c r="D205" s="51" t="n"/>
      <c r="E205" s="51" t="n"/>
      <c r="F205" s="52" t="n"/>
    </row>
    <row r="206">
      <c r="B206" s="51" t="n"/>
      <c r="C206" s="51" t="n"/>
      <c r="D206" s="51" t="n"/>
      <c r="E206" s="51" t="n"/>
      <c r="F206" s="52" t="n"/>
    </row>
    <row r="207">
      <c r="B207" s="51" t="n"/>
      <c r="C207" s="51" t="n"/>
      <c r="D207" s="51" t="n"/>
      <c r="E207" s="51" t="n"/>
      <c r="F207" s="52" t="n"/>
    </row>
    <row r="208">
      <c r="B208" s="51" t="n"/>
      <c r="C208" s="51" t="n"/>
      <c r="D208" s="51" t="n"/>
      <c r="E208" s="51" t="n"/>
      <c r="F208" s="52" t="n"/>
    </row>
    <row r="209">
      <c r="B209" s="51" t="n"/>
      <c r="C209" s="51" t="n"/>
      <c r="D209" s="51" t="n"/>
      <c r="E209" s="51" t="n"/>
      <c r="F209" s="52" t="n"/>
    </row>
    <row r="210">
      <c r="B210" s="51" t="n"/>
      <c r="C210" s="51" t="n"/>
      <c r="D210" s="51" t="n"/>
      <c r="E210" s="51" t="n"/>
      <c r="F210" s="52" t="n"/>
    </row>
    <row r="211">
      <c r="B211" s="51" t="n"/>
      <c r="C211" s="51" t="n"/>
      <c r="D211" s="51" t="n"/>
      <c r="E211" s="51" t="n"/>
      <c r="F211" s="52" t="n"/>
    </row>
    <row r="212">
      <c r="B212" s="51" t="n"/>
      <c r="C212" s="51" t="n"/>
      <c r="D212" s="51" t="n"/>
      <c r="E212" s="51" t="n"/>
      <c r="F212" s="52" t="n"/>
    </row>
    <row r="213">
      <c r="B213" s="51" t="n"/>
      <c r="C213" s="51" t="n"/>
      <c r="D213" s="51" t="n"/>
      <c r="E213" s="51" t="n"/>
      <c r="F213" s="52" t="n"/>
    </row>
    <row r="214">
      <c r="B214" s="51" t="n"/>
      <c r="C214" s="51" t="n"/>
      <c r="D214" s="51" t="n"/>
      <c r="E214" s="51" t="n"/>
      <c r="F214" s="52" t="n"/>
    </row>
    <row r="215">
      <c r="B215" s="51" t="n"/>
      <c r="C215" s="51" t="n"/>
      <c r="D215" s="51" t="n"/>
      <c r="E215" s="51" t="n"/>
      <c r="F215" s="52" t="n"/>
    </row>
    <row r="216">
      <c r="B216" s="51" t="n"/>
      <c r="C216" s="51" t="n"/>
      <c r="D216" s="51" t="n"/>
      <c r="E216" s="51" t="n"/>
      <c r="F216" s="52" t="n"/>
    </row>
    <row r="217">
      <c r="B217" s="51" t="n"/>
      <c r="C217" s="51" t="n"/>
      <c r="D217" s="51" t="n"/>
      <c r="E217" s="51" t="n"/>
      <c r="F217" s="52" t="n"/>
    </row>
    <row r="218">
      <c r="B218" s="51" t="n"/>
      <c r="C218" s="51" t="n"/>
      <c r="D218" s="51" t="n"/>
      <c r="E218" s="51" t="n"/>
      <c r="F218" s="52" t="n"/>
    </row>
    <row r="219">
      <c r="B219" s="51" t="n"/>
      <c r="C219" s="51" t="n"/>
      <c r="D219" s="51" t="n"/>
      <c r="E219" s="51" t="n"/>
      <c r="F219" s="52" t="n"/>
    </row>
    <row r="220">
      <c r="B220" s="51" t="n"/>
      <c r="C220" s="51" t="n"/>
      <c r="D220" s="51" t="n"/>
      <c r="E220" s="51" t="n"/>
      <c r="F220" s="52" t="n"/>
    </row>
    <row r="221">
      <c r="B221" s="51" t="n"/>
      <c r="C221" s="51" t="n"/>
      <c r="D221" s="51" t="n"/>
      <c r="E221" s="51" t="n"/>
      <c r="F221" s="52" t="n"/>
    </row>
    <row r="222">
      <c r="B222" s="51" t="n"/>
      <c r="C222" s="51" t="n"/>
      <c r="D222" s="51" t="n"/>
      <c r="E222" s="51" t="n"/>
      <c r="F222" s="52" t="n"/>
    </row>
    <row r="223">
      <c r="B223" s="51" t="n"/>
      <c r="C223" s="51" t="n"/>
      <c r="D223" s="51" t="n"/>
      <c r="E223" s="51" t="n"/>
      <c r="F223" s="52" t="n"/>
    </row>
    <row r="224">
      <c r="B224" s="51" t="n"/>
      <c r="C224" s="51" t="n"/>
      <c r="D224" s="51" t="n"/>
      <c r="E224" s="51" t="n"/>
      <c r="F224" s="52" t="n"/>
    </row>
    <row r="225">
      <c r="B225" s="51" t="n"/>
      <c r="C225" s="51" t="n"/>
      <c r="D225" s="51" t="n"/>
      <c r="E225" s="51" t="n"/>
      <c r="F225" s="52" t="n"/>
    </row>
    <row r="226">
      <c r="B226" s="51" t="n"/>
      <c r="C226" s="51" t="n"/>
      <c r="D226" s="51" t="n"/>
      <c r="E226" s="51" t="n"/>
      <c r="F226" s="52" t="n"/>
    </row>
    <row r="227">
      <c r="B227" s="51" t="n"/>
      <c r="C227" s="51" t="n"/>
      <c r="D227" s="51" t="n"/>
      <c r="E227" s="51" t="n"/>
      <c r="F227" s="52" t="n"/>
    </row>
    <row r="228">
      <c r="B228" s="51" t="n"/>
      <c r="C228" s="51" t="n"/>
      <c r="D228" s="51" t="n"/>
      <c r="E228" s="51" t="n"/>
      <c r="F228" s="52" t="n"/>
    </row>
    <row r="229">
      <c r="B229" s="51" t="n"/>
      <c r="C229" s="51" t="n"/>
      <c r="D229" s="51" t="n"/>
      <c r="E229" s="51" t="n"/>
      <c r="F229" s="52" t="n"/>
    </row>
    <row r="230">
      <c r="B230" s="51" t="n"/>
      <c r="C230" s="51" t="n"/>
      <c r="D230" s="51" t="n"/>
      <c r="E230" s="51" t="n"/>
      <c r="F230" s="52" t="n"/>
    </row>
    <row r="231">
      <c r="B231" s="51" t="n"/>
      <c r="C231" s="51" t="n"/>
      <c r="D231" s="51" t="n"/>
      <c r="E231" s="51" t="n"/>
      <c r="F231" s="52" t="n"/>
    </row>
    <row r="232">
      <c r="B232" s="51" t="n"/>
      <c r="C232" s="51" t="n"/>
      <c r="D232" s="51" t="n"/>
      <c r="E232" s="51" t="n"/>
      <c r="F232" s="52" t="n"/>
    </row>
    <row r="233">
      <c r="B233" s="51" t="n"/>
      <c r="C233" s="51" t="n"/>
      <c r="D233" s="51" t="n"/>
      <c r="E233" s="51" t="n"/>
      <c r="F233" s="52" t="n"/>
    </row>
    <row r="234">
      <c r="B234" s="51" t="n"/>
      <c r="C234" s="51" t="n"/>
      <c r="D234" s="51" t="n"/>
      <c r="E234" s="51" t="n"/>
      <c r="F234" s="52" t="n"/>
    </row>
    <row r="235">
      <c r="B235" s="51" t="n"/>
      <c r="C235" s="51" t="n"/>
      <c r="D235" s="51" t="n"/>
      <c r="E235" s="51" t="n"/>
      <c r="F235" s="52" t="n"/>
    </row>
    <row r="236">
      <c r="B236" s="51" t="n"/>
      <c r="C236" s="51" t="n"/>
      <c r="D236" s="51" t="n"/>
      <c r="E236" s="51" t="n"/>
      <c r="F236" s="52" t="n"/>
    </row>
    <row r="237">
      <c r="B237" s="51" t="n"/>
      <c r="C237" s="51" t="n"/>
      <c r="D237" s="51" t="n"/>
      <c r="E237" s="51" t="n"/>
      <c r="F237" s="52" t="n"/>
    </row>
    <row r="238">
      <c r="B238" s="51" t="n"/>
      <c r="C238" s="51" t="n"/>
      <c r="D238" s="51" t="n"/>
      <c r="E238" s="51" t="n"/>
      <c r="F238" s="52" t="n"/>
    </row>
    <row r="239">
      <c r="B239" s="51" t="n"/>
      <c r="C239" s="51" t="n"/>
      <c r="D239" s="51" t="n"/>
      <c r="E239" s="51" t="n"/>
      <c r="F239" s="52" t="n"/>
    </row>
    <row r="240">
      <c r="B240" s="51" t="n"/>
      <c r="C240" s="51" t="n"/>
      <c r="D240" s="51" t="n"/>
      <c r="E240" s="51" t="n"/>
      <c r="F240" s="52" t="n"/>
    </row>
    <row r="241">
      <c r="B241" s="51" t="n"/>
      <c r="C241" s="51" t="n"/>
      <c r="D241" s="51" t="n"/>
      <c r="E241" s="51" t="n"/>
      <c r="F241" s="52" t="n"/>
    </row>
    <row r="242">
      <c r="B242" s="51" t="n"/>
      <c r="C242" s="51" t="n"/>
      <c r="D242" s="51" t="n"/>
      <c r="E242" s="51" t="n"/>
      <c r="F242" s="52" t="n"/>
    </row>
    <row r="243">
      <c r="B243" s="51" t="n"/>
      <c r="C243" s="51" t="n"/>
      <c r="D243" s="51" t="n"/>
      <c r="E243" s="51" t="n"/>
      <c r="F243" s="52" t="n"/>
    </row>
    <row r="244">
      <c r="B244" s="51" t="n"/>
      <c r="C244" s="51" t="n"/>
      <c r="D244" s="51" t="n"/>
      <c r="E244" s="51" t="n"/>
      <c r="F244" s="52" t="n"/>
    </row>
    <row r="245">
      <c r="B245" s="51" t="n"/>
      <c r="C245" s="51" t="n"/>
      <c r="D245" s="51" t="n"/>
      <c r="E245" s="51" t="n"/>
      <c r="F245" s="52" t="n"/>
    </row>
    <row r="246">
      <c r="B246" s="51" t="n"/>
      <c r="C246" s="51" t="n"/>
      <c r="D246" s="51" t="n"/>
      <c r="E246" s="51" t="n"/>
      <c r="F246" s="52" t="n"/>
    </row>
    <row r="247">
      <c r="B247" s="51" t="n"/>
      <c r="C247" s="51" t="n"/>
      <c r="D247" s="51" t="n"/>
      <c r="E247" s="51" t="n"/>
      <c r="F247" s="52" t="n"/>
    </row>
    <row r="248">
      <c r="B248" s="51" t="n"/>
      <c r="C248" s="51" t="n"/>
      <c r="D248" s="51" t="n"/>
      <c r="E248" s="51" t="n"/>
      <c r="F248" s="52" t="n"/>
    </row>
    <row r="249">
      <c r="B249" s="51" t="n"/>
      <c r="C249" s="51" t="n"/>
      <c r="D249" s="51" t="n"/>
      <c r="E249" s="51" t="n"/>
      <c r="F249" s="52" t="n"/>
    </row>
    <row r="250">
      <c r="B250" s="51" t="n"/>
      <c r="C250" s="51" t="n"/>
      <c r="D250" s="51" t="n"/>
      <c r="E250" s="51" t="n"/>
      <c r="F250" s="52" t="n"/>
    </row>
    <row r="251">
      <c r="B251" s="51" t="n"/>
      <c r="C251" s="51" t="n"/>
      <c r="D251" s="51" t="n"/>
      <c r="E251" s="51" t="n"/>
      <c r="F251" s="52" t="n"/>
    </row>
    <row r="252">
      <c r="B252" s="51" t="n"/>
      <c r="C252" s="51" t="n"/>
      <c r="D252" s="51" t="n"/>
      <c r="E252" s="51" t="n"/>
      <c r="F252" s="52" t="n"/>
    </row>
    <row r="253">
      <c r="B253" s="51" t="n"/>
      <c r="C253" s="51" t="n"/>
      <c r="D253" s="51" t="n"/>
      <c r="E253" s="51" t="n"/>
      <c r="F253" s="52" t="n"/>
    </row>
    <row r="254">
      <c r="B254" s="51" t="n"/>
      <c r="C254" s="51" t="n"/>
      <c r="D254" s="51" t="n"/>
      <c r="E254" s="51" t="n"/>
      <c r="F254" s="52" t="n"/>
    </row>
    <row r="255">
      <c r="B255" s="51" t="n"/>
      <c r="C255" s="51" t="n"/>
      <c r="D255" s="51" t="n"/>
      <c r="E255" s="51" t="n"/>
      <c r="F255" s="52" t="n"/>
    </row>
    <row r="256">
      <c r="B256" s="51" t="n"/>
      <c r="C256" s="51" t="n"/>
      <c r="D256" s="51" t="n"/>
      <c r="E256" s="51" t="n"/>
      <c r="F256" s="52" t="n"/>
    </row>
    <row r="257">
      <c r="B257" s="51" t="n"/>
      <c r="C257" s="51" t="n"/>
      <c r="D257" s="51" t="n"/>
      <c r="E257" s="51" t="n"/>
      <c r="F257" s="52" t="n"/>
    </row>
    <row r="258">
      <c r="B258" s="51" t="n"/>
      <c r="C258" s="51" t="n"/>
      <c r="D258" s="51" t="n"/>
      <c r="E258" s="51" t="n"/>
      <c r="F258" s="52" t="n"/>
    </row>
    <row r="259">
      <c r="B259" s="51" t="n"/>
      <c r="C259" s="51" t="n"/>
      <c r="D259" s="51" t="n"/>
      <c r="E259" s="51" t="n"/>
      <c r="F259" s="52" t="n"/>
    </row>
    <row r="260">
      <c r="B260" s="51" t="n"/>
      <c r="C260" s="51" t="n"/>
      <c r="D260" s="51" t="n"/>
      <c r="E260" s="51" t="n"/>
      <c r="F260" s="52" t="n"/>
    </row>
    <row r="261">
      <c r="B261" s="51" t="n"/>
      <c r="C261" s="51" t="n"/>
      <c r="D261" s="51" t="n"/>
      <c r="E261" s="51" t="n"/>
      <c r="F261" s="52" t="n"/>
    </row>
    <row r="262">
      <c r="B262" s="51" t="n"/>
      <c r="C262" s="51" t="n"/>
      <c r="D262" s="51" t="n"/>
      <c r="E262" s="51" t="n"/>
      <c r="F262" s="52" t="n"/>
    </row>
    <row r="263">
      <c r="B263" s="51" t="n"/>
      <c r="C263" s="51" t="n"/>
      <c r="D263" s="51" t="n"/>
      <c r="E263" s="51" t="n"/>
      <c r="F263" s="52" t="n"/>
    </row>
    <row r="264">
      <c r="B264" s="51" t="n"/>
      <c r="C264" s="51" t="n"/>
      <c r="D264" s="51" t="n"/>
      <c r="E264" s="51" t="n"/>
      <c r="F264" s="52" t="n"/>
    </row>
    <row r="265">
      <c r="B265" s="51" t="n"/>
      <c r="C265" s="51" t="n"/>
      <c r="D265" s="51" t="n"/>
      <c r="E265" s="51" t="n"/>
      <c r="F265" s="52" t="n"/>
    </row>
    <row r="266">
      <c r="B266" s="51" t="n"/>
      <c r="C266" s="51" t="n"/>
      <c r="D266" s="51" t="n"/>
      <c r="E266" s="51" t="n"/>
      <c r="F266" s="52" t="n"/>
    </row>
    <row r="267">
      <c r="B267" s="51" t="n"/>
      <c r="C267" s="51" t="n"/>
      <c r="D267" s="51" t="n"/>
      <c r="E267" s="51" t="n"/>
      <c r="F267" s="52" t="n"/>
    </row>
    <row r="268">
      <c r="B268" s="51" t="n"/>
      <c r="C268" s="51" t="n"/>
      <c r="D268" s="51" t="n"/>
      <c r="E268" s="51" t="n"/>
      <c r="F268" s="52" t="n"/>
    </row>
    <row r="269">
      <c r="B269" s="51" t="n"/>
      <c r="C269" s="51" t="n"/>
      <c r="D269" s="51" t="n"/>
      <c r="E269" s="51" t="n"/>
      <c r="F269" s="52" t="n"/>
    </row>
    <row r="270">
      <c r="B270" s="51" t="n"/>
      <c r="C270" s="51" t="n"/>
      <c r="D270" s="51" t="n"/>
      <c r="E270" s="51" t="n"/>
      <c r="F270" s="52" t="n"/>
    </row>
    <row r="271">
      <c r="B271" s="51" t="n"/>
      <c r="C271" s="51" t="n"/>
      <c r="D271" s="51" t="n"/>
      <c r="E271" s="51" t="n"/>
      <c r="F271" s="52" t="n"/>
    </row>
    <row r="272">
      <c r="B272" s="51" t="n"/>
      <c r="C272" s="51" t="n"/>
      <c r="D272" s="51" t="n"/>
      <c r="E272" s="51" t="n"/>
      <c r="F272" s="52" t="n"/>
    </row>
    <row r="273">
      <c r="B273" s="51" t="n"/>
      <c r="C273" s="51" t="n"/>
      <c r="D273" s="51" t="n"/>
      <c r="E273" s="51" t="n"/>
      <c r="F273" s="52" t="n"/>
    </row>
    <row r="274">
      <c r="B274" s="51" t="n"/>
      <c r="C274" s="51" t="n"/>
      <c r="D274" s="51" t="n"/>
      <c r="E274" s="51" t="n"/>
      <c r="F274" s="52" t="n"/>
    </row>
    <row r="275">
      <c r="B275" s="51" t="n"/>
      <c r="C275" s="51" t="n"/>
      <c r="D275" s="51" t="n"/>
      <c r="E275" s="51" t="n"/>
      <c r="F275" s="52" t="n"/>
    </row>
    <row r="276">
      <c r="B276" s="51" t="n"/>
      <c r="C276" s="51" t="n"/>
      <c r="D276" s="51" t="n"/>
      <c r="E276" s="51" t="n"/>
      <c r="F276" s="52" t="n"/>
    </row>
    <row r="277">
      <c r="B277" s="51" t="n"/>
      <c r="C277" s="51" t="n"/>
      <c r="D277" s="51" t="n"/>
      <c r="E277" s="51" t="n"/>
      <c r="F277" s="52" t="n"/>
    </row>
    <row r="278">
      <c r="B278" s="51" t="n"/>
      <c r="C278" s="51" t="n"/>
      <c r="D278" s="51" t="n"/>
      <c r="E278" s="51" t="n"/>
      <c r="F278" s="52" t="n"/>
    </row>
    <row r="279">
      <c r="B279" s="51" t="n"/>
      <c r="C279" s="51" t="n"/>
      <c r="D279" s="51" t="n"/>
      <c r="E279" s="51" t="n"/>
      <c r="F279" s="52" t="n"/>
    </row>
    <row r="280">
      <c r="B280" s="51" t="n"/>
      <c r="C280" s="51" t="n"/>
      <c r="D280" s="51" t="n"/>
      <c r="E280" s="51" t="n"/>
      <c r="F280" s="52" t="n"/>
    </row>
    <row r="281">
      <c r="B281" s="51" t="n"/>
      <c r="C281" s="51" t="n"/>
      <c r="D281" s="51" t="n"/>
      <c r="E281" s="51" t="n"/>
      <c r="F281" s="52" t="n"/>
    </row>
    <row r="282">
      <c r="B282" s="51" t="n"/>
      <c r="C282" s="51" t="n"/>
      <c r="D282" s="51" t="n"/>
      <c r="E282" s="51" t="n"/>
      <c r="F282" s="52" t="n"/>
    </row>
    <row r="283">
      <c r="B283" s="51" t="n"/>
      <c r="C283" s="51" t="n"/>
      <c r="D283" s="51" t="n"/>
      <c r="E283" s="51" t="n"/>
      <c r="F283" s="52" t="n"/>
    </row>
    <row r="284">
      <c r="B284" s="51" t="n"/>
      <c r="C284" s="51" t="n"/>
      <c r="D284" s="51" t="n"/>
      <c r="E284" s="51" t="n"/>
      <c r="F284" s="52" t="n"/>
    </row>
    <row r="285">
      <c r="B285" s="51" t="n"/>
      <c r="C285" s="51" t="n"/>
      <c r="D285" s="51" t="n"/>
      <c r="E285" s="51" t="n"/>
      <c r="F285" s="52" t="n"/>
    </row>
    <row r="286">
      <c r="B286" s="51" t="n"/>
      <c r="C286" s="51" t="n"/>
      <c r="D286" s="51" t="n"/>
      <c r="E286" s="51" t="n"/>
      <c r="F286" s="52" t="n"/>
    </row>
    <row r="287">
      <c r="B287" s="51" t="n"/>
      <c r="C287" s="51" t="n"/>
      <c r="D287" s="51" t="n"/>
      <c r="E287" s="51" t="n"/>
      <c r="F287" s="52" t="n"/>
    </row>
    <row r="288">
      <c r="B288" s="51" t="n"/>
      <c r="C288" s="51" t="n"/>
      <c r="D288" s="51" t="n"/>
      <c r="E288" s="51" t="n"/>
      <c r="F288" s="52" t="n"/>
    </row>
    <row r="289">
      <c r="B289" s="51" t="n"/>
      <c r="C289" s="51" t="n"/>
      <c r="D289" s="51" t="n"/>
      <c r="E289" s="51" t="n"/>
      <c r="F289" s="52" t="n"/>
    </row>
    <row r="290">
      <c r="B290" s="51" t="n"/>
      <c r="C290" s="51" t="n"/>
      <c r="D290" s="51" t="n"/>
      <c r="E290" s="51" t="n"/>
      <c r="F290" s="52" t="n"/>
    </row>
    <row r="291">
      <c r="B291" s="51" t="n"/>
      <c r="C291" s="51" t="n"/>
      <c r="D291" s="51" t="n"/>
      <c r="E291" s="51" t="n"/>
      <c r="F291" s="52" t="n"/>
    </row>
    <row r="292">
      <c r="B292" s="51" t="n"/>
      <c r="C292" s="51" t="n"/>
      <c r="D292" s="51" t="n"/>
      <c r="E292" s="51" t="n"/>
      <c r="F292" s="52" t="n"/>
    </row>
    <row r="293">
      <c r="B293" s="51" t="n"/>
      <c r="C293" s="51" t="n"/>
      <c r="D293" s="51" t="n"/>
      <c r="E293" s="51" t="n"/>
      <c r="F293" s="52" t="n"/>
    </row>
    <row r="294">
      <c r="B294" s="51" t="n"/>
      <c r="C294" s="51" t="n"/>
      <c r="D294" s="51" t="n"/>
      <c r="E294" s="51" t="n"/>
      <c r="F294" s="52" t="n"/>
    </row>
    <row r="295">
      <c r="B295" s="51" t="n"/>
      <c r="C295" s="51" t="n"/>
      <c r="D295" s="51" t="n"/>
      <c r="E295" s="51" t="n"/>
      <c r="F295" s="52" t="n"/>
    </row>
    <row r="296">
      <c r="B296" s="51" t="n"/>
      <c r="C296" s="51" t="n"/>
      <c r="D296" s="51" t="n"/>
      <c r="E296" s="51" t="n"/>
      <c r="F296" s="52" t="n"/>
    </row>
    <row r="297">
      <c r="B297" s="51" t="n"/>
      <c r="C297" s="51" t="n"/>
      <c r="D297" s="51" t="n"/>
      <c r="E297" s="51" t="n"/>
      <c r="F297" s="52" t="n"/>
    </row>
    <row r="298">
      <c r="B298" s="51" t="n"/>
      <c r="C298" s="51" t="n"/>
      <c r="D298" s="51" t="n"/>
      <c r="E298" s="51" t="n"/>
      <c r="F298" s="52" t="n"/>
    </row>
    <row r="299">
      <c r="B299" s="51" t="n"/>
      <c r="C299" s="51" t="n"/>
      <c r="D299" s="51" t="n"/>
      <c r="E299" s="51" t="n"/>
      <c r="F299" s="52" t="n"/>
    </row>
    <row r="300">
      <c r="B300" s="51" t="n"/>
      <c r="C300" s="51" t="n"/>
      <c r="D300" s="51" t="n"/>
      <c r="E300" s="51" t="n"/>
      <c r="F300" s="52" t="n"/>
    </row>
    <row r="301">
      <c r="B301" s="51" t="n"/>
      <c r="C301" s="51" t="n"/>
      <c r="D301" s="51" t="n"/>
      <c r="E301" s="51" t="n"/>
      <c r="F301" s="52" t="n"/>
    </row>
    <row r="302">
      <c r="B302" s="51" t="n"/>
      <c r="C302" s="51" t="n"/>
      <c r="D302" s="51" t="n"/>
      <c r="E302" s="51" t="n"/>
      <c r="F302" s="52" t="n"/>
    </row>
    <row r="303">
      <c r="B303" s="51" t="n"/>
      <c r="C303" s="51" t="n"/>
      <c r="D303" s="51" t="n"/>
      <c r="E303" s="51" t="n"/>
      <c r="F303" s="52" t="n"/>
    </row>
    <row r="304">
      <c r="B304" s="51" t="n"/>
      <c r="C304" s="51" t="n"/>
      <c r="D304" s="51" t="n"/>
      <c r="E304" s="51" t="n"/>
      <c r="F304" s="52" t="n"/>
    </row>
    <row r="305">
      <c r="B305" s="51" t="n"/>
      <c r="C305" s="51" t="n"/>
      <c r="D305" s="51" t="n"/>
      <c r="E305" s="51" t="n"/>
      <c r="F305" s="52" t="n"/>
    </row>
    <row r="306">
      <c r="B306" s="51" t="n"/>
      <c r="C306" s="51" t="n"/>
      <c r="D306" s="51" t="n"/>
      <c r="E306" s="51" t="n"/>
      <c r="F306" s="52" t="n"/>
    </row>
    <row r="307">
      <c r="B307" s="51" t="n"/>
      <c r="C307" s="51" t="n"/>
      <c r="D307" s="51" t="n"/>
      <c r="E307" s="51" t="n"/>
      <c r="F307" s="52" t="n"/>
    </row>
    <row r="308">
      <c r="B308" s="51" t="n"/>
      <c r="C308" s="51" t="n"/>
      <c r="D308" s="51" t="n"/>
      <c r="E308" s="51" t="n"/>
      <c r="F308" s="52" t="n"/>
    </row>
    <row r="309">
      <c r="B309" s="51" t="n"/>
      <c r="C309" s="51" t="n"/>
      <c r="D309" s="51" t="n"/>
      <c r="E309" s="51" t="n"/>
      <c r="F309" s="52" t="n"/>
    </row>
    <row r="310">
      <c r="B310" s="51" t="n"/>
      <c r="C310" s="51" t="n"/>
      <c r="D310" s="51" t="n"/>
      <c r="E310" s="51" t="n"/>
      <c r="F310" s="52" t="n"/>
    </row>
    <row r="311">
      <c r="B311" s="51" t="n"/>
      <c r="C311" s="51" t="n"/>
      <c r="D311" s="51" t="n"/>
      <c r="E311" s="51" t="n"/>
      <c r="F311" s="52" t="n"/>
    </row>
    <row r="312">
      <c r="B312" s="51" t="n"/>
      <c r="C312" s="51" t="n"/>
      <c r="D312" s="51" t="n"/>
      <c r="E312" s="51" t="n"/>
      <c r="F312" s="52" t="n"/>
    </row>
    <row r="313">
      <c r="B313" s="51" t="n"/>
      <c r="C313" s="51" t="n"/>
      <c r="D313" s="51" t="n"/>
      <c r="E313" s="51" t="n"/>
      <c r="F313" s="52" t="n"/>
    </row>
    <row r="314">
      <c r="B314" s="51" t="n"/>
      <c r="C314" s="51" t="n"/>
      <c r="D314" s="51" t="n"/>
      <c r="E314" s="51" t="n"/>
      <c r="F314" s="52" t="n"/>
    </row>
    <row r="315">
      <c r="B315" s="51" t="n"/>
      <c r="C315" s="51" t="n"/>
      <c r="D315" s="51" t="n"/>
      <c r="E315" s="51" t="n"/>
      <c r="F315" s="52" t="n"/>
    </row>
    <row r="316">
      <c r="B316" s="51" t="n"/>
      <c r="C316" s="51" t="n"/>
      <c r="D316" s="51" t="n"/>
      <c r="E316" s="51" t="n"/>
      <c r="F316" s="52" t="n"/>
    </row>
    <row r="317">
      <c r="B317" s="51" t="n"/>
      <c r="C317" s="51" t="n"/>
      <c r="D317" s="51" t="n"/>
      <c r="E317" s="51" t="n"/>
      <c r="F317" s="52" t="n"/>
    </row>
    <row r="318">
      <c r="B318" s="51" t="n"/>
      <c r="C318" s="51" t="n"/>
      <c r="D318" s="51" t="n"/>
      <c r="E318" s="51" t="n"/>
      <c r="F318" s="52" t="n"/>
    </row>
    <row r="319">
      <c r="B319" s="51" t="n"/>
      <c r="C319" s="51" t="n"/>
      <c r="D319" s="51" t="n"/>
      <c r="E319" s="51" t="n"/>
      <c r="F319" s="52" t="n"/>
    </row>
    <row r="320">
      <c r="B320" s="51" t="n"/>
      <c r="C320" s="51" t="n"/>
      <c r="D320" s="51" t="n"/>
      <c r="E320" s="51" t="n"/>
      <c r="F320" s="52" t="n"/>
    </row>
    <row r="321">
      <c r="B321" s="51" t="n"/>
      <c r="C321" s="51" t="n"/>
      <c r="D321" s="51" t="n"/>
      <c r="E321" s="51" t="n"/>
      <c r="F321" s="52" t="n"/>
    </row>
    <row r="322">
      <c r="B322" s="51" t="n"/>
      <c r="C322" s="51" t="n"/>
      <c r="D322" s="51" t="n"/>
      <c r="E322" s="51" t="n"/>
      <c r="F322" s="52" t="n"/>
    </row>
    <row r="323">
      <c r="B323" s="51" t="n"/>
      <c r="C323" s="51" t="n"/>
      <c r="D323" s="51" t="n"/>
      <c r="E323" s="51" t="n"/>
      <c r="F323" s="52" t="n"/>
    </row>
    <row r="324">
      <c r="B324" s="51" t="n"/>
      <c r="C324" s="51" t="n"/>
      <c r="D324" s="51" t="n"/>
      <c r="E324" s="51" t="n"/>
      <c r="F324" s="52" t="n"/>
    </row>
    <row r="325">
      <c r="B325" s="51" t="n"/>
      <c r="C325" s="51" t="n"/>
      <c r="D325" s="51" t="n"/>
      <c r="E325" s="51" t="n"/>
      <c r="F325" s="52" t="n"/>
    </row>
    <row r="326">
      <c r="B326" s="51" t="n"/>
      <c r="C326" s="51" t="n"/>
      <c r="D326" s="51" t="n"/>
      <c r="E326" s="51" t="n"/>
      <c r="F326" s="52" t="n"/>
    </row>
    <row r="327">
      <c r="B327" s="51" t="n"/>
      <c r="C327" s="51" t="n"/>
      <c r="D327" s="51" t="n"/>
      <c r="E327" s="51" t="n"/>
      <c r="F327" s="52" t="n"/>
    </row>
    <row r="328">
      <c r="B328" s="51" t="n"/>
      <c r="C328" s="51" t="n"/>
      <c r="D328" s="51" t="n"/>
      <c r="E328" s="51" t="n"/>
      <c r="F328" s="52" t="n"/>
    </row>
    <row r="329">
      <c r="B329" s="51" t="n"/>
      <c r="C329" s="51" t="n"/>
      <c r="D329" s="51" t="n"/>
      <c r="E329" s="51" t="n"/>
      <c r="F329" s="52" t="n"/>
    </row>
    <row r="330">
      <c r="B330" s="51" t="n"/>
      <c r="C330" s="51" t="n"/>
      <c r="D330" s="51" t="n"/>
      <c r="E330" s="51" t="n"/>
      <c r="F330" s="52" t="n"/>
    </row>
    <row r="331">
      <c r="B331" s="51" t="n"/>
      <c r="C331" s="51" t="n"/>
      <c r="D331" s="51" t="n"/>
      <c r="E331" s="51" t="n"/>
      <c r="F331" s="52" t="n"/>
    </row>
    <row r="332">
      <c r="B332" s="51" t="n"/>
      <c r="C332" s="51" t="n"/>
      <c r="D332" s="51" t="n"/>
      <c r="E332" s="51" t="n"/>
      <c r="F332" s="52" t="n"/>
    </row>
    <row r="333">
      <c r="B333" s="51" t="n"/>
      <c r="C333" s="51" t="n"/>
      <c r="D333" s="51" t="n"/>
      <c r="E333" s="51" t="n"/>
      <c r="F333" s="52" t="n"/>
    </row>
    <row r="334">
      <c r="B334" s="51" t="n"/>
      <c r="C334" s="51" t="n"/>
      <c r="D334" s="51" t="n"/>
      <c r="E334" s="51" t="n"/>
      <c r="F334" s="52" t="n"/>
    </row>
    <row r="335">
      <c r="B335" s="51" t="n"/>
      <c r="C335" s="51" t="n"/>
      <c r="D335" s="51" t="n"/>
      <c r="E335" s="51" t="n"/>
      <c r="F335" s="52" t="n"/>
    </row>
    <row r="336">
      <c r="B336" s="51" t="n"/>
      <c r="C336" s="51" t="n"/>
      <c r="D336" s="51" t="n"/>
      <c r="E336" s="51" t="n"/>
      <c r="F336" s="52" t="n"/>
    </row>
    <row r="337">
      <c r="B337" s="51" t="n"/>
      <c r="C337" s="51" t="n"/>
      <c r="D337" s="51" t="n"/>
      <c r="E337" s="51" t="n"/>
      <c r="F337" s="52" t="n"/>
    </row>
    <row r="338">
      <c r="B338" s="51" t="n"/>
      <c r="C338" s="51" t="n"/>
      <c r="D338" s="51" t="n"/>
      <c r="E338" s="51" t="n"/>
      <c r="F338" s="52" t="n"/>
    </row>
    <row r="339">
      <c r="B339" s="51" t="n"/>
      <c r="C339" s="51" t="n"/>
      <c r="D339" s="51" t="n"/>
      <c r="E339" s="51" t="n"/>
      <c r="F339" s="52" t="n"/>
    </row>
    <row r="340">
      <c r="B340" s="51" t="n"/>
      <c r="C340" s="51" t="n"/>
      <c r="D340" s="51" t="n"/>
      <c r="E340" s="51" t="n"/>
      <c r="F340" s="52" t="n"/>
    </row>
    <row r="341">
      <c r="B341" s="51" t="n"/>
      <c r="C341" s="51" t="n"/>
      <c r="D341" s="51" t="n"/>
      <c r="E341" s="51" t="n"/>
      <c r="F341" s="52" t="n"/>
    </row>
    <row r="342">
      <c r="B342" s="51" t="n"/>
      <c r="C342" s="51" t="n"/>
      <c r="D342" s="51" t="n"/>
      <c r="E342" s="51" t="n"/>
      <c r="F342" s="52" t="n"/>
    </row>
    <row r="343">
      <c r="B343" s="51" t="n"/>
      <c r="C343" s="51" t="n"/>
      <c r="D343" s="51" t="n"/>
      <c r="E343" s="51" t="n"/>
      <c r="F343" s="52" t="n"/>
    </row>
    <row r="344">
      <c r="B344" s="51" t="n"/>
      <c r="C344" s="51" t="n"/>
      <c r="D344" s="51" t="n"/>
      <c r="E344" s="51" t="n"/>
      <c r="F344" s="52" t="n"/>
    </row>
    <row r="345">
      <c r="B345" s="51" t="n"/>
      <c r="C345" s="51" t="n"/>
      <c r="D345" s="51" t="n"/>
      <c r="E345" s="51" t="n"/>
      <c r="F345" s="52" t="n"/>
    </row>
    <row r="346">
      <c r="B346" s="51" t="n"/>
      <c r="C346" s="51" t="n"/>
      <c r="D346" s="51" t="n"/>
      <c r="E346" s="51" t="n"/>
      <c r="F346" s="52" t="n"/>
    </row>
    <row r="347">
      <c r="B347" s="51" t="n"/>
      <c r="C347" s="51" t="n"/>
      <c r="D347" s="51" t="n"/>
      <c r="E347" s="51" t="n"/>
      <c r="F347" s="52" t="n"/>
    </row>
    <row r="348">
      <c r="B348" s="51" t="n"/>
      <c r="C348" s="51" t="n"/>
      <c r="D348" s="51" t="n"/>
      <c r="E348" s="51" t="n"/>
      <c r="F348" s="52" t="n"/>
    </row>
    <row r="349">
      <c r="B349" s="51" t="n"/>
      <c r="C349" s="51" t="n"/>
      <c r="D349" s="51" t="n"/>
      <c r="E349" s="51" t="n"/>
      <c r="F349" s="52" t="n"/>
    </row>
    <row r="350">
      <c r="B350" s="51" t="n"/>
      <c r="C350" s="51" t="n"/>
      <c r="D350" s="51" t="n"/>
      <c r="E350" s="51" t="n"/>
      <c r="F350" s="52" t="n"/>
    </row>
    <row r="351">
      <c r="B351" s="51" t="n"/>
      <c r="C351" s="51" t="n"/>
      <c r="D351" s="51" t="n"/>
      <c r="E351" s="51" t="n"/>
      <c r="F351" s="52" t="n"/>
    </row>
    <row r="352">
      <c r="B352" s="51" t="n"/>
      <c r="C352" s="51" t="n"/>
      <c r="D352" s="51" t="n"/>
      <c r="E352" s="51" t="n"/>
      <c r="F352" s="52" t="n"/>
    </row>
    <row r="353">
      <c r="B353" s="51" t="n"/>
      <c r="C353" s="51" t="n"/>
      <c r="D353" s="51" t="n"/>
      <c r="E353" s="51" t="n"/>
      <c r="F353" s="52" t="n"/>
    </row>
    <row r="354">
      <c r="B354" s="51" t="n"/>
      <c r="C354" s="51" t="n"/>
      <c r="D354" s="51" t="n"/>
      <c r="E354" s="51" t="n"/>
      <c r="F354" s="52" t="n"/>
    </row>
    <row r="355">
      <c r="B355" s="51" t="n"/>
      <c r="C355" s="51" t="n"/>
      <c r="D355" s="51" t="n"/>
      <c r="E355" s="51" t="n"/>
      <c r="F355" s="52" t="n"/>
    </row>
    <row r="356">
      <c r="B356" s="51" t="n"/>
      <c r="C356" s="51" t="n"/>
      <c r="D356" s="51" t="n"/>
      <c r="E356" s="51" t="n"/>
      <c r="F356" s="52" t="n"/>
    </row>
    <row r="357">
      <c r="B357" s="51" t="n"/>
      <c r="C357" s="51" t="n"/>
      <c r="D357" s="51" t="n"/>
      <c r="E357" s="51" t="n"/>
      <c r="F357" s="52" t="n"/>
    </row>
    <row r="358">
      <c r="B358" s="51" t="n"/>
      <c r="C358" s="51" t="n"/>
      <c r="D358" s="51" t="n"/>
      <c r="E358" s="51" t="n"/>
      <c r="F358" s="52" t="n"/>
    </row>
    <row r="359">
      <c r="B359" s="51" t="n"/>
      <c r="C359" s="51" t="n"/>
      <c r="D359" s="51" t="n"/>
      <c r="E359" s="51" t="n"/>
      <c r="F359" s="52" t="n"/>
    </row>
    <row r="360">
      <c r="B360" s="51" t="n"/>
      <c r="C360" s="51" t="n"/>
      <c r="D360" s="51" t="n"/>
      <c r="E360" s="51" t="n"/>
      <c r="F360" s="52" t="n"/>
    </row>
    <row r="361">
      <c r="B361" s="51" t="n"/>
      <c r="C361" s="51" t="n"/>
      <c r="D361" s="51" t="n"/>
      <c r="E361" s="51" t="n"/>
      <c r="F361" s="52" t="n"/>
    </row>
    <row r="362">
      <c r="B362" s="51" t="n"/>
      <c r="C362" s="51" t="n"/>
      <c r="D362" s="51" t="n"/>
      <c r="E362" s="51" t="n"/>
      <c r="F362" s="52" t="n"/>
    </row>
    <row r="363">
      <c r="B363" s="51" t="n"/>
      <c r="C363" s="51" t="n"/>
      <c r="D363" s="51" t="n"/>
      <c r="E363" s="51" t="n"/>
      <c r="F363" s="52" t="n"/>
    </row>
    <row r="364">
      <c r="B364" s="51" t="n"/>
      <c r="C364" s="51" t="n"/>
      <c r="D364" s="51" t="n"/>
      <c r="E364" s="51" t="n"/>
      <c r="F364" s="52" t="n"/>
    </row>
    <row r="365">
      <c r="B365" s="51" t="n"/>
      <c r="C365" s="51" t="n"/>
      <c r="D365" s="51" t="n"/>
      <c r="E365" s="51" t="n"/>
      <c r="F365" s="52" t="n"/>
    </row>
    <row r="366">
      <c r="B366" s="51" t="n"/>
      <c r="C366" s="51" t="n"/>
      <c r="D366" s="51" t="n"/>
      <c r="E366" s="51" t="n"/>
      <c r="F366" s="52" t="n"/>
    </row>
    <row r="367">
      <c r="B367" s="51" t="n"/>
      <c r="C367" s="51" t="n"/>
      <c r="D367" s="51" t="n"/>
      <c r="E367" s="51" t="n"/>
      <c r="F367" s="52" t="n"/>
    </row>
    <row r="368">
      <c r="B368" s="51" t="n"/>
      <c r="C368" s="51" t="n"/>
      <c r="D368" s="51" t="n"/>
      <c r="E368" s="51" t="n"/>
      <c r="F368" s="52" t="n"/>
    </row>
    <row r="369">
      <c r="B369" s="51" t="n"/>
      <c r="C369" s="51" t="n"/>
      <c r="D369" s="51" t="n"/>
      <c r="E369" s="51" t="n"/>
      <c r="F369" s="52" t="n"/>
    </row>
    <row r="370">
      <c r="B370" s="51" t="n"/>
      <c r="C370" s="51" t="n"/>
      <c r="D370" s="51" t="n"/>
      <c r="E370" s="51" t="n"/>
      <c r="F370" s="52" t="n"/>
    </row>
    <row r="371">
      <c r="B371" s="51" t="n"/>
      <c r="C371" s="51" t="n"/>
      <c r="D371" s="51" t="n"/>
      <c r="E371" s="51" t="n"/>
      <c r="F371" s="52" t="n"/>
    </row>
    <row r="372">
      <c r="B372" s="51" t="n"/>
      <c r="C372" s="51" t="n"/>
      <c r="D372" s="51" t="n"/>
      <c r="E372" s="51" t="n"/>
      <c r="F372" s="52" t="n"/>
    </row>
    <row r="373">
      <c r="B373" s="51" t="n"/>
      <c r="C373" s="51" t="n"/>
      <c r="D373" s="51" t="n"/>
      <c r="E373" s="51" t="n"/>
      <c r="F373" s="52" t="n"/>
    </row>
    <row r="374">
      <c r="B374" s="51" t="n"/>
      <c r="C374" s="51" t="n"/>
      <c r="D374" s="51" t="n"/>
      <c r="E374" s="51" t="n"/>
      <c r="F374" s="52" t="n"/>
    </row>
    <row r="375">
      <c r="B375" s="51" t="n"/>
      <c r="C375" s="51" t="n"/>
      <c r="D375" s="51" t="n"/>
      <c r="E375" s="51" t="n"/>
      <c r="F375" s="52" t="n"/>
    </row>
    <row r="376">
      <c r="B376" s="51" t="n"/>
      <c r="C376" s="51" t="n"/>
      <c r="D376" s="51" t="n"/>
      <c r="E376" s="51" t="n"/>
      <c r="F376" s="52" t="n"/>
    </row>
    <row r="377">
      <c r="B377" s="51" t="n"/>
      <c r="C377" s="51" t="n"/>
      <c r="D377" s="51" t="n"/>
      <c r="E377" s="51" t="n"/>
      <c r="F377" s="52" t="n"/>
    </row>
    <row r="378">
      <c r="B378" s="51" t="n"/>
      <c r="C378" s="51" t="n"/>
      <c r="D378" s="51" t="n"/>
      <c r="E378" s="51" t="n"/>
      <c r="F378" s="52" t="n"/>
    </row>
    <row r="379">
      <c r="B379" s="51" t="n"/>
      <c r="C379" s="51" t="n"/>
      <c r="D379" s="51" t="n"/>
      <c r="E379" s="51" t="n"/>
      <c r="F379" s="52" t="n"/>
    </row>
    <row r="380">
      <c r="B380" s="51" t="n"/>
      <c r="C380" s="51" t="n"/>
      <c r="D380" s="51" t="n"/>
      <c r="E380" s="51" t="n"/>
      <c r="F380" s="52" t="n"/>
    </row>
    <row r="381">
      <c r="B381" s="51" t="n"/>
      <c r="C381" s="51" t="n"/>
      <c r="D381" s="51" t="n"/>
      <c r="E381" s="51" t="n"/>
      <c r="F381" s="52" t="n"/>
    </row>
    <row r="382">
      <c r="B382" s="51" t="n"/>
      <c r="C382" s="51" t="n"/>
      <c r="D382" s="51" t="n"/>
      <c r="E382" s="51" t="n"/>
      <c r="F382" s="52" t="n"/>
    </row>
    <row r="383">
      <c r="B383" s="51" t="n"/>
      <c r="C383" s="51" t="n"/>
      <c r="D383" s="51" t="n"/>
      <c r="E383" s="51" t="n"/>
      <c r="F383" s="52" t="n"/>
    </row>
    <row r="384">
      <c r="B384" s="51" t="n"/>
      <c r="C384" s="51" t="n"/>
      <c r="D384" s="51" t="n"/>
      <c r="E384" s="51" t="n"/>
      <c r="F384" s="52" t="n"/>
    </row>
    <row r="385">
      <c r="B385" s="51" t="n"/>
      <c r="C385" s="51" t="n"/>
      <c r="D385" s="51" t="n"/>
      <c r="E385" s="51" t="n"/>
      <c r="F385" s="52" t="n"/>
    </row>
    <row r="386">
      <c r="B386" s="51" t="n"/>
      <c r="C386" s="51" t="n"/>
      <c r="D386" s="51" t="n"/>
      <c r="E386" s="51" t="n"/>
      <c r="F386" s="52" t="n"/>
    </row>
    <row r="387">
      <c r="B387" s="51" t="n"/>
      <c r="C387" s="51" t="n"/>
      <c r="D387" s="51" t="n"/>
      <c r="E387" s="51" t="n"/>
      <c r="F387" s="52" t="n"/>
    </row>
    <row r="388">
      <c r="B388" s="51" t="n"/>
      <c r="C388" s="51" t="n"/>
      <c r="D388" s="51" t="n"/>
      <c r="E388" s="51" t="n"/>
      <c r="F388" s="52" t="n"/>
    </row>
    <row r="389">
      <c r="B389" s="51" t="n"/>
      <c r="C389" s="51" t="n"/>
      <c r="D389" s="51" t="n"/>
      <c r="E389" s="51" t="n"/>
      <c r="F389" s="52" t="n"/>
    </row>
    <row r="390">
      <c r="B390" s="51" t="n"/>
      <c r="C390" s="51" t="n"/>
      <c r="D390" s="51" t="n"/>
      <c r="E390" s="51" t="n"/>
      <c r="F390" s="52" t="n"/>
    </row>
    <row r="391">
      <c r="B391" s="51" t="n"/>
      <c r="C391" s="51" t="n"/>
      <c r="D391" s="51" t="n"/>
      <c r="E391" s="51" t="n"/>
      <c r="F391" s="52" t="n"/>
    </row>
    <row r="392">
      <c r="B392" s="51" t="n"/>
      <c r="C392" s="51" t="n"/>
      <c r="D392" s="51" t="n"/>
      <c r="E392" s="51" t="n"/>
      <c r="F392" s="52" t="n"/>
    </row>
    <row r="393">
      <c r="B393" s="51" t="n"/>
      <c r="C393" s="51" t="n"/>
      <c r="D393" s="51" t="n"/>
      <c r="E393" s="51" t="n"/>
      <c r="F393" s="52" t="n"/>
    </row>
    <row r="394">
      <c r="B394" s="51" t="n"/>
      <c r="C394" s="51" t="n"/>
      <c r="D394" s="51" t="n"/>
      <c r="E394" s="51" t="n"/>
      <c r="F394" s="52" t="n"/>
    </row>
    <row r="395">
      <c r="B395" s="51" t="n"/>
      <c r="C395" s="51" t="n"/>
      <c r="D395" s="51" t="n"/>
      <c r="E395" s="51" t="n"/>
      <c r="F395" s="52" t="n"/>
    </row>
    <row r="396">
      <c r="B396" s="51" t="n"/>
      <c r="C396" s="51" t="n"/>
      <c r="D396" s="51" t="n"/>
      <c r="E396" s="51" t="n"/>
      <c r="F396" s="52" t="n"/>
    </row>
    <row r="397">
      <c r="B397" s="51" t="n"/>
      <c r="C397" s="51" t="n"/>
      <c r="D397" s="51" t="n"/>
      <c r="E397" s="51" t="n"/>
      <c r="F397" s="52" t="n"/>
    </row>
    <row r="398">
      <c r="B398" s="51" t="n"/>
      <c r="C398" s="51" t="n"/>
      <c r="D398" s="51" t="n"/>
      <c r="E398" s="51" t="n"/>
      <c r="F398" s="52" t="n"/>
    </row>
    <row r="399">
      <c r="B399" s="51" t="n"/>
      <c r="C399" s="51" t="n"/>
      <c r="D399" s="51" t="n"/>
      <c r="E399" s="51" t="n"/>
      <c r="F399" s="52" t="n"/>
    </row>
    <row r="400">
      <c r="B400" s="51" t="n"/>
      <c r="C400" s="51" t="n"/>
      <c r="D400" s="51" t="n"/>
      <c r="E400" s="51" t="n"/>
      <c r="F400" s="52" t="n"/>
    </row>
    <row r="401">
      <c r="B401" s="51" t="n"/>
      <c r="C401" s="51" t="n"/>
      <c r="D401" s="51" t="n"/>
      <c r="E401" s="51" t="n"/>
      <c r="F401" s="52" t="n"/>
    </row>
    <row r="402">
      <c r="B402" s="51" t="n"/>
      <c r="C402" s="51" t="n"/>
      <c r="D402" s="51" t="n"/>
      <c r="E402" s="51" t="n"/>
      <c r="F402" s="52" t="n"/>
    </row>
    <row r="403">
      <c r="B403" s="51" t="n"/>
      <c r="C403" s="51" t="n"/>
      <c r="D403" s="51" t="n"/>
      <c r="E403" s="51" t="n"/>
      <c r="F403" s="52" t="n"/>
    </row>
    <row r="404">
      <c r="B404" s="51" t="n"/>
      <c r="C404" s="51" t="n"/>
      <c r="D404" s="51" t="n"/>
      <c r="E404" s="51" t="n"/>
      <c r="F404" s="52" t="n"/>
    </row>
    <row r="405">
      <c r="B405" s="51" t="n"/>
      <c r="C405" s="51" t="n"/>
      <c r="D405" s="51" t="n"/>
      <c r="E405" s="51" t="n"/>
      <c r="F405" s="52" t="n"/>
    </row>
    <row r="406">
      <c r="B406" s="51" t="n"/>
      <c r="C406" s="51" t="n"/>
      <c r="D406" s="51" t="n"/>
      <c r="E406" s="51" t="n"/>
      <c r="F406" s="52" t="n"/>
    </row>
    <row r="407">
      <c r="B407" s="51" t="n"/>
      <c r="C407" s="51" t="n"/>
      <c r="D407" s="51" t="n"/>
      <c r="E407" s="51" t="n"/>
      <c r="F407" s="52" t="n"/>
    </row>
    <row r="408">
      <c r="B408" s="51" t="n"/>
      <c r="C408" s="51" t="n"/>
      <c r="D408" s="51" t="n"/>
      <c r="E408" s="51" t="n"/>
      <c r="F408" s="52" t="n"/>
    </row>
    <row r="409">
      <c r="B409" s="51" t="n"/>
      <c r="C409" s="51" t="n"/>
      <c r="D409" s="51" t="n"/>
      <c r="E409" s="51" t="n"/>
      <c r="F409" s="52" t="n"/>
    </row>
    <row r="410">
      <c r="B410" s="51" t="n"/>
      <c r="C410" s="51" t="n"/>
      <c r="D410" s="51" t="n"/>
      <c r="E410" s="51" t="n"/>
      <c r="F410" s="52" t="n"/>
    </row>
    <row r="411">
      <c r="B411" s="51" t="n"/>
      <c r="C411" s="51" t="n"/>
      <c r="D411" s="51" t="n"/>
      <c r="E411" s="51" t="n"/>
      <c r="F411" s="52" t="n"/>
    </row>
    <row r="412">
      <c r="B412" s="51" t="n"/>
      <c r="C412" s="51" t="n"/>
      <c r="D412" s="51" t="n"/>
      <c r="E412" s="51" t="n"/>
      <c r="F412" s="52" t="n"/>
    </row>
    <row r="413">
      <c r="B413" s="51" t="n"/>
      <c r="C413" s="51" t="n"/>
      <c r="D413" s="51" t="n"/>
      <c r="E413" s="51" t="n"/>
      <c r="F413" s="52" t="n"/>
    </row>
    <row r="414">
      <c r="B414" s="51" t="n"/>
      <c r="C414" s="51" t="n"/>
      <c r="D414" s="51" t="n"/>
      <c r="E414" s="51" t="n"/>
      <c r="F414" s="52" t="n"/>
    </row>
    <row r="415">
      <c r="B415" s="51" t="n"/>
      <c r="C415" s="51" t="n"/>
      <c r="D415" s="51" t="n"/>
      <c r="E415" s="51" t="n"/>
      <c r="F415" s="52" t="n"/>
    </row>
    <row r="416">
      <c r="B416" s="51" t="n"/>
      <c r="C416" s="51" t="n"/>
      <c r="D416" s="51" t="n"/>
      <c r="E416" s="51" t="n"/>
      <c r="F416" s="52" t="n"/>
    </row>
    <row r="417">
      <c r="B417" s="51" t="n"/>
      <c r="C417" s="51" t="n"/>
      <c r="D417" s="51" t="n"/>
      <c r="E417" s="51" t="n"/>
      <c r="F417" s="52" t="n"/>
    </row>
    <row r="418">
      <c r="B418" s="51" t="n"/>
      <c r="C418" s="51" t="n"/>
      <c r="D418" s="51" t="n"/>
      <c r="E418" s="51" t="n"/>
      <c r="F418" s="52" t="n"/>
    </row>
    <row r="419">
      <c r="B419" s="51" t="n"/>
      <c r="C419" s="51" t="n"/>
      <c r="D419" s="51" t="n"/>
      <c r="E419" s="51" t="n"/>
      <c r="F419" s="52" t="n"/>
    </row>
    <row r="420">
      <c r="B420" s="51" t="n"/>
      <c r="C420" s="51" t="n"/>
      <c r="D420" s="51" t="n"/>
      <c r="E420" s="51" t="n"/>
      <c r="F420" s="52" t="n"/>
    </row>
    <row r="421">
      <c r="B421" s="51" t="n"/>
      <c r="C421" s="51" t="n"/>
      <c r="D421" s="51" t="n"/>
      <c r="E421" s="51" t="n"/>
      <c r="F421" s="52" t="n"/>
    </row>
    <row r="422">
      <c r="B422" s="51" t="n"/>
      <c r="C422" s="51" t="n"/>
      <c r="D422" s="51" t="n"/>
      <c r="E422" s="51" t="n"/>
      <c r="F422" s="52" t="n"/>
    </row>
    <row r="423">
      <c r="B423" s="51" t="n"/>
      <c r="C423" s="51" t="n"/>
      <c r="D423" s="51" t="n"/>
      <c r="E423" s="51" t="n"/>
      <c r="F423" s="52" t="n"/>
    </row>
    <row r="424">
      <c r="B424" s="51" t="n"/>
      <c r="C424" s="51" t="n"/>
      <c r="D424" s="51" t="n"/>
      <c r="E424" s="51" t="n"/>
      <c r="F424" s="52" t="n"/>
    </row>
    <row r="425">
      <c r="B425" s="51" t="n"/>
      <c r="C425" s="51" t="n"/>
      <c r="D425" s="51" t="n"/>
      <c r="E425" s="51" t="n"/>
      <c r="F425" s="52" t="n"/>
    </row>
    <row r="426">
      <c r="B426" s="51" t="n"/>
      <c r="C426" s="51" t="n"/>
      <c r="D426" s="51" t="n"/>
      <c r="E426" s="51" t="n"/>
      <c r="F426" s="52" t="n"/>
    </row>
    <row r="427">
      <c r="B427" s="51" t="n"/>
      <c r="C427" s="51" t="n"/>
      <c r="D427" s="51" t="n"/>
      <c r="E427" s="51" t="n"/>
      <c r="F427" s="52" t="n"/>
    </row>
    <row r="428">
      <c r="B428" s="51" t="n"/>
      <c r="C428" s="51" t="n"/>
      <c r="D428" s="51" t="n"/>
      <c r="E428" s="51" t="n"/>
      <c r="F428" s="52" t="n"/>
    </row>
    <row r="429">
      <c r="B429" s="51" t="n"/>
      <c r="C429" s="51" t="n"/>
      <c r="D429" s="51" t="n"/>
      <c r="E429" s="51" t="n"/>
      <c r="F429" s="52" t="n"/>
    </row>
    <row r="430">
      <c r="B430" s="51" t="n"/>
      <c r="C430" s="51" t="n"/>
      <c r="D430" s="51" t="n"/>
      <c r="E430" s="51" t="n"/>
      <c r="F430" s="52" t="n"/>
    </row>
    <row r="431">
      <c r="B431" s="51" t="n"/>
      <c r="C431" s="51" t="n"/>
      <c r="D431" s="51" t="n"/>
      <c r="E431" s="51" t="n"/>
      <c r="F431" s="52" t="n"/>
    </row>
    <row r="432">
      <c r="B432" s="51" t="n"/>
      <c r="C432" s="51" t="n"/>
      <c r="D432" s="51" t="n"/>
      <c r="E432" s="51" t="n"/>
      <c r="F432" s="52" t="n"/>
    </row>
    <row r="433">
      <c r="B433" s="51" t="n"/>
      <c r="C433" s="51" t="n"/>
      <c r="D433" s="51" t="n"/>
      <c r="E433" s="51" t="n"/>
      <c r="F433" s="52" t="n"/>
    </row>
    <row r="434">
      <c r="B434" s="51" t="n"/>
      <c r="C434" s="51" t="n"/>
      <c r="D434" s="51" t="n"/>
      <c r="E434" s="51" t="n"/>
      <c r="F434" s="52" t="n"/>
    </row>
    <row r="435">
      <c r="B435" s="51" t="n"/>
      <c r="C435" s="51" t="n"/>
      <c r="D435" s="51" t="n"/>
      <c r="E435" s="51" t="n"/>
      <c r="F435" s="52" t="n"/>
    </row>
    <row r="436">
      <c r="B436" s="51" t="n"/>
      <c r="C436" s="51" t="n"/>
      <c r="D436" s="51" t="n"/>
      <c r="E436" s="51" t="n"/>
      <c r="F436" s="52" t="n"/>
    </row>
    <row r="437">
      <c r="B437" s="51" t="n"/>
      <c r="C437" s="51" t="n"/>
      <c r="D437" s="51" t="n"/>
      <c r="E437" s="51" t="n"/>
      <c r="F437" s="52" t="n"/>
    </row>
    <row r="438">
      <c r="B438" s="51" t="n"/>
      <c r="C438" s="51" t="n"/>
      <c r="D438" s="51" t="n"/>
      <c r="E438" s="51" t="n"/>
      <c r="F438" s="52" t="n"/>
    </row>
    <row r="439">
      <c r="B439" s="51" t="n"/>
      <c r="C439" s="51" t="n"/>
      <c r="D439" s="51" t="n"/>
      <c r="E439" s="51" t="n"/>
      <c r="F439" s="52" t="n"/>
    </row>
    <row r="440">
      <c r="B440" s="51" t="n"/>
      <c r="C440" s="51" t="n"/>
      <c r="D440" s="51" t="n"/>
      <c r="E440" s="51" t="n"/>
      <c r="F440" s="52" t="n"/>
    </row>
    <row r="441">
      <c r="B441" s="51" t="n"/>
      <c r="C441" s="51" t="n"/>
      <c r="D441" s="51" t="n"/>
      <c r="E441" s="51" t="n"/>
      <c r="F441" s="52" t="n"/>
    </row>
    <row r="442">
      <c r="B442" s="51" t="n"/>
      <c r="C442" s="51" t="n"/>
      <c r="D442" s="51" t="n"/>
      <c r="E442" s="51" t="n"/>
      <c r="F442" s="52" t="n"/>
    </row>
    <row r="443">
      <c r="B443" s="51" t="n"/>
      <c r="C443" s="51" t="n"/>
      <c r="D443" s="51" t="n"/>
      <c r="E443" s="51" t="n"/>
      <c r="F443" s="52" t="n"/>
    </row>
    <row r="444">
      <c r="B444" s="51" t="n"/>
      <c r="C444" s="51" t="n"/>
      <c r="D444" s="51" t="n"/>
      <c r="E444" s="51" t="n"/>
      <c r="F444" s="52" t="n"/>
    </row>
    <row r="445">
      <c r="B445" s="51" t="n"/>
      <c r="C445" s="51" t="n"/>
      <c r="D445" s="51" t="n"/>
      <c r="E445" s="51" t="n"/>
      <c r="F445" s="52" t="n"/>
    </row>
    <row r="446">
      <c r="B446" s="51" t="n"/>
      <c r="C446" s="51" t="n"/>
      <c r="D446" s="51" t="n"/>
      <c r="E446" s="51" t="n"/>
      <c r="F446" s="52" t="n"/>
    </row>
    <row r="447">
      <c r="B447" s="51" t="n"/>
      <c r="C447" s="51" t="n"/>
      <c r="D447" s="51" t="n"/>
      <c r="E447" s="51" t="n"/>
      <c r="F447" s="52" t="n"/>
    </row>
    <row r="448">
      <c r="B448" s="51" t="n"/>
      <c r="C448" s="51" t="n"/>
      <c r="D448" s="51" t="n"/>
      <c r="E448" s="51" t="n"/>
      <c r="F448" s="52" t="n"/>
    </row>
    <row r="449">
      <c r="B449" s="51" t="n"/>
      <c r="C449" s="51" t="n"/>
      <c r="D449" s="51" t="n"/>
      <c r="E449" s="51" t="n"/>
      <c r="F449" s="52" t="n"/>
    </row>
    <row r="450">
      <c r="B450" s="51" t="n"/>
      <c r="C450" s="51" t="n"/>
      <c r="D450" s="51" t="n"/>
      <c r="E450" s="51" t="n"/>
      <c r="F450" s="52" t="n"/>
    </row>
    <row r="451">
      <c r="B451" s="51" t="n"/>
      <c r="C451" s="51" t="n"/>
      <c r="D451" s="51" t="n"/>
      <c r="E451" s="51" t="n"/>
      <c r="F451" s="52" t="n"/>
    </row>
    <row r="452">
      <c r="B452" s="51" t="n"/>
      <c r="C452" s="51" t="n"/>
      <c r="D452" s="51" t="n"/>
      <c r="E452" s="51" t="n"/>
      <c r="F452" s="52" t="n"/>
    </row>
    <row r="453">
      <c r="B453" s="51" t="n"/>
      <c r="C453" s="51" t="n"/>
      <c r="D453" s="51" t="n"/>
      <c r="E453" s="51" t="n"/>
      <c r="F453" s="52" t="n"/>
    </row>
    <row r="454">
      <c r="B454" s="51" t="n"/>
      <c r="C454" s="51" t="n"/>
      <c r="D454" s="51" t="n"/>
      <c r="E454" s="51" t="n"/>
      <c r="F454" s="52" t="n"/>
    </row>
    <row r="455">
      <c r="B455" s="51" t="n"/>
      <c r="C455" s="51" t="n"/>
      <c r="D455" s="51" t="n"/>
      <c r="E455" s="51" t="n"/>
      <c r="F455" s="52" t="n"/>
    </row>
    <row r="456">
      <c r="B456" s="51" t="n"/>
      <c r="C456" s="51" t="n"/>
      <c r="D456" s="51" t="n"/>
      <c r="E456" s="51" t="n"/>
      <c r="F456" s="52" t="n"/>
    </row>
    <row r="457">
      <c r="B457" s="51" t="n"/>
      <c r="C457" s="51" t="n"/>
      <c r="D457" s="51" t="n"/>
      <c r="E457" s="51" t="n"/>
      <c r="F457" s="52" t="n"/>
    </row>
    <row r="458">
      <c r="B458" s="51" t="n"/>
      <c r="C458" s="51" t="n"/>
      <c r="D458" s="51" t="n"/>
      <c r="E458" s="51" t="n"/>
      <c r="F458" s="52" t="n"/>
    </row>
    <row r="459">
      <c r="B459" s="51" t="n"/>
      <c r="C459" s="51" t="n"/>
      <c r="D459" s="51" t="n"/>
      <c r="E459" s="51" t="n"/>
      <c r="F459" s="52" t="n"/>
    </row>
    <row r="460">
      <c r="B460" s="51" t="n"/>
      <c r="C460" s="51" t="n"/>
      <c r="D460" s="51" t="n"/>
      <c r="E460" s="51" t="n"/>
      <c r="F460" s="52" t="n"/>
    </row>
    <row r="461">
      <c r="B461" s="51" t="n"/>
      <c r="C461" s="51" t="n"/>
      <c r="D461" s="51" t="n"/>
      <c r="E461" s="51" t="n"/>
      <c r="F461" s="52" t="n"/>
    </row>
    <row r="462">
      <c r="B462" s="51" t="n"/>
      <c r="C462" s="51" t="n"/>
      <c r="D462" s="51" t="n"/>
      <c r="E462" s="51" t="n"/>
      <c r="F462" s="52" t="n"/>
    </row>
    <row r="463">
      <c r="B463" s="51" t="n"/>
      <c r="C463" s="51" t="n"/>
      <c r="D463" s="51" t="n"/>
      <c r="E463" s="51" t="n"/>
      <c r="F463" s="52" t="n"/>
    </row>
    <row r="464">
      <c r="B464" s="51" t="n"/>
      <c r="C464" s="51" t="n"/>
      <c r="D464" s="51" t="n"/>
      <c r="E464" s="51" t="n"/>
      <c r="F464" s="52" t="n"/>
    </row>
    <row r="465">
      <c r="B465" s="51" t="n"/>
      <c r="C465" s="51" t="n"/>
      <c r="D465" s="51" t="n"/>
      <c r="E465" s="51" t="n"/>
      <c r="F465" s="52" t="n"/>
    </row>
    <row r="466">
      <c r="B466" s="51" t="n"/>
      <c r="C466" s="51" t="n"/>
      <c r="D466" s="51" t="n"/>
      <c r="E466" s="51" t="n"/>
      <c r="F466" s="52" t="n"/>
    </row>
    <row r="467">
      <c r="B467" s="51" t="n"/>
      <c r="C467" s="51" t="n"/>
      <c r="D467" s="51" t="n"/>
      <c r="E467" s="51" t="n"/>
      <c r="F467" s="52" t="n"/>
    </row>
    <row r="468">
      <c r="B468" s="51" t="n"/>
      <c r="C468" s="51" t="n"/>
      <c r="D468" s="51" t="n"/>
      <c r="E468" s="51" t="n"/>
      <c r="F468" s="52" t="n"/>
    </row>
    <row r="469">
      <c r="B469" s="51" t="n"/>
      <c r="C469" s="51" t="n"/>
      <c r="D469" s="51" t="n"/>
      <c r="E469" s="51" t="n"/>
      <c r="F469" s="52" t="n"/>
    </row>
    <row r="470">
      <c r="B470" s="51" t="n"/>
      <c r="C470" s="51" t="n"/>
      <c r="D470" s="51" t="n"/>
      <c r="E470" s="51" t="n"/>
      <c r="F470" s="52" t="n"/>
    </row>
    <row r="471">
      <c r="B471" s="51" t="n"/>
      <c r="C471" s="51" t="n"/>
      <c r="D471" s="51" t="n"/>
      <c r="E471" s="51" t="n"/>
      <c r="F471" s="52" t="n"/>
    </row>
    <row r="472">
      <c r="B472" s="51" t="n"/>
      <c r="C472" s="51" t="n"/>
      <c r="D472" s="51" t="n"/>
      <c r="E472" s="51" t="n"/>
      <c r="F472" s="52" t="n"/>
    </row>
    <row r="473">
      <c r="B473" s="51" t="n"/>
      <c r="C473" s="51" t="n"/>
      <c r="D473" s="51" t="n"/>
      <c r="E473" s="51" t="n"/>
      <c r="F473" s="52" t="n"/>
    </row>
    <row r="474">
      <c r="B474" s="51" t="n"/>
      <c r="C474" s="51" t="n"/>
      <c r="D474" s="51" t="n"/>
      <c r="E474" s="51" t="n"/>
      <c r="F474" s="52" t="n"/>
    </row>
    <row r="475">
      <c r="B475" s="51" t="n"/>
      <c r="C475" s="51" t="n"/>
      <c r="D475" s="51" t="n"/>
      <c r="E475" s="51" t="n"/>
      <c r="F475" s="52" t="n"/>
    </row>
    <row r="476">
      <c r="B476" s="51" t="n"/>
      <c r="C476" s="51" t="n"/>
      <c r="D476" s="51" t="n"/>
      <c r="E476" s="51" t="n"/>
      <c r="F476" s="52" t="n"/>
    </row>
    <row r="477">
      <c r="B477" s="51" t="n"/>
      <c r="C477" s="51" t="n"/>
      <c r="D477" s="51" t="n"/>
      <c r="E477" s="51" t="n"/>
      <c r="F477" s="52" t="n"/>
    </row>
    <row r="478">
      <c r="B478" s="51" t="n"/>
      <c r="C478" s="51" t="n"/>
      <c r="D478" s="51" t="n"/>
      <c r="E478" s="51" t="n"/>
      <c r="F478" s="52" t="n"/>
    </row>
    <row r="479">
      <c r="B479" s="51" t="n"/>
      <c r="C479" s="51" t="n"/>
      <c r="D479" s="51" t="n"/>
      <c r="E479" s="51" t="n"/>
      <c r="F479" s="52" t="n"/>
    </row>
    <row r="480">
      <c r="B480" s="51" t="n"/>
      <c r="C480" s="51" t="n"/>
      <c r="D480" s="51" t="n"/>
      <c r="E480" s="51" t="n"/>
      <c r="F480" s="52" t="n"/>
    </row>
    <row r="481">
      <c r="B481" s="51" t="n"/>
      <c r="C481" s="51" t="n"/>
      <c r="D481" s="51" t="n"/>
      <c r="E481" s="51" t="n"/>
      <c r="F481" s="52" t="n"/>
    </row>
    <row r="482">
      <c r="B482" s="51" t="n"/>
      <c r="C482" s="51" t="n"/>
      <c r="D482" s="51" t="n"/>
      <c r="E482" s="51" t="n"/>
      <c r="F482" s="52" t="n"/>
    </row>
    <row r="483">
      <c r="B483" s="51" t="n"/>
      <c r="C483" s="51" t="n"/>
      <c r="D483" s="51" t="n"/>
      <c r="E483" s="51" t="n"/>
      <c r="F483" s="52" t="n"/>
    </row>
    <row r="484">
      <c r="B484" s="51" t="n"/>
      <c r="C484" s="51" t="n"/>
      <c r="D484" s="51" t="n"/>
      <c r="E484" s="51" t="n"/>
      <c r="F484" s="52" t="n"/>
    </row>
    <row r="485">
      <c r="B485" s="51" t="n"/>
      <c r="C485" s="51" t="n"/>
      <c r="D485" s="51" t="n"/>
      <c r="E485" s="51" t="n"/>
      <c r="F485" s="52" t="n"/>
    </row>
    <row r="486">
      <c r="B486" s="51" t="n"/>
      <c r="C486" s="51" t="n"/>
      <c r="D486" s="51" t="n"/>
      <c r="E486" s="51" t="n"/>
      <c r="F486" s="52" t="n"/>
    </row>
    <row r="487">
      <c r="B487" s="51" t="n"/>
      <c r="C487" s="51" t="n"/>
      <c r="D487" s="51" t="n"/>
      <c r="E487" s="51" t="n"/>
      <c r="F487" s="52" t="n"/>
    </row>
    <row r="488">
      <c r="B488" s="51" t="n"/>
      <c r="C488" s="51" t="n"/>
      <c r="D488" s="51" t="n"/>
      <c r="E488" s="51" t="n"/>
      <c r="F488" s="52" t="n"/>
    </row>
    <row r="489">
      <c r="B489" s="51" t="n"/>
      <c r="C489" s="51" t="n"/>
      <c r="D489" s="51" t="n"/>
      <c r="E489" s="51" t="n"/>
      <c r="F489" s="52" t="n"/>
    </row>
    <row r="490">
      <c r="B490" s="51" t="n"/>
      <c r="C490" s="51" t="n"/>
      <c r="D490" s="51" t="n"/>
      <c r="E490" s="51" t="n"/>
      <c r="F490" s="52" t="n"/>
    </row>
    <row r="491">
      <c r="B491" s="51" t="n"/>
      <c r="C491" s="51" t="n"/>
      <c r="D491" s="51" t="n"/>
      <c r="E491" s="51" t="n"/>
      <c r="F491" s="52" t="n"/>
    </row>
    <row r="492">
      <c r="B492" s="51" t="n"/>
      <c r="C492" s="51" t="n"/>
      <c r="D492" s="51" t="n"/>
      <c r="E492" s="51" t="n"/>
      <c r="F492" s="52" t="n"/>
    </row>
    <row r="493">
      <c r="B493" s="51" t="n"/>
      <c r="C493" s="51" t="n"/>
      <c r="D493" s="51" t="n"/>
      <c r="E493" s="51" t="n"/>
      <c r="F493" s="52" t="n"/>
    </row>
    <row r="494">
      <c r="B494" s="51" t="n"/>
      <c r="C494" s="51" t="n"/>
      <c r="D494" s="51" t="n"/>
      <c r="E494" s="51" t="n"/>
      <c r="F494" s="52" t="n"/>
    </row>
    <row r="495">
      <c r="B495" s="51" t="n"/>
      <c r="C495" s="51" t="n"/>
      <c r="D495" s="51" t="n"/>
      <c r="E495" s="51" t="n"/>
      <c r="F495" s="52" t="n"/>
    </row>
    <row r="496">
      <c r="B496" s="51" t="n"/>
      <c r="C496" s="51" t="n"/>
      <c r="D496" s="51" t="n"/>
      <c r="E496" s="51" t="n"/>
      <c r="F496" s="52" t="n"/>
    </row>
    <row r="497">
      <c r="B497" s="51" t="n"/>
      <c r="C497" s="51" t="n"/>
      <c r="D497" s="51" t="n"/>
      <c r="E497" s="51" t="n"/>
      <c r="F497" s="52" t="n"/>
    </row>
    <row r="498">
      <c r="B498" s="51" t="n"/>
      <c r="C498" s="51" t="n"/>
      <c r="D498" s="51" t="n"/>
      <c r="E498" s="51" t="n"/>
      <c r="F498" s="52" t="n"/>
    </row>
    <row r="499">
      <c r="B499" s="51" t="n"/>
      <c r="C499" s="51" t="n"/>
      <c r="D499" s="51" t="n"/>
      <c r="E499" s="51" t="n"/>
      <c r="F499" s="52" t="n"/>
    </row>
    <row r="500">
      <c r="B500" s="51" t="n"/>
      <c r="C500" s="51" t="n"/>
      <c r="D500" s="51" t="n"/>
      <c r="E500" s="51" t="n"/>
      <c r="F500" s="52" t="n"/>
    </row>
    <row r="501">
      <c r="B501" s="51" t="n"/>
      <c r="C501" s="51" t="n"/>
      <c r="D501" s="51" t="n"/>
      <c r="E501" s="51" t="n"/>
      <c r="F501" s="52" t="n"/>
    </row>
    <row r="502">
      <c r="B502" s="51" t="n"/>
      <c r="C502" s="51" t="n"/>
      <c r="D502" s="51" t="n"/>
      <c r="E502" s="51" t="n"/>
      <c r="F502" s="52" t="n"/>
    </row>
    <row r="503">
      <c r="B503" s="51" t="n"/>
      <c r="C503" s="51" t="n"/>
      <c r="D503" s="51" t="n"/>
      <c r="E503" s="51" t="n"/>
      <c r="F503" s="52" t="n"/>
    </row>
    <row r="504">
      <c r="B504" s="51" t="n"/>
      <c r="C504" s="51" t="n"/>
      <c r="D504" s="51" t="n"/>
      <c r="E504" s="51" t="n"/>
      <c r="F504" s="52" t="n"/>
    </row>
    <row r="505">
      <c r="B505" s="51" t="n"/>
      <c r="C505" s="51" t="n"/>
      <c r="D505" s="51" t="n"/>
      <c r="E505" s="51" t="n"/>
      <c r="F505" s="52" t="n"/>
    </row>
    <row r="506">
      <c r="B506" s="51" t="n"/>
      <c r="C506" s="51" t="n"/>
      <c r="D506" s="51" t="n"/>
      <c r="E506" s="51" t="n"/>
      <c r="F506" s="52" t="n"/>
    </row>
    <row r="507">
      <c r="B507" s="51" t="n"/>
      <c r="C507" s="51" t="n"/>
      <c r="D507" s="51" t="n"/>
      <c r="E507" s="51" t="n"/>
      <c r="F507" s="52" t="n"/>
    </row>
    <row r="508">
      <c r="B508" s="51" t="n"/>
      <c r="C508" s="51" t="n"/>
      <c r="D508" s="51" t="n"/>
      <c r="E508" s="51" t="n"/>
      <c r="F508" s="52" t="n"/>
    </row>
    <row r="509">
      <c r="B509" s="51" t="n"/>
      <c r="C509" s="51" t="n"/>
      <c r="D509" s="51" t="n"/>
      <c r="E509" s="51" t="n"/>
      <c r="F509" s="52" t="n"/>
    </row>
    <row r="510">
      <c r="B510" s="51" t="n"/>
      <c r="C510" s="51" t="n"/>
      <c r="D510" s="51" t="n"/>
      <c r="E510" s="51" t="n"/>
      <c r="F510" s="52" t="n"/>
    </row>
    <row r="511">
      <c r="B511" s="51" t="n"/>
      <c r="C511" s="51" t="n"/>
      <c r="D511" s="51" t="n"/>
      <c r="E511" s="51" t="n"/>
      <c r="F511" s="52" t="n"/>
    </row>
    <row r="512">
      <c r="B512" s="51" t="n"/>
      <c r="C512" s="51" t="n"/>
      <c r="D512" s="51" t="n"/>
      <c r="E512" s="51" t="n"/>
      <c r="F512" s="52" t="n"/>
    </row>
    <row r="513">
      <c r="B513" s="51" t="n"/>
      <c r="C513" s="51" t="n"/>
      <c r="D513" s="51" t="n"/>
      <c r="E513" s="51" t="n"/>
      <c r="F513" s="52" t="n"/>
    </row>
    <row r="514">
      <c r="B514" s="51" t="n"/>
      <c r="C514" s="51" t="n"/>
      <c r="D514" s="51" t="n"/>
      <c r="E514" s="51" t="n"/>
      <c r="F514" s="52" t="n"/>
    </row>
    <row r="515">
      <c r="B515" s="51" t="n"/>
      <c r="C515" s="51" t="n"/>
      <c r="D515" s="51" t="n"/>
      <c r="E515" s="51" t="n"/>
      <c r="F515" s="52" t="n"/>
    </row>
    <row r="516">
      <c r="B516" s="51" t="n"/>
      <c r="C516" s="51" t="n"/>
      <c r="D516" s="51" t="n"/>
      <c r="E516" s="51" t="n"/>
      <c r="F516" s="52" t="n"/>
    </row>
    <row r="517">
      <c r="B517" s="51" t="n"/>
      <c r="C517" s="51" t="n"/>
      <c r="D517" s="51" t="n"/>
      <c r="E517" s="51" t="n"/>
      <c r="F517" s="52"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Product Maintenance list or parameter (sheet Reference lists)." promptTitle="List or parameter" prompt="Yes. For example PKG_REQUEST_REASON, PKG_SLA_NEGOTIATION Allowed: List Product Maintenance list or parameter: 40 values, see Reference lists" type="list" errorStyle="stop">
      <formula1>=LIST_PM_LIST_OR_PARAMETER</formula1>
    </dataValidation>
    <dataValidation sqref="C17:C517" showDropDown="0" showInputMessage="1" showErrorMessage="1" allowBlank="1" errorTitle="Value code" error="At most 40 characters." promptTitle="Value code" prompt="Conditional: list. Code of the value Allowed: Free entry, up to 40 characters" type="textLength" operator="lessThanOrEqual">
      <formula1>40</formula1>
    </dataValidation>
    <dataValidation sqref="D17:D517" showDropDown="0" showInputMessage="1" showErrorMessage="0" allowBlank="1" promptTitle="Label or value" prompt="Yes. Label shown to users, or the parameter value"/>
    <dataValidation sqref="E17:E517" showDropDown="0" showInputMessage="1" showErrorMessage="0" allowBlank="1" promptTitle="Order / Active" prompt="No. Display order and status"/>
    <dataValidation sqref="F17:F517" showDropDown="0" showInputMessage="1" showErrorMessage="1" allowBlank="1" errorTitle="Effective from" error="Enter a date, for example 15-Jan-2028." promptTitle="Effective from" prompt="No. From when the value applies Allowed: A date, for example 15-Jan-2028" type="date" operator="greaterThan">
      <formula1>DATE(1900,1,1)</formula1>
    </dataValidation>
  </dataValidations>
  <hyperlinks>
    <hyperlink ref="A2" location="'Start here'!A1"/>
    <hyperlink ref="G2" location="'Questions and comments'!A1"/>
    <hyperlink ref="B14" location="'Reference lists'!A98"/>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27" customWidth="1" min="3" max="3"/>
    <col width="40" customWidth="1" min="4" max="4"/>
    <col width="20" customWidth="1" min="5" max="5"/>
    <col width="18.63636363636363" customWidth="1" min="6" max="6"/>
    <col width="20" customWidth="1" min="7" max="7"/>
    <col width="24" customWidth="1" min="8" max="8"/>
    <col width="26" customWidth="1" min="9" max="9"/>
  </cols>
  <sheetData>
    <row r="1" ht="26" customHeight="1">
      <c r="A1" s="27" t="inlineStr">
        <is>
          <t>UA-02 Role-to-permission matrix</t>
        </is>
      </c>
      <c r="I1" s="28" t="inlineStr">
        <is>
          <t>Step 5 of 31</t>
        </is>
      </c>
    </row>
    <row r="2">
      <c r="A2" s="29" t="inlineStr">
        <is>
          <t>← Back to Start here</t>
        </is>
      </c>
      <c r="B2" s="30" t="inlineStr">
        <is>
          <t>Step 5 of 31. Fill in one row per record below the column headers; the guide above each column says what to enter.</t>
        </is>
      </c>
      <c r="I2" s="31" t="inlineStr">
        <is>
          <t>Ask a question →</t>
        </is>
      </c>
    </row>
    <row r="3" outlineLevel="1" ht="15.5" customHeight="1">
      <c r="A3" s="32" t="inlineStr">
        <is>
          <t>Purpose</t>
        </is>
      </c>
      <c r="B3" s="33" t="inlineStr">
        <is>
          <t>The group profiles BDOI keeps, their privilege level and the permissions of each, starting from the User Access Matrix as delivered</t>
        </is>
      </c>
    </row>
    <row r="4" outlineLevel="1" ht="15.5" customHeight="1">
      <c r="A4" s="32" t="inlineStr">
        <is>
          <t>Provided by</t>
        </is>
      </c>
      <c r="B4" s="33" t="inlineStr">
        <is>
          <t>Business Administration with the unit heads; reviewed and signed by BDOI Information Security</t>
        </is>
      </c>
    </row>
    <row r="5" outlineLevel="1" ht="15.5" customHeight="1">
      <c r="A5" s="32" t="inlineStr">
        <is>
          <t>Due</t>
        </is>
      </c>
      <c r="B5" s="34" t="inlineStr">
        <is>
          <t>9-Apr-2027 – Reference data for Trial migration 1 (M4)</t>
        </is>
      </c>
    </row>
    <row r="6" outlineLevel="1" ht="15.5" customHeight="1">
      <c r="A6" s="32" t="inlineStr">
        <is>
          <t>How it is loaded</t>
        </is>
      </c>
      <c r="B6" s="33" t="inlineStr">
        <is>
          <t>Group-profile requests (SCR-UA-12): one request per new or changed profile, approved in order and implemented by the System Administrator; checked with the User Group Profile Report</t>
        </is>
      </c>
    </row>
    <row r="7" outlineLevel="1" ht="15.5" customHeight="1">
      <c r="A7" s="32" t="inlineStr">
        <is>
          <t>Source</t>
        </is>
      </c>
      <c r="B7" s="33" t="inlineStr">
        <is>
          <t>The User Access Matrix export of this set (DO-06) and the menus by persona of FRS chapter 12</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SUMPRODUCT(((ROW($B$17:$B$517)&gt;17)+($B$17&lt;&gt;"MKT_AO")&gt;0)*(LEN($B$17:$B$517&amp;$C$17:$C$517&amp;$D$17:$D$517&amp;$E$17:$E$517&amp;$F$17:$F$517&amp;$G$17:$G$517&amp;$H$17:$H$517&amp;$I$17:$I$517)&gt;0))</f>
        <v/>
      </c>
      <c r="D9" s="37" t="inlineStr">
        <is>
          <t>Mandatory cells missing</t>
        </is>
      </c>
      <c r="E9" s="38">
        <f>SUMPRODUCT(((ROW($B$17:$B$517)&gt;17)+($B$17&lt;&gt;"MKT_AO")&gt;0)*(LEN($B$17:$B$517&amp;$C$17:$C$517&amp;$D$17:$D$517&amp;$E$17:$E$517&amp;$F$17:$F$517&amp;$G$17:$G$517&amp;$H$17:$H$517&amp;$I$17:$I$517)&gt;0)*(($B$17:$B$517="")+($C$17:$C$517="")+($E$17:$E$517="")+($F$17:$F$517="")+($H$17:$H$517="")+($I$17:$I$517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row>
    <row r="12" ht="17" customHeight="1">
      <c r="A12" s="43" t="inlineStr">
        <is>
          <t>Mandatory</t>
        </is>
      </c>
      <c r="B12" s="44" t="inlineStr">
        <is>
          <t>Yes</t>
        </is>
      </c>
      <c r="C12" s="44" t="inlineStr">
        <is>
          <t>Yes</t>
        </is>
      </c>
      <c r="D12" s="45" t="inlineStr">
        <is>
          <t>No</t>
        </is>
      </c>
      <c r="E12" s="44" t="inlineStr">
        <is>
          <t>Yes</t>
        </is>
      </c>
      <c r="F12" s="44" t="inlineStr">
        <is>
          <t>Yes</t>
        </is>
      </c>
      <c r="G12" s="45" t="inlineStr">
        <is>
          <t>No</t>
        </is>
      </c>
      <c r="H12" s="44" t="inlineStr">
        <is>
          <t>Yes</t>
        </is>
      </c>
      <c r="I12" s="44" t="inlineStr">
        <is>
          <t>Yes</t>
        </is>
      </c>
    </row>
    <row r="13" ht="30" customHeight="1">
      <c r="A13" s="43" t="inlineStr">
        <is>
          <t>Format</t>
        </is>
      </c>
      <c r="B13" s="45" t="inlineStr">
        <is>
          <t>Up to 40 capital letters, digits or _</t>
        </is>
      </c>
      <c r="C13" s="45" t="inlineStr">
        <is>
          <t>Up to 120 characters</t>
        </is>
      </c>
      <c r="D13" s="45" t="inlineStr">
        <is>
          <t>Up to 500 characters</t>
        </is>
      </c>
      <c r="E13" s="45" t="inlineStr">
        <is>
          <t>Low, Standard, High or Admin</t>
        </is>
      </c>
      <c r="F13" s="45" t="inlineStr">
        <is>
          <t>Permission code of the User Access Matrix</t>
        </is>
      </c>
      <c r="G13" s="45" t="inlineStr">
        <is>
          <t>View only, Create, Amend, Approve / Validate</t>
        </is>
      </c>
      <c r="H13" s="45" t="inlineStr">
        <is>
          <t>KEEP, ADD or REMOVE</t>
        </is>
      </c>
      <c r="I13" s="45" t="inlineStr">
        <is>
          <t>Name</t>
        </is>
      </c>
    </row>
    <row r="14" ht="43" customHeight="1">
      <c r="A14" s="43" t="inlineStr">
        <is>
          <t>Allowed values</t>
        </is>
      </c>
      <c r="B14" s="45" t="inlineStr">
        <is>
          <t>Free entry, up to 40 characters</t>
        </is>
      </c>
      <c r="C14" s="45" t="inlineStr">
        <is>
          <t>Free entry, up to 120 characters</t>
        </is>
      </c>
      <c r="D14" s="45" t="inlineStr">
        <is>
          <t>Free entry, up to 500 characters</t>
        </is>
      </c>
      <c r="E14" s="53" t="inlineStr">
        <is>
          <t>Low, Standard, High, Admin (list Privilege level)</t>
        </is>
      </c>
      <c r="F14" s="45" t="inlineStr">
        <is>
          <t>Free entry</t>
        </is>
      </c>
      <c r="G14" s="45" t="inlineStr">
        <is>
          <t>Free entry</t>
        </is>
      </c>
      <c r="H14" s="53" t="inlineStr">
        <is>
          <t>KEEP, ADD, REMOVE (list Change against the matrix)</t>
        </is>
      </c>
      <c r="I14" s="45" t="inlineStr">
        <is>
          <t>Free entry</t>
        </is>
      </c>
    </row>
    <row r="15" ht="43" customHeight="1">
      <c r="A15" s="43" t="inlineStr">
        <is>
          <t>What to enter</t>
        </is>
      </c>
      <c r="B15" s="45" t="inlineStr">
        <is>
          <t>Code of the profile; an existing code changes the profile</t>
        </is>
      </c>
      <c r="C15" s="45" t="inlineStr">
        <is>
          <t>Name shown on screens</t>
        </is>
      </c>
      <c r="D15" s="45" t="inlineStr">
        <is>
          <t>What the profile is for</t>
        </is>
      </c>
      <c r="E15" s="45" t="inlineStr">
        <is>
          <t>High and Admin need a second approval when given or raised</t>
        </is>
      </c>
      <c r="F15" s="45" t="inlineStr">
        <is>
          <t>One row per permission of the profile</t>
        </is>
      </c>
      <c r="G15" s="45" t="inlineStr">
        <is>
          <t>As shown by the matrix, for the review</t>
        </is>
      </c>
      <c r="H15" s="45" t="inlineStr">
        <is>
          <t>Change against the matrix as delivered</t>
        </is>
      </c>
      <c r="I15" s="45" t="inlineStr">
        <is>
          <t>Unit head who confirms the row</t>
        </is>
      </c>
    </row>
    <row r="16" ht="30" customHeight="1">
      <c r="A16" s="46" t="inlineStr">
        <is>
          <t>Row</t>
        </is>
      </c>
      <c r="B16" s="47" t="inlineStr">
        <is>
          <t>Group profile code *</t>
        </is>
      </c>
      <c r="C16" s="47" t="inlineStr">
        <is>
          <t>Name *</t>
        </is>
      </c>
      <c r="D16" s="47" t="inlineStr">
        <is>
          <t>Description</t>
        </is>
      </c>
      <c r="E16" s="47" t="inlineStr">
        <is>
          <t>Privilege level *</t>
        </is>
      </c>
      <c r="F16" s="47" t="inlineStr">
        <is>
          <t>Permission *</t>
        </is>
      </c>
      <c r="G16" s="47" t="inlineStr">
        <is>
          <t>Action class</t>
        </is>
      </c>
      <c r="H16" s="47" t="inlineStr">
        <is>
          <t>Keep / Add / Remove *</t>
        </is>
      </c>
      <c r="I16" s="47" t="inlineStr">
        <is>
          <t>Approved by unit head *</t>
        </is>
      </c>
    </row>
    <row r="17" ht="30" customHeight="1">
      <c r="A17" s="48" t="inlineStr">
        <is>
          <t>Example – overwrite or delete</t>
        </is>
      </c>
      <c r="B17" s="49" t="inlineStr">
        <is>
          <t>MKT_AO</t>
        </is>
      </c>
      <c r="C17" s="49" t="inlineStr">
        <is>
          <t>Marketing Account Officer</t>
        </is>
      </c>
      <c r="D17" s="49" t="inlineStr">
        <is>
          <t>Marketing account officers of the Combank and Corbank units</t>
        </is>
      </c>
      <c r="E17" s="49" t="inlineStr">
        <is>
          <t>Standard</t>
        </is>
      </c>
      <c r="F17" s="49" t="inlineStr">
        <is>
          <t>QUOTE_MAINTAIN</t>
        </is>
      </c>
      <c r="G17" s="49" t="inlineStr">
        <is>
          <t>Create, Amend</t>
        </is>
      </c>
      <c r="H17" s="49" t="inlineStr">
        <is>
          <t>KEEP</t>
        </is>
      </c>
      <c r="I17" s="49" t="inlineStr">
        <is>
          <t>Carla Reyes</t>
        </is>
      </c>
    </row>
    <row r="18">
      <c r="B18" s="51" t="n"/>
      <c r="C18" s="51" t="n"/>
      <c r="D18" s="51" t="n"/>
      <c r="E18" s="51" t="n"/>
      <c r="F18" s="51" t="n"/>
      <c r="G18" s="51" t="n"/>
      <c r="H18" s="51" t="n"/>
      <c r="I18" s="51" t="n"/>
    </row>
    <row r="19">
      <c r="B19" s="51" t="n"/>
      <c r="C19" s="51" t="n"/>
      <c r="D19" s="51" t="n"/>
      <c r="E19" s="51" t="n"/>
      <c r="F19" s="51" t="n"/>
      <c r="G19" s="51" t="n"/>
      <c r="H19" s="51" t="n"/>
      <c r="I19" s="51" t="n"/>
    </row>
    <row r="20">
      <c r="B20" s="51" t="n"/>
      <c r="C20" s="51" t="n"/>
      <c r="D20" s="51" t="n"/>
      <c r="E20" s="51" t="n"/>
      <c r="F20" s="51" t="n"/>
      <c r="G20" s="51" t="n"/>
      <c r="H20" s="51" t="n"/>
      <c r="I20" s="51" t="n"/>
    </row>
    <row r="21">
      <c r="B21" s="51" t="n"/>
      <c r="C21" s="51" t="n"/>
      <c r="D21" s="51" t="n"/>
      <c r="E21" s="51" t="n"/>
      <c r="F21" s="51" t="n"/>
      <c r="G21" s="51" t="n"/>
      <c r="H21" s="51" t="n"/>
      <c r="I21" s="51" t="n"/>
    </row>
    <row r="22">
      <c r="B22" s="51" t="n"/>
      <c r="C22" s="51" t="n"/>
      <c r="D22" s="51" t="n"/>
      <c r="E22" s="51" t="n"/>
      <c r="F22" s="51" t="n"/>
      <c r="G22" s="51" t="n"/>
      <c r="H22" s="51" t="n"/>
      <c r="I22" s="51" t="n"/>
    </row>
    <row r="23">
      <c r="B23" s="51" t="n"/>
      <c r="C23" s="51" t="n"/>
      <c r="D23" s="51" t="n"/>
      <c r="E23" s="51" t="n"/>
      <c r="F23" s="51" t="n"/>
      <c r="G23" s="51" t="n"/>
      <c r="H23" s="51" t="n"/>
      <c r="I23" s="51" t="n"/>
    </row>
    <row r="24">
      <c r="B24" s="51" t="n"/>
      <c r="C24" s="51" t="n"/>
      <c r="D24" s="51" t="n"/>
      <c r="E24" s="51" t="n"/>
      <c r="F24" s="51" t="n"/>
      <c r="G24" s="51" t="n"/>
      <c r="H24" s="51" t="n"/>
      <c r="I24" s="51" t="n"/>
    </row>
    <row r="25">
      <c r="B25" s="51" t="n"/>
      <c r="C25" s="51" t="n"/>
      <c r="D25" s="51" t="n"/>
      <c r="E25" s="51" t="n"/>
      <c r="F25" s="51" t="n"/>
      <c r="G25" s="51" t="n"/>
      <c r="H25" s="51" t="n"/>
      <c r="I25" s="51" t="n"/>
    </row>
    <row r="26">
      <c r="B26" s="51" t="n"/>
      <c r="C26" s="51" t="n"/>
      <c r="D26" s="51" t="n"/>
      <c r="E26" s="51" t="n"/>
      <c r="F26" s="51" t="n"/>
      <c r="G26" s="51" t="n"/>
      <c r="H26" s="51" t="n"/>
      <c r="I26" s="51" t="n"/>
    </row>
    <row r="27">
      <c r="B27" s="51" t="n"/>
      <c r="C27" s="51" t="n"/>
      <c r="D27" s="51" t="n"/>
      <c r="E27" s="51" t="n"/>
      <c r="F27" s="51" t="n"/>
      <c r="G27" s="51" t="n"/>
      <c r="H27" s="51" t="n"/>
      <c r="I27" s="51" t="n"/>
    </row>
    <row r="28">
      <c r="B28" s="51" t="n"/>
      <c r="C28" s="51" t="n"/>
      <c r="D28" s="51" t="n"/>
      <c r="E28" s="51" t="n"/>
      <c r="F28" s="51" t="n"/>
      <c r="G28" s="51" t="n"/>
      <c r="H28" s="51" t="n"/>
      <c r="I28" s="51" t="n"/>
    </row>
    <row r="29">
      <c r="B29" s="51" t="n"/>
      <c r="C29" s="51" t="n"/>
      <c r="D29" s="51" t="n"/>
      <c r="E29" s="51" t="n"/>
      <c r="F29" s="51" t="n"/>
      <c r="G29" s="51" t="n"/>
      <c r="H29" s="51" t="n"/>
      <c r="I29" s="51" t="n"/>
    </row>
    <row r="30">
      <c r="B30" s="51" t="n"/>
      <c r="C30" s="51" t="n"/>
      <c r="D30" s="51" t="n"/>
      <c r="E30" s="51" t="n"/>
      <c r="F30" s="51" t="n"/>
      <c r="G30" s="51" t="n"/>
      <c r="H30" s="51" t="n"/>
      <c r="I30" s="51" t="n"/>
    </row>
    <row r="31">
      <c r="B31" s="51" t="n"/>
      <c r="C31" s="51" t="n"/>
      <c r="D31" s="51" t="n"/>
      <c r="E31" s="51" t="n"/>
      <c r="F31" s="51" t="n"/>
      <c r="G31" s="51" t="n"/>
      <c r="H31" s="51" t="n"/>
      <c r="I31" s="51" t="n"/>
    </row>
    <row r="32">
      <c r="B32" s="51" t="n"/>
      <c r="C32" s="51" t="n"/>
      <c r="D32" s="51" t="n"/>
      <c r="E32" s="51" t="n"/>
      <c r="F32" s="51" t="n"/>
      <c r="G32" s="51" t="n"/>
      <c r="H32" s="51" t="n"/>
      <c r="I32" s="51" t="n"/>
    </row>
    <row r="33">
      <c r="B33" s="51" t="n"/>
      <c r="C33" s="51" t="n"/>
      <c r="D33" s="51" t="n"/>
      <c r="E33" s="51" t="n"/>
      <c r="F33" s="51" t="n"/>
      <c r="G33" s="51" t="n"/>
      <c r="H33" s="51" t="n"/>
      <c r="I33" s="51" t="n"/>
    </row>
    <row r="34">
      <c r="B34" s="51" t="n"/>
      <c r="C34" s="51" t="n"/>
      <c r="D34" s="51" t="n"/>
      <c r="E34" s="51" t="n"/>
      <c r="F34" s="51" t="n"/>
      <c r="G34" s="51" t="n"/>
      <c r="H34" s="51" t="n"/>
      <c r="I34" s="51" t="n"/>
    </row>
    <row r="35">
      <c r="B35" s="51" t="n"/>
      <c r="C35" s="51" t="n"/>
      <c r="D35" s="51" t="n"/>
      <c r="E35" s="51" t="n"/>
      <c r="F35" s="51" t="n"/>
      <c r="G35" s="51" t="n"/>
      <c r="H35" s="51" t="n"/>
      <c r="I35" s="51" t="n"/>
    </row>
    <row r="36">
      <c r="B36" s="51" t="n"/>
      <c r="C36" s="51" t="n"/>
      <c r="D36" s="51" t="n"/>
      <c r="E36" s="51" t="n"/>
      <c r="F36" s="51" t="n"/>
      <c r="G36" s="51" t="n"/>
      <c r="H36" s="51" t="n"/>
      <c r="I36" s="51" t="n"/>
    </row>
    <row r="37">
      <c r="B37" s="51" t="n"/>
      <c r="C37" s="51" t="n"/>
      <c r="D37" s="51" t="n"/>
      <c r="E37" s="51" t="n"/>
      <c r="F37" s="51" t="n"/>
      <c r="G37" s="51" t="n"/>
      <c r="H37" s="51" t="n"/>
      <c r="I37" s="51" t="n"/>
    </row>
    <row r="38">
      <c r="B38" s="51" t="n"/>
      <c r="C38" s="51" t="n"/>
      <c r="D38" s="51" t="n"/>
      <c r="E38" s="51" t="n"/>
      <c r="F38" s="51" t="n"/>
      <c r="G38" s="51" t="n"/>
      <c r="H38" s="51" t="n"/>
      <c r="I38" s="51" t="n"/>
    </row>
    <row r="39">
      <c r="B39" s="51" t="n"/>
      <c r="C39" s="51" t="n"/>
      <c r="D39" s="51" t="n"/>
      <c r="E39" s="51" t="n"/>
      <c r="F39" s="51" t="n"/>
      <c r="G39" s="51" t="n"/>
      <c r="H39" s="51" t="n"/>
      <c r="I39" s="51" t="n"/>
    </row>
    <row r="40">
      <c r="B40" s="51" t="n"/>
      <c r="C40" s="51" t="n"/>
      <c r="D40" s="51" t="n"/>
      <c r="E40" s="51" t="n"/>
      <c r="F40" s="51" t="n"/>
      <c r="G40" s="51" t="n"/>
      <c r="H40" s="51" t="n"/>
      <c r="I40" s="51" t="n"/>
    </row>
    <row r="41">
      <c r="B41" s="51" t="n"/>
      <c r="C41" s="51" t="n"/>
      <c r="D41" s="51" t="n"/>
      <c r="E41" s="51" t="n"/>
      <c r="F41" s="51" t="n"/>
      <c r="G41" s="51" t="n"/>
      <c r="H41" s="51" t="n"/>
      <c r="I41" s="51" t="n"/>
    </row>
    <row r="42">
      <c r="B42" s="51" t="n"/>
      <c r="C42" s="51" t="n"/>
      <c r="D42" s="51" t="n"/>
      <c r="E42" s="51" t="n"/>
      <c r="F42" s="51" t="n"/>
      <c r="G42" s="51" t="n"/>
      <c r="H42" s="51" t="n"/>
      <c r="I42" s="51" t="n"/>
    </row>
    <row r="43">
      <c r="B43" s="51" t="n"/>
      <c r="C43" s="51" t="n"/>
      <c r="D43" s="51" t="n"/>
      <c r="E43" s="51" t="n"/>
      <c r="F43" s="51" t="n"/>
      <c r="G43" s="51" t="n"/>
      <c r="H43" s="51" t="n"/>
      <c r="I43" s="51" t="n"/>
    </row>
    <row r="44">
      <c r="B44" s="51" t="n"/>
      <c r="C44" s="51" t="n"/>
      <c r="D44" s="51" t="n"/>
      <c r="E44" s="51" t="n"/>
      <c r="F44" s="51" t="n"/>
      <c r="G44" s="51" t="n"/>
      <c r="H44" s="51" t="n"/>
      <c r="I44" s="51" t="n"/>
    </row>
    <row r="45">
      <c r="B45" s="51" t="n"/>
      <c r="C45" s="51" t="n"/>
      <c r="D45" s="51" t="n"/>
      <c r="E45" s="51" t="n"/>
      <c r="F45" s="51" t="n"/>
      <c r="G45" s="51" t="n"/>
      <c r="H45" s="51" t="n"/>
      <c r="I45" s="51" t="n"/>
    </row>
    <row r="46">
      <c r="B46" s="51" t="n"/>
      <c r="C46" s="51" t="n"/>
      <c r="D46" s="51" t="n"/>
      <c r="E46" s="51" t="n"/>
      <c r="F46" s="51" t="n"/>
      <c r="G46" s="51" t="n"/>
      <c r="H46" s="51" t="n"/>
      <c r="I46" s="51" t="n"/>
    </row>
    <row r="47">
      <c r="B47" s="51" t="n"/>
      <c r="C47" s="51" t="n"/>
      <c r="D47" s="51" t="n"/>
      <c r="E47" s="51" t="n"/>
      <c r="F47" s="51" t="n"/>
      <c r="G47" s="51" t="n"/>
      <c r="H47" s="51" t="n"/>
      <c r="I47" s="51" t="n"/>
    </row>
    <row r="48">
      <c r="B48" s="51" t="n"/>
      <c r="C48" s="51" t="n"/>
      <c r="D48" s="51" t="n"/>
      <c r="E48" s="51" t="n"/>
      <c r="F48" s="51" t="n"/>
      <c r="G48" s="51" t="n"/>
      <c r="H48" s="51" t="n"/>
      <c r="I48" s="51" t="n"/>
    </row>
    <row r="49">
      <c r="B49" s="51" t="n"/>
      <c r="C49" s="51" t="n"/>
      <c r="D49" s="51" t="n"/>
      <c r="E49" s="51" t="n"/>
      <c r="F49" s="51" t="n"/>
      <c r="G49" s="51" t="n"/>
      <c r="H49" s="51" t="n"/>
      <c r="I49" s="51" t="n"/>
    </row>
    <row r="50">
      <c r="B50" s="51" t="n"/>
      <c r="C50" s="51" t="n"/>
      <c r="D50" s="51" t="n"/>
      <c r="E50" s="51" t="n"/>
      <c r="F50" s="51" t="n"/>
      <c r="G50" s="51" t="n"/>
      <c r="H50" s="51" t="n"/>
      <c r="I50" s="51" t="n"/>
    </row>
    <row r="51">
      <c r="B51" s="51" t="n"/>
      <c r="C51" s="51" t="n"/>
      <c r="D51" s="51" t="n"/>
      <c r="E51" s="51" t="n"/>
      <c r="F51" s="51" t="n"/>
      <c r="G51" s="51" t="n"/>
      <c r="H51" s="51" t="n"/>
      <c r="I51" s="51" t="n"/>
    </row>
    <row r="52">
      <c r="B52" s="51" t="n"/>
      <c r="C52" s="51" t="n"/>
      <c r="D52" s="51" t="n"/>
      <c r="E52" s="51" t="n"/>
      <c r="F52" s="51" t="n"/>
      <c r="G52" s="51" t="n"/>
      <c r="H52" s="51" t="n"/>
      <c r="I52" s="51" t="n"/>
    </row>
    <row r="53">
      <c r="B53" s="51" t="n"/>
      <c r="C53" s="51" t="n"/>
      <c r="D53" s="51" t="n"/>
      <c r="E53" s="51" t="n"/>
      <c r="F53" s="51" t="n"/>
      <c r="G53" s="51" t="n"/>
      <c r="H53" s="51" t="n"/>
      <c r="I53" s="51" t="n"/>
    </row>
    <row r="54">
      <c r="B54" s="51" t="n"/>
      <c r="C54" s="51" t="n"/>
      <c r="D54" s="51" t="n"/>
      <c r="E54" s="51" t="n"/>
      <c r="F54" s="51" t="n"/>
      <c r="G54" s="51" t="n"/>
      <c r="H54" s="51" t="n"/>
      <c r="I54" s="51" t="n"/>
    </row>
    <row r="55">
      <c r="B55" s="51" t="n"/>
      <c r="C55" s="51" t="n"/>
      <c r="D55" s="51" t="n"/>
      <c r="E55" s="51" t="n"/>
      <c r="F55" s="51" t="n"/>
      <c r="G55" s="51" t="n"/>
      <c r="H55" s="51" t="n"/>
      <c r="I55" s="51" t="n"/>
    </row>
    <row r="56">
      <c r="B56" s="51" t="n"/>
      <c r="C56" s="51" t="n"/>
      <c r="D56" s="51" t="n"/>
      <c r="E56" s="51" t="n"/>
      <c r="F56" s="51" t="n"/>
      <c r="G56" s="51" t="n"/>
      <c r="H56" s="51" t="n"/>
      <c r="I56" s="51" t="n"/>
    </row>
    <row r="57">
      <c r="B57" s="51" t="n"/>
      <c r="C57" s="51" t="n"/>
      <c r="D57" s="51" t="n"/>
      <c r="E57" s="51" t="n"/>
      <c r="F57" s="51" t="n"/>
      <c r="G57" s="51" t="n"/>
      <c r="H57" s="51" t="n"/>
      <c r="I57" s="51" t="n"/>
    </row>
    <row r="58">
      <c r="B58" s="51" t="n"/>
      <c r="C58" s="51" t="n"/>
      <c r="D58" s="51" t="n"/>
      <c r="E58" s="51" t="n"/>
      <c r="F58" s="51" t="n"/>
      <c r="G58" s="51" t="n"/>
      <c r="H58" s="51" t="n"/>
      <c r="I58" s="51" t="n"/>
    </row>
    <row r="59">
      <c r="B59" s="51" t="n"/>
      <c r="C59" s="51" t="n"/>
      <c r="D59" s="51" t="n"/>
      <c r="E59" s="51" t="n"/>
      <c r="F59" s="51" t="n"/>
      <c r="G59" s="51" t="n"/>
      <c r="H59" s="51" t="n"/>
      <c r="I59" s="51" t="n"/>
    </row>
    <row r="60">
      <c r="B60" s="51" t="n"/>
      <c r="C60" s="51" t="n"/>
      <c r="D60" s="51" t="n"/>
      <c r="E60" s="51" t="n"/>
      <c r="F60" s="51" t="n"/>
      <c r="G60" s="51" t="n"/>
      <c r="H60" s="51" t="n"/>
      <c r="I60" s="51" t="n"/>
    </row>
    <row r="61">
      <c r="B61" s="51" t="n"/>
      <c r="C61" s="51" t="n"/>
      <c r="D61" s="51" t="n"/>
      <c r="E61" s="51" t="n"/>
      <c r="F61" s="51" t="n"/>
      <c r="G61" s="51" t="n"/>
      <c r="H61" s="51" t="n"/>
      <c r="I61" s="51" t="n"/>
    </row>
    <row r="62">
      <c r="B62" s="51" t="n"/>
      <c r="C62" s="51" t="n"/>
      <c r="D62" s="51" t="n"/>
      <c r="E62" s="51" t="n"/>
      <c r="F62" s="51" t="n"/>
      <c r="G62" s="51" t="n"/>
      <c r="H62" s="51" t="n"/>
      <c r="I62" s="51" t="n"/>
    </row>
    <row r="63">
      <c r="B63" s="51" t="n"/>
      <c r="C63" s="51" t="n"/>
      <c r="D63" s="51" t="n"/>
      <c r="E63" s="51" t="n"/>
      <c r="F63" s="51" t="n"/>
      <c r="G63" s="51" t="n"/>
      <c r="H63" s="51" t="n"/>
      <c r="I63" s="51" t="n"/>
    </row>
    <row r="64">
      <c r="B64" s="51" t="n"/>
      <c r="C64" s="51" t="n"/>
      <c r="D64" s="51" t="n"/>
      <c r="E64" s="51" t="n"/>
      <c r="F64" s="51" t="n"/>
      <c r="G64" s="51" t="n"/>
      <c r="H64" s="51" t="n"/>
      <c r="I64" s="51" t="n"/>
    </row>
    <row r="65">
      <c r="B65" s="51" t="n"/>
      <c r="C65" s="51" t="n"/>
      <c r="D65" s="51" t="n"/>
      <c r="E65" s="51" t="n"/>
      <c r="F65" s="51" t="n"/>
      <c r="G65" s="51" t="n"/>
      <c r="H65" s="51" t="n"/>
      <c r="I65" s="51" t="n"/>
    </row>
    <row r="66">
      <c r="B66" s="51" t="n"/>
      <c r="C66" s="51" t="n"/>
      <c r="D66" s="51" t="n"/>
      <c r="E66" s="51" t="n"/>
      <c r="F66" s="51" t="n"/>
      <c r="G66" s="51" t="n"/>
      <c r="H66" s="51" t="n"/>
      <c r="I66" s="51" t="n"/>
    </row>
    <row r="67">
      <c r="B67" s="51" t="n"/>
      <c r="C67" s="51" t="n"/>
      <c r="D67" s="51" t="n"/>
      <c r="E67" s="51" t="n"/>
      <c r="F67" s="51" t="n"/>
      <c r="G67" s="51" t="n"/>
      <c r="H67" s="51" t="n"/>
      <c r="I67" s="51" t="n"/>
    </row>
    <row r="68">
      <c r="B68" s="51" t="n"/>
      <c r="C68" s="51" t="n"/>
      <c r="D68" s="51" t="n"/>
      <c r="E68" s="51" t="n"/>
      <c r="F68" s="51" t="n"/>
      <c r="G68" s="51" t="n"/>
      <c r="H68" s="51" t="n"/>
      <c r="I68" s="51" t="n"/>
    </row>
    <row r="69">
      <c r="B69" s="51" t="n"/>
      <c r="C69" s="51" t="n"/>
      <c r="D69" s="51" t="n"/>
      <c r="E69" s="51" t="n"/>
      <c r="F69" s="51" t="n"/>
      <c r="G69" s="51" t="n"/>
      <c r="H69" s="51" t="n"/>
      <c r="I69" s="51" t="n"/>
    </row>
    <row r="70">
      <c r="B70" s="51" t="n"/>
      <c r="C70" s="51" t="n"/>
      <c r="D70" s="51" t="n"/>
      <c r="E70" s="51" t="n"/>
      <c r="F70" s="51" t="n"/>
      <c r="G70" s="51" t="n"/>
      <c r="H70" s="51" t="n"/>
      <c r="I70" s="51" t="n"/>
    </row>
    <row r="71">
      <c r="B71" s="51" t="n"/>
      <c r="C71" s="51" t="n"/>
      <c r="D71" s="51" t="n"/>
      <c r="E71" s="51" t="n"/>
      <c r="F71" s="51" t="n"/>
      <c r="G71" s="51" t="n"/>
      <c r="H71" s="51" t="n"/>
      <c r="I71" s="51" t="n"/>
    </row>
    <row r="72">
      <c r="B72" s="51" t="n"/>
      <c r="C72" s="51" t="n"/>
      <c r="D72" s="51" t="n"/>
      <c r="E72" s="51" t="n"/>
      <c r="F72" s="51" t="n"/>
      <c r="G72" s="51" t="n"/>
      <c r="H72" s="51" t="n"/>
      <c r="I72" s="51" t="n"/>
    </row>
    <row r="73">
      <c r="B73" s="51" t="n"/>
      <c r="C73" s="51" t="n"/>
      <c r="D73" s="51" t="n"/>
      <c r="E73" s="51" t="n"/>
      <c r="F73" s="51" t="n"/>
      <c r="G73" s="51" t="n"/>
      <c r="H73" s="51" t="n"/>
      <c r="I73" s="51" t="n"/>
    </row>
    <row r="74">
      <c r="B74" s="51" t="n"/>
      <c r="C74" s="51" t="n"/>
      <c r="D74" s="51" t="n"/>
      <c r="E74" s="51" t="n"/>
      <c r="F74" s="51" t="n"/>
      <c r="G74" s="51" t="n"/>
      <c r="H74" s="51" t="n"/>
      <c r="I74" s="51" t="n"/>
    </row>
    <row r="75">
      <c r="B75" s="51" t="n"/>
      <c r="C75" s="51" t="n"/>
      <c r="D75" s="51" t="n"/>
      <c r="E75" s="51" t="n"/>
      <c r="F75" s="51" t="n"/>
      <c r="G75" s="51" t="n"/>
      <c r="H75" s="51" t="n"/>
      <c r="I75" s="51" t="n"/>
    </row>
    <row r="76">
      <c r="B76" s="51" t="n"/>
      <c r="C76" s="51" t="n"/>
      <c r="D76" s="51" t="n"/>
      <c r="E76" s="51" t="n"/>
      <c r="F76" s="51" t="n"/>
      <c r="G76" s="51" t="n"/>
      <c r="H76" s="51" t="n"/>
      <c r="I76" s="51" t="n"/>
    </row>
    <row r="77">
      <c r="B77" s="51" t="n"/>
      <c r="C77" s="51" t="n"/>
      <c r="D77" s="51" t="n"/>
      <c r="E77" s="51" t="n"/>
      <c r="F77" s="51" t="n"/>
      <c r="G77" s="51" t="n"/>
      <c r="H77" s="51" t="n"/>
      <c r="I77" s="51" t="n"/>
    </row>
    <row r="78">
      <c r="B78" s="51" t="n"/>
      <c r="C78" s="51" t="n"/>
      <c r="D78" s="51" t="n"/>
      <c r="E78" s="51" t="n"/>
      <c r="F78" s="51" t="n"/>
      <c r="G78" s="51" t="n"/>
      <c r="H78" s="51" t="n"/>
      <c r="I78" s="51" t="n"/>
    </row>
    <row r="79">
      <c r="B79" s="51" t="n"/>
      <c r="C79" s="51" t="n"/>
      <c r="D79" s="51" t="n"/>
      <c r="E79" s="51" t="n"/>
      <c r="F79" s="51" t="n"/>
      <c r="G79" s="51" t="n"/>
      <c r="H79" s="51" t="n"/>
      <c r="I79" s="51" t="n"/>
    </row>
    <row r="80">
      <c r="B80" s="51" t="n"/>
      <c r="C80" s="51" t="n"/>
      <c r="D80" s="51" t="n"/>
      <c r="E80" s="51" t="n"/>
      <c r="F80" s="51" t="n"/>
      <c r="G80" s="51" t="n"/>
      <c r="H80" s="51" t="n"/>
      <c r="I80" s="51" t="n"/>
    </row>
    <row r="81">
      <c r="B81" s="51" t="n"/>
      <c r="C81" s="51" t="n"/>
      <c r="D81" s="51" t="n"/>
      <c r="E81" s="51" t="n"/>
      <c r="F81" s="51" t="n"/>
      <c r="G81" s="51" t="n"/>
      <c r="H81" s="51" t="n"/>
      <c r="I81" s="51" t="n"/>
    </row>
    <row r="82">
      <c r="B82" s="51" t="n"/>
      <c r="C82" s="51" t="n"/>
      <c r="D82" s="51" t="n"/>
      <c r="E82" s="51" t="n"/>
      <c r="F82" s="51" t="n"/>
      <c r="G82" s="51" t="n"/>
      <c r="H82" s="51" t="n"/>
      <c r="I82" s="51" t="n"/>
    </row>
    <row r="83">
      <c r="B83" s="51" t="n"/>
      <c r="C83" s="51" t="n"/>
      <c r="D83" s="51" t="n"/>
      <c r="E83" s="51" t="n"/>
      <c r="F83" s="51" t="n"/>
      <c r="G83" s="51" t="n"/>
      <c r="H83" s="51" t="n"/>
      <c r="I83" s="51" t="n"/>
    </row>
    <row r="84">
      <c r="B84" s="51" t="n"/>
      <c r="C84" s="51" t="n"/>
      <c r="D84" s="51" t="n"/>
      <c r="E84" s="51" t="n"/>
      <c r="F84" s="51" t="n"/>
      <c r="G84" s="51" t="n"/>
      <c r="H84" s="51" t="n"/>
      <c r="I84" s="51" t="n"/>
    </row>
    <row r="85">
      <c r="B85" s="51" t="n"/>
      <c r="C85" s="51" t="n"/>
      <c r="D85" s="51" t="n"/>
      <c r="E85" s="51" t="n"/>
      <c r="F85" s="51" t="n"/>
      <c r="G85" s="51" t="n"/>
      <c r="H85" s="51" t="n"/>
      <c r="I85" s="51" t="n"/>
    </row>
    <row r="86">
      <c r="B86" s="51" t="n"/>
      <c r="C86" s="51" t="n"/>
      <c r="D86" s="51" t="n"/>
      <c r="E86" s="51" t="n"/>
      <c r="F86" s="51" t="n"/>
      <c r="G86" s="51" t="n"/>
      <c r="H86" s="51" t="n"/>
      <c r="I86" s="51" t="n"/>
    </row>
    <row r="87">
      <c r="B87" s="51" t="n"/>
      <c r="C87" s="51" t="n"/>
      <c r="D87" s="51" t="n"/>
      <c r="E87" s="51" t="n"/>
      <c r="F87" s="51" t="n"/>
      <c r="G87" s="51" t="n"/>
      <c r="H87" s="51" t="n"/>
      <c r="I87" s="51" t="n"/>
    </row>
    <row r="88">
      <c r="B88" s="51" t="n"/>
      <c r="C88" s="51" t="n"/>
      <c r="D88" s="51" t="n"/>
      <c r="E88" s="51" t="n"/>
      <c r="F88" s="51" t="n"/>
      <c r="G88" s="51" t="n"/>
      <c r="H88" s="51" t="n"/>
      <c r="I88" s="51" t="n"/>
    </row>
    <row r="89">
      <c r="B89" s="51" t="n"/>
      <c r="C89" s="51" t="n"/>
      <c r="D89" s="51" t="n"/>
      <c r="E89" s="51" t="n"/>
      <c r="F89" s="51" t="n"/>
      <c r="G89" s="51" t="n"/>
      <c r="H89" s="51" t="n"/>
      <c r="I89" s="51" t="n"/>
    </row>
    <row r="90">
      <c r="B90" s="51" t="n"/>
      <c r="C90" s="51" t="n"/>
      <c r="D90" s="51" t="n"/>
      <c r="E90" s="51" t="n"/>
      <c r="F90" s="51" t="n"/>
      <c r="G90" s="51" t="n"/>
      <c r="H90" s="51" t="n"/>
      <c r="I90" s="51" t="n"/>
    </row>
    <row r="91">
      <c r="B91" s="51" t="n"/>
      <c r="C91" s="51" t="n"/>
      <c r="D91" s="51" t="n"/>
      <c r="E91" s="51" t="n"/>
      <c r="F91" s="51" t="n"/>
      <c r="G91" s="51" t="n"/>
      <c r="H91" s="51" t="n"/>
      <c r="I91" s="51" t="n"/>
    </row>
    <row r="92">
      <c r="B92" s="51" t="n"/>
      <c r="C92" s="51" t="n"/>
      <c r="D92" s="51" t="n"/>
      <c r="E92" s="51" t="n"/>
      <c r="F92" s="51" t="n"/>
      <c r="G92" s="51" t="n"/>
      <c r="H92" s="51" t="n"/>
      <c r="I92" s="51" t="n"/>
    </row>
    <row r="93">
      <c r="B93" s="51" t="n"/>
      <c r="C93" s="51" t="n"/>
      <c r="D93" s="51" t="n"/>
      <c r="E93" s="51" t="n"/>
      <c r="F93" s="51" t="n"/>
      <c r="G93" s="51" t="n"/>
      <c r="H93" s="51" t="n"/>
      <c r="I93" s="51" t="n"/>
    </row>
    <row r="94">
      <c r="B94" s="51" t="n"/>
      <c r="C94" s="51" t="n"/>
      <c r="D94" s="51" t="n"/>
      <c r="E94" s="51" t="n"/>
      <c r="F94" s="51" t="n"/>
      <c r="G94" s="51" t="n"/>
      <c r="H94" s="51" t="n"/>
      <c r="I94" s="51" t="n"/>
    </row>
    <row r="95">
      <c r="B95" s="51" t="n"/>
      <c r="C95" s="51" t="n"/>
      <c r="D95" s="51" t="n"/>
      <c r="E95" s="51" t="n"/>
      <c r="F95" s="51" t="n"/>
      <c r="G95" s="51" t="n"/>
      <c r="H95" s="51" t="n"/>
      <c r="I95" s="51" t="n"/>
    </row>
    <row r="96">
      <c r="B96" s="51" t="n"/>
      <c r="C96" s="51" t="n"/>
      <c r="D96" s="51" t="n"/>
      <c r="E96" s="51" t="n"/>
      <c r="F96" s="51" t="n"/>
      <c r="G96" s="51" t="n"/>
      <c r="H96" s="51" t="n"/>
      <c r="I96" s="51" t="n"/>
    </row>
    <row r="97">
      <c r="B97" s="51" t="n"/>
      <c r="C97" s="51" t="n"/>
      <c r="D97" s="51" t="n"/>
      <c r="E97" s="51" t="n"/>
      <c r="F97" s="51" t="n"/>
      <c r="G97" s="51" t="n"/>
      <c r="H97" s="51" t="n"/>
      <c r="I97" s="51" t="n"/>
    </row>
    <row r="98">
      <c r="B98" s="51" t="n"/>
      <c r="C98" s="51" t="n"/>
      <c r="D98" s="51" t="n"/>
      <c r="E98" s="51" t="n"/>
      <c r="F98" s="51" t="n"/>
      <c r="G98" s="51" t="n"/>
      <c r="H98" s="51" t="n"/>
      <c r="I98" s="51" t="n"/>
    </row>
    <row r="99">
      <c r="B99" s="51" t="n"/>
      <c r="C99" s="51" t="n"/>
      <c r="D99" s="51" t="n"/>
      <c r="E99" s="51" t="n"/>
      <c r="F99" s="51" t="n"/>
      <c r="G99" s="51" t="n"/>
      <c r="H99" s="51" t="n"/>
      <c r="I99" s="51" t="n"/>
    </row>
    <row r="100">
      <c r="B100" s="51" t="n"/>
      <c r="C100" s="51" t="n"/>
      <c r="D100" s="51" t="n"/>
      <c r="E100" s="51" t="n"/>
      <c r="F100" s="51" t="n"/>
      <c r="G100" s="51" t="n"/>
      <c r="H100" s="51" t="n"/>
      <c r="I100" s="51" t="n"/>
    </row>
    <row r="101">
      <c r="B101" s="51" t="n"/>
      <c r="C101" s="51" t="n"/>
      <c r="D101" s="51" t="n"/>
      <c r="E101" s="51" t="n"/>
      <c r="F101" s="51" t="n"/>
      <c r="G101" s="51" t="n"/>
      <c r="H101" s="51" t="n"/>
      <c r="I101" s="51" t="n"/>
    </row>
    <row r="102">
      <c r="B102" s="51" t="n"/>
      <c r="C102" s="51" t="n"/>
      <c r="D102" s="51" t="n"/>
      <c r="E102" s="51" t="n"/>
      <c r="F102" s="51" t="n"/>
      <c r="G102" s="51" t="n"/>
      <c r="H102" s="51" t="n"/>
      <c r="I102" s="51" t="n"/>
    </row>
    <row r="103">
      <c r="B103" s="51" t="n"/>
      <c r="C103" s="51" t="n"/>
      <c r="D103" s="51" t="n"/>
      <c r="E103" s="51" t="n"/>
      <c r="F103" s="51" t="n"/>
      <c r="G103" s="51" t="n"/>
      <c r="H103" s="51" t="n"/>
      <c r="I103" s="51" t="n"/>
    </row>
    <row r="104">
      <c r="B104" s="51" t="n"/>
      <c r="C104" s="51" t="n"/>
      <c r="D104" s="51" t="n"/>
      <c r="E104" s="51" t="n"/>
      <c r="F104" s="51" t="n"/>
      <c r="G104" s="51" t="n"/>
      <c r="H104" s="51" t="n"/>
      <c r="I104" s="51" t="n"/>
    </row>
    <row r="105">
      <c r="B105" s="51" t="n"/>
      <c r="C105" s="51" t="n"/>
      <c r="D105" s="51" t="n"/>
      <c r="E105" s="51" t="n"/>
      <c r="F105" s="51" t="n"/>
      <c r="G105" s="51" t="n"/>
      <c r="H105" s="51" t="n"/>
      <c r="I105" s="51" t="n"/>
    </row>
    <row r="106">
      <c r="B106" s="51" t="n"/>
      <c r="C106" s="51" t="n"/>
      <c r="D106" s="51" t="n"/>
      <c r="E106" s="51" t="n"/>
      <c r="F106" s="51" t="n"/>
      <c r="G106" s="51" t="n"/>
      <c r="H106" s="51" t="n"/>
      <c r="I106" s="51" t="n"/>
    </row>
    <row r="107">
      <c r="B107" s="51" t="n"/>
      <c r="C107" s="51" t="n"/>
      <c r="D107" s="51" t="n"/>
      <c r="E107" s="51" t="n"/>
      <c r="F107" s="51" t="n"/>
      <c r="G107" s="51" t="n"/>
      <c r="H107" s="51" t="n"/>
      <c r="I107" s="51" t="n"/>
    </row>
    <row r="108">
      <c r="B108" s="51" t="n"/>
      <c r="C108" s="51" t="n"/>
      <c r="D108" s="51" t="n"/>
      <c r="E108" s="51" t="n"/>
      <c r="F108" s="51" t="n"/>
      <c r="G108" s="51" t="n"/>
      <c r="H108" s="51" t="n"/>
      <c r="I108" s="51" t="n"/>
    </row>
    <row r="109">
      <c r="B109" s="51" t="n"/>
      <c r="C109" s="51" t="n"/>
      <c r="D109" s="51" t="n"/>
      <c r="E109" s="51" t="n"/>
      <c r="F109" s="51" t="n"/>
      <c r="G109" s="51" t="n"/>
      <c r="H109" s="51" t="n"/>
      <c r="I109" s="51" t="n"/>
    </row>
    <row r="110">
      <c r="B110" s="51" t="n"/>
      <c r="C110" s="51" t="n"/>
      <c r="D110" s="51" t="n"/>
      <c r="E110" s="51" t="n"/>
      <c r="F110" s="51" t="n"/>
      <c r="G110" s="51" t="n"/>
      <c r="H110" s="51" t="n"/>
      <c r="I110" s="51" t="n"/>
    </row>
    <row r="111">
      <c r="B111" s="51" t="n"/>
      <c r="C111" s="51" t="n"/>
      <c r="D111" s="51" t="n"/>
      <c r="E111" s="51" t="n"/>
      <c r="F111" s="51" t="n"/>
      <c r="G111" s="51" t="n"/>
      <c r="H111" s="51" t="n"/>
      <c r="I111" s="51" t="n"/>
    </row>
    <row r="112">
      <c r="B112" s="51" t="n"/>
      <c r="C112" s="51" t="n"/>
      <c r="D112" s="51" t="n"/>
      <c r="E112" s="51" t="n"/>
      <c r="F112" s="51" t="n"/>
      <c r="G112" s="51" t="n"/>
      <c r="H112" s="51" t="n"/>
      <c r="I112" s="51" t="n"/>
    </row>
    <row r="113">
      <c r="B113" s="51" t="n"/>
      <c r="C113" s="51" t="n"/>
      <c r="D113" s="51" t="n"/>
      <c r="E113" s="51" t="n"/>
      <c r="F113" s="51" t="n"/>
      <c r="G113" s="51" t="n"/>
      <c r="H113" s="51" t="n"/>
      <c r="I113" s="51" t="n"/>
    </row>
    <row r="114">
      <c r="B114" s="51" t="n"/>
      <c r="C114" s="51" t="n"/>
      <c r="D114" s="51" t="n"/>
      <c r="E114" s="51" t="n"/>
      <c r="F114" s="51" t="n"/>
      <c r="G114" s="51" t="n"/>
      <c r="H114" s="51" t="n"/>
      <c r="I114" s="51" t="n"/>
    </row>
    <row r="115">
      <c r="B115" s="51" t="n"/>
      <c r="C115" s="51" t="n"/>
      <c r="D115" s="51" t="n"/>
      <c r="E115" s="51" t="n"/>
      <c r="F115" s="51" t="n"/>
      <c r="G115" s="51" t="n"/>
      <c r="H115" s="51" t="n"/>
      <c r="I115" s="51" t="n"/>
    </row>
    <row r="116">
      <c r="B116" s="51" t="n"/>
      <c r="C116" s="51" t="n"/>
      <c r="D116" s="51" t="n"/>
      <c r="E116" s="51" t="n"/>
      <c r="F116" s="51" t="n"/>
      <c r="G116" s="51" t="n"/>
      <c r="H116" s="51" t="n"/>
      <c r="I116" s="51" t="n"/>
    </row>
    <row r="117">
      <c r="B117" s="51" t="n"/>
      <c r="C117" s="51" t="n"/>
      <c r="D117" s="51" t="n"/>
      <c r="E117" s="51" t="n"/>
      <c r="F117" s="51" t="n"/>
      <c r="G117" s="51" t="n"/>
      <c r="H117" s="51" t="n"/>
      <c r="I117" s="51" t="n"/>
    </row>
    <row r="118">
      <c r="B118" s="51" t="n"/>
      <c r="C118" s="51" t="n"/>
      <c r="D118" s="51" t="n"/>
      <c r="E118" s="51" t="n"/>
      <c r="F118" s="51" t="n"/>
      <c r="G118" s="51" t="n"/>
      <c r="H118" s="51" t="n"/>
      <c r="I118" s="51" t="n"/>
    </row>
    <row r="119">
      <c r="B119" s="51" t="n"/>
      <c r="C119" s="51" t="n"/>
      <c r="D119" s="51" t="n"/>
      <c r="E119" s="51" t="n"/>
      <c r="F119" s="51" t="n"/>
      <c r="G119" s="51" t="n"/>
      <c r="H119" s="51" t="n"/>
      <c r="I119" s="51" t="n"/>
    </row>
    <row r="120">
      <c r="B120" s="51" t="n"/>
      <c r="C120" s="51" t="n"/>
      <c r="D120" s="51" t="n"/>
      <c r="E120" s="51" t="n"/>
      <c r="F120" s="51" t="n"/>
      <c r="G120" s="51" t="n"/>
      <c r="H120" s="51" t="n"/>
      <c r="I120" s="51" t="n"/>
    </row>
    <row r="121">
      <c r="B121" s="51" t="n"/>
      <c r="C121" s="51" t="n"/>
      <c r="D121" s="51" t="n"/>
      <c r="E121" s="51" t="n"/>
      <c r="F121" s="51" t="n"/>
      <c r="G121" s="51" t="n"/>
      <c r="H121" s="51" t="n"/>
      <c r="I121" s="51" t="n"/>
    </row>
    <row r="122">
      <c r="B122" s="51" t="n"/>
      <c r="C122" s="51" t="n"/>
      <c r="D122" s="51" t="n"/>
      <c r="E122" s="51" t="n"/>
      <c r="F122" s="51" t="n"/>
      <c r="G122" s="51" t="n"/>
      <c r="H122" s="51" t="n"/>
      <c r="I122" s="51" t="n"/>
    </row>
    <row r="123">
      <c r="B123" s="51" t="n"/>
      <c r="C123" s="51" t="n"/>
      <c r="D123" s="51" t="n"/>
      <c r="E123" s="51" t="n"/>
      <c r="F123" s="51" t="n"/>
      <c r="G123" s="51" t="n"/>
      <c r="H123" s="51" t="n"/>
      <c r="I123" s="51" t="n"/>
    </row>
    <row r="124">
      <c r="B124" s="51" t="n"/>
      <c r="C124" s="51" t="n"/>
      <c r="D124" s="51" t="n"/>
      <c r="E124" s="51" t="n"/>
      <c r="F124" s="51" t="n"/>
      <c r="G124" s="51" t="n"/>
      <c r="H124" s="51" t="n"/>
      <c r="I124" s="51" t="n"/>
    </row>
    <row r="125">
      <c r="B125" s="51" t="n"/>
      <c r="C125" s="51" t="n"/>
      <c r="D125" s="51" t="n"/>
      <c r="E125" s="51" t="n"/>
      <c r="F125" s="51" t="n"/>
      <c r="G125" s="51" t="n"/>
      <c r="H125" s="51" t="n"/>
      <c r="I125" s="51" t="n"/>
    </row>
    <row r="126">
      <c r="B126" s="51" t="n"/>
      <c r="C126" s="51" t="n"/>
      <c r="D126" s="51" t="n"/>
      <c r="E126" s="51" t="n"/>
      <c r="F126" s="51" t="n"/>
      <c r="G126" s="51" t="n"/>
      <c r="H126" s="51" t="n"/>
      <c r="I126" s="51" t="n"/>
    </row>
    <row r="127">
      <c r="B127" s="51" t="n"/>
      <c r="C127" s="51" t="n"/>
      <c r="D127" s="51" t="n"/>
      <c r="E127" s="51" t="n"/>
      <c r="F127" s="51" t="n"/>
      <c r="G127" s="51" t="n"/>
      <c r="H127" s="51" t="n"/>
      <c r="I127" s="51" t="n"/>
    </row>
    <row r="128">
      <c r="B128" s="51" t="n"/>
      <c r="C128" s="51" t="n"/>
      <c r="D128" s="51" t="n"/>
      <c r="E128" s="51" t="n"/>
      <c r="F128" s="51" t="n"/>
      <c r="G128" s="51" t="n"/>
      <c r="H128" s="51" t="n"/>
      <c r="I128" s="51" t="n"/>
    </row>
    <row r="129">
      <c r="B129" s="51" t="n"/>
      <c r="C129" s="51" t="n"/>
      <c r="D129" s="51" t="n"/>
      <c r="E129" s="51" t="n"/>
      <c r="F129" s="51" t="n"/>
      <c r="G129" s="51" t="n"/>
      <c r="H129" s="51" t="n"/>
      <c r="I129" s="51" t="n"/>
    </row>
    <row r="130">
      <c r="B130" s="51" t="n"/>
      <c r="C130" s="51" t="n"/>
      <c r="D130" s="51" t="n"/>
      <c r="E130" s="51" t="n"/>
      <c r="F130" s="51" t="n"/>
      <c r="G130" s="51" t="n"/>
      <c r="H130" s="51" t="n"/>
      <c r="I130" s="51" t="n"/>
    </row>
    <row r="131">
      <c r="B131" s="51" t="n"/>
      <c r="C131" s="51" t="n"/>
      <c r="D131" s="51" t="n"/>
      <c r="E131" s="51" t="n"/>
      <c r="F131" s="51" t="n"/>
      <c r="G131" s="51" t="n"/>
      <c r="H131" s="51" t="n"/>
      <c r="I131" s="51" t="n"/>
    </row>
    <row r="132">
      <c r="B132" s="51" t="n"/>
      <c r="C132" s="51" t="n"/>
      <c r="D132" s="51" t="n"/>
      <c r="E132" s="51" t="n"/>
      <c r="F132" s="51" t="n"/>
      <c r="G132" s="51" t="n"/>
      <c r="H132" s="51" t="n"/>
      <c r="I132" s="51" t="n"/>
    </row>
    <row r="133">
      <c r="B133" s="51" t="n"/>
      <c r="C133" s="51" t="n"/>
      <c r="D133" s="51" t="n"/>
      <c r="E133" s="51" t="n"/>
      <c r="F133" s="51" t="n"/>
      <c r="G133" s="51" t="n"/>
      <c r="H133" s="51" t="n"/>
      <c r="I133" s="51" t="n"/>
    </row>
    <row r="134">
      <c r="B134" s="51" t="n"/>
      <c r="C134" s="51" t="n"/>
      <c r="D134" s="51" t="n"/>
      <c r="E134" s="51" t="n"/>
      <c r="F134" s="51" t="n"/>
      <c r="G134" s="51" t="n"/>
      <c r="H134" s="51" t="n"/>
      <c r="I134" s="51" t="n"/>
    </row>
    <row r="135">
      <c r="B135" s="51" t="n"/>
      <c r="C135" s="51" t="n"/>
      <c r="D135" s="51" t="n"/>
      <c r="E135" s="51" t="n"/>
      <c r="F135" s="51" t="n"/>
      <c r="G135" s="51" t="n"/>
      <c r="H135" s="51" t="n"/>
      <c r="I135" s="51" t="n"/>
    </row>
    <row r="136">
      <c r="B136" s="51" t="n"/>
      <c r="C136" s="51" t="n"/>
      <c r="D136" s="51" t="n"/>
      <c r="E136" s="51" t="n"/>
      <c r="F136" s="51" t="n"/>
      <c r="G136" s="51" t="n"/>
      <c r="H136" s="51" t="n"/>
      <c r="I136" s="51" t="n"/>
    </row>
    <row r="137">
      <c r="B137" s="51" t="n"/>
      <c r="C137" s="51" t="n"/>
      <c r="D137" s="51" t="n"/>
      <c r="E137" s="51" t="n"/>
      <c r="F137" s="51" t="n"/>
      <c r="G137" s="51" t="n"/>
      <c r="H137" s="51" t="n"/>
      <c r="I137" s="51" t="n"/>
    </row>
    <row r="138">
      <c r="B138" s="51" t="n"/>
      <c r="C138" s="51" t="n"/>
      <c r="D138" s="51" t="n"/>
      <c r="E138" s="51" t="n"/>
      <c r="F138" s="51" t="n"/>
      <c r="G138" s="51" t="n"/>
      <c r="H138" s="51" t="n"/>
      <c r="I138" s="51" t="n"/>
    </row>
    <row r="139">
      <c r="B139" s="51" t="n"/>
      <c r="C139" s="51" t="n"/>
      <c r="D139" s="51" t="n"/>
      <c r="E139" s="51" t="n"/>
      <c r="F139" s="51" t="n"/>
      <c r="G139" s="51" t="n"/>
      <c r="H139" s="51" t="n"/>
      <c r="I139" s="51" t="n"/>
    </row>
    <row r="140">
      <c r="B140" s="51" t="n"/>
      <c r="C140" s="51" t="n"/>
      <c r="D140" s="51" t="n"/>
      <c r="E140" s="51" t="n"/>
      <c r="F140" s="51" t="n"/>
      <c r="G140" s="51" t="n"/>
      <c r="H140" s="51" t="n"/>
      <c r="I140" s="51" t="n"/>
    </row>
    <row r="141">
      <c r="B141" s="51" t="n"/>
      <c r="C141" s="51" t="n"/>
      <c r="D141" s="51" t="n"/>
      <c r="E141" s="51" t="n"/>
      <c r="F141" s="51" t="n"/>
      <c r="G141" s="51" t="n"/>
      <c r="H141" s="51" t="n"/>
      <c r="I141" s="51" t="n"/>
    </row>
    <row r="142">
      <c r="B142" s="51" t="n"/>
      <c r="C142" s="51" t="n"/>
      <c r="D142" s="51" t="n"/>
      <c r="E142" s="51" t="n"/>
      <c r="F142" s="51" t="n"/>
      <c r="G142" s="51" t="n"/>
      <c r="H142" s="51" t="n"/>
      <c r="I142" s="51" t="n"/>
    </row>
    <row r="143">
      <c r="B143" s="51" t="n"/>
      <c r="C143" s="51" t="n"/>
      <c r="D143" s="51" t="n"/>
      <c r="E143" s="51" t="n"/>
      <c r="F143" s="51" t="n"/>
      <c r="G143" s="51" t="n"/>
      <c r="H143" s="51" t="n"/>
      <c r="I143" s="51" t="n"/>
    </row>
    <row r="144">
      <c r="B144" s="51" t="n"/>
      <c r="C144" s="51" t="n"/>
      <c r="D144" s="51" t="n"/>
      <c r="E144" s="51" t="n"/>
      <c r="F144" s="51" t="n"/>
      <c r="G144" s="51" t="n"/>
      <c r="H144" s="51" t="n"/>
      <c r="I144" s="51" t="n"/>
    </row>
    <row r="145">
      <c r="B145" s="51" t="n"/>
      <c r="C145" s="51" t="n"/>
      <c r="D145" s="51" t="n"/>
      <c r="E145" s="51" t="n"/>
      <c r="F145" s="51" t="n"/>
      <c r="G145" s="51" t="n"/>
      <c r="H145" s="51" t="n"/>
      <c r="I145" s="51" t="n"/>
    </row>
    <row r="146">
      <c r="B146" s="51" t="n"/>
      <c r="C146" s="51" t="n"/>
      <c r="D146" s="51" t="n"/>
      <c r="E146" s="51" t="n"/>
      <c r="F146" s="51" t="n"/>
      <c r="G146" s="51" t="n"/>
      <c r="H146" s="51" t="n"/>
      <c r="I146" s="51" t="n"/>
    </row>
    <row r="147">
      <c r="B147" s="51" t="n"/>
      <c r="C147" s="51" t="n"/>
      <c r="D147" s="51" t="n"/>
      <c r="E147" s="51" t="n"/>
      <c r="F147" s="51" t="n"/>
      <c r="G147" s="51" t="n"/>
      <c r="H147" s="51" t="n"/>
      <c r="I147" s="51" t="n"/>
    </row>
    <row r="148">
      <c r="B148" s="51" t="n"/>
      <c r="C148" s="51" t="n"/>
      <c r="D148" s="51" t="n"/>
      <c r="E148" s="51" t="n"/>
      <c r="F148" s="51" t="n"/>
      <c r="G148" s="51" t="n"/>
      <c r="H148" s="51" t="n"/>
      <c r="I148" s="51" t="n"/>
    </row>
    <row r="149">
      <c r="B149" s="51" t="n"/>
      <c r="C149" s="51" t="n"/>
      <c r="D149" s="51" t="n"/>
      <c r="E149" s="51" t="n"/>
      <c r="F149" s="51" t="n"/>
      <c r="G149" s="51" t="n"/>
      <c r="H149" s="51" t="n"/>
      <c r="I149" s="51" t="n"/>
    </row>
    <row r="150">
      <c r="B150" s="51" t="n"/>
      <c r="C150" s="51" t="n"/>
      <c r="D150" s="51" t="n"/>
      <c r="E150" s="51" t="n"/>
      <c r="F150" s="51" t="n"/>
      <c r="G150" s="51" t="n"/>
      <c r="H150" s="51" t="n"/>
      <c r="I150" s="51" t="n"/>
    </row>
    <row r="151">
      <c r="B151" s="51" t="n"/>
      <c r="C151" s="51" t="n"/>
      <c r="D151" s="51" t="n"/>
      <c r="E151" s="51" t="n"/>
      <c r="F151" s="51" t="n"/>
      <c r="G151" s="51" t="n"/>
      <c r="H151" s="51" t="n"/>
      <c r="I151" s="51" t="n"/>
    </row>
    <row r="152">
      <c r="B152" s="51" t="n"/>
      <c r="C152" s="51" t="n"/>
      <c r="D152" s="51" t="n"/>
      <c r="E152" s="51" t="n"/>
      <c r="F152" s="51" t="n"/>
      <c r="G152" s="51" t="n"/>
      <c r="H152" s="51" t="n"/>
      <c r="I152" s="51" t="n"/>
    </row>
    <row r="153">
      <c r="B153" s="51" t="n"/>
      <c r="C153" s="51" t="n"/>
      <c r="D153" s="51" t="n"/>
      <c r="E153" s="51" t="n"/>
      <c r="F153" s="51" t="n"/>
      <c r="G153" s="51" t="n"/>
      <c r="H153" s="51" t="n"/>
      <c r="I153" s="51" t="n"/>
    </row>
    <row r="154">
      <c r="B154" s="51" t="n"/>
      <c r="C154" s="51" t="n"/>
      <c r="D154" s="51" t="n"/>
      <c r="E154" s="51" t="n"/>
      <c r="F154" s="51" t="n"/>
      <c r="G154" s="51" t="n"/>
      <c r="H154" s="51" t="n"/>
      <c r="I154" s="51" t="n"/>
    </row>
    <row r="155">
      <c r="B155" s="51" t="n"/>
      <c r="C155" s="51" t="n"/>
      <c r="D155" s="51" t="n"/>
      <c r="E155" s="51" t="n"/>
      <c r="F155" s="51" t="n"/>
      <c r="G155" s="51" t="n"/>
      <c r="H155" s="51" t="n"/>
      <c r="I155" s="51" t="n"/>
    </row>
    <row r="156">
      <c r="B156" s="51" t="n"/>
      <c r="C156" s="51" t="n"/>
      <c r="D156" s="51" t="n"/>
      <c r="E156" s="51" t="n"/>
      <c r="F156" s="51" t="n"/>
      <c r="G156" s="51" t="n"/>
      <c r="H156" s="51" t="n"/>
      <c r="I156" s="51" t="n"/>
    </row>
    <row r="157">
      <c r="B157" s="51" t="n"/>
      <c r="C157" s="51" t="n"/>
      <c r="D157" s="51" t="n"/>
      <c r="E157" s="51" t="n"/>
      <c r="F157" s="51" t="n"/>
      <c r="G157" s="51" t="n"/>
      <c r="H157" s="51" t="n"/>
      <c r="I157" s="51" t="n"/>
    </row>
    <row r="158">
      <c r="B158" s="51" t="n"/>
      <c r="C158" s="51" t="n"/>
      <c r="D158" s="51" t="n"/>
      <c r="E158" s="51" t="n"/>
      <c r="F158" s="51" t="n"/>
      <c r="G158" s="51" t="n"/>
      <c r="H158" s="51" t="n"/>
      <c r="I158" s="51" t="n"/>
    </row>
    <row r="159">
      <c r="B159" s="51" t="n"/>
      <c r="C159" s="51" t="n"/>
      <c r="D159" s="51" t="n"/>
      <c r="E159" s="51" t="n"/>
      <c r="F159" s="51" t="n"/>
      <c r="G159" s="51" t="n"/>
      <c r="H159" s="51" t="n"/>
      <c r="I159" s="51" t="n"/>
    </row>
    <row r="160">
      <c r="B160" s="51" t="n"/>
      <c r="C160" s="51" t="n"/>
      <c r="D160" s="51" t="n"/>
      <c r="E160" s="51" t="n"/>
      <c r="F160" s="51" t="n"/>
      <c r="G160" s="51" t="n"/>
      <c r="H160" s="51" t="n"/>
      <c r="I160" s="51" t="n"/>
    </row>
    <row r="161">
      <c r="B161" s="51" t="n"/>
      <c r="C161" s="51" t="n"/>
      <c r="D161" s="51" t="n"/>
      <c r="E161" s="51" t="n"/>
      <c r="F161" s="51" t="n"/>
      <c r="G161" s="51" t="n"/>
      <c r="H161" s="51" t="n"/>
      <c r="I161" s="51" t="n"/>
    </row>
    <row r="162">
      <c r="B162" s="51" t="n"/>
      <c r="C162" s="51" t="n"/>
      <c r="D162" s="51" t="n"/>
      <c r="E162" s="51" t="n"/>
      <c r="F162" s="51" t="n"/>
      <c r="G162" s="51" t="n"/>
      <c r="H162" s="51" t="n"/>
      <c r="I162" s="51" t="n"/>
    </row>
    <row r="163">
      <c r="B163" s="51" t="n"/>
      <c r="C163" s="51" t="n"/>
      <c r="D163" s="51" t="n"/>
      <c r="E163" s="51" t="n"/>
      <c r="F163" s="51" t="n"/>
      <c r="G163" s="51" t="n"/>
      <c r="H163" s="51" t="n"/>
      <c r="I163" s="51" t="n"/>
    </row>
    <row r="164">
      <c r="B164" s="51" t="n"/>
      <c r="C164" s="51" t="n"/>
      <c r="D164" s="51" t="n"/>
      <c r="E164" s="51" t="n"/>
      <c r="F164" s="51" t="n"/>
      <c r="G164" s="51" t="n"/>
      <c r="H164" s="51" t="n"/>
      <c r="I164" s="51" t="n"/>
    </row>
    <row r="165">
      <c r="B165" s="51" t="n"/>
      <c r="C165" s="51" t="n"/>
      <c r="D165" s="51" t="n"/>
      <c r="E165" s="51" t="n"/>
      <c r="F165" s="51" t="n"/>
      <c r="G165" s="51" t="n"/>
      <c r="H165" s="51" t="n"/>
      <c r="I165" s="51" t="n"/>
    </row>
    <row r="166">
      <c r="B166" s="51" t="n"/>
      <c r="C166" s="51" t="n"/>
      <c r="D166" s="51" t="n"/>
      <c r="E166" s="51" t="n"/>
      <c r="F166" s="51" t="n"/>
      <c r="G166" s="51" t="n"/>
      <c r="H166" s="51" t="n"/>
      <c r="I166" s="51" t="n"/>
    </row>
    <row r="167">
      <c r="B167" s="51" t="n"/>
      <c r="C167" s="51" t="n"/>
      <c r="D167" s="51" t="n"/>
      <c r="E167" s="51" t="n"/>
      <c r="F167" s="51" t="n"/>
      <c r="G167" s="51" t="n"/>
      <c r="H167" s="51" t="n"/>
      <c r="I167" s="51" t="n"/>
    </row>
    <row r="168">
      <c r="B168" s="51" t="n"/>
      <c r="C168" s="51" t="n"/>
      <c r="D168" s="51" t="n"/>
      <c r="E168" s="51" t="n"/>
      <c r="F168" s="51" t="n"/>
      <c r="G168" s="51" t="n"/>
      <c r="H168" s="51" t="n"/>
      <c r="I168" s="51" t="n"/>
    </row>
    <row r="169">
      <c r="B169" s="51" t="n"/>
      <c r="C169" s="51" t="n"/>
      <c r="D169" s="51" t="n"/>
      <c r="E169" s="51" t="n"/>
      <c r="F169" s="51" t="n"/>
      <c r="G169" s="51" t="n"/>
      <c r="H169" s="51" t="n"/>
      <c r="I169" s="51" t="n"/>
    </row>
    <row r="170">
      <c r="B170" s="51" t="n"/>
      <c r="C170" s="51" t="n"/>
      <c r="D170" s="51" t="n"/>
      <c r="E170" s="51" t="n"/>
      <c r="F170" s="51" t="n"/>
      <c r="G170" s="51" t="n"/>
      <c r="H170" s="51" t="n"/>
      <c r="I170" s="51" t="n"/>
    </row>
    <row r="171">
      <c r="B171" s="51" t="n"/>
      <c r="C171" s="51" t="n"/>
      <c r="D171" s="51" t="n"/>
      <c r="E171" s="51" t="n"/>
      <c r="F171" s="51" t="n"/>
      <c r="G171" s="51" t="n"/>
      <c r="H171" s="51" t="n"/>
      <c r="I171" s="51" t="n"/>
    </row>
    <row r="172">
      <c r="B172" s="51" t="n"/>
      <c r="C172" s="51" t="n"/>
      <c r="D172" s="51" t="n"/>
      <c r="E172" s="51" t="n"/>
      <c r="F172" s="51" t="n"/>
      <c r="G172" s="51" t="n"/>
      <c r="H172" s="51" t="n"/>
      <c r="I172" s="51" t="n"/>
    </row>
    <row r="173">
      <c r="B173" s="51" t="n"/>
      <c r="C173" s="51" t="n"/>
      <c r="D173" s="51" t="n"/>
      <c r="E173" s="51" t="n"/>
      <c r="F173" s="51" t="n"/>
      <c r="G173" s="51" t="n"/>
      <c r="H173" s="51" t="n"/>
      <c r="I173" s="51" t="n"/>
    </row>
    <row r="174">
      <c r="B174" s="51" t="n"/>
      <c r="C174" s="51" t="n"/>
      <c r="D174" s="51" t="n"/>
      <c r="E174" s="51" t="n"/>
      <c r="F174" s="51" t="n"/>
      <c r="G174" s="51" t="n"/>
      <c r="H174" s="51" t="n"/>
      <c r="I174" s="51" t="n"/>
    </row>
    <row r="175">
      <c r="B175" s="51" t="n"/>
      <c r="C175" s="51" t="n"/>
      <c r="D175" s="51" t="n"/>
      <c r="E175" s="51" t="n"/>
      <c r="F175" s="51" t="n"/>
      <c r="G175" s="51" t="n"/>
      <c r="H175" s="51" t="n"/>
      <c r="I175" s="51" t="n"/>
    </row>
    <row r="176">
      <c r="B176" s="51" t="n"/>
      <c r="C176" s="51" t="n"/>
      <c r="D176" s="51" t="n"/>
      <c r="E176" s="51" t="n"/>
      <c r="F176" s="51" t="n"/>
      <c r="G176" s="51" t="n"/>
      <c r="H176" s="51" t="n"/>
      <c r="I176" s="51" t="n"/>
    </row>
    <row r="177">
      <c r="B177" s="51" t="n"/>
      <c r="C177" s="51" t="n"/>
      <c r="D177" s="51" t="n"/>
      <c r="E177" s="51" t="n"/>
      <c r="F177" s="51" t="n"/>
      <c r="G177" s="51" t="n"/>
      <c r="H177" s="51" t="n"/>
      <c r="I177" s="51" t="n"/>
    </row>
    <row r="178">
      <c r="B178" s="51" t="n"/>
      <c r="C178" s="51" t="n"/>
      <c r="D178" s="51" t="n"/>
      <c r="E178" s="51" t="n"/>
      <c r="F178" s="51" t="n"/>
      <c r="G178" s="51" t="n"/>
      <c r="H178" s="51" t="n"/>
      <c r="I178" s="51" t="n"/>
    </row>
    <row r="179">
      <c r="B179" s="51" t="n"/>
      <c r="C179" s="51" t="n"/>
      <c r="D179" s="51" t="n"/>
      <c r="E179" s="51" t="n"/>
      <c r="F179" s="51" t="n"/>
      <c r="G179" s="51" t="n"/>
      <c r="H179" s="51" t="n"/>
      <c r="I179" s="51" t="n"/>
    </row>
    <row r="180">
      <c r="B180" s="51" t="n"/>
      <c r="C180" s="51" t="n"/>
      <c r="D180" s="51" t="n"/>
      <c r="E180" s="51" t="n"/>
      <c r="F180" s="51" t="n"/>
      <c r="G180" s="51" t="n"/>
      <c r="H180" s="51" t="n"/>
      <c r="I180" s="51" t="n"/>
    </row>
    <row r="181">
      <c r="B181" s="51" t="n"/>
      <c r="C181" s="51" t="n"/>
      <c r="D181" s="51" t="n"/>
      <c r="E181" s="51" t="n"/>
      <c r="F181" s="51" t="n"/>
      <c r="G181" s="51" t="n"/>
      <c r="H181" s="51" t="n"/>
      <c r="I181" s="51" t="n"/>
    </row>
    <row r="182">
      <c r="B182" s="51" t="n"/>
      <c r="C182" s="51" t="n"/>
      <c r="D182" s="51" t="n"/>
      <c r="E182" s="51" t="n"/>
      <c r="F182" s="51" t="n"/>
      <c r="G182" s="51" t="n"/>
      <c r="H182" s="51" t="n"/>
      <c r="I182" s="51" t="n"/>
    </row>
    <row r="183">
      <c r="B183" s="51" t="n"/>
      <c r="C183" s="51" t="n"/>
      <c r="D183" s="51" t="n"/>
      <c r="E183" s="51" t="n"/>
      <c r="F183" s="51" t="n"/>
      <c r="G183" s="51" t="n"/>
      <c r="H183" s="51" t="n"/>
      <c r="I183" s="51" t="n"/>
    </row>
    <row r="184">
      <c r="B184" s="51" t="n"/>
      <c r="C184" s="51" t="n"/>
      <c r="D184" s="51" t="n"/>
      <c r="E184" s="51" t="n"/>
      <c r="F184" s="51" t="n"/>
      <c r="G184" s="51" t="n"/>
      <c r="H184" s="51" t="n"/>
      <c r="I184" s="51" t="n"/>
    </row>
    <row r="185">
      <c r="B185" s="51" t="n"/>
      <c r="C185" s="51" t="n"/>
      <c r="D185" s="51" t="n"/>
      <c r="E185" s="51" t="n"/>
      <c r="F185" s="51" t="n"/>
      <c r="G185" s="51" t="n"/>
      <c r="H185" s="51" t="n"/>
      <c r="I185" s="51" t="n"/>
    </row>
    <row r="186">
      <c r="B186" s="51" t="n"/>
      <c r="C186" s="51" t="n"/>
      <c r="D186" s="51" t="n"/>
      <c r="E186" s="51" t="n"/>
      <c r="F186" s="51" t="n"/>
      <c r="G186" s="51" t="n"/>
      <c r="H186" s="51" t="n"/>
      <c r="I186" s="51" t="n"/>
    </row>
    <row r="187">
      <c r="B187" s="51" t="n"/>
      <c r="C187" s="51" t="n"/>
      <c r="D187" s="51" t="n"/>
      <c r="E187" s="51" t="n"/>
      <c r="F187" s="51" t="n"/>
      <c r="G187" s="51" t="n"/>
      <c r="H187" s="51" t="n"/>
      <c r="I187" s="51" t="n"/>
    </row>
    <row r="188">
      <c r="B188" s="51" t="n"/>
      <c r="C188" s="51" t="n"/>
      <c r="D188" s="51" t="n"/>
      <c r="E188" s="51" t="n"/>
      <c r="F188" s="51" t="n"/>
      <c r="G188" s="51" t="n"/>
      <c r="H188" s="51" t="n"/>
      <c r="I188" s="51" t="n"/>
    </row>
    <row r="189">
      <c r="B189" s="51" t="n"/>
      <c r="C189" s="51" t="n"/>
      <c r="D189" s="51" t="n"/>
      <c r="E189" s="51" t="n"/>
      <c r="F189" s="51" t="n"/>
      <c r="G189" s="51" t="n"/>
      <c r="H189" s="51" t="n"/>
      <c r="I189" s="51" t="n"/>
    </row>
    <row r="190">
      <c r="B190" s="51" t="n"/>
      <c r="C190" s="51" t="n"/>
      <c r="D190" s="51" t="n"/>
      <c r="E190" s="51" t="n"/>
      <c r="F190" s="51" t="n"/>
      <c r="G190" s="51" t="n"/>
      <c r="H190" s="51" t="n"/>
      <c r="I190" s="51" t="n"/>
    </row>
    <row r="191">
      <c r="B191" s="51" t="n"/>
      <c r="C191" s="51" t="n"/>
      <c r="D191" s="51" t="n"/>
      <c r="E191" s="51" t="n"/>
      <c r="F191" s="51" t="n"/>
      <c r="G191" s="51" t="n"/>
      <c r="H191" s="51" t="n"/>
      <c r="I191" s="51" t="n"/>
    </row>
    <row r="192">
      <c r="B192" s="51" t="n"/>
      <c r="C192" s="51" t="n"/>
      <c r="D192" s="51" t="n"/>
      <c r="E192" s="51" t="n"/>
      <c r="F192" s="51" t="n"/>
      <c r="G192" s="51" t="n"/>
      <c r="H192" s="51" t="n"/>
      <c r="I192" s="51" t="n"/>
    </row>
    <row r="193">
      <c r="B193" s="51" t="n"/>
      <c r="C193" s="51" t="n"/>
      <c r="D193" s="51" t="n"/>
      <c r="E193" s="51" t="n"/>
      <c r="F193" s="51" t="n"/>
      <c r="G193" s="51" t="n"/>
      <c r="H193" s="51" t="n"/>
      <c r="I193" s="51" t="n"/>
    </row>
    <row r="194">
      <c r="B194" s="51" t="n"/>
      <c r="C194" s="51" t="n"/>
      <c r="D194" s="51" t="n"/>
      <c r="E194" s="51" t="n"/>
      <c r="F194" s="51" t="n"/>
      <c r="G194" s="51" t="n"/>
      <c r="H194" s="51" t="n"/>
      <c r="I194" s="51" t="n"/>
    </row>
    <row r="195">
      <c r="B195" s="51" t="n"/>
      <c r="C195" s="51" t="n"/>
      <c r="D195" s="51" t="n"/>
      <c r="E195" s="51" t="n"/>
      <c r="F195" s="51" t="n"/>
      <c r="G195" s="51" t="n"/>
      <c r="H195" s="51" t="n"/>
      <c r="I195" s="51" t="n"/>
    </row>
    <row r="196">
      <c r="B196" s="51" t="n"/>
      <c r="C196" s="51" t="n"/>
      <c r="D196" s="51" t="n"/>
      <c r="E196" s="51" t="n"/>
      <c r="F196" s="51" t="n"/>
      <c r="G196" s="51" t="n"/>
      <c r="H196" s="51" t="n"/>
      <c r="I196" s="51" t="n"/>
    </row>
    <row r="197">
      <c r="B197" s="51" t="n"/>
      <c r="C197" s="51" t="n"/>
      <c r="D197" s="51" t="n"/>
      <c r="E197" s="51" t="n"/>
      <c r="F197" s="51" t="n"/>
      <c r="G197" s="51" t="n"/>
      <c r="H197" s="51" t="n"/>
      <c r="I197" s="51" t="n"/>
    </row>
    <row r="198">
      <c r="B198" s="51" t="n"/>
      <c r="C198" s="51" t="n"/>
      <c r="D198" s="51" t="n"/>
      <c r="E198" s="51" t="n"/>
      <c r="F198" s="51" t="n"/>
      <c r="G198" s="51" t="n"/>
      <c r="H198" s="51" t="n"/>
      <c r="I198" s="51" t="n"/>
    </row>
    <row r="199">
      <c r="B199" s="51" t="n"/>
      <c r="C199" s="51" t="n"/>
      <c r="D199" s="51" t="n"/>
      <c r="E199" s="51" t="n"/>
      <c r="F199" s="51" t="n"/>
      <c r="G199" s="51" t="n"/>
      <c r="H199" s="51" t="n"/>
      <c r="I199" s="51" t="n"/>
    </row>
    <row r="200">
      <c r="B200" s="51" t="n"/>
      <c r="C200" s="51" t="n"/>
      <c r="D200" s="51" t="n"/>
      <c r="E200" s="51" t="n"/>
      <c r="F200" s="51" t="n"/>
      <c r="G200" s="51" t="n"/>
      <c r="H200" s="51" t="n"/>
      <c r="I200" s="51" t="n"/>
    </row>
    <row r="201">
      <c r="B201" s="51" t="n"/>
      <c r="C201" s="51" t="n"/>
      <c r="D201" s="51" t="n"/>
      <c r="E201" s="51" t="n"/>
      <c r="F201" s="51" t="n"/>
      <c r="G201" s="51" t="n"/>
      <c r="H201" s="51" t="n"/>
      <c r="I201" s="51" t="n"/>
    </row>
    <row r="202">
      <c r="B202" s="51" t="n"/>
      <c r="C202" s="51" t="n"/>
      <c r="D202" s="51" t="n"/>
      <c r="E202" s="51" t="n"/>
      <c r="F202" s="51" t="n"/>
      <c r="G202" s="51" t="n"/>
      <c r="H202" s="51" t="n"/>
      <c r="I202" s="51" t="n"/>
    </row>
    <row r="203">
      <c r="B203" s="51" t="n"/>
      <c r="C203" s="51" t="n"/>
      <c r="D203" s="51" t="n"/>
      <c r="E203" s="51" t="n"/>
      <c r="F203" s="51" t="n"/>
      <c r="G203" s="51" t="n"/>
      <c r="H203" s="51" t="n"/>
      <c r="I203" s="51" t="n"/>
    </row>
    <row r="204">
      <c r="B204" s="51" t="n"/>
      <c r="C204" s="51" t="n"/>
      <c r="D204" s="51" t="n"/>
      <c r="E204" s="51" t="n"/>
      <c r="F204" s="51" t="n"/>
      <c r="G204" s="51" t="n"/>
      <c r="H204" s="51" t="n"/>
      <c r="I204" s="51" t="n"/>
    </row>
    <row r="205">
      <c r="B205" s="51" t="n"/>
      <c r="C205" s="51" t="n"/>
      <c r="D205" s="51" t="n"/>
      <c r="E205" s="51" t="n"/>
      <c r="F205" s="51" t="n"/>
      <c r="G205" s="51" t="n"/>
      <c r="H205" s="51" t="n"/>
      <c r="I205" s="51" t="n"/>
    </row>
    <row r="206">
      <c r="B206" s="51" t="n"/>
      <c r="C206" s="51" t="n"/>
      <c r="D206" s="51" t="n"/>
      <c r="E206" s="51" t="n"/>
      <c r="F206" s="51" t="n"/>
      <c r="G206" s="51" t="n"/>
      <c r="H206" s="51" t="n"/>
      <c r="I206" s="51" t="n"/>
    </row>
    <row r="207">
      <c r="B207" s="51" t="n"/>
      <c r="C207" s="51" t="n"/>
      <c r="D207" s="51" t="n"/>
      <c r="E207" s="51" t="n"/>
      <c r="F207" s="51" t="n"/>
      <c r="G207" s="51" t="n"/>
      <c r="H207" s="51" t="n"/>
      <c r="I207" s="51" t="n"/>
    </row>
    <row r="208">
      <c r="B208" s="51" t="n"/>
      <c r="C208" s="51" t="n"/>
      <c r="D208" s="51" t="n"/>
      <c r="E208" s="51" t="n"/>
      <c r="F208" s="51" t="n"/>
      <c r="G208" s="51" t="n"/>
      <c r="H208" s="51" t="n"/>
      <c r="I208" s="51" t="n"/>
    </row>
    <row r="209">
      <c r="B209" s="51" t="n"/>
      <c r="C209" s="51" t="n"/>
      <c r="D209" s="51" t="n"/>
      <c r="E209" s="51" t="n"/>
      <c r="F209" s="51" t="n"/>
      <c r="G209" s="51" t="n"/>
      <c r="H209" s="51" t="n"/>
      <c r="I209" s="51" t="n"/>
    </row>
    <row r="210">
      <c r="B210" s="51" t="n"/>
      <c r="C210" s="51" t="n"/>
      <c r="D210" s="51" t="n"/>
      <c r="E210" s="51" t="n"/>
      <c r="F210" s="51" t="n"/>
      <c r="G210" s="51" t="n"/>
      <c r="H210" s="51" t="n"/>
      <c r="I210" s="51" t="n"/>
    </row>
    <row r="211">
      <c r="B211" s="51" t="n"/>
      <c r="C211" s="51" t="n"/>
      <c r="D211" s="51" t="n"/>
      <c r="E211" s="51" t="n"/>
      <c r="F211" s="51" t="n"/>
      <c r="G211" s="51" t="n"/>
      <c r="H211" s="51" t="n"/>
      <c r="I211" s="51" t="n"/>
    </row>
    <row r="212">
      <c r="B212" s="51" t="n"/>
      <c r="C212" s="51" t="n"/>
      <c r="D212" s="51" t="n"/>
      <c r="E212" s="51" t="n"/>
      <c r="F212" s="51" t="n"/>
      <c r="G212" s="51" t="n"/>
      <c r="H212" s="51" t="n"/>
      <c r="I212" s="51" t="n"/>
    </row>
    <row r="213">
      <c r="B213" s="51" t="n"/>
      <c r="C213" s="51" t="n"/>
      <c r="D213" s="51" t="n"/>
      <c r="E213" s="51" t="n"/>
      <c r="F213" s="51" t="n"/>
      <c r="G213" s="51" t="n"/>
      <c r="H213" s="51" t="n"/>
      <c r="I213" s="51" t="n"/>
    </row>
    <row r="214">
      <c r="B214" s="51" t="n"/>
      <c r="C214" s="51" t="n"/>
      <c r="D214" s="51" t="n"/>
      <c r="E214" s="51" t="n"/>
      <c r="F214" s="51" t="n"/>
      <c r="G214" s="51" t="n"/>
      <c r="H214" s="51" t="n"/>
      <c r="I214" s="51" t="n"/>
    </row>
    <row r="215">
      <c r="B215" s="51" t="n"/>
      <c r="C215" s="51" t="n"/>
      <c r="D215" s="51" t="n"/>
      <c r="E215" s="51" t="n"/>
      <c r="F215" s="51" t="n"/>
      <c r="G215" s="51" t="n"/>
      <c r="H215" s="51" t="n"/>
      <c r="I215" s="51" t="n"/>
    </row>
    <row r="216">
      <c r="B216" s="51" t="n"/>
      <c r="C216" s="51" t="n"/>
      <c r="D216" s="51" t="n"/>
      <c r="E216" s="51" t="n"/>
      <c r="F216" s="51" t="n"/>
      <c r="G216" s="51" t="n"/>
      <c r="H216" s="51" t="n"/>
      <c r="I216" s="51" t="n"/>
    </row>
    <row r="217">
      <c r="B217" s="51" t="n"/>
      <c r="C217" s="51" t="n"/>
      <c r="D217" s="51" t="n"/>
      <c r="E217" s="51" t="n"/>
      <c r="F217" s="51" t="n"/>
      <c r="G217" s="51" t="n"/>
      <c r="H217" s="51" t="n"/>
      <c r="I217" s="51" t="n"/>
    </row>
    <row r="218">
      <c r="B218" s="51" t="n"/>
      <c r="C218" s="51" t="n"/>
      <c r="D218" s="51" t="n"/>
      <c r="E218" s="51" t="n"/>
      <c r="F218" s="51" t="n"/>
      <c r="G218" s="51" t="n"/>
      <c r="H218" s="51" t="n"/>
      <c r="I218" s="51" t="n"/>
    </row>
    <row r="219">
      <c r="B219" s="51" t="n"/>
      <c r="C219" s="51" t="n"/>
      <c r="D219" s="51" t="n"/>
      <c r="E219" s="51" t="n"/>
      <c r="F219" s="51" t="n"/>
      <c r="G219" s="51" t="n"/>
      <c r="H219" s="51" t="n"/>
      <c r="I219" s="51" t="n"/>
    </row>
    <row r="220">
      <c r="B220" s="51" t="n"/>
      <c r="C220" s="51" t="n"/>
      <c r="D220" s="51" t="n"/>
      <c r="E220" s="51" t="n"/>
      <c r="F220" s="51" t="n"/>
      <c r="G220" s="51" t="n"/>
      <c r="H220" s="51" t="n"/>
      <c r="I220" s="51" t="n"/>
    </row>
    <row r="221">
      <c r="B221" s="51" t="n"/>
      <c r="C221" s="51" t="n"/>
      <c r="D221" s="51" t="n"/>
      <c r="E221" s="51" t="n"/>
      <c r="F221" s="51" t="n"/>
      <c r="G221" s="51" t="n"/>
      <c r="H221" s="51" t="n"/>
      <c r="I221" s="51" t="n"/>
    </row>
    <row r="222">
      <c r="B222" s="51" t="n"/>
      <c r="C222" s="51" t="n"/>
      <c r="D222" s="51" t="n"/>
      <c r="E222" s="51" t="n"/>
      <c r="F222" s="51" t="n"/>
      <c r="G222" s="51" t="n"/>
      <c r="H222" s="51" t="n"/>
      <c r="I222" s="51" t="n"/>
    </row>
    <row r="223">
      <c r="B223" s="51" t="n"/>
      <c r="C223" s="51" t="n"/>
      <c r="D223" s="51" t="n"/>
      <c r="E223" s="51" t="n"/>
      <c r="F223" s="51" t="n"/>
      <c r="G223" s="51" t="n"/>
      <c r="H223" s="51" t="n"/>
      <c r="I223" s="51" t="n"/>
    </row>
    <row r="224">
      <c r="B224" s="51" t="n"/>
      <c r="C224" s="51" t="n"/>
      <c r="D224" s="51" t="n"/>
      <c r="E224" s="51" t="n"/>
      <c r="F224" s="51" t="n"/>
      <c r="G224" s="51" t="n"/>
      <c r="H224" s="51" t="n"/>
      <c r="I224" s="51" t="n"/>
    </row>
    <row r="225">
      <c r="B225" s="51" t="n"/>
      <c r="C225" s="51" t="n"/>
      <c r="D225" s="51" t="n"/>
      <c r="E225" s="51" t="n"/>
      <c r="F225" s="51" t="n"/>
      <c r="G225" s="51" t="n"/>
      <c r="H225" s="51" t="n"/>
      <c r="I225" s="51" t="n"/>
    </row>
    <row r="226">
      <c r="B226" s="51" t="n"/>
      <c r="C226" s="51" t="n"/>
      <c r="D226" s="51" t="n"/>
      <c r="E226" s="51" t="n"/>
      <c r="F226" s="51" t="n"/>
      <c r="G226" s="51" t="n"/>
      <c r="H226" s="51" t="n"/>
      <c r="I226" s="51" t="n"/>
    </row>
    <row r="227">
      <c r="B227" s="51" t="n"/>
      <c r="C227" s="51" t="n"/>
      <c r="D227" s="51" t="n"/>
      <c r="E227" s="51" t="n"/>
      <c r="F227" s="51" t="n"/>
      <c r="G227" s="51" t="n"/>
      <c r="H227" s="51" t="n"/>
      <c r="I227" s="51" t="n"/>
    </row>
    <row r="228">
      <c r="B228" s="51" t="n"/>
      <c r="C228" s="51" t="n"/>
      <c r="D228" s="51" t="n"/>
      <c r="E228" s="51" t="n"/>
      <c r="F228" s="51" t="n"/>
      <c r="G228" s="51" t="n"/>
      <c r="H228" s="51" t="n"/>
      <c r="I228" s="51" t="n"/>
    </row>
    <row r="229">
      <c r="B229" s="51" t="n"/>
      <c r="C229" s="51" t="n"/>
      <c r="D229" s="51" t="n"/>
      <c r="E229" s="51" t="n"/>
      <c r="F229" s="51" t="n"/>
      <c r="G229" s="51" t="n"/>
      <c r="H229" s="51" t="n"/>
      <c r="I229" s="51" t="n"/>
    </row>
    <row r="230">
      <c r="B230" s="51" t="n"/>
      <c r="C230" s="51" t="n"/>
      <c r="D230" s="51" t="n"/>
      <c r="E230" s="51" t="n"/>
      <c r="F230" s="51" t="n"/>
      <c r="G230" s="51" t="n"/>
      <c r="H230" s="51" t="n"/>
      <c r="I230" s="51" t="n"/>
    </row>
    <row r="231">
      <c r="B231" s="51" t="n"/>
      <c r="C231" s="51" t="n"/>
      <c r="D231" s="51" t="n"/>
      <c r="E231" s="51" t="n"/>
      <c r="F231" s="51" t="n"/>
      <c r="G231" s="51" t="n"/>
      <c r="H231" s="51" t="n"/>
      <c r="I231" s="51" t="n"/>
    </row>
    <row r="232">
      <c r="B232" s="51" t="n"/>
      <c r="C232" s="51" t="n"/>
      <c r="D232" s="51" t="n"/>
      <c r="E232" s="51" t="n"/>
      <c r="F232" s="51" t="n"/>
      <c r="G232" s="51" t="n"/>
      <c r="H232" s="51" t="n"/>
      <c r="I232" s="51" t="n"/>
    </row>
    <row r="233">
      <c r="B233" s="51" t="n"/>
      <c r="C233" s="51" t="n"/>
      <c r="D233" s="51" t="n"/>
      <c r="E233" s="51" t="n"/>
      <c r="F233" s="51" t="n"/>
      <c r="G233" s="51" t="n"/>
      <c r="H233" s="51" t="n"/>
      <c r="I233" s="51" t="n"/>
    </row>
    <row r="234">
      <c r="B234" s="51" t="n"/>
      <c r="C234" s="51" t="n"/>
      <c r="D234" s="51" t="n"/>
      <c r="E234" s="51" t="n"/>
      <c r="F234" s="51" t="n"/>
      <c r="G234" s="51" t="n"/>
      <c r="H234" s="51" t="n"/>
      <c r="I234" s="51" t="n"/>
    </row>
    <row r="235">
      <c r="B235" s="51" t="n"/>
      <c r="C235" s="51" t="n"/>
      <c r="D235" s="51" t="n"/>
      <c r="E235" s="51" t="n"/>
      <c r="F235" s="51" t="n"/>
      <c r="G235" s="51" t="n"/>
      <c r="H235" s="51" t="n"/>
      <c r="I235" s="51" t="n"/>
    </row>
    <row r="236">
      <c r="B236" s="51" t="n"/>
      <c r="C236" s="51" t="n"/>
      <c r="D236" s="51" t="n"/>
      <c r="E236" s="51" t="n"/>
      <c r="F236" s="51" t="n"/>
      <c r="G236" s="51" t="n"/>
      <c r="H236" s="51" t="n"/>
      <c r="I236" s="51" t="n"/>
    </row>
    <row r="237">
      <c r="B237" s="51" t="n"/>
      <c r="C237" s="51" t="n"/>
      <c r="D237" s="51" t="n"/>
      <c r="E237" s="51" t="n"/>
      <c r="F237" s="51" t="n"/>
      <c r="G237" s="51" t="n"/>
      <c r="H237" s="51" t="n"/>
      <c r="I237" s="51" t="n"/>
    </row>
    <row r="238">
      <c r="B238" s="51" t="n"/>
      <c r="C238" s="51" t="n"/>
      <c r="D238" s="51" t="n"/>
      <c r="E238" s="51" t="n"/>
      <c r="F238" s="51" t="n"/>
      <c r="G238" s="51" t="n"/>
      <c r="H238" s="51" t="n"/>
      <c r="I238" s="51" t="n"/>
    </row>
    <row r="239">
      <c r="B239" s="51" t="n"/>
      <c r="C239" s="51" t="n"/>
      <c r="D239" s="51" t="n"/>
      <c r="E239" s="51" t="n"/>
      <c r="F239" s="51" t="n"/>
      <c r="G239" s="51" t="n"/>
      <c r="H239" s="51" t="n"/>
      <c r="I239" s="51" t="n"/>
    </row>
    <row r="240">
      <c r="B240" s="51" t="n"/>
      <c r="C240" s="51" t="n"/>
      <c r="D240" s="51" t="n"/>
      <c r="E240" s="51" t="n"/>
      <c r="F240" s="51" t="n"/>
      <c r="G240" s="51" t="n"/>
      <c r="H240" s="51" t="n"/>
      <c r="I240" s="51" t="n"/>
    </row>
    <row r="241">
      <c r="B241" s="51" t="n"/>
      <c r="C241" s="51" t="n"/>
      <c r="D241" s="51" t="n"/>
      <c r="E241" s="51" t="n"/>
      <c r="F241" s="51" t="n"/>
      <c r="G241" s="51" t="n"/>
      <c r="H241" s="51" t="n"/>
      <c r="I241" s="51" t="n"/>
    </row>
    <row r="242">
      <c r="B242" s="51" t="n"/>
      <c r="C242" s="51" t="n"/>
      <c r="D242" s="51" t="n"/>
      <c r="E242" s="51" t="n"/>
      <c r="F242" s="51" t="n"/>
      <c r="G242" s="51" t="n"/>
      <c r="H242" s="51" t="n"/>
      <c r="I242" s="51" t="n"/>
    </row>
    <row r="243">
      <c r="B243" s="51" t="n"/>
      <c r="C243" s="51" t="n"/>
      <c r="D243" s="51" t="n"/>
      <c r="E243" s="51" t="n"/>
      <c r="F243" s="51" t="n"/>
      <c r="G243" s="51" t="n"/>
      <c r="H243" s="51" t="n"/>
      <c r="I243" s="51" t="n"/>
    </row>
    <row r="244">
      <c r="B244" s="51" t="n"/>
      <c r="C244" s="51" t="n"/>
      <c r="D244" s="51" t="n"/>
      <c r="E244" s="51" t="n"/>
      <c r="F244" s="51" t="n"/>
      <c r="G244" s="51" t="n"/>
      <c r="H244" s="51" t="n"/>
      <c r="I244" s="51" t="n"/>
    </row>
    <row r="245">
      <c r="B245" s="51" t="n"/>
      <c r="C245" s="51" t="n"/>
      <c r="D245" s="51" t="n"/>
      <c r="E245" s="51" t="n"/>
      <c r="F245" s="51" t="n"/>
      <c r="G245" s="51" t="n"/>
      <c r="H245" s="51" t="n"/>
      <c r="I245" s="51" t="n"/>
    </row>
    <row r="246">
      <c r="B246" s="51" t="n"/>
      <c r="C246" s="51" t="n"/>
      <c r="D246" s="51" t="n"/>
      <c r="E246" s="51" t="n"/>
      <c r="F246" s="51" t="n"/>
      <c r="G246" s="51" t="n"/>
      <c r="H246" s="51" t="n"/>
      <c r="I246" s="51" t="n"/>
    </row>
    <row r="247">
      <c r="B247" s="51" t="n"/>
      <c r="C247" s="51" t="n"/>
      <c r="D247" s="51" t="n"/>
      <c r="E247" s="51" t="n"/>
      <c r="F247" s="51" t="n"/>
      <c r="G247" s="51" t="n"/>
      <c r="H247" s="51" t="n"/>
      <c r="I247" s="51" t="n"/>
    </row>
    <row r="248">
      <c r="B248" s="51" t="n"/>
      <c r="C248" s="51" t="n"/>
      <c r="D248" s="51" t="n"/>
      <c r="E248" s="51" t="n"/>
      <c r="F248" s="51" t="n"/>
      <c r="G248" s="51" t="n"/>
      <c r="H248" s="51" t="n"/>
      <c r="I248" s="51" t="n"/>
    </row>
    <row r="249">
      <c r="B249" s="51" t="n"/>
      <c r="C249" s="51" t="n"/>
      <c r="D249" s="51" t="n"/>
      <c r="E249" s="51" t="n"/>
      <c r="F249" s="51" t="n"/>
      <c r="G249" s="51" t="n"/>
      <c r="H249" s="51" t="n"/>
      <c r="I249" s="51" t="n"/>
    </row>
    <row r="250">
      <c r="B250" s="51" t="n"/>
      <c r="C250" s="51" t="n"/>
      <c r="D250" s="51" t="n"/>
      <c r="E250" s="51" t="n"/>
      <c r="F250" s="51" t="n"/>
      <c r="G250" s="51" t="n"/>
      <c r="H250" s="51" t="n"/>
      <c r="I250" s="51" t="n"/>
    </row>
    <row r="251">
      <c r="B251" s="51" t="n"/>
      <c r="C251" s="51" t="n"/>
      <c r="D251" s="51" t="n"/>
      <c r="E251" s="51" t="n"/>
      <c r="F251" s="51" t="n"/>
      <c r="G251" s="51" t="n"/>
      <c r="H251" s="51" t="n"/>
      <c r="I251" s="51" t="n"/>
    </row>
    <row r="252">
      <c r="B252" s="51" t="n"/>
      <c r="C252" s="51" t="n"/>
      <c r="D252" s="51" t="n"/>
      <c r="E252" s="51" t="n"/>
      <c r="F252" s="51" t="n"/>
      <c r="G252" s="51" t="n"/>
      <c r="H252" s="51" t="n"/>
      <c r="I252" s="51" t="n"/>
    </row>
    <row r="253">
      <c r="B253" s="51" t="n"/>
      <c r="C253" s="51" t="n"/>
      <c r="D253" s="51" t="n"/>
      <c r="E253" s="51" t="n"/>
      <c r="F253" s="51" t="n"/>
      <c r="G253" s="51" t="n"/>
      <c r="H253" s="51" t="n"/>
      <c r="I253" s="51" t="n"/>
    </row>
    <row r="254">
      <c r="B254" s="51" t="n"/>
      <c r="C254" s="51" t="n"/>
      <c r="D254" s="51" t="n"/>
      <c r="E254" s="51" t="n"/>
      <c r="F254" s="51" t="n"/>
      <c r="G254" s="51" t="n"/>
      <c r="H254" s="51" t="n"/>
      <c r="I254" s="51" t="n"/>
    </row>
    <row r="255">
      <c r="B255" s="51" t="n"/>
      <c r="C255" s="51" t="n"/>
      <c r="D255" s="51" t="n"/>
      <c r="E255" s="51" t="n"/>
      <c r="F255" s="51" t="n"/>
      <c r="G255" s="51" t="n"/>
      <c r="H255" s="51" t="n"/>
      <c r="I255" s="51" t="n"/>
    </row>
    <row r="256">
      <c r="B256" s="51" t="n"/>
      <c r="C256" s="51" t="n"/>
      <c r="D256" s="51" t="n"/>
      <c r="E256" s="51" t="n"/>
      <c r="F256" s="51" t="n"/>
      <c r="G256" s="51" t="n"/>
      <c r="H256" s="51" t="n"/>
      <c r="I256" s="51" t="n"/>
    </row>
    <row r="257">
      <c r="B257" s="51" t="n"/>
      <c r="C257" s="51" t="n"/>
      <c r="D257" s="51" t="n"/>
      <c r="E257" s="51" t="n"/>
      <c r="F257" s="51" t="n"/>
      <c r="G257" s="51" t="n"/>
      <c r="H257" s="51" t="n"/>
      <c r="I257" s="51" t="n"/>
    </row>
    <row r="258">
      <c r="B258" s="51" t="n"/>
      <c r="C258" s="51" t="n"/>
      <c r="D258" s="51" t="n"/>
      <c r="E258" s="51" t="n"/>
      <c r="F258" s="51" t="n"/>
      <c r="G258" s="51" t="n"/>
      <c r="H258" s="51" t="n"/>
      <c r="I258" s="51" t="n"/>
    </row>
    <row r="259">
      <c r="B259" s="51" t="n"/>
      <c r="C259" s="51" t="n"/>
      <c r="D259" s="51" t="n"/>
      <c r="E259" s="51" t="n"/>
      <c r="F259" s="51" t="n"/>
      <c r="G259" s="51" t="n"/>
      <c r="H259" s="51" t="n"/>
      <c r="I259" s="51" t="n"/>
    </row>
    <row r="260">
      <c r="B260" s="51" t="n"/>
      <c r="C260" s="51" t="n"/>
      <c r="D260" s="51" t="n"/>
      <c r="E260" s="51" t="n"/>
      <c r="F260" s="51" t="n"/>
      <c r="G260" s="51" t="n"/>
      <c r="H260" s="51" t="n"/>
      <c r="I260" s="51" t="n"/>
    </row>
    <row r="261">
      <c r="B261" s="51" t="n"/>
      <c r="C261" s="51" t="n"/>
      <c r="D261" s="51" t="n"/>
      <c r="E261" s="51" t="n"/>
      <c r="F261" s="51" t="n"/>
      <c r="G261" s="51" t="n"/>
      <c r="H261" s="51" t="n"/>
      <c r="I261" s="51" t="n"/>
    </row>
    <row r="262">
      <c r="B262" s="51" t="n"/>
      <c r="C262" s="51" t="n"/>
      <c r="D262" s="51" t="n"/>
      <c r="E262" s="51" t="n"/>
      <c r="F262" s="51" t="n"/>
      <c r="G262" s="51" t="n"/>
      <c r="H262" s="51" t="n"/>
      <c r="I262" s="51" t="n"/>
    </row>
    <row r="263">
      <c r="B263" s="51" t="n"/>
      <c r="C263" s="51" t="n"/>
      <c r="D263" s="51" t="n"/>
      <c r="E263" s="51" t="n"/>
      <c r="F263" s="51" t="n"/>
      <c r="G263" s="51" t="n"/>
      <c r="H263" s="51" t="n"/>
      <c r="I263" s="51" t="n"/>
    </row>
    <row r="264">
      <c r="B264" s="51" t="n"/>
      <c r="C264" s="51" t="n"/>
      <c r="D264" s="51" t="n"/>
      <c r="E264" s="51" t="n"/>
      <c r="F264" s="51" t="n"/>
      <c r="G264" s="51" t="n"/>
      <c r="H264" s="51" t="n"/>
      <c r="I264" s="51" t="n"/>
    </row>
    <row r="265">
      <c r="B265" s="51" t="n"/>
      <c r="C265" s="51" t="n"/>
      <c r="D265" s="51" t="n"/>
      <c r="E265" s="51" t="n"/>
      <c r="F265" s="51" t="n"/>
      <c r="G265" s="51" t="n"/>
      <c r="H265" s="51" t="n"/>
      <c r="I265" s="51" t="n"/>
    </row>
    <row r="266">
      <c r="B266" s="51" t="n"/>
      <c r="C266" s="51" t="n"/>
      <c r="D266" s="51" t="n"/>
      <c r="E266" s="51" t="n"/>
      <c r="F266" s="51" t="n"/>
      <c r="G266" s="51" t="n"/>
      <c r="H266" s="51" t="n"/>
      <c r="I266" s="51" t="n"/>
    </row>
    <row r="267">
      <c r="B267" s="51" t="n"/>
      <c r="C267" s="51" t="n"/>
      <c r="D267" s="51" t="n"/>
      <c r="E267" s="51" t="n"/>
      <c r="F267" s="51" t="n"/>
      <c r="G267" s="51" t="n"/>
      <c r="H267" s="51" t="n"/>
      <c r="I267" s="51" t="n"/>
    </row>
    <row r="268">
      <c r="B268" s="51" t="n"/>
      <c r="C268" s="51" t="n"/>
      <c r="D268" s="51" t="n"/>
      <c r="E268" s="51" t="n"/>
      <c r="F268" s="51" t="n"/>
      <c r="G268" s="51" t="n"/>
      <c r="H268" s="51" t="n"/>
      <c r="I268" s="51" t="n"/>
    </row>
    <row r="269">
      <c r="B269" s="51" t="n"/>
      <c r="C269" s="51" t="n"/>
      <c r="D269" s="51" t="n"/>
      <c r="E269" s="51" t="n"/>
      <c r="F269" s="51" t="n"/>
      <c r="G269" s="51" t="n"/>
      <c r="H269" s="51" t="n"/>
      <c r="I269" s="51" t="n"/>
    </row>
    <row r="270">
      <c r="B270" s="51" t="n"/>
      <c r="C270" s="51" t="n"/>
      <c r="D270" s="51" t="n"/>
      <c r="E270" s="51" t="n"/>
      <c r="F270" s="51" t="n"/>
      <c r="G270" s="51" t="n"/>
      <c r="H270" s="51" t="n"/>
      <c r="I270" s="51" t="n"/>
    </row>
    <row r="271">
      <c r="B271" s="51" t="n"/>
      <c r="C271" s="51" t="n"/>
      <c r="D271" s="51" t="n"/>
      <c r="E271" s="51" t="n"/>
      <c r="F271" s="51" t="n"/>
      <c r="G271" s="51" t="n"/>
      <c r="H271" s="51" t="n"/>
      <c r="I271" s="51" t="n"/>
    </row>
    <row r="272">
      <c r="B272" s="51" t="n"/>
      <c r="C272" s="51" t="n"/>
      <c r="D272" s="51" t="n"/>
      <c r="E272" s="51" t="n"/>
      <c r="F272" s="51" t="n"/>
      <c r="G272" s="51" t="n"/>
      <c r="H272" s="51" t="n"/>
      <c r="I272" s="51" t="n"/>
    </row>
    <row r="273">
      <c r="B273" s="51" t="n"/>
      <c r="C273" s="51" t="n"/>
      <c r="D273" s="51" t="n"/>
      <c r="E273" s="51" t="n"/>
      <c r="F273" s="51" t="n"/>
      <c r="G273" s="51" t="n"/>
      <c r="H273" s="51" t="n"/>
      <c r="I273" s="51" t="n"/>
    </row>
    <row r="274">
      <c r="B274" s="51" t="n"/>
      <c r="C274" s="51" t="n"/>
      <c r="D274" s="51" t="n"/>
      <c r="E274" s="51" t="n"/>
      <c r="F274" s="51" t="n"/>
      <c r="G274" s="51" t="n"/>
      <c r="H274" s="51" t="n"/>
      <c r="I274" s="51" t="n"/>
    </row>
    <row r="275">
      <c r="B275" s="51" t="n"/>
      <c r="C275" s="51" t="n"/>
      <c r="D275" s="51" t="n"/>
      <c r="E275" s="51" t="n"/>
      <c r="F275" s="51" t="n"/>
      <c r="G275" s="51" t="n"/>
      <c r="H275" s="51" t="n"/>
      <c r="I275" s="51" t="n"/>
    </row>
    <row r="276">
      <c r="B276" s="51" t="n"/>
      <c r="C276" s="51" t="n"/>
      <c r="D276" s="51" t="n"/>
      <c r="E276" s="51" t="n"/>
      <c r="F276" s="51" t="n"/>
      <c r="G276" s="51" t="n"/>
      <c r="H276" s="51" t="n"/>
      <c r="I276" s="51" t="n"/>
    </row>
    <row r="277">
      <c r="B277" s="51" t="n"/>
      <c r="C277" s="51" t="n"/>
      <c r="D277" s="51" t="n"/>
      <c r="E277" s="51" t="n"/>
      <c r="F277" s="51" t="n"/>
      <c r="G277" s="51" t="n"/>
      <c r="H277" s="51" t="n"/>
      <c r="I277" s="51" t="n"/>
    </row>
    <row r="278">
      <c r="B278" s="51" t="n"/>
      <c r="C278" s="51" t="n"/>
      <c r="D278" s="51" t="n"/>
      <c r="E278" s="51" t="n"/>
      <c r="F278" s="51" t="n"/>
      <c r="G278" s="51" t="n"/>
      <c r="H278" s="51" t="n"/>
      <c r="I278" s="51" t="n"/>
    </row>
    <row r="279">
      <c r="B279" s="51" t="n"/>
      <c r="C279" s="51" t="n"/>
      <c r="D279" s="51" t="n"/>
      <c r="E279" s="51" t="n"/>
      <c r="F279" s="51" t="n"/>
      <c r="G279" s="51" t="n"/>
      <c r="H279" s="51" t="n"/>
      <c r="I279" s="51" t="n"/>
    </row>
    <row r="280">
      <c r="B280" s="51" t="n"/>
      <c r="C280" s="51" t="n"/>
      <c r="D280" s="51" t="n"/>
      <c r="E280" s="51" t="n"/>
      <c r="F280" s="51" t="n"/>
      <c r="G280" s="51" t="n"/>
      <c r="H280" s="51" t="n"/>
      <c r="I280" s="51" t="n"/>
    </row>
    <row r="281">
      <c r="B281" s="51" t="n"/>
      <c r="C281" s="51" t="n"/>
      <c r="D281" s="51" t="n"/>
      <c r="E281" s="51" t="n"/>
      <c r="F281" s="51" t="n"/>
      <c r="G281" s="51" t="n"/>
      <c r="H281" s="51" t="n"/>
      <c r="I281" s="51" t="n"/>
    </row>
    <row r="282">
      <c r="B282" s="51" t="n"/>
      <c r="C282" s="51" t="n"/>
      <c r="D282" s="51" t="n"/>
      <c r="E282" s="51" t="n"/>
      <c r="F282" s="51" t="n"/>
      <c r="G282" s="51" t="n"/>
      <c r="H282" s="51" t="n"/>
      <c r="I282" s="51" t="n"/>
    </row>
    <row r="283">
      <c r="B283" s="51" t="n"/>
      <c r="C283" s="51" t="n"/>
      <c r="D283" s="51" t="n"/>
      <c r="E283" s="51" t="n"/>
      <c r="F283" s="51" t="n"/>
      <c r="G283" s="51" t="n"/>
      <c r="H283" s="51" t="n"/>
      <c r="I283" s="51" t="n"/>
    </row>
    <row r="284">
      <c r="B284" s="51" t="n"/>
      <c r="C284" s="51" t="n"/>
      <c r="D284" s="51" t="n"/>
      <c r="E284" s="51" t="n"/>
      <c r="F284" s="51" t="n"/>
      <c r="G284" s="51" t="n"/>
      <c r="H284" s="51" t="n"/>
      <c r="I284" s="51" t="n"/>
    </row>
    <row r="285">
      <c r="B285" s="51" t="n"/>
      <c r="C285" s="51" t="n"/>
      <c r="D285" s="51" t="n"/>
      <c r="E285" s="51" t="n"/>
      <c r="F285" s="51" t="n"/>
      <c r="G285" s="51" t="n"/>
      <c r="H285" s="51" t="n"/>
      <c r="I285" s="51" t="n"/>
    </row>
    <row r="286">
      <c r="B286" s="51" t="n"/>
      <c r="C286" s="51" t="n"/>
      <c r="D286" s="51" t="n"/>
      <c r="E286" s="51" t="n"/>
      <c r="F286" s="51" t="n"/>
      <c r="G286" s="51" t="n"/>
      <c r="H286" s="51" t="n"/>
      <c r="I286" s="51" t="n"/>
    </row>
    <row r="287">
      <c r="B287" s="51" t="n"/>
      <c r="C287" s="51" t="n"/>
      <c r="D287" s="51" t="n"/>
      <c r="E287" s="51" t="n"/>
      <c r="F287" s="51" t="n"/>
      <c r="G287" s="51" t="n"/>
      <c r="H287" s="51" t="n"/>
      <c r="I287" s="51" t="n"/>
    </row>
    <row r="288">
      <c r="B288" s="51" t="n"/>
      <c r="C288" s="51" t="n"/>
      <c r="D288" s="51" t="n"/>
      <c r="E288" s="51" t="n"/>
      <c r="F288" s="51" t="n"/>
      <c r="G288" s="51" t="n"/>
      <c r="H288" s="51" t="n"/>
      <c r="I288" s="51" t="n"/>
    </row>
    <row r="289">
      <c r="B289" s="51" t="n"/>
      <c r="C289" s="51" t="n"/>
      <c r="D289" s="51" t="n"/>
      <c r="E289" s="51" t="n"/>
      <c r="F289" s="51" t="n"/>
      <c r="G289" s="51" t="n"/>
      <c r="H289" s="51" t="n"/>
      <c r="I289" s="51" t="n"/>
    </row>
    <row r="290">
      <c r="B290" s="51" t="n"/>
      <c r="C290" s="51" t="n"/>
      <c r="D290" s="51" t="n"/>
      <c r="E290" s="51" t="n"/>
      <c r="F290" s="51" t="n"/>
      <c r="G290" s="51" t="n"/>
      <c r="H290" s="51" t="n"/>
      <c r="I290" s="51" t="n"/>
    </row>
    <row r="291">
      <c r="B291" s="51" t="n"/>
      <c r="C291" s="51" t="n"/>
      <c r="D291" s="51" t="n"/>
      <c r="E291" s="51" t="n"/>
      <c r="F291" s="51" t="n"/>
      <c r="G291" s="51" t="n"/>
      <c r="H291" s="51" t="n"/>
      <c r="I291" s="51" t="n"/>
    </row>
    <row r="292">
      <c r="B292" s="51" t="n"/>
      <c r="C292" s="51" t="n"/>
      <c r="D292" s="51" t="n"/>
      <c r="E292" s="51" t="n"/>
      <c r="F292" s="51" t="n"/>
      <c r="G292" s="51" t="n"/>
      <c r="H292" s="51" t="n"/>
      <c r="I292" s="51" t="n"/>
    </row>
    <row r="293">
      <c r="B293" s="51" t="n"/>
      <c r="C293" s="51" t="n"/>
      <c r="D293" s="51" t="n"/>
      <c r="E293" s="51" t="n"/>
      <c r="F293" s="51" t="n"/>
      <c r="G293" s="51" t="n"/>
      <c r="H293" s="51" t="n"/>
      <c r="I293" s="51" t="n"/>
    </row>
    <row r="294">
      <c r="B294" s="51" t="n"/>
      <c r="C294" s="51" t="n"/>
      <c r="D294" s="51" t="n"/>
      <c r="E294" s="51" t="n"/>
      <c r="F294" s="51" t="n"/>
      <c r="G294" s="51" t="n"/>
      <c r="H294" s="51" t="n"/>
      <c r="I294" s="51" t="n"/>
    </row>
    <row r="295">
      <c r="B295" s="51" t="n"/>
      <c r="C295" s="51" t="n"/>
      <c r="D295" s="51" t="n"/>
      <c r="E295" s="51" t="n"/>
      <c r="F295" s="51" t="n"/>
      <c r="G295" s="51" t="n"/>
      <c r="H295" s="51" t="n"/>
      <c r="I295" s="51" t="n"/>
    </row>
    <row r="296">
      <c r="B296" s="51" t="n"/>
      <c r="C296" s="51" t="n"/>
      <c r="D296" s="51" t="n"/>
      <c r="E296" s="51" t="n"/>
      <c r="F296" s="51" t="n"/>
      <c r="G296" s="51" t="n"/>
      <c r="H296" s="51" t="n"/>
      <c r="I296" s="51" t="n"/>
    </row>
    <row r="297">
      <c r="B297" s="51" t="n"/>
      <c r="C297" s="51" t="n"/>
      <c r="D297" s="51" t="n"/>
      <c r="E297" s="51" t="n"/>
      <c r="F297" s="51" t="n"/>
      <c r="G297" s="51" t="n"/>
      <c r="H297" s="51" t="n"/>
      <c r="I297" s="51" t="n"/>
    </row>
    <row r="298">
      <c r="B298" s="51" t="n"/>
      <c r="C298" s="51" t="n"/>
      <c r="D298" s="51" t="n"/>
      <c r="E298" s="51" t="n"/>
      <c r="F298" s="51" t="n"/>
      <c r="G298" s="51" t="n"/>
      <c r="H298" s="51" t="n"/>
      <c r="I298" s="51" t="n"/>
    </row>
    <row r="299">
      <c r="B299" s="51" t="n"/>
      <c r="C299" s="51" t="n"/>
      <c r="D299" s="51" t="n"/>
      <c r="E299" s="51" t="n"/>
      <c r="F299" s="51" t="n"/>
      <c r="G299" s="51" t="n"/>
      <c r="H299" s="51" t="n"/>
      <c r="I299" s="51" t="n"/>
    </row>
    <row r="300">
      <c r="B300" s="51" t="n"/>
      <c r="C300" s="51" t="n"/>
      <c r="D300" s="51" t="n"/>
      <c r="E300" s="51" t="n"/>
      <c r="F300" s="51" t="n"/>
      <c r="G300" s="51" t="n"/>
      <c r="H300" s="51" t="n"/>
      <c r="I300" s="51" t="n"/>
    </row>
    <row r="301">
      <c r="B301" s="51" t="n"/>
      <c r="C301" s="51" t="n"/>
      <c r="D301" s="51" t="n"/>
      <c r="E301" s="51" t="n"/>
      <c r="F301" s="51" t="n"/>
      <c r="G301" s="51" t="n"/>
      <c r="H301" s="51" t="n"/>
      <c r="I301" s="51" t="n"/>
    </row>
    <row r="302">
      <c r="B302" s="51" t="n"/>
      <c r="C302" s="51" t="n"/>
      <c r="D302" s="51" t="n"/>
      <c r="E302" s="51" t="n"/>
      <c r="F302" s="51" t="n"/>
      <c r="G302" s="51" t="n"/>
      <c r="H302" s="51" t="n"/>
      <c r="I302" s="51" t="n"/>
    </row>
    <row r="303">
      <c r="B303" s="51" t="n"/>
      <c r="C303" s="51" t="n"/>
      <c r="D303" s="51" t="n"/>
      <c r="E303" s="51" t="n"/>
      <c r="F303" s="51" t="n"/>
      <c r="G303" s="51" t="n"/>
      <c r="H303" s="51" t="n"/>
      <c r="I303" s="51" t="n"/>
    </row>
    <row r="304">
      <c r="B304" s="51" t="n"/>
      <c r="C304" s="51" t="n"/>
      <c r="D304" s="51" t="n"/>
      <c r="E304" s="51" t="n"/>
      <c r="F304" s="51" t="n"/>
      <c r="G304" s="51" t="n"/>
      <c r="H304" s="51" t="n"/>
      <c r="I304" s="51" t="n"/>
    </row>
    <row r="305">
      <c r="B305" s="51" t="n"/>
      <c r="C305" s="51" t="n"/>
      <c r="D305" s="51" t="n"/>
      <c r="E305" s="51" t="n"/>
      <c r="F305" s="51" t="n"/>
      <c r="G305" s="51" t="n"/>
      <c r="H305" s="51" t="n"/>
      <c r="I305" s="51" t="n"/>
    </row>
    <row r="306">
      <c r="B306" s="51" t="n"/>
      <c r="C306" s="51" t="n"/>
      <c r="D306" s="51" t="n"/>
      <c r="E306" s="51" t="n"/>
      <c r="F306" s="51" t="n"/>
      <c r="G306" s="51" t="n"/>
      <c r="H306" s="51" t="n"/>
      <c r="I306" s="51" t="n"/>
    </row>
    <row r="307">
      <c r="B307" s="51" t="n"/>
      <c r="C307" s="51" t="n"/>
      <c r="D307" s="51" t="n"/>
      <c r="E307" s="51" t="n"/>
      <c r="F307" s="51" t="n"/>
      <c r="G307" s="51" t="n"/>
      <c r="H307" s="51" t="n"/>
      <c r="I307" s="51" t="n"/>
    </row>
    <row r="308">
      <c r="B308" s="51" t="n"/>
      <c r="C308" s="51" t="n"/>
      <c r="D308" s="51" t="n"/>
      <c r="E308" s="51" t="n"/>
      <c r="F308" s="51" t="n"/>
      <c r="G308" s="51" t="n"/>
      <c r="H308" s="51" t="n"/>
      <c r="I308" s="51" t="n"/>
    </row>
    <row r="309">
      <c r="B309" s="51" t="n"/>
      <c r="C309" s="51" t="n"/>
      <c r="D309" s="51" t="n"/>
      <c r="E309" s="51" t="n"/>
      <c r="F309" s="51" t="n"/>
      <c r="G309" s="51" t="n"/>
      <c r="H309" s="51" t="n"/>
      <c r="I309" s="51" t="n"/>
    </row>
    <row r="310">
      <c r="B310" s="51" t="n"/>
      <c r="C310" s="51" t="n"/>
      <c r="D310" s="51" t="n"/>
      <c r="E310" s="51" t="n"/>
      <c r="F310" s="51" t="n"/>
      <c r="G310" s="51" t="n"/>
      <c r="H310" s="51" t="n"/>
      <c r="I310" s="51" t="n"/>
    </row>
    <row r="311">
      <c r="B311" s="51" t="n"/>
      <c r="C311" s="51" t="n"/>
      <c r="D311" s="51" t="n"/>
      <c r="E311" s="51" t="n"/>
      <c r="F311" s="51" t="n"/>
      <c r="G311" s="51" t="n"/>
      <c r="H311" s="51" t="n"/>
      <c r="I311" s="51" t="n"/>
    </row>
    <row r="312">
      <c r="B312" s="51" t="n"/>
      <c r="C312" s="51" t="n"/>
      <c r="D312" s="51" t="n"/>
      <c r="E312" s="51" t="n"/>
      <c r="F312" s="51" t="n"/>
      <c r="G312" s="51" t="n"/>
      <c r="H312" s="51" t="n"/>
      <c r="I312" s="51" t="n"/>
    </row>
    <row r="313">
      <c r="B313" s="51" t="n"/>
      <c r="C313" s="51" t="n"/>
      <c r="D313" s="51" t="n"/>
      <c r="E313" s="51" t="n"/>
      <c r="F313" s="51" t="n"/>
      <c r="G313" s="51" t="n"/>
      <c r="H313" s="51" t="n"/>
      <c r="I313" s="51" t="n"/>
    </row>
    <row r="314">
      <c r="B314" s="51" t="n"/>
      <c r="C314" s="51" t="n"/>
      <c r="D314" s="51" t="n"/>
      <c r="E314" s="51" t="n"/>
      <c r="F314" s="51" t="n"/>
      <c r="G314" s="51" t="n"/>
      <c r="H314" s="51" t="n"/>
      <c r="I314" s="51" t="n"/>
    </row>
    <row r="315">
      <c r="B315" s="51" t="n"/>
      <c r="C315" s="51" t="n"/>
      <c r="D315" s="51" t="n"/>
      <c r="E315" s="51" t="n"/>
      <c r="F315" s="51" t="n"/>
      <c r="G315" s="51" t="n"/>
      <c r="H315" s="51" t="n"/>
      <c r="I315" s="51" t="n"/>
    </row>
    <row r="316">
      <c r="B316" s="51" t="n"/>
      <c r="C316" s="51" t="n"/>
      <c r="D316" s="51" t="n"/>
      <c r="E316" s="51" t="n"/>
      <c r="F316" s="51" t="n"/>
      <c r="G316" s="51" t="n"/>
      <c r="H316" s="51" t="n"/>
      <c r="I316" s="51" t="n"/>
    </row>
    <row r="317">
      <c r="B317" s="51" t="n"/>
      <c r="C317" s="51" t="n"/>
      <c r="D317" s="51" t="n"/>
      <c r="E317" s="51" t="n"/>
      <c r="F317" s="51" t="n"/>
      <c r="G317" s="51" t="n"/>
      <c r="H317" s="51" t="n"/>
      <c r="I317" s="51" t="n"/>
    </row>
    <row r="318">
      <c r="B318" s="51" t="n"/>
      <c r="C318" s="51" t="n"/>
      <c r="D318" s="51" t="n"/>
      <c r="E318" s="51" t="n"/>
      <c r="F318" s="51" t="n"/>
      <c r="G318" s="51" t="n"/>
      <c r="H318" s="51" t="n"/>
      <c r="I318" s="51" t="n"/>
    </row>
    <row r="319">
      <c r="B319" s="51" t="n"/>
      <c r="C319" s="51" t="n"/>
      <c r="D319" s="51" t="n"/>
      <c r="E319" s="51" t="n"/>
      <c r="F319" s="51" t="n"/>
      <c r="G319" s="51" t="n"/>
      <c r="H319" s="51" t="n"/>
      <c r="I319" s="51" t="n"/>
    </row>
    <row r="320">
      <c r="B320" s="51" t="n"/>
      <c r="C320" s="51" t="n"/>
      <c r="D320" s="51" t="n"/>
      <c r="E320" s="51" t="n"/>
      <c r="F320" s="51" t="n"/>
      <c r="G320" s="51" t="n"/>
      <c r="H320" s="51" t="n"/>
      <c r="I320" s="51" t="n"/>
    </row>
    <row r="321">
      <c r="B321" s="51" t="n"/>
      <c r="C321" s="51" t="n"/>
      <c r="D321" s="51" t="n"/>
      <c r="E321" s="51" t="n"/>
      <c r="F321" s="51" t="n"/>
      <c r="G321" s="51" t="n"/>
      <c r="H321" s="51" t="n"/>
      <c r="I321" s="51" t="n"/>
    </row>
    <row r="322">
      <c r="B322" s="51" t="n"/>
      <c r="C322" s="51" t="n"/>
      <c r="D322" s="51" t="n"/>
      <c r="E322" s="51" t="n"/>
      <c r="F322" s="51" t="n"/>
      <c r="G322" s="51" t="n"/>
      <c r="H322" s="51" t="n"/>
      <c r="I322" s="51" t="n"/>
    </row>
    <row r="323">
      <c r="B323" s="51" t="n"/>
      <c r="C323" s="51" t="n"/>
      <c r="D323" s="51" t="n"/>
      <c r="E323" s="51" t="n"/>
      <c r="F323" s="51" t="n"/>
      <c r="G323" s="51" t="n"/>
      <c r="H323" s="51" t="n"/>
      <c r="I323" s="51" t="n"/>
    </row>
    <row r="324">
      <c r="B324" s="51" t="n"/>
      <c r="C324" s="51" t="n"/>
      <c r="D324" s="51" t="n"/>
      <c r="E324" s="51" t="n"/>
      <c r="F324" s="51" t="n"/>
      <c r="G324" s="51" t="n"/>
      <c r="H324" s="51" t="n"/>
      <c r="I324" s="51" t="n"/>
    </row>
    <row r="325">
      <c r="B325" s="51" t="n"/>
      <c r="C325" s="51" t="n"/>
      <c r="D325" s="51" t="n"/>
      <c r="E325" s="51" t="n"/>
      <c r="F325" s="51" t="n"/>
      <c r="G325" s="51" t="n"/>
      <c r="H325" s="51" t="n"/>
      <c r="I325" s="51" t="n"/>
    </row>
    <row r="326">
      <c r="B326" s="51" t="n"/>
      <c r="C326" s="51" t="n"/>
      <c r="D326" s="51" t="n"/>
      <c r="E326" s="51" t="n"/>
      <c r="F326" s="51" t="n"/>
      <c r="G326" s="51" t="n"/>
      <c r="H326" s="51" t="n"/>
      <c r="I326" s="51" t="n"/>
    </row>
    <row r="327">
      <c r="B327" s="51" t="n"/>
      <c r="C327" s="51" t="n"/>
      <c r="D327" s="51" t="n"/>
      <c r="E327" s="51" t="n"/>
      <c r="F327" s="51" t="n"/>
      <c r="G327" s="51" t="n"/>
      <c r="H327" s="51" t="n"/>
      <c r="I327" s="51" t="n"/>
    </row>
    <row r="328">
      <c r="B328" s="51" t="n"/>
      <c r="C328" s="51" t="n"/>
      <c r="D328" s="51" t="n"/>
      <c r="E328" s="51" t="n"/>
      <c r="F328" s="51" t="n"/>
      <c r="G328" s="51" t="n"/>
      <c r="H328" s="51" t="n"/>
      <c r="I328" s="51" t="n"/>
    </row>
    <row r="329">
      <c r="B329" s="51" t="n"/>
      <c r="C329" s="51" t="n"/>
      <c r="D329" s="51" t="n"/>
      <c r="E329" s="51" t="n"/>
      <c r="F329" s="51" t="n"/>
      <c r="G329" s="51" t="n"/>
      <c r="H329" s="51" t="n"/>
      <c r="I329" s="51" t="n"/>
    </row>
    <row r="330">
      <c r="B330" s="51" t="n"/>
      <c r="C330" s="51" t="n"/>
      <c r="D330" s="51" t="n"/>
      <c r="E330" s="51" t="n"/>
      <c r="F330" s="51" t="n"/>
      <c r="G330" s="51" t="n"/>
      <c r="H330" s="51" t="n"/>
      <c r="I330" s="51" t="n"/>
    </row>
    <row r="331">
      <c r="B331" s="51" t="n"/>
      <c r="C331" s="51" t="n"/>
      <c r="D331" s="51" t="n"/>
      <c r="E331" s="51" t="n"/>
      <c r="F331" s="51" t="n"/>
      <c r="G331" s="51" t="n"/>
      <c r="H331" s="51" t="n"/>
      <c r="I331" s="51" t="n"/>
    </row>
    <row r="332">
      <c r="B332" s="51" t="n"/>
      <c r="C332" s="51" t="n"/>
      <c r="D332" s="51" t="n"/>
      <c r="E332" s="51" t="n"/>
      <c r="F332" s="51" t="n"/>
      <c r="G332" s="51" t="n"/>
      <c r="H332" s="51" t="n"/>
      <c r="I332" s="51" t="n"/>
    </row>
    <row r="333">
      <c r="B333" s="51" t="n"/>
      <c r="C333" s="51" t="n"/>
      <c r="D333" s="51" t="n"/>
      <c r="E333" s="51" t="n"/>
      <c r="F333" s="51" t="n"/>
      <c r="G333" s="51" t="n"/>
      <c r="H333" s="51" t="n"/>
      <c r="I333" s="51" t="n"/>
    </row>
    <row r="334">
      <c r="B334" s="51" t="n"/>
      <c r="C334" s="51" t="n"/>
      <c r="D334" s="51" t="n"/>
      <c r="E334" s="51" t="n"/>
      <c r="F334" s="51" t="n"/>
      <c r="G334" s="51" t="n"/>
      <c r="H334" s="51" t="n"/>
      <c r="I334" s="51" t="n"/>
    </row>
    <row r="335">
      <c r="B335" s="51" t="n"/>
      <c r="C335" s="51" t="n"/>
      <c r="D335" s="51" t="n"/>
      <c r="E335" s="51" t="n"/>
      <c r="F335" s="51" t="n"/>
      <c r="G335" s="51" t="n"/>
      <c r="H335" s="51" t="n"/>
      <c r="I335" s="51" t="n"/>
    </row>
    <row r="336">
      <c r="B336" s="51" t="n"/>
      <c r="C336" s="51" t="n"/>
      <c r="D336" s="51" t="n"/>
      <c r="E336" s="51" t="n"/>
      <c r="F336" s="51" t="n"/>
      <c r="G336" s="51" t="n"/>
      <c r="H336" s="51" t="n"/>
      <c r="I336" s="51" t="n"/>
    </row>
    <row r="337">
      <c r="B337" s="51" t="n"/>
      <c r="C337" s="51" t="n"/>
      <c r="D337" s="51" t="n"/>
      <c r="E337" s="51" t="n"/>
      <c r="F337" s="51" t="n"/>
      <c r="G337" s="51" t="n"/>
      <c r="H337" s="51" t="n"/>
      <c r="I337" s="51" t="n"/>
    </row>
    <row r="338">
      <c r="B338" s="51" t="n"/>
      <c r="C338" s="51" t="n"/>
      <c r="D338" s="51" t="n"/>
      <c r="E338" s="51" t="n"/>
      <c r="F338" s="51" t="n"/>
      <c r="G338" s="51" t="n"/>
      <c r="H338" s="51" t="n"/>
      <c r="I338" s="51" t="n"/>
    </row>
    <row r="339">
      <c r="B339" s="51" t="n"/>
      <c r="C339" s="51" t="n"/>
      <c r="D339" s="51" t="n"/>
      <c r="E339" s="51" t="n"/>
      <c r="F339" s="51" t="n"/>
      <c r="G339" s="51" t="n"/>
      <c r="H339" s="51" t="n"/>
      <c r="I339" s="51" t="n"/>
    </row>
    <row r="340">
      <c r="B340" s="51" t="n"/>
      <c r="C340" s="51" t="n"/>
      <c r="D340" s="51" t="n"/>
      <c r="E340" s="51" t="n"/>
      <c r="F340" s="51" t="n"/>
      <c r="G340" s="51" t="n"/>
      <c r="H340" s="51" t="n"/>
      <c r="I340" s="51" t="n"/>
    </row>
    <row r="341">
      <c r="B341" s="51" t="n"/>
      <c r="C341" s="51" t="n"/>
      <c r="D341" s="51" t="n"/>
      <c r="E341" s="51" t="n"/>
      <c r="F341" s="51" t="n"/>
      <c r="G341" s="51" t="n"/>
      <c r="H341" s="51" t="n"/>
      <c r="I341" s="51" t="n"/>
    </row>
    <row r="342">
      <c r="B342" s="51" t="n"/>
      <c r="C342" s="51" t="n"/>
      <c r="D342" s="51" t="n"/>
      <c r="E342" s="51" t="n"/>
      <c r="F342" s="51" t="n"/>
      <c r="G342" s="51" t="n"/>
      <c r="H342" s="51" t="n"/>
      <c r="I342" s="51" t="n"/>
    </row>
    <row r="343">
      <c r="B343" s="51" t="n"/>
      <c r="C343" s="51" t="n"/>
      <c r="D343" s="51" t="n"/>
      <c r="E343" s="51" t="n"/>
      <c r="F343" s="51" t="n"/>
      <c r="G343" s="51" t="n"/>
      <c r="H343" s="51" t="n"/>
      <c r="I343" s="51" t="n"/>
    </row>
    <row r="344">
      <c r="B344" s="51" t="n"/>
      <c r="C344" s="51" t="n"/>
      <c r="D344" s="51" t="n"/>
      <c r="E344" s="51" t="n"/>
      <c r="F344" s="51" t="n"/>
      <c r="G344" s="51" t="n"/>
      <c r="H344" s="51" t="n"/>
      <c r="I344" s="51" t="n"/>
    </row>
    <row r="345">
      <c r="B345" s="51" t="n"/>
      <c r="C345" s="51" t="n"/>
      <c r="D345" s="51" t="n"/>
      <c r="E345" s="51" t="n"/>
      <c r="F345" s="51" t="n"/>
      <c r="G345" s="51" t="n"/>
      <c r="H345" s="51" t="n"/>
      <c r="I345" s="51" t="n"/>
    </row>
    <row r="346">
      <c r="B346" s="51" t="n"/>
      <c r="C346" s="51" t="n"/>
      <c r="D346" s="51" t="n"/>
      <c r="E346" s="51" t="n"/>
      <c r="F346" s="51" t="n"/>
      <c r="G346" s="51" t="n"/>
      <c r="H346" s="51" t="n"/>
      <c r="I346" s="51" t="n"/>
    </row>
    <row r="347">
      <c r="B347" s="51" t="n"/>
      <c r="C347" s="51" t="n"/>
      <c r="D347" s="51" t="n"/>
      <c r="E347" s="51" t="n"/>
      <c r="F347" s="51" t="n"/>
      <c r="G347" s="51" t="n"/>
      <c r="H347" s="51" t="n"/>
      <c r="I347" s="51" t="n"/>
    </row>
    <row r="348">
      <c r="B348" s="51" t="n"/>
      <c r="C348" s="51" t="n"/>
      <c r="D348" s="51" t="n"/>
      <c r="E348" s="51" t="n"/>
      <c r="F348" s="51" t="n"/>
      <c r="G348" s="51" t="n"/>
      <c r="H348" s="51" t="n"/>
      <c r="I348" s="51" t="n"/>
    </row>
    <row r="349">
      <c r="B349" s="51" t="n"/>
      <c r="C349" s="51" t="n"/>
      <c r="D349" s="51" t="n"/>
      <c r="E349" s="51" t="n"/>
      <c r="F349" s="51" t="n"/>
      <c r="G349" s="51" t="n"/>
      <c r="H349" s="51" t="n"/>
      <c r="I349" s="51" t="n"/>
    </row>
    <row r="350">
      <c r="B350" s="51" t="n"/>
      <c r="C350" s="51" t="n"/>
      <c r="D350" s="51" t="n"/>
      <c r="E350" s="51" t="n"/>
      <c r="F350" s="51" t="n"/>
      <c r="G350" s="51" t="n"/>
      <c r="H350" s="51" t="n"/>
      <c r="I350" s="51" t="n"/>
    </row>
    <row r="351">
      <c r="B351" s="51" t="n"/>
      <c r="C351" s="51" t="n"/>
      <c r="D351" s="51" t="n"/>
      <c r="E351" s="51" t="n"/>
      <c r="F351" s="51" t="n"/>
      <c r="G351" s="51" t="n"/>
      <c r="H351" s="51" t="n"/>
      <c r="I351" s="51" t="n"/>
    </row>
    <row r="352">
      <c r="B352" s="51" t="n"/>
      <c r="C352" s="51" t="n"/>
      <c r="D352" s="51" t="n"/>
      <c r="E352" s="51" t="n"/>
      <c r="F352" s="51" t="n"/>
      <c r="G352" s="51" t="n"/>
      <c r="H352" s="51" t="n"/>
      <c r="I352" s="51" t="n"/>
    </row>
    <row r="353">
      <c r="B353" s="51" t="n"/>
      <c r="C353" s="51" t="n"/>
      <c r="D353" s="51" t="n"/>
      <c r="E353" s="51" t="n"/>
      <c r="F353" s="51" t="n"/>
      <c r="G353" s="51" t="n"/>
      <c r="H353" s="51" t="n"/>
      <c r="I353" s="51" t="n"/>
    </row>
    <row r="354">
      <c r="B354" s="51" t="n"/>
      <c r="C354" s="51" t="n"/>
      <c r="D354" s="51" t="n"/>
      <c r="E354" s="51" t="n"/>
      <c r="F354" s="51" t="n"/>
      <c r="G354" s="51" t="n"/>
      <c r="H354" s="51" t="n"/>
      <c r="I354" s="51" t="n"/>
    </row>
    <row r="355">
      <c r="B355" s="51" t="n"/>
      <c r="C355" s="51" t="n"/>
      <c r="D355" s="51" t="n"/>
      <c r="E355" s="51" t="n"/>
      <c r="F355" s="51" t="n"/>
      <c r="G355" s="51" t="n"/>
      <c r="H355" s="51" t="n"/>
      <c r="I355" s="51" t="n"/>
    </row>
    <row r="356">
      <c r="B356" s="51" t="n"/>
      <c r="C356" s="51" t="n"/>
      <c r="D356" s="51" t="n"/>
      <c r="E356" s="51" t="n"/>
      <c r="F356" s="51" t="n"/>
      <c r="G356" s="51" t="n"/>
      <c r="H356" s="51" t="n"/>
      <c r="I356" s="51" t="n"/>
    </row>
    <row r="357">
      <c r="B357" s="51" t="n"/>
      <c r="C357" s="51" t="n"/>
      <c r="D357" s="51" t="n"/>
      <c r="E357" s="51" t="n"/>
      <c r="F357" s="51" t="n"/>
      <c r="G357" s="51" t="n"/>
      <c r="H357" s="51" t="n"/>
      <c r="I357" s="51" t="n"/>
    </row>
    <row r="358">
      <c r="B358" s="51" t="n"/>
      <c r="C358" s="51" t="n"/>
      <c r="D358" s="51" t="n"/>
      <c r="E358" s="51" t="n"/>
      <c r="F358" s="51" t="n"/>
      <c r="G358" s="51" t="n"/>
      <c r="H358" s="51" t="n"/>
      <c r="I358" s="51" t="n"/>
    </row>
    <row r="359">
      <c r="B359" s="51" t="n"/>
      <c r="C359" s="51" t="n"/>
      <c r="D359" s="51" t="n"/>
      <c r="E359" s="51" t="n"/>
      <c r="F359" s="51" t="n"/>
      <c r="G359" s="51" t="n"/>
      <c r="H359" s="51" t="n"/>
      <c r="I359" s="51" t="n"/>
    </row>
    <row r="360">
      <c r="B360" s="51" t="n"/>
      <c r="C360" s="51" t="n"/>
      <c r="D360" s="51" t="n"/>
      <c r="E360" s="51" t="n"/>
      <c r="F360" s="51" t="n"/>
      <c r="G360" s="51" t="n"/>
      <c r="H360" s="51" t="n"/>
      <c r="I360" s="51" t="n"/>
    </row>
    <row r="361">
      <c r="B361" s="51" t="n"/>
      <c r="C361" s="51" t="n"/>
      <c r="D361" s="51" t="n"/>
      <c r="E361" s="51" t="n"/>
      <c r="F361" s="51" t="n"/>
      <c r="G361" s="51" t="n"/>
      <c r="H361" s="51" t="n"/>
      <c r="I361" s="51" t="n"/>
    </row>
    <row r="362">
      <c r="B362" s="51" t="n"/>
      <c r="C362" s="51" t="n"/>
      <c r="D362" s="51" t="n"/>
      <c r="E362" s="51" t="n"/>
      <c r="F362" s="51" t="n"/>
      <c r="G362" s="51" t="n"/>
      <c r="H362" s="51" t="n"/>
      <c r="I362" s="51" t="n"/>
    </row>
    <row r="363">
      <c r="B363" s="51" t="n"/>
      <c r="C363" s="51" t="n"/>
      <c r="D363" s="51" t="n"/>
      <c r="E363" s="51" t="n"/>
      <c r="F363" s="51" t="n"/>
      <c r="G363" s="51" t="n"/>
      <c r="H363" s="51" t="n"/>
      <c r="I363" s="51" t="n"/>
    </row>
    <row r="364">
      <c r="B364" s="51" t="n"/>
      <c r="C364" s="51" t="n"/>
      <c r="D364" s="51" t="n"/>
      <c r="E364" s="51" t="n"/>
      <c r="F364" s="51" t="n"/>
      <c r="G364" s="51" t="n"/>
      <c r="H364" s="51" t="n"/>
      <c r="I364" s="51" t="n"/>
    </row>
    <row r="365">
      <c r="B365" s="51" t="n"/>
      <c r="C365" s="51" t="n"/>
      <c r="D365" s="51" t="n"/>
      <c r="E365" s="51" t="n"/>
      <c r="F365" s="51" t="n"/>
      <c r="G365" s="51" t="n"/>
      <c r="H365" s="51" t="n"/>
      <c r="I365" s="51" t="n"/>
    </row>
    <row r="366">
      <c r="B366" s="51" t="n"/>
      <c r="C366" s="51" t="n"/>
      <c r="D366" s="51" t="n"/>
      <c r="E366" s="51" t="n"/>
      <c r="F366" s="51" t="n"/>
      <c r="G366" s="51" t="n"/>
      <c r="H366" s="51" t="n"/>
      <c r="I366" s="51" t="n"/>
    </row>
    <row r="367">
      <c r="B367" s="51" t="n"/>
      <c r="C367" s="51" t="n"/>
      <c r="D367" s="51" t="n"/>
      <c r="E367" s="51" t="n"/>
      <c r="F367" s="51" t="n"/>
      <c r="G367" s="51" t="n"/>
      <c r="H367" s="51" t="n"/>
      <c r="I367" s="51" t="n"/>
    </row>
    <row r="368">
      <c r="B368" s="51" t="n"/>
      <c r="C368" s="51" t="n"/>
      <c r="D368" s="51" t="n"/>
      <c r="E368" s="51" t="n"/>
      <c r="F368" s="51" t="n"/>
      <c r="G368" s="51" t="n"/>
      <c r="H368" s="51" t="n"/>
      <c r="I368" s="51" t="n"/>
    </row>
    <row r="369">
      <c r="B369" s="51" t="n"/>
      <c r="C369" s="51" t="n"/>
      <c r="D369" s="51" t="n"/>
      <c r="E369" s="51" t="n"/>
      <c r="F369" s="51" t="n"/>
      <c r="G369" s="51" t="n"/>
      <c r="H369" s="51" t="n"/>
      <c r="I369" s="51" t="n"/>
    </row>
    <row r="370">
      <c r="B370" s="51" t="n"/>
      <c r="C370" s="51" t="n"/>
      <c r="D370" s="51" t="n"/>
      <c r="E370" s="51" t="n"/>
      <c r="F370" s="51" t="n"/>
      <c r="G370" s="51" t="n"/>
      <c r="H370" s="51" t="n"/>
      <c r="I370" s="51" t="n"/>
    </row>
    <row r="371">
      <c r="B371" s="51" t="n"/>
      <c r="C371" s="51" t="n"/>
      <c r="D371" s="51" t="n"/>
      <c r="E371" s="51" t="n"/>
      <c r="F371" s="51" t="n"/>
      <c r="G371" s="51" t="n"/>
      <c r="H371" s="51" t="n"/>
      <c r="I371" s="51" t="n"/>
    </row>
    <row r="372">
      <c r="B372" s="51" t="n"/>
      <c r="C372" s="51" t="n"/>
      <c r="D372" s="51" t="n"/>
      <c r="E372" s="51" t="n"/>
      <c r="F372" s="51" t="n"/>
      <c r="G372" s="51" t="n"/>
      <c r="H372" s="51" t="n"/>
      <c r="I372" s="51" t="n"/>
    </row>
    <row r="373">
      <c r="B373" s="51" t="n"/>
      <c r="C373" s="51" t="n"/>
      <c r="D373" s="51" t="n"/>
      <c r="E373" s="51" t="n"/>
      <c r="F373" s="51" t="n"/>
      <c r="G373" s="51" t="n"/>
      <c r="H373" s="51" t="n"/>
      <c r="I373" s="51" t="n"/>
    </row>
    <row r="374">
      <c r="B374" s="51" t="n"/>
      <c r="C374" s="51" t="n"/>
      <c r="D374" s="51" t="n"/>
      <c r="E374" s="51" t="n"/>
      <c r="F374" s="51" t="n"/>
      <c r="G374" s="51" t="n"/>
      <c r="H374" s="51" t="n"/>
      <c r="I374" s="51" t="n"/>
    </row>
    <row r="375">
      <c r="B375" s="51" t="n"/>
      <c r="C375" s="51" t="n"/>
      <c r="D375" s="51" t="n"/>
      <c r="E375" s="51" t="n"/>
      <c r="F375" s="51" t="n"/>
      <c r="G375" s="51" t="n"/>
      <c r="H375" s="51" t="n"/>
      <c r="I375" s="51" t="n"/>
    </row>
    <row r="376">
      <c r="B376" s="51" t="n"/>
      <c r="C376" s="51" t="n"/>
      <c r="D376" s="51" t="n"/>
      <c r="E376" s="51" t="n"/>
      <c r="F376" s="51" t="n"/>
      <c r="G376" s="51" t="n"/>
      <c r="H376" s="51" t="n"/>
      <c r="I376" s="51" t="n"/>
    </row>
    <row r="377">
      <c r="B377" s="51" t="n"/>
      <c r="C377" s="51" t="n"/>
      <c r="D377" s="51" t="n"/>
      <c r="E377" s="51" t="n"/>
      <c r="F377" s="51" t="n"/>
      <c r="G377" s="51" t="n"/>
      <c r="H377" s="51" t="n"/>
      <c r="I377" s="51" t="n"/>
    </row>
    <row r="378">
      <c r="B378" s="51" t="n"/>
      <c r="C378" s="51" t="n"/>
      <c r="D378" s="51" t="n"/>
      <c r="E378" s="51" t="n"/>
      <c r="F378" s="51" t="n"/>
      <c r="G378" s="51" t="n"/>
      <c r="H378" s="51" t="n"/>
      <c r="I378" s="51" t="n"/>
    </row>
    <row r="379">
      <c r="B379" s="51" t="n"/>
      <c r="C379" s="51" t="n"/>
      <c r="D379" s="51" t="n"/>
      <c r="E379" s="51" t="n"/>
      <c r="F379" s="51" t="n"/>
      <c r="G379" s="51" t="n"/>
      <c r="H379" s="51" t="n"/>
      <c r="I379" s="51" t="n"/>
    </row>
    <row r="380">
      <c r="B380" s="51" t="n"/>
      <c r="C380" s="51" t="n"/>
      <c r="D380" s="51" t="n"/>
      <c r="E380" s="51" t="n"/>
      <c r="F380" s="51" t="n"/>
      <c r="G380" s="51" t="n"/>
      <c r="H380" s="51" t="n"/>
      <c r="I380" s="51" t="n"/>
    </row>
    <row r="381">
      <c r="B381" s="51" t="n"/>
      <c r="C381" s="51" t="n"/>
      <c r="D381" s="51" t="n"/>
      <c r="E381" s="51" t="n"/>
      <c r="F381" s="51" t="n"/>
      <c r="G381" s="51" t="n"/>
      <c r="H381" s="51" t="n"/>
      <c r="I381" s="51" t="n"/>
    </row>
    <row r="382">
      <c r="B382" s="51" t="n"/>
      <c r="C382" s="51" t="n"/>
      <c r="D382" s="51" t="n"/>
      <c r="E382" s="51" t="n"/>
      <c r="F382" s="51" t="n"/>
      <c r="G382" s="51" t="n"/>
      <c r="H382" s="51" t="n"/>
      <c r="I382" s="51" t="n"/>
    </row>
    <row r="383">
      <c r="B383" s="51" t="n"/>
      <c r="C383" s="51" t="n"/>
      <c r="D383" s="51" t="n"/>
      <c r="E383" s="51" t="n"/>
      <c r="F383" s="51" t="n"/>
      <c r="G383" s="51" t="n"/>
      <c r="H383" s="51" t="n"/>
      <c r="I383" s="51" t="n"/>
    </row>
    <row r="384">
      <c r="B384" s="51" t="n"/>
      <c r="C384" s="51" t="n"/>
      <c r="D384" s="51" t="n"/>
      <c r="E384" s="51" t="n"/>
      <c r="F384" s="51" t="n"/>
      <c r="G384" s="51" t="n"/>
      <c r="H384" s="51" t="n"/>
      <c r="I384" s="51" t="n"/>
    </row>
    <row r="385">
      <c r="B385" s="51" t="n"/>
      <c r="C385" s="51" t="n"/>
      <c r="D385" s="51" t="n"/>
      <c r="E385" s="51" t="n"/>
      <c r="F385" s="51" t="n"/>
      <c r="G385" s="51" t="n"/>
      <c r="H385" s="51" t="n"/>
      <c r="I385" s="51" t="n"/>
    </row>
    <row r="386">
      <c r="B386" s="51" t="n"/>
      <c r="C386" s="51" t="n"/>
      <c r="D386" s="51" t="n"/>
      <c r="E386" s="51" t="n"/>
      <c r="F386" s="51" t="n"/>
      <c r="G386" s="51" t="n"/>
      <c r="H386" s="51" t="n"/>
      <c r="I386" s="51" t="n"/>
    </row>
    <row r="387">
      <c r="B387" s="51" t="n"/>
      <c r="C387" s="51" t="n"/>
      <c r="D387" s="51" t="n"/>
      <c r="E387" s="51" t="n"/>
      <c r="F387" s="51" t="n"/>
      <c r="G387" s="51" t="n"/>
      <c r="H387" s="51" t="n"/>
      <c r="I387" s="51" t="n"/>
    </row>
    <row r="388">
      <c r="B388" s="51" t="n"/>
      <c r="C388" s="51" t="n"/>
      <c r="D388" s="51" t="n"/>
      <c r="E388" s="51" t="n"/>
      <c r="F388" s="51" t="n"/>
      <c r="G388" s="51" t="n"/>
      <c r="H388" s="51" t="n"/>
      <c r="I388" s="51" t="n"/>
    </row>
    <row r="389">
      <c r="B389" s="51" t="n"/>
      <c r="C389" s="51" t="n"/>
      <c r="D389" s="51" t="n"/>
      <c r="E389" s="51" t="n"/>
      <c r="F389" s="51" t="n"/>
      <c r="G389" s="51" t="n"/>
      <c r="H389" s="51" t="n"/>
      <c r="I389" s="51" t="n"/>
    </row>
    <row r="390">
      <c r="B390" s="51" t="n"/>
      <c r="C390" s="51" t="n"/>
      <c r="D390" s="51" t="n"/>
      <c r="E390" s="51" t="n"/>
      <c r="F390" s="51" t="n"/>
      <c r="G390" s="51" t="n"/>
      <c r="H390" s="51" t="n"/>
      <c r="I390" s="51" t="n"/>
    </row>
    <row r="391">
      <c r="B391" s="51" t="n"/>
      <c r="C391" s="51" t="n"/>
      <c r="D391" s="51" t="n"/>
      <c r="E391" s="51" t="n"/>
      <c r="F391" s="51" t="n"/>
      <c r="G391" s="51" t="n"/>
      <c r="H391" s="51" t="n"/>
      <c r="I391" s="51" t="n"/>
    </row>
    <row r="392">
      <c r="B392" s="51" t="n"/>
      <c r="C392" s="51" t="n"/>
      <c r="D392" s="51" t="n"/>
      <c r="E392" s="51" t="n"/>
      <c r="F392" s="51" t="n"/>
      <c r="G392" s="51" t="n"/>
      <c r="H392" s="51" t="n"/>
      <c r="I392" s="51" t="n"/>
    </row>
    <row r="393">
      <c r="B393" s="51" t="n"/>
      <c r="C393" s="51" t="n"/>
      <c r="D393" s="51" t="n"/>
      <c r="E393" s="51" t="n"/>
      <c r="F393" s="51" t="n"/>
      <c r="G393" s="51" t="n"/>
      <c r="H393" s="51" t="n"/>
      <c r="I393" s="51" t="n"/>
    </row>
    <row r="394">
      <c r="B394" s="51" t="n"/>
      <c r="C394" s="51" t="n"/>
      <c r="D394" s="51" t="n"/>
      <c r="E394" s="51" t="n"/>
      <c r="F394" s="51" t="n"/>
      <c r="G394" s="51" t="n"/>
      <c r="H394" s="51" t="n"/>
      <c r="I394" s="51" t="n"/>
    </row>
    <row r="395">
      <c r="B395" s="51" t="n"/>
      <c r="C395" s="51" t="n"/>
      <c r="D395" s="51" t="n"/>
      <c r="E395" s="51" t="n"/>
      <c r="F395" s="51" t="n"/>
      <c r="G395" s="51" t="n"/>
      <c r="H395" s="51" t="n"/>
      <c r="I395" s="51" t="n"/>
    </row>
    <row r="396">
      <c r="B396" s="51" t="n"/>
      <c r="C396" s="51" t="n"/>
      <c r="D396" s="51" t="n"/>
      <c r="E396" s="51" t="n"/>
      <c r="F396" s="51" t="n"/>
      <c r="G396" s="51" t="n"/>
      <c r="H396" s="51" t="n"/>
      <c r="I396" s="51" t="n"/>
    </row>
    <row r="397">
      <c r="B397" s="51" t="n"/>
      <c r="C397" s="51" t="n"/>
      <c r="D397" s="51" t="n"/>
      <c r="E397" s="51" t="n"/>
      <c r="F397" s="51" t="n"/>
      <c r="G397" s="51" t="n"/>
      <c r="H397" s="51" t="n"/>
      <c r="I397" s="51" t="n"/>
    </row>
    <row r="398">
      <c r="B398" s="51" t="n"/>
      <c r="C398" s="51" t="n"/>
      <c r="D398" s="51" t="n"/>
      <c r="E398" s="51" t="n"/>
      <c r="F398" s="51" t="n"/>
      <c r="G398" s="51" t="n"/>
      <c r="H398" s="51" t="n"/>
      <c r="I398" s="51" t="n"/>
    </row>
    <row r="399">
      <c r="B399" s="51" t="n"/>
      <c r="C399" s="51" t="n"/>
      <c r="D399" s="51" t="n"/>
      <c r="E399" s="51" t="n"/>
      <c r="F399" s="51" t="n"/>
      <c r="G399" s="51" t="n"/>
      <c r="H399" s="51" t="n"/>
      <c r="I399" s="51" t="n"/>
    </row>
    <row r="400">
      <c r="B400" s="51" t="n"/>
      <c r="C400" s="51" t="n"/>
      <c r="D400" s="51" t="n"/>
      <c r="E400" s="51" t="n"/>
      <c r="F400" s="51" t="n"/>
      <c r="G400" s="51" t="n"/>
      <c r="H400" s="51" t="n"/>
      <c r="I400" s="51" t="n"/>
    </row>
    <row r="401">
      <c r="B401" s="51" t="n"/>
      <c r="C401" s="51" t="n"/>
      <c r="D401" s="51" t="n"/>
      <c r="E401" s="51" t="n"/>
      <c r="F401" s="51" t="n"/>
      <c r="G401" s="51" t="n"/>
      <c r="H401" s="51" t="n"/>
      <c r="I401" s="51" t="n"/>
    </row>
    <row r="402">
      <c r="B402" s="51" t="n"/>
      <c r="C402" s="51" t="n"/>
      <c r="D402" s="51" t="n"/>
      <c r="E402" s="51" t="n"/>
      <c r="F402" s="51" t="n"/>
      <c r="G402" s="51" t="n"/>
      <c r="H402" s="51" t="n"/>
      <c r="I402" s="51" t="n"/>
    </row>
    <row r="403">
      <c r="B403" s="51" t="n"/>
      <c r="C403" s="51" t="n"/>
      <c r="D403" s="51" t="n"/>
      <c r="E403" s="51" t="n"/>
      <c r="F403" s="51" t="n"/>
      <c r="G403" s="51" t="n"/>
      <c r="H403" s="51" t="n"/>
      <c r="I403" s="51" t="n"/>
    </row>
    <row r="404">
      <c r="B404" s="51" t="n"/>
      <c r="C404" s="51" t="n"/>
      <c r="D404" s="51" t="n"/>
      <c r="E404" s="51" t="n"/>
      <c r="F404" s="51" t="n"/>
      <c r="G404" s="51" t="n"/>
      <c r="H404" s="51" t="n"/>
      <c r="I404" s="51" t="n"/>
    </row>
    <row r="405">
      <c r="B405" s="51" t="n"/>
      <c r="C405" s="51" t="n"/>
      <c r="D405" s="51" t="n"/>
      <c r="E405" s="51" t="n"/>
      <c r="F405" s="51" t="n"/>
      <c r="G405" s="51" t="n"/>
      <c r="H405" s="51" t="n"/>
      <c r="I405" s="51" t="n"/>
    </row>
    <row r="406">
      <c r="B406" s="51" t="n"/>
      <c r="C406" s="51" t="n"/>
      <c r="D406" s="51" t="n"/>
      <c r="E406" s="51" t="n"/>
      <c r="F406" s="51" t="n"/>
      <c r="G406" s="51" t="n"/>
      <c r="H406" s="51" t="n"/>
      <c r="I406" s="51" t="n"/>
    </row>
    <row r="407">
      <c r="B407" s="51" t="n"/>
      <c r="C407" s="51" t="n"/>
      <c r="D407" s="51" t="n"/>
      <c r="E407" s="51" t="n"/>
      <c r="F407" s="51" t="n"/>
      <c r="G407" s="51" t="n"/>
      <c r="H407" s="51" t="n"/>
      <c r="I407" s="51" t="n"/>
    </row>
    <row r="408">
      <c r="B408" s="51" t="n"/>
      <c r="C408" s="51" t="n"/>
      <c r="D408" s="51" t="n"/>
      <c r="E408" s="51" t="n"/>
      <c r="F408" s="51" t="n"/>
      <c r="G408" s="51" t="n"/>
      <c r="H408" s="51" t="n"/>
      <c r="I408" s="51" t="n"/>
    </row>
    <row r="409">
      <c r="B409" s="51" t="n"/>
      <c r="C409" s="51" t="n"/>
      <c r="D409" s="51" t="n"/>
      <c r="E409" s="51" t="n"/>
      <c r="F409" s="51" t="n"/>
      <c r="G409" s="51" t="n"/>
      <c r="H409" s="51" t="n"/>
      <c r="I409" s="51" t="n"/>
    </row>
    <row r="410">
      <c r="B410" s="51" t="n"/>
      <c r="C410" s="51" t="n"/>
      <c r="D410" s="51" t="n"/>
      <c r="E410" s="51" t="n"/>
      <c r="F410" s="51" t="n"/>
      <c r="G410" s="51" t="n"/>
      <c r="H410" s="51" t="n"/>
      <c r="I410" s="51" t="n"/>
    </row>
    <row r="411">
      <c r="B411" s="51" t="n"/>
      <c r="C411" s="51" t="n"/>
      <c r="D411" s="51" t="n"/>
      <c r="E411" s="51" t="n"/>
      <c r="F411" s="51" t="n"/>
      <c r="G411" s="51" t="n"/>
      <c r="H411" s="51" t="n"/>
      <c r="I411" s="51" t="n"/>
    </row>
    <row r="412">
      <c r="B412" s="51" t="n"/>
      <c r="C412" s="51" t="n"/>
      <c r="D412" s="51" t="n"/>
      <c r="E412" s="51" t="n"/>
      <c r="F412" s="51" t="n"/>
      <c r="G412" s="51" t="n"/>
      <c r="H412" s="51" t="n"/>
      <c r="I412" s="51" t="n"/>
    </row>
    <row r="413">
      <c r="B413" s="51" t="n"/>
      <c r="C413" s="51" t="n"/>
      <c r="D413" s="51" t="n"/>
      <c r="E413" s="51" t="n"/>
      <c r="F413" s="51" t="n"/>
      <c r="G413" s="51" t="n"/>
      <c r="H413" s="51" t="n"/>
      <c r="I413" s="51" t="n"/>
    </row>
    <row r="414">
      <c r="B414" s="51" t="n"/>
      <c r="C414" s="51" t="n"/>
      <c r="D414" s="51" t="n"/>
      <c r="E414" s="51" t="n"/>
      <c r="F414" s="51" t="n"/>
      <c r="G414" s="51" t="n"/>
      <c r="H414" s="51" t="n"/>
      <c r="I414" s="51" t="n"/>
    </row>
    <row r="415">
      <c r="B415" s="51" t="n"/>
      <c r="C415" s="51" t="n"/>
      <c r="D415" s="51" t="n"/>
      <c r="E415" s="51" t="n"/>
      <c r="F415" s="51" t="n"/>
      <c r="G415" s="51" t="n"/>
      <c r="H415" s="51" t="n"/>
      <c r="I415" s="51" t="n"/>
    </row>
    <row r="416">
      <c r="B416" s="51" t="n"/>
      <c r="C416" s="51" t="n"/>
      <c r="D416" s="51" t="n"/>
      <c r="E416" s="51" t="n"/>
      <c r="F416" s="51" t="n"/>
      <c r="G416" s="51" t="n"/>
      <c r="H416" s="51" t="n"/>
      <c r="I416" s="51" t="n"/>
    </row>
    <row r="417">
      <c r="B417" s="51" t="n"/>
      <c r="C417" s="51" t="n"/>
      <c r="D417" s="51" t="n"/>
      <c r="E417" s="51" t="n"/>
      <c r="F417" s="51" t="n"/>
      <c r="G417" s="51" t="n"/>
      <c r="H417" s="51" t="n"/>
      <c r="I417" s="51" t="n"/>
    </row>
    <row r="418">
      <c r="B418" s="51" t="n"/>
      <c r="C418" s="51" t="n"/>
      <c r="D418" s="51" t="n"/>
      <c r="E418" s="51" t="n"/>
      <c r="F418" s="51" t="n"/>
      <c r="G418" s="51" t="n"/>
      <c r="H418" s="51" t="n"/>
      <c r="I418" s="51" t="n"/>
    </row>
    <row r="419">
      <c r="B419" s="51" t="n"/>
      <c r="C419" s="51" t="n"/>
      <c r="D419" s="51" t="n"/>
      <c r="E419" s="51" t="n"/>
      <c r="F419" s="51" t="n"/>
      <c r="G419" s="51" t="n"/>
      <c r="H419" s="51" t="n"/>
      <c r="I419" s="51" t="n"/>
    </row>
    <row r="420">
      <c r="B420" s="51" t="n"/>
      <c r="C420" s="51" t="n"/>
      <c r="D420" s="51" t="n"/>
      <c r="E420" s="51" t="n"/>
      <c r="F420" s="51" t="n"/>
      <c r="G420" s="51" t="n"/>
      <c r="H420" s="51" t="n"/>
      <c r="I420" s="51" t="n"/>
    </row>
    <row r="421">
      <c r="B421" s="51" t="n"/>
      <c r="C421" s="51" t="n"/>
      <c r="D421" s="51" t="n"/>
      <c r="E421" s="51" t="n"/>
      <c r="F421" s="51" t="n"/>
      <c r="G421" s="51" t="n"/>
      <c r="H421" s="51" t="n"/>
      <c r="I421" s="51" t="n"/>
    </row>
    <row r="422">
      <c r="B422" s="51" t="n"/>
      <c r="C422" s="51" t="n"/>
      <c r="D422" s="51" t="n"/>
      <c r="E422" s="51" t="n"/>
      <c r="F422" s="51" t="n"/>
      <c r="G422" s="51" t="n"/>
      <c r="H422" s="51" t="n"/>
      <c r="I422" s="51" t="n"/>
    </row>
    <row r="423">
      <c r="B423" s="51" t="n"/>
      <c r="C423" s="51" t="n"/>
      <c r="D423" s="51" t="n"/>
      <c r="E423" s="51" t="n"/>
      <c r="F423" s="51" t="n"/>
      <c r="G423" s="51" t="n"/>
      <c r="H423" s="51" t="n"/>
      <c r="I423" s="51" t="n"/>
    </row>
    <row r="424">
      <c r="B424" s="51" t="n"/>
      <c r="C424" s="51" t="n"/>
      <c r="D424" s="51" t="n"/>
      <c r="E424" s="51" t="n"/>
      <c r="F424" s="51" t="n"/>
      <c r="G424" s="51" t="n"/>
      <c r="H424" s="51" t="n"/>
      <c r="I424" s="51" t="n"/>
    </row>
    <row r="425">
      <c r="B425" s="51" t="n"/>
      <c r="C425" s="51" t="n"/>
      <c r="D425" s="51" t="n"/>
      <c r="E425" s="51" t="n"/>
      <c r="F425" s="51" t="n"/>
      <c r="G425" s="51" t="n"/>
      <c r="H425" s="51" t="n"/>
      <c r="I425" s="51" t="n"/>
    </row>
    <row r="426">
      <c r="B426" s="51" t="n"/>
      <c r="C426" s="51" t="n"/>
      <c r="D426" s="51" t="n"/>
      <c r="E426" s="51" t="n"/>
      <c r="F426" s="51" t="n"/>
      <c r="G426" s="51" t="n"/>
      <c r="H426" s="51" t="n"/>
      <c r="I426" s="51" t="n"/>
    </row>
    <row r="427">
      <c r="B427" s="51" t="n"/>
      <c r="C427" s="51" t="n"/>
      <c r="D427" s="51" t="n"/>
      <c r="E427" s="51" t="n"/>
      <c r="F427" s="51" t="n"/>
      <c r="G427" s="51" t="n"/>
      <c r="H427" s="51" t="n"/>
      <c r="I427" s="51" t="n"/>
    </row>
    <row r="428">
      <c r="B428" s="51" t="n"/>
      <c r="C428" s="51" t="n"/>
      <c r="D428" s="51" t="n"/>
      <c r="E428" s="51" t="n"/>
      <c r="F428" s="51" t="n"/>
      <c r="G428" s="51" t="n"/>
      <c r="H428" s="51" t="n"/>
      <c r="I428" s="51" t="n"/>
    </row>
    <row r="429">
      <c r="B429" s="51" t="n"/>
      <c r="C429" s="51" t="n"/>
      <c r="D429" s="51" t="n"/>
      <c r="E429" s="51" t="n"/>
      <c r="F429" s="51" t="n"/>
      <c r="G429" s="51" t="n"/>
      <c r="H429" s="51" t="n"/>
      <c r="I429" s="51" t="n"/>
    </row>
    <row r="430">
      <c r="B430" s="51" t="n"/>
      <c r="C430" s="51" t="n"/>
      <c r="D430" s="51" t="n"/>
      <c r="E430" s="51" t="n"/>
      <c r="F430" s="51" t="n"/>
      <c r="G430" s="51" t="n"/>
      <c r="H430" s="51" t="n"/>
      <c r="I430" s="51" t="n"/>
    </row>
    <row r="431">
      <c r="B431" s="51" t="n"/>
      <c r="C431" s="51" t="n"/>
      <c r="D431" s="51" t="n"/>
      <c r="E431" s="51" t="n"/>
      <c r="F431" s="51" t="n"/>
      <c r="G431" s="51" t="n"/>
      <c r="H431" s="51" t="n"/>
      <c r="I431" s="51" t="n"/>
    </row>
    <row r="432">
      <c r="B432" s="51" t="n"/>
      <c r="C432" s="51" t="n"/>
      <c r="D432" s="51" t="n"/>
      <c r="E432" s="51" t="n"/>
      <c r="F432" s="51" t="n"/>
      <c r="G432" s="51" t="n"/>
      <c r="H432" s="51" t="n"/>
      <c r="I432" s="51" t="n"/>
    </row>
    <row r="433">
      <c r="B433" s="51" t="n"/>
      <c r="C433" s="51" t="n"/>
      <c r="D433" s="51" t="n"/>
      <c r="E433" s="51" t="n"/>
      <c r="F433" s="51" t="n"/>
      <c r="G433" s="51" t="n"/>
      <c r="H433" s="51" t="n"/>
      <c r="I433" s="51" t="n"/>
    </row>
    <row r="434">
      <c r="B434" s="51" t="n"/>
      <c r="C434" s="51" t="n"/>
      <c r="D434" s="51" t="n"/>
      <c r="E434" s="51" t="n"/>
      <c r="F434" s="51" t="n"/>
      <c r="G434" s="51" t="n"/>
      <c r="H434" s="51" t="n"/>
      <c r="I434" s="51" t="n"/>
    </row>
    <row r="435">
      <c r="B435" s="51" t="n"/>
      <c r="C435" s="51" t="n"/>
      <c r="D435" s="51" t="n"/>
      <c r="E435" s="51" t="n"/>
      <c r="F435" s="51" t="n"/>
      <c r="G435" s="51" t="n"/>
      <c r="H435" s="51" t="n"/>
      <c r="I435" s="51" t="n"/>
    </row>
    <row r="436">
      <c r="B436" s="51" t="n"/>
      <c r="C436" s="51" t="n"/>
      <c r="D436" s="51" t="n"/>
      <c r="E436" s="51" t="n"/>
      <c r="F436" s="51" t="n"/>
      <c r="G436" s="51" t="n"/>
      <c r="H436" s="51" t="n"/>
      <c r="I436" s="51" t="n"/>
    </row>
    <row r="437">
      <c r="B437" s="51" t="n"/>
      <c r="C437" s="51" t="n"/>
      <c r="D437" s="51" t="n"/>
      <c r="E437" s="51" t="n"/>
      <c r="F437" s="51" t="n"/>
      <c r="G437" s="51" t="n"/>
      <c r="H437" s="51" t="n"/>
      <c r="I437" s="51" t="n"/>
    </row>
    <row r="438">
      <c r="B438" s="51" t="n"/>
      <c r="C438" s="51" t="n"/>
      <c r="D438" s="51" t="n"/>
      <c r="E438" s="51" t="n"/>
      <c r="F438" s="51" t="n"/>
      <c r="G438" s="51" t="n"/>
      <c r="H438" s="51" t="n"/>
      <c r="I438" s="51" t="n"/>
    </row>
    <row r="439">
      <c r="B439" s="51" t="n"/>
      <c r="C439" s="51" t="n"/>
      <c r="D439" s="51" t="n"/>
      <c r="E439" s="51" t="n"/>
      <c r="F439" s="51" t="n"/>
      <c r="G439" s="51" t="n"/>
      <c r="H439" s="51" t="n"/>
      <c r="I439" s="51" t="n"/>
    </row>
    <row r="440">
      <c r="B440" s="51" t="n"/>
      <c r="C440" s="51" t="n"/>
      <c r="D440" s="51" t="n"/>
      <c r="E440" s="51" t="n"/>
      <c r="F440" s="51" t="n"/>
      <c r="G440" s="51" t="n"/>
      <c r="H440" s="51" t="n"/>
      <c r="I440" s="51" t="n"/>
    </row>
    <row r="441">
      <c r="B441" s="51" t="n"/>
      <c r="C441" s="51" t="n"/>
      <c r="D441" s="51" t="n"/>
      <c r="E441" s="51" t="n"/>
      <c r="F441" s="51" t="n"/>
      <c r="G441" s="51" t="n"/>
      <c r="H441" s="51" t="n"/>
      <c r="I441" s="51" t="n"/>
    </row>
    <row r="442">
      <c r="B442" s="51" t="n"/>
      <c r="C442" s="51" t="n"/>
      <c r="D442" s="51" t="n"/>
      <c r="E442" s="51" t="n"/>
      <c r="F442" s="51" t="n"/>
      <c r="G442" s="51" t="n"/>
      <c r="H442" s="51" t="n"/>
      <c r="I442" s="51" t="n"/>
    </row>
    <row r="443">
      <c r="B443" s="51" t="n"/>
      <c r="C443" s="51" t="n"/>
      <c r="D443" s="51" t="n"/>
      <c r="E443" s="51" t="n"/>
      <c r="F443" s="51" t="n"/>
      <c r="G443" s="51" t="n"/>
      <c r="H443" s="51" t="n"/>
      <c r="I443" s="51" t="n"/>
    </row>
    <row r="444">
      <c r="B444" s="51" t="n"/>
      <c r="C444" s="51" t="n"/>
      <c r="D444" s="51" t="n"/>
      <c r="E444" s="51" t="n"/>
      <c r="F444" s="51" t="n"/>
      <c r="G444" s="51" t="n"/>
      <c r="H444" s="51" t="n"/>
      <c r="I444" s="51" t="n"/>
    </row>
    <row r="445">
      <c r="B445" s="51" t="n"/>
      <c r="C445" s="51" t="n"/>
      <c r="D445" s="51" t="n"/>
      <c r="E445" s="51" t="n"/>
      <c r="F445" s="51" t="n"/>
      <c r="G445" s="51" t="n"/>
      <c r="H445" s="51" t="n"/>
      <c r="I445" s="51" t="n"/>
    </row>
    <row r="446">
      <c r="B446" s="51" t="n"/>
      <c r="C446" s="51" t="n"/>
      <c r="D446" s="51" t="n"/>
      <c r="E446" s="51" t="n"/>
      <c r="F446" s="51" t="n"/>
      <c r="G446" s="51" t="n"/>
      <c r="H446" s="51" t="n"/>
      <c r="I446" s="51" t="n"/>
    </row>
    <row r="447">
      <c r="B447" s="51" t="n"/>
      <c r="C447" s="51" t="n"/>
      <c r="D447" s="51" t="n"/>
      <c r="E447" s="51" t="n"/>
      <c r="F447" s="51" t="n"/>
      <c r="G447" s="51" t="n"/>
      <c r="H447" s="51" t="n"/>
      <c r="I447" s="51" t="n"/>
    </row>
    <row r="448">
      <c r="B448" s="51" t="n"/>
      <c r="C448" s="51" t="n"/>
      <c r="D448" s="51" t="n"/>
      <c r="E448" s="51" t="n"/>
      <c r="F448" s="51" t="n"/>
      <c r="G448" s="51" t="n"/>
      <c r="H448" s="51" t="n"/>
      <c r="I448" s="51" t="n"/>
    </row>
    <row r="449">
      <c r="B449" s="51" t="n"/>
      <c r="C449" s="51" t="n"/>
      <c r="D449" s="51" t="n"/>
      <c r="E449" s="51" t="n"/>
      <c r="F449" s="51" t="n"/>
      <c r="G449" s="51" t="n"/>
      <c r="H449" s="51" t="n"/>
      <c r="I449" s="51" t="n"/>
    </row>
    <row r="450">
      <c r="B450" s="51" t="n"/>
      <c r="C450" s="51" t="n"/>
      <c r="D450" s="51" t="n"/>
      <c r="E450" s="51" t="n"/>
      <c r="F450" s="51" t="n"/>
      <c r="G450" s="51" t="n"/>
      <c r="H450" s="51" t="n"/>
      <c r="I450" s="51" t="n"/>
    </row>
    <row r="451">
      <c r="B451" s="51" t="n"/>
      <c r="C451" s="51" t="n"/>
      <c r="D451" s="51" t="n"/>
      <c r="E451" s="51" t="n"/>
      <c r="F451" s="51" t="n"/>
      <c r="G451" s="51" t="n"/>
      <c r="H451" s="51" t="n"/>
      <c r="I451" s="51" t="n"/>
    </row>
    <row r="452">
      <c r="B452" s="51" t="n"/>
      <c r="C452" s="51" t="n"/>
      <c r="D452" s="51" t="n"/>
      <c r="E452" s="51" t="n"/>
      <c r="F452" s="51" t="n"/>
      <c r="G452" s="51" t="n"/>
      <c r="H452" s="51" t="n"/>
      <c r="I452" s="51" t="n"/>
    </row>
    <row r="453">
      <c r="B453" s="51" t="n"/>
      <c r="C453" s="51" t="n"/>
      <c r="D453" s="51" t="n"/>
      <c r="E453" s="51" t="n"/>
      <c r="F453" s="51" t="n"/>
      <c r="G453" s="51" t="n"/>
      <c r="H453" s="51" t="n"/>
      <c r="I453" s="51" t="n"/>
    </row>
    <row r="454">
      <c r="B454" s="51" t="n"/>
      <c r="C454" s="51" t="n"/>
      <c r="D454" s="51" t="n"/>
      <c r="E454" s="51" t="n"/>
      <c r="F454" s="51" t="n"/>
      <c r="G454" s="51" t="n"/>
      <c r="H454" s="51" t="n"/>
      <c r="I454" s="51" t="n"/>
    </row>
    <row r="455">
      <c r="B455" s="51" t="n"/>
      <c r="C455" s="51" t="n"/>
      <c r="D455" s="51" t="n"/>
      <c r="E455" s="51" t="n"/>
      <c r="F455" s="51" t="n"/>
      <c r="G455" s="51" t="n"/>
      <c r="H455" s="51" t="n"/>
      <c r="I455" s="51" t="n"/>
    </row>
    <row r="456">
      <c r="B456" s="51" t="n"/>
      <c r="C456" s="51" t="n"/>
      <c r="D456" s="51" t="n"/>
      <c r="E456" s="51" t="n"/>
      <c r="F456" s="51" t="n"/>
      <c r="G456" s="51" t="n"/>
      <c r="H456" s="51" t="n"/>
      <c r="I456" s="51" t="n"/>
    </row>
    <row r="457">
      <c r="B457" s="51" t="n"/>
      <c r="C457" s="51" t="n"/>
      <c r="D457" s="51" t="n"/>
      <c r="E457" s="51" t="n"/>
      <c r="F457" s="51" t="n"/>
      <c r="G457" s="51" t="n"/>
      <c r="H457" s="51" t="n"/>
      <c r="I457" s="51" t="n"/>
    </row>
    <row r="458">
      <c r="B458" s="51" t="n"/>
      <c r="C458" s="51" t="n"/>
      <c r="D458" s="51" t="n"/>
      <c r="E458" s="51" t="n"/>
      <c r="F458" s="51" t="n"/>
      <c r="G458" s="51" t="n"/>
      <c r="H458" s="51" t="n"/>
      <c r="I458" s="51" t="n"/>
    </row>
    <row r="459">
      <c r="B459" s="51" t="n"/>
      <c r="C459" s="51" t="n"/>
      <c r="D459" s="51" t="n"/>
      <c r="E459" s="51" t="n"/>
      <c r="F459" s="51" t="n"/>
      <c r="G459" s="51" t="n"/>
      <c r="H459" s="51" t="n"/>
      <c r="I459" s="51" t="n"/>
    </row>
    <row r="460">
      <c r="B460" s="51" t="n"/>
      <c r="C460" s="51" t="n"/>
      <c r="D460" s="51" t="n"/>
      <c r="E460" s="51" t="n"/>
      <c r="F460" s="51" t="n"/>
      <c r="G460" s="51" t="n"/>
      <c r="H460" s="51" t="n"/>
      <c r="I460" s="51" t="n"/>
    </row>
    <row r="461">
      <c r="B461" s="51" t="n"/>
      <c r="C461" s="51" t="n"/>
      <c r="D461" s="51" t="n"/>
      <c r="E461" s="51" t="n"/>
      <c r="F461" s="51" t="n"/>
      <c r="G461" s="51" t="n"/>
      <c r="H461" s="51" t="n"/>
      <c r="I461" s="51" t="n"/>
    </row>
    <row r="462">
      <c r="B462" s="51" t="n"/>
      <c r="C462" s="51" t="n"/>
      <c r="D462" s="51" t="n"/>
      <c r="E462" s="51" t="n"/>
      <c r="F462" s="51" t="n"/>
      <c r="G462" s="51" t="n"/>
      <c r="H462" s="51" t="n"/>
      <c r="I462" s="51" t="n"/>
    </row>
    <row r="463">
      <c r="B463" s="51" t="n"/>
      <c r="C463" s="51" t="n"/>
      <c r="D463" s="51" t="n"/>
      <c r="E463" s="51" t="n"/>
      <c r="F463" s="51" t="n"/>
      <c r="G463" s="51" t="n"/>
      <c r="H463" s="51" t="n"/>
      <c r="I463" s="51" t="n"/>
    </row>
    <row r="464">
      <c r="B464" s="51" t="n"/>
      <c r="C464" s="51" t="n"/>
      <c r="D464" s="51" t="n"/>
      <c r="E464" s="51" t="n"/>
      <c r="F464" s="51" t="n"/>
      <c r="G464" s="51" t="n"/>
      <c r="H464" s="51" t="n"/>
      <c r="I464" s="51" t="n"/>
    </row>
    <row r="465">
      <c r="B465" s="51" t="n"/>
      <c r="C465" s="51" t="n"/>
      <c r="D465" s="51" t="n"/>
      <c r="E465" s="51" t="n"/>
      <c r="F465" s="51" t="n"/>
      <c r="G465" s="51" t="n"/>
      <c r="H465" s="51" t="n"/>
      <c r="I465" s="51" t="n"/>
    </row>
    <row r="466">
      <c r="B466" s="51" t="n"/>
      <c r="C466" s="51" t="n"/>
      <c r="D466" s="51" t="n"/>
      <c r="E466" s="51" t="n"/>
      <c r="F466" s="51" t="n"/>
      <c r="G466" s="51" t="n"/>
      <c r="H466" s="51" t="n"/>
      <c r="I466" s="51" t="n"/>
    </row>
    <row r="467">
      <c r="B467" s="51" t="n"/>
      <c r="C467" s="51" t="n"/>
      <c r="D467" s="51" t="n"/>
      <c r="E467" s="51" t="n"/>
      <c r="F467" s="51" t="n"/>
      <c r="G467" s="51" t="n"/>
      <c r="H467" s="51" t="n"/>
      <c r="I467" s="51" t="n"/>
    </row>
    <row r="468">
      <c r="B468" s="51" t="n"/>
      <c r="C468" s="51" t="n"/>
      <c r="D468" s="51" t="n"/>
      <c r="E468" s="51" t="n"/>
      <c r="F468" s="51" t="n"/>
      <c r="G468" s="51" t="n"/>
      <c r="H468" s="51" t="n"/>
      <c r="I468" s="51" t="n"/>
    </row>
    <row r="469">
      <c r="B469" s="51" t="n"/>
      <c r="C469" s="51" t="n"/>
      <c r="D469" s="51" t="n"/>
      <c r="E469" s="51" t="n"/>
      <c r="F469" s="51" t="n"/>
      <c r="G469" s="51" t="n"/>
      <c r="H469" s="51" t="n"/>
      <c r="I469" s="51" t="n"/>
    </row>
    <row r="470">
      <c r="B470" s="51" t="n"/>
      <c r="C470" s="51" t="n"/>
      <c r="D470" s="51" t="n"/>
      <c r="E470" s="51" t="n"/>
      <c r="F470" s="51" t="n"/>
      <c r="G470" s="51" t="n"/>
      <c r="H470" s="51" t="n"/>
      <c r="I470" s="51" t="n"/>
    </row>
    <row r="471">
      <c r="B471" s="51" t="n"/>
      <c r="C471" s="51" t="n"/>
      <c r="D471" s="51" t="n"/>
      <c r="E471" s="51" t="n"/>
      <c r="F471" s="51" t="n"/>
      <c r="G471" s="51" t="n"/>
      <c r="H471" s="51" t="n"/>
      <c r="I471" s="51" t="n"/>
    </row>
    <row r="472">
      <c r="B472" s="51" t="n"/>
      <c r="C472" s="51" t="n"/>
      <c r="D472" s="51" t="n"/>
      <c r="E472" s="51" t="n"/>
      <c r="F472" s="51" t="n"/>
      <c r="G472" s="51" t="n"/>
      <c r="H472" s="51" t="n"/>
      <c r="I472" s="51" t="n"/>
    </row>
    <row r="473">
      <c r="B473" s="51" t="n"/>
      <c r="C473" s="51" t="n"/>
      <c r="D473" s="51" t="n"/>
      <c r="E473" s="51" t="n"/>
      <c r="F473" s="51" t="n"/>
      <c r="G473" s="51" t="n"/>
      <c r="H473" s="51" t="n"/>
      <c r="I473" s="51" t="n"/>
    </row>
    <row r="474">
      <c r="B474" s="51" t="n"/>
      <c r="C474" s="51" t="n"/>
      <c r="D474" s="51" t="n"/>
      <c r="E474" s="51" t="n"/>
      <c r="F474" s="51" t="n"/>
      <c r="G474" s="51" t="n"/>
      <c r="H474" s="51" t="n"/>
      <c r="I474" s="51" t="n"/>
    </row>
    <row r="475">
      <c r="B475" s="51" t="n"/>
      <c r="C475" s="51" t="n"/>
      <c r="D475" s="51" t="n"/>
      <c r="E475" s="51" t="n"/>
      <c r="F475" s="51" t="n"/>
      <c r="G475" s="51" t="n"/>
      <c r="H475" s="51" t="n"/>
      <c r="I475" s="51" t="n"/>
    </row>
    <row r="476">
      <c r="B476" s="51" t="n"/>
      <c r="C476" s="51" t="n"/>
      <c r="D476" s="51" t="n"/>
      <c r="E476" s="51" t="n"/>
      <c r="F476" s="51" t="n"/>
      <c r="G476" s="51" t="n"/>
      <c r="H476" s="51" t="n"/>
      <c r="I476" s="51" t="n"/>
    </row>
    <row r="477">
      <c r="B477" s="51" t="n"/>
      <c r="C477" s="51" t="n"/>
      <c r="D477" s="51" t="n"/>
      <c r="E477" s="51" t="n"/>
      <c r="F477" s="51" t="n"/>
      <c r="G477" s="51" t="n"/>
      <c r="H477" s="51" t="n"/>
      <c r="I477" s="51" t="n"/>
    </row>
    <row r="478">
      <c r="B478" s="51" t="n"/>
      <c r="C478" s="51" t="n"/>
      <c r="D478" s="51" t="n"/>
      <c r="E478" s="51" t="n"/>
      <c r="F478" s="51" t="n"/>
      <c r="G478" s="51" t="n"/>
      <c r="H478" s="51" t="n"/>
      <c r="I478" s="51" t="n"/>
    </row>
    <row r="479">
      <c r="B479" s="51" t="n"/>
      <c r="C479" s="51" t="n"/>
      <c r="D479" s="51" t="n"/>
      <c r="E479" s="51" t="n"/>
      <c r="F479" s="51" t="n"/>
      <c r="G479" s="51" t="n"/>
      <c r="H479" s="51" t="n"/>
      <c r="I479" s="51" t="n"/>
    </row>
    <row r="480">
      <c r="B480" s="51" t="n"/>
      <c r="C480" s="51" t="n"/>
      <c r="D480" s="51" t="n"/>
      <c r="E480" s="51" t="n"/>
      <c r="F480" s="51" t="n"/>
      <c r="G480" s="51" t="n"/>
      <c r="H480" s="51" t="n"/>
      <c r="I480" s="51" t="n"/>
    </row>
    <row r="481">
      <c r="B481" s="51" t="n"/>
      <c r="C481" s="51" t="n"/>
      <c r="D481" s="51" t="n"/>
      <c r="E481" s="51" t="n"/>
      <c r="F481" s="51" t="n"/>
      <c r="G481" s="51" t="n"/>
      <c r="H481" s="51" t="n"/>
      <c r="I481" s="51" t="n"/>
    </row>
    <row r="482">
      <c r="B482" s="51" t="n"/>
      <c r="C482" s="51" t="n"/>
      <c r="D482" s="51" t="n"/>
      <c r="E482" s="51" t="n"/>
      <c r="F482" s="51" t="n"/>
      <c r="G482" s="51" t="n"/>
      <c r="H482" s="51" t="n"/>
      <c r="I482" s="51" t="n"/>
    </row>
    <row r="483">
      <c r="B483" s="51" t="n"/>
      <c r="C483" s="51" t="n"/>
      <c r="D483" s="51" t="n"/>
      <c r="E483" s="51" t="n"/>
      <c r="F483" s="51" t="n"/>
      <c r="G483" s="51" t="n"/>
      <c r="H483" s="51" t="n"/>
      <c r="I483" s="51" t="n"/>
    </row>
    <row r="484">
      <c r="B484" s="51" t="n"/>
      <c r="C484" s="51" t="n"/>
      <c r="D484" s="51" t="n"/>
      <c r="E484" s="51" t="n"/>
      <c r="F484" s="51" t="n"/>
      <c r="G484" s="51" t="n"/>
      <c r="H484" s="51" t="n"/>
      <c r="I484" s="51" t="n"/>
    </row>
    <row r="485">
      <c r="B485" s="51" t="n"/>
      <c r="C485" s="51" t="n"/>
      <c r="D485" s="51" t="n"/>
      <c r="E485" s="51" t="n"/>
      <c r="F485" s="51" t="n"/>
      <c r="G485" s="51" t="n"/>
      <c r="H485" s="51" t="n"/>
      <c r="I485" s="51" t="n"/>
    </row>
    <row r="486">
      <c r="B486" s="51" t="n"/>
      <c r="C486" s="51" t="n"/>
      <c r="D486" s="51" t="n"/>
      <c r="E486" s="51" t="n"/>
      <c r="F486" s="51" t="n"/>
      <c r="G486" s="51" t="n"/>
      <c r="H486" s="51" t="n"/>
      <c r="I486" s="51" t="n"/>
    </row>
    <row r="487">
      <c r="B487" s="51" t="n"/>
      <c r="C487" s="51" t="n"/>
      <c r="D487" s="51" t="n"/>
      <c r="E487" s="51" t="n"/>
      <c r="F487" s="51" t="n"/>
      <c r="G487" s="51" t="n"/>
      <c r="H487" s="51" t="n"/>
      <c r="I487" s="51" t="n"/>
    </row>
    <row r="488">
      <c r="B488" s="51" t="n"/>
      <c r="C488" s="51" t="n"/>
      <c r="D488" s="51" t="n"/>
      <c r="E488" s="51" t="n"/>
      <c r="F488" s="51" t="n"/>
      <c r="G488" s="51" t="n"/>
      <c r="H488" s="51" t="n"/>
      <c r="I488" s="51" t="n"/>
    </row>
    <row r="489">
      <c r="B489" s="51" t="n"/>
      <c r="C489" s="51" t="n"/>
      <c r="D489" s="51" t="n"/>
      <c r="E489" s="51" t="n"/>
      <c r="F489" s="51" t="n"/>
      <c r="G489" s="51" t="n"/>
      <c r="H489" s="51" t="n"/>
      <c r="I489" s="51" t="n"/>
    </row>
    <row r="490">
      <c r="B490" s="51" t="n"/>
      <c r="C490" s="51" t="n"/>
      <c r="D490" s="51" t="n"/>
      <c r="E490" s="51" t="n"/>
      <c r="F490" s="51" t="n"/>
      <c r="G490" s="51" t="n"/>
      <c r="H490" s="51" t="n"/>
      <c r="I490" s="51" t="n"/>
    </row>
    <row r="491">
      <c r="B491" s="51" t="n"/>
      <c r="C491" s="51" t="n"/>
      <c r="D491" s="51" t="n"/>
      <c r="E491" s="51" t="n"/>
      <c r="F491" s="51" t="n"/>
      <c r="G491" s="51" t="n"/>
      <c r="H491" s="51" t="n"/>
      <c r="I491" s="51" t="n"/>
    </row>
    <row r="492">
      <c r="B492" s="51" t="n"/>
      <c r="C492" s="51" t="n"/>
      <c r="D492" s="51" t="n"/>
      <c r="E492" s="51" t="n"/>
      <c r="F492" s="51" t="n"/>
      <c r="G492" s="51" t="n"/>
      <c r="H492" s="51" t="n"/>
      <c r="I492" s="51" t="n"/>
    </row>
    <row r="493">
      <c r="B493" s="51" t="n"/>
      <c r="C493" s="51" t="n"/>
      <c r="D493" s="51" t="n"/>
      <c r="E493" s="51" t="n"/>
      <c r="F493" s="51" t="n"/>
      <c r="G493" s="51" t="n"/>
      <c r="H493" s="51" t="n"/>
      <c r="I493" s="51" t="n"/>
    </row>
    <row r="494">
      <c r="B494" s="51" t="n"/>
      <c r="C494" s="51" t="n"/>
      <c r="D494" s="51" t="n"/>
      <c r="E494" s="51" t="n"/>
      <c r="F494" s="51" t="n"/>
      <c r="G494" s="51" t="n"/>
      <c r="H494" s="51" t="n"/>
      <c r="I494" s="51" t="n"/>
    </row>
    <row r="495">
      <c r="B495" s="51" t="n"/>
      <c r="C495" s="51" t="n"/>
      <c r="D495" s="51" t="n"/>
      <c r="E495" s="51" t="n"/>
      <c r="F495" s="51" t="n"/>
      <c r="G495" s="51" t="n"/>
      <c r="H495" s="51" t="n"/>
      <c r="I495" s="51" t="n"/>
    </row>
    <row r="496">
      <c r="B496" s="51" t="n"/>
      <c r="C496" s="51" t="n"/>
      <c r="D496" s="51" t="n"/>
      <c r="E496" s="51" t="n"/>
      <c r="F496" s="51" t="n"/>
      <c r="G496" s="51" t="n"/>
      <c r="H496" s="51" t="n"/>
      <c r="I496" s="51" t="n"/>
    </row>
    <row r="497">
      <c r="B497" s="51" t="n"/>
      <c r="C497" s="51" t="n"/>
      <c r="D497" s="51" t="n"/>
      <c r="E497" s="51" t="n"/>
      <c r="F497" s="51" t="n"/>
      <c r="G497" s="51" t="n"/>
      <c r="H497" s="51" t="n"/>
      <c r="I497" s="51" t="n"/>
    </row>
    <row r="498">
      <c r="B498" s="51" t="n"/>
      <c r="C498" s="51" t="n"/>
      <c r="D498" s="51" t="n"/>
      <c r="E498" s="51" t="n"/>
      <c r="F498" s="51" t="n"/>
      <c r="G498" s="51" t="n"/>
      <c r="H498" s="51" t="n"/>
      <c r="I498" s="51" t="n"/>
    </row>
    <row r="499">
      <c r="B499" s="51" t="n"/>
      <c r="C499" s="51" t="n"/>
      <c r="D499" s="51" t="n"/>
      <c r="E499" s="51" t="n"/>
      <c r="F499" s="51" t="n"/>
      <c r="G499" s="51" t="n"/>
      <c r="H499" s="51" t="n"/>
      <c r="I499" s="51" t="n"/>
    </row>
    <row r="500">
      <c r="B500" s="51" t="n"/>
      <c r="C500" s="51" t="n"/>
      <c r="D500" s="51" t="n"/>
      <c r="E500" s="51" t="n"/>
      <c r="F500" s="51" t="n"/>
      <c r="G500" s="51" t="n"/>
      <c r="H500" s="51" t="n"/>
      <c r="I500" s="51" t="n"/>
    </row>
    <row r="501">
      <c r="B501" s="51" t="n"/>
      <c r="C501" s="51" t="n"/>
      <c r="D501" s="51" t="n"/>
      <c r="E501" s="51" t="n"/>
      <c r="F501" s="51" t="n"/>
      <c r="G501" s="51" t="n"/>
      <c r="H501" s="51" t="n"/>
      <c r="I501" s="51" t="n"/>
    </row>
    <row r="502">
      <c r="B502" s="51" t="n"/>
      <c r="C502" s="51" t="n"/>
      <c r="D502" s="51" t="n"/>
      <c r="E502" s="51" t="n"/>
      <c r="F502" s="51" t="n"/>
      <c r="G502" s="51" t="n"/>
      <c r="H502" s="51" t="n"/>
      <c r="I502" s="51" t="n"/>
    </row>
    <row r="503">
      <c r="B503" s="51" t="n"/>
      <c r="C503" s="51" t="n"/>
      <c r="D503" s="51" t="n"/>
      <c r="E503" s="51" t="n"/>
      <c r="F503" s="51" t="n"/>
      <c r="G503" s="51" t="n"/>
      <c r="H503" s="51" t="n"/>
      <c r="I503" s="51" t="n"/>
    </row>
    <row r="504">
      <c r="B504" s="51" t="n"/>
      <c r="C504" s="51" t="n"/>
      <c r="D504" s="51" t="n"/>
      <c r="E504" s="51" t="n"/>
      <c r="F504" s="51" t="n"/>
      <c r="G504" s="51" t="n"/>
      <c r="H504" s="51" t="n"/>
      <c r="I504" s="51" t="n"/>
    </row>
    <row r="505">
      <c r="B505" s="51" t="n"/>
      <c r="C505" s="51" t="n"/>
      <c r="D505" s="51" t="n"/>
      <c r="E505" s="51" t="n"/>
      <c r="F505" s="51" t="n"/>
      <c r="G505" s="51" t="n"/>
      <c r="H505" s="51" t="n"/>
      <c r="I505" s="51" t="n"/>
    </row>
    <row r="506">
      <c r="B506" s="51" t="n"/>
      <c r="C506" s="51" t="n"/>
      <c r="D506" s="51" t="n"/>
      <c r="E506" s="51" t="n"/>
      <c r="F506" s="51" t="n"/>
      <c r="G506" s="51" t="n"/>
      <c r="H506" s="51" t="n"/>
      <c r="I506" s="51" t="n"/>
    </row>
    <row r="507">
      <c r="B507" s="51" t="n"/>
      <c r="C507" s="51" t="n"/>
      <c r="D507" s="51" t="n"/>
      <c r="E507" s="51" t="n"/>
      <c r="F507" s="51" t="n"/>
      <c r="G507" s="51" t="n"/>
      <c r="H507" s="51" t="n"/>
      <c r="I507" s="51" t="n"/>
    </row>
    <row r="508">
      <c r="B508" s="51" t="n"/>
      <c r="C508" s="51" t="n"/>
      <c r="D508" s="51" t="n"/>
      <c r="E508" s="51" t="n"/>
      <c r="F508" s="51" t="n"/>
      <c r="G508" s="51" t="n"/>
      <c r="H508" s="51" t="n"/>
      <c r="I508" s="51" t="n"/>
    </row>
    <row r="509">
      <c r="B509" s="51" t="n"/>
      <c r="C509" s="51" t="n"/>
      <c r="D509" s="51" t="n"/>
      <c r="E509" s="51" t="n"/>
      <c r="F509" s="51" t="n"/>
      <c r="G509" s="51" t="n"/>
      <c r="H509" s="51" t="n"/>
      <c r="I509" s="51" t="n"/>
    </row>
    <row r="510">
      <c r="B510" s="51" t="n"/>
      <c r="C510" s="51" t="n"/>
      <c r="D510" s="51" t="n"/>
      <c r="E510" s="51" t="n"/>
      <c r="F510" s="51" t="n"/>
      <c r="G510" s="51" t="n"/>
      <c r="H510" s="51" t="n"/>
      <c r="I510" s="51" t="n"/>
    </row>
    <row r="511">
      <c r="B511" s="51" t="n"/>
      <c r="C511" s="51" t="n"/>
      <c r="D511" s="51" t="n"/>
      <c r="E511" s="51" t="n"/>
      <c r="F511" s="51" t="n"/>
      <c r="G511" s="51" t="n"/>
      <c r="H511" s="51" t="n"/>
      <c r="I511" s="51" t="n"/>
    </row>
    <row r="512">
      <c r="B512" s="51" t="n"/>
      <c r="C512" s="51" t="n"/>
      <c r="D512" s="51" t="n"/>
      <c r="E512" s="51" t="n"/>
      <c r="F512" s="51" t="n"/>
      <c r="G512" s="51" t="n"/>
      <c r="H512" s="51" t="n"/>
      <c r="I512" s="51" t="n"/>
    </row>
    <row r="513">
      <c r="B513" s="51" t="n"/>
      <c r="C513" s="51" t="n"/>
      <c r="D513" s="51" t="n"/>
      <c r="E513" s="51" t="n"/>
      <c r="F513" s="51" t="n"/>
      <c r="G513" s="51" t="n"/>
      <c r="H513" s="51" t="n"/>
      <c r="I513" s="51" t="n"/>
    </row>
    <row r="514">
      <c r="B514" s="51" t="n"/>
      <c r="C514" s="51" t="n"/>
      <c r="D514" s="51" t="n"/>
      <c r="E514" s="51" t="n"/>
      <c r="F514" s="51" t="n"/>
      <c r="G514" s="51" t="n"/>
      <c r="H514" s="51" t="n"/>
      <c r="I514" s="51" t="n"/>
    </row>
    <row r="515">
      <c r="B515" s="51" t="n"/>
      <c r="C515" s="51" t="n"/>
      <c r="D515" s="51" t="n"/>
      <c r="E515" s="51" t="n"/>
      <c r="F515" s="51" t="n"/>
      <c r="G515" s="51" t="n"/>
      <c r="H515" s="51" t="n"/>
      <c r="I515" s="51" t="n"/>
    </row>
    <row r="516">
      <c r="B516" s="51" t="n"/>
      <c r="C516" s="51" t="n"/>
      <c r="D516" s="51" t="n"/>
      <c r="E516" s="51" t="n"/>
      <c r="F516" s="51" t="n"/>
      <c r="G516" s="51" t="n"/>
      <c r="H516" s="51" t="n"/>
      <c r="I516" s="51" t="n"/>
    </row>
    <row r="517">
      <c r="B517" s="51" t="n"/>
      <c r="C517" s="51" t="n"/>
      <c r="D517" s="51" t="n"/>
      <c r="E517" s="51" t="n"/>
      <c r="F517" s="51" t="n"/>
      <c r="G517" s="51" t="n"/>
      <c r="H517" s="51" t="n"/>
      <c r="I517" s="51" t="n"/>
    </row>
  </sheetData>
  <mergeCells count="7">
    <mergeCell ref="B7:I7"/>
    <mergeCell ref="B6:I6"/>
    <mergeCell ref="B10:C10"/>
    <mergeCell ref="B3:I3"/>
    <mergeCell ref="B5:I5"/>
    <mergeCell ref="B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E17:E517">
    <cfRule type="expression" priority="4" dxfId="6">
      <formula>AND(LEN($B17&amp;$C17&amp;$D17&amp;$E17&amp;$F17&amp;$G17&amp;$H17&amp;$I17)&gt;0,E17="")</formula>
    </cfRule>
  </conditionalFormatting>
  <conditionalFormatting sqref="F17:F517">
    <cfRule type="expression" priority="5" dxfId="6">
      <formula>AND(LEN($B17&amp;$C17&amp;$D17&amp;$E17&amp;$F17&amp;$G17&amp;$H17&amp;$I17)&gt;0,F17="")</formula>
    </cfRule>
  </conditionalFormatting>
  <conditionalFormatting sqref="H17:H517">
    <cfRule type="expression" priority="6" dxfId="6">
      <formula>AND(LEN($B17&amp;$C17&amp;$D17&amp;$E17&amp;$F17&amp;$G17&amp;$H17&amp;$I17)&gt;0,H17="")</formula>
    </cfRule>
  </conditionalFormatting>
  <conditionalFormatting sqref="I17:I517">
    <cfRule type="expression" priority="7"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Group profile code" error="At most 40 characters." promptTitle="Group profile code" prompt="Yes. Code of the profile; an existing code changes the profile Allowed: Free entry, up to 40 characters" type="textLength" operator="lessThanOrEqual">
      <formula1>40</formula1>
    </dataValidation>
    <dataValidation sqref="C17:C517" showDropDown="0" showInputMessage="1" showErrorMessage="1" allowBlank="1" errorTitle="Name" error="At most 120 characters." promptTitle="Name" prompt="Yes. Name shown on screens Allowed: Free entry, up to 120 characters" type="textLength" operator="lessThanOrEqual">
      <formula1>120</formula1>
    </dataValidation>
    <dataValidation sqref="D17:D517" showDropDown="0" showInputMessage="1" showErrorMessage="1" allowBlank="1" errorTitle="Description" error="At most 500 characters." promptTitle="Description" prompt="No. What the profile is for Allowed: Free entry, up to 500 characters" type="textLength" operator="lessThanOrEqual">
      <formula1>500</formula1>
    </dataValidation>
    <dataValidation sqref="E17:E517" showDropDown="0" showInputMessage="1" showErrorMessage="1" allowBlank="1" errorTitle="Privilege level" error="Choose a value of the list Privilege level (sheet Reference lists)." promptTitle="Privilege level" prompt="Yes. High and Admin need a second approval when given or raised Allowed: Low, Standard, High, Admin (list Privilege level)" type="list" errorStyle="stop">
      <formula1>=LIST_PRIVILEGE_LEVEL</formula1>
    </dataValidation>
    <dataValidation sqref="F17:F517" showDropDown="0" showInputMessage="1" showErrorMessage="0" allowBlank="1" promptTitle="Permission" prompt="Yes. One row per permission of the profile"/>
    <dataValidation sqref="G17:G517" showDropDown="0" showInputMessage="1" showErrorMessage="0" allowBlank="1" promptTitle="Action class" prompt="No. As shown by the matrix, for the review"/>
    <dataValidation sqref="H17:H517" showDropDown="0" showInputMessage="1" showErrorMessage="1" allowBlank="1" errorTitle="Keep / Add / Remove" error="Choose a value of the list Change against the matrix (sheet Reference lists)." promptTitle="Keep / Add / Remove" prompt="Yes. Change against the matrix as delivered Allowed: KEEP, ADD, REMOVE (list Change against the matrix)" type="list" errorStyle="stop">
      <formula1>=LIST_KEEP_ADD_REMOVE</formula1>
    </dataValidation>
    <dataValidation sqref="I17:I517" showDropDown="0" showInputMessage="1" showErrorMessage="0" allowBlank="1" promptTitle="Approved by unit head" prompt="Yes. Unit head who confirms the row"/>
  </dataValidations>
  <hyperlinks>
    <hyperlink ref="A2" location="'Start here'!A1"/>
    <hyperlink ref="I2" location="'Questions and comments'!A1"/>
    <hyperlink ref="E14" location="'Reference lists'!A144"/>
    <hyperlink ref="H14" location="'Reference lists'!A148"/>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3.63636363636363" customWidth="1" min="3" max="3"/>
    <col width="19" customWidth="1" min="4" max="4"/>
    <col width="15" customWidth="1" min="5" max="5"/>
    <col width="19" customWidth="1" min="6" max="6"/>
    <col width="12" customWidth="1" min="7" max="7"/>
  </cols>
  <sheetData>
    <row r="1" ht="26" customHeight="1">
      <c r="A1" s="27" t="inlineStr">
        <is>
          <t>UA-06 Lists of values</t>
        </is>
      </c>
      <c r="G1" s="28" t="inlineStr">
        <is>
          <t>Step 6 of 31</t>
        </is>
      </c>
    </row>
    <row r="2">
      <c r="A2" s="29" t="inlineStr">
        <is>
          <t>← Back to Start here</t>
        </is>
      </c>
      <c r="B2" s="30" t="inlineStr">
        <is>
          <t>Step 6 of 31. Fill in one row per record below the column headers; the guide above each column says what to enter.</t>
        </is>
      </c>
      <c r="G2" s="31" t="inlineStr">
        <is>
          <t>Ask a question →</t>
        </is>
      </c>
    </row>
    <row r="3" outlineLevel="1" ht="28" customHeight="1">
      <c r="A3" s="32" t="inlineStr">
        <is>
          <t>Purpose</t>
        </is>
      </c>
      <c r="B3" s="33" t="inlineStr">
        <is>
          <t>The values of the lists of user access (business unit groups and user levels, empty as delivered; deactivation reasons, to confirm with BDOI; the reason No sign-in for the dormancy period is used by the dormant-user job and stays)</t>
        </is>
      </c>
    </row>
    <row r="4" outlineLevel="1" ht="15.5" customHeight="1">
      <c r="A4" s="32" t="inlineStr">
        <is>
          <t>Provided by</t>
        </is>
      </c>
      <c r="B4" s="33" t="inlineStr">
        <is>
          <t>Business Administration</t>
        </is>
      </c>
    </row>
    <row r="5" outlineLevel="1" ht="15.5" customHeight="1">
      <c r="A5" s="32" t="inlineStr">
        <is>
          <t>Due</t>
        </is>
      </c>
      <c r="B5" s="34" t="inlineStr">
        <is>
          <t>1-Nov-2027 – before the templates that use its codes</t>
        </is>
      </c>
    </row>
    <row r="6" outlineLevel="1" ht="15.5" customHeight="1">
      <c r="A6" s="32" t="inlineStr">
        <is>
          <t>How it is loaded</t>
        </is>
      </c>
      <c r="B6" s="33" t="inlineStr">
        <is>
          <t>Lists of Values (New Business set) under maker-checker; before the users of CI-01 are loaded</t>
        </is>
      </c>
    </row>
    <row r="7" outlineLevel="1" ht="15.5" customHeight="1">
      <c r="A7" s="32" t="inlineStr">
        <is>
          <t>Source</t>
        </is>
      </c>
      <c r="B7" s="33" t="inlineStr">
        <is>
          <t>BDOI organisation (UQ05)</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SUMPRODUCT(((ROW($B$17:$B$517)&gt;17)+($B$17&lt;&gt;"UAM_BUSINESS_UNIT")&gt;0)*(LEN($B$17:$B$517&amp;$C$17:$C$517&amp;$D$17:$D$517&amp;$E$17:$E$517&amp;$F$17:$F$517)&gt;0))</f>
        <v/>
      </c>
      <c r="D9" s="37" t="inlineStr">
        <is>
          <t>Mandatory cells missing</t>
        </is>
      </c>
      <c r="E9" s="38">
        <f>SUMPRODUCT(((ROW($B$17:$B$517)&gt;17)+($B$17&lt;&gt;"UAM_BUSINESS_UNIT")&gt;0)*(LEN($B$17:$B$517&amp;$C$17:$C$517&amp;$D$17:$D$517&amp;$E$17:$E$517&amp;$F$17:$F$517)&gt;0)*(($B$17:$B$517="")+($C$17:$C$517="")+($D$17:$D$517="")+($F$17:$F$517="")))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t>
        </is>
      </c>
      <c r="E12" s="45" t="inlineStr">
        <is>
          <t>No</t>
        </is>
      </c>
      <c r="F12" s="44" t="inlineStr">
        <is>
          <t>Yes</t>
        </is>
      </c>
    </row>
    <row r="13" ht="30" customHeight="1">
      <c r="A13" s="43" t="inlineStr">
        <is>
          <t>Format</t>
        </is>
      </c>
      <c r="B13" s="45" t="inlineStr">
        <is>
          <t>UAM_BUSINESS_UNIT, UAM_USER_LEVEL or UAM_DEACTIVATION_REASON</t>
        </is>
      </c>
      <c r="C13" s="45" t="inlineStr">
        <is>
          <t>Up to 30 capitals, digits or _</t>
        </is>
      </c>
      <c r="D13" s="45" t="inlineStr">
        <is>
          <t>Up to 120 characters</t>
        </is>
      </c>
      <c r="E13" s="45" t="inlineStr">
        <is>
          <t>Whole number</t>
        </is>
      </c>
      <c r="F13" s="45" t="inlineStr">
        <is>
          <t>dd-MMM-yyyy</t>
        </is>
      </c>
    </row>
    <row r="14" ht="43" customHeight="1">
      <c r="A14" s="43" t="inlineStr">
        <is>
          <t>Allowed values</t>
        </is>
      </c>
      <c r="B14" s="53" t="inlineStr">
        <is>
          <t>UAM_BUSINESS_UNIT, UAM_USER_LEVEL, UAM_DEACTIVATION_REASON (list User access list)</t>
        </is>
      </c>
      <c r="C14" s="45" t="inlineStr">
        <is>
          <t>Free entry, up to 30 characters</t>
        </is>
      </c>
      <c r="D14" s="45" t="inlineStr">
        <is>
          <t>Free entry, up to 120 characters</t>
        </is>
      </c>
      <c r="E14" s="45" t="inlineStr">
        <is>
          <t>A whole number</t>
        </is>
      </c>
      <c r="F14" s="45" t="inlineStr">
        <is>
          <t>A date, for example 15-Jan-2028</t>
        </is>
      </c>
    </row>
    <row r="15" ht="30" customHeight="1">
      <c r="A15" s="43" t="inlineStr">
        <is>
          <t>What to enter</t>
        </is>
      </c>
      <c r="B15" s="45" t="inlineStr">
        <is>
          <t>The list</t>
        </is>
      </c>
      <c r="C15" s="45" t="inlineStr">
        <is>
          <t>Code of the value</t>
        </is>
      </c>
      <c r="D15" s="45" t="inlineStr">
        <is>
          <t>Label shown on screens</t>
        </is>
      </c>
      <c r="E15" s="45" t="inlineStr">
        <is>
          <t>Order in the drop-down</t>
        </is>
      </c>
      <c r="F15" s="45" t="inlineStr">
        <is>
          <t>Date the value may be used</t>
        </is>
      </c>
    </row>
    <row r="16" ht="30" customHeight="1">
      <c r="A16" s="46" t="inlineStr">
        <is>
          <t>Row</t>
        </is>
      </c>
      <c r="B16" s="47" t="inlineStr">
        <is>
          <t>List *</t>
        </is>
      </c>
      <c r="C16" s="47" t="inlineStr">
        <is>
          <t>Code *</t>
        </is>
      </c>
      <c r="D16" s="47" t="inlineStr">
        <is>
          <t>Label *</t>
        </is>
      </c>
      <c r="E16" s="47" t="inlineStr">
        <is>
          <t>Sort order</t>
        </is>
      </c>
      <c r="F16" s="47" t="inlineStr">
        <is>
          <t>Effective from *</t>
        </is>
      </c>
    </row>
    <row r="17" ht="18" customHeight="1">
      <c r="A17" s="48" t="inlineStr">
        <is>
          <t>Example – overwrite or delete</t>
        </is>
      </c>
      <c r="B17" s="49" t="inlineStr">
        <is>
          <t>UAM_BUSINESS_UNIT</t>
        </is>
      </c>
      <c r="C17" s="49" t="inlineStr">
        <is>
          <t>COMBANK_MKT</t>
        </is>
      </c>
      <c r="D17" s="49" t="inlineStr">
        <is>
          <t>Combank Marketing</t>
        </is>
      </c>
      <c r="E17" s="54" t="n">
        <v>10</v>
      </c>
      <c r="F17" s="50" t="n">
        <v>46391</v>
      </c>
    </row>
    <row r="18">
      <c r="B18" s="51" t="n"/>
      <c r="C18" s="51" t="n"/>
      <c r="D18" s="51" t="n"/>
      <c r="F18" s="52" t="n"/>
    </row>
    <row r="19">
      <c r="B19" s="51" t="n"/>
      <c r="C19" s="51" t="n"/>
      <c r="D19" s="51" t="n"/>
      <c r="F19" s="52" t="n"/>
    </row>
    <row r="20">
      <c r="B20" s="51" t="n"/>
      <c r="C20" s="51" t="n"/>
      <c r="D20" s="51" t="n"/>
      <c r="F20" s="52" t="n"/>
    </row>
    <row r="21">
      <c r="B21" s="51" t="n"/>
      <c r="C21" s="51" t="n"/>
      <c r="D21" s="51" t="n"/>
      <c r="F21" s="52" t="n"/>
    </row>
    <row r="22">
      <c r="B22" s="51" t="n"/>
      <c r="C22" s="51" t="n"/>
      <c r="D22" s="51" t="n"/>
      <c r="F22" s="52" t="n"/>
    </row>
    <row r="23">
      <c r="B23" s="51" t="n"/>
      <c r="C23" s="51" t="n"/>
      <c r="D23" s="51" t="n"/>
      <c r="F23" s="52" t="n"/>
    </row>
    <row r="24">
      <c r="B24" s="51" t="n"/>
      <c r="C24" s="51" t="n"/>
      <c r="D24" s="51" t="n"/>
      <c r="F24" s="52" t="n"/>
    </row>
    <row r="25">
      <c r="B25" s="51" t="n"/>
      <c r="C25" s="51" t="n"/>
      <c r="D25" s="51" t="n"/>
      <c r="F25" s="52" t="n"/>
    </row>
    <row r="26">
      <c r="B26" s="51" t="n"/>
      <c r="C26" s="51" t="n"/>
      <c r="D26" s="51" t="n"/>
      <c r="F26" s="52" t="n"/>
    </row>
    <row r="27">
      <c r="B27" s="51" t="n"/>
      <c r="C27" s="51" t="n"/>
      <c r="D27" s="51" t="n"/>
      <c r="F27" s="52" t="n"/>
    </row>
    <row r="28">
      <c r="B28" s="51" t="n"/>
      <c r="C28" s="51" t="n"/>
      <c r="D28" s="51" t="n"/>
      <c r="F28" s="52" t="n"/>
    </row>
    <row r="29">
      <c r="B29" s="51" t="n"/>
      <c r="C29" s="51" t="n"/>
      <c r="D29" s="51" t="n"/>
      <c r="F29" s="52" t="n"/>
    </row>
    <row r="30">
      <c r="B30" s="51" t="n"/>
      <c r="C30" s="51" t="n"/>
      <c r="D30" s="51" t="n"/>
      <c r="F30" s="52" t="n"/>
    </row>
    <row r="31">
      <c r="B31" s="51" t="n"/>
      <c r="C31" s="51" t="n"/>
      <c r="D31" s="51" t="n"/>
      <c r="F31" s="52" t="n"/>
    </row>
    <row r="32">
      <c r="B32" s="51" t="n"/>
      <c r="C32" s="51" t="n"/>
      <c r="D32" s="51" t="n"/>
      <c r="F32" s="52" t="n"/>
    </row>
    <row r="33">
      <c r="B33" s="51" t="n"/>
      <c r="C33" s="51" t="n"/>
      <c r="D33" s="51" t="n"/>
      <c r="F33" s="52" t="n"/>
    </row>
    <row r="34">
      <c r="B34" s="51" t="n"/>
      <c r="C34" s="51" t="n"/>
      <c r="D34" s="51" t="n"/>
      <c r="F34" s="52" t="n"/>
    </row>
    <row r="35">
      <c r="B35" s="51" t="n"/>
      <c r="C35" s="51" t="n"/>
      <c r="D35" s="51" t="n"/>
      <c r="F35" s="52" t="n"/>
    </row>
    <row r="36">
      <c r="B36" s="51" t="n"/>
      <c r="C36" s="51" t="n"/>
      <c r="D36" s="51" t="n"/>
      <c r="F36" s="52" t="n"/>
    </row>
    <row r="37">
      <c r="B37" s="51" t="n"/>
      <c r="C37" s="51" t="n"/>
      <c r="D37" s="51" t="n"/>
      <c r="F37" s="52" t="n"/>
    </row>
    <row r="38">
      <c r="B38" s="51" t="n"/>
      <c r="C38" s="51" t="n"/>
      <c r="D38" s="51" t="n"/>
      <c r="F38" s="52" t="n"/>
    </row>
    <row r="39">
      <c r="B39" s="51" t="n"/>
      <c r="C39" s="51" t="n"/>
      <c r="D39" s="51" t="n"/>
      <c r="F39" s="52" t="n"/>
    </row>
    <row r="40">
      <c r="B40" s="51" t="n"/>
      <c r="C40" s="51" t="n"/>
      <c r="D40" s="51" t="n"/>
      <c r="F40" s="52" t="n"/>
    </row>
    <row r="41">
      <c r="B41" s="51" t="n"/>
      <c r="C41" s="51" t="n"/>
      <c r="D41" s="51" t="n"/>
      <c r="F41" s="52" t="n"/>
    </row>
    <row r="42">
      <c r="B42" s="51" t="n"/>
      <c r="C42" s="51" t="n"/>
      <c r="D42" s="51" t="n"/>
      <c r="F42" s="52" t="n"/>
    </row>
    <row r="43">
      <c r="B43" s="51" t="n"/>
      <c r="C43" s="51" t="n"/>
      <c r="D43" s="51" t="n"/>
      <c r="F43" s="52" t="n"/>
    </row>
    <row r="44">
      <c r="B44" s="51" t="n"/>
      <c r="C44" s="51" t="n"/>
      <c r="D44" s="51" t="n"/>
      <c r="F44" s="52" t="n"/>
    </row>
    <row r="45">
      <c r="B45" s="51" t="n"/>
      <c r="C45" s="51" t="n"/>
      <c r="D45" s="51" t="n"/>
      <c r="F45" s="52" t="n"/>
    </row>
    <row r="46">
      <c r="B46" s="51" t="n"/>
      <c r="C46" s="51" t="n"/>
      <c r="D46" s="51" t="n"/>
      <c r="F46" s="52" t="n"/>
    </row>
    <row r="47">
      <c r="B47" s="51" t="n"/>
      <c r="C47" s="51" t="n"/>
      <c r="D47" s="51" t="n"/>
      <c r="F47" s="52" t="n"/>
    </row>
    <row r="48">
      <c r="B48" s="51" t="n"/>
      <c r="C48" s="51" t="n"/>
      <c r="D48" s="51" t="n"/>
      <c r="F48" s="52" t="n"/>
    </row>
    <row r="49">
      <c r="B49" s="51" t="n"/>
      <c r="C49" s="51" t="n"/>
      <c r="D49" s="51" t="n"/>
      <c r="F49" s="52" t="n"/>
    </row>
    <row r="50">
      <c r="B50" s="51" t="n"/>
      <c r="C50" s="51" t="n"/>
      <c r="D50" s="51" t="n"/>
      <c r="F50" s="52" t="n"/>
    </row>
    <row r="51">
      <c r="B51" s="51" t="n"/>
      <c r="C51" s="51" t="n"/>
      <c r="D51" s="51" t="n"/>
      <c r="F51" s="52" t="n"/>
    </row>
    <row r="52">
      <c r="B52" s="51" t="n"/>
      <c r="C52" s="51" t="n"/>
      <c r="D52" s="51" t="n"/>
      <c r="F52" s="52" t="n"/>
    </row>
    <row r="53">
      <c r="B53" s="51" t="n"/>
      <c r="C53" s="51" t="n"/>
      <c r="D53" s="51" t="n"/>
      <c r="F53" s="52" t="n"/>
    </row>
    <row r="54">
      <c r="B54" s="51" t="n"/>
      <c r="C54" s="51" t="n"/>
      <c r="D54" s="51" t="n"/>
      <c r="F54" s="52" t="n"/>
    </row>
    <row r="55">
      <c r="B55" s="51" t="n"/>
      <c r="C55" s="51" t="n"/>
      <c r="D55" s="51" t="n"/>
      <c r="F55" s="52" t="n"/>
    </row>
    <row r="56">
      <c r="B56" s="51" t="n"/>
      <c r="C56" s="51" t="n"/>
      <c r="D56" s="51" t="n"/>
      <c r="F56" s="52" t="n"/>
    </row>
    <row r="57">
      <c r="B57" s="51" t="n"/>
      <c r="C57" s="51" t="n"/>
      <c r="D57" s="51" t="n"/>
      <c r="F57" s="52" t="n"/>
    </row>
    <row r="58">
      <c r="B58" s="51" t="n"/>
      <c r="C58" s="51" t="n"/>
      <c r="D58" s="51" t="n"/>
      <c r="F58" s="52" t="n"/>
    </row>
    <row r="59">
      <c r="B59" s="51" t="n"/>
      <c r="C59" s="51" t="n"/>
      <c r="D59" s="51" t="n"/>
      <c r="F59" s="52" t="n"/>
    </row>
    <row r="60">
      <c r="B60" s="51" t="n"/>
      <c r="C60" s="51" t="n"/>
      <c r="D60" s="51" t="n"/>
      <c r="F60" s="52" t="n"/>
    </row>
    <row r="61">
      <c r="B61" s="51" t="n"/>
      <c r="C61" s="51" t="n"/>
      <c r="D61" s="51" t="n"/>
      <c r="F61" s="52" t="n"/>
    </row>
    <row r="62">
      <c r="B62" s="51" t="n"/>
      <c r="C62" s="51" t="n"/>
      <c r="D62" s="51" t="n"/>
      <c r="F62" s="52" t="n"/>
    </row>
    <row r="63">
      <c r="B63" s="51" t="n"/>
      <c r="C63" s="51" t="n"/>
      <c r="D63" s="51" t="n"/>
      <c r="F63" s="52" t="n"/>
    </row>
    <row r="64">
      <c r="B64" s="51" t="n"/>
      <c r="C64" s="51" t="n"/>
      <c r="D64" s="51" t="n"/>
      <c r="F64" s="52" t="n"/>
    </row>
    <row r="65">
      <c r="B65" s="51" t="n"/>
      <c r="C65" s="51" t="n"/>
      <c r="D65" s="51" t="n"/>
      <c r="F65" s="52" t="n"/>
    </row>
    <row r="66">
      <c r="B66" s="51" t="n"/>
      <c r="C66" s="51" t="n"/>
      <c r="D66" s="51" t="n"/>
      <c r="F66" s="52" t="n"/>
    </row>
    <row r="67">
      <c r="B67" s="51" t="n"/>
      <c r="C67" s="51" t="n"/>
      <c r="D67" s="51" t="n"/>
      <c r="F67" s="52" t="n"/>
    </row>
    <row r="68">
      <c r="B68" s="51" t="n"/>
      <c r="C68" s="51" t="n"/>
      <c r="D68" s="51" t="n"/>
      <c r="F68" s="52" t="n"/>
    </row>
    <row r="69">
      <c r="B69" s="51" t="n"/>
      <c r="C69" s="51" t="n"/>
      <c r="D69" s="51" t="n"/>
      <c r="F69" s="52" t="n"/>
    </row>
    <row r="70">
      <c r="B70" s="51" t="n"/>
      <c r="C70" s="51" t="n"/>
      <c r="D70" s="51" t="n"/>
      <c r="F70" s="52" t="n"/>
    </row>
    <row r="71">
      <c r="B71" s="51" t="n"/>
      <c r="C71" s="51" t="n"/>
      <c r="D71" s="51" t="n"/>
      <c r="F71" s="52" t="n"/>
    </row>
    <row r="72">
      <c r="B72" s="51" t="n"/>
      <c r="C72" s="51" t="n"/>
      <c r="D72" s="51" t="n"/>
      <c r="F72" s="52" t="n"/>
    </row>
    <row r="73">
      <c r="B73" s="51" t="n"/>
      <c r="C73" s="51" t="n"/>
      <c r="D73" s="51" t="n"/>
      <c r="F73" s="52" t="n"/>
    </row>
    <row r="74">
      <c r="B74" s="51" t="n"/>
      <c r="C74" s="51" t="n"/>
      <c r="D74" s="51" t="n"/>
      <c r="F74" s="52" t="n"/>
    </row>
    <row r="75">
      <c r="B75" s="51" t="n"/>
      <c r="C75" s="51" t="n"/>
      <c r="D75" s="51" t="n"/>
      <c r="F75" s="52" t="n"/>
    </row>
    <row r="76">
      <c r="B76" s="51" t="n"/>
      <c r="C76" s="51" t="n"/>
      <c r="D76" s="51" t="n"/>
      <c r="F76" s="52" t="n"/>
    </row>
    <row r="77">
      <c r="B77" s="51" t="n"/>
      <c r="C77" s="51" t="n"/>
      <c r="D77" s="51" t="n"/>
      <c r="F77" s="52" t="n"/>
    </row>
    <row r="78">
      <c r="B78" s="51" t="n"/>
      <c r="C78" s="51" t="n"/>
      <c r="D78" s="51" t="n"/>
      <c r="F78" s="52" t="n"/>
    </row>
    <row r="79">
      <c r="B79" s="51" t="n"/>
      <c r="C79" s="51" t="n"/>
      <c r="D79" s="51" t="n"/>
      <c r="F79" s="52" t="n"/>
    </row>
    <row r="80">
      <c r="B80" s="51" t="n"/>
      <c r="C80" s="51" t="n"/>
      <c r="D80" s="51" t="n"/>
      <c r="F80" s="52" t="n"/>
    </row>
    <row r="81">
      <c r="B81" s="51" t="n"/>
      <c r="C81" s="51" t="n"/>
      <c r="D81" s="51" t="n"/>
      <c r="F81" s="52" t="n"/>
    </row>
    <row r="82">
      <c r="B82" s="51" t="n"/>
      <c r="C82" s="51" t="n"/>
      <c r="D82" s="51" t="n"/>
      <c r="F82" s="52" t="n"/>
    </row>
    <row r="83">
      <c r="B83" s="51" t="n"/>
      <c r="C83" s="51" t="n"/>
      <c r="D83" s="51" t="n"/>
      <c r="F83" s="52" t="n"/>
    </row>
    <row r="84">
      <c r="B84" s="51" t="n"/>
      <c r="C84" s="51" t="n"/>
      <c r="D84" s="51" t="n"/>
      <c r="F84" s="52" t="n"/>
    </row>
    <row r="85">
      <c r="B85" s="51" t="n"/>
      <c r="C85" s="51" t="n"/>
      <c r="D85" s="51" t="n"/>
      <c r="F85" s="52" t="n"/>
    </row>
    <row r="86">
      <c r="B86" s="51" t="n"/>
      <c r="C86" s="51" t="n"/>
      <c r="D86" s="51" t="n"/>
      <c r="F86" s="52" t="n"/>
    </row>
    <row r="87">
      <c r="B87" s="51" t="n"/>
      <c r="C87" s="51" t="n"/>
      <c r="D87" s="51" t="n"/>
      <c r="F87" s="52" t="n"/>
    </row>
    <row r="88">
      <c r="B88" s="51" t="n"/>
      <c r="C88" s="51" t="n"/>
      <c r="D88" s="51" t="n"/>
      <c r="F88" s="52" t="n"/>
    </row>
    <row r="89">
      <c r="B89" s="51" t="n"/>
      <c r="C89" s="51" t="n"/>
      <c r="D89" s="51" t="n"/>
      <c r="F89" s="52" t="n"/>
    </row>
    <row r="90">
      <c r="B90" s="51" t="n"/>
      <c r="C90" s="51" t="n"/>
      <c r="D90" s="51" t="n"/>
      <c r="F90" s="52" t="n"/>
    </row>
    <row r="91">
      <c r="B91" s="51" t="n"/>
      <c r="C91" s="51" t="n"/>
      <c r="D91" s="51" t="n"/>
      <c r="F91" s="52" t="n"/>
    </row>
    <row r="92">
      <c r="B92" s="51" t="n"/>
      <c r="C92" s="51" t="n"/>
      <c r="D92" s="51" t="n"/>
      <c r="F92" s="52" t="n"/>
    </row>
    <row r="93">
      <c r="B93" s="51" t="n"/>
      <c r="C93" s="51" t="n"/>
      <c r="D93" s="51" t="n"/>
      <c r="F93" s="52" t="n"/>
    </row>
    <row r="94">
      <c r="B94" s="51" t="n"/>
      <c r="C94" s="51" t="n"/>
      <c r="D94" s="51" t="n"/>
      <c r="F94" s="52" t="n"/>
    </row>
    <row r="95">
      <c r="B95" s="51" t="n"/>
      <c r="C95" s="51" t="n"/>
      <c r="D95" s="51" t="n"/>
      <c r="F95" s="52" t="n"/>
    </row>
    <row r="96">
      <c r="B96" s="51" t="n"/>
      <c r="C96" s="51" t="n"/>
      <c r="D96" s="51" t="n"/>
      <c r="F96" s="52" t="n"/>
    </row>
    <row r="97">
      <c r="B97" s="51" t="n"/>
      <c r="C97" s="51" t="n"/>
      <c r="D97" s="51" t="n"/>
      <c r="F97" s="52" t="n"/>
    </row>
    <row r="98">
      <c r="B98" s="51" t="n"/>
      <c r="C98" s="51" t="n"/>
      <c r="D98" s="51" t="n"/>
      <c r="F98" s="52" t="n"/>
    </row>
    <row r="99">
      <c r="B99" s="51" t="n"/>
      <c r="C99" s="51" t="n"/>
      <c r="D99" s="51" t="n"/>
      <c r="F99" s="52" t="n"/>
    </row>
    <row r="100">
      <c r="B100" s="51" t="n"/>
      <c r="C100" s="51" t="n"/>
      <c r="D100" s="51" t="n"/>
      <c r="F100" s="52" t="n"/>
    </row>
    <row r="101">
      <c r="B101" s="51" t="n"/>
      <c r="C101" s="51" t="n"/>
      <c r="D101" s="51" t="n"/>
      <c r="F101" s="52" t="n"/>
    </row>
    <row r="102">
      <c r="B102" s="51" t="n"/>
      <c r="C102" s="51" t="n"/>
      <c r="D102" s="51" t="n"/>
      <c r="F102" s="52" t="n"/>
    </row>
    <row r="103">
      <c r="B103" s="51" t="n"/>
      <c r="C103" s="51" t="n"/>
      <c r="D103" s="51" t="n"/>
      <c r="F103" s="52" t="n"/>
    </row>
    <row r="104">
      <c r="B104" s="51" t="n"/>
      <c r="C104" s="51" t="n"/>
      <c r="D104" s="51" t="n"/>
      <c r="F104" s="52" t="n"/>
    </row>
    <row r="105">
      <c r="B105" s="51" t="n"/>
      <c r="C105" s="51" t="n"/>
      <c r="D105" s="51" t="n"/>
      <c r="F105" s="52" t="n"/>
    </row>
    <row r="106">
      <c r="B106" s="51" t="n"/>
      <c r="C106" s="51" t="n"/>
      <c r="D106" s="51" t="n"/>
      <c r="F106" s="52" t="n"/>
    </row>
    <row r="107">
      <c r="B107" s="51" t="n"/>
      <c r="C107" s="51" t="n"/>
      <c r="D107" s="51" t="n"/>
      <c r="F107" s="52" t="n"/>
    </row>
    <row r="108">
      <c r="B108" s="51" t="n"/>
      <c r="C108" s="51" t="n"/>
      <c r="D108" s="51" t="n"/>
      <c r="F108" s="52" t="n"/>
    </row>
    <row r="109">
      <c r="B109" s="51" t="n"/>
      <c r="C109" s="51" t="n"/>
      <c r="D109" s="51" t="n"/>
      <c r="F109" s="52" t="n"/>
    </row>
    <row r="110">
      <c r="B110" s="51" t="n"/>
      <c r="C110" s="51" t="n"/>
      <c r="D110" s="51" t="n"/>
      <c r="F110" s="52" t="n"/>
    </row>
    <row r="111">
      <c r="B111" s="51" t="n"/>
      <c r="C111" s="51" t="n"/>
      <c r="D111" s="51" t="n"/>
      <c r="F111" s="52" t="n"/>
    </row>
    <row r="112">
      <c r="B112" s="51" t="n"/>
      <c r="C112" s="51" t="n"/>
      <c r="D112" s="51" t="n"/>
      <c r="F112" s="52" t="n"/>
    </row>
    <row r="113">
      <c r="B113" s="51" t="n"/>
      <c r="C113" s="51" t="n"/>
      <c r="D113" s="51" t="n"/>
      <c r="F113" s="52" t="n"/>
    </row>
    <row r="114">
      <c r="B114" s="51" t="n"/>
      <c r="C114" s="51" t="n"/>
      <c r="D114" s="51" t="n"/>
      <c r="F114" s="52" t="n"/>
    </row>
    <row r="115">
      <c r="B115" s="51" t="n"/>
      <c r="C115" s="51" t="n"/>
      <c r="D115" s="51" t="n"/>
      <c r="F115" s="52" t="n"/>
    </row>
    <row r="116">
      <c r="B116" s="51" t="n"/>
      <c r="C116" s="51" t="n"/>
      <c r="D116" s="51" t="n"/>
      <c r="F116" s="52" t="n"/>
    </row>
    <row r="117">
      <c r="B117" s="51" t="n"/>
      <c r="C117" s="51" t="n"/>
      <c r="D117" s="51" t="n"/>
      <c r="F117" s="52" t="n"/>
    </row>
    <row r="118">
      <c r="B118" s="51" t="n"/>
      <c r="C118" s="51" t="n"/>
      <c r="D118" s="51" t="n"/>
      <c r="F118" s="52" t="n"/>
    </row>
    <row r="119">
      <c r="B119" s="51" t="n"/>
      <c r="C119" s="51" t="n"/>
      <c r="D119" s="51" t="n"/>
      <c r="F119" s="52" t="n"/>
    </row>
    <row r="120">
      <c r="B120" s="51" t="n"/>
      <c r="C120" s="51" t="n"/>
      <c r="D120" s="51" t="n"/>
      <c r="F120" s="52" t="n"/>
    </row>
    <row r="121">
      <c r="B121" s="51" t="n"/>
      <c r="C121" s="51" t="n"/>
      <c r="D121" s="51" t="n"/>
      <c r="F121" s="52" t="n"/>
    </row>
    <row r="122">
      <c r="B122" s="51" t="n"/>
      <c r="C122" s="51" t="n"/>
      <c r="D122" s="51" t="n"/>
      <c r="F122" s="52" t="n"/>
    </row>
    <row r="123">
      <c r="B123" s="51" t="n"/>
      <c r="C123" s="51" t="n"/>
      <c r="D123" s="51" t="n"/>
      <c r="F123" s="52" t="n"/>
    </row>
    <row r="124">
      <c r="B124" s="51" t="n"/>
      <c r="C124" s="51" t="n"/>
      <c r="D124" s="51" t="n"/>
      <c r="F124" s="52" t="n"/>
    </row>
    <row r="125">
      <c r="B125" s="51" t="n"/>
      <c r="C125" s="51" t="n"/>
      <c r="D125" s="51" t="n"/>
      <c r="F125" s="52" t="n"/>
    </row>
    <row r="126">
      <c r="B126" s="51" t="n"/>
      <c r="C126" s="51" t="n"/>
      <c r="D126" s="51" t="n"/>
      <c r="F126" s="52" t="n"/>
    </row>
    <row r="127">
      <c r="B127" s="51" t="n"/>
      <c r="C127" s="51" t="n"/>
      <c r="D127" s="51" t="n"/>
      <c r="F127" s="52" t="n"/>
    </row>
    <row r="128">
      <c r="B128" s="51" t="n"/>
      <c r="C128" s="51" t="n"/>
      <c r="D128" s="51" t="n"/>
      <c r="F128" s="52" t="n"/>
    </row>
    <row r="129">
      <c r="B129" s="51" t="n"/>
      <c r="C129" s="51" t="n"/>
      <c r="D129" s="51" t="n"/>
      <c r="F129" s="52" t="n"/>
    </row>
    <row r="130">
      <c r="B130" s="51" t="n"/>
      <c r="C130" s="51" t="n"/>
      <c r="D130" s="51" t="n"/>
      <c r="F130" s="52" t="n"/>
    </row>
    <row r="131">
      <c r="B131" s="51" t="n"/>
      <c r="C131" s="51" t="n"/>
      <c r="D131" s="51" t="n"/>
      <c r="F131" s="52" t="n"/>
    </row>
    <row r="132">
      <c r="B132" s="51" t="n"/>
      <c r="C132" s="51" t="n"/>
      <c r="D132" s="51" t="n"/>
      <c r="F132" s="52" t="n"/>
    </row>
    <row r="133">
      <c r="B133" s="51" t="n"/>
      <c r="C133" s="51" t="n"/>
      <c r="D133" s="51" t="n"/>
      <c r="F133" s="52" t="n"/>
    </row>
    <row r="134">
      <c r="B134" s="51" t="n"/>
      <c r="C134" s="51" t="n"/>
      <c r="D134" s="51" t="n"/>
      <c r="F134" s="52" t="n"/>
    </row>
    <row r="135">
      <c r="B135" s="51" t="n"/>
      <c r="C135" s="51" t="n"/>
      <c r="D135" s="51" t="n"/>
      <c r="F135" s="52" t="n"/>
    </row>
    <row r="136">
      <c r="B136" s="51" t="n"/>
      <c r="C136" s="51" t="n"/>
      <c r="D136" s="51" t="n"/>
      <c r="F136" s="52" t="n"/>
    </row>
    <row r="137">
      <c r="B137" s="51" t="n"/>
      <c r="C137" s="51" t="n"/>
      <c r="D137" s="51" t="n"/>
      <c r="F137" s="52" t="n"/>
    </row>
    <row r="138">
      <c r="B138" s="51" t="n"/>
      <c r="C138" s="51" t="n"/>
      <c r="D138" s="51" t="n"/>
      <c r="F138" s="52" t="n"/>
    </row>
    <row r="139">
      <c r="B139" s="51" t="n"/>
      <c r="C139" s="51" t="n"/>
      <c r="D139" s="51" t="n"/>
      <c r="F139" s="52" t="n"/>
    </row>
    <row r="140">
      <c r="B140" s="51" t="n"/>
      <c r="C140" s="51" t="n"/>
      <c r="D140" s="51" t="n"/>
      <c r="F140" s="52" t="n"/>
    </row>
    <row r="141">
      <c r="B141" s="51" t="n"/>
      <c r="C141" s="51" t="n"/>
      <c r="D141" s="51" t="n"/>
      <c r="F141" s="52" t="n"/>
    </row>
    <row r="142">
      <c r="B142" s="51" t="n"/>
      <c r="C142" s="51" t="n"/>
      <c r="D142" s="51" t="n"/>
      <c r="F142" s="52" t="n"/>
    </row>
    <row r="143">
      <c r="B143" s="51" t="n"/>
      <c r="C143" s="51" t="n"/>
      <c r="D143" s="51" t="n"/>
      <c r="F143" s="52" t="n"/>
    </row>
    <row r="144">
      <c r="B144" s="51" t="n"/>
      <c r="C144" s="51" t="n"/>
      <c r="D144" s="51" t="n"/>
      <c r="F144" s="52" t="n"/>
    </row>
    <row r="145">
      <c r="B145" s="51" t="n"/>
      <c r="C145" s="51" t="n"/>
      <c r="D145" s="51" t="n"/>
      <c r="F145" s="52" t="n"/>
    </row>
    <row r="146">
      <c r="B146" s="51" t="n"/>
      <c r="C146" s="51" t="n"/>
      <c r="D146" s="51" t="n"/>
      <c r="F146" s="52" t="n"/>
    </row>
    <row r="147">
      <c r="B147" s="51" t="n"/>
      <c r="C147" s="51" t="n"/>
      <c r="D147" s="51" t="n"/>
      <c r="F147" s="52" t="n"/>
    </row>
    <row r="148">
      <c r="B148" s="51" t="n"/>
      <c r="C148" s="51" t="n"/>
      <c r="D148" s="51" t="n"/>
      <c r="F148" s="52" t="n"/>
    </row>
    <row r="149">
      <c r="B149" s="51" t="n"/>
      <c r="C149" s="51" t="n"/>
      <c r="D149" s="51" t="n"/>
      <c r="F149" s="52" t="n"/>
    </row>
    <row r="150">
      <c r="B150" s="51" t="n"/>
      <c r="C150" s="51" t="n"/>
      <c r="D150" s="51" t="n"/>
      <c r="F150" s="52" t="n"/>
    </row>
    <row r="151">
      <c r="B151" s="51" t="n"/>
      <c r="C151" s="51" t="n"/>
      <c r="D151" s="51" t="n"/>
      <c r="F151" s="52" t="n"/>
    </row>
    <row r="152">
      <c r="B152" s="51" t="n"/>
      <c r="C152" s="51" t="n"/>
      <c r="D152" s="51" t="n"/>
      <c r="F152" s="52" t="n"/>
    </row>
    <row r="153">
      <c r="B153" s="51" t="n"/>
      <c r="C153" s="51" t="n"/>
      <c r="D153" s="51" t="n"/>
      <c r="F153" s="52" t="n"/>
    </row>
    <row r="154">
      <c r="B154" s="51" t="n"/>
      <c r="C154" s="51" t="n"/>
      <c r="D154" s="51" t="n"/>
      <c r="F154" s="52" t="n"/>
    </row>
    <row r="155">
      <c r="B155" s="51" t="n"/>
      <c r="C155" s="51" t="n"/>
      <c r="D155" s="51" t="n"/>
      <c r="F155" s="52" t="n"/>
    </row>
    <row r="156">
      <c r="B156" s="51" t="n"/>
      <c r="C156" s="51" t="n"/>
      <c r="D156" s="51" t="n"/>
      <c r="F156" s="52" t="n"/>
    </row>
    <row r="157">
      <c r="B157" s="51" t="n"/>
      <c r="C157" s="51" t="n"/>
      <c r="D157" s="51" t="n"/>
      <c r="F157" s="52" t="n"/>
    </row>
    <row r="158">
      <c r="B158" s="51" t="n"/>
      <c r="C158" s="51" t="n"/>
      <c r="D158" s="51" t="n"/>
      <c r="F158" s="52" t="n"/>
    </row>
    <row r="159">
      <c r="B159" s="51" t="n"/>
      <c r="C159" s="51" t="n"/>
      <c r="D159" s="51" t="n"/>
      <c r="F159" s="52" t="n"/>
    </row>
    <row r="160">
      <c r="B160" s="51" t="n"/>
      <c r="C160" s="51" t="n"/>
      <c r="D160" s="51" t="n"/>
      <c r="F160" s="52" t="n"/>
    </row>
    <row r="161">
      <c r="B161" s="51" t="n"/>
      <c r="C161" s="51" t="n"/>
      <c r="D161" s="51" t="n"/>
      <c r="F161" s="52" t="n"/>
    </row>
    <row r="162">
      <c r="B162" s="51" t="n"/>
      <c r="C162" s="51" t="n"/>
      <c r="D162" s="51" t="n"/>
      <c r="F162" s="52" t="n"/>
    </row>
    <row r="163">
      <c r="B163" s="51" t="n"/>
      <c r="C163" s="51" t="n"/>
      <c r="D163" s="51" t="n"/>
      <c r="F163" s="52" t="n"/>
    </row>
    <row r="164">
      <c r="B164" s="51" t="n"/>
      <c r="C164" s="51" t="n"/>
      <c r="D164" s="51" t="n"/>
      <c r="F164" s="52" t="n"/>
    </row>
    <row r="165">
      <c r="B165" s="51" t="n"/>
      <c r="C165" s="51" t="n"/>
      <c r="D165" s="51" t="n"/>
      <c r="F165" s="52" t="n"/>
    </row>
    <row r="166">
      <c r="B166" s="51" t="n"/>
      <c r="C166" s="51" t="n"/>
      <c r="D166" s="51" t="n"/>
      <c r="F166" s="52" t="n"/>
    </row>
    <row r="167">
      <c r="B167" s="51" t="n"/>
      <c r="C167" s="51" t="n"/>
      <c r="D167" s="51" t="n"/>
      <c r="F167" s="52" t="n"/>
    </row>
    <row r="168">
      <c r="B168" s="51" t="n"/>
      <c r="C168" s="51" t="n"/>
      <c r="D168" s="51" t="n"/>
      <c r="F168" s="52" t="n"/>
    </row>
    <row r="169">
      <c r="B169" s="51" t="n"/>
      <c r="C169" s="51" t="n"/>
      <c r="D169" s="51" t="n"/>
      <c r="F169" s="52" t="n"/>
    </row>
    <row r="170">
      <c r="B170" s="51" t="n"/>
      <c r="C170" s="51" t="n"/>
      <c r="D170" s="51" t="n"/>
      <c r="F170" s="52" t="n"/>
    </row>
    <row r="171">
      <c r="B171" s="51" t="n"/>
      <c r="C171" s="51" t="n"/>
      <c r="D171" s="51" t="n"/>
      <c r="F171" s="52" t="n"/>
    </row>
    <row r="172">
      <c r="B172" s="51" t="n"/>
      <c r="C172" s="51" t="n"/>
      <c r="D172" s="51" t="n"/>
      <c r="F172" s="52" t="n"/>
    </row>
    <row r="173">
      <c r="B173" s="51" t="n"/>
      <c r="C173" s="51" t="n"/>
      <c r="D173" s="51" t="n"/>
      <c r="F173" s="52" t="n"/>
    </row>
    <row r="174">
      <c r="B174" s="51" t="n"/>
      <c r="C174" s="51" t="n"/>
      <c r="D174" s="51" t="n"/>
      <c r="F174" s="52" t="n"/>
    </row>
    <row r="175">
      <c r="B175" s="51" t="n"/>
      <c r="C175" s="51" t="n"/>
      <c r="D175" s="51" t="n"/>
      <c r="F175" s="52" t="n"/>
    </row>
    <row r="176">
      <c r="B176" s="51" t="n"/>
      <c r="C176" s="51" t="n"/>
      <c r="D176" s="51" t="n"/>
      <c r="F176" s="52" t="n"/>
    </row>
    <row r="177">
      <c r="B177" s="51" t="n"/>
      <c r="C177" s="51" t="n"/>
      <c r="D177" s="51" t="n"/>
      <c r="F177" s="52" t="n"/>
    </row>
    <row r="178">
      <c r="B178" s="51" t="n"/>
      <c r="C178" s="51" t="n"/>
      <c r="D178" s="51" t="n"/>
      <c r="F178" s="52" t="n"/>
    </row>
    <row r="179">
      <c r="B179" s="51" t="n"/>
      <c r="C179" s="51" t="n"/>
      <c r="D179" s="51" t="n"/>
      <c r="F179" s="52" t="n"/>
    </row>
    <row r="180">
      <c r="B180" s="51" t="n"/>
      <c r="C180" s="51" t="n"/>
      <c r="D180" s="51" t="n"/>
      <c r="F180" s="52" t="n"/>
    </row>
    <row r="181">
      <c r="B181" s="51" t="n"/>
      <c r="C181" s="51" t="n"/>
      <c r="D181" s="51" t="n"/>
      <c r="F181" s="52" t="n"/>
    </row>
    <row r="182">
      <c r="B182" s="51" t="n"/>
      <c r="C182" s="51" t="n"/>
      <c r="D182" s="51" t="n"/>
      <c r="F182" s="52" t="n"/>
    </row>
    <row r="183">
      <c r="B183" s="51" t="n"/>
      <c r="C183" s="51" t="n"/>
      <c r="D183" s="51" t="n"/>
      <c r="F183" s="52" t="n"/>
    </row>
    <row r="184">
      <c r="B184" s="51" t="n"/>
      <c r="C184" s="51" t="n"/>
      <c r="D184" s="51" t="n"/>
      <c r="F184" s="52" t="n"/>
    </row>
    <row r="185">
      <c r="B185" s="51" t="n"/>
      <c r="C185" s="51" t="n"/>
      <c r="D185" s="51" t="n"/>
      <c r="F185" s="52" t="n"/>
    </row>
    <row r="186">
      <c r="B186" s="51" t="n"/>
      <c r="C186" s="51" t="n"/>
      <c r="D186" s="51" t="n"/>
      <c r="F186" s="52" t="n"/>
    </row>
    <row r="187">
      <c r="B187" s="51" t="n"/>
      <c r="C187" s="51" t="n"/>
      <c r="D187" s="51" t="n"/>
      <c r="F187" s="52" t="n"/>
    </row>
    <row r="188">
      <c r="B188" s="51" t="n"/>
      <c r="C188" s="51" t="n"/>
      <c r="D188" s="51" t="n"/>
      <c r="F188" s="52" t="n"/>
    </row>
    <row r="189">
      <c r="B189" s="51" t="n"/>
      <c r="C189" s="51" t="n"/>
      <c r="D189" s="51" t="n"/>
      <c r="F189" s="52" t="n"/>
    </row>
    <row r="190">
      <c r="B190" s="51" t="n"/>
      <c r="C190" s="51" t="n"/>
      <c r="D190" s="51" t="n"/>
      <c r="F190" s="52" t="n"/>
    </row>
    <row r="191">
      <c r="B191" s="51" t="n"/>
      <c r="C191" s="51" t="n"/>
      <c r="D191" s="51" t="n"/>
      <c r="F191" s="52" t="n"/>
    </row>
    <row r="192">
      <c r="B192" s="51" t="n"/>
      <c r="C192" s="51" t="n"/>
      <c r="D192" s="51" t="n"/>
      <c r="F192" s="52" t="n"/>
    </row>
    <row r="193">
      <c r="B193" s="51" t="n"/>
      <c r="C193" s="51" t="n"/>
      <c r="D193" s="51" t="n"/>
      <c r="F193" s="52" t="n"/>
    </row>
    <row r="194">
      <c r="B194" s="51" t="n"/>
      <c r="C194" s="51" t="n"/>
      <c r="D194" s="51" t="n"/>
      <c r="F194" s="52" t="n"/>
    </row>
    <row r="195">
      <c r="B195" s="51" t="n"/>
      <c r="C195" s="51" t="n"/>
      <c r="D195" s="51" t="n"/>
      <c r="F195" s="52" t="n"/>
    </row>
    <row r="196">
      <c r="B196" s="51" t="n"/>
      <c r="C196" s="51" t="n"/>
      <c r="D196" s="51" t="n"/>
      <c r="F196" s="52" t="n"/>
    </row>
    <row r="197">
      <c r="B197" s="51" t="n"/>
      <c r="C197" s="51" t="n"/>
      <c r="D197" s="51" t="n"/>
      <c r="F197" s="52" t="n"/>
    </row>
    <row r="198">
      <c r="B198" s="51" t="n"/>
      <c r="C198" s="51" t="n"/>
      <c r="D198" s="51" t="n"/>
      <c r="F198" s="52" t="n"/>
    </row>
    <row r="199">
      <c r="B199" s="51" t="n"/>
      <c r="C199" s="51" t="n"/>
      <c r="D199" s="51" t="n"/>
      <c r="F199" s="52" t="n"/>
    </row>
    <row r="200">
      <c r="B200" s="51" t="n"/>
      <c r="C200" s="51" t="n"/>
      <c r="D200" s="51" t="n"/>
      <c r="F200" s="52" t="n"/>
    </row>
    <row r="201">
      <c r="B201" s="51" t="n"/>
      <c r="C201" s="51" t="n"/>
      <c r="D201" s="51" t="n"/>
      <c r="F201" s="52" t="n"/>
    </row>
    <row r="202">
      <c r="B202" s="51" t="n"/>
      <c r="C202" s="51" t="n"/>
      <c r="D202" s="51" t="n"/>
      <c r="F202" s="52" t="n"/>
    </row>
    <row r="203">
      <c r="B203" s="51" t="n"/>
      <c r="C203" s="51" t="n"/>
      <c r="D203" s="51" t="n"/>
      <c r="F203" s="52" t="n"/>
    </row>
    <row r="204">
      <c r="B204" s="51" t="n"/>
      <c r="C204" s="51" t="n"/>
      <c r="D204" s="51" t="n"/>
      <c r="F204" s="52" t="n"/>
    </row>
    <row r="205">
      <c r="B205" s="51" t="n"/>
      <c r="C205" s="51" t="n"/>
      <c r="D205" s="51" t="n"/>
      <c r="F205" s="52" t="n"/>
    </row>
    <row r="206">
      <c r="B206" s="51" t="n"/>
      <c r="C206" s="51" t="n"/>
      <c r="D206" s="51" t="n"/>
      <c r="F206" s="52" t="n"/>
    </row>
    <row r="207">
      <c r="B207" s="51" t="n"/>
      <c r="C207" s="51" t="n"/>
      <c r="D207" s="51" t="n"/>
      <c r="F207" s="52" t="n"/>
    </row>
    <row r="208">
      <c r="B208" s="51" t="n"/>
      <c r="C208" s="51" t="n"/>
      <c r="D208" s="51" t="n"/>
      <c r="F208" s="52" t="n"/>
    </row>
    <row r="209">
      <c r="B209" s="51" t="n"/>
      <c r="C209" s="51" t="n"/>
      <c r="D209" s="51" t="n"/>
      <c r="F209" s="52" t="n"/>
    </row>
    <row r="210">
      <c r="B210" s="51" t="n"/>
      <c r="C210" s="51" t="n"/>
      <c r="D210" s="51" t="n"/>
      <c r="F210" s="52" t="n"/>
    </row>
    <row r="211">
      <c r="B211" s="51" t="n"/>
      <c r="C211" s="51" t="n"/>
      <c r="D211" s="51" t="n"/>
      <c r="F211" s="52" t="n"/>
    </row>
    <row r="212">
      <c r="B212" s="51" t="n"/>
      <c r="C212" s="51" t="n"/>
      <c r="D212" s="51" t="n"/>
      <c r="F212" s="52" t="n"/>
    </row>
    <row r="213">
      <c r="B213" s="51" t="n"/>
      <c r="C213" s="51" t="n"/>
      <c r="D213" s="51" t="n"/>
      <c r="F213" s="52" t="n"/>
    </row>
    <row r="214">
      <c r="B214" s="51" t="n"/>
      <c r="C214" s="51" t="n"/>
      <c r="D214" s="51" t="n"/>
      <c r="F214" s="52" t="n"/>
    </row>
    <row r="215">
      <c r="B215" s="51" t="n"/>
      <c r="C215" s="51" t="n"/>
      <c r="D215" s="51" t="n"/>
      <c r="F215" s="52" t="n"/>
    </row>
    <row r="216">
      <c r="B216" s="51" t="n"/>
      <c r="C216" s="51" t="n"/>
      <c r="D216" s="51" t="n"/>
      <c r="F216" s="52" t="n"/>
    </row>
    <row r="217">
      <c r="B217" s="51" t="n"/>
      <c r="C217" s="51" t="n"/>
      <c r="D217" s="51" t="n"/>
      <c r="F217" s="52" t="n"/>
    </row>
    <row r="218">
      <c r="B218" s="51" t="n"/>
      <c r="C218" s="51" t="n"/>
      <c r="D218" s="51" t="n"/>
      <c r="F218" s="52" t="n"/>
    </row>
    <row r="219">
      <c r="B219" s="51" t="n"/>
      <c r="C219" s="51" t="n"/>
      <c r="D219" s="51" t="n"/>
      <c r="F219" s="52" t="n"/>
    </row>
    <row r="220">
      <c r="B220" s="51" t="n"/>
      <c r="C220" s="51" t="n"/>
      <c r="D220" s="51" t="n"/>
      <c r="F220" s="52" t="n"/>
    </row>
    <row r="221">
      <c r="B221" s="51" t="n"/>
      <c r="C221" s="51" t="n"/>
      <c r="D221" s="51" t="n"/>
      <c r="F221" s="52" t="n"/>
    </row>
    <row r="222">
      <c r="B222" s="51" t="n"/>
      <c r="C222" s="51" t="n"/>
      <c r="D222" s="51" t="n"/>
      <c r="F222" s="52" t="n"/>
    </row>
    <row r="223">
      <c r="B223" s="51" t="n"/>
      <c r="C223" s="51" t="n"/>
      <c r="D223" s="51" t="n"/>
      <c r="F223" s="52" t="n"/>
    </row>
    <row r="224">
      <c r="B224" s="51" t="n"/>
      <c r="C224" s="51" t="n"/>
      <c r="D224" s="51" t="n"/>
      <c r="F224" s="52" t="n"/>
    </row>
    <row r="225">
      <c r="B225" s="51" t="n"/>
      <c r="C225" s="51" t="n"/>
      <c r="D225" s="51" t="n"/>
      <c r="F225" s="52" t="n"/>
    </row>
    <row r="226">
      <c r="B226" s="51" t="n"/>
      <c r="C226" s="51" t="n"/>
      <c r="D226" s="51" t="n"/>
      <c r="F226" s="52" t="n"/>
    </row>
    <row r="227">
      <c r="B227" s="51" t="n"/>
      <c r="C227" s="51" t="n"/>
      <c r="D227" s="51" t="n"/>
      <c r="F227" s="52" t="n"/>
    </row>
    <row r="228">
      <c r="B228" s="51" t="n"/>
      <c r="C228" s="51" t="n"/>
      <c r="D228" s="51" t="n"/>
      <c r="F228" s="52" t="n"/>
    </row>
    <row r="229">
      <c r="B229" s="51" t="n"/>
      <c r="C229" s="51" t="n"/>
      <c r="D229" s="51" t="n"/>
      <c r="F229" s="52" t="n"/>
    </row>
    <row r="230">
      <c r="B230" s="51" t="n"/>
      <c r="C230" s="51" t="n"/>
      <c r="D230" s="51" t="n"/>
      <c r="F230" s="52" t="n"/>
    </row>
    <row r="231">
      <c r="B231" s="51" t="n"/>
      <c r="C231" s="51" t="n"/>
      <c r="D231" s="51" t="n"/>
      <c r="F231" s="52" t="n"/>
    </row>
    <row r="232">
      <c r="B232" s="51" t="n"/>
      <c r="C232" s="51" t="n"/>
      <c r="D232" s="51" t="n"/>
      <c r="F232" s="52" t="n"/>
    </row>
    <row r="233">
      <c r="B233" s="51" t="n"/>
      <c r="C233" s="51" t="n"/>
      <c r="D233" s="51" t="n"/>
      <c r="F233" s="52" t="n"/>
    </row>
    <row r="234">
      <c r="B234" s="51" t="n"/>
      <c r="C234" s="51" t="n"/>
      <c r="D234" s="51" t="n"/>
      <c r="F234" s="52" t="n"/>
    </row>
    <row r="235">
      <c r="B235" s="51" t="n"/>
      <c r="C235" s="51" t="n"/>
      <c r="D235" s="51" t="n"/>
      <c r="F235" s="52" t="n"/>
    </row>
    <row r="236">
      <c r="B236" s="51" t="n"/>
      <c r="C236" s="51" t="n"/>
      <c r="D236" s="51" t="n"/>
      <c r="F236" s="52" t="n"/>
    </row>
    <row r="237">
      <c r="B237" s="51" t="n"/>
      <c r="C237" s="51" t="n"/>
      <c r="D237" s="51" t="n"/>
      <c r="F237" s="52" t="n"/>
    </row>
    <row r="238">
      <c r="B238" s="51" t="n"/>
      <c r="C238" s="51" t="n"/>
      <c r="D238" s="51" t="n"/>
      <c r="F238" s="52" t="n"/>
    </row>
    <row r="239">
      <c r="B239" s="51" t="n"/>
      <c r="C239" s="51" t="n"/>
      <c r="D239" s="51" t="n"/>
      <c r="F239" s="52" t="n"/>
    </row>
    <row r="240">
      <c r="B240" s="51" t="n"/>
      <c r="C240" s="51" t="n"/>
      <c r="D240" s="51" t="n"/>
      <c r="F240" s="52" t="n"/>
    </row>
    <row r="241">
      <c r="B241" s="51" t="n"/>
      <c r="C241" s="51" t="n"/>
      <c r="D241" s="51" t="n"/>
      <c r="F241" s="52" t="n"/>
    </row>
    <row r="242">
      <c r="B242" s="51" t="n"/>
      <c r="C242" s="51" t="n"/>
      <c r="D242" s="51" t="n"/>
      <c r="F242" s="52" t="n"/>
    </row>
    <row r="243">
      <c r="B243" s="51" t="n"/>
      <c r="C243" s="51" t="n"/>
      <c r="D243" s="51" t="n"/>
      <c r="F243" s="52" t="n"/>
    </row>
    <row r="244">
      <c r="B244" s="51" t="n"/>
      <c r="C244" s="51" t="n"/>
      <c r="D244" s="51" t="n"/>
      <c r="F244" s="52" t="n"/>
    </row>
    <row r="245">
      <c r="B245" s="51" t="n"/>
      <c r="C245" s="51" t="n"/>
      <c r="D245" s="51" t="n"/>
      <c r="F245" s="52" t="n"/>
    </row>
    <row r="246">
      <c r="B246" s="51" t="n"/>
      <c r="C246" s="51" t="n"/>
      <c r="D246" s="51" t="n"/>
      <c r="F246" s="52" t="n"/>
    </row>
    <row r="247">
      <c r="B247" s="51" t="n"/>
      <c r="C247" s="51" t="n"/>
      <c r="D247" s="51" t="n"/>
      <c r="F247" s="52" t="n"/>
    </row>
    <row r="248">
      <c r="B248" s="51" t="n"/>
      <c r="C248" s="51" t="n"/>
      <c r="D248" s="51" t="n"/>
      <c r="F248" s="52" t="n"/>
    </row>
    <row r="249">
      <c r="B249" s="51" t="n"/>
      <c r="C249" s="51" t="n"/>
      <c r="D249" s="51" t="n"/>
      <c r="F249" s="52" t="n"/>
    </row>
    <row r="250">
      <c r="B250" s="51" t="n"/>
      <c r="C250" s="51" t="n"/>
      <c r="D250" s="51" t="n"/>
      <c r="F250" s="52" t="n"/>
    </row>
    <row r="251">
      <c r="B251" s="51" t="n"/>
      <c r="C251" s="51" t="n"/>
      <c r="D251" s="51" t="n"/>
      <c r="F251" s="52" t="n"/>
    </row>
    <row r="252">
      <c r="B252" s="51" t="n"/>
      <c r="C252" s="51" t="n"/>
      <c r="D252" s="51" t="n"/>
      <c r="F252" s="52" t="n"/>
    </row>
    <row r="253">
      <c r="B253" s="51" t="n"/>
      <c r="C253" s="51" t="n"/>
      <c r="D253" s="51" t="n"/>
      <c r="F253" s="52" t="n"/>
    </row>
    <row r="254">
      <c r="B254" s="51" t="n"/>
      <c r="C254" s="51" t="n"/>
      <c r="D254" s="51" t="n"/>
      <c r="F254" s="52" t="n"/>
    </row>
    <row r="255">
      <c r="B255" s="51" t="n"/>
      <c r="C255" s="51" t="n"/>
      <c r="D255" s="51" t="n"/>
      <c r="F255" s="52" t="n"/>
    </row>
    <row r="256">
      <c r="B256" s="51" t="n"/>
      <c r="C256" s="51" t="n"/>
      <c r="D256" s="51" t="n"/>
      <c r="F256" s="52" t="n"/>
    </row>
    <row r="257">
      <c r="B257" s="51" t="n"/>
      <c r="C257" s="51" t="n"/>
      <c r="D257" s="51" t="n"/>
      <c r="F257" s="52" t="n"/>
    </row>
    <row r="258">
      <c r="B258" s="51" t="n"/>
      <c r="C258" s="51" t="n"/>
      <c r="D258" s="51" t="n"/>
      <c r="F258" s="52" t="n"/>
    </row>
    <row r="259">
      <c r="B259" s="51" t="n"/>
      <c r="C259" s="51" t="n"/>
      <c r="D259" s="51" t="n"/>
      <c r="F259" s="52" t="n"/>
    </row>
    <row r="260">
      <c r="B260" s="51" t="n"/>
      <c r="C260" s="51" t="n"/>
      <c r="D260" s="51" t="n"/>
      <c r="F260" s="52" t="n"/>
    </row>
    <row r="261">
      <c r="B261" s="51" t="n"/>
      <c r="C261" s="51" t="n"/>
      <c r="D261" s="51" t="n"/>
      <c r="F261" s="52" t="n"/>
    </row>
    <row r="262">
      <c r="B262" s="51" t="n"/>
      <c r="C262" s="51" t="n"/>
      <c r="D262" s="51" t="n"/>
      <c r="F262" s="52" t="n"/>
    </row>
    <row r="263">
      <c r="B263" s="51" t="n"/>
      <c r="C263" s="51" t="n"/>
      <c r="D263" s="51" t="n"/>
      <c r="F263" s="52" t="n"/>
    </row>
    <row r="264">
      <c r="B264" s="51" t="n"/>
      <c r="C264" s="51" t="n"/>
      <c r="D264" s="51" t="n"/>
      <c r="F264" s="52" t="n"/>
    </row>
    <row r="265">
      <c r="B265" s="51" t="n"/>
      <c r="C265" s="51" t="n"/>
      <c r="D265" s="51" t="n"/>
      <c r="F265" s="52" t="n"/>
    </row>
    <row r="266">
      <c r="B266" s="51" t="n"/>
      <c r="C266" s="51" t="n"/>
      <c r="D266" s="51" t="n"/>
      <c r="F266" s="52" t="n"/>
    </row>
    <row r="267">
      <c r="B267" s="51" t="n"/>
      <c r="C267" s="51" t="n"/>
      <c r="D267" s="51" t="n"/>
      <c r="F267" s="52" t="n"/>
    </row>
    <row r="268">
      <c r="B268" s="51" t="n"/>
      <c r="C268" s="51" t="n"/>
      <c r="D268" s="51" t="n"/>
      <c r="F268" s="52" t="n"/>
    </row>
    <row r="269">
      <c r="B269" s="51" t="n"/>
      <c r="C269" s="51" t="n"/>
      <c r="D269" s="51" t="n"/>
      <c r="F269" s="52" t="n"/>
    </row>
    <row r="270">
      <c r="B270" s="51" t="n"/>
      <c r="C270" s="51" t="n"/>
      <c r="D270" s="51" t="n"/>
      <c r="F270" s="52" t="n"/>
    </row>
    <row r="271">
      <c r="B271" s="51" t="n"/>
      <c r="C271" s="51" t="n"/>
      <c r="D271" s="51" t="n"/>
      <c r="F271" s="52" t="n"/>
    </row>
    <row r="272">
      <c r="B272" s="51" t="n"/>
      <c r="C272" s="51" t="n"/>
      <c r="D272" s="51" t="n"/>
      <c r="F272" s="52" t="n"/>
    </row>
    <row r="273">
      <c r="B273" s="51" t="n"/>
      <c r="C273" s="51" t="n"/>
      <c r="D273" s="51" t="n"/>
      <c r="F273" s="52" t="n"/>
    </row>
    <row r="274">
      <c r="B274" s="51" t="n"/>
      <c r="C274" s="51" t="n"/>
      <c r="D274" s="51" t="n"/>
      <c r="F274" s="52" t="n"/>
    </row>
    <row r="275">
      <c r="B275" s="51" t="n"/>
      <c r="C275" s="51" t="n"/>
      <c r="D275" s="51" t="n"/>
      <c r="F275" s="52" t="n"/>
    </row>
    <row r="276">
      <c r="B276" s="51" t="n"/>
      <c r="C276" s="51" t="n"/>
      <c r="D276" s="51" t="n"/>
      <c r="F276" s="52" t="n"/>
    </row>
    <row r="277">
      <c r="B277" s="51" t="n"/>
      <c r="C277" s="51" t="n"/>
      <c r="D277" s="51" t="n"/>
      <c r="F277" s="52" t="n"/>
    </row>
    <row r="278">
      <c r="B278" s="51" t="n"/>
      <c r="C278" s="51" t="n"/>
      <c r="D278" s="51" t="n"/>
      <c r="F278" s="52" t="n"/>
    </row>
    <row r="279">
      <c r="B279" s="51" t="n"/>
      <c r="C279" s="51" t="n"/>
      <c r="D279" s="51" t="n"/>
      <c r="F279" s="52" t="n"/>
    </row>
    <row r="280">
      <c r="B280" s="51" t="n"/>
      <c r="C280" s="51" t="n"/>
      <c r="D280" s="51" t="n"/>
      <c r="F280" s="52" t="n"/>
    </row>
    <row r="281">
      <c r="B281" s="51" t="n"/>
      <c r="C281" s="51" t="n"/>
      <c r="D281" s="51" t="n"/>
      <c r="F281" s="52" t="n"/>
    </row>
    <row r="282">
      <c r="B282" s="51" t="n"/>
      <c r="C282" s="51" t="n"/>
      <c r="D282" s="51" t="n"/>
      <c r="F282" s="52" t="n"/>
    </row>
    <row r="283">
      <c r="B283" s="51" t="n"/>
      <c r="C283" s="51" t="n"/>
      <c r="D283" s="51" t="n"/>
      <c r="F283" s="52" t="n"/>
    </row>
    <row r="284">
      <c r="B284" s="51" t="n"/>
      <c r="C284" s="51" t="n"/>
      <c r="D284" s="51" t="n"/>
      <c r="F284" s="52" t="n"/>
    </row>
    <row r="285">
      <c r="B285" s="51" t="n"/>
      <c r="C285" s="51" t="n"/>
      <c r="D285" s="51" t="n"/>
      <c r="F285" s="52" t="n"/>
    </row>
    <row r="286">
      <c r="B286" s="51" t="n"/>
      <c r="C286" s="51" t="n"/>
      <c r="D286" s="51" t="n"/>
      <c r="F286" s="52" t="n"/>
    </row>
    <row r="287">
      <c r="B287" s="51" t="n"/>
      <c r="C287" s="51" t="n"/>
      <c r="D287" s="51" t="n"/>
      <c r="F287" s="52" t="n"/>
    </row>
    <row r="288">
      <c r="B288" s="51" t="n"/>
      <c r="C288" s="51" t="n"/>
      <c r="D288" s="51" t="n"/>
      <c r="F288" s="52" t="n"/>
    </row>
    <row r="289">
      <c r="B289" s="51" t="n"/>
      <c r="C289" s="51" t="n"/>
      <c r="D289" s="51" t="n"/>
      <c r="F289" s="52" t="n"/>
    </row>
    <row r="290">
      <c r="B290" s="51" t="n"/>
      <c r="C290" s="51" t="n"/>
      <c r="D290" s="51" t="n"/>
      <c r="F290" s="52" t="n"/>
    </row>
    <row r="291">
      <c r="B291" s="51" t="n"/>
      <c r="C291" s="51" t="n"/>
      <c r="D291" s="51" t="n"/>
      <c r="F291" s="52" t="n"/>
    </row>
    <row r="292">
      <c r="B292" s="51" t="n"/>
      <c r="C292" s="51" t="n"/>
      <c r="D292" s="51" t="n"/>
      <c r="F292" s="52" t="n"/>
    </row>
    <row r="293">
      <c r="B293" s="51" t="n"/>
      <c r="C293" s="51" t="n"/>
      <c r="D293" s="51" t="n"/>
      <c r="F293" s="52" t="n"/>
    </row>
    <row r="294">
      <c r="B294" s="51" t="n"/>
      <c r="C294" s="51" t="n"/>
      <c r="D294" s="51" t="n"/>
      <c r="F294" s="52" t="n"/>
    </row>
    <row r="295">
      <c r="B295" s="51" t="n"/>
      <c r="C295" s="51" t="n"/>
      <c r="D295" s="51" t="n"/>
      <c r="F295" s="52" t="n"/>
    </row>
    <row r="296">
      <c r="B296" s="51" t="n"/>
      <c r="C296" s="51" t="n"/>
      <c r="D296" s="51" t="n"/>
      <c r="F296" s="52" t="n"/>
    </row>
    <row r="297">
      <c r="B297" s="51" t="n"/>
      <c r="C297" s="51" t="n"/>
      <c r="D297" s="51" t="n"/>
      <c r="F297" s="52" t="n"/>
    </row>
    <row r="298">
      <c r="B298" s="51" t="n"/>
      <c r="C298" s="51" t="n"/>
      <c r="D298" s="51" t="n"/>
      <c r="F298" s="52" t="n"/>
    </row>
    <row r="299">
      <c r="B299" s="51" t="n"/>
      <c r="C299" s="51" t="n"/>
      <c r="D299" s="51" t="n"/>
      <c r="F299" s="52" t="n"/>
    </row>
    <row r="300">
      <c r="B300" s="51" t="n"/>
      <c r="C300" s="51" t="n"/>
      <c r="D300" s="51" t="n"/>
      <c r="F300" s="52" t="n"/>
    </row>
    <row r="301">
      <c r="B301" s="51" t="n"/>
      <c r="C301" s="51" t="n"/>
      <c r="D301" s="51" t="n"/>
      <c r="F301" s="52" t="n"/>
    </row>
    <row r="302">
      <c r="B302" s="51" t="n"/>
      <c r="C302" s="51" t="n"/>
      <c r="D302" s="51" t="n"/>
      <c r="F302" s="52" t="n"/>
    </row>
    <row r="303">
      <c r="B303" s="51" t="n"/>
      <c r="C303" s="51" t="n"/>
      <c r="D303" s="51" t="n"/>
      <c r="F303" s="52" t="n"/>
    </row>
    <row r="304">
      <c r="B304" s="51" t="n"/>
      <c r="C304" s="51" t="n"/>
      <c r="D304" s="51" t="n"/>
      <c r="F304" s="52" t="n"/>
    </row>
    <row r="305">
      <c r="B305" s="51" t="n"/>
      <c r="C305" s="51" t="n"/>
      <c r="D305" s="51" t="n"/>
      <c r="F305" s="52" t="n"/>
    </row>
    <row r="306">
      <c r="B306" s="51" t="n"/>
      <c r="C306" s="51" t="n"/>
      <c r="D306" s="51" t="n"/>
      <c r="F306" s="52" t="n"/>
    </row>
    <row r="307">
      <c r="B307" s="51" t="n"/>
      <c r="C307" s="51" t="n"/>
      <c r="D307" s="51" t="n"/>
      <c r="F307" s="52" t="n"/>
    </row>
    <row r="308">
      <c r="B308" s="51" t="n"/>
      <c r="C308" s="51" t="n"/>
      <c r="D308" s="51" t="n"/>
      <c r="F308" s="52" t="n"/>
    </row>
    <row r="309">
      <c r="B309" s="51" t="n"/>
      <c r="C309" s="51" t="n"/>
      <c r="D309" s="51" t="n"/>
      <c r="F309" s="52" t="n"/>
    </row>
    <row r="310">
      <c r="B310" s="51" t="n"/>
      <c r="C310" s="51" t="n"/>
      <c r="D310" s="51" t="n"/>
      <c r="F310" s="52" t="n"/>
    </row>
    <row r="311">
      <c r="B311" s="51" t="n"/>
      <c r="C311" s="51" t="n"/>
      <c r="D311" s="51" t="n"/>
      <c r="F311" s="52" t="n"/>
    </row>
    <row r="312">
      <c r="B312" s="51" t="n"/>
      <c r="C312" s="51" t="n"/>
      <c r="D312" s="51" t="n"/>
      <c r="F312" s="52" t="n"/>
    </row>
    <row r="313">
      <c r="B313" s="51" t="n"/>
      <c r="C313" s="51" t="n"/>
      <c r="D313" s="51" t="n"/>
      <c r="F313" s="52" t="n"/>
    </row>
    <row r="314">
      <c r="B314" s="51" t="n"/>
      <c r="C314" s="51" t="n"/>
      <c r="D314" s="51" t="n"/>
      <c r="F314" s="52" t="n"/>
    </row>
    <row r="315">
      <c r="B315" s="51" t="n"/>
      <c r="C315" s="51" t="n"/>
      <c r="D315" s="51" t="n"/>
      <c r="F315" s="52" t="n"/>
    </row>
    <row r="316">
      <c r="B316" s="51" t="n"/>
      <c r="C316" s="51" t="n"/>
      <c r="D316" s="51" t="n"/>
      <c r="F316" s="52" t="n"/>
    </row>
    <row r="317">
      <c r="B317" s="51" t="n"/>
      <c r="C317" s="51" t="n"/>
      <c r="D317" s="51" t="n"/>
      <c r="F317" s="52" t="n"/>
    </row>
    <row r="318">
      <c r="B318" s="51" t="n"/>
      <c r="C318" s="51" t="n"/>
      <c r="D318" s="51" t="n"/>
      <c r="F318" s="52" t="n"/>
    </row>
    <row r="319">
      <c r="B319" s="51" t="n"/>
      <c r="C319" s="51" t="n"/>
      <c r="D319" s="51" t="n"/>
      <c r="F319" s="52" t="n"/>
    </row>
    <row r="320">
      <c r="B320" s="51" t="n"/>
      <c r="C320" s="51" t="n"/>
      <c r="D320" s="51" t="n"/>
      <c r="F320" s="52" t="n"/>
    </row>
    <row r="321">
      <c r="B321" s="51" t="n"/>
      <c r="C321" s="51" t="n"/>
      <c r="D321" s="51" t="n"/>
      <c r="F321" s="52" t="n"/>
    </row>
    <row r="322">
      <c r="B322" s="51" t="n"/>
      <c r="C322" s="51" t="n"/>
      <c r="D322" s="51" t="n"/>
      <c r="F322" s="52" t="n"/>
    </row>
    <row r="323">
      <c r="B323" s="51" t="n"/>
      <c r="C323" s="51" t="n"/>
      <c r="D323" s="51" t="n"/>
      <c r="F323" s="52" t="n"/>
    </row>
    <row r="324">
      <c r="B324" s="51" t="n"/>
      <c r="C324" s="51" t="n"/>
      <c r="D324" s="51" t="n"/>
      <c r="F324" s="52" t="n"/>
    </row>
    <row r="325">
      <c r="B325" s="51" t="n"/>
      <c r="C325" s="51" t="n"/>
      <c r="D325" s="51" t="n"/>
      <c r="F325" s="52" t="n"/>
    </row>
    <row r="326">
      <c r="B326" s="51" t="n"/>
      <c r="C326" s="51" t="n"/>
      <c r="D326" s="51" t="n"/>
      <c r="F326" s="52" t="n"/>
    </row>
    <row r="327">
      <c r="B327" s="51" t="n"/>
      <c r="C327" s="51" t="n"/>
      <c r="D327" s="51" t="n"/>
      <c r="F327" s="52" t="n"/>
    </row>
    <row r="328">
      <c r="B328" s="51" t="n"/>
      <c r="C328" s="51" t="n"/>
      <c r="D328" s="51" t="n"/>
      <c r="F328" s="52" t="n"/>
    </row>
    <row r="329">
      <c r="B329" s="51" t="n"/>
      <c r="C329" s="51" t="n"/>
      <c r="D329" s="51" t="n"/>
      <c r="F329" s="52" t="n"/>
    </row>
    <row r="330">
      <c r="B330" s="51" t="n"/>
      <c r="C330" s="51" t="n"/>
      <c r="D330" s="51" t="n"/>
      <c r="F330" s="52" t="n"/>
    </row>
    <row r="331">
      <c r="B331" s="51" t="n"/>
      <c r="C331" s="51" t="n"/>
      <c r="D331" s="51" t="n"/>
      <c r="F331" s="52" t="n"/>
    </row>
    <row r="332">
      <c r="B332" s="51" t="n"/>
      <c r="C332" s="51" t="n"/>
      <c r="D332" s="51" t="n"/>
      <c r="F332" s="52" t="n"/>
    </row>
    <row r="333">
      <c r="B333" s="51" t="n"/>
      <c r="C333" s="51" t="n"/>
      <c r="D333" s="51" t="n"/>
      <c r="F333" s="52" t="n"/>
    </row>
    <row r="334">
      <c r="B334" s="51" t="n"/>
      <c r="C334" s="51" t="n"/>
      <c r="D334" s="51" t="n"/>
      <c r="F334" s="52" t="n"/>
    </row>
    <row r="335">
      <c r="B335" s="51" t="n"/>
      <c r="C335" s="51" t="n"/>
      <c r="D335" s="51" t="n"/>
      <c r="F335" s="52" t="n"/>
    </row>
    <row r="336">
      <c r="B336" s="51" t="n"/>
      <c r="C336" s="51" t="n"/>
      <c r="D336" s="51" t="n"/>
      <c r="F336" s="52" t="n"/>
    </row>
    <row r="337">
      <c r="B337" s="51" t="n"/>
      <c r="C337" s="51" t="n"/>
      <c r="D337" s="51" t="n"/>
      <c r="F337" s="52" t="n"/>
    </row>
    <row r="338">
      <c r="B338" s="51" t="n"/>
      <c r="C338" s="51" t="n"/>
      <c r="D338" s="51" t="n"/>
      <c r="F338" s="52" t="n"/>
    </row>
    <row r="339">
      <c r="B339" s="51" t="n"/>
      <c r="C339" s="51" t="n"/>
      <c r="D339" s="51" t="n"/>
      <c r="F339" s="52" t="n"/>
    </row>
    <row r="340">
      <c r="B340" s="51" t="n"/>
      <c r="C340" s="51" t="n"/>
      <c r="D340" s="51" t="n"/>
      <c r="F340" s="52" t="n"/>
    </row>
    <row r="341">
      <c r="B341" s="51" t="n"/>
      <c r="C341" s="51" t="n"/>
      <c r="D341" s="51" t="n"/>
      <c r="F341" s="52" t="n"/>
    </row>
    <row r="342">
      <c r="B342" s="51" t="n"/>
      <c r="C342" s="51" t="n"/>
      <c r="D342" s="51" t="n"/>
      <c r="F342" s="52" t="n"/>
    </row>
    <row r="343">
      <c r="B343" s="51" t="n"/>
      <c r="C343" s="51" t="n"/>
      <c r="D343" s="51" t="n"/>
      <c r="F343" s="52" t="n"/>
    </row>
    <row r="344">
      <c r="B344" s="51" t="n"/>
      <c r="C344" s="51" t="n"/>
      <c r="D344" s="51" t="n"/>
      <c r="F344" s="52" t="n"/>
    </row>
    <row r="345">
      <c r="B345" s="51" t="n"/>
      <c r="C345" s="51" t="n"/>
      <c r="D345" s="51" t="n"/>
      <c r="F345" s="52" t="n"/>
    </row>
    <row r="346">
      <c r="B346" s="51" t="n"/>
      <c r="C346" s="51" t="n"/>
      <c r="D346" s="51" t="n"/>
      <c r="F346" s="52" t="n"/>
    </row>
    <row r="347">
      <c r="B347" s="51" t="n"/>
      <c r="C347" s="51" t="n"/>
      <c r="D347" s="51" t="n"/>
      <c r="F347" s="52" t="n"/>
    </row>
    <row r="348">
      <c r="B348" s="51" t="n"/>
      <c r="C348" s="51" t="n"/>
      <c r="D348" s="51" t="n"/>
      <c r="F348" s="52" t="n"/>
    </row>
    <row r="349">
      <c r="B349" s="51" t="n"/>
      <c r="C349" s="51" t="n"/>
      <c r="D349" s="51" t="n"/>
      <c r="F349" s="52" t="n"/>
    </row>
    <row r="350">
      <c r="B350" s="51" t="n"/>
      <c r="C350" s="51" t="n"/>
      <c r="D350" s="51" t="n"/>
      <c r="F350" s="52" t="n"/>
    </row>
    <row r="351">
      <c r="B351" s="51" t="n"/>
      <c r="C351" s="51" t="n"/>
      <c r="D351" s="51" t="n"/>
      <c r="F351" s="52" t="n"/>
    </row>
    <row r="352">
      <c r="B352" s="51" t="n"/>
      <c r="C352" s="51" t="n"/>
      <c r="D352" s="51" t="n"/>
      <c r="F352" s="52" t="n"/>
    </row>
    <row r="353">
      <c r="B353" s="51" t="n"/>
      <c r="C353" s="51" t="n"/>
      <c r="D353" s="51" t="n"/>
      <c r="F353" s="52" t="n"/>
    </row>
    <row r="354">
      <c r="B354" s="51" t="n"/>
      <c r="C354" s="51" t="n"/>
      <c r="D354" s="51" t="n"/>
      <c r="F354" s="52" t="n"/>
    </row>
    <row r="355">
      <c r="B355" s="51" t="n"/>
      <c r="C355" s="51" t="n"/>
      <c r="D355" s="51" t="n"/>
      <c r="F355" s="52" t="n"/>
    </row>
    <row r="356">
      <c r="B356" s="51" t="n"/>
      <c r="C356" s="51" t="n"/>
      <c r="D356" s="51" t="n"/>
      <c r="F356" s="52" t="n"/>
    </row>
    <row r="357">
      <c r="B357" s="51" t="n"/>
      <c r="C357" s="51" t="n"/>
      <c r="D357" s="51" t="n"/>
      <c r="F357" s="52" t="n"/>
    </row>
    <row r="358">
      <c r="B358" s="51" t="n"/>
      <c r="C358" s="51" t="n"/>
      <c r="D358" s="51" t="n"/>
      <c r="F358" s="52" t="n"/>
    </row>
    <row r="359">
      <c r="B359" s="51" t="n"/>
      <c r="C359" s="51" t="n"/>
      <c r="D359" s="51" t="n"/>
      <c r="F359" s="52" t="n"/>
    </row>
    <row r="360">
      <c r="B360" s="51" t="n"/>
      <c r="C360" s="51" t="n"/>
      <c r="D360" s="51" t="n"/>
      <c r="F360" s="52" t="n"/>
    </row>
    <row r="361">
      <c r="B361" s="51" t="n"/>
      <c r="C361" s="51" t="n"/>
      <c r="D361" s="51" t="n"/>
      <c r="F361" s="52" t="n"/>
    </row>
    <row r="362">
      <c r="B362" s="51" t="n"/>
      <c r="C362" s="51" t="n"/>
      <c r="D362" s="51" t="n"/>
      <c r="F362" s="52" t="n"/>
    </row>
    <row r="363">
      <c r="B363" s="51" t="n"/>
      <c r="C363" s="51" t="n"/>
      <c r="D363" s="51" t="n"/>
      <c r="F363" s="52" t="n"/>
    </row>
    <row r="364">
      <c r="B364" s="51" t="n"/>
      <c r="C364" s="51" t="n"/>
      <c r="D364" s="51" t="n"/>
      <c r="F364" s="52" t="n"/>
    </row>
    <row r="365">
      <c r="B365" s="51" t="n"/>
      <c r="C365" s="51" t="n"/>
      <c r="D365" s="51" t="n"/>
      <c r="F365" s="52" t="n"/>
    </row>
    <row r="366">
      <c r="B366" s="51" t="n"/>
      <c r="C366" s="51" t="n"/>
      <c r="D366" s="51" t="n"/>
      <c r="F366" s="52" t="n"/>
    </row>
    <row r="367">
      <c r="B367" s="51" t="n"/>
      <c r="C367" s="51" t="n"/>
      <c r="D367" s="51" t="n"/>
      <c r="F367" s="52" t="n"/>
    </row>
    <row r="368">
      <c r="B368" s="51" t="n"/>
      <c r="C368" s="51" t="n"/>
      <c r="D368" s="51" t="n"/>
      <c r="F368" s="52" t="n"/>
    </row>
    <row r="369">
      <c r="B369" s="51" t="n"/>
      <c r="C369" s="51" t="n"/>
      <c r="D369" s="51" t="n"/>
      <c r="F369" s="52" t="n"/>
    </row>
    <row r="370">
      <c r="B370" s="51" t="n"/>
      <c r="C370" s="51" t="n"/>
      <c r="D370" s="51" t="n"/>
      <c r="F370" s="52" t="n"/>
    </row>
    <row r="371">
      <c r="B371" s="51" t="n"/>
      <c r="C371" s="51" t="n"/>
      <c r="D371" s="51" t="n"/>
      <c r="F371" s="52" t="n"/>
    </row>
    <row r="372">
      <c r="B372" s="51" t="n"/>
      <c r="C372" s="51" t="n"/>
      <c r="D372" s="51" t="n"/>
      <c r="F372" s="52" t="n"/>
    </row>
    <row r="373">
      <c r="B373" s="51" t="n"/>
      <c r="C373" s="51" t="n"/>
      <c r="D373" s="51" t="n"/>
      <c r="F373" s="52" t="n"/>
    </row>
    <row r="374">
      <c r="B374" s="51" t="n"/>
      <c r="C374" s="51" t="n"/>
      <c r="D374" s="51" t="n"/>
      <c r="F374" s="52" t="n"/>
    </row>
    <row r="375">
      <c r="B375" s="51" t="n"/>
      <c r="C375" s="51" t="n"/>
      <c r="D375" s="51" t="n"/>
      <c r="F375" s="52" t="n"/>
    </row>
    <row r="376">
      <c r="B376" s="51" t="n"/>
      <c r="C376" s="51" t="n"/>
      <c r="D376" s="51" t="n"/>
      <c r="F376" s="52" t="n"/>
    </row>
    <row r="377">
      <c r="B377" s="51" t="n"/>
      <c r="C377" s="51" t="n"/>
      <c r="D377" s="51" t="n"/>
      <c r="F377" s="52" t="n"/>
    </row>
    <row r="378">
      <c r="B378" s="51" t="n"/>
      <c r="C378" s="51" t="n"/>
      <c r="D378" s="51" t="n"/>
      <c r="F378" s="52" t="n"/>
    </row>
    <row r="379">
      <c r="B379" s="51" t="n"/>
      <c r="C379" s="51" t="n"/>
      <c r="D379" s="51" t="n"/>
      <c r="F379" s="52" t="n"/>
    </row>
    <row r="380">
      <c r="B380" s="51" t="n"/>
      <c r="C380" s="51" t="n"/>
      <c r="D380" s="51" t="n"/>
      <c r="F380" s="52" t="n"/>
    </row>
    <row r="381">
      <c r="B381" s="51" t="n"/>
      <c r="C381" s="51" t="n"/>
      <c r="D381" s="51" t="n"/>
      <c r="F381" s="52" t="n"/>
    </row>
    <row r="382">
      <c r="B382" s="51" t="n"/>
      <c r="C382" s="51" t="n"/>
      <c r="D382" s="51" t="n"/>
      <c r="F382" s="52" t="n"/>
    </row>
    <row r="383">
      <c r="B383" s="51" t="n"/>
      <c r="C383" s="51" t="n"/>
      <c r="D383" s="51" t="n"/>
      <c r="F383" s="52" t="n"/>
    </row>
    <row r="384">
      <c r="B384" s="51" t="n"/>
      <c r="C384" s="51" t="n"/>
      <c r="D384" s="51" t="n"/>
      <c r="F384" s="52" t="n"/>
    </row>
    <row r="385">
      <c r="B385" s="51" t="n"/>
      <c r="C385" s="51" t="n"/>
      <c r="D385" s="51" t="n"/>
      <c r="F385" s="52" t="n"/>
    </row>
    <row r="386">
      <c r="B386" s="51" t="n"/>
      <c r="C386" s="51" t="n"/>
      <c r="D386" s="51" t="n"/>
      <c r="F386" s="52" t="n"/>
    </row>
    <row r="387">
      <c r="B387" s="51" t="n"/>
      <c r="C387" s="51" t="n"/>
      <c r="D387" s="51" t="n"/>
      <c r="F387" s="52" t="n"/>
    </row>
    <row r="388">
      <c r="B388" s="51" t="n"/>
      <c r="C388" s="51" t="n"/>
      <c r="D388" s="51" t="n"/>
      <c r="F388" s="52" t="n"/>
    </row>
    <row r="389">
      <c r="B389" s="51" t="n"/>
      <c r="C389" s="51" t="n"/>
      <c r="D389" s="51" t="n"/>
      <c r="F389" s="52" t="n"/>
    </row>
    <row r="390">
      <c r="B390" s="51" t="n"/>
      <c r="C390" s="51" t="n"/>
      <c r="D390" s="51" t="n"/>
      <c r="F390" s="52" t="n"/>
    </row>
    <row r="391">
      <c r="B391" s="51" t="n"/>
      <c r="C391" s="51" t="n"/>
      <c r="D391" s="51" t="n"/>
      <c r="F391" s="52" t="n"/>
    </row>
    <row r="392">
      <c r="B392" s="51" t="n"/>
      <c r="C392" s="51" t="n"/>
      <c r="D392" s="51" t="n"/>
      <c r="F392" s="52" t="n"/>
    </row>
    <row r="393">
      <c r="B393" s="51" t="n"/>
      <c r="C393" s="51" t="n"/>
      <c r="D393" s="51" t="n"/>
      <c r="F393" s="52" t="n"/>
    </row>
    <row r="394">
      <c r="B394" s="51" t="n"/>
      <c r="C394" s="51" t="n"/>
      <c r="D394" s="51" t="n"/>
      <c r="F394" s="52" t="n"/>
    </row>
    <row r="395">
      <c r="B395" s="51" t="n"/>
      <c r="C395" s="51" t="n"/>
      <c r="D395" s="51" t="n"/>
      <c r="F395" s="52" t="n"/>
    </row>
    <row r="396">
      <c r="B396" s="51" t="n"/>
      <c r="C396" s="51" t="n"/>
      <c r="D396" s="51" t="n"/>
      <c r="F396" s="52" t="n"/>
    </row>
    <row r="397">
      <c r="B397" s="51" t="n"/>
      <c r="C397" s="51" t="n"/>
      <c r="D397" s="51" t="n"/>
      <c r="F397" s="52" t="n"/>
    </row>
    <row r="398">
      <c r="B398" s="51" t="n"/>
      <c r="C398" s="51" t="n"/>
      <c r="D398" s="51" t="n"/>
      <c r="F398" s="52" t="n"/>
    </row>
    <row r="399">
      <c r="B399" s="51" t="n"/>
      <c r="C399" s="51" t="n"/>
      <c r="D399" s="51" t="n"/>
      <c r="F399" s="52" t="n"/>
    </row>
    <row r="400">
      <c r="B400" s="51" t="n"/>
      <c r="C400" s="51" t="n"/>
      <c r="D400" s="51" t="n"/>
      <c r="F400" s="52" t="n"/>
    </row>
    <row r="401">
      <c r="B401" s="51" t="n"/>
      <c r="C401" s="51" t="n"/>
      <c r="D401" s="51" t="n"/>
      <c r="F401" s="52" t="n"/>
    </row>
    <row r="402">
      <c r="B402" s="51" t="n"/>
      <c r="C402" s="51" t="n"/>
      <c r="D402" s="51" t="n"/>
      <c r="F402" s="52" t="n"/>
    </row>
    <row r="403">
      <c r="B403" s="51" t="n"/>
      <c r="C403" s="51" t="n"/>
      <c r="D403" s="51" t="n"/>
      <c r="F403" s="52" t="n"/>
    </row>
    <row r="404">
      <c r="B404" s="51" t="n"/>
      <c r="C404" s="51" t="n"/>
      <c r="D404" s="51" t="n"/>
      <c r="F404" s="52" t="n"/>
    </row>
    <row r="405">
      <c r="B405" s="51" t="n"/>
      <c r="C405" s="51" t="n"/>
      <c r="D405" s="51" t="n"/>
      <c r="F405" s="52" t="n"/>
    </row>
    <row r="406">
      <c r="B406" s="51" t="n"/>
      <c r="C406" s="51" t="n"/>
      <c r="D406" s="51" t="n"/>
      <c r="F406" s="52" t="n"/>
    </row>
    <row r="407">
      <c r="B407" s="51" t="n"/>
      <c r="C407" s="51" t="n"/>
      <c r="D407" s="51" t="n"/>
      <c r="F407" s="52" t="n"/>
    </row>
    <row r="408">
      <c r="B408" s="51" t="n"/>
      <c r="C408" s="51" t="n"/>
      <c r="D408" s="51" t="n"/>
      <c r="F408" s="52" t="n"/>
    </row>
    <row r="409">
      <c r="B409" s="51" t="n"/>
      <c r="C409" s="51" t="n"/>
      <c r="D409" s="51" t="n"/>
      <c r="F409" s="52" t="n"/>
    </row>
    <row r="410">
      <c r="B410" s="51" t="n"/>
      <c r="C410" s="51" t="n"/>
      <c r="D410" s="51" t="n"/>
      <c r="F410" s="52" t="n"/>
    </row>
    <row r="411">
      <c r="B411" s="51" t="n"/>
      <c r="C411" s="51" t="n"/>
      <c r="D411" s="51" t="n"/>
      <c r="F411" s="52" t="n"/>
    </row>
    <row r="412">
      <c r="B412" s="51" t="n"/>
      <c r="C412" s="51" t="n"/>
      <c r="D412" s="51" t="n"/>
      <c r="F412" s="52" t="n"/>
    </row>
    <row r="413">
      <c r="B413" s="51" t="n"/>
      <c r="C413" s="51" t="n"/>
      <c r="D413" s="51" t="n"/>
      <c r="F413" s="52" t="n"/>
    </row>
    <row r="414">
      <c r="B414" s="51" t="n"/>
      <c r="C414" s="51" t="n"/>
      <c r="D414" s="51" t="n"/>
      <c r="F414" s="52" t="n"/>
    </row>
    <row r="415">
      <c r="B415" s="51" t="n"/>
      <c r="C415" s="51" t="n"/>
      <c r="D415" s="51" t="n"/>
      <c r="F415" s="52" t="n"/>
    </row>
    <row r="416">
      <c r="B416" s="51" t="n"/>
      <c r="C416" s="51" t="n"/>
      <c r="D416" s="51" t="n"/>
      <c r="F416" s="52" t="n"/>
    </row>
    <row r="417">
      <c r="B417" s="51" t="n"/>
      <c r="C417" s="51" t="n"/>
      <c r="D417" s="51" t="n"/>
      <c r="F417" s="52" t="n"/>
    </row>
    <row r="418">
      <c r="B418" s="51" t="n"/>
      <c r="C418" s="51" t="n"/>
      <c r="D418" s="51" t="n"/>
      <c r="F418" s="52" t="n"/>
    </row>
    <row r="419">
      <c r="B419" s="51" t="n"/>
      <c r="C419" s="51" t="n"/>
      <c r="D419" s="51" t="n"/>
      <c r="F419" s="52" t="n"/>
    </row>
    <row r="420">
      <c r="B420" s="51" t="n"/>
      <c r="C420" s="51" t="n"/>
      <c r="D420" s="51" t="n"/>
      <c r="F420" s="52" t="n"/>
    </row>
    <row r="421">
      <c r="B421" s="51" t="n"/>
      <c r="C421" s="51" t="n"/>
      <c r="D421" s="51" t="n"/>
      <c r="F421" s="52" t="n"/>
    </row>
    <row r="422">
      <c r="B422" s="51" t="n"/>
      <c r="C422" s="51" t="n"/>
      <c r="D422" s="51" t="n"/>
      <c r="F422" s="52" t="n"/>
    </row>
    <row r="423">
      <c r="B423" s="51" t="n"/>
      <c r="C423" s="51" t="n"/>
      <c r="D423" s="51" t="n"/>
      <c r="F423" s="52" t="n"/>
    </row>
    <row r="424">
      <c r="B424" s="51" t="n"/>
      <c r="C424" s="51" t="n"/>
      <c r="D424" s="51" t="n"/>
      <c r="F424" s="52" t="n"/>
    </row>
    <row r="425">
      <c r="B425" s="51" t="n"/>
      <c r="C425" s="51" t="n"/>
      <c r="D425" s="51" t="n"/>
      <c r="F425" s="52" t="n"/>
    </row>
    <row r="426">
      <c r="B426" s="51" t="n"/>
      <c r="C426" s="51" t="n"/>
      <c r="D426" s="51" t="n"/>
      <c r="F426" s="52" t="n"/>
    </row>
    <row r="427">
      <c r="B427" s="51" t="n"/>
      <c r="C427" s="51" t="n"/>
      <c r="D427" s="51" t="n"/>
      <c r="F427" s="52" t="n"/>
    </row>
    <row r="428">
      <c r="B428" s="51" t="n"/>
      <c r="C428" s="51" t="n"/>
      <c r="D428" s="51" t="n"/>
      <c r="F428" s="52" t="n"/>
    </row>
    <row r="429">
      <c r="B429" s="51" t="n"/>
      <c r="C429" s="51" t="n"/>
      <c r="D429" s="51" t="n"/>
      <c r="F429" s="52" t="n"/>
    </row>
    <row r="430">
      <c r="B430" s="51" t="n"/>
      <c r="C430" s="51" t="n"/>
      <c r="D430" s="51" t="n"/>
      <c r="F430" s="52" t="n"/>
    </row>
    <row r="431">
      <c r="B431" s="51" t="n"/>
      <c r="C431" s="51" t="n"/>
      <c r="D431" s="51" t="n"/>
      <c r="F431" s="52" t="n"/>
    </row>
    <row r="432">
      <c r="B432" s="51" t="n"/>
      <c r="C432" s="51" t="n"/>
      <c r="D432" s="51" t="n"/>
      <c r="F432" s="52" t="n"/>
    </row>
    <row r="433">
      <c r="B433" s="51" t="n"/>
      <c r="C433" s="51" t="n"/>
      <c r="D433" s="51" t="n"/>
      <c r="F433" s="52" t="n"/>
    </row>
    <row r="434">
      <c r="B434" s="51" t="n"/>
      <c r="C434" s="51" t="n"/>
      <c r="D434" s="51" t="n"/>
      <c r="F434" s="52" t="n"/>
    </row>
    <row r="435">
      <c r="B435" s="51" t="n"/>
      <c r="C435" s="51" t="n"/>
      <c r="D435" s="51" t="n"/>
      <c r="F435" s="52" t="n"/>
    </row>
    <row r="436">
      <c r="B436" s="51" t="n"/>
      <c r="C436" s="51" t="n"/>
      <c r="D436" s="51" t="n"/>
      <c r="F436" s="52" t="n"/>
    </row>
    <row r="437">
      <c r="B437" s="51" t="n"/>
      <c r="C437" s="51" t="n"/>
      <c r="D437" s="51" t="n"/>
      <c r="F437" s="52" t="n"/>
    </row>
    <row r="438">
      <c r="B438" s="51" t="n"/>
      <c r="C438" s="51" t="n"/>
      <c r="D438" s="51" t="n"/>
      <c r="F438" s="52" t="n"/>
    </row>
    <row r="439">
      <c r="B439" s="51" t="n"/>
      <c r="C439" s="51" t="n"/>
      <c r="D439" s="51" t="n"/>
      <c r="F439" s="52" t="n"/>
    </row>
    <row r="440">
      <c r="B440" s="51" t="n"/>
      <c r="C440" s="51" t="n"/>
      <c r="D440" s="51" t="n"/>
      <c r="F440" s="52" t="n"/>
    </row>
    <row r="441">
      <c r="B441" s="51" t="n"/>
      <c r="C441" s="51" t="n"/>
      <c r="D441" s="51" t="n"/>
      <c r="F441" s="52" t="n"/>
    </row>
    <row r="442">
      <c r="B442" s="51" t="n"/>
      <c r="C442" s="51" t="n"/>
      <c r="D442" s="51" t="n"/>
      <c r="F442" s="52" t="n"/>
    </row>
    <row r="443">
      <c r="B443" s="51" t="n"/>
      <c r="C443" s="51" t="n"/>
      <c r="D443" s="51" t="n"/>
      <c r="F443" s="52" t="n"/>
    </row>
    <row r="444">
      <c r="B444" s="51" t="n"/>
      <c r="C444" s="51" t="n"/>
      <c r="D444" s="51" t="n"/>
      <c r="F444" s="52" t="n"/>
    </row>
    <row r="445">
      <c r="B445" s="51" t="n"/>
      <c r="C445" s="51" t="n"/>
      <c r="D445" s="51" t="n"/>
      <c r="F445" s="52" t="n"/>
    </row>
    <row r="446">
      <c r="B446" s="51" t="n"/>
      <c r="C446" s="51" t="n"/>
      <c r="D446" s="51" t="n"/>
      <c r="F446" s="52" t="n"/>
    </row>
    <row r="447">
      <c r="B447" s="51" t="n"/>
      <c r="C447" s="51" t="n"/>
      <c r="D447" s="51" t="n"/>
      <c r="F447" s="52" t="n"/>
    </row>
    <row r="448">
      <c r="B448" s="51" t="n"/>
      <c r="C448" s="51" t="n"/>
      <c r="D448" s="51" t="n"/>
      <c r="F448" s="52" t="n"/>
    </row>
    <row r="449">
      <c r="B449" s="51" t="n"/>
      <c r="C449" s="51" t="n"/>
      <c r="D449" s="51" t="n"/>
      <c r="F449" s="52" t="n"/>
    </row>
    <row r="450">
      <c r="B450" s="51" t="n"/>
      <c r="C450" s="51" t="n"/>
      <c r="D450" s="51" t="n"/>
      <c r="F450" s="52" t="n"/>
    </row>
    <row r="451">
      <c r="B451" s="51" t="n"/>
      <c r="C451" s="51" t="n"/>
      <c r="D451" s="51" t="n"/>
      <c r="F451" s="52" t="n"/>
    </row>
    <row r="452">
      <c r="B452" s="51" t="n"/>
      <c r="C452" s="51" t="n"/>
      <c r="D452" s="51" t="n"/>
      <c r="F452" s="52" t="n"/>
    </row>
    <row r="453">
      <c r="B453" s="51" t="n"/>
      <c r="C453" s="51" t="n"/>
      <c r="D453" s="51" t="n"/>
      <c r="F453" s="52" t="n"/>
    </row>
    <row r="454">
      <c r="B454" s="51" t="n"/>
      <c r="C454" s="51" t="n"/>
      <c r="D454" s="51" t="n"/>
      <c r="F454" s="52" t="n"/>
    </row>
    <row r="455">
      <c r="B455" s="51" t="n"/>
      <c r="C455" s="51" t="n"/>
      <c r="D455" s="51" t="n"/>
      <c r="F455" s="52" t="n"/>
    </row>
    <row r="456">
      <c r="B456" s="51" t="n"/>
      <c r="C456" s="51" t="n"/>
      <c r="D456" s="51" t="n"/>
      <c r="F456" s="52" t="n"/>
    </row>
    <row r="457">
      <c r="B457" s="51" t="n"/>
      <c r="C457" s="51" t="n"/>
      <c r="D457" s="51" t="n"/>
      <c r="F457" s="52" t="n"/>
    </row>
    <row r="458">
      <c r="B458" s="51" t="n"/>
      <c r="C458" s="51" t="n"/>
      <c r="D458" s="51" t="n"/>
      <c r="F458" s="52" t="n"/>
    </row>
    <row r="459">
      <c r="B459" s="51" t="n"/>
      <c r="C459" s="51" t="n"/>
      <c r="D459" s="51" t="n"/>
      <c r="F459" s="52" t="n"/>
    </row>
    <row r="460">
      <c r="B460" s="51" t="n"/>
      <c r="C460" s="51" t="n"/>
      <c r="D460" s="51" t="n"/>
      <c r="F460" s="52" t="n"/>
    </row>
    <row r="461">
      <c r="B461" s="51" t="n"/>
      <c r="C461" s="51" t="n"/>
      <c r="D461" s="51" t="n"/>
      <c r="F461" s="52" t="n"/>
    </row>
    <row r="462">
      <c r="B462" s="51" t="n"/>
      <c r="C462" s="51" t="n"/>
      <c r="D462" s="51" t="n"/>
      <c r="F462" s="52" t="n"/>
    </row>
    <row r="463">
      <c r="B463" s="51" t="n"/>
      <c r="C463" s="51" t="n"/>
      <c r="D463" s="51" t="n"/>
      <c r="F463" s="52" t="n"/>
    </row>
    <row r="464">
      <c r="B464" s="51" t="n"/>
      <c r="C464" s="51" t="n"/>
      <c r="D464" s="51" t="n"/>
      <c r="F464" s="52" t="n"/>
    </row>
    <row r="465">
      <c r="B465" s="51" t="n"/>
      <c r="C465" s="51" t="n"/>
      <c r="D465" s="51" t="n"/>
      <c r="F465" s="52" t="n"/>
    </row>
    <row r="466">
      <c r="B466" s="51" t="n"/>
      <c r="C466" s="51" t="n"/>
      <c r="D466" s="51" t="n"/>
      <c r="F466" s="52" t="n"/>
    </row>
    <row r="467">
      <c r="B467" s="51" t="n"/>
      <c r="C467" s="51" t="n"/>
      <c r="D467" s="51" t="n"/>
      <c r="F467" s="52" t="n"/>
    </row>
    <row r="468">
      <c r="B468" s="51" t="n"/>
      <c r="C468" s="51" t="n"/>
      <c r="D468" s="51" t="n"/>
      <c r="F468" s="52" t="n"/>
    </row>
    <row r="469">
      <c r="B469" s="51" t="n"/>
      <c r="C469" s="51" t="n"/>
      <c r="D469" s="51" t="n"/>
      <c r="F469" s="52" t="n"/>
    </row>
    <row r="470">
      <c r="B470" s="51" t="n"/>
      <c r="C470" s="51" t="n"/>
      <c r="D470" s="51" t="n"/>
      <c r="F470" s="52" t="n"/>
    </row>
    <row r="471">
      <c r="B471" s="51" t="n"/>
      <c r="C471" s="51" t="n"/>
      <c r="D471" s="51" t="n"/>
      <c r="F471" s="52" t="n"/>
    </row>
    <row r="472">
      <c r="B472" s="51" t="n"/>
      <c r="C472" s="51" t="n"/>
      <c r="D472" s="51" t="n"/>
      <c r="F472" s="52" t="n"/>
    </row>
    <row r="473">
      <c r="B473" s="51" t="n"/>
      <c r="C473" s="51" t="n"/>
      <c r="D473" s="51" t="n"/>
      <c r="F473" s="52" t="n"/>
    </row>
    <row r="474">
      <c r="B474" s="51" t="n"/>
      <c r="C474" s="51" t="n"/>
      <c r="D474" s="51" t="n"/>
      <c r="F474" s="52" t="n"/>
    </row>
    <row r="475">
      <c r="B475" s="51" t="n"/>
      <c r="C475" s="51" t="n"/>
      <c r="D475" s="51" t="n"/>
      <c r="F475" s="52" t="n"/>
    </row>
    <row r="476">
      <c r="B476" s="51" t="n"/>
      <c r="C476" s="51" t="n"/>
      <c r="D476" s="51" t="n"/>
      <c r="F476" s="52" t="n"/>
    </row>
    <row r="477">
      <c r="B477" s="51" t="n"/>
      <c r="C477" s="51" t="n"/>
      <c r="D477" s="51" t="n"/>
      <c r="F477" s="52" t="n"/>
    </row>
    <row r="478">
      <c r="B478" s="51" t="n"/>
      <c r="C478" s="51" t="n"/>
      <c r="D478" s="51" t="n"/>
      <c r="F478" s="52" t="n"/>
    </row>
    <row r="479">
      <c r="B479" s="51" t="n"/>
      <c r="C479" s="51" t="n"/>
      <c r="D479" s="51" t="n"/>
      <c r="F479" s="52" t="n"/>
    </row>
    <row r="480">
      <c r="B480" s="51" t="n"/>
      <c r="C480" s="51" t="n"/>
      <c r="D480" s="51" t="n"/>
      <c r="F480" s="52" t="n"/>
    </row>
    <row r="481">
      <c r="B481" s="51" t="n"/>
      <c r="C481" s="51" t="n"/>
      <c r="D481" s="51" t="n"/>
      <c r="F481" s="52" t="n"/>
    </row>
    <row r="482">
      <c r="B482" s="51" t="n"/>
      <c r="C482" s="51" t="n"/>
      <c r="D482" s="51" t="n"/>
      <c r="F482" s="52" t="n"/>
    </row>
    <row r="483">
      <c r="B483" s="51" t="n"/>
      <c r="C483" s="51" t="n"/>
      <c r="D483" s="51" t="n"/>
      <c r="F483" s="52" t="n"/>
    </row>
    <row r="484">
      <c r="B484" s="51" t="n"/>
      <c r="C484" s="51" t="n"/>
      <c r="D484" s="51" t="n"/>
      <c r="F484" s="52" t="n"/>
    </row>
    <row r="485">
      <c r="B485" s="51" t="n"/>
      <c r="C485" s="51" t="n"/>
      <c r="D485" s="51" t="n"/>
      <c r="F485" s="52" t="n"/>
    </row>
    <row r="486">
      <c r="B486" s="51" t="n"/>
      <c r="C486" s="51" t="n"/>
      <c r="D486" s="51" t="n"/>
      <c r="F486" s="52" t="n"/>
    </row>
    <row r="487">
      <c r="B487" s="51" t="n"/>
      <c r="C487" s="51" t="n"/>
      <c r="D487" s="51" t="n"/>
      <c r="F487" s="52" t="n"/>
    </row>
    <row r="488">
      <c r="B488" s="51" t="n"/>
      <c r="C488" s="51" t="n"/>
      <c r="D488" s="51" t="n"/>
      <c r="F488" s="52" t="n"/>
    </row>
    <row r="489">
      <c r="B489" s="51" t="n"/>
      <c r="C489" s="51" t="n"/>
      <c r="D489" s="51" t="n"/>
      <c r="F489" s="52" t="n"/>
    </row>
    <row r="490">
      <c r="B490" s="51" t="n"/>
      <c r="C490" s="51" t="n"/>
      <c r="D490" s="51" t="n"/>
      <c r="F490" s="52" t="n"/>
    </row>
    <row r="491">
      <c r="B491" s="51" t="n"/>
      <c r="C491" s="51" t="n"/>
      <c r="D491" s="51" t="n"/>
      <c r="F491" s="52" t="n"/>
    </row>
    <row r="492">
      <c r="B492" s="51" t="n"/>
      <c r="C492" s="51" t="n"/>
      <c r="D492" s="51" t="n"/>
      <c r="F492" s="52" t="n"/>
    </row>
    <row r="493">
      <c r="B493" s="51" t="n"/>
      <c r="C493" s="51" t="n"/>
      <c r="D493" s="51" t="n"/>
      <c r="F493" s="52" t="n"/>
    </row>
    <row r="494">
      <c r="B494" s="51" t="n"/>
      <c r="C494" s="51" t="n"/>
      <c r="D494" s="51" t="n"/>
      <c r="F494" s="52" t="n"/>
    </row>
    <row r="495">
      <c r="B495" s="51" t="n"/>
      <c r="C495" s="51" t="n"/>
      <c r="D495" s="51" t="n"/>
      <c r="F495" s="52" t="n"/>
    </row>
    <row r="496">
      <c r="B496" s="51" t="n"/>
      <c r="C496" s="51" t="n"/>
      <c r="D496" s="51" t="n"/>
      <c r="F496" s="52" t="n"/>
    </row>
    <row r="497">
      <c r="B497" s="51" t="n"/>
      <c r="C497" s="51" t="n"/>
      <c r="D497" s="51" t="n"/>
      <c r="F497" s="52" t="n"/>
    </row>
    <row r="498">
      <c r="B498" s="51" t="n"/>
      <c r="C498" s="51" t="n"/>
      <c r="D498" s="51" t="n"/>
      <c r="F498" s="52" t="n"/>
    </row>
    <row r="499">
      <c r="B499" s="51" t="n"/>
      <c r="C499" s="51" t="n"/>
      <c r="D499" s="51" t="n"/>
      <c r="F499" s="52" t="n"/>
    </row>
    <row r="500">
      <c r="B500" s="51" t="n"/>
      <c r="C500" s="51" t="n"/>
      <c r="D500" s="51" t="n"/>
      <c r="F500" s="52" t="n"/>
    </row>
    <row r="501">
      <c r="B501" s="51" t="n"/>
      <c r="C501" s="51" t="n"/>
      <c r="D501" s="51" t="n"/>
      <c r="F501" s="52" t="n"/>
    </row>
    <row r="502">
      <c r="B502" s="51" t="n"/>
      <c r="C502" s="51" t="n"/>
      <c r="D502" s="51" t="n"/>
      <c r="F502" s="52" t="n"/>
    </row>
    <row r="503">
      <c r="B503" s="51" t="n"/>
      <c r="C503" s="51" t="n"/>
      <c r="D503" s="51" t="n"/>
      <c r="F503" s="52" t="n"/>
    </row>
    <row r="504">
      <c r="B504" s="51" t="n"/>
      <c r="C504" s="51" t="n"/>
      <c r="D504" s="51" t="n"/>
      <c r="F504" s="52" t="n"/>
    </row>
    <row r="505">
      <c r="B505" s="51" t="n"/>
      <c r="C505" s="51" t="n"/>
      <c r="D505" s="51" t="n"/>
      <c r="F505" s="52" t="n"/>
    </row>
    <row r="506">
      <c r="B506" s="51" t="n"/>
      <c r="C506" s="51" t="n"/>
      <c r="D506" s="51" t="n"/>
      <c r="F506" s="52" t="n"/>
    </row>
    <row r="507">
      <c r="B507" s="51" t="n"/>
      <c r="C507" s="51" t="n"/>
      <c r="D507" s="51" t="n"/>
      <c r="F507" s="52" t="n"/>
    </row>
    <row r="508">
      <c r="B508" s="51" t="n"/>
      <c r="C508" s="51" t="n"/>
      <c r="D508" s="51" t="n"/>
      <c r="F508" s="52" t="n"/>
    </row>
    <row r="509">
      <c r="B509" s="51" t="n"/>
      <c r="C509" s="51" t="n"/>
      <c r="D509" s="51" t="n"/>
      <c r="F509" s="52" t="n"/>
    </row>
    <row r="510">
      <c r="B510" s="51" t="n"/>
      <c r="C510" s="51" t="n"/>
      <c r="D510" s="51" t="n"/>
      <c r="F510" s="52" t="n"/>
    </row>
    <row r="511">
      <c r="B511" s="51" t="n"/>
      <c r="C511" s="51" t="n"/>
      <c r="D511" s="51" t="n"/>
      <c r="F511" s="52" t="n"/>
    </row>
    <row r="512">
      <c r="B512" s="51" t="n"/>
      <c r="C512" s="51" t="n"/>
      <c r="D512" s="51" t="n"/>
      <c r="F512" s="52" t="n"/>
    </row>
    <row r="513">
      <c r="B513" s="51" t="n"/>
      <c r="C513" s="51" t="n"/>
      <c r="D513" s="51" t="n"/>
      <c r="F513" s="52" t="n"/>
    </row>
    <row r="514">
      <c r="B514" s="51" t="n"/>
      <c r="C514" s="51" t="n"/>
      <c r="D514" s="51" t="n"/>
      <c r="F514" s="52" t="n"/>
    </row>
    <row r="515">
      <c r="B515" s="51" t="n"/>
      <c r="C515" s="51" t="n"/>
      <c r="D515" s="51" t="n"/>
      <c r="F515" s="52" t="n"/>
    </row>
    <row r="516">
      <c r="B516" s="51" t="n"/>
      <c r="C516" s="51" t="n"/>
      <c r="D516" s="51" t="n"/>
      <c r="F516" s="52" t="n"/>
    </row>
    <row r="517">
      <c r="B517" s="51" t="n"/>
      <c r="C517" s="51" t="n"/>
      <c r="D517" s="51" t="n"/>
      <c r="F517" s="52"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error="Choose a value of the list User access list (sheet Reference lists)." promptTitle="List" prompt="Yes. The list Allowed: UAM_BUSINESS_UNIT, UAM_USER_LEVEL, UAM_DEACTIVATION_REASON (list User access list)" type="list" errorStyle="stop">
      <formula1>=LIST_UA_LIST</formula1>
    </dataValidation>
    <dataValidation sqref="C17:C517" showDropDown="0" showInputMessage="1" showErrorMessage="1" allowBlank="1" errorTitle="Code" error="At most 30 characters." promptTitle="Code" prompt="Yes. Code of the value Allowed: Free entry, up to 30 characters" type="textLength" operator="lessThanOrEqual">
      <formula1>30</formula1>
    </dataValidation>
    <dataValidation sqref="D17:D517" showDropDown="0" showInputMessage="1" showErrorMessage="1" allowBlank="1" errorTitle="Label" error="At most 120 characters." promptTitle="Label" prompt="Yes. Label shown on screens Allowed: Free entry, up to 120 characters" type="textLength" operator="lessThanOrEqual">
      <formula1>120</formula1>
    </dataValidation>
    <dataValidation sqref="E17:E517" showDropDown="0" showInputMessage="1" showErrorMessage="1" allowBlank="1" errorTitle="Sort order" error="Enter a whole number." promptTitle="Sort order" prompt="No. Order in the drop-down Allowed: A whole number" type="whole" operator="greaterThanOrEqual">
      <formula1>-1E+15</formula1>
    </dataValidation>
    <dataValidation sqref="F17:F517" showDropDown="0" showInputMessage="1" showErrorMessage="1" allowBlank="1" errorTitle="Effective from" error="Enter a date, for example 15-Jan-2028." promptTitle="Effective from" prompt="Yes. Date the value may be used Allowed: A date, for example 15-Jan-2028" type="date" operator="greaterThan">
      <formula1>DATE(1900,1,1)</formula1>
    </dataValidation>
  </dataValidations>
  <hyperlinks>
    <hyperlink ref="A2" location="'Start here'!A1"/>
    <hyperlink ref="G2" location="'Questions and comments'!A1"/>
    <hyperlink ref="B14" location="'Reference lists'!A18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16" customWidth="1" min="3" max="3"/>
    <col width="16" customWidth="1" min="4" max="4"/>
    <col width="16" customWidth="1" min="5" max="5"/>
    <col width="20" customWidth="1" min="6" max="6"/>
    <col width="32" customWidth="1" min="7" max="7"/>
    <col width="13" customWidth="1" min="8" max="8"/>
  </cols>
  <sheetData>
    <row r="1" ht="26" customHeight="1">
      <c r="A1" s="27" t="inlineStr">
        <is>
          <t>D0-05 Employees</t>
        </is>
      </c>
      <c r="H1" s="28" t="inlineStr">
        <is>
          <t>Step 7 of 31</t>
        </is>
      </c>
    </row>
    <row r="2">
      <c r="A2" s="29" t="inlineStr">
        <is>
          <t>← Back to Start here</t>
        </is>
      </c>
      <c r="B2" s="30" t="inlineStr">
        <is>
          <t>Step 7 of 31. Fill in one row per record below the column headers; the guide above each column says what to enter.</t>
        </is>
      </c>
      <c r="H2" s="31" t="inlineStr">
        <is>
          <t>Ask a question →</t>
        </is>
      </c>
    </row>
    <row r="3" outlineLevel="1" ht="15.5" customHeight="1">
      <c r="A3" s="32" t="inlineStr">
        <is>
          <t>Purpose</t>
        </is>
      </c>
      <c r="B3" s="33" t="inlineStr">
        <is>
          <t>Employees used by the cost-centre rules, petty cash and staff advances</t>
        </is>
      </c>
    </row>
    <row r="4" outlineLevel="1" ht="15.5" customHeight="1">
      <c r="A4" s="32" t="inlineStr">
        <is>
          <t>Provided by</t>
        </is>
      </c>
      <c r="B4" s="33" t="inlineStr">
        <is>
          <t>Human Resources; Head, Comptrollership</t>
        </is>
      </c>
    </row>
    <row r="5" outlineLevel="1" ht="15.5" customHeight="1">
      <c r="A5" s="32" t="inlineStr">
        <is>
          <t>Due</t>
        </is>
      </c>
      <c r="B5" s="34" t="inlineStr">
        <is>
          <t>16-Jul-2027 – Values for UAT</t>
        </is>
      </c>
    </row>
    <row r="6" outlineLevel="1" ht="15.5" customHeight="1">
      <c r="A6" s="32" t="inlineStr">
        <is>
          <t>How it is loaded</t>
        </is>
      </c>
      <c r="B6" s="33" t="inlineStr">
        <is>
          <t>Employees (Setup &amp; Administration)</t>
        </is>
      </c>
    </row>
    <row r="7" outlineLevel="1" ht="15.5" customHeight="1">
      <c r="A7" s="32" t="inlineStr">
        <is>
          <t>Source</t>
        </is>
      </c>
      <c r="B7" s="33" t="inlineStr">
        <is>
          <t>HR employee list</t>
        </is>
      </c>
    </row>
    <row r="8" outlineLevel="1" ht="26" customHeight="1">
      <c r="A8" s="32" t="inlineStr">
        <is>
          <t>Depends on</t>
        </is>
      </c>
      <c r="B8" s="55" t="inlineStr">
        <is>
          <t>D0-02 Branches →</t>
        </is>
      </c>
      <c r="D8" s="55" t="inlineStr">
        <is>
          <t>D0-04 Cost centres and business lines →</t>
        </is>
      </c>
    </row>
    <row r="9" ht="26" customHeight="1">
      <c r="A9" s="36" t="inlineStr">
        <is>
          <t>Progress</t>
        </is>
      </c>
      <c r="B9" s="37" t="inlineStr">
        <is>
          <t>Rows entered</t>
        </is>
      </c>
      <c r="C9" s="38">
        <f>SUMPRODUCT(((ROW($B$17:$B$517)&gt;17)+($B$17&lt;&gt;"1203344")&gt;0)*(LEN($B$17:$B$517&amp;$C$17:$C$517&amp;$D$17:$D$517&amp;$E$17:$E$517&amp;$F$17:$F$517&amp;$G$17:$G$517&amp;$H$17:$H$517)&gt;0))</f>
        <v/>
      </c>
      <c r="D9" s="37" t="inlineStr">
        <is>
          <t>Mandatory cells missing</t>
        </is>
      </c>
      <c r="E9" s="38">
        <f>SUMPRODUCT(((ROW($B$17:$B$517)&gt;17)+($B$17&lt;&gt;"1203344")&gt;0)*(LEN($B$17:$B$517&amp;$C$17:$C$517&amp;$D$17:$D$517&amp;$E$17:$E$517&amp;$F$17:$F$517&amp;$G$17:$G$517&amp;$H$17:$H$517)&gt;0)*(($B$17:$B$517="")+($C$17:$C$517="")+($D$17:$D$517="")+($E$17:$E$517="")))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row>
    <row r="12" ht="17" customHeight="1">
      <c r="A12" s="43" t="inlineStr">
        <is>
          <t>Mandatory</t>
        </is>
      </c>
      <c r="B12" s="44" t="inlineStr">
        <is>
          <t>Yes</t>
        </is>
      </c>
      <c r="C12" s="44" t="inlineStr">
        <is>
          <t>Yes</t>
        </is>
      </c>
      <c r="D12" s="44" t="inlineStr">
        <is>
          <t>Yes</t>
        </is>
      </c>
      <c r="E12" s="44" t="inlineStr">
        <is>
          <t>Yes</t>
        </is>
      </c>
      <c r="F12" s="45" t="inlineStr">
        <is>
          <t>No</t>
        </is>
      </c>
      <c r="G12" s="45" t="inlineStr">
        <is>
          <t>No</t>
        </is>
      </c>
      <c r="H12" s="45" t="inlineStr">
        <is>
          <t>No</t>
        </is>
      </c>
    </row>
    <row r="13" ht="30" customHeight="1">
      <c r="A13" s="43" t="inlineStr">
        <is>
          <t>Format</t>
        </is>
      </c>
      <c r="B13" s="45" t="inlineStr">
        <is>
          <t>HR number</t>
        </is>
      </c>
      <c r="C13" s="45" t="inlineStr">
        <is>
          <t>Up to 120 characters</t>
        </is>
      </c>
      <c r="D13" s="45" t="inlineStr">
        <is>
          <t>Code of D0-02</t>
        </is>
      </c>
      <c r="E13" s="45" t="inlineStr">
        <is>
          <t>Cost centre of D0-04</t>
        </is>
      </c>
      <c r="F13" s="45" t="inlineStr">
        <is>
          <t>Text</t>
        </is>
      </c>
      <c r="G13" s="45" t="inlineStr">
        <is>
          <t>Company e-mail</t>
        </is>
      </c>
      <c r="H13" s="45" t="inlineStr">
        <is>
          <t>dd-MMM-yyyy</t>
        </is>
      </c>
    </row>
    <row r="14" ht="56" customHeight="1">
      <c r="A14" s="43" t="inlineStr">
        <is>
          <t>Allowed values</t>
        </is>
      </c>
      <c r="B14" s="45" t="inlineStr">
        <is>
          <t>Free entry</t>
        </is>
      </c>
      <c r="C14" s="45" t="inlineStr">
        <is>
          <t>Free entry, up to 120 characters</t>
        </is>
      </c>
      <c r="D14" s="53" t="inlineStr">
        <is>
          <t>A code of D0-02 Branches, column Branch code</t>
        </is>
      </c>
      <c r="E14" s="53" t="inlineStr">
        <is>
          <t>A code of D0-04 Cost centres and business lines, column Code</t>
        </is>
      </c>
      <c r="F14" s="45" t="inlineStr">
        <is>
          <t>Free entry</t>
        </is>
      </c>
      <c r="G14" s="45" t="inlineStr">
        <is>
          <t>Free entry</t>
        </is>
      </c>
      <c r="H14" s="45" t="inlineStr">
        <is>
          <t>A date, for example 15-Jan-2028</t>
        </is>
      </c>
    </row>
    <row r="15" ht="30" customHeight="1">
      <c r="A15" s="43" t="inlineStr">
        <is>
          <t>What to enter</t>
        </is>
      </c>
      <c r="B15" s="45" t="inlineStr">
        <is>
          <t>Unique</t>
        </is>
      </c>
      <c r="C15" s="45" t="inlineStr">
        <is>
          <t>Name of the employee</t>
        </is>
      </c>
      <c r="D15" s="45" t="inlineStr">
        <is>
          <t>Home branch</t>
        </is>
      </c>
      <c r="E15" s="45" t="inlineStr">
        <is>
          <t>Cost centre of the employee</t>
        </is>
      </c>
      <c r="F15" s="45" t="inlineStr">
        <is>
          <t>Position title</t>
        </is>
      </c>
      <c r="G15" s="45" t="inlineStr">
        <is>
          <t>For advices and statements</t>
        </is>
      </c>
      <c r="H15" s="45" t="inlineStr">
        <is>
          <t>Date of hire</t>
        </is>
      </c>
    </row>
    <row r="16" ht="30" customHeight="1">
      <c r="A16" s="46" t="inlineStr">
        <is>
          <t>Row</t>
        </is>
      </c>
      <c r="B16" s="47" t="inlineStr">
        <is>
          <t>Employee number *</t>
        </is>
      </c>
      <c r="C16" s="47" t="inlineStr">
        <is>
          <t>Full name *</t>
        </is>
      </c>
      <c r="D16" s="47" t="inlineStr">
        <is>
          <t>Branch code *</t>
        </is>
      </c>
      <c r="E16" s="47" t="inlineStr">
        <is>
          <t>Cost centre *</t>
        </is>
      </c>
      <c r="F16" s="47" t="inlineStr">
        <is>
          <t>Position</t>
        </is>
      </c>
      <c r="G16" s="47" t="inlineStr">
        <is>
          <t>E-mail</t>
        </is>
      </c>
      <c r="H16" s="47" t="inlineStr">
        <is>
          <t>Hired on</t>
        </is>
      </c>
    </row>
    <row r="17" ht="18" customHeight="1">
      <c r="A17" s="48" t="inlineStr">
        <is>
          <t>Example – overwrite or delete</t>
        </is>
      </c>
      <c r="B17" s="49" t="inlineStr">
        <is>
          <t>1203344</t>
        </is>
      </c>
      <c r="C17" s="49" t="inlineStr">
        <is>
          <t>Andrea Mercado</t>
        </is>
      </c>
      <c r="D17" s="49" t="inlineStr">
        <is>
          <t>HO</t>
        </is>
      </c>
      <c r="E17" s="49" t="inlineStr">
        <is>
          <t>FIN</t>
        </is>
      </c>
      <c r="F17" s="49" t="inlineStr">
        <is>
          <t>Accounting Officer</t>
        </is>
      </c>
      <c r="G17" s="49" t="inlineStr">
        <is>
          <t>andrea.mercado@bdoi.example.ph</t>
        </is>
      </c>
      <c r="H17" s="50" t="n">
        <v>43527</v>
      </c>
    </row>
    <row r="18">
      <c r="B18" s="51" t="n"/>
      <c r="C18" s="51" t="n"/>
      <c r="D18" s="51" t="n"/>
      <c r="E18" s="51" t="n"/>
      <c r="F18" s="51" t="n"/>
      <c r="G18" s="51" t="n"/>
      <c r="H18" s="52" t="n"/>
    </row>
    <row r="19">
      <c r="B19" s="51" t="n"/>
      <c r="C19" s="51" t="n"/>
      <c r="D19" s="51" t="n"/>
      <c r="E19" s="51" t="n"/>
      <c r="F19" s="51" t="n"/>
      <c r="G19" s="51" t="n"/>
      <c r="H19" s="52" t="n"/>
    </row>
    <row r="20">
      <c r="B20" s="51" t="n"/>
      <c r="C20" s="51" t="n"/>
      <c r="D20" s="51" t="n"/>
      <c r="E20" s="51" t="n"/>
      <c r="F20" s="51" t="n"/>
      <c r="G20" s="51" t="n"/>
      <c r="H20" s="52" t="n"/>
    </row>
    <row r="21">
      <c r="B21" s="51" t="n"/>
      <c r="C21" s="51" t="n"/>
      <c r="D21" s="51" t="n"/>
      <c r="E21" s="51" t="n"/>
      <c r="F21" s="51" t="n"/>
      <c r="G21" s="51" t="n"/>
      <c r="H21" s="52" t="n"/>
    </row>
    <row r="22">
      <c r="B22" s="51" t="n"/>
      <c r="C22" s="51" t="n"/>
      <c r="D22" s="51" t="n"/>
      <c r="E22" s="51" t="n"/>
      <c r="F22" s="51" t="n"/>
      <c r="G22" s="51" t="n"/>
      <c r="H22" s="52" t="n"/>
    </row>
    <row r="23">
      <c r="B23" s="51" t="n"/>
      <c r="C23" s="51" t="n"/>
      <c r="D23" s="51" t="n"/>
      <c r="E23" s="51" t="n"/>
      <c r="F23" s="51" t="n"/>
      <c r="G23" s="51" t="n"/>
      <c r="H23" s="52" t="n"/>
    </row>
    <row r="24">
      <c r="B24" s="51" t="n"/>
      <c r="C24" s="51" t="n"/>
      <c r="D24" s="51" t="n"/>
      <c r="E24" s="51" t="n"/>
      <c r="F24" s="51" t="n"/>
      <c r="G24" s="51" t="n"/>
      <c r="H24" s="52" t="n"/>
    </row>
    <row r="25">
      <c r="B25" s="51" t="n"/>
      <c r="C25" s="51" t="n"/>
      <c r="D25" s="51" t="n"/>
      <c r="E25" s="51" t="n"/>
      <c r="F25" s="51" t="n"/>
      <c r="G25" s="51" t="n"/>
      <c r="H25" s="52" t="n"/>
    </row>
    <row r="26">
      <c r="B26" s="51" t="n"/>
      <c r="C26" s="51" t="n"/>
      <c r="D26" s="51" t="n"/>
      <c r="E26" s="51" t="n"/>
      <c r="F26" s="51" t="n"/>
      <c r="G26" s="51" t="n"/>
      <c r="H26" s="52" t="n"/>
    </row>
    <row r="27">
      <c r="B27" s="51" t="n"/>
      <c r="C27" s="51" t="n"/>
      <c r="D27" s="51" t="n"/>
      <c r="E27" s="51" t="n"/>
      <c r="F27" s="51" t="n"/>
      <c r="G27" s="51" t="n"/>
      <c r="H27" s="52" t="n"/>
    </row>
    <row r="28">
      <c r="B28" s="51" t="n"/>
      <c r="C28" s="51" t="n"/>
      <c r="D28" s="51" t="n"/>
      <c r="E28" s="51" t="n"/>
      <c r="F28" s="51" t="n"/>
      <c r="G28" s="51" t="n"/>
      <c r="H28" s="52" t="n"/>
    </row>
    <row r="29">
      <c r="B29" s="51" t="n"/>
      <c r="C29" s="51" t="n"/>
      <c r="D29" s="51" t="n"/>
      <c r="E29" s="51" t="n"/>
      <c r="F29" s="51" t="n"/>
      <c r="G29" s="51" t="n"/>
      <c r="H29" s="52" t="n"/>
    </row>
    <row r="30">
      <c r="B30" s="51" t="n"/>
      <c r="C30" s="51" t="n"/>
      <c r="D30" s="51" t="n"/>
      <c r="E30" s="51" t="n"/>
      <c r="F30" s="51" t="n"/>
      <c r="G30" s="51" t="n"/>
      <c r="H30" s="52" t="n"/>
    </row>
    <row r="31">
      <c r="B31" s="51" t="n"/>
      <c r="C31" s="51" t="n"/>
      <c r="D31" s="51" t="n"/>
      <c r="E31" s="51" t="n"/>
      <c r="F31" s="51" t="n"/>
      <c r="G31" s="51" t="n"/>
      <c r="H31" s="52" t="n"/>
    </row>
    <row r="32">
      <c r="B32" s="51" t="n"/>
      <c r="C32" s="51" t="n"/>
      <c r="D32" s="51" t="n"/>
      <c r="E32" s="51" t="n"/>
      <c r="F32" s="51" t="n"/>
      <c r="G32" s="51" t="n"/>
      <c r="H32" s="52" t="n"/>
    </row>
    <row r="33">
      <c r="B33" s="51" t="n"/>
      <c r="C33" s="51" t="n"/>
      <c r="D33" s="51" t="n"/>
      <c r="E33" s="51" t="n"/>
      <c r="F33" s="51" t="n"/>
      <c r="G33" s="51" t="n"/>
      <c r="H33" s="52" t="n"/>
    </row>
    <row r="34">
      <c r="B34" s="51" t="n"/>
      <c r="C34" s="51" t="n"/>
      <c r="D34" s="51" t="n"/>
      <c r="E34" s="51" t="n"/>
      <c r="F34" s="51" t="n"/>
      <c r="G34" s="51" t="n"/>
      <c r="H34" s="52" t="n"/>
    </row>
    <row r="35">
      <c r="B35" s="51" t="n"/>
      <c r="C35" s="51" t="n"/>
      <c r="D35" s="51" t="n"/>
      <c r="E35" s="51" t="n"/>
      <c r="F35" s="51" t="n"/>
      <c r="G35" s="51" t="n"/>
      <c r="H35" s="52" t="n"/>
    </row>
    <row r="36">
      <c r="B36" s="51" t="n"/>
      <c r="C36" s="51" t="n"/>
      <c r="D36" s="51" t="n"/>
      <c r="E36" s="51" t="n"/>
      <c r="F36" s="51" t="n"/>
      <c r="G36" s="51" t="n"/>
      <c r="H36" s="52" t="n"/>
    </row>
    <row r="37">
      <c r="B37" s="51" t="n"/>
      <c r="C37" s="51" t="n"/>
      <c r="D37" s="51" t="n"/>
      <c r="E37" s="51" t="n"/>
      <c r="F37" s="51" t="n"/>
      <c r="G37" s="51" t="n"/>
      <c r="H37" s="52" t="n"/>
    </row>
    <row r="38">
      <c r="B38" s="51" t="n"/>
      <c r="C38" s="51" t="n"/>
      <c r="D38" s="51" t="n"/>
      <c r="E38" s="51" t="n"/>
      <c r="F38" s="51" t="n"/>
      <c r="G38" s="51" t="n"/>
      <c r="H38" s="52" t="n"/>
    </row>
    <row r="39">
      <c r="B39" s="51" t="n"/>
      <c r="C39" s="51" t="n"/>
      <c r="D39" s="51" t="n"/>
      <c r="E39" s="51" t="n"/>
      <c r="F39" s="51" t="n"/>
      <c r="G39" s="51" t="n"/>
      <c r="H39" s="52" t="n"/>
    </row>
    <row r="40">
      <c r="B40" s="51" t="n"/>
      <c r="C40" s="51" t="n"/>
      <c r="D40" s="51" t="n"/>
      <c r="E40" s="51" t="n"/>
      <c r="F40" s="51" t="n"/>
      <c r="G40" s="51" t="n"/>
      <c r="H40" s="52" t="n"/>
    </row>
    <row r="41">
      <c r="B41" s="51" t="n"/>
      <c r="C41" s="51" t="n"/>
      <c r="D41" s="51" t="n"/>
      <c r="E41" s="51" t="n"/>
      <c r="F41" s="51" t="n"/>
      <c r="G41" s="51" t="n"/>
      <c r="H41" s="52" t="n"/>
    </row>
    <row r="42">
      <c r="B42" s="51" t="n"/>
      <c r="C42" s="51" t="n"/>
      <c r="D42" s="51" t="n"/>
      <c r="E42" s="51" t="n"/>
      <c r="F42" s="51" t="n"/>
      <c r="G42" s="51" t="n"/>
      <c r="H42" s="52" t="n"/>
    </row>
    <row r="43">
      <c r="B43" s="51" t="n"/>
      <c r="C43" s="51" t="n"/>
      <c r="D43" s="51" t="n"/>
      <c r="E43" s="51" t="n"/>
      <c r="F43" s="51" t="n"/>
      <c r="G43" s="51" t="n"/>
      <c r="H43" s="52" t="n"/>
    </row>
    <row r="44">
      <c r="B44" s="51" t="n"/>
      <c r="C44" s="51" t="n"/>
      <c r="D44" s="51" t="n"/>
      <c r="E44" s="51" t="n"/>
      <c r="F44" s="51" t="n"/>
      <c r="G44" s="51" t="n"/>
      <c r="H44" s="52" t="n"/>
    </row>
    <row r="45">
      <c r="B45" s="51" t="n"/>
      <c r="C45" s="51" t="n"/>
      <c r="D45" s="51" t="n"/>
      <c r="E45" s="51" t="n"/>
      <c r="F45" s="51" t="n"/>
      <c r="G45" s="51" t="n"/>
      <c r="H45" s="52" t="n"/>
    </row>
    <row r="46">
      <c r="B46" s="51" t="n"/>
      <c r="C46" s="51" t="n"/>
      <c r="D46" s="51" t="n"/>
      <c r="E46" s="51" t="n"/>
      <c r="F46" s="51" t="n"/>
      <c r="G46" s="51" t="n"/>
      <c r="H46" s="52" t="n"/>
    </row>
    <row r="47">
      <c r="B47" s="51" t="n"/>
      <c r="C47" s="51" t="n"/>
      <c r="D47" s="51" t="n"/>
      <c r="E47" s="51" t="n"/>
      <c r="F47" s="51" t="n"/>
      <c r="G47" s="51" t="n"/>
      <c r="H47" s="52" t="n"/>
    </row>
    <row r="48">
      <c r="B48" s="51" t="n"/>
      <c r="C48" s="51" t="n"/>
      <c r="D48" s="51" t="n"/>
      <c r="E48" s="51" t="n"/>
      <c r="F48" s="51" t="n"/>
      <c r="G48" s="51" t="n"/>
      <c r="H48" s="52" t="n"/>
    </row>
    <row r="49">
      <c r="B49" s="51" t="n"/>
      <c r="C49" s="51" t="n"/>
      <c r="D49" s="51" t="n"/>
      <c r="E49" s="51" t="n"/>
      <c r="F49" s="51" t="n"/>
      <c r="G49" s="51" t="n"/>
      <c r="H49" s="52" t="n"/>
    </row>
    <row r="50">
      <c r="B50" s="51" t="n"/>
      <c r="C50" s="51" t="n"/>
      <c r="D50" s="51" t="n"/>
      <c r="E50" s="51" t="n"/>
      <c r="F50" s="51" t="n"/>
      <c r="G50" s="51" t="n"/>
      <c r="H50" s="52" t="n"/>
    </row>
    <row r="51">
      <c r="B51" s="51" t="n"/>
      <c r="C51" s="51" t="n"/>
      <c r="D51" s="51" t="n"/>
      <c r="E51" s="51" t="n"/>
      <c r="F51" s="51" t="n"/>
      <c r="G51" s="51" t="n"/>
      <c r="H51" s="52" t="n"/>
    </row>
    <row r="52">
      <c r="B52" s="51" t="n"/>
      <c r="C52" s="51" t="n"/>
      <c r="D52" s="51" t="n"/>
      <c r="E52" s="51" t="n"/>
      <c r="F52" s="51" t="n"/>
      <c r="G52" s="51" t="n"/>
      <c r="H52" s="52" t="n"/>
    </row>
    <row r="53">
      <c r="B53" s="51" t="n"/>
      <c r="C53" s="51" t="n"/>
      <c r="D53" s="51" t="n"/>
      <c r="E53" s="51" t="n"/>
      <c r="F53" s="51" t="n"/>
      <c r="G53" s="51" t="n"/>
      <c r="H53" s="52" t="n"/>
    </row>
    <row r="54">
      <c r="B54" s="51" t="n"/>
      <c r="C54" s="51" t="n"/>
      <c r="D54" s="51" t="n"/>
      <c r="E54" s="51" t="n"/>
      <c r="F54" s="51" t="n"/>
      <c r="G54" s="51" t="n"/>
      <c r="H54" s="52" t="n"/>
    </row>
    <row r="55">
      <c r="B55" s="51" t="n"/>
      <c r="C55" s="51" t="n"/>
      <c r="D55" s="51" t="n"/>
      <c r="E55" s="51" t="n"/>
      <c r="F55" s="51" t="n"/>
      <c r="G55" s="51" t="n"/>
      <c r="H55" s="52" t="n"/>
    </row>
    <row r="56">
      <c r="B56" s="51" t="n"/>
      <c r="C56" s="51" t="n"/>
      <c r="D56" s="51" t="n"/>
      <c r="E56" s="51" t="n"/>
      <c r="F56" s="51" t="n"/>
      <c r="G56" s="51" t="n"/>
      <c r="H56" s="52" t="n"/>
    </row>
    <row r="57">
      <c r="B57" s="51" t="n"/>
      <c r="C57" s="51" t="n"/>
      <c r="D57" s="51" t="n"/>
      <c r="E57" s="51" t="n"/>
      <c r="F57" s="51" t="n"/>
      <c r="G57" s="51" t="n"/>
      <c r="H57" s="52" t="n"/>
    </row>
    <row r="58">
      <c r="B58" s="51" t="n"/>
      <c r="C58" s="51" t="n"/>
      <c r="D58" s="51" t="n"/>
      <c r="E58" s="51" t="n"/>
      <c r="F58" s="51" t="n"/>
      <c r="G58" s="51" t="n"/>
      <c r="H58" s="52" t="n"/>
    </row>
    <row r="59">
      <c r="B59" s="51" t="n"/>
      <c r="C59" s="51" t="n"/>
      <c r="D59" s="51" t="n"/>
      <c r="E59" s="51" t="n"/>
      <c r="F59" s="51" t="n"/>
      <c r="G59" s="51" t="n"/>
      <c r="H59" s="52" t="n"/>
    </row>
    <row r="60">
      <c r="B60" s="51" t="n"/>
      <c r="C60" s="51" t="n"/>
      <c r="D60" s="51" t="n"/>
      <c r="E60" s="51" t="n"/>
      <c r="F60" s="51" t="n"/>
      <c r="G60" s="51" t="n"/>
      <c r="H60" s="52" t="n"/>
    </row>
    <row r="61">
      <c r="B61" s="51" t="n"/>
      <c r="C61" s="51" t="n"/>
      <c r="D61" s="51" t="n"/>
      <c r="E61" s="51" t="n"/>
      <c r="F61" s="51" t="n"/>
      <c r="G61" s="51" t="n"/>
      <c r="H61" s="52" t="n"/>
    </row>
    <row r="62">
      <c r="B62" s="51" t="n"/>
      <c r="C62" s="51" t="n"/>
      <c r="D62" s="51" t="n"/>
      <c r="E62" s="51" t="n"/>
      <c r="F62" s="51" t="n"/>
      <c r="G62" s="51" t="n"/>
      <c r="H62" s="52" t="n"/>
    </row>
    <row r="63">
      <c r="B63" s="51" t="n"/>
      <c r="C63" s="51" t="n"/>
      <c r="D63" s="51" t="n"/>
      <c r="E63" s="51" t="n"/>
      <c r="F63" s="51" t="n"/>
      <c r="G63" s="51" t="n"/>
      <c r="H63" s="52" t="n"/>
    </row>
    <row r="64">
      <c r="B64" s="51" t="n"/>
      <c r="C64" s="51" t="n"/>
      <c r="D64" s="51" t="n"/>
      <c r="E64" s="51" t="n"/>
      <c r="F64" s="51" t="n"/>
      <c r="G64" s="51" t="n"/>
      <c r="H64" s="52" t="n"/>
    </row>
    <row r="65">
      <c r="B65" s="51" t="n"/>
      <c r="C65" s="51" t="n"/>
      <c r="D65" s="51" t="n"/>
      <c r="E65" s="51" t="n"/>
      <c r="F65" s="51" t="n"/>
      <c r="G65" s="51" t="n"/>
      <c r="H65" s="52" t="n"/>
    </row>
    <row r="66">
      <c r="B66" s="51" t="n"/>
      <c r="C66" s="51" t="n"/>
      <c r="D66" s="51" t="n"/>
      <c r="E66" s="51" t="n"/>
      <c r="F66" s="51" t="n"/>
      <c r="G66" s="51" t="n"/>
      <c r="H66" s="52" t="n"/>
    </row>
    <row r="67">
      <c r="B67" s="51" t="n"/>
      <c r="C67" s="51" t="n"/>
      <c r="D67" s="51" t="n"/>
      <c r="E67" s="51" t="n"/>
      <c r="F67" s="51" t="n"/>
      <c r="G67" s="51" t="n"/>
      <c r="H67" s="52" t="n"/>
    </row>
    <row r="68">
      <c r="B68" s="51" t="n"/>
      <c r="C68" s="51" t="n"/>
      <c r="D68" s="51" t="n"/>
      <c r="E68" s="51" t="n"/>
      <c r="F68" s="51" t="n"/>
      <c r="G68" s="51" t="n"/>
      <c r="H68" s="52" t="n"/>
    </row>
    <row r="69">
      <c r="B69" s="51" t="n"/>
      <c r="C69" s="51" t="n"/>
      <c r="D69" s="51" t="n"/>
      <c r="E69" s="51" t="n"/>
      <c r="F69" s="51" t="n"/>
      <c r="G69" s="51" t="n"/>
      <c r="H69" s="52" t="n"/>
    </row>
    <row r="70">
      <c r="B70" s="51" t="n"/>
      <c r="C70" s="51" t="n"/>
      <c r="D70" s="51" t="n"/>
      <c r="E70" s="51" t="n"/>
      <c r="F70" s="51" t="n"/>
      <c r="G70" s="51" t="n"/>
      <c r="H70" s="52" t="n"/>
    </row>
    <row r="71">
      <c r="B71" s="51" t="n"/>
      <c r="C71" s="51" t="n"/>
      <c r="D71" s="51" t="n"/>
      <c r="E71" s="51" t="n"/>
      <c r="F71" s="51" t="n"/>
      <c r="G71" s="51" t="n"/>
      <c r="H71" s="52" t="n"/>
    </row>
    <row r="72">
      <c r="B72" s="51" t="n"/>
      <c r="C72" s="51" t="n"/>
      <c r="D72" s="51" t="n"/>
      <c r="E72" s="51" t="n"/>
      <c r="F72" s="51" t="n"/>
      <c r="G72" s="51" t="n"/>
      <c r="H72" s="52" t="n"/>
    </row>
    <row r="73">
      <c r="B73" s="51" t="n"/>
      <c r="C73" s="51" t="n"/>
      <c r="D73" s="51" t="n"/>
      <c r="E73" s="51" t="n"/>
      <c r="F73" s="51" t="n"/>
      <c r="G73" s="51" t="n"/>
      <c r="H73" s="52" t="n"/>
    </row>
    <row r="74">
      <c r="B74" s="51" t="n"/>
      <c r="C74" s="51" t="n"/>
      <c r="D74" s="51" t="n"/>
      <c r="E74" s="51" t="n"/>
      <c r="F74" s="51" t="n"/>
      <c r="G74" s="51" t="n"/>
      <c r="H74" s="52" t="n"/>
    </row>
    <row r="75">
      <c r="B75" s="51" t="n"/>
      <c r="C75" s="51" t="n"/>
      <c r="D75" s="51" t="n"/>
      <c r="E75" s="51" t="n"/>
      <c r="F75" s="51" t="n"/>
      <c r="G75" s="51" t="n"/>
      <c r="H75" s="52" t="n"/>
    </row>
    <row r="76">
      <c r="B76" s="51" t="n"/>
      <c r="C76" s="51" t="n"/>
      <c r="D76" s="51" t="n"/>
      <c r="E76" s="51" t="n"/>
      <c r="F76" s="51" t="n"/>
      <c r="G76" s="51" t="n"/>
      <c r="H76" s="52" t="n"/>
    </row>
    <row r="77">
      <c r="B77" s="51" t="n"/>
      <c r="C77" s="51" t="n"/>
      <c r="D77" s="51" t="n"/>
      <c r="E77" s="51" t="n"/>
      <c r="F77" s="51" t="n"/>
      <c r="G77" s="51" t="n"/>
      <c r="H77" s="52" t="n"/>
    </row>
    <row r="78">
      <c r="B78" s="51" t="n"/>
      <c r="C78" s="51" t="n"/>
      <c r="D78" s="51" t="n"/>
      <c r="E78" s="51" t="n"/>
      <c r="F78" s="51" t="n"/>
      <c r="G78" s="51" t="n"/>
      <c r="H78" s="52" t="n"/>
    </row>
    <row r="79">
      <c r="B79" s="51" t="n"/>
      <c r="C79" s="51" t="n"/>
      <c r="D79" s="51" t="n"/>
      <c r="E79" s="51" t="n"/>
      <c r="F79" s="51" t="n"/>
      <c r="G79" s="51" t="n"/>
      <c r="H79" s="52" t="n"/>
    </row>
    <row r="80">
      <c r="B80" s="51" t="n"/>
      <c r="C80" s="51" t="n"/>
      <c r="D80" s="51" t="n"/>
      <c r="E80" s="51" t="n"/>
      <c r="F80" s="51" t="n"/>
      <c r="G80" s="51" t="n"/>
      <c r="H80" s="52" t="n"/>
    </row>
    <row r="81">
      <c r="B81" s="51" t="n"/>
      <c r="C81" s="51" t="n"/>
      <c r="D81" s="51" t="n"/>
      <c r="E81" s="51" t="n"/>
      <c r="F81" s="51" t="n"/>
      <c r="G81" s="51" t="n"/>
      <c r="H81" s="52" t="n"/>
    </row>
    <row r="82">
      <c r="B82" s="51" t="n"/>
      <c r="C82" s="51" t="n"/>
      <c r="D82" s="51" t="n"/>
      <c r="E82" s="51" t="n"/>
      <c r="F82" s="51" t="n"/>
      <c r="G82" s="51" t="n"/>
      <c r="H82" s="52" t="n"/>
    </row>
    <row r="83">
      <c r="B83" s="51" t="n"/>
      <c r="C83" s="51" t="n"/>
      <c r="D83" s="51" t="n"/>
      <c r="E83" s="51" t="n"/>
      <c r="F83" s="51" t="n"/>
      <c r="G83" s="51" t="n"/>
      <c r="H83" s="52" t="n"/>
    </row>
    <row r="84">
      <c r="B84" s="51" t="n"/>
      <c r="C84" s="51" t="n"/>
      <c r="D84" s="51" t="n"/>
      <c r="E84" s="51" t="n"/>
      <c r="F84" s="51" t="n"/>
      <c r="G84" s="51" t="n"/>
      <c r="H84" s="52" t="n"/>
    </row>
    <row r="85">
      <c r="B85" s="51" t="n"/>
      <c r="C85" s="51" t="n"/>
      <c r="D85" s="51" t="n"/>
      <c r="E85" s="51" t="n"/>
      <c r="F85" s="51" t="n"/>
      <c r="G85" s="51" t="n"/>
      <c r="H85" s="52" t="n"/>
    </row>
    <row r="86">
      <c r="B86" s="51" t="n"/>
      <c r="C86" s="51" t="n"/>
      <c r="D86" s="51" t="n"/>
      <c r="E86" s="51" t="n"/>
      <c r="F86" s="51" t="n"/>
      <c r="G86" s="51" t="n"/>
      <c r="H86" s="52" t="n"/>
    </row>
    <row r="87">
      <c r="B87" s="51" t="n"/>
      <c r="C87" s="51" t="n"/>
      <c r="D87" s="51" t="n"/>
      <c r="E87" s="51" t="n"/>
      <c r="F87" s="51" t="n"/>
      <c r="G87" s="51" t="n"/>
      <c r="H87" s="52" t="n"/>
    </row>
    <row r="88">
      <c r="B88" s="51" t="n"/>
      <c r="C88" s="51" t="n"/>
      <c r="D88" s="51" t="n"/>
      <c r="E88" s="51" t="n"/>
      <c r="F88" s="51" t="n"/>
      <c r="G88" s="51" t="n"/>
      <c r="H88" s="52" t="n"/>
    </row>
    <row r="89">
      <c r="B89" s="51" t="n"/>
      <c r="C89" s="51" t="n"/>
      <c r="D89" s="51" t="n"/>
      <c r="E89" s="51" t="n"/>
      <c r="F89" s="51" t="n"/>
      <c r="G89" s="51" t="n"/>
      <c r="H89" s="52" t="n"/>
    </row>
    <row r="90">
      <c r="B90" s="51" t="n"/>
      <c r="C90" s="51" t="n"/>
      <c r="D90" s="51" t="n"/>
      <c r="E90" s="51" t="n"/>
      <c r="F90" s="51" t="n"/>
      <c r="G90" s="51" t="n"/>
      <c r="H90" s="52" t="n"/>
    </row>
    <row r="91">
      <c r="B91" s="51" t="n"/>
      <c r="C91" s="51" t="n"/>
      <c r="D91" s="51" t="n"/>
      <c r="E91" s="51" t="n"/>
      <c r="F91" s="51" t="n"/>
      <c r="G91" s="51" t="n"/>
      <c r="H91" s="52" t="n"/>
    </row>
    <row r="92">
      <c r="B92" s="51" t="n"/>
      <c r="C92" s="51" t="n"/>
      <c r="D92" s="51" t="n"/>
      <c r="E92" s="51" t="n"/>
      <c r="F92" s="51" t="n"/>
      <c r="G92" s="51" t="n"/>
      <c r="H92" s="52" t="n"/>
    </row>
    <row r="93">
      <c r="B93" s="51" t="n"/>
      <c r="C93" s="51" t="n"/>
      <c r="D93" s="51" t="n"/>
      <c r="E93" s="51" t="n"/>
      <c r="F93" s="51" t="n"/>
      <c r="G93" s="51" t="n"/>
      <c r="H93" s="52" t="n"/>
    </row>
    <row r="94">
      <c r="B94" s="51" t="n"/>
      <c r="C94" s="51" t="n"/>
      <c r="D94" s="51" t="n"/>
      <c r="E94" s="51" t="n"/>
      <c r="F94" s="51" t="n"/>
      <c r="G94" s="51" t="n"/>
      <c r="H94" s="52" t="n"/>
    </row>
    <row r="95">
      <c r="B95" s="51" t="n"/>
      <c r="C95" s="51" t="n"/>
      <c r="D95" s="51" t="n"/>
      <c r="E95" s="51" t="n"/>
      <c r="F95" s="51" t="n"/>
      <c r="G95" s="51" t="n"/>
      <c r="H95" s="52" t="n"/>
    </row>
    <row r="96">
      <c r="B96" s="51" t="n"/>
      <c r="C96" s="51" t="n"/>
      <c r="D96" s="51" t="n"/>
      <c r="E96" s="51" t="n"/>
      <c r="F96" s="51" t="n"/>
      <c r="G96" s="51" t="n"/>
      <c r="H96" s="52" t="n"/>
    </row>
    <row r="97">
      <c r="B97" s="51" t="n"/>
      <c r="C97" s="51" t="n"/>
      <c r="D97" s="51" t="n"/>
      <c r="E97" s="51" t="n"/>
      <c r="F97" s="51" t="n"/>
      <c r="G97" s="51" t="n"/>
      <c r="H97" s="52" t="n"/>
    </row>
    <row r="98">
      <c r="B98" s="51" t="n"/>
      <c r="C98" s="51" t="n"/>
      <c r="D98" s="51" t="n"/>
      <c r="E98" s="51" t="n"/>
      <c r="F98" s="51" t="n"/>
      <c r="G98" s="51" t="n"/>
      <c r="H98" s="52" t="n"/>
    </row>
    <row r="99">
      <c r="B99" s="51" t="n"/>
      <c r="C99" s="51" t="n"/>
      <c r="D99" s="51" t="n"/>
      <c r="E99" s="51" t="n"/>
      <c r="F99" s="51" t="n"/>
      <c r="G99" s="51" t="n"/>
      <c r="H99" s="52" t="n"/>
    </row>
    <row r="100">
      <c r="B100" s="51" t="n"/>
      <c r="C100" s="51" t="n"/>
      <c r="D100" s="51" t="n"/>
      <c r="E100" s="51" t="n"/>
      <c r="F100" s="51" t="n"/>
      <c r="G100" s="51" t="n"/>
      <c r="H100" s="52" t="n"/>
    </row>
    <row r="101">
      <c r="B101" s="51" t="n"/>
      <c r="C101" s="51" t="n"/>
      <c r="D101" s="51" t="n"/>
      <c r="E101" s="51" t="n"/>
      <c r="F101" s="51" t="n"/>
      <c r="G101" s="51" t="n"/>
      <c r="H101" s="52" t="n"/>
    </row>
    <row r="102">
      <c r="B102" s="51" t="n"/>
      <c r="C102" s="51" t="n"/>
      <c r="D102" s="51" t="n"/>
      <c r="E102" s="51" t="n"/>
      <c r="F102" s="51" t="n"/>
      <c r="G102" s="51" t="n"/>
      <c r="H102" s="52" t="n"/>
    </row>
    <row r="103">
      <c r="B103" s="51" t="n"/>
      <c r="C103" s="51" t="n"/>
      <c r="D103" s="51" t="n"/>
      <c r="E103" s="51" t="n"/>
      <c r="F103" s="51" t="n"/>
      <c r="G103" s="51" t="n"/>
      <c r="H103" s="52" t="n"/>
    </row>
    <row r="104">
      <c r="B104" s="51" t="n"/>
      <c r="C104" s="51" t="n"/>
      <c r="D104" s="51" t="n"/>
      <c r="E104" s="51" t="n"/>
      <c r="F104" s="51" t="n"/>
      <c r="G104" s="51" t="n"/>
      <c r="H104" s="52" t="n"/>
    </row>
    <row r="105">
      <c r="B105" s="51" t="n"/>
      <c r="C105" s="51" t="n"/>
      <c r="D105" s="51" t="n"/>
      <c r="E105" s="51" t="n"/>
      <c r="F105" s="51" t="n"/>
      <c r="G105" s="51" t="n"/>
      <c r="H105" s="52" t="n"/>
    </row>
    <row r="106">
      <c r="B106" s="51" t="n"/>
      <c r="C106" s="51" t="n"/>
      <c r="D106" s="51" t="n"/>
      <c r="E106" s="51" t="n"/>
      <c r="F106" s="51" t="n"/>
      <c r="G106" s="51" t="n"/>
      <c r="H106" s="52" t="n"/>
    </row>
    <row r="107">
      <c r="B107" s="51" t="n"/>
      <c r="C107" s="51" t="n"/>
      <c r="D107" s="51" t="n"/>
      <c r="E107" s="51" t="n"/>
      <c r="F107" s="51" t="n"/>
      <c r="G107" s="51" t="n"/>
      <c r="H107" s="52" t="n"/>
    </row>
    <row r="108">
      <c r="B108" s="51" t="n"/>
      <c r="C108" s="51" t="n"/>
      <c r="D108" s="51" t="n"/>
      <c r="E108" s="51" t="n"/>
      <c r="F108" s="51" t="n"/>
      <c r="G108" s="51" t="n"/>
      <c r="H108" s="52" t="n"/>
    </row>
    <row r="109">
      <c r="B109" s="51" t="n"/>
      <c r="C109" s="51" t="n"/>
      <c r="D109" s="51" t="n"/>
      <c r="E109" s="51" t="n"/>
      <c r="F109" s="51" t="n"/>
      <c r="G109" s="51" t="n"/>
      <c r="H109" s="52" t="n"/>
    </row>
    <row r="110">
      <c r="B110" s="51" t="n"/>
      <c r="C110" s="51" t="n"/>
      <c r="D110" s="51" t="n"/>
      <c r="E110" s="51" t="n"/>
      <c r="F110" s="51" t="n"/>
      <c r="G110" s="51" t="n"/>
      <c r="H110" s="52" t="n"/>
    </row>
    <row r="111">
      <c r="B111" s="51" t="n"/>
      <c r="C111" s="51" t="n"/>
      <c r="D111" s="51" t="n"/>
      <c r="E111" s="51" t="n"/>
      <c r="F111" s="51" t="n"/>
      <c r="G111" s="51" t="n"/>
      <c r="H111" s="52" t="n"/>
    </row>
    <row r="112">
      <c r="B112" s="51" t="n"/>
      <c r="C112" s="51" t="n"/>
      <c r="D112" s="51" t="n"/>
      <c r="E112" s="51" t="n"/>
      <c r="F112" s="51" t="n"/>
      <c r="G112" s="51" t="n"/>
      <c r="H112" s="52" t="n"/>
    </row>
    <row r="113">
      <c r="B113" s="51" t="n"/>
      <c r="C113" s="51" t="n"/>
      <c r="D113" s="51" t="n"/>
      <c r="E113" s="51" t="n"/>
      <c r="F113" s="51" t="n"/>
      <c r="G113" s="51" t="n"/>
      <c r="H113" s="52" t="n"/>
    </row>
    <row r="114">
      <c r="B114" s="51" t="n"/>
      <c r="C114" s="51" t="n"/>
      <c r="D114" s="51" t="n"/>
      <c r="E114" s="51" t="n"/>
      <c r="F114" s="51" t="n"/>
      <c r="G114" s="51" t="n"/>
      <c r="H114" s="52" t="n"/>
    </row>
    <row r="115">
      <c r="B115" s="51" t="n"/>
      <c r="C115" s="51" t="n"/>
      <c r="D115" s="51" t="n"/>
      <c r="E115" s="51" t="n"/>
      <c r="F115" s="51" t="n"/>
      <c r="G115" s="51" t="n"/>
      <c r="H115" s="52" t="n"/>
    </row>
    <row r="116">
      <c r="B116" s="51" t="n"/>
      <c r="C116" s="51" t="n"/>
      <c r="D116" s="51" t="n"/>
      <c r="E116" s="51" t="n"/>
      <c r="F116" s="51" t="n"/>
      <c r="G116" s="51" t="n"/>
      <c r="H116" s="52" t="n"/>
    </row>
    <row r="117">
      <c r="B117" s="51" t="n"/>
      <c r="C117" s="51" t="n"/>
      <c r="D117" s="51" t="n"/>
      <c r="E117" s="51" t="n"/>
      <c r="F117" s="51" t="n"/>
      <c r="G117" s="51" t="n"/>
      <c r="H117" s="52" t="n"/>
    </row>
    <row r="118">
      <c r="B118" s="51" t="n"/>
      <c r="C118" s="51" t="n"/>
      <c r="D118" s="51" t="n"/>
      <c r="E118" s="51" t="n"/>
      <c r="F118" s="51" t="n"/>
      <c r="G118" s="51" t="n"/>
      <c r="H118" s="52" t="n"/>
    </row>
    <row r="119">
      <c r="B119" s="51" t="n"/>
      <c r="C119" s="51" t="n"/>
      <c r="D119" s="51" t="n"/>
      <c r="E119" s="51" t="n"/>
      <c r="F119" s="51" t="n"/>
      <c r="G119" s="51" t="n"/>
      <c r="H119" s="52" t="n"/>
    </row>
    <row r="120">
      <c r="B120" s="51" t="n"/>
      <c r="C120" s="51" t="n"/>
      <c r="D120" s="51" t="n"/>
      <c r="E120" s="51" t="n"/>
      <c r="F120" s="51" t="n"/>
      <c r="G120" s="51" t="n"/>
      <c r="H120" s="52" t="n"/>
    </row>
    <row r="121">
      <c r="B121" s="51" t="n"/>
      <c r="C121" s="51" t="n"/>
      <c r="D121" s="51" t="n"/>
      <c r="E121" s="51" t="n"/>
      <c r="F121" s="51" t="n"/>
      <c r="G121" s="51" t="n"/>
      <c r="H121" s="52" t="n"/>
    </row>
    <row r="122">
      <c r="B122" s="51" t="n"/>
      <c r="C122" s="51" t="n"/>
      <c r="D122" s="51" t="n"/>
      <c r="E122" s="51" t="n"/>
      <c r="F122" s="51" t="n"/>
      <c r="G122" s="51" t="n"/>
      <c r="H122" s="52" t="n"/>
    </row>
    <row r="123">
      <c r="B123" s="51" t="n"/>
      <c r="C123" s="51" t="n"/>
      <c r="D123" s="51" t="n"/>
      <c r="E123" s="51" t="n"/>
      <c r="F123" s="51" t="n"/>
      <c r="G123" s="51" t="n"/>
      <c r="H123" s="52" t="n"/>
    </row>
    <row r="124">
      <c r="B124" s="51" t="n"/>
      <c r="C124" s="51" t="n"/>
      <c r="D124" s="51" t="n"/>
      <c r="E124" s="51" t="n"/>
      <c r="F124" s="51" t="n"/>
      <c r="G124" s="51" t="n"/>
      <c r="H124" s="52" t="n"/>
    </row>
    <row r="125">
      <c r="B125" s="51" t="n"/>
      <c r="C125" s="51" t="n"/>
      <c r="D125" s="51" t="n"/>
      <c r="E125" s="51" t="n"/>
      <c r="F125" s="51" t="n"/>
      <c r="G125" s="51" t="n"/>
      <c r="H125" s="52" t="n"/>
    </row>
    <row r="126">
      <c r="B126" s="51" t="n"/>
      <c r="C126" s="51" t="n"/>
      <c r="D126" s="51" t="n"/>
      <c r="E126" s="51" t="n"/>
      <c r="F126" s="51" t="n"/>
      <c r="G126" s="51" t="n"/>
      <c r="H126" s="52" t="n"/>
    </row>
    <row r="127">
      <c r="B127" s="51" t="n"/>
      <c r="C127" s="51" t="n"/>
      <c r="D127" s="51" t="n"/>
      <c r="E127" s="51" t="n"/>
      <c r="F127" s="51" t="n"/>
      <c r="G127" s="51" t="n"/>
      <c r="H127" s="52" t="n"/>
    </row>
    <row r="128">
      <c r="B128" s="51" t="n"/>
      <c r="C128" s="51" t="n"/>
      <c r="D128" s="51" t="n"/>
      <c r="E128" s="51" t="n"/>
      <c r="F128" s="51" t="n"/>
      <c r="G128" s="51" t="n"/>
      <c r="H128" s="52" t="n"/>
    </row>
    <row r="129">
      <c r="B129" s="51" t="n"/>
      <c r="C129" s="51" t="n"/>
      <c r="D129" s="51" t="n"/>
      <c r="E129" s="51" t="n"/>
      <c r="F129" s="51" t="n"/>
      <c r="G129" s="51" t="n"/>
      <c r="H129" s="52" t="n"/>
    </row>
    <row r="130">
      <c r="B130" s="51" t="n"/>
      <c r="C130" s="51" t="n"/>
      <c r="D130" s="51" t="n"/>
      <c r="E130" s="51" t="n"/>
      <c r="F130" s="51" t="n"/>
      <c r="G130" s="51" t="n"/>
      <c r="H130" s="52" t="n"/>
    </row>
    <row r="131">
      <c r="B131" s="51" t="n"/>
      <c r="C131" s="51" t="n"/>
      <c r="D131" s="51" t="n"/>
      <c r="E131" s="51" t="n"/>
      <c r="F131" s="51" t="n"/>
      <c r="G131" s="51" t="n"/>
      <c r="H131" s="52" t="n"/>
    </row>
    <row r="132">
      <c r="B132" s="51" t="n"/>
      <c r="C132" s="51" t="n"/>
      <c r="D132" s="51" t="n"/>
      <c r="E132" s="51" t="n"/>
      <c r="F132" s="51" t="n"/>
      <c r="G132" s="51" t="n"/>
      <c r="H132" s="52" t="n"/>
    </row>
    <row r="133">
      <c r="B133" s="51" t="n"/>
      <c r="C133" s="51" t="n"/>
      <c r="D133" s="51" t="n"/>
      <c r="E133" s="51" t="n"/>
      <c r="F133" s="51" t="n"/>
      <c r="G133" s="51" t="n"/>
      <c r="H133" s="52" t="n"/>
    </row>
    <row r="134">
      <c r="B134" s="51" t="n"/>
      <c r="C134" s="51" t="n"/>
      <c r="D134" s="51" t="n"/>
      <c r="E134" s="51" t="n"/>
      <c r="F134" s="51" t="n"/>
      <c r="G134" s="51" t="n"/>
      <c r="H134" s="52" t="n"/>
    </row>
    <row r="135">
      <c r="B135" s="51" t="n"/>
      <c r="C135" s="51" t="n"/>
      <c r="D135" s="51" t="n"/>
      <c r="E135" s="51" t="n"/>
      <c r="F135" s="51" t="n"/>
      <c r="G135" s="51" t="n"/>
      <c r="H135" s="52" t="n"/>
    </row>
    <row r="136">
      <c r="B136" s="51" t="n"/>
      <c r="C136" s="51" t="n"/>
      <c r="D136" s="51" t="n"/>
      <c r="E136" s="51" t="n"/>
      <c r="F136" s="51" t="n"/>
      <c r="G136" s="51" t="n"/>
      <c r="H136" s="52" t="n"/>
    </row>
    <row r="137">
      <c r="B137" s="51" t="n"/>
      <c r="C137" s="51" t="n"/>
      <c r="D137" s="51" t="n"/>
      <c r="E137" s="51" t="n"/>
      <c r="F137" s="51" t="n"/>
      <c r="G137" s="51" t="n"/>
      <c r="H137" s="52" t="n"/>
    </row>
    <row r="138">
      <c r="B138" s="51" t="n"/>
      <c r="C138" s="51" t="n"/>
      <c r="D138" s="51" t="n"/>
      <c r="E138" s="51" t="n"/>
      <c r="F138" s="51" t="n"/>
      <c r="G138" s="51" t="n"/>
      <c r="H138" s="52" t="n"/>
    </row>
    <row r="139">
      <c r="B139" s="51" t="n"/>
      <c r="C139" s="51" t="n"/>
      <c r="D139" s="51" t="n"/>
      <c r="E139" s="51" t="n"/>
      <c r="F139" s="51" t="n"/>
      <c r="G139" s="51" t="n"/>
      <c r="H139" s="52" t="n"/>
    </row>
    <row r="140">
      <c r="B140" s="51" t="n"/>
      <c r="C140" s="51" t="n"/>
      <c r="D140" s="51" t="n"/>
      <c r="E140" s="51" t="n"/>
      <c r="F140" s="51" t="n"/>
      <c r="G140" s="51" t="n"/>
      <c r="H140" s="52" t="n"/>
    </row>
    <row r="141">
      <c r="B141" s="51" t="n"/>
      <c r="C141" s="51" t="n"/>
      <c r="D141" s="51" t="n"/>
      <c r="E141" s="51" t="n"/>
      <c r="F141" s="51" t="n"/>
      <c r="G141" s="51" t="n"/>
      <c r="H141" s="52" t="n"/>
    </row>
    <row r="142">
      <c r="B142" s="51" t="n"/>
      <c r="C142" s="51" t="n"/>
      <c r="D142" s="51" t="n"/>
      <c r="E142" s="51" t="n"/>
      <c r="F142" s="51" t="n"/>
      <c r="G142" s="51" t="n"/>
      <c r="H142" s="52" t="n"/>
    </row>
    <row r="143">
      <c r="B143" s="51" t="n"/>
      <c r="C143" s="51" t="n"/>
      <c r="D143" s="51" t="n"/>
      <c r="E143" s="51" t="n"/>
      <c r="F143" s="51" t="n"/>
      <c r="G143" s="51" t="n"/>
      <c r="H143" s="52" t="n"/>
    </row>
    <row r="144">
      <c r="B144" s="51" t="n"/>
      <c r="C144" s="51" t="n"/>
      <c r="D144" s="51" t="n"/>
      <c r="E144" s="51" t="n"/>
      <c r="F144" s="51" t="n"/>
      <c r="G144" s="51" t="n"/>
      <c r="H144" s="52" t="n"/>
    </row>
    <row r="145">
      <c r="B145" s="51" t="n"/>
      <c r="C145" s="51" t="n"/>
      <c r="D145" s="51" t="n"/>
      <c r="E145" s="51" t="n"/>
      <c r="F145" s="51" t="n"/>
      <c r="G145" s="51" t="n"/>
      <c r="H145" s="52" t="n"/>
    </row>
    <row r="146">
      <c r="B146" s="51" t="n"/>
      <c r="C146" s="51" t="n"/>
      <c r="D146" s="51" t="n"/>
      <c r="E146" s="51" t="n"/>
      <c r="F146" s="51" t="n"/>
      <c r="G146" s="51" t="n"/>
      <c r="H146" s="52" t="n"/>
    </row>
    <row r="147">
      <c r="B147" s="51" t="n"/>
      <c r="C147" s="51" t="n"/>
      <c r="D147" s="51" t="n"/>
      <c r="E147" s="51" t="n"/>
      <c r="F147" s="51" t="n"/>
      <c r="G147" s="51" t="n"/>
      <c r="H147" s="52" t="n"/>
    </row>
    <row r="148">
      <c r="B148" s="51" t="n"/>
      <c r="C148" s="51" t="n"/>
      <c r="D148" s="51" t="n"/>
      <c r="E148" s="51" t="n"/>
      <c r="F148" s="51" t="n"/>
      <c r="G148" s="51" t="n"/>
      <c r="H148" s="52" t="n"/>
    </row>
    <row r="149">
      <c r="B149" s="51" t="n"/>
      <c r="C149" s="51" t="n"/>
      <c r="D149" s="51" t="n"/>
      <c r="E149" s="51" t="n"/>
      <c r="F149" s="51" t="n"/>
      <c r="G149" s="51" t="n"/>
      <c r="H149" s="52" t="n"/>
    </row>
    <row r="150">
      <c r="B150" s="51" t="n"/>
      <c r="C150" s="51" t="n"/>
      <c r="D150" s="51" t="n"/>
      <c r="E150" s="51" t="n"/>
      <c r="F150" s="51" t="n"/>
      <c r="G150" s="51" t="n"/>
      <c r="H150" s="52" t="n"/>
    </row>
    <row r="151">
      <c r="B151" s="51" t="n"/>
      <c r="C151" s="51" t="n"/>
      <c r="D151" s="51" t="n"/>
      <c r="E151" s="51" t="n"/>
      <c r="F151" s="51" t="n"/>
      <c r="G151" s="51" t="n"/>
      <c r="H151" s="52" t="n"/>
    </row>
    <row r="152">
      <c r="B152" s="51" t="n"/>
      <c r="C152" s="51" t="n"/>
      <c r="D152" s="51" t="n"/>
      <c r="E152" s="51" t="n"/>
      <c r="F152" s="51" t="n"/>
      <c r="G152" s="51" t="n"/>
      <c r="H152" s="52" t="n"/>
    </row>
    <row r="153">
      <c r="B153" s="51" t="n"/>
      <c r="C153" s="51" t="n"/>
      <c r="D153" s="51" t="n"/>
      <c r="E153" s="51" t="n"/>
      <c r="F153" s="51" t="n"/>
      <c r="G153" s="51" t="n"/>
      <c r="H153" s="52" t="n"/>
    </row>
    <row r="154">
      <c r="B154" s="51" t="n"/>
      <c r="C154" s="51" t="n"/>
      <c r="D154" s="51" t="n"/>
      <c r="E154" s="51" t="n"/>
      <c r="F154" s="51" t="n"/>
      <c r="G154" s="51" t="n"/>
      <c r="H154" s="52" t="n"/>
    </row>
    <row r="155">
      <c r="B155" s="51" t="n"/>
      <c r="C155" s="51" t="n"/>
      <c r="D155" s="51" t="n"/>
      <c r="E155" s="51" t="n"/>
      <c r="F155" s="51" t="n"/>
      <c r="G155" s="51" t="n"/>
      <c r="H155" s="52" t="n"/>
    </row>
    <row r="156">
      <c r="B156" s="51" t="n"/>
      <c r="C156" s="51" t="n"/>
      <c r="D156" s="51" t="n"/>
      <c r="E156" s="51" t="n"/>
      <c r="F156" s="51" t="n"/>
      <c r="G156" s="51" t="n"/>
      <c r="H156" s="52" t="n"/>
    </row>
    <row r="157">
      <c r="B157" s="51" t="n"/>
      <c r="C157" s="51" t="n"/>
      <c r="D157" s="51" t="n"/>
      <c r="E157" s="51" t="n"/>
      <c r="F157" s="51" t="n"/>
      <c r="G157" s="51" t="n"/>
      <c r="H157" s="52" t="n"/>
    </row>
    <row r="158">
      <c r="B158" s="51" t="n"/>
      <c r="C158" s="51" t="n"/>
      <c r="D158" s="51" t="n"/>
      <c r="E158" s="51" t="n"/>
      <c r="F158" s="51" t="n"/>
      <c r="G158" s="51" t="n"/>
      <c r="H158" s="52" t="n"/>
    </row>
    <row r="159">
      <c r="B159" s="51" t="n"/>
      <c r="C159" s="51" t="n"/>
      <c r="D159" s="51" t="n"/>
      <c r="E159" s="51" t="n"/>
      <c r="F159" s="51" t="n"/>
      <c r="G159" s="51" t="n"/>
      <c r="H159" s="52" t="n"/>
    </row>
    <row r="160">
      <c r="B160" s="51" t="n"/>
      <c r="C160" s="51" t="n"/>
      <c r="D160" s="51" t="n"/>
      <c r="E160" s="51" t="n"/>
      <c r="F160" s="51" t="n"/>
      <c r="G160" s="51" t="n"/>
      <c r="H160" s="52" t="n"/>
    </row>
    <row r="161">
      <c r="B161" s="51" t="n"/>
      <c r="C161" s="51" t="n"/>
      <c r="D161" s="51" t="n"/>
      <c r="E161" s="51" t="n"/>
      <c r="F161" s="51" t="n"/>
      <c r="G161" s="51" t="n"/>
      <c r="H161" s="52" t="n"/>
    </row>
    <row r="162">
      <c r="B162" s="51" t="n"/>
      <c r="C162" s="51" t="n"/>
      <c r="D162" s="51" t="n"/>
      <c r="E162" s="51" t="n"/>
      <c r="F162" s="51" t="n"/>
      <c r="G162" s="51" t="n"/>
      <c r="H162" s="52" t="n"/>
    </row>
    <row r="163">
      <c r="B163" s="51" t="n"/>
      <c r="C163" s="51" t="n"/>
      <c r="D163" s="51" t="n"/>
      <c r="E163" s="51" t="n"/>
      <c r="F163" s="51" t="n"/>
      <c r="G163" s="51" t="n"/>
      <c r="H163" s="52" t="n"/>
    </row>
    <row r="164">
      <c r="B164" s="51" t="n"/>
      <c r="C164" s="51" t="n"/>
      <c r="D164" s="51" t="n"/>
      <c r="E164" s="51" t="n"/>
      <c r="F164" s="51" t="n"/>
      <c r="G164" s="51" t="n"/>
      <c r="H164" s="52" t="n"/>
    </row>
    <row r="165">
      <c r="B165" s="51" t="n"/>
      <c r="C165" s="51" t="n"/>
      <c r="D165" s="51" t="n"/>
      <c r="E165" s="51" t="n"/>
      <c r="F165" s="51" t="n"/>
      <c r="G165" s="51" t="n"/>
      <c r="H165" s="52" t="n"/>
    </row>
    <row r="166">
      <c r="B166" s="51" t="n"/>
      <c r="C166" s="51" t="n"/>
      <c r="D166" s="51" t="n"/>
      <c r="E166" s="51" t="n"/>
      <c r="F166" s="51" t="n"/>
      <c r="G166" s="51" t="n"/>
      <c r="H166" s="52" t="n"/>
    </row>
    <row r="167">
      <c r="B167" s="51" t="n"/>
      <c r="C167" s="51" t="n"/>
      <c r="D167" s="51" t="n"/>
      <c r="E167" s="51" t="n"/>
      <c r="F167" s="51" t="n"/>
      <c r="G167" s="51" t="n"/>
      <c r="H167" s="52" t="n"/>
    </row>
    <row r="168">
      <c r="B168" s="51" t="n"/>
      <c r="C168" s="51" t="n"/>
      <c r="D168" s="51" t="n"/>
      <c r="E168" s="51" t="n"/>
      <c r="F168" s="51" t="n"/>
      <c r="G168" s="51" t="n"/>
      <c r="H168" s="52" t="n"/>
    </row>
    <row r="169">
      <c r="B169" s="51" t="n"/>
      <c r="C169" s="51" t="n"/>
      <c r="D169" s="51" t="n"/>
      <c r="E169" s="51" t="n"/>
      <c r="F169" s="51" t="n"/>
      <c r="G169" s="51" t="n"/>
      <c r="H169" s="52" t="n"/>
    </row>
    <row r="170">
      <c r="B170" s="51" t="n"/>
      <c r="C170" s="51" t="n"/>
      <c r="D170" s="51" t="n"/>
      <c r="E170" s="51" t="n"/>
      <c r="F170" s="51" t="n"/>
      <c r="G170" s="51" t="n"/>
      <c r="H170" s="52" t="n"/>
    </row>
    <row r="171">
      <c r="B171" s="51" t="n"/>
      <c r="C171" s="51" t="n"/>
      <c r="D171" s="51" t="n"/>
      <c r="E171" s="51" t="n"/>
      <c r="F171" s="51" t="n"/>
      <c r="G171" s="51" t="n"/>
      <c r="H171" s="52" t="n"/>
    </row>
    <row r="172">
      <c r="B172" s="51" t="n"/>
      <c r="C172" s="51" t="n"/>
      <c r="D172" s="51" t="n"/>
      <c r="E172" s="51" t="n"/>
      <c r="F172" s="51" t="n"/>
      <c r="G172" s="51" t="n"/>
      <c r="H172" s="52" t="n"/>
    </row>
    <row r="173">
      <c r="B173" s="51" t="n"/>
      <c r="C173" s="51" t="n"/>
      <c r="D173" s="51" t="n"/>
      <c r="E173" s="51" t="n"/>
      <c r="F173" s="51" t="n"/>
      <c r="G173" s="51" t="n"/>
      <c r="H173" s="52" t="n"/>
    </row>
    <row r="174">
      <c r="B174" s="51" t="n"/>
      <c r="C174" s="51" t="n"/>
      <c r="D174" s="51" t="n"/>
      <c r="E174" s="51" t="n"/>
      <c r="F174" s="51" t="n"/>
      <c r="G174" s="51" t="n"/>
      <c r="H174" s="52" t="n"/>
    </row>
    <row r="175">
      <c r="B175" s="51" t="n"/>
      <c r="C175" s="51" t="n"/>
      <c r="D175" s="51" t="n"/>
      <c r="E175" s="51" t="n"/>
      <c r="F175" s="51" t="n"/>
      <c r="G175" s="51" t="n"/>
      <c r="H175" s="52" t="n"/>
    </row>
    <row r="176">
      <c r="B176" s="51" t="n"/>
      <c r="C176" s="51" t="n"/>
      <c r="D176" s="51" t="n"/>
      <c r="E176" s="51" t="n"/>
      <c r="F176" s="51" t="n"/>
      <c r="G176" s="51" t="n"/>
      <c r="H176" s="52" t="n"/>
    </row>
    <row r="177">
      <c r="B177" s="51" t="n"/>
      <c r="C177" s="51" t="n"/>
      <c r="D177" s="51" t="n"/>
      <c r="E177" s="51" t="n"/>
      <c r="F177" s="51" t="n"/>
      <c r="G177" s="51" t="n"/>
      <c r="H177" s="52" t="n"/>
    </row>
    <row r="178">
      <c r="B178" s="51" t="n"/>
      <c r="C178" s="51" t="n"/>
      <c r="D178" s="51" t="n"/>
      <c r="E178" s="51" t="n"/>
      <c r="F178" s="51" t="n"/>
      <c r="G178" s="51" t="n"/>
      <c r="H178" s="52" t="n"/>
    </row>
    <row r="179">
      <c r="B179" s="51" t="n"/>
      <c r="C179" s="51" t="n"/>
      <c r="D179" s="51" t="n"/>
      <c r="E179" s="51" t="n"/>
      <c r="F179" s="51" t="n"/>
      <c r="G179" s="51" t="n"/>
      <c r="H179" s="52" t="n"/>
    </row>
    <row r="180">
      <c r="B180" s="51" t="n"/>
      <c r="C180" s="51" t="n"/>
      <c r="D180" s="51" t="n"/>
      <c r="E180" s="51" t="n"/>
      <c r="F180" s="51" t="n"/>
      <c r="G180" s="51" t="n"/>
      <c r="H180" s="52" t="n"/>
    </row>
    <row r="181">
      <c r="B181" s="51" t="n"/>
      <c r="C181" s="51" t="n"/>
      <c r="D181" s="51" t="n"/>
      <c r="E181" s="51" t="n"/>
      <c r="F181" s="51" t="n"/>
      <c r="G181" s="51" t="n"/>
      <c r="H181" s="52" t="n"/>
    </row>
    <row r="182">
      <c r="B182" s="51" t="n"/>
      <c r="C182" s="51" t="n"/>
      <c r="D182" s="51" t="n"/>
      <c r="E182" s="51" t="n"/>
      <c r="F182" s="51" t="n"/>
      <c r="G182" s="51" t="n"/>
      <c r="H182" s="52" t="n"/>
    </row>
    <row r="183">
      <c r="B183" s="51" t="n"/>
      <c r="C183" s="51" t="n"/>
      <c r="D183" s="51" t="n"/>
      <c r="E183" s="51" t="n"/>
      <c r="F183" s="51" t="n"/>
      <c r="G183" s="51" t="n"/>
      <c r="H183" s="52" t="n"/>
    </row>
    <row r="184">
      <c r="B184" s="51" t="n"/>
      <c r="C184" s="51" t="n"/>
      <c r="D184" s="51" t="n"/>
      <c r="E184" s="51" t="n"/>
      <c r="F184" s="51" t="n"/>
      <c r="G184" s="51" t="n"/>
      <c r="H184" s="52" t="n"/>
    </row>
    <row r="185">
      <c r="B185" s="51" t="n"/>
      <c r="C185" s="51" t="n"/>
      <c r="D185" s="51" t="n"/>
      <c r="E185" s="51" t="n"/>
      <c r="F185" s="51" t="n"/>
      <c r="G185" s="51" t="n"/>
      <c r="H185" s="52" t="n"/>
    </row>
    <row r="186">
      <c r="B186" s="51" t="n"/>
      <c r="C186" s="51" t="n"/>
      <c r="D186" s="51" t="n"/>
      <c r="E186" s="51" t="n"/>
      <c r="F186" s="51" t="n"/>
      <c r="G186" s="51" t="n"/>
      <c r="H186" s="52" t="n"/>
    </row>
    <row r="187">
      <c r="B187" s="51" t="n"/>
      <c r="C187" s="51" t="n"/>
      <c r="D187" s="51" t="n"/>
      <c r="E187" s="51" t="n"/>
      <c r="F187" s="51" t="n"/>
      <c r="G187" s="51" t="n"/>
      <c r="H187" s="52" t="n"/>
    </row>
    <row r="188">
      <c r="B188" s="51" t="n"/>
      <c r="C188" s="51" t="n"/>
      <c r="D188" s="51" t="n"/>
      <c r="E188" s="51" t="n"/>
      <c r="F188" s="51" t="n"/>
      <c r="G188" s="51" t="n"/>
      <c r="H188" s="52" t="n"/>
    </row>
    <row r="189">
      <c r="B189" s="51" t="n"/>
      <c r="C189" s="51" t="n"/>
      <c r="D189" s="51" t="n"/>
      <c r="E189" s="51" t="n"/>
      <c r="F189" s="51" t="n"/>
      <c r="G189" s="51" t="n"/>
      <c r="H189" s="52" t="n"/>
    </row>
    <row r="190">
      <c r="B190" s="51" t="n"/>
      <c r="C190" s="51" t="n"/>
      <c r="D190" s="51" t="n"/>
      <c r="E190" s="51" t="n"/>
      <c r="F190" s="51" t="n"/>
      <c r="G190" s="51" t="n"/>
      <c r="H190" s="52" t="n"/>
    </row>
    <row r="191">
      <c r="B191" s="51" t="n"/>
      <c r="C191" s="51" t="n"/>
      <c r="D191" s="51" t="n"/>
      <c r="E191" s="51" t="n"/>
      <c r="F191" s="51" t="n"/>
      <c r="G191" s="51" t="n"/>
      <c r="H191" s="52" t="n"/>
    </row>
    <row r="192">
      <c r="B192" s="51" t="n"/>
      <c r="C192" s="51" t="n"/>
      <c r="D192" s="51" t="n"/>
      <c r="E192" s="51" t="n"/>
      <c r="F192" s="51" t="n"/>
      <c r="G192" s="51" t="n"/>
      <c r="H192" s="52" t="n"/>
    </row>
    <row r="193">
      <c r="B193" s="51" t="n"/>
      <c r="C193" s="51" t="n"/>
      <c r="D193" s="51" t="n"/>
      <c r="E193" s="51" t="n"/>
      <c r="F193" s="51" t="n"/>
      <c r="G193" s="51" t="n"/>
      <c r="H193" s="52" t="n"/>
    </row>
    <row r="194">
      <c r="B194" s="51" t="n"/>
      <c r="C194" s="51" t="n"/>
      <c r="D194" s="51" t="n"/>
      <c r="E194" s="51" t="n"/>
      <c r="F194" s="51" t="n"/>
      <c r="G194" s="51" t="n"/>
      <c r="H194" s="52" t="n"/>
    </row>
    <row r="195">
      <c r="B195" s="51" t="n"/>
      <c r="C195" s="51" t="n"/>
      <c r="D195" s="51" t="n"/>
      <c r="E195" s="51" t="n"/>
      <c r="F195" s="51" t="n"/>
      <c r="G195" s="51" t="n"/>
      <c r="H195" s="52" t="n"/>
    </row>
    <row r="196">
      <c r="B196" s="51" t="n"/>
      <c r="C196" s="51" t="n"/>
      <c r="D196" s="51" t="n"/>
      <c r="E196" s="51" t="n"/>
      <c r="F196" s="51" t="n"/>
      <c r="G196" s="51" t="n"/>
      <c r="H196" s="52" t="n"/>
    </row>
    <row r="197">
      <c r="B197" s="51" t="n"/>
      <c r="C197" s="51" t="n"/>
      <c r="D197" s="51" t="n"/>
      <c r="E197" s="51" t="n"/>
      <c r="F197" s="51" t="n"/>
      <c r="G197" s="51" t="n"/>
      <c r="H197" s="52" t="n"/>
    </row>
    <row r="198">
      <c r="B198" s="51" t="n"/>
      <c r="C198" s="51" t="n"/>
      <c r="D198" s="51" t="n"/>
      <c r="E198" s="51" t="n"/>
      <c r="F198" s="51" t="n"/>
      <c r="G198" s="51" t="n"/>
      <c r="H198" s="52" t="n"/>
    </row>
    <row r="199">
      <c r="B199" s="51" t="n"/>
      <c r="C199" s="51" t="n"/>
      <c r="D199" s="51" t="n"/>
      <c r="E199" s="51" t="n"/>
      <c r="F199" s="51" t="n"/>
      <c r="G199" s="51" t="n"/>
      <c r="H199" s="52" t="n"/>
    </row>
    <row r="200">
      <c r="B200" s="51" t="n"/>
      <c r="C200" s="51" t="n"/>
      <c r="D200" s="51" t="n"/>
      <c r="E200" s="51" t="n"/>
      <c r="F200" s="51" t="n"/>
      <c r="G200" s="51" t="n"/>
      <c r="H200" s="52" t="n"/>
    </row>
    <row r="201">
      <c r="B201" s="51" t="n"/>
      <c r="C201" s="51" t="n"/>
      <c r="D201" s="51" t="n"/>
      <c r="E201" s="51" t="n"/>
      <c r="F201" s="51" t="n"/>
      <c r="G201" s="51" t="n"/>
      <c r="H201" s="52" t="n"/>
    </row>
    <row r="202">
      <c r="B202" s="51" t="n"/>
      <c r="C202" s="51" t="n"/>
      <c r="D202" s="51" t="n"/>
      <c r="E202" s="51" t="n"/>
      <c r="F202" s="51" t="n"/>
      <c r="G202" s="51" t="n"/>
      <c r="H202" s="52" t="n"/>
    </row>
    <row r="203">
      <c r="B203" s="51" t="n"/>
      <c r="C203" s="51" t="n"/>
      <c r="D203" s="51" t="n"/>
      <c r="E203" s="51" t="n"/>
      <c r="F203" s="51" t="n"/>
      <c r="G203" s="51" t="n"/>
      <c r="H203" s="52" t="n"/>
    </row>
    <row r="204">
      <c r="B204" s="51" t="n"/>
      <c r="C204" s="51" t="n"/>
      <c r="D204" s="51" t="n"/>
      <c r="E204" s="51" t="n"/>
      <c r="F204" s="51" t="n"/>
      <c r="G204" s="51" t="n"/>
      <c r="H204" s="52" t="n"/>
    </row>
    <row r="205">
      <c r="B205" s="51" t="n"/>
      <c r="C205" s="51" t="n"/>
      <c r="D205" s="51" t="n"/>
      <c r="E205" s="51" t="n"/>
      <c r="F205" s="51" t="n"/>
      <c r="G205" s="51" t="n"/>
      <c r="H205" s="52" t="n"/>
    </row>
    <row r="206">
      <c r="B206" s="51" t="n"/>
      <c r="C206" s="51" t="n"/>
      <c r="D206" s="51" t="n"/>
      <c r="E206" s="51" t="n"/>
      <c r="F206" s="51" t="n"/>
      <c r="G206" s="51" t="n"/>
      <c r="H206" s="52" t="n"/>
    </row>
    <row r="207">
      <c r="B207" s="51" t="n"/>
      <c r="C207" s="51" t="n"/>
      <c r="D207" s="51" t="n"/>
      <c r="E207" s="51" t="n"/>
      <c r="F207" s="51" t="n"/>
      <c r="G207" s="51" t="n"/>
      <c r="H207" s="52" t="n"/>
    </row>
    <row r="208">
      <c r="B208" s="51" t="n"/>
      <c r="C208" s="51" t="n"/>
      <c r="D208" s="51" t="n"/>
      <c r="E208" s="51" t="n"/>
      <c r="F208" s="51" t="n"/>
      <c r="G208" s="51" t="n"/>
      <c r="H208" s="52" t="n"/>
    </row>
    <row r="209">
      <c r="B209" s="51" t="n"/>
      <c r="C209" s="51" t="n"/>
      <c r="D209" s="51" t="n"/>
      <c r="E209" s="51" t="n"/>
      <c r="F209" s="51" t="n"/>
      <c r="G209" s="51" t="n"/>
      <c r="H209" s="52" t="n"/>
    </row>
    <row r="210">
      <c r="B210" s="51" t="n"/>
      <c r="C210" s="51" t="n"/>
      <c r="D210" s="51" t="n"/>
      <c r="E210" s="51" t="n"/>
      <c r="F210" s="51" t="n"/>
      <c r="G210" s="51" t="n"/>
      <c r="H210" s="52" t="n"/>
    </row>
    <row r="211">
      <c r="B211" s="51" t="n"/>
      <c r="C211" s="51" t="n"/>
      <c r="D211" s="51" t="n"/>
      <c r="E211" s="51" t="n"/>
      <c r="F211" s="51" t="n"/>
      <c r="G211" s="51" t="n"/>
      <c r="H211" s="52" t="n"/>
    </row>
    <row r="212">
      <c r="B212" s="51" t="n"/>
      <c r="C212" s="51" t="n"/>
      <c r="D212" s="51" t="n"/>
      <c r="E212" s="51" t="n"/>
      <c r="F212" s="51" t="n"/>
      <c r="G212" s="51" t="n"/>
      <c r="H212" s="52" t="n"/>
    </row>
    <row r="213">
      <c r="B213" s="51" t="n"/>
      <c r="C213" s="51" t="n"/>
      <c r="D213" s="51" t="n"/>
      <c r="E213" s="51" t="n"/>
      <c r="F213" s="51" t="n"/>
      <c r="G213" s="51" t="n"/>
      <c r="H213" s="52" t="n"/>
    </row>
    <row r="214">
      <c r="B214" s="51" t="n"/>
      <c r="C214" s="51" t="n"/>
      <c r="D214" s="51" t="n"/>
      <c r="E214" s="51" t="n"/>
      <c r="F214" s="51" t="n"/>
      <c r="G214" s="51" t="n"/>
      <c r="H214" s="52" t="n"/>
    </row>
    <row r="215">
      <c r="B215" s="51" t="n"/>
      <c r="C215" s="51" t="n"/>
      <c r="D215" s="51" t="n"/>
      <c r="E215" s="51" t="n"/>
      <c r="F215" s="51" t="n"/>
      <c r="G215" s="51" t="n"/>
      <c r="H215" s="52" t="n"/>
    </row>
    <row r="216">
      <c r="B216" s="51" t="n"/>
      <c r="C216" s="51" t="n"/>
      <c r="D216" s="51" t="n"/>
      <c r="E216" s="51" t="n"/>
      <c r="F216" s="51" t="n"/>
      <c r="G216" s="51" t="n"/>
      <c r="H216" s="52" t="n"/>
    </row>
    <row r="217">
      <c r="B217" s="51" t="n"/>
      <c r="C217" s="51" t="n"/>
      <c r="D217" s="51" t="n"/>
      <c r="E217" s="51" t="n"/>
      <c r="F217" s="51" t="n"/>
      <c r="G217" s="51" t="n"/>
      <c r="H217" s="52" t="n"/>
    </row>
    <row r="218">
      <c r="B218" s="51" t="n"/>
      <c r="C218" s="51" t="n"/>
      <c r="D218" s="51" t="n"/>
      <c r="E218" s="51" t="n"/>
      <c r="F218" s="51" t="n"/>
      <c r="G218" s="51" t="n"/>
      <c r="H218" s="52" t="n"/>
    </row>
    <row r="219">
      <c r="B219" s="51" t="n"/>
      <c r="C219" s="51" t="n"/>
      <c r="D219" s="51" t="n"/>
      <c r="E219" s="51" t="n"/>
      <c r="F219" s="51" t="n"/>
      <c r="G219" s="51" t="n"/>
      <c r="H219" s="52" t="n"/>
    </row>
    <row r="220">
      <c r="B220" s="51" t="n"/>
      <c r="C220" s="51" t="n"/>
      <c r="D220" s="51" t="n"/>
      <c r="E220" s="51" t="n"/>
      <c r="F220" s="51" t="n"/>
      <c r="G220" s="51" t="n"/>
      <c r="H220" s="52" t="n"/>
    </row>
    <row r="221">
      <c r="B221" s="51" t="n"/>
      <c r="C221" s="51" t="n"/>
      <c r="D221" s="51" t="n"/>
      <c r="E221" s="51" t="n"/>
      <c r="F221" s="51" t="n"/>
      <c r="G221" s="51" t="n"/>
      <c r="H221" s="52" t="n"/>
    </row>
    <row r="222">
      <c r="B222" s="51" t="n"/>
      <c r="C222" s="51" t="n"/>
      <c r="D222" s="51" t="n"/>
      <c r="E222" s="51" t="n"/>
      <c r="F222" s="51" t="n"/>
      <c r="G222" s="51" t="n"/>
      <c r="H222" s="52" t="n"/>
    </row>
    <row r="223">
      <c r="B223" s="51" t="n"/>
      <c r="C223" s="51" t="n"/>
      <c r="D223" s="51" t="n"/>
      <c r="E223" s="51" t="n"/>
      <c r="F223" s="51" t="n"/>
      <c r="G223" s="51" t="n"/>
      <c r="H223" s="52" t="n"/>
    </row>
    <row r="224">
      <c r="B224" s="51" t="n"/>
      <c r="C224" s="51" t="n"/>
      <c r="D224" s="51" t="n"/>
      <c r="E224" s="51" t="n"/>
      <c r="F224" s="51" t="n"/>
      <c r="G224" s="51" t="n"/>
      <c r="H224" s="52" t="n"/>
    </row>
    <row r="225">
      <c r="B225" s="51" t="n"/>
      <c r="C225" s="51" t="n"/>
      <c r="D225" s="51" t="n"/>
      <c r="E225" s="51" t="n"/>
      <c r="F225" s="51" t="n"/>
      <c r="G225" s="51" t="n"/>
      <c r="H225" s="52" t="n"/>
    </row>
    <row r="226">
      <c r="B226" s="51" t="n"/>
      <c r="C226" s="51" t="n"/>
      <c r="D226" s="51" t="n"/>
      <c r="E226" s="51" t="n"/>
      <c r="F226" s="51" t="n"/>
      <c r="G226" s="51" t="n"/>
      <c r="H226" s="52" t="n"/>
    </row>
    <row r="227">
      <c r="B227" s="51" t="n"/>
      <c r="C227" s="51" t="n"/>
      <c r="D227" s="51" t="n"/>
      <c r="E227" s="51" t="n"/>
      <c r="F227" s="51" t="n"/>
      <c r="G227" s="51" t="n"/>
      <c r="H227" s="52" t="n"/>
    </row>
    <row r="228">
      <c r="B228" s="51" t="n"/>
      <c r="C228" s="51" t="n"/>
      <c r="D228" s="51" t="n"/>
      <c r="E228" s="51" t="n"/>
      <c r="F228" s="51" t="n"/>
      <c r="G228" s="51" t="n"/>
      <c r="H228" s="52" t="n"/>
    </row>
    <row r="229">
      <c r="B229" s="51" t="n"/>
      <c r="C229" s="51" t="n"/>
      <c r="D229" s="51" t="n"/>
      <c r="E229" s="51" t="n"/>
      <c r="F229" s="51" t="n"/>
      <c r="G229" s="51" t="n"/>
      <c r="H229" s="52" t="n"/>
    </row>
    <row r="230">
      <c r="B230" s="51" t="n"/>
      <c r="C230" s="51" t="n"/>
      <c r="D230" s="51" t="n"/>
      <c r="E230" s="51" t="n"/>
      <c r="F230" s="51" t="n"/>
      <c r="G230" s="51" t="n"/>
      <c r="H230" s="52" t="n"/>
    </row>
    <row r="231">
      <c r="B231" s="51" t="n"/>
      <c r="C231" s="51" t="n"/>
      <c r="D231" s="51" t="n"/>
      <c r="E231" s="51" t="n"/>
      <c r="F231" s="51" t="n"/>
      <c r="G231" s="51" t="n"/>
      <c r="H231" s="52" t="n"/>
    </row>
    <row r="232">
      <c r="B232" s="51" t="n"/>
      <c r="C232" s="51" t="n"/>
      <c r="D232" s="51" t="n"/>
      <c r="E232" s="51" t="n"/>
      <c r="F232" s="51" t="n"/>
      <c r="G232" s="51" t="n"/>
      <c r="H232" s="52" t="n"/>
    </row>
    <row r="233">
      <c r="B233" s="51" t="n"/>
      <c r="C233" s="51" t="n"/>
      <c r="D233" s="51" t="n"/>
      <c r="E233" s="51" t="n"/>
      <c r="F233" s="51" t="n"/>
      <c r="G233" s="51" t="n"/>
      <c r="H233" s="52" t="n"/>
    </row>
    <row r="234">
      <c r="B234" s="51" t="n"/>
      <c r="C234" s="51" t="n"/>
      <c r="D234" s="51" t="n"/>
      <c r="E234" s="51" t="n"/>
      <c r="F234" s="51" t="n"/>
      <c r="G234" s="51" t="n"/>
      <c r="H234" s="52" t="n"/>
    </row>
    <row r="235">
      <c r="B235" s="51" t="n"/>
      <c r="C235" s="51" t="n"/>
      <c r="D235" s="51" t="n"/>
      <c r="E235" s="51" t="n"/>
      <c r="F235" s="51" t="n"/>
      <c r="G235" s="51" t="n"/>
      <c r="H235" s="52" t="n"/>
    </row>
    <row r="236">
      <c r="B236" s="51" t="n"/>
      <c r="C236" s="51" t="n"/>
      <c r="D236" s="51" t="n"/>
      <c r="E236" s="51" t="n"/>
      <c r="F236" s="51" t="n"/>
      <c r="G236" s="51" t="n"/>
      <c r="H236" s="52" t="n"/>
    </row>
    <row r="237">
      <c r="B237" s="51" t="n"/>
      <c r="C237" s="51" t="n"/>
      <c r="D237" s="51" t="n"/>
      <c r="E237" s="51" t="n"/>
      <c r="F237" s="51" t="n"/>
      <c r="G237" s="51" t="n"/>
      <c r="H237" s="52" t="n"/>
    </row>
    <row r="238">
      <c r="B238" s="51" t="n"/>
      <c r="C238" s="51" t="n"/>
      <c r="D238" s="51" t="n"/>
      <c r="E238" s="51" t="n"/>
      <c r="F238" s="51" t="n"/>
      <c r="G238" s="51" t="n"/>
      <c r="H238" s="52" t="n"/>
    </row>
    <row r="239">
      <c r="B239" s="51" t="n"/>
      <c r="C239" s="51" t="n"/>
      <c r="D239" s="51" t="n"/>
      <c r="E239" s="51" t="n"/>
      <c r="F239" s="51" t="n"/>
      <c r="G239" s="51" t="n"/>
      <c r="H239" s="52" t="n"/>
    </row>
    <row r="240">
      <c r="B240" s="51" t="n"/>
      <c r="C240" s="51" t="n"/>
      <c r="D240" s="51" t="n"/>
      <c r="E240" s="51" t="n"/>
      <c r="F240" s="51" t="n"/>
      <c r="G240" s="51" t="n"/>
      <c r="H240" s="52" t="n"/>
    </row>
    <row r="241">
      <c r="B241" s="51" t="n"/>
      <c r="C241" s="51" t="n"/>
      <c r="D241" s="51" t="n"/>
      <c r="E241" s="51" t="n"/>
      <c r="F241" s="51" t="n"/>
      <c r="G241" s="51" t="n"/>
      <c r="H241" s="52" t="n"/>
    </row>
    <row r="242">
      <c r="B242" s="51" t="n"/>
      <c r="C242" s="51" t="n"/>
      <c r="D242" s="51" t="n"/>
      <c r="E242" s="51" t="n"/>
      <c r="F242" s="51" t="n"/>
      <c r="G242" s="51" t="n"/>
      <c r="H242" s="52" t="n"/>
    </row>
    <row r="243">
      <c r="B243" s="51" t="n"/>
      <c r="C243" s="51" t="n"/>
      <c r="D243" s="51" t="n"/>
      <c r="E243" s="51" t="n"/>
      <c r="F243" s="51" t="n"/>
      <c r="G243" s="51" t="n"/>
      <c r="H243" s="52" t="n"/>
    </row>
    <row r="244">
      <c r="B244" s="51" t="n"/>
      <c r="C244" s="51" t="n"/>
      <c r="D244" s="51" t="n"/>
      <c r="E244" s="51" t="n"/>
      <c r="F244" s="51" t="n"/>
      <c r="G244" s="51" t="n"/>
      <c r="H244" s="52" t="n"/>
    </row>
    <row r="245">
      <c r="B245" s="51" t="n"/>
      <c r="C245" s="51" t="n"/>
      <c r="D245" s="51" t="n"/>
      <c r="E245" s="51" t="n"/>
      <c r="F245" s="51" t="n"/>
      <c r="G245" s="51" t="n"/>
      <c r="H245" s="52" t="n"/>
    </row>
    <row r="246">
      <c r="B246" s="51" t="n"/>
      <c r="C246" s="51" t="n"/>
      <c r="D246" s="51" t="n"/>
      <c r="E246" s="51" t="n"/>
      <c r="F246" s="51" t="n"/>
      <c r="G246" s="51" t="n"/>
      <c r="H246" s="52" t="n"/>
    </row>
    <row r="247">
      <c r="B247" s="51" t="n"/>
      <c r="C247" s="51" t="n"/>
      <c r="D247" s="51" t="n"/>
      <c r="E247" s="51" t="n"/>
      <c r="F247" s="51" t="n"/>
      <c r="G247" s="51" t="n"/>
      <c r="H247" s="52" t="n"/>
    </row>
    <row r="248">
      <c r="B248" s="51" t="n"/>
      <c r="C248" s="51" t="n"/>
      <c r="D248" s="51" t="n"/>
      <c r="E248" s="51" t="n"/>
      <c r="F248" s="51" t="n"/>
      <c r="G248" s="51" t="n"/>
      <c r="H248" s="52" t="n"/>
    </row>
    <row r="249">
      <c r="B249" s="51" t="n"/>
      <c r="C249" s="51" t="n"/>
      <c r="D249" s="51" t="n"/>
      <c r="E249" s="51" t="n"/>
      <c r="F249" s="51" t="n"/>
      <c r="G249" s="51" t="n"/>
      <c r="H249" s="52" t="n"/>
    </row>
    <row r="250">
      <c r="B250" s="51" t="n"/>
      <c r="C250" s="51" t="n"/>
      <c r="D250" s="51" t="n"/>
      <c r="E250" s="51" t="n"/>
      <c r="F250" s="51" t="n"/>
      <c r="G250" s="51" t="n"/>
      <c r="H250" s="52" t="n"/>
    </row>
    <row r="251">
      <c r="B251" s="51" t="n"/>
      <c r="C251" s="51" t="n"/>
      <c r="D251" s="51" t="n"/>
      <c r="E251" s="51" t="n"/>
      <c r="F251" s="51" t="n"/>
      <c r="G251" s="51" t="n"/>
      <c r="H251" s="52" t="n"/>
    </row>
    <row r="252">
      <c r="B252" s="51" t="n"/>
      <c r="C252" s="51" t="n"/>
      <c r="D252" s="51" t="n"/>
      <c r="E252" s="51" t="n"/>
      <c r="F252" s="51" t="n"/>
      <c r="G252" s="51" t="n"/>
      <c r="H252" s="52" t="n"/>
    </row>
    <row r="253">
      <c r="B253" s="51" t="n"/>
      <c r="C253" s="51" t="n"/>
      <c r="D253" s="51" t="n"/>
      <c r="E253" s="51" t="n"/>
      <c r="F253" s="51" t="n"/>
      <c r="G253" s="51" t="n"/>
      <c r="H253" s="52" t="n"/>
    </row>
    <row r="254">
      <c r="B254" s="51" t="n"/>
      <c r="C254" s="51" t="n"/>
      <c r="D254" s="51" t="n"/>
      <c r="E254" s="51" t="n"/>
      <c r="F254" s="51" t="n"/>
      <c r="G254" s="51" t="n"/>
      <c r="H254" s="52" t="n"/>
    </row>
    <row r="255">
      <c r="B255" s="51" t="n"/>
      <c r="C255" s="51" t="n"/>
      <c r="D255" s="51" t="n"/>
      <c r="E255" s="51" t="n"/>
      <c r="F255" s="51" t="n"/>
      <c r="G255" s="51" t="n"/>
      <c r="H255" s="52" t="n"/>
    </row>
    <row r="256">
      <c r="B256" s="51" t="n"/>
      <c r="C256" s="51" t="n"/>
      <c r="D256" s="51" t="n"/>
      <c r="E256" s="51" t="n"/>
      <c r="F256" s="51" t="n"/>
      <c r="G256" s="51" t="n"/>
      <c r="H256" s="52" t="n"/>
    </row>
    <row r="257">
      <c r="B257" s="51" t="n"/>
      <c r="C257" s="51" t="n"/>
      <c r="D257" s="51" t="n"/>
      <c r="E257" s="51" t="n"/>
      <c r="F257" s="51" t="n"/>
      <c r="G257" s="51" t="n"/>
      <c r="H257" s="52" t="n"/>
    </row>
    <row r="258">
      <c r="B258" s="51" t="n"/>
      <c r="C258" s="51" t="n"/>
      <c r="D258" s="51" t="n"/>
      <c r="E258" s="51" t="n"/>
      <c r="F258" s="51" t="n"/>
      <c r="G258" s="51" t="n"/>
      <c r="H258" s="52" t="n"/>
    </row>
    <row r="259">
      <c r="B259" s="51" t="n"/>
      <c r="C259" s="51" t="n"/>
      <c r="D259" s="51" t="n"/>
      <c r="E259" s="51" t="n"/>
      <c r="F259" s="51" t="n"/>
      <c r="G259" s="51" t="n"/>
      <c r="H259" s="52" t="n"/>
    </row>
    <row r="260">
      <c r="B260" s="51" t="n"/>
      <c r="C260" s="51" t="n"/>
      <c r="D260" s="51" t="n"/>
      <c r="E260" s="51" t="n"/>
      <c r="F260" s="51" t="n"/>
      <c r="G260" s="51" t="n"/>
      <c r="H260" s="52" t="n"/>
    </row>
    <row r="261">
      <c r="B261" s="51" t="n"/>
      <c r="C261" s="51" t="n"/>
      <c r="D261" s="51" t="n"/>
      <c r="E261" s="51" t="n"/>
      <c r="F261" s="51" t="n"/>
      <c r="G261" s="51" t="n"/>
      <c r="H261" s="52" t="n"/>
    </row>
    <row r="262">
      <c r="B262" s="51" t="n"/>
      <c r="C262" s="51" t="n"/>
      <c r="D262" s="51" t="n"/>
      <c r="E262" s="51" t="n"/>
      <c r="F262" s="51" t="n"/>
      <c r="G262" s="51" t="n"/>
      <c r="H262" s="52" t="n"/>
    </row>
    <row r="263">
      <c r="B263" s="51" t="n"/>
      <c r="C263" s="51" t="n"/>
      <c r="D263" s="51" t="n"/>
      <c r="E263" s="51" t="n"/>
      <c r="F263" s="51" t="n"/>
      <c r="G263" s="51" t="n"/>
      <c r="H263" s="52" t="n"/>
    </row>
    <row r="264">
      <c r="B264" s="51" t="n"/>
      <c r="C264" s="51" t="n"/>
      <c r="D264" s="51" t="n"/>
      <c r="E264" s="51" t="n"/>
      <c r="F264" s="51" t="n"/>
      <c r="G264" s="51" t="n"/>
      <c r="H264" s="52" t="n"/>
    </row>
    <row r="265">
      <c r="B265" s="51" t="n"/>
      <c r="C265" s="51" t="n"/>
      <c r="D265" s="51" t="n"/>
      <c r="E265" s="51" t="n"/>
      <c r="F265" s="51" t="n"/>
      <c r="G265" s="51" t="n"/>
      <c r="H265" s="52" t="n"/>
    </row>
    <row r="266">
      <c r="B266" s="51" t="n"/>
      <c r="C266" s="51" t="n"/>
      <c r="D266" s="51" t="n"/>
      <c r="E266" s="51" t="n"/>
      <c r="F266" s="51" t="n"/>
      <c r="G266" s="51" t="n"/>
      <c r="H266" s="52" t="n"/>
    </row>
    <row r="267">
      <c r="B267" s="51" t="n"/>
      <c r="C267" s="51" t="n"/>
      <c r="D267" s="51" t="n"/>
      <c r="E267" s="51" t="n"/>
      <c r="F267" s="51" t="n"/>
      <c r="G267" s="51" t="n"/>
      <c r="H267" s="52" t="n"/>
    </row>
    <row r="268">
      <c r="B268" s="51" t="n"/>
      <c r="C268" s="51" t="n"/>
      <c r="D268" s="51" t="n"/>
      <c r="E268" s="51" t="n"/>
      <c r="F268" s="51" t="n"/>
      <c r="G268" s="51" t="n"/>
      <c r="H268" s="52" t="n"/>
    </row>
    <row r="269">
      <c r="B269" s="51" t="n"/>
      <c r="C269" s="51" t="n"/>
      <c r="D269" s="51" t="n"/>
      <c r="E269" s="51" t="n"/>
      <c r="F269" s="51" t="n"/>
      <c r="G269" s="51" t="n"/>
      <c r="H269" s="52" t="n"/>
    </row>
    <row r="270">
      <c r="B270" s="51" t="n"/>
      <c r="C270" s="51" t="n"/>
      <c r="D270" s="51" t="n"/>
      <c r="E270" s="51" t="n"/>
      <c r="F270" s="51" t="n"/>
      <c r="G270" s="51" t="n"/>
      <c r="H270" s="52" t="n"/>
    </row>
    <row r="271">
      <c r="B271" s="51" t="n"/>
      <c r="C271" s="51" t="n"/>
      <c r="D271" s="51" t="n"/>
      <c r="E271" s="51" t="n"/>
      <c r="F271" s="51" t="n"/>
      <c r="G271" s="51" t="n"/>
      <c r="H271" s="52" t="n"/>
    </row>
    <row r="272">
      <c r="B272" s="51" t="n"/>
      <c r="C272" s="51" t="n"/>
      <c r="D272" s="51" t="n"/>
      <c r="E272" s="51" t="n"/>
      <c r="F272" s="51" t="n"/>
      <c r="G272" s="51" t="n"/>
      <c r="H272" s="52" t="n"/>
    </row>
    <row r="273">
      <c r="B273" s="51" t="n"/>
      <c r="C273" s="51" t="n"/>
      <c r="D273" s="51" t="n"/>
      <c r="E273" s="51" t="n"/>
      <c r="F273" s="51" t="n"/>
      <c r="G273" s="51" t="n"/>
      <c r="H273" s="52" t="n"/>
    </row>
    <row r="274">
      <c r="B274" s="51" t="n"/>
      <c r="C274" s="51" t="n"/>
      <c r="D274" s="51" t="n"/>
      <c r="E274" s="51" t="n"/>
      <c r="F274" s="51" t="n"/>
      <c r="G274" s="51" t="n"/>
      <c r="H274" s="52" t="n"/>
    </row>
    <row r="275">
      <c r="B275" s="51" t="n"/>
      <c r="C275" s="51" t="n"/>
      <c r="D275" s="51" t="n"/>
      <c r="E275" s="51" t="n"/>
      <c r="F275" s="51" t="n"/>
      <c r="G275" s="51" t="n"/>
      <c r="H275" s="52" t="n"/>
    </row>
    <row r="276">
      <c r="B276" s="51" t="n"/>
      <c r="C276" s="51" t="n"/>
      <c r="D276" s="51" t="n"/>
      <c r="E276" s="51" t="n"/>
      <c r="F276" s="51" t="n"/>
      <c r="G276" s="51" t="n"/>
      <c r="H276" s="52" t="n"/>
    </row>
    <row r="277">
      <c r="B277" s="51" t="n"/>
      <c r="C277" s="51" t="n"/>
      <c r="D277" s="51" t="n"/>
      <c r="E277" s="51" t="n"/>
      <c r="F277" s="51" t="n"/>
      <c r="G277" s="51" t="n"/>
      <c r="H277" s="52" t="n"/>
    </row>
    <row r="278">
      <c r="B278" s="51" t="n"/>
      <c r="C278" s="51" t="n"/>
      <c r="D278" s="51" t="n"/>
      <c r="E278" s="51" t="n"/>
      <c r="F278" s="51" t="n"/>
      <c r="G278" s="51" t="n"/>
      <c r="H278" s="52" t="n"/>
    </row>
    <row r="279">
      <c r="B279" s="51" t="n"/>
      <c r="C279" s="51" t="n"/>
      <c r="D279" s="51" t="n"/>
      <c r="E279" s="51" t="n"/>
      <c r="F279" s="51" t="n"/>
      <c r="G279" s="51" t="n"/>
      <c r="H279" s="52" t="n"/>
    </row>
    <row r="280">
      <c r="B280" s="51" t="n"/>
      <c r="C280" s="51" t="n"/>
      <c r="D280" s="51" t="n"/>
      <c r="E280" s="51" t="n"/>
      <c r="F280" s="51" t="n"/>
      <c r="G280" s="51" t="n"/>
      <c r="H280" s="52" t="n"/>
    </row>
    <row r="281">
      <c r="B281" s="51" t="n"/>
      <c r="C281" s="51" t="n"/>
      <c r="D281" s="51" t="n"/>
      <c r="E281" s="51" t="n"/>
      <c r="F281" s="51" t="n"/>
      <c r="G281" s="51" t="n"/>
      <c r="H281" s="52" t="n"/>
    </row>
    <row r="282">
      <c r="B282" s="51" t="n"/>
      <c r="C282" s="51" t="n"/>
      <c r="D282" s="51" t="n"/>
      <c r="E282" s="51" t="n"/>
      <c r="F282" s="51" t="n"/>
      <c r="G282" s="51" t="n"/>
      <c r="H282" s="52" t="n"/>
    </row>
    <row r="283">
      <c r="B283" s="51" t="n"/>
      <c r="C283" s="51" t="n"/>
      <c r="D283" s="51" t="n"/>
      <c r="E283" s="51" t="n"/>
      <c r="F283" s="51" t="n"/>
      <c r="G283" s="51" t="n"/>
      <c r="H283" s="52" t="n"/>
    </row>
    <row r="284">
      <c r="B284" s="51" t="n"/>
      <c r="C284" s="51" t="n"/>
      <c r="D284" s="51" t="n"/>
      <c r="E284" s="51" t="n"/>
      <c r="F284" s="51" t="n"/>
      <c r="G284" s="51" t="n"/>
      <c r="H284" s="52" t="n"/>
    </row>
    <row r="285">
      <c r="B285" s="51" t="n"/>
      <c r="C285" s="51" t="n"/>
      <c r="D285" s="51" t="n"/>
      <c r="E285" s="51" t="n"/>
      <c r="F285" s="51" t="n"/>
      <c r="G285" s="51" t="n"/>
      <c r="H285" s="52" t="n"/>
    </row>
    <row r="286">
      <c r="B286" s="51" t="n"/>
      <c r="C286" s="51" t="n"/>
      <c r="D286" s="51" t="n"/>
      <c r="E286" s="51" t="n"/>
      <c r="F286" s="51" t="n"/>
      <c r="G286" s="51" t="n"/>
      <c r="H286" s="52" t="n"/>
    </row>
    <row r="287">
      <c r="B287" s="51" t="n"/>
      <c r="C287" s="51" t="n"/>
      <c r="D287" s="51" t="n"/>
      <c r="E287" s="51" t="n"/>
      <c r="F287" s="51" t="n"/>
      <c r="G287" s="51" t="n"/>
      <c r="H287" s="52" t="n"/>
    </row>
    <row r="288">
      <c r="B288" s="51" t="n"/>
      <c r="C288" s="51" t="n"/>
      <c r="D288" s="51" t="n"/>
      <c r="E288" s="51" t="n"/>
      <c r="F288" s="51" t="n"/>
      <c r="G288" s="51" t="n"/>
      <c r="H288" s="52" t="n"/>
    </row>
    <row r="289">
      <c r="B289" s="51" t="n"/>
      <c r="C289" s="51" t="n"/>
      <c r="D289" s="51" t="n"/>
      <c r="E289" s="51" t="n"/>
      <c r="F289" s="51" t="n"/>
      <c r="G289" s="51" t="n"/>
      <c r="H289" s="52" t="n"/>
    </row>
    <row r="290">
      <c r="B290" s="51" t="n"/>
      <c r="C290" s="51" t="n"/>
      <c r="D290" s="51" t="n"/>
      <c r="E290" s="51" t="n"/>
      <c r="F290" s="51" t="n"/>
      <c r="G290" s="51" t="n"/>
      <c r="H290" s="52" t="n"/>
    </row>
    <row r="291">
      <c r="B291" s="51" t="n"/>
      <c r="C291" s="51" t="n"/>
      <c r="D291" s="51" t="n"/>
      <c r="E291" s="51" t="n"/>
      <c r="F291" s="51" t="n"/>
      <c r="G291" s="51" t="n"/>
      <c r="H291" s="52" t="n"/>
    </row>
    <row r="292">
      <c r="B292" s="51" t="n"/>
      <c r="C292" s="51" t="n"/>
      <c r="D292" s="51" t="n"/>
      <c r="E292" s="51" t="n"/>
      <c r="F292" s="51" t="n"/>
      <c r="G292" s="51" t="n"/>
      <c r="H292" s="52" t="n"/>
    </row>
    <row r="293">
      <c r="B293" s="51" t="n"/>
      <c r="C293" s="51" t="n"/>
      <c r="D293" s="51" t="n"/>
      <c r="E293" s="51" t="n"/>
      <c r="F293" s="51" t="n"/>
      <c r="G293" s="51" t="n"/>
      <c r="H293" s="52" t="n"/>
    </row>
    <row r="294">
      <c r="B294" s="51" t="n"/>
      <c r="C294" s="51" t="n"/>
      <c r="D294" s="51" t="n"/>
      <c r="E294" s="51" t="n"/>
      <c r="F294" s="51" t="n"/>
      <c r="G294" s="51" t="n"/>
      <c r="H294" s="52" t="n"/>
    </row>
    <row r="295">
      <c r="B295" s="51" t="n"/>
      <c r="C295" s="51" t="n"/>
      <c r="D295" s="51" t="n"/>
      <c r="E295" s="51" t="n"/>
      <c r="F295" s="51" t="n"/>
      <c r="G295" s="51" t="n"/>
      <c r="H295" s="52" t="n"/>
    </row>
    <row r="296">
      <c r="B296" s="51" t="n"/>
      <c r="C296" s="51" t="n"/>
      <c r="D296" s="51" t="n"/>
      <c r="E296" s="51" t="n"/>
      <c r="F296" s="51" t="n"/>
      <c r="G296" s="51" t="n"/>
      <c r="H296" s="52" t="n"/>
    </row>
    <row r="297">
      <c r="B297" s="51" t="n"/>
      <c r="C297" s="51" t="n"/>
      <c r="D297" s="51" t="n"/>
      <c r="E297" s="51" t="n"/>
      <c r="F297" s="51" t="n"/>
      <c r="G297" s="51" t="n"/>
      <c r="H297" s="52" t="n"/>
    </row>
    <row r="298">
      <c r="B298" s="51" t="n"/>
      <c r="C298" s="51" t="n"/>
      <c r="D298" s="51" t="n"/>
      <c r="E298" s="51" t="n"/>
      <c r="F298" s="51" t="n"/>
      <c r="G298" s="51" t="n"/>
      <c r="H298" s="52" t="n"/>
    </row>
    <row r="299">
      <c r="B299" s="51" t="n"/>
      <c r="C299" s="51" t="n"/>
      <c r="D299" s="51" t="n"/>
      <c r="E299" s="51" t="n"/>
      <c r="F299" s="51" t="n"/>
      <c r="G299" s="51" t="n"/>
      <c r="H299" s="52" t="n"/>
    </row>
    <row r="300">
      <c r="B300" s="51" t="n"/>
      <c r="C300" s="51" t="n"/>
      <c r="D300" s="51" t="n"/>
      <c r="E300" s="51" t="n"/>
      <c r="F300" s="51" t="n"/>
      <c r="G300" s="51" t="n"/>
      <c r="H300" s="52" t="n"/>
    </row>
    <row r="301">
      <c r="B301" s="51" t="n"/>
      <c r="C301" s="51" t="n"/>
      <c r="D301" s="51" t="n"/>
      <c r="E301" s="51" t="n"/>
      <c r="F301" s="51" t="n"/>
      <c r="G301" s="51" t="n"/>
      <c r="H301" s="52" t="n"/>
    </row>
    <row r="302">
      <c r="B302" s="51" t="n"/>
      <c r="C302" s="51" t="n"/>
      <c r="D302" s="51" t="n"/>
      <c r="E302" s="51" t="n"/>
      <c r="F302" s="51" t="n"/>
      <c r="G302" s="51" t="n"/>
      <c r="H302" s="52" t="n"/>
    </row>
    <row r="303">
      <c r="B303" s="51" t="n"/>
      <c r="C303" s="51" t="n"/>
      <c r="D303" s="51" t="n"/>
      <c r="E303" s="51" t="n"/>
      <c r="F303" s="51" t="n"/>
      <c r="G303" s="51" t="n"/>
      <c r="H303" s="52" t="n"/>
    </row>
    <row r="304">
      <c r="B304" s="51" t="n"/>
      <c r="C304" s="51" t="n"/>
      <c r="D304" s="51" t="n"/>
      <c r="E304" s="51" t="n"/>
      <c r="F304" s="51" t="n"/>
      <c r="G304" s="51" t="n"/>
      <c r="H304" s="52" t="n"/>
    </row>
    <row r="305">
      <c r="B305" s="51" t="n"/>
      <c r="C305" s="51" t="n"/>
      <c r="D305" s="51" t="n"/>
      <c r="E305" s="51" t="n"/>
      <c r="F305" s="51" t="n"/>
      <c r="G305" s="51" t="n"/>
      <c r="H305" s="52" t="n"/>
    </row>
    <row r="306">
      <c r="B306" s="51" t="n"/>
      <c r="C306" s="51" t="n"/>
      <c r="D306" s="51" t="n"/>
      <c r="E306" s="51" t="n"/>
      <c r="F306" s="51" t="n"/>
      <c r="G306" s="51" t="n"/>
      <c r="H306" s="52" t="n"/>
    </row>
    <row r="307">
      <c r="B307" s="51" t="n"/>
      <c r="C307" s="51" t="n"/>
      <c r="D307" s="51" t="n"/>
      <c r="E307" s="51" t="n"/>
      <c r="F307" s="51" t="n"/>
      <c r="G307" s="51" t="n"/>
      <c r="H307" s="52" t="n"/>
    </row>
    <row r="308">
      <c r="B308" s="51" t="n"/>
      <c r="C308" s="51" t="n"/>
      <c r="D308" s="51" t="n"/>
      <c r="E308" s="51" t="n"/>
      <c r="F308" s="51" t="n"/>
      <c r="G308" s="51" t="n"/>
      <c r="H308" s="52" t="n"/>
    </row>
    <row r="309">
      <c r="B309" s="51" t="n"/>
      <c r="C309" s="51" t="n"/>
      <c r="D309" s="51" t="n"/>
      <c r="E309" s="51" t="n"/>
      <c r="F309" s="51" t="n"/>
      <c r="G309" s="51" t="n"/>
      <c r="H309" s="52" t="n"/>
    </row>
    <row r="310">
      <c r="B310" s="51" t="n"/>
      <c r="C310" s="51" t="n"/>
      <c r="D310" s="51" t="n"/>
      <c r="E310" s="51" t="n"/>
      <c r="F310" s="51" t="n"/>
      <c r="G310" s="51" t="n"/>
      <c r="H310" s="52" t="n"/>
    </row>
    <row r="311">
      <c r="B311" s="51" t="n"/>
      <c r="C311" s="51" t="n"/>
      <c r="D311" s="51" t="n"/>
      <c r="E311" s="51" t="n"/>
      <c r="F311" s="51" t="n"/>
      <c r="G311" s="51" t="n"/>
      <c r="H311" s="52" t="n"/>
    </row>
    <row r="312">
      <c r="B312" s="51" t="n"/>
      <c r="C312" s="51" t="n"/>
      <c r="D312" s="51" t="n"/>
      <c r="E312" s="51" t="n"/>
      <c r="F312" s="51" t="n"/>
      <c r="G312" s="51" t="n"/>
      <c r="H312" s="52" t="n"/>
    </row>
    <row r="313">
      <c r="B313" s="51" t="n"/>
      <c r="C313" s="51" t="n"/>
      <c r="D313" s="51" t="n"/>
      <c r="E313" s="51" t="n"/>
      <c r="F313" s="51" t="n"/>
      <c r="G313" s="51" t="n"/>
      <c r="H313" s="52" t="n"/>
    </row>
    <row r="314">
      <c r="B314" s="51" t="n"/>
      <c r="C314" s="51" t="n"/>
      <c r="D314" s="51" t="n"/>
      <c r="E314" s="51" t="n"/>
      <c r="F314" s="51" t="n"/>
      <c r="G314" s="51" t="n"/>
      <c r="H314" s="52" t="n"/>
    </row>
    <row r="315">
      <c r="B315" s="51" t="n"/>
      <c r="C315" s="51" t="n"/>
      <c r="D315" s="51" t="n"/>
      <c r="E315" s="51" t="n"/>
      <c r="F315" s="51" t="n"/>
      <c r="G315" s="51" t="n"/>
      <c r="H315" s="52" t="n"/>
    </row>
    <row r="316">
      <c r="B316" s="51" t="n"/>
      <c r="C316" s="51" t="n"/>
      <c r="D316" s="51" t="n"/>
      <c r="E316" s="51" t="n"/>
      <c r="F316" s="51" t="n"/>
      <c r="G316" s="51" t="n"/>
      <c r="H316" s="52" t="n"/>
    </row>
    <row r="317">
      <c r="B317" s="51" t="n"/>
      <c r="C317" s="51" t="n"/>
      <c r="D317" s="51" t="n"/>
      <c r="E317" s="51" t="n"/>
      <c r="F317" s="51" t="n"/>
      <c r="G317" s="51" t="n"/>
      <c r="H317" s="52" t="n"/>
    </row>
    <row r="318">
      <c r="B318" s="51" t="n"/>
      <c r="C318" s="51" t="n"/>
      <c r="D318" s="51" t="n"/>
      <c r="E318" s="51" t="n"/>
      <c r="F318" s="51" t="n"/>
      <c r="G318" s="51" t="n"/>
      <c r="H318" s="52" t="n"/>
    </row>
    <row r="319">
      <c r="B319" s="51" t="n"/>
      <c r="C319" s="51" t="n"/>
      <c r="D319" s="51" t="n"/>
      <c r="E319" s="51" t="n"/>
      <c r="F319" s="51" t="n"/>
      <c r="G319" s="51" t="n"/>
      <c r="H319" s="52" t="n"/>
    </row>
    <row r="320">
      <c r="B320" s="51" t="n"/>
      <c r="C320" s="51" t="n"/>
      <c r="D320" s="51" t="n"/>
      <c r="E320" s="51" t="n"/>
      <c r="F320" s="51" t="n"/>
      <c r="G320" s="51" t="n"/>
      <c r="H320" s="52" t="n"/>
    </row>
    <row r="321">
      <c r="B321" s="51" t="n"/>
      <c r="C321" s="51" t="n"/>
      <c r="D321" s="51" t="n"/>
      <c r="E321" s="51" t="n"/>
      <c r="F321" s="51" t="n"/>
      <c r="G321" s="51" t="n"/>
      <c r="H321" s="52" t="n"/>
    </row>
    <row r="322">
      <c r="B322" s="51" t="n"/>
      <c r="C322" s="51" t="n"/>
      <c r="D322" s="51" t="n"/>
      <c r="E322" s="51" t="n"/>
      <c r="F322" s="51" t="n"/>
      <c r="G322" s="51" t="n"/>
      <c r="H322" s="52" t="n"/>
    </row>
    <row r="323">
      <c r="B323" s="51" t="n"/>
      <c r="C323" s="51" t="n"/>
      <c r="D323" s="51" t="n"/>
      <c r="E323" s="51" t="n"/>
      <c r="F323" s="51" t="n"/>
      <c r="G323" s="51" t="n"/>
      <c r="H323" s="52" t="n"/>
    </row>
    <row r="324">
      <c r="B324" s="51" t="n"/>
      <c r="C324" s="51" t="n"/>
      <c r="D324" s="51" t="n"/>
      <c r="E324" s="51" t="n"/>
      <c r="F324" s="51" t="n"/>
      <c r="G324" s="51" t="n"/>
      <c r="H324" s="52" t="n"/>
    </row>
    <row r="325">
      <c r="B325" s="51" t="n"/>
      <c r="C325" s="51" t="n"/>
      <c r="D325" s="51" t="n"/>
      <c r="E325" s="51" t="n"/>
      <c r="F325" s="51" t="n"/>
      <c r="G325" s="51" t="n"/>
      <c r="H325" s="52" t="n"/>
    </row>
    <row r="326">
      <c r="B326" s="51" t="n"/>
      <c r="C326" s="51" t="n"/>
      <c r="D326" s="51" t="n"/>
      <c r="E326" s="51" t="n"/>
      <c r="F326" s="51" t="n"/>
      <c r="G326" s="51" t="n"/>
      <c r="H326" s="52" t="n"/>
    </row>
    <row r="327">
      <c r="B327" s="51" t="n"/>
      <c r="C327" s="51" t="n"/>
      <c r="D327" s="51" t="n"/>
      <c r="E327" s="51" t="n"/>
      <c r="F327" s="51" t="n"/>
      <c r="G327" s="51" t="n"/>
      <c r="H327" s="52" t="n"/>
    </row>
    <row r="328">
      <c r="B328" s="51" t="n"/>
      <c r="C328" s="51" t="n"/>
      <c r="D328" s="51" t="n"/>
      <c r="E328" s="51" t="n"/>
      <c r="F328" s="51" t="n"/>
      <c r="G328" s="51" t="n"/>
      <c r="H328" s="52" t="n"/>
    </row>
    <row r="329">
      <c r="B329" s="51" t="n"/>
      <c r="C329" s="51" t="n"/>
      <c r="D329" s="51" t="n"/>
      <c r="E329" s="51" t="n"/>
      <c r="F329" s="51" t="n"/>
      <c r="G329" s="51" t="n"/>
      <c r="H329" s="52" t="n"/>
    </row>
    <row r="330">
      <c r="B330" s="51" t="n"/>
      <c r="C330" s="51" t="n"/>
      <c r="D330" s="51" t="n"/>
      <c r="E330" s="51" t="n"/>
      <c r="F330" s="51" t="n"/>
      <c r="G330" s="51" t="n"/>
      <c r="H330" s="52" t="n"/>
    </row>
    <row r="331">
      <c r="B331" s="51" t="n"/>
      <c r="C331" s="51" t="n"/>
      <c r="D331" s="51" t="n"/>
      <c r="E331" s="51" t="n"/>
      <c r="F331" s="51" t="n"/>
      <c r="G331" s="51" t="n"/>
      <c r="H331" s="52" t="n"/>
    </row>
    <row r="332">
      <c r="B332" s="51" t="n"/>
      <c r="C332" s="51" t="n"/>
      <c r="D332" s="51" t="n"/>
      <c r="E332" s="51" t="n"/>
      <c r="F332" s="51" t="n"/>
      <c r="G332" s="51" t="n"/>
      <c r="H332" s="52" t="n"/>
    </row>
    <row r="333">
      <c r="B333" s="51" t="n"/>
      <c r="C333" s="51" t="n"/>
      <c r="D333" s="51" t="n"/>
      <c r="E333" s="51" t="n"/>
      <c r="F333" s="51" t="n"/>
      <c r="G333" s="51" t="n"/>
      <c r="H333" s="52" t="n"/>
    </row>
    <row r="334">
      <c r="B334" s="51" t="n"/>
      <c r="C334" s="51" t="n"/>
      <c r="D334" s="51" t="n"/>
      <c r="E334" s="51" t="n"/>
      <c r="F334" s="51" t="n"/>
      <c r="G334" s="51" t="n"/>
      <c r="H334" s="52" t="n"/>
    </row>
    <row r="335">
      <c r="B335" s="51" t="n"/>
      <c r="C335" s="51" t="n"/>
      <c r="D335" s="51" t="n"/>
      <c r="E335" s="51" t="n"/>
      <c r="F335" s="51" t="n"/>
      <c r="G335" s="51" t="n"/>
      <c r="H335" s="52" t="n"/>
    </row>
    <row r="336">
      <c r="B336" s="51" t="n"/>
      <c r="C336" s="51" t="n"/>
      <c r="D336" s="51" t="n"/>
      <c r="E336" s="51" t="n"/>
      <c r="F336" s="51" t="n"/>
      <c r="G336" s="51" t="n"/>
      <c r="H336" s="52" t="n"/>
    </row>
    <row r="337">
      <c r="B337" s="51" t="n"/>
      <c r="C337" s="51" t="n"/>
      <c r="D337" s="51" t="n"/>
      <c r="E337" s="51" t="n"/>
      <c r="F337" s="51" t="n"/>
      <c r="G337" s="51" t="n"/>
      <c r="H337" s="52" t="n"/>
    </row>
    <row r="338">
      <c r="B338" s="51" t="n"/>
      <c r="C338" s="51" t="n"/>
      <c r="D338" s="51" t="n"/>
      <c r="E338" s="51" t="n"/>
      <c r="F338" s="51" t="n"/>
      <c r="G338" s="51" t="n"/>
      <c r="H338" s="52" t="n"/>
    </row>
    <row r="339">
      <c r="B339" s="51" t="n"/>
      <c r="C339" s="51" t="n"/>
      <c r="D339" s="51" t="n"/>
      <c r="E339" s="51" t="n"/>
      <c r="F339" s="51" t="n"/>
      <c r="G339" s="51" t="n"/>
      <c r="H339" s="52" t="n"/>
    </row>
    <row r="340">
      <c r="B340" s="51" t="n"/>
      <c r="C340" s="51" t="n"/>
      <c r="D340" s="51" t="n"/>
      <c r="E340" s="51" t="n"/>
      <c r="F340" s="51" t="n"/>
      <c r="G340" s="51" t="n"/>
      <c r="H340" s="52" t="n"/>
    </row>
    <row r="341">
      <c r="B341" s="51" t="n"/>
      <c r="C341" s="51" t="n"/>
      <c r="D341" s="51" t="n"/>
      <c r="E341" s="51" t="n"/>
      <c r="F341" s="51" t="n"/>
      <c r="G341" s="51" t="n"/>
      <c r="H341" s="52" t="n"/>
    </row>
    <row r="342">
      <c r="B342" s="51" t="n"/>
      <c r="C342" s="51" t="n"/>
      <c r="D342" s="51" t="n"/>
      <c r="E342" s="51" t="n"/>
      <c r="F342" s="51" t="n"/>
      <c r="G342" s="51" t="n"/>
      <c r="H342" s="52" t="n"/>
    </row>
    <row r="343">
      <c r="B343" s="51" t="n"/>
      <c r="C343" s="51" t="n"/>
      <c r="D343" s="51" t="n"/>
      <c r="E343" s="51" t="n"/>
      <c r="F343" s="51" t="n"/>
      <c r="G343" s="51" t="n"/>
      <c r="H343" s="52" t="n"/>
    </row>
    <row r="344">
      <c r="B344" s="51" t="n"/>
      <c r="C344" s="51" t="n"/>
      <c r="D344" s="51" t="n"/>
      <c r="E344" s="51" t="n"/>
      <c r="F344" s="51" t="n"/>
      <c r="G344" s="51" t="n"/>
      <c r="H344" s="52" t="n"/>
    </row>
    <row r="345">
      <c r="B345" s="51" t="n"/>
      <c r="C345" s="51" t="n"/>
      <c r="D345" s="51" t="n"/>
      <c r="E345" s="51" t="n"/>
      <c r="F345" s="51" t="n"/>
      <c r="G345" s="51" t="n"/>
      <c r="H345" s="52" t="n"/>
    </row>
    <row r="346">
      <c r="B346" s="51" t="n"/>
      <c r="C346" s="51" t="n"/>
      <c r="D346" s="51" t="n"/>
      <c r="E346" s="51" t="n"/>
      <c r="F346" s="51" t="n"/>
      <c r="G346" s="51" t="n"/>
      <c r="H346" s="52" t="n"/>
    </row>
    <row r="347">
      <c r="B347" s="51" t="n"/>
      <c r="C347" s="51" t="n"/>
      <c r="D347" s="51" t="n"/>
      <c r="E347" s="51" t="n"/>
      <c r="F347" s="51" t="n"/>
      <c r="G347" s="51" t="n"/>
      <c r="H347" s="52" t="n"/>
    </row>
    <row r="348">
      <c r="B348" s="51" t="n"/>
      <c r="C348" s="51" t="n"/>
      <c r="D348" s="51" t="n"/>
      <c r="E348" s="51" t="n"/>
      <c r="F348" s="51" t="n"/>
      <c r="G348" s="51" t="n"/>
      <c r="H348" s="52" t="n"/>
    </row>
    <row r="349">
      <c r="B349" s="51" t="n"/>
      <c r="C349" s="51" t="n"/>
      <c r="D349" s="51" t="n"/>
      <c r="E349" s="51" t="n"/>
      <c r="F349" s="51" t="n"/>
      <c r="G349" s="51" t="n"/>
      <c r="H349" s="52" t="n"/>
    </row>
    <row r="350">
      <c r="B350" s="51" t="n"/>
      <c r="C350" s="51" t="n"/>
      <c r="D350" s="51" t="n"/>
      <c r="E350" s="51" t="n"/>
      <c r="F350" s="51" t="n"/>
      <c r="G350" s="51" t="n"/>
      <c r="H350" s="52" t="n"/>
    </row>
    <row r="351">
      <c r="B351" s="51" t="n"/>
      <c r="C351" s="51" t="n"/>
      <c r="D351" s="51" t="n"/>
      <c r="E351" s="51" t="n"/>
      <c r="F351" s="51" t="n"/>
      <c r="G351" s="51" t="n"/>
      <c r="H351" s="52" t="n"/>
    </row>
    <row r="352">
      <c r="B352" s="51" t="n"/>
      <c r="C352" s="51" t="n"/>
      <c r="D352" s="51" t="n"/>
      <c r="E352" s="51" t="n"/>
      <c r="F352" s="51" t="n"/>
      <c r="G352" s="51" t="n"/>
      <c r="H352" s="52" t="n"/>
    </row>
    <row r="353">
      <c r="B353" s="51" t="n"/>
      <c r="C353" s="51" t="n"/>
      <c r="D353" s="51" t="n"/>
      <c r="E353" s="51" t="n"/>
      <c r="F353" s="51" t="n"/>
      <c r="G353" s="51" t="n"/>
      <c r="H353" s="52" t="n"/>
    </row>
    <row r="354">
      <c r="B354" s="51" t="n"/>
      <c r="C354" s="51" t="n"/>
      <c r="D354" s="51" t="n"/>
      <c r="E354" s="51" t="n"/>
      <c r="F354" s="51" t="n"/>
      <c r="G354" s="51" t="n"/>
      <c r="H354" s="52" t="n"/>
    </row>
    <row r="355">
      <c r="B355" s="51" t="n"/>
      <c r="C355" s="51" t="n"/>
      <c r="D355" s="51" t="n"/>
      <c r="E355" s="51" t="n"/>
      <c r="F355" s="51" t="n"/>
      <c r="G355" s="51" t="n"/>
      <c r="H355" s="52" t="n"/>
    </row>
    <row r="356">
      <c r="B356" s="51" t="n"/>
      <c r="C356" s="51" t="n"/>
      <c r="D356" s="51" t="n"/>
      <c r="E356" s="51" t="n"/>
      <c r="F356" s="51" t="n"/>
      <c r="G356" s="51" t="n"/>
      <c r="H356" s="52" t="n"/>
    </row>
    <row r="357">
      <c r="B357" s="51" t="n"/>
      <c r="C357" s="51" t="n"/>
      <c r="D357" s="51" t="n"/>
      <c r="E357" s="51" t="n"/>
      <c r="F357" s="51" t="n"/>
      <c r="G357" s="51" t="n"/>
      <c r="H357" s="52" t="n"/>
    </row>
    <row r="358">
      <c r="B358" s="51" t="n"/>
      <c r="C358" s="51" t="n"/>
      <c r="D358" s="51" t="n"/>
      <c r="E358" s="51" t="n"/>
      <c r="F358" s="51" t="n"/>
      <c r="G358" s="51" t="n"/>
      <c r="H358" s="52" t="n"/>
    </row>
    <row r="359">
      <c r="B359" s="51" t="n"/>
      <c r="C359" s="51" t="n"/>
      <c r="D359" s="51" t="n"/>
      <c r="E359" s="51" t="n"/>
      <c r="F359" s="51" t="n"/>
      <c r="G359" s="51" t="n"/>
      <c r="H359" s="52" t="n"/>
    </row>
    <row r="360">
      <c r="B360" s="51" t="n"/>
      <c r="C360" s="51" t="n"/>
      <c r="D360" s="51" t="n"/>
      <c r="E360" s="51" t="n"/>
      <c r="F360" s="51" t="n"/>
      <c r="G360" s="51" t="n"/>
      <c r="H360" s="52" t="n"/>
    </row>
    <row r="361">
      <c r="B361" s="51" t="n"/>
      <c r="C361" s="51" t="n"/>
      <c r="D361" s="51" t="n"/>
      <c r="E361" s="51" t="n"/>
      <c r="F361" s="51" t="n"/>
      <c r="G361" s="51" t="n"/>
      <c r="H361" s="52" t="n"/>
    </row>
    <row r="362">
      <c r="B362" s="51" t="n"/>
      <c r="C362" s="51" t="n"/>
      <c r="D362" s="51" t="n"/>
      <c r="E362" s="51" t="n"/>
      <c r="F362" s="51" t="n"/>
      <c r="G362" s="51" t="n"/>
      <c r="H362" s="52" t="n"/>
    </row>
    <row r="363">
      <c r="B363" s="51" t="n"/>
      <c r="C363" s="51" t="n"/>
      <c r="D363" s="51" t="n"/>
      <c r="E363" s="51" t="n"/>
      <c r="F363" s="51" t="n"/>
      <c r="G363" s="51" t="n"/>
      <c r="H363" s="52" t="n"/>
    </row>
    <row r="364">
      <c r="B364" s="51" t="n"/>
      <c r="C364" s="51" t="n"/>
      <c r="D364" s="51" t="n"/>
      <c r="E364" s="51" t="n"/>
      <c r="F364" s="51" t="n"/>
      <c r="G364" s="51" t="n"/>
      <c r="H364" s="52" t="n"/>
    </row>
    <row r="365">
      <c r="B365" s="51" t="n"/>
      <c r="C365" s="51" t="n"/>
      <c r="D365" s="51" t="n"/>
      <c r="E365" s="51" t="n"/>
      <c r="F365" s="51" t="n"/>
      <c r="G365" s="51" t="n"/>
      <c r="H365" s="52" t="n"/>
    </row>
    <row r="366">
      <c r="B366" s="51" t="n"/>
      <c r="C366" s="51" t="n"/>
      <c r="D366" s="51" t="n"/>
      <c r="E366" s="51" t="n"/>
      <c r="F366" s="51" t="n"/>
      <c r="G366" s="51" t="n"/>
      <c r="H366" s="52" t="n"/>
    </row>
    <row r="367">
      <c r="B367" s="51" t="n"/>
      <c r="C367" s="51" t="n"/>
      <c r="D367" s="51" t="n"/>
      <c r="E367" s="51" t="n"/>
      <c r="F367" s="51" t="n"/>
      <c r="G367" s="51" t="n"/>
      <c r="H367" s="52" t="n"/>
    </row>
    <row r="368">
      <c r="B368" s="51" t="n"/>
      <c r="C368" s="51" t="n"/>
      <c r="D368" s="51" t="n"/>
      <c r="E368" s="51" t="n"/>
      <c r="F368" s="51" t="n"/>
      <c r="G368" s="51" t="n"/>
      <c r="H368" s="52" t="n"/>
    </row>
    <row r="369">
      <c r="B369" s="51" t="n"/>
      <c r="C369" s="51" t="n"/>
      <c r="D369" s="51" t="n"/>
      <c r="E369" s="51" t="n"/>
      <c r="F369" s="51" t="n"/>
      <c r="G369" s="51" t="n"/>
      <c r="H369" s="52" t="n"/>
    </row>
    <row r="370">
      <c r="B370" s="51" t="n"/>
      <c r="C370" s="51" t="n"/>
      <c r="D370" s="51" t="n"/>
      <c r="E370" s="51" t="n"/>
      <c r="F370" s="51" t="n"/>
      <c r="G370" s="51" t="n"/>
      <c r="H370" s="52" t="n"/>
    </row>
    <row r="371">
      <c r="B371" s="51" t="n"/>
      <c r="C371" s="51" t="n"/>
      <c r="D371" s="51" t="n"/>
      <c r="E371" s="51" t="n"/>
      <c r="F371" s="51" t="n"/>
      <c r="G371" s="51" t="n"/>
      <c r="H371" s="52" t="n"/>
    </row>
    <row r="372">
      <c r="B372" s="51" t="n"/>
      <c r="C372" s="51" t="n"/>
      <c r="D372" s="51" t="n"/>
      <c r="E372" s="51" t="n"/>
      <c r="F372" s="51" t="n"/>
      <c r="G372" s="51" t="n"/>
      <c r="H372" s="52" t="n"/>
    </row>
    <row r="373">
      <c r="B373" s="51" t="n"/>
      <c r="C373" s="51" t="n"/>
      <c r="D373" s="51" t="n"/>
      <c r="E373" s="51" t="n"/>
      <c r="F373" s="51" t="n"/>
      <c r="G373" s="51" t="n"/>
      <c r="H373" s="52" t="n"/>
    </row>
    <row r="374">
      <c r="B374" s="51" t="n"/>
      <c r="C374" s="51" t="n"/>
      <c r="D374" s="51" t="n"/>
      <c r="E374" s="51" t="n"/>
      <c r="F374" s="51" t="n"/>
      <c r="G374" s="51" t="n"/>
      <c r="H374" s="52" t="n"/>
    </row>
    <row r="375">
      <c r="B375" s="51" t="n"/>
      <c r="C375" s="51" t="n"/>
      <c r="D375" s="51" t="n"/>
      <c r="E375" s="51" t="n"/>
      <c r="F375" s="51" t="n"/>
      <c r="G375" s="51" t="n"/>
      <c r="H375" s="52" t="n"/>
    </row>
    <row r="376">
      <c r="B376" s="51" t="n"/>
      <c r="C376" s="51" t="n"/>
      <c r="D376" s="51" t="n"/>
      <c r="E376" s="51" t="n"/>
      <c r="F376" s="51" t="n"/>
      <c r="G376" s="51" t="n"/>
      <c r="H376" s="52" t="n"/>
    </row>
    <row r="377">
      <c r="B377" s="51" t="n"/>
      <c r="C377" s="51" t="n"/>
      <c r="D377" s="51" t="n"/>
      <c r="E377" s="51" t="n"/>
      <c r="F377" s="51" t="n"/>
      <c r="G377" s="51" t="n"/>
      <c r="H377" s="52" t="n"/>
    </row>
    <row r="378">
      <c r="B378" s="51" t="n"/>
      <c r="C378" s="51" t="n"/>
      <c r="D378" s="51" t="n"/>
      <c r="E378" s="51" t="n"/>
      <c r="F378" s="51" t="n"/>
      <c r="G378" s="51" t="n"/>
      <c r="H378" s="52" t="n"/>
    </row>
    <row r="379">
      <c r="B379" s="51" t="n"/>
      <c r="C379" s="51" t="n"/>
      <c r="D379" s="51" t="n"/>
      <c r="E379" s="51" t="n"/>
      <c r="F379" s="51" t="n"/>
      <c r="G379" s="51" t="n"/>
      <c r="H379" s="52" t="n"/>
    </row>
    <row r="380">
      <c r="B380" s="51" t="n"/>
      <c r="C380" s="51" t="n"/>
      <c r="D380" s="51" t="n"/>
      <c r="E380" s="51" t="n"/>
      <c r="F380" s="51" t="n"/>
      <c r="G380" s="51" t="n"/>
      <c r="H380" s="52" t="n"/>
    </row>
    <row r="381">
      <c r="B381" s="51" t="n"/>
      <c r="C381" s="51" t="n"/>
      <c r="D381" s="51" t="n"/>
      <c r="E381" s="51" t="n"/>
      <c r="F381" s="51" t="n"/>
      <c r="G381" s="51" t="n"/>
      <c r="H381" s="52" t="n"/>
    </row>
    <row r="382">
      <c r="B382" s="51" t="n"/>
      <c r="C382" s="51" t="n"/>
      <c r="D382" s="51" t="n"/>
      <c r="E382" s="51" t="n"/>
      <c r="F382" s="51" t="n"/>
      <c r="G382" s="51" t="n"/>
      <c r="H382" s="52" t="n"/>
    </row>
    <row r="383">
      <c r="B383" s="51" t="n"/>
      <c r="C383" s="51" t="n"/>
      <c r="D383" s="51" t="n"/>
      <c r="E383" s="51" t="n"/>
      <c r="F383" s="51" t="n"/>
      <c r="G383" s="51" t="n"/>
      <c r="H383" s="52" t="n"/>
    </row>
    <row r="384">
      <c r="B384" s="51" t="n"/>
      <c r="C384" s="51" t="n"/>
      <c r="D384" s="51" t="n"/>
      <c r="E384" s="51" t="n"/>
      <c r="F384" s="51" t="n"/>
      <c r="G384" s="51" t="n"/>
      <c r="H384" s="52" t="n"/>
    </row>
    <row r="385">
      <c r="B385" s="51" t="n"/>
      <c r="C385" s="51" t="n"/>
      <c r="D385" s="51" t="n"/>
      <c r="E385" s="51" t="n"/>
      <c r="F385" s="51" t="n"/>
      <c r="G385" s="51" t="n"/>
      <c r="H385" s="52" t="n"/>
    </row>
    <row r="386">
      <c r="B386" s="51" t="n"/>
      <c r="C386" s="51" t="n"/>
      <c r="D386" s="51" t="n"/>
      <c r="E386" s="51" t="n"/>
      <c r="F386" s="51" t="n"/>
      <c r="G386" s="51" t="n"/>
      <c r="H386" s="52" t="n"/>
    </row>
    <row r="387">
      <c r="B387" s="51" t="n"/>
      <c r="C387" s="51" t="n"/>
      <c r="D387" s="51" t="n"/>
      <c r="E387" s="51" t="n"/>
      <c r="F387" s="51" t="n"/>
      <c r="G387" s="51" t="n"/>
      <c r="H387" s="52" t="n"/>
    </row>
    <row r="388">
      <c r="B388" s="51" t="n"/>
      <c r="C388" s="51" t="n"/>
      <c r="D388" s="51" t="n"/>
      <c r="E388" s="51" t="n"/>
      <c r="F388" s="51" t="n"/>
      <c r="G388" s="51" t="n"/>
      <c r="H388" s="52" t="n"/>
    </row>
    <row r="389">
      <c r="B389" s="51" t="n"/>
      <c r="C389" s="51" t="n"/>
      <c r="D389" s="51" t="n"/>
      <c r="E389" s="51" t="n"/>
      <c r="F389" s="51" t="n"/>
      <c r="G389" s="51" t="n"/>
      <c r="H389" s="52" t="n"/>
    </row>
    <row r="390">
      <c r="B390" s="51" t="n"/>
      <c r="C390" s="51" t="n"/>
      <c r="D390" s="51" t="n"/>
      <c r="E390" s="51" t="n"/>
      <c r="F390" s="51" t="n"/>
      <c r="G390" s="51" t="n"/>
      <c r="H390" s="52" t="n"/>
    </row>
    <row r="391">
      <c r="B391" s="51" t="n"/>
      <c r="C391" s="51" t="n"/>
      <c r="D391" s="51" t="n"/>
      <c r="E391" s="51" t="n"/>
      <c r="F391" s="51" t="n"/>
      <c r="G391" s="51" t="n"/>
      <c r="H391" s="52" t="n"/>
    </row>
    <row r="392">
      <c r="B392" s="51" t="n"/>
      <c r="C392" s="51" t="n"/>
      <c r="D392" s="51" t="n"/>
      <c r="E392" s="51" t="n"/>
      <c r="F392" s="51" t="n"/>
      <c r="G392" s="51" t="n"/>
      <c r="H392" s="52" t="n"/>
    </row>
    <row r="393">
      <c r="B393" s="51" t="n"/>
      <c r="C393" s="51" t="n"/>
      <c r="D393" s="51" t="n"/>
      <c r="E393" s="51" t="n"/>
      <c r="F393" s="51" t="n"/>
      <c r="G393" s="51" t="n"/>
      <c r="H393" s="52" t="n"/>
    </row>
    <row r="394">
      <c r="B394" s="51" t="n"/>
      <c r="C394" s="51" t="n"/>
      <c r="D394" s="51" t="n"/>
      <c r="E394" s="51" t="n"/>
      <c r="F394" s="51" t="n"/>
      <c r="G394" s="51" t="n"/>
      <c r="H394" s="52" t="n"/>
    </row>
    <row r="395">
      <c r="B395" s="51" t="n"/>
      <c r="C395" s="51" t="n"/>
      <c r="D395" s="51" t="n"/>
      <c r="E395" s="51" t="n"/>
      <c r="F395" s="51" t="n"/>
      <c r="G395" s="51" t="n"/>
      <c r="H395" s="52" t="n"/>
    </row>
    <row r="396">
      <c r="B396" s="51" t="n"/>
      <c r="C396" s="51" t="n"/>
      <c r="D396" s="51" t="n"/>
      <c r="E396" s="51" t="n"/>
      <c r="F396" s="51" t="n"/>
      <c r="G396" s="51" t="n"/>
      <c r="H396" s="52" t="n"/>
    </row>
    <row r="397">
      <c r="B397" s="51" t="n"/>
      <c r="C397" s="51" t="n"/>
      <c r="D397" s="51" t="n"/>
      <c r="E397" s="51" t="n"/>
      <c r="F397" s="51" t="n"/>
      <c r="G397" s="51" t="n"/>
      <c r="H397" s="52" t="n"/>
    </row>
    <row r="398">
      <c r="B398" s="51" t="n"/>
      <c r="C398" s="51" t="n"/>
      <c r="D398" s="51" t="n"/>
      <c r="E398" s="51" t="n"/>
      <c r="F398" s="51" t="n"/>
      <c r="G398" s="51" t="n"/>
      <c r="H398" s="52" t="n"/>
    </row>
    <row r="399">
      <c r="B399" s="51" t="n"/>
      <c r="C399" s="51" t="n"/>
      <c r="D399" s="51" t="n"/>
      <c r="E399" s="51" t="n"/>
      <c r="F399" s="51" t="n"/>
      <c r="G399" s="51" t="n"/>
      <c r="H399" s="52" t="n"/>
    </row>
    <row r="400">
      <c r="B400" s="51" t="n"/>
      <c r="C400" s="51" t="n"/>
      <c r="D400" s="51" t="n"/>
      <c r="E400" s="51" t="n"/>
      <c r="F400" s="51" t="n"/>
      <c r="G400" s="51" t="n"/>
      <c r="H400" s="52" t="n"/>
    </row>
    <row r="401">
      <c r="B401" s="51" t="n"/>
      <c r="C401" s="51" t="n"/>
      <c r="D401" s="51" t="n"/>
      <c r="E401" s="51" t="n"/>
      <c r="F401" s="51" t="n"/>
      <c r="G401" s="51" t="n"/>
      <c r="H401" s="52" t="n"/>
    </row>
    <row r="402">
      <c r="B402" s="51" t="n"/>
      <c r="C402" s="51" t="n"/>
      <c r="D402" s="51" t="n"/>
      <c r="E402" s="51" t="n"/>
      <c r="F402" s="51" t="n"/>
      <c r="G402" s="51" t="n"/>
      <c r="H402" s="52" t="n"/>
    </row>
    <row r="403">
      <c r="B403" s="51" t="n"/>
      <c r="C403" s="51" t="n"/>
      <c r="D403" s="51" t="n"/>
      <c r="E403" s="51" t="n"/>
      <c r="F403" s="51" t="n"/>
      <c r="G403" s="51" t="n"/>
      <c r="H403" s="52" t="n"/>
    </row>
    <row r="404">
      <c r="B404" s="51" t="n"/>
      <c r="C404" s="51" t="n"/>
      <c r="D404" s="51" t="n"/>
      <c r="E404" s="51" t="n"/>
      <c r="F404" s="51" t="n"/>
      <c r="G404" s="51" t="n"/>
      <c r="H404" s="52" t="n"/>
    </row>
    <row r="405">
      <c r="B405" s="51" t="n"/>
      <c r="C405" s="51" t="n"/>
      <c r="D405" s="51" t="n"/>
      <c r="E405" s="51" t="n"/>
      <c r="F405" s="51" t="n"/>
      <c r="G405" s="51" t="n"/>
      <c r="H405" s="52" t="n"/>
    </row>
    <row r="406">
      <c r="B406" s="51" t="n"/>
      <c r="C406" s="51" t="n"/>
      <c r="D406" s="51" t="n"/>
      <c r="E406" s="51" t="n"/>
      <c r="F406" s="51" t="n"/>
      <c r="G406" s="51" t="n"/>
      <c r="H406" s="52" t="n"/>
    </row>
    <row r="407">
      <c r="B407" s="51" t="n"/>
      <c r="C407" s="51" t="n"/>
      <c r="D407" s="51" t="n"/>
      <c r="E407" s="51" t="n"/>
      <c r="F407" s="51" t="n"/>
      <c r="G407" s="51" t="n"/>
      <c r="H407" s="52" t="n"/>
    </row>
    <row r="408">
      <c r="B408" s="51" t="n"/>
      <c r="C408" s="51" t="n"/>
      <c r="D408" s="51" t="n"/>
      <c r="E408" s="51" t="n"/>
      <c r="F408" s="51" t="n"/>
      <c r="G408" s="51" t="n"/>
      <c r="H408" s="52" t="n"/>
    </row>
    <row r="409">
      <c r="B409" s="51" t="n"/>
      <c r="C409" s="51" t="n"/>
      <c r="D409" s="51" t="n"/>
      <c r="E409" s="51" t="n"/>
      <c r="F409" s="51" t="n"/>
      <c r="G409" s="51" t="n"/>
      <c r="H409" s="52" t="n"/>
    </row>
    <row r="410">
      <c r="B410" s="51" t="n"/>
      <c r="C410" s="51" t="n"/>
      <c r="D410" s="51" t="n"/>
      <c r="E410" s="51" t="n"/>
      <c r="F410" s="51" t="n"/>
      <c r="G410" s="51" t="n"/>
      <c r="H410" s="52" t="n"/>
    </row>
    <row r="411">
      <c r="B411" s="51" t="n"/>
      <c r="C411" s="51" t="n"/>
      <c r="D411" s="51" t="n"/>
      <c r="E411" s="51" t="n"/>
      <c r="F411" s="51" t="n"/>
      <c r="G411" s="51" t="n"/>
      <c r="H411" s="52" t="n"/>
    </row>
    <row r="412">
      <c r="B412" s="51" t="n"/>
      <c r="C412" s="51" t="n"/>
      <c r="D412" s="51" t="n"/>
      <c r="E412" s="51" t="n"/>
      <c r="F412" s="51" t="n"/>
      <c r="G412" s="51" t="n"/>
      <c r="H412" s="52" t="n"/>
    </row>
    <row r="413">
      <c r="B413" s="51" t="n"/>
      <c r="C413" s="51" t="n"/>
      <c r="D413" s="51" t="n"/>
      <c r="E413" s="51" t="n"/>
      <c r="F413" s="51" t="n"/>
      <c r="G413" s="51" t="n"/>
      <c r="H413" s="52" t="n"/>
    </row>
    <row r="414">
      <c r="B414" s="51" t="n"/>
      <c r="C414" s="51" t="n"/>
      <c r="D414" s="51" t="n"/>
      <c r="E414" s="51" t="n"/>
      <c r="F414" s="51" t="n"/>
      <c r="G414" s="51" t="n"/>
      <c r="H414" s="52" t="n"/>
    </row>
    <row r="415">
      <c r="B415" s="51" t="n"/>
      <c r="C415" s="51" t="n"/>
      <c r="D415" s="51" t="n"/>
      <c r="E415" s="51" t="n"/>
      <c r="F415" s="51" t="n"/>
      <c r="G415" s="51" t="n"/>
      <c r="H415" s="52" t="n"/>
    </row>
    <row r="416">
      <c r="B416" s="51" t="n"/>
      <c r="C416" s="51" t="n"/>
      <c r="D416" s="51" t="n"/>
      <c r="E416" s="51" t="n"/>
      <c r="F416" s="51" t="n"/>
      <c r="G416" s="51" t="n"/>
      <c r="H416" s="52" t="n"/>
    </row>
    <row r="417">
      <c r="B417" s="51" t="n"/>
      <c r="C417" s="51" t="n"/>
      <c r="D417" s="51" t="n"/>
      <c r="E417" s="51" t="n"/>
      <c r="F417" s="51" t="n"/>
      <c r="G417" s="51" t="n"/>
      <c r="H417" s="52" t="n"/>
    </row>
    <row r="418">
      <c r="B418" s="51" t="n"/>
      <c r="C418" s="51" t="n"/>
      <c r="D418" s="51" t="n"/>
      <c r="E418" s="51" t="n"/>
      <c r="F418" s="51" t="n"/>
      <c r="G418" s="51" t="n"/>
      <c r="H418" s="52" t="n"/>
    </row>
    <row r="419">
      <c r="B419" s="51" t="n"/>
      <c r="C419" s="51" t="n"/>
      <c r="D419" s="51" t="n"/>
      <c r="E419" s="51" t="n"/>
      <c r="F419" s="51" t="n"/>
      <c r="G419" s="51" t="n"/>
      <c r="H419" s="52" t="n"/>
    </row>
    <row r="420">
      <c r="B420" s="51" t="n"/>
      <c r="C420" s="51" t="n"/>
      <c r="D420" s="51" t="n"/>
      <c r="E420" s="51" t="n"/>
      <c r="F420" s="51" t="n"/>
      <c r="G420" s="51" t="n"/>
      <c r="H420" s="52" t="n"/>
    </row>
    <row r="421">
      <c r="B421" s="51" t="n"/>
      <c r="C421" s="51" t="n"/>
      <c r="D421" s="51" t="n"/>
      <c r="E421" s="51" t="n"/>
      <c r="F421" s="51" t="n"/>
      <c r="G421" s="51" t="n"/>
      <c r="H421" s="52" t="n"/>
    </row>
    <row r="422">
      <c r="B422" s="51" t="n"/>
      <c r="C422" s="51" t="n"/>
      <c r="D422" s="51" t="n"/>
      <c r="E422" s="51" t="n"/>
      <c r="F422" s="51" t="n"/>
      <c r="G422" s="51" t="n"/>
      <c r="H422" s="52" t="n"/>
    </row>
    <row r="423">
      <c r="B423" s="51" t="n"/>
      <c r="C423" s="51" t="n"/>
      <c r="D423" s="51" t="n"/>
      <c r="E423" s="51" t="n"/>
      <c r="F423" s="51" t="n"/>
      <c r="G423" s="51" t="n"/>
      <c r="H423" s="52" t="n"/>
    </row>
    <row r="424">
      <c r="B424" s="51" t="n"/>
      <c r="C424" s="51" t="n"/>
      <c r="D424" s="51" t="n"/>
      <c r="E424" s="51" t="n"/>
      <c r="F424" s="51" t="n"/>
      <c r="G424" s="51" t="n"/>
      <c r="H424" s="52" t="n"/>
    </row>
    <row r="425">
      <c r="B425" s="51" t="n"/>
      <c r="C425" s="51" t="n"/>
      <c r="D425" s="51" t="n"/>
      <c r="E425" s="51" t="n"/>
      <c r="F425" s="51" t="n"/>
      <c r="G425" s="51" t="n"/>
      <c r="H425" s="52" t="n"/>
    </row>
    <row r="426">
      <c r="B426" s="51" t="n"/>
      <c r="C426" s="51" t="n"/>
      <c r="D426" s="51" t="n"/>
      <c r="E426" s="51" t="n"/>
      <c r="F426" s="51" t="n"/>
      <c r="G426" s="51" t="n"/>
      <c r="H426" s="52" t="n"/>
    </row>
    <row r="427">
      <c r="B427" s="51" t="n"/>
      <c r="C427" s="51" t="n"/>
      <c r="D427" s="51" t="n"/>
      <c r="E427" s="51" t="n"/>
      <c r="F427" s="51" t="n"/>
      <c r="G427" s="51" t="n"/>
      <c r="H427" s="52" t="n"/>
    </row>
    <row r="428">
      <c r="B428" s="51" t="n"/>
      <c r="C428" s="51" t="n"/>
      <c r="D428" s="51" t="n"/>
      <c r="E428" s="51" t="n"/>
      <c r="F428" s="51" t="n"/>
      <c r="G428" s="51" t="n"/>
      <c r="H428" s="52" t="n"/>
    </row>
    <row r="429">
      <c r="B429" s="51" t="n"/>
      <c r="C429" s="51" t="n"/>
      <c r="D429" s="51" t="n"/>
      <c r="E429" s="51" t="n"/>
      <c r="F429" s="51" t="n"/>
      <c r="G429" s="51" t="n"/>
      <c r="H429" s="52" t="n"/>
    </row>
    <row r="430">
      <c r="B430" s="51" t="n"/>
      <c r="C430" s="51" t="n"/>
      <c r="D430" s="51" t="n"/>
      <c r="E430" s="51" t="n"/>
      <c r="F430" s="51" t="n"/>
      <c r="G430" s="51" t="n"/>
      <c r="H430" s="52" t="n"/>
    </row>
    <row r="431">
      <c r="B431" s="51" t="n"/>
      <c r="C431" s="51" t="n"/>
      <c r="D431" s="51" t="n"/>
      <c r="E431" s="51" t="n"/>
      <c r="F431" s="51" t="n"/>
      <c r="G431" s="51" t="n"/>
      <c r="H431" s="52" t="n"/>
    </row>
    <row r="432">
      <c r="B432" s="51" t="n"/>
      <c r="C432" s="51" t="n"/>
      <c r="D432" s="51" t="n"/>
      <c r="E432" s="51" t="n"/>
      <c r="F432" s="51" t="n"/>
      <c r="G432" s="51" t="n"/>
      <c r="H432" s="52" t="n"/>
    </row>
    <row r="433">
      <c r="B433" s="51" t="n"/>
      <c r="C433" s="51" t="n"/>
      <c r="D433" s="51" t="n"/>
      <c r="E433" s="51" t="n"/>
      <c r="F433" s="51" t="n"/>
      <c r="G433" s="51" t="n"/>
      <c r="H433" s="52" t="n"/>
    </row>
    <row r="434">
      <c r="B434" s="51" t="n"/>
      <c r="C434" s="51" t="n"/>
      <c r="D434" s="51" t="n"/>
      <c r="E434" s="51" t="n"/>
      <c r="F434" s="51" t="n"/>
      <c r="G434" s="51" t="n"/>
      <c r="H434" s="52" t="n"/>
    </row>
    <row r="435">
      <c r="B435" s="51" t="n"/>
      <c r="C435" s="51" t="n"/>
      <c r="D435" s="51" t="n"/>
      <c r="E435" s="51" t="n"/>
      <c r="F435" s="51" t="n"/>
      <c r="G435" s="51" t="n"/>
      <c r="H435" s="52" t="n"/>
    </row>
    <row r="436">
      <c r="B436" s="51" t="n"/>
      <c r="C436" s="51" t="n"/>
      <c r="D436" s="51" t="n"/>
      <c r="E436" s="51" t="n"/>
      <c r="F436" s="51" t="n"/>
      <c r="G436" s="51" t="n"/>
      <c r="H436" s="52" t="n"/>
    </row>
    <row r="437">
      <c r="B437" s="51" t="n"/>
      <c r="C437" s="51" t="n"/>
      <c r="D437" s="51" t="n"/>
      <c r="E437" s="51" t="n"/>
      <c r="F437" s="51" t="n"/>
      <c r="G437" s="51" t="n"/>
      <c r="H437" s="52" t="n"/>
    </row>
    <row r="438">
      <c r="B438" s="51" t="n"/>
      <c r="C438" s="51" t="n"/>
      <c r="D438" s="51" t="n"/>
      <c r="E438" s="51" t="n"/>
      <c r="F438" s="51" t="n"/>
      <c r="G438" s="51" t="n"/>
      <c r="H438" s="52" t="n"/>
    </row>
    <row r="439">
      <c r="B439" s="51" t="n"/>
      <c r="C439" s="51" t="n"/>
      <c r="D439" s="51" t="n"/>
      <c r="E439" s="51" t="n"/>
      <c r="F439" s="51" t="n"/>
      <c r="G439" s="51" t="n"/>
      <c r="H439" s="52" t="n"/>
    </row>
    <row r="440">
      <c r="B440" s="51" t="n"/>
      <c r="C440" s="51" t="n"/>
      <c r="D440" s="51" t="n"/>
      <c r="E440" s="51" t="n"/>
      <c r="F440" s="51" t="n"/>
      <c r="G440" s="51" t="n"/>
      <c r="H440" s="52" t="n"/>
    </row>
    <row r="441">
      <c r="B441" s="51" t="n"/>
      <c r="C441" s="51" t="n"/>
      <c r="D441" s="51" t="n"/>
      <c r="E441" s="51" t="n"/>
      <c r="F441" s="51" t="n"/>
      <c r="G441" s="51" t="n"/>
      <c r="H441" s="52" t="n"/>
    </row>
    <row r="442">
      <c r="B442" s="51" t="n"/>
      <c r="C442" s="51" t="n"/>
      <c r="D442" s="51" t="n"/>
      <c r="E442" s="51" t="n"/>
      <c r="F442" s="51" t="n"/>
      <c r="G442" s="51" t="n"/>
      <c r="H442" s="52" t="n"/>
    </row>
    <row r="443">
      <c r="B443" s="51" t="n"/>
      <c r="C443" s="51" t="n"/>
      <c r="D443" s="51" t="n"/>
      <c r="E443" s="51" t="n"/>
      <c r="F443" s="51" t="n"/>
      <c r="G443" s="51" t="n"/>
      <c r="H443" s="52" t="n"/>
    </row>
    <row r="444">
      <c r="B444" s="51" t="n"/>
      <c r="C444" s="51" t="n"/>
      <c r="D444" s="51" t="n"/>
      <c r="E444" s="51" t="n"/>
      <c r="F444" s="51" t="n"/>
      <c r="G444" s="51" t="n"/>
      <c r="H444" s="52" t="n"/>
    </row>
    <row r="445">
      <c r="B445" s="51" t="n"/>
      <c r="C445" s="51" t="n"/>
      <c r="D445" s="51" t="n"/>
      <c r="E445" s="51" t="n"/>
      <c r="F445" s="51" t="n"/>
      <c r="G445" s="51" t="n"/>
      <c r="H445" s="52" t="n"/>
    </row>
    <row r="446">
      <c r="B446" s="51" t="n"/>
      <c r="C446" s="51" t="n"/>
      <c r="D446" s="51" t="n"/>
      <c r="E446" s="51" t="n"/>
      <c r="F446" s="51" t="n"/>
      <c r="G446" s="51" t="n"/>
      <c r="H446" s="52" t="n"/>
    </row>
    <row r="447">
      <c r="B447" s="51" t="n"/>
      <c r="C447" s="51" t="n"/>
      <c r="D447" s="51" t="n"/>
      <c r="E447" s="51" t="n"/>
      <c r="F447" s="51" t="n"/>
      <c r="G447" s="51" t="n"/>
      <c r="H447" s="52" t="n"/>
    </row>
    <row r="448">
      <c r="B448" s="51" t="n"/>
      <c r="C448" s="51" t="n"/>
      <c r="D448" s="51" t="n"/>
      <c r="E448" s="51" t="n"/>
      <c r="F448" s="51" t="n"/>
      <c r="G448" s="51" t="n"/>
      <c r="H448" s="52" t="n"/>
    </row>
    <row r="449">
      <c r="B449" s="51" t="n"/>
      <c r="C449" s="51" t="n"/>
      <c r="D449" s="51" t="n"/>
      <c r="E449" s="51" t="n"/>
      <c r="F449" s="51" t="n"/>
      <c r="G449" s="51" t="n"/>
      <c r="H449" s="52" t="n"/>
    </row>
    <row r="450">
      <c r="B450" s="51" t="n"/>
      <c r="C450" s="51" t="n"/>
      <c r="D450" s="51" t="n"/>
      <c r="E450" s="51" t="n"/>
      <c r="F450" s="51" t="n"/>
      <c r="G450" s="51" t="n"/>
      <c r="H450" s="52" t="n"/>
    </row>
    <row r="451">
      <c r="B451" s="51" t="n"/>
      <c r="C451" s="51" t="n"/>
      <c r="D451" s="51" t="n"/>
      <c r="E451" s="51" t="n"/>
      <c r="F451" s="51" t="n"/>
      <c r="G451" s="51" t="n"/>
      <c r="H451" s="52" t="n"/>
    </row>
    <row r="452">
      <c r="B452" s="51" t="n"/>
      <c r="C452" s="51" t="n"/>
      <c r="D452" s="51" t="n"/>
      <c r="E452" s="51" t="n"/>
      <c r="F452" s="51" t="n"/>
      <c r="G452" s="51" t="n"/>
      <c r="H452" s="52" t="n"/>
    </row>
    <row r="453">
      <c r="B453" s="51" t="n"/>
      <c r="C453" s="51" t="n"/>
      <c r="D453" s="51" t="n"/>
      <c r="E453" s="51" t="n"/>
      <c r="F453" s="51" t="n"/>
      <c r="G453" s="51" t="n"/>
      <c r="H453" s="52" t="n"/>
    </row>
    <row r="454">
      <c r="B454" s="51" t="n"/>
      <c r="C454" s="51" t="n"/>
      <c r="D454" s="51" t="n"/>
      <c r="E454" s="51" t="n"/>
      <c r="F454" s="51" t="n"/>
      <c r="G454" s="51" t="n"/>
      <c r="H454" s="52" t="n"/>
    </row>
    <row r="455">
      <c r="B455" s="51" t="n"/>
      <c r="C455" s="51" t="n"/>
      <c r="D455" s="51" t="n"/>
      <c r="E455" s="51" t="n"/>
      <c r="F455" s="51" t="n"/>
      <c r="G455" s="51" t="n"/>
      <c r="H455" s="52" t="n"/>
    </row>
    <row r="456">
      <c r="B456" s="51" t="n"/>
      <c r="C456" s="51" t="n"/>
      <c r="D456" s="51" t="n"/>
      <c r="E456" s="51" t="n"/>
      <c r="F456" s="51" t="n"/>
      <c r="G456" s="51" t="n"/>
      <c r="H456" s="52" t="n"/>
    </row>
    <row r="457">
      <c r="B457" s="51" t="n"/>
      <c r="C457" s="51" t="n"/>
      <c r="D457" s="51" t="n"/>
      <c r="E457" s="51" t="n"/>
      <c r="F457" s="51" t="n"/>
      <c r="G457" s="51" t="n"/>
      <c r="H457" s="52" t="n"/>
    </row>
    <row r="458">
      <c r="B458" s="51" t="n"/>
      <c r="C458" s="51" t="n"/>
      <c r="D458" s="51" t="n"/>
      <c r="E458" s="51" t="n"/>
      <c r="F458" s="51" t="n"/>
      <c r="G458" s="51" t="n"/>
      <c r="H458" s="52" t="n"/>
    </row>
    <row r="459">
      <c r="B459" s="51" t="n"/>
      <c r="C459" s="51" t="n"/>
      <c r="D459" s="51" t="n"/>
      <c r="E459" s="51" t="n"/>
      <c r="F459" s="51" t="n"/>
      <c r="G459" s="51" t="n"/>
      <c r="H459" s="52" t="n"/>
    </row>
    <row r="460">
      <c r="B460" s="51" t="n"/>
      <c r="C460" s="51" t="n"/>
      <c r="D460" s="51" t="n"/>
      <c r="E460" s="51" t="n"/>
      <c r="F460" s="51" t="n"/>
      <c r="G460" s="51" t="n"/>
      <c r="H460" s="52" t="n"/>
    </row>
    <row r="461">
      <c r="B461" s="51" t="n"/>
      <c r="C461" s="51" t="n"/>
      <c r="D461" s="51" t="n"/>
      <c r="E461" s="51" t="n"/>
      <c r="F461" s="51" t="n"/>
      <c r="G461" s="51" t="n"/>
      <c r="H461" s="52" t="n"/>
    </row>
    <row r="462">
      <c r="B462" s="51" t="n"/>
      <c r="C462" s="51" t="n"/>
      <c r="D462" s="51" t="n"/>
      <c r="E462" s="51" t="n"/>
      <c r="F462" s="51" t="n"/>
      <c r="G462" s="51" t="n"/>
      <c r="H462" s="52" t="n"/>
    </row>
    <row r="463">
      <c r="B463" s="51" t="n"/>
      <c r="C463" s="51" t="n"/>
      <c r="D463" s="51" t="n"/>
      <c r="E463" s="51" t="n"/>
      <c r="F463" s="51" t="n"/>
      <c r="G463" s="51" t="n"/>
      <c r="H463" s="52" t="n"/>
    </row>
    <row r="464">
      <c r="B464" s="51" t="n"/>
      <c r="C464" s="51" t="n"/>
      <c r="D464" s="51" t="n"/>
      <c r="E464" s="51" t="n"/>
      <c r="F464" s="51" t="n"/>
      <c r="G464" s="51" t="n"/>
      <c r="H464" s="52" t="n"/>
    </row>
    <row r="465">
      <c r="B465" s="51" t="n"/>
      <c r="C465" s="51" t="n"/>
      <c r="D465" s="51" t="n"/>
      <c r="E465" s="51" t="n"/>
      <c r="F465" s="51" t="n"/>
      <c r="G465" s="51" t="n"/>
      <c r="H465" s="52" t="n"/>
    </row>
    <row r="466">
      <c r="B466" s="51" t="n"/>
      <c r="C466" s="51" t="n"/>
      <c r="D466" s="51" t="n"/>
      <c r="E466" s="51" t="n"/>
      <c r="F466" s="51" t="n"/>
      <c r="G466" s="51" t="n"/>
      <c r="H466" s="52" t="n"/>
    </row>
    <row r="467">
      <c r="B467" s="51" t="n"/>
      <c r="C467" s="51" t="n"/>
      <c r="D467" s="51" t="n"/>
      <c r="E467" s="51" t="n"/>
      <c r="F467" s="51" t="n"/>
      <c r="G467" s="51" t="n"/>
      <c r="H467" s="52" t="n"/>
    </row>
    <row r="468">
      <c r="B468" s="51" t="n"/>
      <c r="C468" s="51" t="n"/>
      <c r="D468" s="51" t="n"/>
      <c r="E468" s="51" t="n"/>
      <c r="F468" s="51" t="n"/>
      <c r="G468" s="51" t="n"/>
      <c r="H468" s="52" t="n"/>
    </row>
    <row r="469">
      <c r="B469" s="51" t="n"/>
      <c r="C469" s="51" t="n"/>
      <c r="D469" s="51" t="n"/>
      <c r="E469" s="51" t="n"/>
      <c r="F469" s="51" t="n"/>
      <c r="G469" s="51" t="n"/>
      <c r="H469" s="52" t="n"/>
    </row>
    <row r="470">
      <c r="B470" s="51" t="n"/>
      <c r="C470" s="51" t="n"/>
      <c r="D470" s="51" t="n"/>
      <c r="E470" s="51" t="n"/>
      <c r="F470" s="51" t="n"/>
      <c r="G470" s="51" t="n"/>
      <c r="H470" s="52" t="n"/>
    </row>
    <row r="471">
      <c r="B471" s="51" t="n"/>
      <c r="C471" s="51" t="n"/>
      <c r="D471" s="51" t="n"/>
      <c r="E471" s="51" t="n"/>
      <c r="F471" s="51" t="n"/>
      <c r="G471" s="51" t="n"/>
      <c r="H471" s="52" t="n"/>
    </row>
    <row r="472">
      <c r="B472" s="51" t="n"/>
      <c r="C472" s="51" t="n"/>
      <c r="D472" s="51" t="n"/>
      <c r="E472" s="51" t="n"/>
      <c r="F472" s="51" t="n"/>
      <c r="G472" s="51" t="n"/>
      <c r="H472" s="52" t="n"/>
    </row>
    <row r="473">
      <c r="B473" s="51" t="n"/>
      <c r="C473" s="51" t="n"/>
      <c r="D473" s="51" t="n"/>
      <c r="E473" s="51" t="n"/>
      <c r="F473" s="51" t="n"/>
      <c r="G473" s="51" t="n"/>
      <c r="H473" s="52" t="n"/>
    </row>
    <row r="474">
      <c r="B474" s="51" t="n"/>
      <c r="C474" s="51" t="n"/>
      <c r="D474" s="51" t="n"/>
      <c r="E474" s="51" t="n"/>
      <c r="F474" s="51" t="n"/>
      <c r="G474" s="51" t="n"/>
      <c r="H474" s="52" t="n"/>
    </row>
    <row r="475">
      <c r="B475" s="51" t="n"/>
      <c r="C475" s="51" t="n"/>
      <c r="D475" s="51" t="n"/>
      <c r="E475" s="51" t="n"/>
      <c r="F475" s="51" t="n"/>
      <c r="G475" s="51" t="n"/>
      <c r="H475" s="52" t="n"/>
    </row>
    <row r="476">
      <c r="B476" s="51" t="n"/>
      <c r="C476" s="51" t="n"/>
      <c r="D476" s="51" t="n"/>
      <c r="E476" s="51" t="n"/>
      <c r="F476" s="51" t="n"/>
      <c r="G476" s="51" t="n"/>
      <c r="H476" s="52" t="n"/>
    </row>
    <row r="477">
      <c r="B477" s="51" t="n"/>
      <c r="C477" s="51" t="n"/>
      <c r="D477" s="51" t="n"/>
      <c r="E477" s="51" t="n"/>
      <c r="F477" s="51" t="n"/>
      <c r="G477" s="51" t="n"/>
      <c r="H477" s="52" t="n"/>
    </row>
    <row r="478">
      <c r="B478" s="51" t="n"/>
      <c r="C478" s="51" t="n"/>
      <c r="D478" s="51" t="n"/>
      <c r="E478" s="51" t="n"/>
      <c r="F478" s="51" t="n"/>
      <c r="G478" s="51" t="n"/>
      <c r="H478" s="52" t="n"/>
    </row>
    <row r="479">
      <c r="B479" s="51" t="n"/>
      <c r="C479" s="51" t="n"/>
      <c r="D479" s="51" t="n"/>
      <c r="E479" s="51" t="n"/>
      <c r="F479" s="51" t="n"/>
      <c r="G479" s="51" t="n"/>
      <c r="H479" s="52" t="n"/>
    </row>
    <row r="480">
      <c r="B480" s="51" t="n"/>
      <c r="C480" s="51" t="n"/>
      <c r="D480" s="51" t="n"/>
      <c r="E480" s="51" t="n"/>
      <c r="F480" s="51" t="n"/>
      <c r="G480" s="51" t="n"/>
      <c r="H480" s="52" t="n"/>
    </row>
    <row r="481">
      <c r="B481" s="51" t="n"/>
      <c r="C481" s="51" t="n"/>
      <c r="D481" s="51" t="n"/>
      <c r="E481" s="51" t="n"/>
      <c r="F481" s="51" t="n"/>
      <c r="G481" s="51" t="n"/>
      <c r="H481" s="52" t="n"/>
    </row>
    <row r="482">
      <c r="B482" s="51" t="n"/>
      <c r="C482" s="51" t="n"/>
      <c r="D482" s="51" t="n"/>
      <c r="E482" s="51" t="n"/>
      <c r="F482" s="51" t="n"/>
      <c r="G482" s="51" t="n"/>
      <c r="H482" s="52" t="n"/>
    </row>
    <row r="483">
      <c r="B483" s="51" t="n"/>
      <c r="C483" s="51" t="n"/>
      <c r="D483" s="51" t="n"/>
      <c r="E483" s="51" t="n"/>
      <c r="F483" s="51" t="n"/>
      <c r="G483" s="51" t="n"/>
      <c r="H483" s="52" t="n"/>
    </row>
    <row r="484">
      <c r="B484" s="51" t="n"/>
      <c r="C484" s="51" t="n"/>
      <c r="D484" s="51" t="n"/>
      <c r="E484" s="51" t="n"/>
      <c r="F484" s="51" t="n"/>
      <c r="G484" s="51" t="n"/>
      <c r="H484" s="52" t="n"/>
    </row>
    <row r="485">
      <c r="B485" s="51" t="n"/>
      <c r="C485" s="51" t="n"/>
      <c r="D485" s="51" t="n"/>
      <c r="E485" s="51" t="n"/>
      <c r="F485" s="51" t="n"/>
      <c r="G485" s="51" t="n"/>
      <c r="H485" s="52" t="n"/>
    </row>
    <row r="486">
      <c r="B486" s="51" t="n"/>
      <c r="C486" s="51" t="n"/>
      <c r="D486" s="51" t="n"/>
      <c r="E486" s="51" t="n"/>
      <c r="F486" s="51" t="n"/>
      <c r="G486" s="51" t="n"/>
      <c r="H486" s="52" t="n"/>
    </row>
    <row r="487">
      <c r="B487" s="51" t="n"/>
      <c r="C487" s="51" t="n"/>
      <c r="D487" s="51" t="n"/>
      <c r="E487" s="51" t="n"/>
      <c r="F487" s="51" t="n"/>
      <c r="G487" s="51" t="n"/>
      <c r="H487" s="52" t="n"/>
    </row>
    <row r="488">
      <c r="B488" s="51" t="n"/>
      <c r="C488" s="51" t="n"/>
      <c r="D488" s="51" t="n"/>
      <c r="E488" s="51" t="n"/>
      <c r="F488" s="51" t="n"/>
      <c r="G488" s="51" t="n"/>
      <c r="H488" s="52" t="n"/>
    </row>
    <row r="489">
      <c r="B489" s="51" t="n"/>
      <c r="C489" s="51" t="n"/>
      <c r="D489" s="51" t="n"/>
      <c r="E489" s="51" t="n"/>
      <c r="F489" s="51" t="n"/>
      <c r="G489" s="51" t="n"/>
      <c r="H489" s="52" t="n"/>
    </row>
    <row r="490">
      <c r="B490" s="51" t="n"/>
      <c r="C490" s="51" t="n"/>
      <c r="D490" s="51" t="n"/>
      <c r="E490" s="51" t="n"/>
      <c r="F490" s="51" t="n"/>
      <c r="G490" s="51" t="n"/>
      <c r="H490" s="52" t="n"/>
    </row>
    <row r="491">
      <c r="B491" s="51" t="n"/>
      <c r="C491" s="51" t="n"/>
      <c r="D491" s="51" t="n"/>
      <c r="E491" s="51" t="n"/>
      <c r="F491" s="51" t="n"/>
      <c r="G491" s="51" t="n"/>
      <c r="H491" s="52" t="n"/>
    </row>
    <row r="492">
      <c r="B492" s="51" t="n"/>
      <c r="C492" s="51" t="n"/>
      <c r="D492" s="51" t="n"/>
      <c r="E492" s="51" t="n"/>
      <c r="F492" s="51" t="n"/>
      <c r="G492" s="51" t="n"/>
      <c r="H492" s="52" t="n"/>
    </row>
    <row r="493">
      <c r="B493" s="51" t="n"/>
      <c r="C493" s="51" t="n"/>
      <c r="D493" s="51" t="n"/>
      <c r="E493" s="51" t="n"/>
      <c r="F493" s="51" t="n"/>
      <c r="G493" s="51" t="n"/>
      <c r="H493" s="52" t="n"/>
    </row>
    <row r="494">
      <c r="B494" s="51" t="n"/>
      <c r="C494" s="51" t="n"/>
      <c r="D494" s="51" t="n"/>
      <c r="E494" s="51" t="n"/>
      <c r="F494" s="51" t="n"/>
      <c r="G494" s="51" t="n"/>
      <c r="H494" s="52" t="n"/>
    </row>
    <row r="495">
      <c r="B495" s="51" t="n"/>
      <c r="C495" s="51" t="n"/>
      <c r="D495" s="51" t="n"/>
      <c r="E495" s="51" t="n"/>
      <c r="F495" s="51" t="n"/>
      <c r="G495" s="51" t="n"/>
      <c r="H495" s="52" t="n"/>
    </row>
    <row r="496">
      <c r="B496" s="51" t="n"/>
      <c r="C496" s="51" t="n"/>
      <c r="D496" s="51" t="n"/>
      <c r="E496" s="51" t="n"/>
      <c r="F496" s="51" t="n"/>
      <c r="G496" s="51" t="n"/>
      <c r="H496" s="52" t="n"/>
    </row>
    <row r="497">
      <c r="B497" s="51" t="n"/>
      <c r="C497" s="51" t="n"/>
      <c r="D497" s="51" t="n"/>
      <c r="E497" s="51" t="n"/>
      <c r="F497" s="51" t="n"/>
      <c r="G497" s="51" t="n"/>
      <c r="H497" s="52" t="n"/>
    </row>
    <row r="498">
      <c r="B498" s="51" t="n"/>
      <c r="C498" s="51" t="n"/>
      <c r="D498" s="51" t="n"/>
      <c r="E498" s="51" t="n"/>
      <c r="F498" s="51" t="n"/>
      <c r="G498" s="51" t="n"/>
      <c r="H498" s="52" t="n"/>
    </row>
    <row r="499">
      <c r="B499" s="51" t="n"/>
      <c r="C499" s="51" t="n"/>
      <c r="D499" s="51" t="n"/>
      <c r="E499" s="51" t="n"/>
      <c r="F499" s="51" t="n"/>
      <c r="G499" s="51" t="n"/>
      <c r="H499" s="52" t="n"/>
    </row>
    <row r="500">
      <c r="B500" s="51" t="n"/>
      <c r="C500" s="51" t="n"/>
      <c r="D500" s="51" t="n"/>
      <c r="E500" s="51" t="n"/>
      <c r="F500" s="51" t="n"/>
      <c r="G500" s="51" t="n"/>
      <c r="H500" s="52" t="n"/>
    </row>
    <row r="501">
      <c r="B501" s="51" t="n"/>
      <c r="C501" s="51" t="n"/>
      <c r="D501" s="51" t="n"/>
      <c r="E501" s="51" t="n"/>
      <c r="F501" s="51" t="n"/>
      <c r="G501" s="51" t="n"/>
      <c r="H501" s="52" t="n"/>
    </row>
    <row r="502">
      <c r="B502" s="51" t="n"/>
      <c r="C502" s="51" t="n"/>
      <c r="D502" s="51" t="n"/>
      <c r="E502" s="51" t="n"/>
      <c r="F502" s="51" t="n"/>
      <c r="G502" s="51" t="n"/>
      <c r="H502" s="52" t="n"/>
    </row>
    <row r="503">
      <c r="B503" s="51" t="n"/>
      <c r="C503" s="51" t="n"/>
      <c r="D503" s="51" t="n"/>
      <c r="E503" s="51" t="n"/>
      <c r="F503" s="51" t="n"/>
      <c r="G503" s="51" t="n"/>
      <c r="H503" s="52" t="n"/>
    </row>
    <row r="504">
      <c r="B504" s="51" t="n"/>
      <c r="C504" s="51" t="n"/>
      <c r="D504" s="51" t="n"/>
      <c r="E504" s="51" t="n"/>
      <c r="F504" s="51" t="n"/>
      <c r="G504" s="51" t="n"/>
      <c r="H504" s="52" t="n"/>
    </row>
    <row r="505">
      <c r="B505" s="51" t="n"/>
      <c r="C505" s="51" t="n"/>
      <c r="D505" s="51" t="n"/>
      <c r="E505" s="51" t="n"/>
      <c r="F505" s="51" t="n"/>
      <c r="G505" s="51" t="n"/>
      <c r="H505" s="52" t="n"/>
    </row>
    <row r="506">
      <c r="B506" s="51" t="n"/>
      <c r="C506" s="51" t="n"/>
      <c r="D506" s="51" t="n"/>
      <c r="E506" s="51" t="n"/>
      <c r="F506" s="51" t="n"/>
      <c r="G506" s="51" t="n"/>
      <c r="H506" s="52" t="n"/>
    </row>
    <row r="507">
      <c r="B507" s="51" t="n"/>
      <c r="C507" s="51" t="n"/>
      <c r="D507" s="51" t="n"/>
      <c r="E507" s="51" t="n"/>
      <c r="F507" s="51" t="n"/>
      <c r="G507" s="51" t="n"/>
      <c r="H507" s="52" t="n"/>
    </row>
    <row r="508">
      <c r="B508" s="51" t="n"/>
      <c r="C508" s="51" t="n"/>
      <c r="D508" s="51" t="n"/>
      <c r="E508" s="51" t="n"/>
      <c r="F508" s="51" t="n"/>
      <c r="G508" s="51" t="n"/>
      <c r="H508" s="52" t="n"/>
    </row>
    <row r="509">
      <c r="B509" s="51" t="n"/>
      <c r="C509" s="51" t="n"/>
      <c r="D509" s="51" t="n"/>
      <c r="E509" s="51" t="n"/>
      <c r="F509" s="51" t="n"/>
      <c r="G509" s="51" t="n"/>
      <c r="H509" s="52" t="n"/>
    </row>
    <row r="510">
      <c r="B510" s="51" t="n"/>
      <c r="C510" s="51" t="n"/>
      <c r="D510" s="51" t="n"/>
      <c r="E510" s="51" t="n"/>
      <c r="F510" s="51" t="n"/>
      <c r="G510" s="51" t="n"/>
      <c r="H510" s="52" t="n"/>
    </row>
    <row r="511">
      <c r="B511" s="51" t="n"/>
      <c r="C511" s="51" t="n"/>
      <c r="D511" s="51" t="n"/>
      <c r="E511" s="51" t="n"/>
      <c r="F511" s="51" t="n"/>
      <c r="G511" s="51" t="n"/>
      <c r="H511" s="52" t="n"/>
    </row>
    <row r="512">
      <c r="B512" s="51" t="n"/>
      <c r="C512" s="51" t="n"/>
      <c r="D512" s="51" t="n"/>
      <c r="E512" s="51" t="n"/>
      <c r="F512" s="51" t="n"/>
      <c r="G512" s="51" t="n"/>
      <c r="H512" s="52" t="n"/>
    </row>
    <row r="513">
      <c r="B513" s="51" t="n"/>
      <c r="C513" s="51" t="n"/>
      <c r="D513" s="51" t="n"/>
      <c r="E513" s="51" t="n"/>
      <c r="F513" s="51" t="n"/>
      <c r="G513" s="51" t="n"/>
      <c r="H513" s="52" t="n"/>
    </row>
    <row r="514">
      <c r="B514" s="51" t="n"/>
      <c r="C514" s="51" t="n"/>
      <c r="D514" s="51" t="n"/>
      <c r="E514" s="51" t="n"/>
      <c r="F514" s="51" t="n"/>
      <c r="G514" s="51" t="n"/>
      <c r="H514" s="52" t="n"/>
    </row>
    <row r="515">
      <c r="B515" s="51" t="n"/>
      <c r="C515" s="51" t="n"/>
      <c r="D515" s="51" t="n"/>
      <c r="E515" s="51" t="n"/>
      <c r="F515" s="51" t="n"/>
      <c r="G515" s="51" t="n"/>
      <c r="H515" s="52" t="n"/>
    </row>
    <row r="516">
      <c r="B516" s="51" t="n"/>
      <c r="C516" s="51" t="n"/>
      <c r="D516" s="51" t="n"/>
      <c r="E516" s="51" t="n"/>
      <c r="F516" s="51" t="n"/>
      <c r="G516" s="51" t="n"/>
      <c r="H516" s="52" t="n"/>
    </row>
    <row r="517">
      <c r="B517" s="51" t="n"/>
      <c r="C517" s="51" t="n"/>
      <c r="D517" s="51" t="n"/>
      <c r="E517" s="51" t="n"/>
      <c r="F517" s="51" t="n"/>
      <c r="G517" s="51" t="n"/>
      <c r="H517" s="52" t="n"/>
    </row>
  </sheetData>
  <mergeCells count="8">
    <mergeCell ref="B8:C8"/>
    <mergeCell ref="D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E17:E517">
    <cfRule type="expression" priority="5" dxfId="6">
      <formula>AND(LEN($B17&amp;$C17&amp;$D17&amp;$E17&amp;$F17&amp;$G17&amp;$H17)&gt;0,E17="")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Employee number" prompt="Yes. Unique"/>
    <dataValidation sqref="C17:C517" showDropDown="0" showInputMessage="1" showErrorMessage="1" allowBlank="1" errorTitle="Full name" error="At most 120 characters." promptTitle="Full name" prompt="Yes. Name of the employee Allowed: Free entry, up to 120 characters" type="textLength" operator="lessThanOrEqual">
      <formula1>120</formula1>
    </dataValidation>
    <dataValidation sqref="D17:D517" showDropDown="0" showInputMessage="1" showErrorMessage="1" allowBlank="1" errorTitle="Branch code" error="The code is not in D0-02, column Branch code. Enter it there first, or keep it if it is a code BIBS already holds." promptTitle="Branch code" prompt="Yes. Home branch Allowed: A code of D0-02 Branches, column Branch code" type="list" errorStyle="warning">
      <formula1>=CODES_D0_02_BRANCH_CODE</formula1>
    </dataValidation>
    <dataValidation sqref="E17:E517" showDropDown="0" showInputMessage="1" showErrorMessage="1" allowBlank="1" errorTitle="Cost centre" error="The code is not in D0-04, column Code. Enter it there first, or keep it if it is a code BIBS already holds." promptTitle="Cost centre" prompt="Yes. Cost centre of the employee Allowed: A code of D0-04 Cost centres and business lines, column Code" type="list" errorStyle="warning">
      <formula1>=CODES_D0_04_CODE</formula1>
    </dataValidation>
    <dataValidation sqref="F17:F517" showDropDown="0" showInputMessage="1" showErrorMessage="0" allowBlank="1" promptTitle="Position" prompt="No. Position title"/>
    <dataValidation sqref="G17:G517" showDropDown="0" showInputMessage="1" showErrorMessage="0" allowBlank="1" promptTitle="E-mail" prompt="No. For advices and statements"/>
    <dataValidation sqref="H17:H517" showDropDown="0" showInputMessage="1" showErrorMessage="1" allowBlank="1" errorTitle="Hired on" error="Enter a date, for example 15-Jan-2028." promptTitle="Hired on" prompt="No. Date of hire Allowed: A date, for example 15-Jan-2028" type="date" operator="greaterThan">
      <formula1>DATE(1900,1,1)</formula1>
    </dataValidation>
  </dataValidations>
  <hyperlinks>
    <hyperlink ref="A2" location="'Start here'!A1"/>
    <hyperlink ref="H2" location="'Questions and comments'!A1"/>
    <hyperlink ref="B8" location="'D0-02 Branches'!A1"/>
    <hyperlink ref="D8" location="'D0-04 Dimensions'!A1"/>
    <hyperlink ref="D14" location="'D0-02 Branches'!B16"/>
    <hyperlink ref="E14" location="'D0-04 Dimension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Q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7" customWidth="1" min="3" max="3"/>
    <col width="28" customWidth="1" min="4" max="4"/>
    <col width="15" customWidth="1" min="5" max="5"/>
    <col width="12" customWidth="1" min="6" max="6"/>
    <col width="12" customWidth="1" min="7" max="7"/>
    <col width="13" customWidth="1" min="8" max="8"/>
    <col width="20" customWidth="1" min="9" max="9"/>
    <col width="20" customWidth="1" min="10" max="10"/>
    <col width="16" customWidth="1" min="11" max="11"/>
    <col width="19" customWidth="1" min="12" max="12"/>
    <col width="25" customWidth="1" min="13" max="13"/>
    <col width="25" customWidth="1" min="14" max="14"/>
    <col width="20" customWidth="1" min="15" max="15"/>
    <col width="14" customWidth="1" min="16" max="16"/>
    <col width="21" customWidth="1" min="17" max="17"/>
  </cols>
  <sheetData>
    <row r="1" ht="26" customHeight="1">
      <c r="A1" s="27" t="inlineStr">
        <is>
          <t>D0-06 Chart of accounts</t>
        </is>
      </c>
      <c r="Q1" s="28" t="inlineStr">
        <is>
          <t>Step 8 of 31</t>
        </is>
      </c>
    </row>
    <row r="2">
      <c r="A2" s="29" t="inlineStr">
        <is>
          <t>← Back to Start here</t>
        </is>
      </c>
      <c r="B2" s="30" t="inlineStr">
        <is>
          <t>Step 8 of 31. Fill in one row per record below the column headers; the guide above each column says what to enter.</t>
        </is>
      </c>
      <c r="Q2" s="31" t="inlineStr">
        <is>
          <t>Ask a question →</t>
        </is>
      </c>
    </row>
    <row r="3" outlineLevel="1" ht="15.5" customHeight="1">
      <c r="A3" s="32" t="inlineStr">
        <is>
          <t>Purpose</t>
        </is>
      </c>
      <c r="B3" s="33" t="inlineStr">
        <is>
          <t>The production chart of accounts, in the columns of the chart upload. List every parent before its children. Accounts are created pending authorization.</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Chart Upload (General Ledger): the file is checked row by row and every account is created pending authorisation by Comptrollership</t>
        </is>
      </c>
    </row>
    <row r="7" outlineLevel="1" ht="15.5" customHeight="1">
      <c r="A7" s="32" t="inlineStr">
        <is>
          <t>Source</t>
        </is>
      </c>
      <c r="B7" s="33" t="inlineStr">
        <is>
          <t>The BDOI chart of accounts in use, completed with the legacy control accounts (D0-09)</t>
        </is>
      </c>
    </row>
    <row r="8" outlineLevel="1" ht="26" customHeight="1">
      <c r="A8" s="32" t="inlineStr">
        <is>
          <t>Depends on</t>
        </is>
      </c>
      <c r="B8" s="55" t="inlineStr">
        <is>
          <t>D0-07 Account categories and numbering →</t>
        </is>
      </c>
    </row>
    <row r="9" ht="26" customHeight="1">
      <c r="A9" s="36" t="inlineStr">
        <is>
          <t>Progress</t>
        </is>
      </c>
      <c r="B9" s="37" t="inlineStr">
        <is>
          <t>Rows entered</t>
        </is>
      </c>
      <c r="C9" s="38">
        <f>SUMPRODUCT(((ROW($C$17:$C$517)&gt;17)+($C$17&lt;&gt;"1210.07")&gt;0)*(LEN($B$17:$B$517&amp;$C$17:$C$517&amp;$D$17:$D$517&amp;$E$17:$E$517&amp;$F$17:$F$517&amp;$G$17:$G$517&amp;$H$17:$H$517&amp;$I$17:$I$517&amp;$J$17:$J$517&amp;$K$17:$K$517&amp;$L$17:$L$517&amp;$M$17:$M$517&amp;$N$17:$N$517&amp;$O$17:$O$517&amp;$P$17:$P$517&amp;$Q$17:$Q$517)&gt;0))</f>
        <v/>
      </c>
      <c r="D9" s="37" t="inlineStr">
        <is>
          <t>Mandatory cells missing</t>
        </is>
      </c>
      <c r="E9" s="38">
        <f>SUMPRODUCT(((ROW($C$17:$C$517)&gt;17)+($C$17&lt;&gt;"1210.07")&gt;0)*(LEN($B$17:$B$517&amp;$C$17:$C$517&amp;$D$17:$D$517&amp;$E$17:$E$517&amp;$F$17:$F$517&amp;$G$17:$G$517&amp;$H$17:$H$517&amp;$I$17:$I$517&amp;$J$17:$J$517&amp;$K$17:$K$517&amp;$L$17:$L$517&amp;$M$17:$M$517&amp;$N$17:$N$517&amp;$O$17:$O$517&amp;$P$17:$P$517&amp;$Q$17:$Q$517)&gt;0)*(($D$17:$D$517="")+($F$17:$F$517="")+($G$17:$G$517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c r="L11" s="42" t="n"/>
      <c r="M11" s="42" t="n"/>
      <c r="N11" s="42" t="n"/>
      <c r="O11" s="42" t="n"/>
      <c r="P11" s="42" t="n"/>
      <c r="Q11" s="42" t="n"/>
    </row>
    <row r="12" ht="17" customHeight="1">
      <c r="A12" s="43" t="inlineStr">
        <is>
          <t>Mandatory</t>
        </is>
      </c>
      <c r="B12" s="45" t="inlineStr">
        <is>
          <t>No</t>
        </is>
      </c>
      <c r="C12" s="45" t="inlineStr">
        <is>
          <t>No</t>
        </is>
      </c>
      <c r="D12" s="44" t="inlineStr">
        <is>
          <t>Yes</t>
        </is>
      </c>
      <c r="E12" s="45" t="inlineStr">
        <is>
          <t>No</t>
        </is>
      </c>
      <c r="F12" s="44" t="inlineStr">
        <is>
          <t>Yes</t>
        </is>
      </c>
      <c r="G12" s="44" t="inlineStr">
        <is>
          <t>Yes</t>
        </is>
      </c>
      <c r="H12" s="45" t="inlineStr">
        <is>
          <t>No</t>
        </is>
      </c>
      <c r="I12" s="45" t="inlineStr">
        <is>
          <t>No</t>
        </is>
      </c>
      <c r="J12" s="45" t="inlineStr">
        <is>
          <t>No</t>
        </is>
      </c>
      <c r="K12" s="45" t="inlineStr">
        <is>
          <t>No</t>
        </is>
      </c>
      <c r="L12" s="45" t="inlineStr">
        <is>
          <t>No</t>
        </is>
      </c>
      <c r="M12" s="45" t="inlineStr">
        <is>
          <t>No</t>
        </is>
      </c>
      <c r="N12" s="45" t="inlineStr">
        <is>
          <t>No</t>
        </is>
      </c>
      <c r="O12" s="45" t="inlineStr">
        <is>
          <t>No</t>
        </is>
      </c>
      <c r="P12" s="45" t="inlineStr">
        <is>
          <t>No</t>
        </is>
      </c>
      <c r="Q12" s="45" t="inlineStr">
        <is>
          <t>No</t>
        </is>
      </c>
    </row>
    <row r="13" ht="17" customHeight="1">
      <c r="A13" s="43" t="inlineStr">
        <is>
          <t>Format</t>
        </is>
      </c>
      <c r="B13" s="45" t="inlineStr">
        <is>
          <t>Text</t>
        </is>
      </c>
      <c r="C13" s="45" t="inlineStr">
        <is>
          <t>Text</t>
        </is>
      </c>
      <c r="D13" s="45" t="inlineStr">
        <is>
          <t>Text</t>
        </is>
      </c>
      <c r="E13" s="45" t="inlineStr">
        <is>
          <t>Text</t>
        </is>
      </c>
      <c r="F13" s="45" t="inlineStr">
        <is>
          <t>Text</t>
        </is>
      </c>
      <c r="G13" s="45" t="inlineStr">
        <is>
          <t>Text</t>
        </is>
      </c>
      <c r="H13" s="45" t="inlineStr">
        <is>
          <t>Text</t>
        </is>
      </c>
      <c r="I13" s="45" t="inlineStr">
        <is>
          <t>Y or N</t>
        </is>
      </c>
      <c r="J13" s="45" t="inlineStr">
        <is>
          <t>Text</t>
        </is>
      </c>
      <c r="K13" s="45" t="inlineStr">
        <is>
          <t>Text</t>
        </is>
      </c>
      <c r="L13" s="45" t="inlineStr">
        <is>
          <t>Y or N</t>
        </is>
      </c>
      <c r="M13" s="45" t="inlineStr">
        <is>
          <t>Y or N</t>
        </is>
      </c>
      <c r="N13" s="45" t="inlineStr">
        <is>
          <t>Y or N</t>
        </is>
      </c>
      <c r="O13" s="45" t="inlineStr">
        <is>
          <t>Text</t>
        </is>
      </c>
      <c r="P13" s="45" t="inlineStr">
        <is>
          <t>yyyy-MM-dd</t>
        </is>
      </c>
      <c r="Q13" s="45" t="inlineStr">
        <is>
          <t>Text</t>
        </is>
      </c>
    </row>
    <row r="14" ht="95" customHeight="1">
      <c r="A14" s="43" t="inlineStr">
        <is>
          <t>Allowed values</t>
        </is>
      </c>
      <c r="B14" s="53" t="inlineStr">
        <is>
          <t>A code of D0-06 Chart of accounts, column Account Code</t>
        </is>
      </c>
      <c r="C14" s="45" t="inlineStr">
        <is>
          <t>Free entry</t>
        </is>
      </c>
      <c r="D14" s="45" t="inlineStr">
        <is>
          <t>Free entry</t>
        </is>
      </c>
      <c r="E14" s="45" t="inlineStr">
        <is>
          <t>Free entry</t>
        </is>
      </c>
      <c r="F14" s="53" t="inlineStr">
        <is>
          <t>ASSET, LIABILITY, EQUITY, INCOME, EXPENSE, MEMORANDUM (list Account class of the chart)</t>
        </is>
      </c>
      <c r="G14" s="53" t="inlineStr">
        <is>
          <t>GROUP, MAIN, SUB, MICRO (list Account level)</t>
        </is>
      </c>
      <c r="H14" s="53" t="inlineStr">
        <is>
          <t>A code of D0-07 Account categories and numbering, column Category code</t>
        </is>
      </c>
      <c r="I14" s="45" t="inlineStr">
        <is>
          <t>Y or N</t>
        </is>
      </c>
      <c r="J14" s="45" t="inlineStr">
        <is>
          <t>Free entry</t>
        </is>
      </c>
      <c r="K14" s="45" t="inlineStr">
        <is>
          <t>Free entry</t>
        </is>
      </c>
      <c r="L14" s="45" t="inlineStr">
        <is>
          <t>Y or N</t>
        </is>
      </c>
      <c r="M14" s="45" t="inlineStr">
        <is>
          <t>Y or N</t>
        </is>
      </c>
      <c r="N14" s="45" t="inlineStr">
        <is>
          <t>Y or N</t>
        </is>
      </c>
      <c r="O14" s="45" t="inlineStr">
        <is>
          <t>Free entry</t>
        </is>
      </c>
      <c r="P14" s="45" t="inlineStr">
        <is>
          <t>Free entry</t>
        </is>
      </c>
      <c r="Q14" s="53" t="inlineStr">
        <is>
          <t>ALLOW, WARN, BLOCK (list Negative balance)</t>
        </is>
      </c>
    </row>
    <row r="15" ht="56" customHeight="1">
      <c r="A15" s="43" t="inlineStr">
        <is>
          <t>What to enter</t>
        </is>
      </c>
      <c r="B15" s="45" t="inlineStr">
        <is>
          <t>Code of the parent account; blank for a top-level group</t>
        </is>
      </c>
      <c r="C15" s="45" t="inlineStr">
        <is>
          <t>Account code; blank for the next number of the parent's scheme</t>
        </is>
      </c>
      <c r="D15" s="45" t="inlineStr">
        <is>
          <t>Account name</t>
        </is>
      </c>
      <c r="E15" s="45" t="inlineStr">
        <is>
          <t>Unique short code used on journal lines</t>
        </is>
      </c>
      <c r="F15" s="45" t="inlineStr">
        <is>
          <t>Class of the account</t>
        </is>
      </c>
      <c r="G15" s="45" t="inlineStr">
        <is>
          <t>Level of the account, one tier below the parent</t>
        </is>
      </c>
      <c r="H15" s="45" t="inlineStr">
        <is>
          <t>GL category</t>
        </is>
      </c>
      <c r="I15" s="45" t="inlineStr">
        <is>
          <t>Control account</t>
        </is>
      </c>
      <c r="J15" s="45" t="inlineStr">
        <is>
          <t>Sub-ledger the account controls; blank for none</t>
        </is>
      </c>
      <c r="K15" s="45" t="inlineStr">
        <is>
          <t>Currencies allowed on the account; blank for all</t>
        </is>
      </c>
      <c r="L15" s="45" t="inlineStr">
        <is>
          <t>Manual journals allowed; blank for Y</t>
        </is>
      </c>
      <c r="M15" s="45" t="inlineStr">
        <is>
          <t>Cost centre mandatory on journal lines</t>
        </is>
      </c>
      <c r="N15" s="45" t="inlineStr">
        <is>
          <t>Revalued at month end</t>
        </is>
      </c>
      <c r="O15" s="45" t="inlineStr">
        <is>
          <t>Financial statement line</t>
        </is>
      </c>
      <c r="P15" s="45" t="inlineStr">
        <is>
          <t>Opening date; blank for today</t>
        </is>
      </c>
      <c r="Q15" s="45" t="inlineStr">
        <is>
          <t>What a negative balance does; blank for ALLOW</t>
        </is>
      </c>
    </row>
    <row r="16" ht="30" customHeight="1">
      <c r="A16" s="46" t="inlineStr">
        <is>
          <t>Row</t>
        </is>
      </c>
      <c r="B16" s="47" t="inlineStr">
        <is>
          <t>Parent Code</t>
        </is>
      </c>
      <c r="C16" s="47" t="inlineStr">
        <is>
          <t>Account Code</t>
        </is>
      </c>
      <c r="D16" s="47" t="inlineStr">
        <is>
          <t>Account Name *</t>
        </is>
      </c>
      <c r="E16" s="47" t="inlineStr">
        <is>
          <t>Short Code</t>
        </is>
      </c>
      <c r="F16" s="47" t="inlineStr">
        <is>
          <t>Class *</t>
        </is>
      </c>
      <c r="G16" s="47" t="inlineStr">
        <is>
          <t>Level *</t>
        </is>
      </c>
      <c r="H16" s="47" t="inlineStr">
        <is>
          <t>Category</t>
        </is>
      </c>
      <c r="I16" s="47" t="inlineStr">
        <is>
          <t>Control Account</t>
        </is>
      </c>
      <c r="J16" s="47" t="inlineStr">
        <is>
          <t>Sub-ledger Type</t>
        </is>
      </c>
      <c r="K16" s="47" t="inlineStr">
        <is>
          <t>Currencies</t>
        </is>
      </c>
      <c r="L16" s="47" t="inlineStr">
        <is>
          <t>Manual Posting</t>
        </is>
      </c>
      <c r="M16" s="47" t="inlineStr">
        <is>
          <t>Cost Centre Required</t>
        </is>
      </c>
      <c r="N16" s="47" t="inlineStr">
        <is>
          <t>Revaluation Required</t>
        </is>
      </c>
      <c r="O16" s="47" t="inlineStr">
        <is>
          <t>Report Group</t>
        </is>
      </c>
      <c r="P16" s="47" t="inlineStr">
        <is>
          <t>Opened On</t>
        </is>
      </c>
      <c r="Q16" s="47" t="inlineStr">
        <is>
          <t>Negative Balance</t>
        </is>
      </c>
    </row>
    <row r="17" ht="18" customHeight="1">
      <c r="A17" s="48" t="inlineStr">
        <is>
          <t>Example – overwrite or delete</t>
        </is>
      </c>
      <c r="B17" s="49" t="n"/>
      <c r="C17" s="49" t="inlineStr">
        <is>
          <t>1210.07</t>
        </is>
      </c>
      <c r="D17" s="49" t="inlineStr">
        <is>
          <t>Premium Receivable - Motor</t>
        </is>
      </c>
      <c r="E17" s="49" t="inlineStr">
        <is>
          <t>PRMOTOR</t>
        </is>
      </c>
      <c r="F17" s="49" t="inlineStr">
        <is>
          <t>ASSET</t>
        </is>
      </c>
      <c r="G17" s="49" t="inlineStr">
        <is>
          <t>SUB</t>
        </is>
      </c>
      <c r="H17" s="49" t="n"/>
      <c r="I17" s="49" t="inlineStr">
        <is>
          <t>N</t>
        </is>
      </c>
      <c r="J17" s="49" t="inlineStr">
        <is>
          <t>POLICYHOLDER</t>
        </is>
      </c>
      <c r="K17" s="49" t="inlineStr">
        <is>
          <t>{baseCurrency}</t>
        </is>
      </c>
      <c r="L17" s="49" t="inlineStr">
        <is>
          <t>Y</t>
        </is>
      </c>
      <c r="M17" s="49" t="inlineStr">
        <is>
          <t>N</t>
        </is>
      </c>
      <c r="N17" s="49" t="inlineStr">
        <is>
          <t>N</t>
        </is>
      </c>
      <c r="O17" s="49" t="inlineStr">
        <is>
          <t>Premium Receivable</t>
        </is>
      </c>
      <c r="P17" s="49" t="inlineStr">
        <is>
          <t>2026-01-01</t>
        </is>
      </c>
      <c r="Q17" s="49" t="inlineStr">
        <is>
          <t>WARN</t>
        </is>
      </c>
    </row>
    <row r="18">
      <c r="B18" s="51" t="n"/>
      <c r="C18" s="51" t="n"/>
      <c r="D18" s="51" t="n"/>
      <c r="E18" s="51" t="n"/>
      <c r="F18" s="51" t="n"/>
      <c r="G18" s="51" t="n"/>
      <c r="H18" s="51" t="n"/>
      <c r="I18" s="51" t="n"/>
      <c r="J18" s="51" t="n"/>
      <c r="K18" s="51" t="n"/>
      <c r="L18" s="51" t="n"/>
      <c r="M18" s="51" t="n"/>
      <c r="N18" s="51" t="n"/>
      <c r="O18" s="51" t="n"/>
      <c r="P18" s="51" t="n"/>
      <c r="Q18" s="51" t="n"/>
    </row>
    <row r="19">
      <c r="B19" s="51" t="n"/>
      <c r="C19" s="51" t="n"/>
      <c r="D19" s="51" t="n"/>
      <c r="E19" s="51" t="n"/>
      <c r="F19" s="51" t="n"/>
      <c r="G19" s="51" t="n"/>
      <c r="H19" s="51" t="n"/>
      <c r="I19" s="51" t="n"/>
      <c r="J19" s="51" t="n"/>
      <c r="K19" s="51" t="n"/>
      <c r="L19" s="51" t="n"/>
      <c r="M19" s="51" t="n"/>
      <c r="N19" s="51" t="n"/>
      <c r="O19" s="51" t="n"/>
      <c r="P19" s="51" t="n"/>
      <c r="Q19" s="51" t="n"/>
    </row>
    <row r="20">
      <c r="B20" s="51" t="n"/>
      <c r="C20" s="51" t="n"/>
      <c r="D20" s="51" t="n"/>
      <c r="E20" s="51" t="n"/>
      <c r="F20" s="51" t="n"/>
      <c r="G20" s="51" t="n"/>
      <c r="H20" s="51" t="n"/>
      <c r="I20" s="51" t="n"/>
      <c r="J20" s="51" t="n"/>
      <c r="K20" s="51" t="n"/>
      <c r="L20" s="51" t="n"/>
      <c r="M20" s="51" t="n"/>
      <c r="N20" s="51" t="n"/>
      <c r="O20" s="51" t="n"/>
      <c r="P20" s="51" t="n"/>
      <c r="Q20" s="51" t="n"/>
    </row>
    <row r="21">
      <c r="B21" s="51" t="n"/>
      <c r="C21" s="51" t="n"/>
      <c r="D21" s="51" t="n"/>
      <c r="E21" s="51" t="n"/>
      <c r="F21" s="51" t="n"/>
      <c r="G21" s="51" t="n"/>
      <c r="H21" s="51" t="n"/>
      <c r="I21" s="51" t="n"/>
      <c r="J21" s="51" t="n"/>
      <c r="K21" s="51" t="n"/>
      <c r="L21" s="51" t="n"/>
      <c r="M21" s="51" t="n"/>
      <c r="N21" s="51" t="n"/>
      <c r="O21" s="51" t="n"/>
      <c r="P21" s="51" t="n"/>
      <c r="Q21" s="51" t="n"/>
    </row>
    <row r="22">
      <c r="B22" s="51" t="n"/>
      <c r="C22" s="51" t="n"/>
      <c r="D22" s="51" t="n"/>
      <c r="E22" s="51" t="n"/>
      <c r="F22" s="51" t="n"/>
      <c r="G22" s="51" t="n"/>
      <c r="H22" s="51" t="n"/>
      <c r="I22" s="51" t="n"/>
      <c r="J22" s="51" t="n"/>
      <c r="K22" s="51" t="n"/>
      <c r="L22" s="51" t="n"/>
      <c r="M22" s="51" t="n"/>
      <c r="N22" s="51" t="n"/>
      <c r="O22" s="51" t="n"/>
      <c r="P22" s="51" t="n"/>
      <c r="Q22" s="51" t="n"/>
    </row>
    <row r="23">
      <c r="B23" s="51" t="n"/>
      <c r="C23" s="51" t="n"/>
      <c r="D23" s="51" t="n"/>
      <c r="E23" s="51" t="n"/>
      <c r="F23" s="51" t="n"/>
      <c r="G23" s="51" t="n"/>
      <c r="H23" s="51" t="n"/>
      <c r="I23" s="51" t="n"/>
      <c r="J23" s="51" t="n"/>
      <c r="K23" s="51" t="n"/>
      <c r="L23" s="51" t="n"/>
      <c r="M23" s="51" t="n"/>
      <c r="N23" s="51" t="n"/>
      <c r="O23" s="51" t="n"/>
      <c r="P23" s="51" t="n"/>
      <c r="Q23" s="51" t="n"/>
    </row>
    <row r="24">
      <c r="B24" s="51" t="n"/>
      <c r="C24" s="51" t="n"/>
      <c r="D24" s="51" t="n"/>
      <c r="E24" s="51" t="n"/>
      <c r="F24" s="51" t="n"/>
      <c r="G24" s="51" t="n"/>
      <c r="H24" s="51" t="n"/>
      <c r="I24" s="51" t="n"/>
      <c r="J24" s="51" t="n"/>
      <c r="K24" s="51" t="n"/>
      <c r="L24" s="51" t="n"/>
      <c r="M24" s="51" t="n"/>
      <c r="N24" s="51" t="n"/>
      <c r="O24" s="51" t="n"/>
      <c r="P24" s="51" t="n"/>
      <c r="Q24" s="51" t="n"/>
    </row>
    <row r="25">
      <c r="B25" s="51" t="n"/>
      <c r="C25" s="51" t="n"/>
      <c r="D25" s="51" t="n"/>
      <c r="E25" s="51" t="n"/>
      <c r="F25" s="51" t="n"/>
      <c r="G25" s="51" t="n"/>
      <c r="H25" s="51" t="n"/>
      <c r="I25" s="51" t="n"/>
      <c r="J25" s="51" t="n"/>
      <c r="K25" s="51" t="n"/>
      <c r="L25" s="51" t="n"/>
      <c r="M25" s="51" t="n"/>
      <c r="N25" s="51" t="n"/>
      <c r="O25" s="51" t="n"/>
      <c r="P25" s="51" t="n"/>
      <c r="Q25" s="51" t="n"/>
    </row>
    <row r="26">
      <c r="B26" s="51" t="n"/>
      <c r="C26" s="51" t="n"/>
      <c r="D26" s="51" t="n"/>
      <c r="E26" s="51" t="n"/>
      <c r="F26" s="51" t="n"/>
      <c r="G26" s="51" t="n"/>
      <c r="H26" s="51" t="n"/>
      <c r="I26" s="51" t="n"/>
      <c r="J26" s="51" t="n"/>
      <c r="K26" s="51" t="n"/>
      <c r="L26" s="51" t="n"/>
      <c r="M26" s="51" t="n"/>
      <c r="N26" s="51" t="n"/>
      <c r="O26" s="51" t="n"/>
      <c r="P26" s="51" t="n"/>
      <c r="Q26" s="51" t="n"/>
    </row>
    <row r="27">
      <c r="B27" s="51" t="n"/>
      <c r="C27" s="51" t="n"/>
      <c r="D27" s="51" t="n"/>
      <c r="E27" s="51" t="n"/>
      <c r="F27" s="51" t="n"/>
      <c r="G27" s="51" t="n"/>
      <c r="H27" s="51" t="n"/>
      <c r="I27" s="51" t="n"/>
      <c r="J27" s="51" t="n"/>
      <c r="K27" s="51" t="n"/>
      <c r="L27" s="51" t="n"/>
      <c r="M27" s="51" t="n"/>
      <c r="N27" s="51" t="n"/>
      <c r="O27" s="51" t="n"/>
      <c r="P27" s="51" t="n"/>
      <c r="Q27" s="51" t="n"/>
    </row>
    <row r="28">
      <c r="B28" s="51" t="n"/>
      <c r="C28" s="51" t="n"/>
      <c r="D28" s="51" t="n"/>
      <c r="E28" s="51" t="n"/>
      <c r="F28" s="51" t="n"/>
      <c r="G28" s="51" t="n"/>
      <c r="H28" s="51" t="n"/>
      <c r="I28" s="51" t="n"/>
      <c r="J28" s="51" t="n"/>
      <c r="K28" s="51" t="n"/>
      <c r="L28" s="51" t="n"/>
      <c r="M28" s="51" t="n"/>
      <c r="N28" s="51" t="n"/>
      <c r="O28" s="51" t="n"/>
      <c r="P28" s="51" t="n"/>
      <c r="Q28" s="51" t="n"/>
    </row>
    <row r="29">
      <c r="B29" s="51" t="n"/>
      <c r="C29" s="51" t="n"/>
      <c r="D29" s="51" t="n"/>
      <c r="E29" s="51" t="n"/>
      <c r="F29" s="51" t="n"/>
      <c r="G29" s="51" t="n"/>
      <c r="H29" s="51" t="n"/>
      <c r="I29" s="51" t="n"/>
      <c r="J29" s="51" t="n"/>
      <c r="K29" s="51" t="n"/>
      <c r="L29" s="51" t="n"/>
      <c r="M29" s="51" t="n"/>
      <c r="N29" s="51" t="n"/>
      <c r="O29" s="51" t="n"/>
      <c r="P29" s="51" t="n"/>
      <c r="Q29" s="51" t="n"/>
    </row>
    <row r="30">
      <c r="B30" s="51" t="n"/>
      <c r="C30" s="51" t="n"/>
      <c r="D30" s="51" t="n"/>
      <c r="E30" s="51" t="n"/>
      <c r="F30" s="51" t="n"/>
      <c r="G30" s="51" t="n"/>
      <c r="H30" s="51" t="n"/>
      <c r="I30" s="51" t="n"/>
      <c r="J30" s="51" t="n"/>
      <c r="K30" s="51" t="n"/>
      <c r="L30" s="51" t="n"/>
      <c r="M30" s="51" t="n"/>
      <c r="N30" s="51" t="n"/>
      <c r="O30" s="51" t="n"/>
      <c r="P30" s="51" t="n"/>
      <c r="Q30" s="51" t="n"/>
    </row>
    <row r="31">
      <c r="B31" s="51" t="n"/>
      <c r="C31" s="51" t="n"/>
      <c r="D31" s="51" t="n"/>
      <c r="E31" s="51" t="n"/>
      <c r="F31" s="51" t="n"/>
      <c r="G31" s="51" t="n"/>
      <c r="H31" s="51" t="n"/>
      <c r="I31" s="51" t="n"/>
      <c r="J31" s="51" t="n"/>
      <c r="K31" s="51" t="n"/>
      <c r="L31" s="51" t="n"/>
      <c r="M31" s="51" t="n"/>
      <c r="N31" s="51" t="n"/>
      <c r="O31" s="51" t="n"/>
      <c r="P31" s="51" t="n"/>
      <c r="Q31" s="51" t="n"/>
    </row>
    <row r="32">
      <c r="B32" s="51" t="n"/>
      <c r="C32" s="51" t="n"/>
      <c r="D32" s="51" t="n"/>
      <c r="E32" s="51" t="n"/>
      <c r="F32" s="51" t="n"/>
      <c r="G32" s="51" t="n"/>
      <c r="H32" s="51" t="n"/>
      <c r="I32" s="51" t="n"/>
      <c r="J32" s="51" t="n"/>
      <c r="K32" s="51" t="n"/>
      <c r="L32" s="51" t="n"/>
      <c r="M32" s="51" t="n"/>
      <c r="N32" s="51" t="n"/>
      <c r="O32" s="51" t="n"/>
      <c r="P32" s="51" t="n"/>
      <c r="Q32" s="51" t="n"/>
    </row>
    <row r="33">
      <c r="B33" s="51" t="n"/>
      <c r="C33" s="51" t="n"/>
      <c r="D33" s="51" t="n"/>
      <c r="E33" s="51" t="n"/>
      <c r="F33" s="51" t="n"/>
      <c r="G33" s="51" t="n"/>
      <c r="H33" s="51" t="n"/>
      <c r="I33" s="51" t="n"/>
      <c r="J33" s="51" t="n"/>
      <c r="K33" s="51" t="n"/>
      <c r="L33" s="51" t="n"/>
      <c r="M33" s="51" t="n"/>
      <c r="N33" s="51" t="n"/>
      <c r="O33" s="51" t="n"/>
      <c r="P33" s="51" t="n"/>
      <c r="Q33" s="51" t="n"/>
    </row>
    <row r="34">
      <c r="B34" s="51" t="n"/>
      <c r="C34" s="51" t="n"/>
      <c r="D34" s="51" t="n"/>
      <c r="E34" s="51" t="n"/>
      <c r="F34" s="51" t="n"/>
      <c r="G34" s="51" t="n"/>
      <c r="H34" s="51" t="n"/>
      <c r="I34" s="51" t="n"/>
      <c r="J34" s="51" t="n"/>
      <c r="K34" s="51" t="n"/>
      <c r="L34" s="51" t="n"/>
      <c r="M34" s="51" t="n"/>
      <c r="N34" s="51" t="n"/>
      <c r="O34" s="51" t="n"/>
      <c r="P34" s="51" t="n"/>
      <c r="Q34" s="51" t="n"/>
    </row>
    <row r="35">
      <c r="B35" s="51" t="n"/>
      <c r="C35" s="51" t="n"/>
      <c r="D35" s="51" t="n"/>
      <c r="E35" s="51" t="n"/>
      <c r="F35" s="51" t="n"/>
      <c r="G35" s="51" t="n"/>
      <c r="H35" s="51" t="n"/>
      <c r="I35" s="51" t="n"/>
      <c r="J35" s="51" t="n"/>
      <c r="K35" s="51" t="n"/>
      <c r="L35" s="51" t="n"/>
      <c r="M35" s="51" t="n"/>
      <c r="N35" s="51" t="n"/>
      <c r="O35" s="51" t="n"/>
      <c r="P35" s="51" t="n"/>
      <c r="Q35" s="51" t="n"/>
    </row>
    <row r="36">
      <c r="B36" s="51" t="n"/>
      <c r="C36" s="51" t="n"/>
      <c r="D36" s="51" t="n"/>
      <c r="E36" s="51" t="n"/>
      <c r="F36" s="51" t="n"/>
      <c r="G36" s="51" t="n"/>
      <c r="H36" s="51" t="n"/>
      <c r="I36" s="51" t="n"/>
      <c r="J36" s="51" t="n"/>
      <c r="K36" s="51" t="n"/>
      <c r="L36" s="51" t="n"/>
      <c r="M36" s="51" t="n"/>
      <c r="N36" s="51" t="n"/>
      <c r="O36" s="51" t="n"/>
      <c r="P36" s="51" t="n"/>
      <c r="Q36" s="51" t="n"/>
    </row>
    <row r="37">
      <c r="B37" s="51" t="n"/>
      <c r="C37" s="51" t="n"/>
      <c r="D37" s="51" t="n"/>
      <c r="E37" s="51" t="n"/>
      <c r="F37" s="51" t="n"/>
      <c r="G37" s="51" t="n"/>
      <c r="H37" s="51" t="n"/>
      <c r="I37" s="51" t="n"/>
      <c r="J37" s="51" t="n"/>
      <c r="K37" s="51" t="n"/>
      <c r="L37" s="51" t="n"/>
      <c r="M37" s="51" t="n"/>
      <c r="N37" s="51" t="n"/>
      <c r="O37" s="51" t="n"/>
      <c r="P37" s="51" t="n"/>
      <c r="Q37" s="51" t="n"/>
    </row>
    <row r="38">
      <c r="B38" s="51" t="n"/>
      <c r="C38" s="51" t="n"/>
      <c r="D38" s="51" t="n"/>
      <c r="E38" s="51" t="n"/>
      <c r="F38" s="51" t="n"/>
      <c r="G38" s="51" t="n"/>
      <c r="H38" s="51" t="n"/>
      <c r="I38" s="51" t="n"/>
      <c r="J38" s="51" t="n"/>
      <c r="K38" s="51" t="n"/>
      <c r="L38" s="51" t="n"/>
      <c r="M38" s="51" t="n"/>
      <c r="N38" s="51" t="n"/>
      <c r="O38" s="51" t="n"/>
      <c r="P38" s="51" t="n"/>
      <c r="Q38" s="51" t="n"/>
    </row>
    <row r="39">
      <c r="B39" s="51" t="n"/>
      <c r="C39" s="51" t="n"/>
      <c r="D39" s="51" t="n"/>
      <c r="E39" s="51" t="n"/>
      <c r="F39" s="51" t="n"/>
      <c r="G39" s="51" t="n"/>
      <c r="H39" s="51" t="n"/>
      <c r="I39" s="51" t="n"/>
      <c r="J39" s="51" t="n"/>
      <c r="K39" s="51" t="n"/>
      <c r="L39" s="51" t="n"/>
      <c r="M39" s="51" t="n"/>
      <c r="N39" s="51" t="n"/>
      <c r="O39" s="51" t="n"/>
      <c r="P39" s="51" t="n"/>
      <c r="Q39" s="51" t="n"/>
    </row>
    <row r="40">
      <c r="B40" s="51" t="n"/>
      <c r="C40" s="51" t="n"/>
      <c r="D40" s="51" t="n"/>
      <c r="E40" s="51" t="n"/>
      <c r="F40" s="51" t="n"/>
      <c r="G40" s="51" t="n"/>
      <c r="H40" s="51" t="n"/>
      <c r="I40" s="51" t="n"/>
      <c r="J40" s="51" t="n"/>
      <c r="K40" s="51" t="n"/>
      <c r="L40" s="51" t="n"/>
      <c r="M40" s="51" t="n"/>
      <c r="N40" s="51" t="n"/>
      <c r="O40" s="51" t="n"/>
      <c r="P40" s="51" t="n"/>
      <c r="Q40" s="51" t="n"/>
    </row>
    <row r="41">
      <c r="B41" s="51" t="n"/>
      <c r="C41" s="51" t="n"/>
      <c r="D41" s="51" t="n"/>
      <c r="E41" s="51" t="n"/>
      <c r="F41" s="51" t="n"/>
      <c r="G41" s="51" t="n"/>
      <c r="H41" s="51" t="n"/>
      <c r="I41" s="51" t="n"/>
      <c r="J41" s="51" t="n"/>
      <c r="K41" s="51" t="n"/>
      <c r="L41" s="51" t="n"/>
      <c r="M41" s="51" t="n"/>
      <c r="N41" s="51" t="n"/>
      <c r="O41" s="51" t="n"/>
      <c r="P41" s="51" t="n"/>
      <c r="Q41" s="51" t="n"/>
    </row>
    <row r="42">
      <c r="B42" s="51" t="n"/>
      <c r="C42" s="51" t="n"/>
      <c r="D42" s="51" t="n"/>
      <c r="E42" s="51" t="n"/>
      <c r="F42" s="51" t="n"/>
      <c r="G42" s="51" t="n"/>
      <c r="H42" s="51" t="n"/>
      <c r="I42" s="51" t="n"/>
      <c r="J42" s="51" t="n"/>
      <c r="K42" s="51" t="n"/>
      <c r="L42" s="51" t="n"/>
      <c r="M42" s="51" t="n"/>
      <c r="N42" s="51" t="n"/>
      <c r="O42" s="51" t="n"/>
      <c r="P42" s="51" t="n"/>
      <c r="Q42" s="51" t="n"/>
    </row>
    <row r="43">
      <c r="B43" s="51" t="n"/>
      <c r="C43" s="51" t="n"/>
      <c r="D43" s="51" t="n"/>
      <c r="E43" s="51" t="n"/>
      <c r="F43" s="51" t="n"/>
      <c r="G43" s="51" t="n"/>
      <c r="H43" s="51" t="n"/>
      <c r="I43" s="51" t="n"/>
      <c r="J43" s="51" t="n"/>
      <c r="K43" s="51" t="n"/>
      <c r="L43" s="51" t="n"/>
      <c r="M43" s="51" t="n"/>
      <c r="N43" s="51" t="n"/>
      <c r="O43" s="51" t="n"/>
      <c r="P43" s="51" t="n"/>
      <c r="Q43" s="51" t="n"/>
    </row>
    <row r="44">
      <c r="B44" s="51" t="n"/>
      <c r="C44" s="51" t="n"/>
      <c r="D44" s="51" t="n"/>
      <c r="E44" s="51" t="n"/>
      <c r="F44" s="51" t="n"/>
      <c r="G44" s="51" t="n"/>
      <c r="H44" s="51" t="n"/>
      <c r="I44" s="51" t="n"/>
      <c r="J44" s="51" t="n"/>
      <c r="K44" s="51" t="n"/>
      <c r="L44" s="51" t="n"/>
      <c r="M44" s="51" t="n"/>
      <c r="N44" s="51" t="n"/>
      <c r="O44" s="51" t="n"/>
      <c r="P44" s="51" t="n"/>
      <c r="Q44" s="51" t="n"/>
    </row>
    <row r="45">
      <c r="B45" s="51" t="n"/>
      <c r="C45" s="51" t="n"/>
      <c r="D45" s="51" t="n"/>
      <c r="E45" s="51" t="n"/>
      <c r="F45" s="51" t="n"/>
      <c r="G45" s="51" t="n"/>
      <c r="H45" s="51" t="n"/>
      <c r="I45" s="51" t="n"/>
      <c r="J45" s="51" t="n"/>
      <c r="K45" s="51" t="n"/>
      <c r="L45" s="51" t="n"/>
      <c r="M45" s="51" t="n"/>
      <c r="N45" s="51" t="n"/>
      <c r="O45" s="51" t="n"/>
      <c r="P45" s="51" t="n"/>
      <c r="Q45" s="51" t="n"/>
    </row>
    <row r="46">
      <c r="B46" s="51" t="n"/>
      <c r="C46" s="51" t="n"/>
      <c r="D46" s="51" t="n"/>
      <c r="E46" s="51" t="n"/>
      <c r="F46" s="51" t="n"/>
      <c r="G46" s="51" t="n"/>
      <c r="H46" s="51" t="n"/>
      <c r="I46" s="51" t="n"/>
      <c r="J46" s="51" t="n"/>
      <c r="K46" s="51" t="n"/>
      <c r="L46" s="51" t="n"/>
      <c r="M46" s="51" t="n"/>
      <c r="N46" s="51" t="n"/>
      <c r="O46" s="51" t="n"/>
      <c r="P46" s="51" t="n"/>
      <c r="Q46" s="51" t="n"/>
    </row>
    <row r="47">
      <c r="B47" s="51" t="n"/>
      <c r="C47" s="51" t="n"/>
      <c r="D47" s="51" t="n"/>
      <c r="E47" s="51" t="n"/>
      <c r="F47" s="51" t="n"/>
      <c r="G47" s="51" t="n"/>
      <c r="H47" s="51" t="n"/>
      <c r="I47" s="51" t="n"/>
      <c r="J47" s="51" t="n"/>
      <c r="K47" s="51" t="n"/>
      <c r="L47" s="51" t="n"/>
      <c r="M47" s="51" t="n"/>
      <c r="N47" s="51" t="n"/>
      <c r="O47" s="51" t="n"/>
      <c r="P47" s="51" t="n"/>
      <c r="Q47" s="51" t="n"/>
    </row>
    <row r="48">
      <c r="B48" s="51" t="n"/>
      <c r="C48" s="51" t="n"/>
      <c r="D48" s="51" t="n"/>
      <c r="E48" s="51" t="n"/>
      <c r="F48" s="51" t="n"/>
      <c r="G48" s="51" t="n"/>
      <c r="H48" s="51" t="n"/>
      <c r="I48" s="51" t="n"/>
      <c r="J48" s="51" t="n"/>
      <c r="K48" s="51" t="n"/>
      <c r="L48" s="51" t="n"/>
      <c r="M48" s="51" t="n"/>
      <c r="N48" s="51" t="n"/>
      <c r="O48" s="51" t="n"/>
      <c r="P48" s="51" t="n"/>
      <c r="Q48" s="51" t="n"/>
    </row>
    <row r="49">
      <c r="B49" s="51" t="n"/>
      <c r="C49" s="51" t="n"/>
      <c r="D49" s="51" t="n"/>
      <c r="E49" s="51" t="n"/>
      <c r="F49" s="51" t="n"/>
      <c r="G49" s="51" t="n"/>
      <c r="H49" s="51" t="n"/>
      <c r="I49" s="51" t="n"/>
      <c r="J49" s="51" t="n"/>
      <c r="K49" s="51" t="n"/>
      <c r="L49" s="51" t="n"/>
      <c r="M49" s="51" t="n"/>
      <c r="N49" s="51" t="n"/>
      <c r="O49" s="51" t="n"/>
      <c r="P49" s="51" t="n"/>
      <c r="Q49" s="51" t="n"/>
    </row>
    <row r="50">
      <c r="B50" s="51" t="n"/>
      <c r="C50" s="51" t="n"/>
      <c r="D50" s="51" t="n"/>
      <c r="E50" s="51" t="n"/>
      <c r="F50" s="51" t="n"/>
      <c r="G50" s="51" t="n"/>
      <c r="H50" s="51" t="n"/>
      <c r="I50" s="51" t="n"/>
      <c r="J50" s="51" t="n"/>
      <c r="K50" s="51" t="n"/>
      <c r="L50" s="51" t="n"/>
      <c r="M50" s="51" t="n"/>
      <c r="N50" s="51" t="n"/>
      <c r="O50" s="51" t="n"/>
      <c r="P50" s="51" t="n"/>
      <c r="Q50" s="51" t="n"/>
    </row>
    <row r="51">
      <c r="B51" s="51" t="n"/>
      <c r="C51" s="51" t="n"/>
      <c r="D51" s="51" t="n"/>
      <c r="E51" s="51" t="n"/>
      <c r="F51" s="51" t="n"/>
      <c r="G51" s="51" t="n"/>
      <c r="H51" s="51" t="n"/>
      <c r="I51" s="51" t="n"/>
      <c r="J51" s="51" t="n"/>
      <c r="K51" s="51" t="n"/>
      <c r="L51" s="51" t="n"/>
      <c r="M51" s="51" t="n"/>
      <c r="N51" s="51" t="n"/>
      <c r="O51" s="51" t="n"/>
      <c r="P51" s="51" t="n"/>
      <c r="Q51" s="51" t="n"/>
    </row>
    <row r="52">
      <c r="B52" s="51" t="n"/>
      <c r="C52" s="51" t="n"/>
      <c r="D52" s="51" t="n"/>
      <c r="E52" s="51" t="n"/>
      <c r="F52" s="51" t="n"/>
      <c r="G52" s="51" t="n"/>
      <c r="H52" s="51" t="n"/>
      <c r="I52" s="51" t="n"/>
      <c r="J52" s="51" t="n"/>
      <c r="K52" s="51" t="n"/>
      <c r="L52" s="51" t="n"/>
      <c r="M52" s="51" t="n"/>
      <c r="N52" s="51" t="n"/>
      <c r="O52" s="51" t="n"/>
      <c r="P52" s="51" t="n"/>
      <c r="Q52" s="51" t="n"/>
    </row>
    <row r="53">
      <c r="B53" s="51" t="n"/>
      <c r="C53" s="51" t="n"/>
      <c r="D53" s="51" t="n"/>
      <c r="E53" s="51" t="n"/>
      <c r="F53" s="51" t="n"/>
      <c r="G53" s="51" t="n"/>
      <c r="H53" s="51" t="n"/>
      <c r="I53" s="51" t="n"/>
      <c r="J53" s="51" t="n"/>
      <c r="K53" s="51" t="n"/>
      <c r="L53" s="51" t="n"/>
      <c r="M53" s="51" t="n"/>
      <c r="N53" s="51" t="n"/>
      <c r="O53" s="51" t="n"/>
      <c r="P53" s="51" t="n"/>
      <c r="Q53" s="51" t="n"/>
    </row>
    <row r="54">
      <c r="B54" s="51" t="n"/>
      <c r="C54" s="51" t="n"/>
      <c r="D54" s="51" t="n"/>
      <c r="E54" s="51" t="n"/>
      <c r="F54" s="51" t="n"/>
      <c r="G54" s="51" t="n"/>
      <c r="H54" s="51" t="n"/>
      <c r="I54" s="51" t="n"/>
      <c r="J54" s="51" t="n"/>
      <c r="K54" s="51" t="n"/>
      <c r="L54" s="51" t="n"/>
      <c r="M54" s="51" t="n"/>
      <c r="N54" s="51" t="n"/>
      <c r="O54" s="51" t="n"/>
      <c r="P54" s="51" t="n"/>
      <c r="Q54" s="51" t="n"/>
    </row>
    <row r="55">
      <c r="B55" s="51" t="n"/>
      <c r="C55" s="51" t="n"/>
      <c r="D55" s="51" t="n"/>
      <c r="E55" s="51" t="n"/>
      <c r="F55" s="51" t="n"/>
      <c r="G55" s="51" t="n"/>
      <c r="H55" s="51" t="n"/>
      <c r="I55" s="51" t="n"/>
      <c r="J55" s="51" t="n"/>
      <c r="K55" s="51" t="n"/>
      <c r="L55" s="51" t="n"/>
      <c r="M55" s="51" t="n"/>
      <c r="N55" s="51" t="n"/>
      <c r="O55" s="51" t="n"/>
      <c r="P55" s="51" t="n"/>
      <c r="Q55" s="51" t="n"/>
    </row>
    <row r="56">
      <c r="B56" s="51" t="n"/>
      <c r="C56" s="51" t="n"/>
      <c r="D56" s="51" t="n"/>
      <c r="E56" s="51" t="n"/>
      <c r="F56" s="51" t="n"/>
      <c r="G56" s="51" t="n"/>
      <c r="H56" s="51" t="n"/>
      <c r="I56" s="51" t="n"/>
      <c r="J56" s="51" t="n"/>
      <c r="K56" s="51" t="n"/>
      <c r="L56" s="51" t="n"/>
      <c r="M56" s="51" t="n"/>
      <c r="N56" s="51" t="n"/>
      <c r="O56" s="51" t="n"/>
      <c r="P56" s="51" t="n"/>
      <c r="Q56" s="51" t="n"/>
    </row>
    <row r="57">
      <c r="B57" s="51" t="n"/>
      <c r="C57" s="51" t="n"/>
      <c r="D57" s="51" t="n"/>
      <c r="E57" s="51" t="n"/>
      <c r="F57" s="51" t="n"/>
      <c r="G57" s="51" t="n"/>
      <c r="H57" s="51" t="n"/>
      <c r="I57" s="51" t="n"/>
      <c r="J57" s="51" t="n"/>
      <c r="K57" s="51" t="n"/>
      <c r="L57" s="51" t="n"/>
      <c r="M57" s="51" t="n"/>
      <c r="N57" s="51" t="n"/>
      <c r="O57" s="51" t="n"/>
      <c r="P57" s="51" t="n"/>
      <c r="Q57" s="51" t="n"/>
    </row>
    <row r="58">
      <c r="B58" s="51" t="n"/>
      <c r="C58" s="51" t="n"/>
      <c r="D58" s="51" t="n"/>
      <c r="E58" s="51" t="n"/>
      <c r="F58" s="51" t="n"/>
      <c r="G58" s="51" t="n"/>
      <c r="H58" s="51" t="n"/>
      <c r="I58" s="51" t="n"/>
      <c r="J58" s="51" t="n"/>
      <c r="K58" s="51" t="n"/>
      <c r="L58" s="51" t="n"/>
      <c r="M58" s="51" t="n"/>
      <c r="N58" s="51" t="n"/>
      <c r="O58" s="51" t="n"/>
      <c r="P58" s="51" t="n"/>
      <c r="Q58" s="51" t="n"/>
    </row>
    <row r="59">
      <c r="B59" s="51" t="n"/>
      <c r="C59" s="51" t="n"/>
      <c r="D59" s="51" t="n"/>
      <c r="E59" s="51" t="n"/>
      <c r="F59" s="51" t="n"/>
      <c r="G59" s="51" t="n"/>
      <c r="H59" s="51" t="n"/>
      <c r="I59" s="51" t="n"/>
      <c r="J59" s="51" t="n"/>
      <c r="K59" s="51" t="n"/>
      <c r="L59" s="51" t="n"/>
      <c r="M59" s="51" t="n"/>
      <c r="N59" s="51" t="n"/>
      <c r="O59" s="51" t="n"/>
      <c r="P59" s="51" t="n"/>
      <c r="Q59" s="51" t="n"/>
    </row>
    <row r="60">
      <c r="B60" s="51" t="n"/>
      <c r="C60" s="51" t="n"/>
      <c r="D60" s="51" t="n"/>
      <c r="E60" s="51" t="n"/>
      <c r="F60" s="51" t="n"/>
      <c r="G60" s="51" t="n"/>
      <c r="H60" s="51" t="n"/>
      <c r="I60" s="51" t="n"/>
      <c r="J60" s="51" t="n"/>
      <c r="K60" s="51" t="n"/>
      <c r="L60" s="51" t="n"/>
      <c r="M60" s="51" t="n"/>
      <c r="N60" s="51" t="n"/>
      <c r="O60" s="51" t="n"/>
      <c r="P60" s="51" t="n"/>
      <c r="Q60" s="51" t="n"/>
    </row>
    <row r="61">
      <c r="B61" s="51" t="n"/>
      <c r="C61" s="51" t="n"/>
      <c r="D61" s="51" t="n"/>
      <c r="E61" s="51" t="n"/>
      <c r="F61" s="51" t="n"/>
      <c r="G61" s="51" t="n"/>
      <c r="H61" s="51" t="n"/>
      <c r="I61" s="51" t="n"/>
      <c r="J61" s="51" t="n"/>
      <c r="K61" s="51" t="n"/>
      <c r="L61" s="51" t="n"/>
      <c r="M61" s="51" t="n"/>
      <c r="N61" s="51" t="n"/>
      <c r="O61" s="51" t="n"/>
      <c r="P61" s="51" t="n"/>
      <c r="Q61" s="51" t="n"/>
    </row>
    <row r="62">
      <c r="B62" s="51" t="n"/>
      <c r="C62" s="51" t="n"/>
      <c r="D62" s="51" t="n"/>
      <c r="E62" s="51" t="n"/>
      <c r="F62" s="51" t="n"/>
      <c r="G62" s="51" t="n"/>
      <c r="H62" s="51" t="n"/>
      <c r="I62" s="51" t="n"/>
      <c r="J62" s="51" t="n"/>
      <c r="K62" s="51" t="n"/>
      <c r="L62" s="51" t="n"/>
      <c r="M62" s="51" t="n"/>
      <c r="N62" s="51" t="n"/>
      <c r="O62" s="51" t="n"/>
      <c r="P62" s="51" t="n"/>
      <c r="Q62" s="51" t="n"/>
    </row>
    <row r="63">
      <c r="B63" s="51" t="n"/>
      <c r="C63" s="51" t="n"/>
      <c r="D63" s="51" t="n"/>
      <c r="E63" s="51" t="n"/>
      <c r="F63" s="51" t="n"/>
      <c r="G63" s="51" t="n"/>
      <c r="H63" s="51" t="n"/>
      <c r="I63" s="51" t="n"/>
      <c r="J63" s="51" t="n"/>
      <c r="K63" s="51" t="n"/>
      <c r="L63" s="51" t="n"/>
      <c r="M63" s="51" t="n"/>
      <c r="N63" s="51" t="n"/>
      <c r="O63" s="51" t="n"/>
      <c r="P63" s="51" t="n"/>
      <c r="Q63" s="51" t="n"/>
    </row>
    <row r="64">
      <c r="B64" s="51" t="n"/>
      <c r="C64" s="51" t="n"/>
      <c r="D64" s="51" t="n"/>
      <c r="E64" s="51" t="n"/>
      <c r="F64" s="51" t="n"/>
      <c r="G64" s="51" t="n"/>
      <c r="H64" s="51" t="n"/>
      <c r="I64" s="51" t="n"/>
      <c r="J64" s="51" t="n"/>
      <c r="K64" s="51" t="n"/>
      <c r="L64" s="51" t="n"/>
      <c r="M64" s="51" t="n"/>
      <c r="N64" s="51" t="n"/>
      <c r="O64" s="51" t="n"/>
      <c r="P64" s="51" t="n"/>
      <c r="Q64" s="51" t="n"/>
    </row>
    <row r="65">
      <c r="B65" s="51" t="n"/>
      <c r="C65" s="51" t="n"/>
      <c r="D65" s="51" t="n"/>
      <c r="E65" s="51" t="n"/>
      <c r="F65" s="51" t="n"/>
      <c r="G65" s="51" t="n"/>
      <c r="H65" s="51" t="n"/>
      <c r="I65" s="51" t="n"/>
      <c r="J65" s="51" t="n"/>
      <c r="K65" s="51" t="n"/>
      <c r="L65" s="51" t="n"/>
      <c r="M65" s="51" t="n"/>
      <c r="N65" s="51" t="n"/>
      <c r="O65" s="51" t="n"/>
      <c r="P65" s="51" t="n"/>
      <c r="Q65" s="51" t="n"/>
    </row>
    <row r="66">
      <c r="B66" s="51" t="n"/>
      <c r="C66" s="51" t="n"/>
      <c r="D66" s="51" t="n"/>
      <c r="E66" s="51" t="n"/>
      <c r="F66" s="51" t="n"/>
      <c r="G66" s="51" t="n"/>
      <c r="H66" s="51" t="n"/>
      <c r="I66" s="51" t="n"/>
      <c r="J66" s="51" t="n"/>
      <c r="K66" s="51" t="n"/>
      <c r="L66" s="51" t="n"/>
      <c r="M66" s="51" t="n"/>
      <c r="N66" s="51" t="n"/>
      <c r="O66" s="51" t="n"/>
      <c r="P66" s="51" t="n"/>
      <c r="Q66" s="51" t="n"/>
    </row>
    <row r="67">
      <c r="B67" s="51" t="n"/>
      <c r="C67" s="51" t="n"/>
      <c r="D67" s="51" t="n"/>
      <c r="E67" s="51" t="n"/>
      <c r="F67" s="51" t="n"/>
      <c r="G67" s="51" t="n"/>
      <c r="H67" s="51" t="n"/>
      <c r="I67" s="51" t="n"/>
      <c r="J67" s="51" t="n"/>
      <c r="K67" s="51" t="n"/>
      <c r="L67" s="51" t="n"/>
      <c r="M67" s="51" t="n"/>
      <c r="N67" s="51" t="n"/>
      <c r="O67" s="51" t="n"/>
      <c r="P67" s="51" t="n"/>
      <c r="Q67" s="51" t="n"/>
    </row>
    <row r="68">
      <c r="B68" s="51" t="n"/>
      <c r="C68" s="51" t="n"/>
      <c r="D68" s="51" t="n"/>
      <c r="E68" s="51" t="n"/>
      <c r="F68" s="51" t="n"/>
      <c r="G68" s="51" t="n"/>
      <c r="H68" s="51" t="n"/>
      <c r="I68" s="51" t="n"/>
      <c r="J68" s="51" t="n"/>
      <c r="K68" s="51" t="n"/>
      <c r="L68" s="51" t="n"/>
      <c r="M68" s="51" t="n"/>
      <c r="N68" s="51" t="n"/>
      <c r="O68" s="51" t="n"/>
      <c r="P68" s="51" t="n"/>
      <c r="Q68" s="51" t="n"/>
    </row>
    <row r="69">
      <c r="B69" s="51" t="n"/>
      <c r="C69" s="51" t="n"/>
      <c r="D69" s="51" t="n"/>
      <c r="E69" s="51" t="n"/>
      <c r="F69" s="51" t="n"/>
      <c r="G69" s="51" t="n"/>
      <c r="H69" s="51" t="n"/>
      <c r="I69" s="51" t="n"/>
      <c r="J69" s="51" t="n"/>
      <c r="K69" s="51" t="n"/>
      <c r="L69" s="51" t="n"/>
      <c r="M69" s="51" t="n"/>
      <c r="N69" s="51" t="n"/>
      <c r="O69" s="51" t="n"/>
      <c r="P69" s="51" t="n"/>
      <c r="Q69" s="51" t="n"/>
    </row>
    <row r="70">
      <c r="B70" s="51" t="n"/>
      <c r="C70" s="51" t="n"/>
      <c r="D70" s="51" t="n"/>
      <c r="E70" s="51" t="n"/>
      <c r="F70" s="51" t="n"/>
      <c r="G70" s="51" t="n"/>
      <c r="H70" s="51" t="n"/>
      <c r="I70" s="51" t="n"/>
      <c r="J70" s="51" t="n"/>
      <c r="K70" s="51" t="n"/>
      <c r="L70" s="51" t="n"/>
      <c r="M70" s="51" t="n"/>
      <c r="N70" s="51" t="n"/>
      <c r="O70" s="51" t="n"/>
      <c r="P70" s="51" t="n"/>
      <c r="Q70" s="51" t="n"/>
    </row>
    <row r="71">
      <c r="B71" s="51" t="n"/>
      <c r="C71" s="51" t="n"/>
      <c r="D71" s="51" t="n"/>
      <c r="E71" s="51" t="n"/>
      <c r="F71" s="51" t="n"/>
      <c r="G71" s="51" t="n"/>
      <c r="H71" s="51" t="n"/>
      <c r="I71" s="51" t="n"/>
      <c r="J71" s="51" t="n"/>
      <c r="K71" s="51" t="n"/>
      <c r="L71" s="51" t="n"/>
      <c r="M71" s="51" t="n"/>
      <c r="N71" s="51" t="n"/>
      <c r="O71" s="51" t="n"/>
      <c r="P71" s="51" t="n"/>
      <c r="Q71" s="51" t="n"/>
    </row>
    <row r="72">
      <c r="B72" s="51" t="n"/>
      <c r="C72" s="51" t="n"/>
      <c r="D72" s="51" t="n"/>
      <c r="E72" s="51" t="n"/>
      <c r="F72" s="51" t="n"/>
      <c r="G72" s="51" t="n"/>
      <c r="H72" s="51" t="n"/>
      <c r="I72" s="51" t="n"/>
      <c r="J72" s="51" t="n"/>
      <c r="K72" s="51" t="n"/>
      <c r="L72" s="51" t="n"/>
      <c r="M72" s="51" t="n"/>
      <c r="N72" s="51" t="n"/>
      <c r="O72" s="51" t="n"/>
      <c r="P72" s="51" t="n"/>
      <c r="Q72" s="51" t="n"/>
    </row>
    <row r="73">
      <c r="B73" s="51" t="n"/>
      <c r="C73" s="51" t="n"/>
      <c r="D73" s="51" t="n"/>
      <c r="E73" s="51" t="n"/>
      <c r="F73" s="51" t="n"/>
      <c r="G73" s="51" t="n"/>
      <c r="H73" s="51" t="n"/>
      <c r="I73" s="51" t="n"/>
      <c r="J73" s="51" t="n"/>
      <c r="K73" s="51" t="n"/>
      <c r="L73" s="51" t="n"/>
      <c r="M73" s="51" t="n"/>
      <c r="N73" s="51" t="n"/>
      <c r="O73" s="51" t="n"/>
      <c r="P73" s="51" t="n"/>
      <c r="Q73" s="51" t="n"/>
    </row>
    <row r="74">
      <c r="B74" s="51" t="n"/>
      <c r="C74" s="51" t="n"/>
      <c r="D74" s="51" t="n"/>
      <c r="E74" s="51" t="n"/>
      <c r="F74" s="51" t="n"/>
      <c r="G74" s="51" t="n"/>
      <c r="H74" s="51" t="n"/>
      <c r="I74" s="51" t="n"/>
      <c r="J74" s="51" t="n"/>
      <c r="K74" s="51" t="n"/>
      <c r="L74" s="51" t="n"/>
      <c r="M74" s="51" t="n"/>
      <c r="N74" s="51" t="n"/>
      <c r="O74" s="51" t="n"/>
      <c r="P74" s="51" t="n"/>
      <c r="Q74" s="51" t="n"/>
    </row>
    <row r="75">
      <c r="B75" s="51" t="n"/>
      <c r="C75" s="51" t="n"/>
      <c r="D75" s="51" t="n"/>
      <c r="E75" s="51" t="n"/>
      <c r="F75" s="51" t="n"/>
      <c r="G75" s="51" t="n"/>
      <c r="H75" s="51" t="n"/>
      <c r="I75" s="51" t="n"/>
      <c r="J75" s="51" t="n"/>
      <c r="K75" s="51" t="n"/>
      <c r="L75" s="51" t="n"/>
      <c r="M75" s="51" t="n"/>
      <c r="N75" s="51" t="n"/>
      <c r="O75" s="51" t="n"/>
      <c r="P75" s="51" t="n"/>
      <c r="Q75" s="51" t="n"/>
    </row>
    <row r="76">
      <c r="B76" s="51" t="n"/>
      <c r="C76" s="51" t="n"/>
      <c r="D76" s="51" t="n"/>
      <c r="E76" s="51" t="n"/>
      <c r="F76" s="51" t="n"/>
      <c r="G76" s="51" t="n"/>
      <c r="H76" s="51" t="n"/>
      <c r="I76" s="51" t="n"/>
      <c r="J76" s="51" t="n"/>
      <c r="K76" s="51" t="n"/>
      <c r="L76" s="51" t="n"/>
      <c r="M76" s="51" t="n"/>
      <c r="N76" s="51" t="n"/>
      <c r="O76" s="51" t="n"/>
      <c r="P76" s="51" t="n"/>
      <c r="Q76" s="51" t="n"/>
    </row>
    <row r="77">
      <c r="B77" s="51" t="n"/>
      <c r="C77" s="51" t="n"/>
      <c r="D77" s="51" t="n"/>
      <c r="E77" s="51" t="n"/>
      <c r="F77" s="51" t="n"/>
      <c r="G77" s="51" t="n"/>
      <c r="H77" s="51" t="n"/>
      <c r="I77" s="51" t="n"/>
      <c r="J77" s="51" t="n"/>
      <c r="K77" s="51" t="n"/>
      <c r="L77" s="51" t="n"/>
      <c r="M77" s="51" t="n"/>
      <c r="N77" s="51" t="n"/>
      <c r="O77" s="51" t="n"/>
      <c r="P77" s="51" t="n"/>
      <c r="Q77" s="51" t="n"/>
    </row>
    <row r="78">
      <c r="B78" s="51" t="n"/>
      <c r="C78" s="51" t="n"/>
      <c r="D78" s="51" t="n"/>
      <c r="E78" s="51" t="n"/>
      <c r="F78" s="51" t="n"/>
      <c r="G78" s="51" t="n"/>
      <c r="H78" s="51" t="n"/>
      <c r="I78" s="51" t="n"/>
      <c r="J78" s="51" t="n"/>
      <c r="K78" s="51" t="n"/>
      <c r="L78" s="51" t="n"/>
      <c r="M78" s="51" t="n"/>
      <c r="N78" s="51" t="n"/>
      <c r="O78" s="51" t="n"/>
      <c r="P78" s="51" t="n"/>
      <c r="Q78" s="51" t="n"/>
    </row>
    <row r="79">
      <c r="B79" s="51" t="n"/>
      <c r="C79" s="51" t="n"/>
      <c r="D79" s="51" t="n"/>
      <c r="E79" s="51" t="n"/>
      <c r="F79" s="51" t="n"/>
      <c r="G79" s="51" t="n"/>
      <c r="H79" s="51" t="n"/>
      <c r="I79" s="51" t="n"/>
      <c r="J79" s="51" t="n"/>
      <c r="K79" s="51" t="n"/>
      <c r="L79" s="51" t="n"/>
      <c r="M79" s="51" t="n"/>
      <c r="N79" s="51" t="n"/>
      <c r="O79" s="51" t="n"/>
      <c r="P79" s="51" t="n"/>
      <c r="Q79" s="51" t="n"/>
    </row>
    <row r="80">
      <c r="B80" s="51" t="n"/>
      <c r="C80" s="51" t="n"/>
      <c r="D80" s="51" t="n"/>
      <c r="E80" s="51" t="n"/>
      <c r="F80" s="51" t="n"/>
      <c r="G80" s="51" t="n"/>
      <c r="H80" s="51" t="n"/>
      <c r="I80" s="51" t="n"/>
      <c r="J80" s="51" t="n"/>
      <c r="K80" s="51" t="n"/>
      <c r="L80" s="51" t="n"/>
      <c r="M80" s="51" t="n"/>
      <c r="N80" s="51" t="n"/>
      <c r="O80" s="51" t="n"/>
      <c r="P80" s="51" t="n"/>
      <c r="Q80" s="51" t="n"/>
    </row>
    <row r="81">
      <c r="B81" s="51" t="n"/>
      <c r="C81" s="51" t="n"/>
      <c r="D81" s="51" t="n"/>
      <c r="E81" s="51" t="n"/>
      <c r="F81" s="51" t="n"/>
      <c r="G81" s="51" t="n"/>
      <c r="H81" s="51" t="n"/>
      <c r="I81" s="51" t="n"/>
      <c r="J81" s="51" t="n"/>
      <c r="K81" s="51" t="n"/>
      <c r="L81" s="51" t="n"/>
      <c r="M81" s="51" t="n"/>
      <c r="N81" s="51" t="n"/>
      <c r="O81" s="51" t="n"/>
      <c r="P81" s="51" t="n"/>
      <c r="Q81" s="51" t="n"/>
    </row>
    <row r="82">
      <c r="B82" s="51" t="n"/>
      <c r="C82" s="51" t="n"/>
      <c r="D82" s="51" t="n"/>
      <c r="E82" s="51" t="n"/>
      <c r="F82" s="51" t="n"/>
      <c r="G82" s="51" t="n"/>
      <c r="H82" s="51" t="n"/>
      <c r="I82" s="51" t="n"/>
      <c r="J82" s="51" t="n"/>
      <c r="K82" s="51" t="n"/>
      <c r="L82" s="51" t="n"/>
      <c r="M82" s="51" t="n"/>
      <c r="N82" s="51" t="n"/>
      <c r="O82" s="51" t="n"/>
      <c r="P82" s="51" t="n"/>
      <c r="Q82" s="51" t="n"/>
    </row>
    <row r="83">
      <c r="B83" s="51" t="n"/>
      <c r="C83" s="51" t="n"/>
      <c r="D83" s="51" t="n"/>
      <c r="E83" s="51" t="n"/>
      <c r="F83" s="51" t="n"/>
      <c r="G83" s="51" t="n"/>
      <c r="H83" s="51" t="n"/>
      <c r="I83" s="51" t="n"/>
      <c r="J83" s="51" t="n"/>
      <c r="K83" s="51" t="n"/>
      <c r="L83" s="51" t="n"/>
      <c r="M83" s="51" t="n"/>
      <c r="N83" s="51" t="n"/>
      <c r="O83" s="51" t="n"/>
      <c r="P83" s="51" t="n"/>
      <c r="Q83" s="51" t="n"/>
    </row>
    <row r="84">
      <c r="B84" s="51" t="n"/>
      <c r="C84" s="51" t="n"/>
      <c r="D84" s="51" t="n"/>
      <c r="E84" s="51" t="n"/>
      <c r="F84" s="51" t="n"/>
      <c r="G84" s="51" t="n"/>
      <c r="H84" s="51" t="n"/>
      <c r="I84" s="51" t="n"/>
      <c r="J84" s="51" t="n"/>
      <c r="K84" s="51" t="n"/>
      <c r="L84" s="51" t="n"/>
      <c r="M84" s="51" t="n"/>
      <c r="N84" s="51" t="n"/>
      <c r="O84" s="51" t="n"/>
      <c r="P84" s="51" t="n"/>
      <c r="Q84" s="51" t="n"/>
    </row>
    <row r="85">
      <c r="B85" s="51" t="n"/>
      <c r="C85" s="51" t="n"/>
      <c r="D85" s="51" t="n"/>
      <c r="E85" s="51" t="n"/>
      <c r="F85" s="51" t="n"/>
      <c r="G85" s="51" t="n"/>
      <c r="H85" s="51" t="n"/>
      <c r="I85" s="51" t="n"/>
      <c r="J85" s="51" t="n"/>
      <c r="K85" s="51" t="n"/>
      <c r="L85" s="51" t="n"/>
      <c r="M85" s="51" t="n"/>
      <c r="N85" s="51" t="n"/>
      <c r="O85" s="51" t="n"/>
      <c r="P85" s="51" t="n"/>
      <c r="Q85" s="51" t="n"/>
    </row>
    <row r="86">
      <c r="B86" s="51" t="n"/>
      <c r="C86" s="51" t="n"/>
      <c r="D86" s="51" t="n"/>
      <c r="E86" s="51" t="n"/>
      <c r="F86" s="51" t="n"/>
      <c r="G86" s="51" t="n"/>
      <c r="H86" s="51" t="n"/>
      <c r="I86" s="51" t="n"/>
      <c r="J86" s="51" t="n"/>
      <c r="K86" s="51" t="n"/>
      <c r="L86" s="51" t="n"/>
      <c r="M86" s="51" t="n"/>
      <c r="N86" s="51" t="n"/>
      <c r="O86" s="51" t="n"/>
      <c r="P86" s="51" t="n"/>
      <c r="Q86" s="51" t="n"/>
    </row>
    <row r="87">
      <c r="B87" s="51" t="n"/>
      <c r="C87" s="51" t="n"/>
      <c r="D87" s="51" t="n"/>
      <c r="E87" s="51" t="n"/>
      <c r="F87" s="51" t="n"/>
      <c r="G87" s="51" t="n"/>
      <c r="H87" s="51" t="n"/>
      <c r="I87" s="51" t="n"/>
      <c r="J87" s="51" t="n"/>
      <c r="K87" s="51" t="n"/>
      <c r="L87" s="51" t="n"/>
      <c r="M87" s="51" t="n"/>
      <c r="N87" s="51" t="n"/>
      <c r="O87" s="51" t="n"/>
      <c r="P87" s="51" t="n"/>
      <c r="Q87" s="51" t="n"/>
    </row>
    <row r="88">
      <c r="B88" s="51" t="n"/>
      <c r="C88" s="51" t="n"/>
      <c r="D88" s="51" t="n"/>
      <c r="E88" s="51" t="n"/>
      <c r="F88" s="51" t="n"/>
      <c r="G88" s="51" t="n"/>
      <c r="H88" s="51" t="n"/>
      <c r="I88" s="51" t="n"/>
      <c r="J88" s="51" t="n"/>
      <c r="K88" s="51" t="n"/>
      <c r="L88" s="51" t="n"/>
      <c r="M88" s="51" t="n"/>
      <c r="N88" s="51" t="n"/>
      <c r="O88" s="51" t="n"/>
      <c r="P88" s="51" t="n"/>
      <c r="Q88" s="51" t="n"/>
    </row>
    <row r="89">
      <c r="B89" s="51" t="n"/>
      <c r="C89" s="51" t="n"/>
      <c r="D89" s="51" t="n"/>
      <c r="E89" s="51" t="n"/>
      <c r="F89" s="51" t="n"/>
      <c r="G89" s="51" t="n"/>
      <c r="H89" s="51" t="n"/>
      <c r="I89" s="51" t="n"/>
      <c r="J89" s="51" t="n"/>
      <c r="K89" s="51" t="n"/>
      <c r="L89" s="51" t="n"/>
      <c r="M89" s="51" t="n"/>
      <c r="N89" s="51" t="n"/>
      <c r="O89" s="51" t="n"/>
      <c r="P89" s="51" t="n"/>
      <c r="Q89" s="51" t="n"/>
    </row>
    <row r="90">
      <c r="B90" s="51" t="n"/>
      <c r="C90" s="51" t="n"/>
      <c r="D90" s="51" t="n"/>
      <c r="E90" s="51" t="n"/>
      <c r="F90" s="51" t="n"/>
      <c r="G90" s="51" t="n"/>
      <c r="H90" s="51" t="n"/>
      <c r="I90" s="51" t="n"/>
      <c r="J90" s="51" t="n"/>
      <c r="K90" s="51" t="n"/>
      <c r="L90" s="51" t="n"/>
      <c r="M90" s="51" t="n"/>
      <c r="N90" s="51" t="n"/>
      <c r="O90" s="51" t="n"/>
      <c r="P90" s="51" t="n"/>
      <c r="Q90" s="51" t="n"/>
    </row>
    <row r="91">
      <c r="B91" s="51" t="n"/>
      <c r="C91" s="51" t="n"/>
      <c r="D91" s="51" t="n"/>
      <c r="E91" s="51" t="n"/>
      <c r="F91" s="51" t="n"/>
      <c r="G91" s="51" t="n"/>
      <c r="H91" s="51" t="n"/>
      <c r="I91" s="51" t="n"/>
      <c r="J91" s="51" t="n"/>
      <c r="K91" s="51" t="n"/>
      <c r="L91" s="51" t="n"/>
      <c r="M91" s="51" t="n"/>
      <c r="N91" s="51" t="n"/>
      <c r="O91" s="51" t="n"/>
      <c r="P91" s="51" t="n"/>
      <c r="Q91" s="51" t="n"/>
    </row>
    <row r="92">
      <c r="B92" s="51" t="n"/>
      <c r="C92" s="51" t="n"/>
      <c r="D92" s="51" t="n"/>
      <c r="E92" s="51" t="n"/>
      <c r="F92" s="51" t="n"/>
      <c r="G92" s="51" t="n"/>
      <c r="H92" s="51" t="n"/>
      <c r="I92" s="51" t="n"/>
      <c r="J92" s="51" t="n"/>
      <c r="K92" s="51" t="n"/>
      <c r="L92" s="51" t="n"/>
      <c r="M92" s="51" t="n"/>
      <c r="N92" s="51" t="n"/>
      <c r="O92" s="51" t="n"/>
      <c r="P92" s="51" t="n"/>
      <c r="Q92" s="51" t="n"/>
    </row>
    <row r="93">
      <c r="B93" s="51" t="n"/>
      <c r="C93" s="51" t="n"/>
      <c r="D93" s="51" t="n"/>
      <c r="E93" s="51" t="n"/>
      <c r="F93" s="51" t="n"/>
      <c r="G93" s="51" t="n"/>
      <c r="H93" s="51" t="n"/>
      <c r="I93" s="51" t="n"/>
      <c r="J93" s="51" t="n"/>
      <c r="K93" s="51" t="n"/>
      <c r="L93" s="51" t="n"/>
      <c r="M93" s="51" t="n"/>
      <c r="N93" s="51" t="n"/>
      <c r="O93" s="51" t="n"/>
      <c r="P93" s="51" t="n"/>
      <c r="Q93" s="51" t="n"/>
    </row>
    <row r="94">
      <c r="B94" s="51" t="n"/>
      <c r="C94" s="51" t="n"/>
      <c r="D94" s="51" t="n"/>
      <c r="E94" s="51" t="n"/>
      <c r="F94" s="51" t="n"/>
      <c r="G94" s="51" t="n"/>
      <c r="H94" s="51" t="n"/>
      <c r="I94" s="51" t="n"/>
      <c r="J94" s="51" t="n"/>
      <c r="K94" s="51" t="n"/>
      <c r="L94" s="51" t="n"/>
      <c r="M94" s="51" t="n"/>
      <c r="N94" s="51" t="n"/>
      <c r="O94" s="51" t="n"/>
      <c r="P94" s="51" t="n"/>
      <c r="Q94" s="51" t="n"/>
    </row>
    <row r="95">
      <c r="B95" s="51" t="n"/>
      <c r="C95" s="51" t="n"/>
      <c r="D95" s="51" t="n"/>
      <c r="E95" s="51" t="n"/>
      <c r="F95" s="51" t="n"/>
      <c r="G95" s="51" t="n"/>
      <c r="H95" s="51" t="n"/>
      <c r="I95" s="51" t="n"/>
      <c r="J95" s="51" t="n"/>
      <c r="K95" s="51" t="n"/>
      <c r="L95" s="51" t="n"/>
      <c r="M95" s="51" t="n"/>
      <c r="N95" s="51" t="n"/>
      <c r="O95" s="51" t="n"/>
      <c r="P95" s="51" t="n"/>
      <c r="Q95" s="51" t="n"/>
    </row>
    <row r="96">
      <c r="B96" s="51" t="n"/>
      <c r="C96" s="51" t="n"/>
      <c r="D96" s="51" t="n"/>
      <c r="E96" s="51" t="n"/>
      <c r="F96" s="51" t="n"/>
      <c r="G96" s="51" t="n"/>
      <c r="H96" s="51" t="n"/>
      <c r="I96" s="51" t="n"/>
      <c r="J96" s="51" t="n"/>
      <c r="K96" s="51" t="n"/>
      <c r="L96" s="51" t="n"/>
      <c r="M96" s="51" t="n"/>
      <c r="N96" s="51" t="n"/>
      <c r="O96" s="51" t="n"/>
      <c r="P96" s="51" t="n"/>
      <c r="Q96" s="51" t="n"/>
    </row>
    <row r="97">
      <c r="B97" s="51" t="n"/>
      <c r="C97" s="51" t="n"/>
      <c r="D97" s="51" t="n"/>
      <c r="E97" s="51" t="n"/>
      <c r="F97" s="51" t="n"/>
      <c r="G97" s="51" t="n"/>
      <c r="H97" s="51" t="n"/>
      <c r="I97" s="51" t="n"/>
      <c r="J97" s="51" t="n"/>
      <c r="K97" s="51" t="n"/>
      <c r="L97" s="51" t="n"/>
      <c r="M97" s="51" t="n"/>
      <c r="N97" s="51" t="n"/>
      <c r="O97" s="51" t="n"/>
      <c r="P97" s="51" t="n"/>
      <c r="Q97" s="51" t="n"/>
    </row>
    <row r="98">
      <c r="B98" s="51" t="n"/>
      <c r="C98" s="51" t="n"/>
      <c r="D98" s="51" t="n"/>
      <c r="E98" s="51" t="n"/>
      <c r="F98" s="51" t="n"/>
      <c r="G98" s="51" t="n"/>
      <c r="H98" s="51" t="n"/>
      <c r="I98" s="51" t="n"/>
      <c r="J98" s="51" t="n"/>
      <c r="K98" s="51" t="n"/>
      <c r="L98" s="51" t="n"/>
      <c r="M98" s="51" t="n"/>
      <c r="N98" s="51" t="n"/>
      <c r="O98" s="51" t="n"/>
      <c r="P98" s="51" t="n"/>
      <c r="Q98" s="51" t="n"/>
    </row>
    <row r="99">
      <c r="B99" s="51" t="n"/>
      <c r="C99" s="51" t="n"/>
      <c r="D99" s="51" t="n"/>
      <c r="E99" s="51" t="n"/>
      <c r="F99" s="51" t="n"/>
      <c r="G99" s="51" t="n"/>
      <c r="H99" s="51" t="n"/>
      <c r="I99" s="51" t="n"/>
      <c r="J99" s="51" t="n"/>
      <c r="K99" s="51" t="n"/>
      <c r="L99" s="51" t="n"/>
      <c r="M99" s="51" t="n"/>
      <c r="N99" s="51" t="n"/>
      <c r="O99" s="51" t="n"/>
      <c r="P99" s="51" t="n"/>
      <c r="Q99" s="51" t="n"/>
    </row>
    <row r="100">
      <c r="B100" s="51" t="n"/>
      <c r="C100" s="51" t="n"/>
      <c r="D100" s="51" t="n"/>
      <c r="E100" s="51" t="n"/>
      <c r="F100" s="51" t="n"/>
      <c r="G100" s="51" t="n"/>
      <c r="H100" s="51" t="n"/>
      <c r="I100" s="51" t="n"/>
      <c r="J100" s="51" t="n"/>
      <c r="K100" s="51" t="n"/>
      <c r="L100" s="51" t="n"/>
      <c r="M100" s="51" t="n"/>
      <c r="N100" s="51" t="n"/>
      <c r="O100" s="51" t="n"/>
      <c r="P100" s="51" t="n"/>
      <c r="Q100" s="51" t="n"/>
    </row>
    <row r="101">
      <c r="B101" s="51" t="n"/>
      <c r="C101" s="51" t="n"/>
      <c r="D101" s="51" t="n"/>
      <c r="E101" s="51" t="n"/>
      <c r="F101" s="51" t="n"/>
      <c r="G101" s="51" t="n"/>
      <c r="H101" s="51" t="n"/>
      <c r="I101" s="51" t="n"/>
      <c r="J101" s="51" t="n"/>
      <c r="K101" s="51" t="n"/>
      <c r="L101" s="51" t="n"/>
      <c r="M101" s="51" t="n"/>
      <c r="N101" s="51" t="n"/>
      <c r="O101" s="51" t="n"/>
      <c r="P101" s="51" t="n"/>
      <c r="Q101" s="51" t="n"/>
    </row>
    <row r="102">
      <c r="B102" s="51" t="n"/>
      <c r="C102" s="51" t="n"/>
      <c r="D102" s="51" t="n"/>
      <c r="E102" s="51" t="n"/>
      <c r="F102" s="51" t="n"/>
      <c r="G102" s="51" t="n"/>
      <c r="H102" s="51" t="n"/>
      <c r="I102" s="51" t="n"/>
      <c r="J102" s="51" t="n"/>
      <c r="K102" s="51" t="n"/>
      <c r="L102" s="51" t="n"/>
      <c r="M102" s="51" t="n"/>
      <c r="N102" s="51" t="n"/>
      <c r="O102" s="51" t="n"/>
      <c r="P102" s="51" t="n"/>
      <c r="Q102" s="51" t="n"/>
    </row>
    <row r="103">
      <c r="B103" s="51" t="n"/>
      <c r="C103" s="51" t="n"/>
      <c r="D103" s="51" t="n"/>
      <c r="E103" s="51" t="n"/>
      <c r="F103" s="51" t="n"/>
      <c r="G103" s="51" t="n"/>
      <c r="H103" s="51" t="n"/>
      <c r="I103" s="51" t="n"/>
      <c r="J103" s="51" t="n"/>
      <c r="K103" s="51" t="n"/>
      <c r="L103" s="51" t="n"/>
      <c r="M103" s="51" t="n"/>
      <c r="N103" s="51" t="n"/>
      <c r="O103" s="51" t="n"/>
      <c r="P103" s="51" t="n"/>
      <c r="Q103" s="51" t="n"/>
    </row>
    <row r="104">
      <c r="B104" s="51" t="n"/>
      <c r="C104" s="51" t="n"/>
      <c r="D104" s="51" t="n"/>
      <c r="E104" s="51" t="n"/>
      <c r="F104" s="51" t="n"/>
      <c r="G104" s="51" t="n"/>
      <c r="H104" s="51" t="n"/>
      <c r="I104" s="51" t="n"/>
      <c r="J104" s="51" t="n"/>
      <c r="K104" s="51" t="n"/>
      <c r="L104" s="51" t="n"/>
      <c r="M104" s="51" t="n"/>
      <c r="N104" s="51" t="n"/>
      <c r="O104" s="51" t="n"/>
      <c r="P104" s="51" t="n"/>
      <c r="Q104" s="51" t="n"/>
    </row>
    <row r="105">
      <c r="B105" s="51" t="n"/>
      <c r="C105" s="51" t="n"/>
      <c r="D105" s="51" t="n"/>
      <c r="E105" s="51" t="n"/>
      <c r="F105" s="51" t="n"/>
      <c r="G105" s="51" t="n"/>
      <c r="H105" s="51" t="n"/>
      <c r="I105" s="51" t="n"/>
      <c r="J105" s="51" t="n"/>
      <c r="K105" s="51" t="n"/>
      <c r="L105" s="51" t="n"/>
      <c r="M105" s="51" t="n"/>
      <c r="N105" s="51" t="n"/>
      <c r="O105" s="51" t="n"/>
      <c r="P105" s="51" t="n"/>
      <c r="Q105" s="51" t="n"/>
    </row>
    <row r="106">
      <c r="B106" s="51" t="n"/>
      <c r="C106" s="51" t="n"/>
      <c r="D106" s="51" t="n"/>
      <c r="E106" s="51" t="n"/>
      <c r="F106" s="51" t="n"/>
      <c r="G106" s="51" t="n"/>
      <c r="H106" s="51" t="n"/>
      <c r="I106" s="51" t="n"/>
      <c r="J106" s="51" t="n"/>
      <c r="K106" s="51" t="n"/>
      <c r="L106" s="51" t="n"/>
      <c r="M106" s="51" t="n"/>
      <c r="N106" s="51" t="n"/>
      <c r="O106" s="51" t="n"/>
      <c r="P106" s="51" t="n"/>
      <c r="Q106" s="51" t="n"/>
    </row>
    <row r="107">
      <c r="B107" s="51" t="n"/>
      <c r="C107" s="51" t="n"/>
      <c r="D107" s="51" t="n"/>
      <c r="E107" s="51" t="n"/>
      <c r="F107" s="51" t="n"/>
      <c r="G107" s="51" t="n"/>
      <c r="H107" s="51" t="n"/>
      <c r="I107" s="51" t="n"/>
      <c r="J107" s="51" t="n"/>
      <c r="K107" s="51" t="n"/>
      <c r="L107" s="51" t="n"/>
      <c r="M107" s="51" t="n"/>
      <c r="N107" s="51" t="n"/>
      <c r="O107" s="51" t="n"/>
      <c r="P107" s="51" t="n"/>
      <c r="Q107" s="51" t="n"/>
    </row>
    <row r="108">
      <c r="B108" s="51" t="n"/>
      <c r="C108" s="51" t="n"/>
      <c r="D108" s="51" t="n"/>
      <c r="E108" s="51" t="n"/>
      <c r="F108" s="51" t="n"/>
      <c r="G108" s="51" t="n"/>
      <c r="H108" s="51" t="n"/>
      <c r="I108" s="51" t="n"/>
      <c r="J108" s="51" t="n"/>
      <c r="K108" s="51" t="n"/>
      <c r="L108" s="51" t="n"/>
      <c r="M108" s="51" t="n"/>
      <c r="N108" s="51" t="n"/>
      <c r="O108" s="51" t="n"/>
      <c r="P108" s="51" t="n"/>
      <c r="Q108" s="51" t="n"/>
    </row>
    <row r="109">
      <c r="B109" s="51" t="n"/>
      <c r="C109" s="51" t="n"/>
      <c r="D109" s="51" t="n"/>
      <c r="E109" s="51" t="n"/>
      <c r="F109" s="51" t="n"/>
      <c r="G109" s="51" t="n"/>
      <c r="H109" s="51" t="n"/>
      <c r="I109" s="51" t="n"/>
      <c r="J109" s="51" t="n"/>
      <c r="K109" s="51" t="n"/>
      <c r="L109" s="51" t="n"/>
      <c r="M109" s="51" t="n"/>
      <c r="N109" s="51" t="n"/>
      <c r="O109" s="51" t="n"/>
      <c r="P109" s="51" t="n"/>
      <c r="Q109" s="51" t="n"/>
    </row>
    <row r="110">
      <c r="B110" s="51" t="n"/>
      <c r="C110" s="51" t="n"/>
      <c r="D110" s="51" t="n"/>
      <c r="E110" s="51" t="n"/>
      <c r="F110" s="51" t="n"/>
      <c r="G110" s="51" t="n"/>
      <c r="H110" s="51" t="n"/>
      <c r="I110" s="51" t="n"/>
      <c r="J110" s="51" t="n"/>
      <c r="K110" s="51" t="n"/>
      <c r="L110" s="51" t="n"/>
      <c r="M110" s="51" t="n"/>
      <c r="N110" s="51" t="n"/>
      <c r="O110" s="51" t="n"/>
      <c r="P110" s="51" t="n"/>
      <c r="Q110" s="51" t="n"/>
    </row>
    <row r="111">
      <c r="B111" s="51" t="n"/>
      <c r="C111" s="51" t="n"/>
      <c r="D111" s="51" t="n"/>
      <c r="E111" s="51" t="n"/>
      <c r="F111" s="51" t="n"/>
      <c r="G111" s="51" t="n"/>
      <c r="H111" s="51" t="n"/>
      <c r="I111" s="51" t="n"/>
      <c r="J111" s="51" t="n"/>
      <c r="K111" s="51" t="n"/>
      <c r="L111" s="51" t="n"/>
      <c r="M111" s="51" t="n"/>
      <c r="N111" s="51" t="n"/>
      <c r="O111" s="51" t="n"/>
      <c r="P111" s="51" t="n"/>
      <c r="Q111" s="51" t="n"/>
    </row>
    <row r="112">
      <c r="B112" s="51" t="n"/>
      <c r="C112" s="51" t="n"/>
      <c r="D112" s="51" t="n"/>
      <c r="E112" s="51" t="n"/>
      <c r="F112" s="51" t="n"/>
      <c r="G112" s="51" t="n"/>
      <c r="H112" s="51" t="n"/>
      <c r="I112" s="51" t="n"/>
      <c r="J112" s="51" t="n"/>
      <c r="K112" s="51" t="n"/>
      <c r="L112" s="51" t="n"/>
      <c r="M112" s="51" t="n"/>
      <c r="N112" s="51" t="n"/>
      <c r="O112" s="51" t="n"/>
      <c r="P112" s="51" t="n"/>
      <c r="Q112" s="51" t="n"/>
    </row>
    <row r="113">
      <c r="B113" s="51" t="n"/>
      <c r="C113" s="51" t="n"/>
      <c r="D113" s="51" t="n"/>
      <c r="E113" s="51" t="n"/>
      <c r="F113" s="51" t="n"/>
      <c r="G113" s="51" t="n"/>
      <c r="H113" s="51" t="n"/>
      <c r="I113" s="51" t="n"/>
      <c r="J113" s="51" t="n"/>
      <c r="K113" s="51" t="n"/>
      <c r="L113" s="51" t="n"/>
      <c r="M113" s="51" t="n"/>
      <c r="N113" s="51" t="n"/>
      <c r="O113" s="51" t="n"/>
      <c r="P113" s="51" t="n"/>
      <c r="Q113" s="51" t="n"/>
    </row>
    <row r="114">
      <c r="B114" s="51" t="n"/>
      <c r="C114" s="51" t="n"/>
      <c r="D114" s="51" t="n"/>
      <c r="E114" s="51" t="n"/>
      <c r="F114" s="51" t="n"/>
      <c r="G114" s="51" t="n"/>
      <c r="H114" s="51" t="n"/>
      <c r="I114" s="51" t="n"/>
      <c r="J114" s="51" t="n"/>
      <c r="K114" s="51" t="n"/>
      <c r="L114" s="51" t="n"/>
      <c r="M114" s="51" t="n"/>
      <c r="N114" s="51" t="n"/>
      <c r="O114" s="51" t="n"/>
      <c r="P114" s="51" t="n"/>
      <c r="Q114" s="51" t="n"/>
    </row>
    <row r="115">
      <c r="B115" s="51" t="n"/>
      <c r="C115" s="51" t="n"/>
      <c r="D115" s="51" t="n"/>
      <c r="E115" s="51" t="n"/>
      <c r="F115" s="51" t="n"/>
      <c r="G115" s="51" t="n"/>
      <c r="H115" s="51" t="n"/>
      <c r="I115" s="51" t="n"/>
      <c r="J115" s="51" t="n"/>
      <c r="K115" s="51" t="n"/>
      <c r="L115" s="51" t="n"/>
      <c r="M115" s="51" t="n"/>
      <c r="N115" s="51" t="n"/>
      <c r="O115" s="51" t="n"/>
      <c r="P115" s="51" t="n"/>
      <c r="Q115" s="51" t="n"/>
    </row>
    <row r="116">
      <c r="B116" s="51" t="n"/>
      <c r="C116" s="51" t="n"/>
      <c r="D116" s="51" t="n"/>
      <c r="E116" s="51" t="n"/>
      <c r="F116" s="51" t="n"/>
      <c r="G116" s="51" t="n"/>
      <c r="H116" s="51" t="n"/>
      <c r="I116" s="51" t="n"/>
      <c r="J116" s="51" t="n"/>
      <c r="K116" s="51" t="n"/>
      <c r="L116" s="51" t="n"/>
      <c r="M116" s="51" t="n"/>
      <c r="N116" s="51" t="n"/>
      <c r="O116" s="51" t="n"/>
      <c r="P116" s="51" t="n"/>
      <c r="Q116" s="51" t="n"/>
    </row>
    <row r="117">
      <c r="B117" s="51" t="n"/>
      <c r="C117" s="51" t="n"/>
      <c r="D117" s="51" t="n"/>
      <c r="E117" s="51" t="n"/>
      <c r="F117" s="51" t="n"/>
      <c r="G117" s="51" t="n"/>
      <c r="H117" s="51" t="n"/>
      <c r="I117" s="51" t="n"/>
      <c r="J117" s="51" t="n"/>
      <c r="K117" s="51" t="n"/>
      <c r="L117" s="51" t="n"/>
      <c r="M117" s="51" t="n"/>
      <c r="N117" s="51" t="n"/>
      <c r="O117" s="51" t="n"/>
      <c r="P117" s="51" t="n"/>
      <c r="Q117" s="51" t="n"/>
    </row>
    <row r="118">
      <c r="B118" s="51" t="n"/>
      <c r="C118" s="51" t="n"/>
      <c r="D118" s="51" t="n"/>
      <c r="E118" s="51" t="n"/>
      <c r="F118" s="51" t="n"/>
      <c r="G118" s="51" t="n"/>
      <c r="H118" s="51" t="n"/>
      <c r="I118" s="51" t="n"/>
      <c r="J118" s="51" t="n"/>
      <c r="K118" s="51" t="n"/>
      <c r="L118" s="51" t="n"/>
      <c r="M118" s="51" t="n"/>
      <c r="N118" s="51" t="n"/>
      <c r="O118" s="51" t="n"/>
      <c r="P118" s="51" t="n"/>
      <c r="Q118" s="51" t="n"/>
    </row>
    <row r="119">
      <c r="B119" s="51" t="n"/>
      <c r="C119" s="51" t="n"/>
      <c r="D119" s="51" t="n"/>
      <c r="E119" s="51" t="n"/>
      <c r="F119" s="51" t="n"/>
      <c r="G119" s="51" t="n"/>
      <c r="H119" s="51" t="n"/>
      <c r="I119" s="51" t="n"/>
      <c r="J119" s="51" t="n"/>
      <c r="K119" s="51" t="n"/>
      <c r="L119" s="51" t="n"/>
      <c r="M119" s="51" t="n"/>
      <c r="N119" s="51" t="n"/>
      <c r="O119" s="51" t="n"/>
      <c r="P119" s="51" t="n"/>
      <c r="Q119" s="51" t="n"/>
    </row>
    <row r="120">
      <c r="B120" s="51" t="n"/>
      <c r="C120" s="51" t="n"/>
      <c r="D120" s="51" t="n"/>
      <c r="E120" s="51" t="n"/>
      <c r="F120" s="51" t="n"/>
      <c r="G120" s="51" t="n"/>
      <c r="H120" s="51" t="n"/>
      <c r="I120" s="51" t="n"/>
      <c r="J120" s="51" t="n"/>
      <c r="K120" s="51" t="n"/>
      <c r="L120" s="51" t="n"/>
      <c r="M120" s="51" t="n"/>
      <c r="N120" s="51" t="n"/>
      <c r="O120" s="51" t="n"/>
      <c r="P120" s="51" t="n"/>
      <c r="Q120" s="51" t="n"/>
    </row>
    <row r="121">
      <c r="B121" s="51" t="n"/>
      <c r="C121" s="51" t="n"/>
      <c r="D121" s="51" t="n"/>
      <c r="E121" s="51" t="n"/>
      <c r="F121" s="51" t="n"/>
      <c r="G121" s="51" t="n"/>
      <c r="H121" s="51" t="n"/>
      <c r="I121" s="51" t="n"/>
      <c r="J121" s="51" t="n"/>
      <c r="K121" s="51" t="n"/>
      <c r="L121" s="51" t="n"/>
      <c r="M121" s="51" t="n"/>
      <c r="N121" s="51" t="n"/>
      <c r="O121" s="51" t="n"/>
      <c r="P121" s="51" t="n"/>
      <c r="Q121" s="51" t="n"/>
    </row>
    <row r="122">
      <c r="B122" s="51" t="n"/>
      <c r="C122" s="51" t="n"/>
      <c r="D122" s="51" t="n"/>
      <c r="E122" s="51" t="n"/>
      <c r="F122" s="51" t="n"/>
      <c r="G122" s="51" t="n"/>
      <c r="H122" s="51" t="n"/>
      <c r="I122" s="51" t="n"/>
      <c r="J122" s="51" t="n"/>
      <c r="K122" s="51" t="n"/>
      <c r="L122" s="51" t="n"/>
      <c r="M122" s="51" t="n"/>
      <c r="N122" s="51" t="n"/>
      <c r="O122" s="51" t="n"/>
      <c r="P122" s="51" t="n"/>
      <c r="Q122" s="51" t="n"/>
    </row>
    <row r="123">
      <c r="B123" s="51" t="n"/>
      <c r="C123" s="51" t="n"/>
      <c r="D123" s="51" t="n"/>
      <c r="E123" s="51" t="n"/>
      <c r="F123" s="51" t="n"/>
      <c r="G123" s="51" t="n"/>
      <c r="H123" s="51" t="n"/>
      <c r="I123" s="51" t="n"/>
      <c r="J123" s="51" t="n"/>
      <c r="K123" s="51" t="n"/>
      <c r="L123" s="51" t="n"/>
      <c r="M123" s="51" t="n"/>
      <c r="N123" s="51" t="n"/>
      <c r="O123" s="51" t="n"/>
      <c r="P123" s="51" t="n"/>
      <c r="Q123" s="51" t="n"/>
    </row>
    <row r="124">
      <c r="B124" s="51" t="n"/>
      <c r="C124" s="51" t="n"/>
      <c r="D124" s="51" t="n"/>
      <c r="E124" s="51" t="n"/>
      <c r="F124" s="51" t="n"/>
      <c r="G124" s="51" t="n"/>
      <c r="H124" s="51" t="n"/>
      <c r="I124" s="51" t="n"/>
      <c r="J124" s="51" t="n"/>
      <c r="K124" s="51" t="n"/>
      <c r="L124" s="51" t="n"/>
      <c r="M124" s="51" t="n"/>
      <c r="N124" s="51" t="n"/>
      <c r="O124" s="51" t="n"/>
      <c r="P124" s="51" t="n"/>
      <c r="Q124" s="51" t="n"/>
    </row>
    <row r="125">
      <c r="B125" s="51" t="n"/>
      <c r="C125" s="51" t="n"/>
      <c r="D125" s="51" t="n"/>
      <c r="E125" s="51" t="n"/>
      <c r="F125" s="51" t="n"/>
      <c r="G125" s="51" t="n"/>
      <c r="H125" s="51" t="n"/>
      <c r="I125" s="51" t="n"/>
      <c r="J125" s="51" t="n"/>
      <c r="K125" s="51" t="n"/>
      <c r="L125" s="51" t="n"/>
      <c r="M125" s="51" t="n"/>
      <c r="N125" s="51" t="n"/>
      <c r="O125" s="51" t="n"/>
      <c r="P125" s="51" t="n"/>
      <c r="Q125" s="51" t="n"/>
    </row>
    <row r="126">
      <c r="B126" s="51" t="n"/>
      <c r="C126" s="51" t="n"/>
      <c r="D126" s="51" t="n"/>
      <c r="E126" s="51" t="n"/>
      <c r="F126" s="51" t="n"/>
      <c r="G126" s="51" t="n"/>
      <c r="H126" s="51" t="n"/>
      <c r="I126" s="51" t="n"/>
      <c r="J126" s="51" t="n"/>
      <c r="K126" s="51" t="n"/>
      <c r="L126" s="51" t="n"/>
      <c r="M126" s="51" t="n"/>
      <c r="N126" s="51" t="n"/>
      <c r="O126" s="51" t="n"/>
      <c r="P126" s="51" t="n"/>
      <c r="Q126" s="51" t="n"/>
    </row>
    <row r="127">
      <c r="B127" s="51" t="n"/>
      <c r="C127" s="51" t="n"/>
      <c r="D127" s="51" t="n"/>
      <c r="E127" s="51" t="n"/>
      <c r="F127" s="51" t="n"/>
      <c r="G127" s="51" t="n"/>
      <c r="H127" s="51" t="n"/>
      <c r="I127" s="51" t="n"/>
      <c r="J127" s="51" t="n"/>
      <c r="K127" s="51" t="n"/>
      <c r="L127" s="51" t="n"/>
      <c r="M127" s="51" t="n"/>
      <c r="N127" s="51" t="n"/>
      <c r="O127" s="51" t="n"/>
      <c r="P127" s="51" t="n"/>
      <c r="Q127" s="51" t="n"/>
    </row>
    <row r="128">
      <c r="B128" s="51" t="n"/>
      <c r="C128" s="51" t="n"/>
      <c r="D128" s="51" t="n"/>
      <c r="E128" s="51" t="n"/>
      <c r="F128" s="51" t="n"/>
      <c r="G128" s="51" t="n"/>
      <c r="H128" s="51" t="n"/>
      <c r="I128" s="51" t="n"/>
      <c r="J128" s="51" t="n"/>
      <c r="K128" s="51" t="n"/>
      <c r="L128" s="51" t="n"/>
      <c r="M128" s="51" t="n"/>
      <c r="N128" s="51" t="n"/>
      <c r="O128" s="51" t="n"/>
      <c r="P128" s="51" t="n"/>
      <c r="Q128" s="51" t="n"/>
    </row>
    <row r="129">
      <c r="B129" s="51" t="n"/>
      <c r="C129" s="51" t="n"/>
      <c r="D129" s="51" t="n"/>
      <c r="E129" s="51" t="n"/>
      <c r="F129" s="51" t="n"/>
      <c r="G129" s="51" t="n"/>
      <c r="H129" s="51" t="n"/>
      <c r="I129" s="51" t="n"/>
      <c r="J129" s="51" t="n"/>
      <c r="K129" s="51" t="n"/>
      <c r="L129" s="51" t="n"/>
      <c r="M129" s="51" t="n"/>
      <c r="N129" s="51" t="n"/>
      <c r="O129" s="51" t="n"/>
      <c r="P129" s="51" t="n"/>
      <c r="Q129" s="51" t="n"/>
    </row>
    <row r="130">
      <c r="B130" s="51" t="n"/>
      <c r="C130" s="51" t="n"/>
      <c r="D130" s="51" t="n"/>
      <c r="E130" s="51" t="n"/>
      <c r="F130" s="51" t="n"/>
      <c r="G130" s="51" t="n"/>
      <c r="H130" s="51" t="n"/>
      <c r="I130" s="51" t="n"/>
      <c r="J130" s="51" t="n"/>
      <c r="K130" s="51" t="n"/>
      <c r="L130" s="51" t="n"/>
      <c r="M130" s="51" t="n"/>
      <c r="N130" s="51" t="n"/>
      <c r="O130" s="51" t="n"/>
      <c r="P130" s="51" t="n"/>
      <c r="Q130" s="51" t="n"/>
    </row>
    <row r="131">
      <c r="B131" s="51" t="n"/>
      <c r="C131" s="51" t="n"/>
      <c r="D131" s="51" t="n"/>
      <c r="E131" s="51" t="n"/>
      <c r="F131" s="51" t="n"/>
      <c r="G131" s="51" t="n"/>
      <c r="H131" s="51" t="n"/>
      <c r="I131" s="51" t="n"/>
      <c r="J131" s="51" t="n"/>
      <c r="K131" s="51" t="n"/>
      <c r="L131" s="51" t="n"/>
      <c r="M131" s="51" t="n"/>
      <c r="N131" s="51" t="n"/>
      <c r="O131" s="51" t="n"/>
      <c r="P131" s="51" t="n"/>
      <c r="Q131" s="51" t="n"/>
    </row>
    <row r="132">
      <c r="B132" s="51" t="n"/>
      <c r="C132" s="51" t="n"/>
      <c r="D132" s="51" t="n"/>
      <c r="E132" s="51" t="n"/>
      <c r="F132" s="51" t="n"/>
      <c r="G132" s="51" t="n"/>
      <c r="H132" s="51" t="n"/>
      <c r="I132" s="51" t="n"/>
      <c r="J132" s="51" t="n"/>
      <c r="K132" s="51" t="n"/>
      <c r="L132" s="51" t="n"/>
      <c r="M132" s="51" t="n"/>
      <c r="N132" s="51" t="n"/>
      <c r="O132" s="51" t="n"/>
      <c r="P132" s="51" t="n"/>
      <c r="Q132" s="51" t="n"/>
    </row>
    <row r="133">
      <c r="B133" s="51" t="n"/>
      <c r="C133" s="51" t="n"/>
      <c r="D133" s="51" t="n"/>
      <c r="E133" s="51" t="n"/>
      <c r="F133" s="51" t="n"/>
      <c r="G133" s="51" t="n"/>
      <c r="H133" s="51" t="n"/>
      <c r="I133" s="51" t="n"/>
      <c r="J133" s="51" t="n"/>
      <c r="K133" s="51" t="n"/>
      <c r="L133" s="51" t="n"/>
      <c r="M133" s="51" t="n"/>
      <c r="N133" s="51" t="n"/>
      <c r="O133" s="51" t="n"/>
      <c r="P133" s="51" t="n"/>
      <c r="Q133" s="51" t="n"/>
    </row>
    <row r="134">
      <c r="B134" s="51" t="n"/>
      <c r="C134" s="51" t="n"/>
      <c r="D134" s="51" t="n"/>
      <c r="E134" s="51" t="n"/>
      <c r="F134" s="51" t="n"/>
      <c r="G134" s="51" t="n"/>
      <c r="H134" s="51" t="n"/>
      <c r="I134" s="51" t="n"/>
      <c r="J134" s="51" t="n"/>
      <c r="K134" s="51" t="n"/>
      <c r="L134" s="51" t="n"/>
      <c r="M134" s="51" t="n"/>
      <c r="N134" s="51" t="n"/>
      <c r="O134" s="51" t="n"/>
      <c r="P134" s="51" t="n"/>
      <c r="Q134" s="51" t="n"/>
    </row>
    <row r="135">
      <c r="B135" s="51" t="n"/>
      <c r="C135" s="51" t="n"/>
      <c r="D135" s="51" t="n"/>
      <c r="E135" s="51" t="n"/>
      <c r="F135" s="51" t="n"/>
      <c r="G135" s="51" t="n"/>
      <c r="H135" s="51" t="n"/>
      <c r="I135" s="51" t="n"/>
      <c r="J135" s="51" t="n"/>
      <c r="K135" s="51" t="n"/>
      <c r="L135" s="51" t="n"/>
      <c r="M135" s="51" t="n"/>
      <c r="N135" s="51" t="n"/>
      <c r="O135" s="51" t="n"/>
      <c r="P135" s="51" t="n"/>
      <c r="Q135" s="51" t="n"/>
    </row>
    <row r="136">
      <c r="B136" s="51" t="n"/>
      <c r="C136" s="51" t="n"/>
      <c r="D136" s="51" t="n"/>
      <c r="E136" s="51" t="n"/>
      <c r="F136" s="51" t="n"/>
      <c r="G136" s="51" t="n"/>
      <c r="H136" s="51" t="n"/>
      <c r="I136" s="51" t="n"/>
      <c r="J136" s="51" t="n"/>
      <c r="K136" s="51" t="n"/>
      <c r="L136" s="51" t="n"/>
      <c r="M136" s="51" t="n"/>
      <c r="N136" s="51" t="n"/>
      <c r="O136" s="51" t="n"/>
      <c r="P136" s="51" t="n"/>
      <c r="Q136" s="51" t="n"/>
    </row>
    <row r="137">
      <c r="B137" s="51" t="n"/>
      <c r="C137" s="51" t="n"/>
      <c r="D137" s="51" t="n"/>
      <c r="E137" s="51" t="n"/>
      <c r="F137" s="51" t="n"/>
      <c r="G137" s="51" t="n"/>
      <c r="H137" s="51" t="n"/>
      <c r="I137" s="51" t="n"/>
      <c r="J137" s="51" t="n"/>
      <c r="K137" s="51" t="n"/>
      <c r="L137" s="51" t="n"/>
      <c r="M137" s="51" t="n"/>
      <c r="N137" s="51" t="n"/>
      <c r="O137" s="51" t="n"/>
      <c r="P137" s="51" t="n"/>
      <c r="Q137" s="51" t="n"/>
    </row>
    <row r="138">
      <c r="B138" s="51" t="n"/>
      <c r="C138" s="51" t="n"/>
      <c r="D138" s="51" t="n"/>
      <c r="E138" s="51" t="n"/>
      <c r="F138" s="51" t="n"/>
      <c r="G138" s="51" t="n"/>
      <c r="H138" s="51" t="n"/>
      <c r="I138" s="51" t="n"/>
      <c r="J138" s="51" t="n"/>
      <c r="K138" s="51" t="n"/>
      <c r="L138" s="51" t="n"/>
      <c r="M138" s="51" t="n"/>
      <c r="N138" s="51" t="n"/>
      <c r="O138" s="51" t="n"/>
      <c r="P138" s="51" t="n"/>
      <c r="Q138" s="51" t="n"/>
    </row>
    <row r="139">
      <c r="B139" s="51" t="n"/>
      <c r="C139" s="51" t="n"/>
      <c r="D139" s="51" t="n"/>
      <c r="E139" s="51" t="n"/>
      <c r="F139" s="51" t="n"/>
      <c r="G139" s="51" t="n"/>
      <c r="H139" s="51" t="n"/>
      <c r="I139" s="51" t="n"/>
      <c r="J139" s="51" t="n"/>
      <c r="K139" s="51" t="n"/>
      <c r="L139" s="51" t="n"/>
      <c r="M139" s="51" t="n"/>
      <c r="N139" s="51" t="n"/>
      <c r="O139" s="51" t="n"/>
      <c r="P139" s="51" t="n"/>
      <c r="Q139" s="51" t="n"/>
    </row>
    <row r="140">
      <c r="B140" s="51" t="n"/>
      <c r="C140" s="51" t="n"/>
      <c r="D140" s="51" t="n"/>
      <c r="E140" s="51" t="n"/>
      <c r="F140" s="51" t="n"/>
      <c r="G140" s="51" t="n"/>
      <c r="H140" s="51" t="n"/>
      <c r="I140" s="51" t="n"/>
      <c r="J140" s="51" t="n"/>
      <c r="K140" s="51" t="n"/>
      <c r="L140" s="51" t="n"/>
      <c r="M140" s="51" t="n"/>
      <c r="N140" s="51" t="n"/>
      <c r="O140" s="51" t="n"/>
      <c r="P140" s="51" t="n"/>
      <c r="Q140" s="51" t="n"/>
    </row>
    <row r="141">
      <c r="B141" s="51" t="n"/>
      <c r="C141" s="51" t="n"/>
      <c r="D141" s="51" t="n"/>
      <c r="E141" s="51" t="n"/>
      <c r="F141" s="51" t="n"/>
      <c r="G141" s="51" t="n"/>
      <c r="H141" s="51" t="n"/>
      <c r="I141" s="51" t="n"/>
      <c r="J141" s="51" t="n"/>
      <c r="K141" s="51" t="n"/>
      <c r="L141" s="51" t="n"/>
      <c r="M141" s="51" t="n"/>
      <c r="N141" s="51" t="n"/>
      <c r="O141" s="51" t="n"/>
      <c r="P141" s="51" t="n"/>
      <c r="Q141" s="51" t="n"/>
    </row>
    <row r="142">
      <c r="B142" s="51" t="n"/>
      <c r="C142" s="51" t="n"/>
      <c r="D142" s="51" t="n"/>
      <c r="E142" s="51" t="n"/>
      <c r="F142" s="51" t="n"/>
      <c r="G142" s="51" t="n"/>
      <c r="H142" s="51" t="n"/>
      <c r="I142" s="51" t="n"/>
      <c r="J142" s="51" t="n"/>
      <c r="K142" s="51" t="n"/>
      <c r="L142" s="51" t="n"/>
      <c r="M142" s="51" t="n"/>
      <c r="N142" s="51" t="n"/>
      <c r="O142" s="51" t="n"/>
      <c r="P142" s="51" t="n"/>
      <c r="Q142" s="51" t="n"/>
    </row>
    <row r="143">
      <c r="B143" s="51" t="n"/>
      <c r="C143" s="51" t="n"/>
      <c r="D143" s="51" t="n"/>
      <c r="E143" s="51" t="n"/>
      <c r="F143" s="51" t="n"/>
      <c r="G143" s="51" t="n"/>
      <c r="H143" s="51" t="n"/>
      <c r="I143" s="51" t="n"/>
      <c r="J143" s="51" t="n"/>
      <c r="K143" s="51" t="n"/>
      <c r="L143" s="51" t="n"/>
      <c r="M143" s="51" t="n"/>
      <c r="N143" s="51" t="n"/>
      <c r="O143" s="51" t="n"/>
      <c r="P143" s="51" t="n"/>
      <c r="Q143" s="51" t="n"/>
    </row>
    <row r="144">
      <c r="B144" s="51" t="n"/>
      <c r="C144" s="51" t="n"/>
      <c r="D144" s="51" t="n"/>
      <c r="E144" s="51" t="n"/>
      <c r="F144" s="51" t="n"/>
      <c r="G144" s="51" t="n"/>
      <c r="H144" s="51" t="n"/>
      <c r="I144" s="51" t="n"/>
      <c r="J144" s="51" t="n"/>
      <c r="K144" s="51" t="n"/>
      <c r="L144" s="51" t="n"/>
      <c r="M144" s="51" t="n"/>
      <c r="N144" s="51" t="n"/>
      <c r="O144" s="51" t="n"/>
      <c r="P144" s="51" t="n"/>
      <c r="Q144" s="51" t="n"/>
    </row>
    <row r="145">
      <c r="B145" s="51" t="n"/>
      <c r="C145" s="51" t="n"/>
      <c r="D145" s="51" t="n"/>
      <c r="E145" s="51" t="n"/>
      <c r="F145" s="51" t="n"/>
      <c r="G145" s="51" t="n"/>
      <c r="H145" s="51" t="n"/>
      <c r="I145" s="51" t="n"/>
      <c r="J145" s="51" t="n"/>
      <c r="K145" s="51" t="n"/>
      <c r="L145" s="51" t="n"/>
      <c r="M145" s="51" t="n"/>
      <c r="N145" s="51" t="n"/>
      <c r="O145" s="51" t="n"/>
      <c r="P145" s="51" t="n"/>
      <c r="Q145" s="51" t="n"/>
    </row>
    <row r="146">
      <c r="B146" s="51" t="n"/>
      <c r="C146" s="51" t="n"/>
      <c r="D146" s="51" t="n"/>
      <c r="E146" s="51" t="n"/>
      <c r="F146" s="51" t="n"/>
      <c r="G146" s="51" t="n"/>
      <c r="H146" s="51" t="n"/>
      <c r="I146" s="51" t="n"/>
      <c r="J146" s="51" t="n"/>
      <c r="K146" s="51" t="n"/>
      <c r="L146" s="51" t="n"/>
      <c r="M146" s="51" t="n"/>
      <c r="N146" s="51" t="n"/>
      <c r="O146" s="51" t="n"/>
      <c r="P146" s="51" t="n"/>
      <c r="Q146" s="51" t="n"/>
    </row>
    <row r="147">
      <c r="B147" s="51" t="n"/>
      <c r="C147" s="51" t="n"/>
      <c r="D147" s="51" t="n"/>
      <c r="E147" s="51" t="n"/>
      <c r="F147" s="51" t="n"/>
      <c r="G147" s="51" t="n"/>
      <c r="H147" s="51" t="n"/>
      <c r="I147" s="51" t="n"/>
      <c r="J147" s="51" t="n"/>
      <c r="K147" s="51" t="n"/>
      <c r="L147" s="51" t="n"/>
      <c r="M147" s="51" t="n"/>
      <c r="N147" s="51" t="n"/>
      <c r="O147" s="51" t="n"/>
      <c r="P147" s="51" t="n"/>
      <c r="Q147" s="51" t="n"/>
    </row>
    <row r="148">
      <c r="B148" s="51" t="n"/>
      <c r="C148" s="51" t="n"/>
      <c r="D148" s="51" t="n"/>
      <c r="E148" s="51" t="n"/>
      <c r="F148" s="51" t="n"/>
      <c r="G148" s="51" t="n"/>
      <c r="H148" s="51" t="n"/>
      <c r="I148" s="51" t="n"/>
      <c r="J148" s="51" t="n"/>
      <c r="K148" s="51" t="n"/>
      <c r="L148" s="51" t="n"/>
      <c r="M148" s="51" t="n"/>
      <c r="N148" s="51" t="n"/>
      <c r="O148" s="51" t="n"/>
      <c r="P148" s="51" t="n"/>
      <c r="Q148" s="51" t="n"/>
    </row>
    <row r="149">
      <c r="B149" s="51" t="n"/>
      <c r="C149" s="51" t="n"/>
      <c r="D149" s="51" t="n"/>
      <c r="E149" s="51" t="n"/>
      <c r="F149" s="51" t="n"/>
      <c r="G149" s="51" t="n"/>
      <c r="H149" s="51" t="n"/>
      <c r="I149" s="51" t="n"/>
      <c r="J149" s="51" t="n"/>
      <c r="K149" s="51" t="n"/>
      <c r="L149" s="51" t="n"/>
      <c r="M149" s="51" t="n"/>
      <c r="N149" s="51" t="n"/>
      <c r="O149" s="51" t="n"/>
      <c r="P149" s="51" t="n"/>
      <c r="Q149" s="51" t="n"/>
    </row>
    <row r="150">
      <c r="B150" s="51" t="n"/>
      <c r="C150" s="51" t="n"/>
      <c r="D150" s="51" t="n"/>
      <c r="E150" s="51" t="n"/>
      <c r="F150" s="51" t="n"/>
      <c r="G150" s="51" t="n"/>
      <c r="H150" s="51" t="n"/>
      <c r="I150" s="51" t="n"/>
      <c r="J150" s="51" t="n"/>
      <c r="K150" s="51" t="n"/>
      <c r="L150" s="51" t="n"/>
      <c r="M150" s="51" t="n"/>
      <c r="N150" s="51" t="n"/>
      <c r="O150" s="51" t="n"/>
      <c r="P150" s="51" t="n"/>
      <c r="Q150" s="51" t="n"/>
    </row>
    <row r="151">
      <c r="B151" s="51" t="n"/>
      <c r="C151" s="51" t="n"/>
      <c r="D151" s="51" t="n"/>
      <c r="E151" s="51" t="n"/>
      <c r="F151" s="51" t="n"/>
      <c r="G151" s="51" t="n"/>
      <c r="H151" s="51" t="n"/>
      <c r="I151" s="51" t="n"/>
      <c r="J151" s="51" t="n"/>
      <c r="K151" s="51" t="n"/>
      <c r="L151" s="51" t="n"/>
      <c r="M151" s="51" t="n"/>
      <c r="N151" s="51" t="n"/>
      <c r="O151" s="51" t="n"/>
      <c r="P151" s="51" t="n"/>
      <c r="Q151" s="51" t="n"/>
    </row>
    <row r="152">
      <c r="B152" s="51" t="n"/>
      <c r="C152" s="51" t="n"/>
      <c r="D152" s="51" t="n"/>
      <c r="E152" s="51" t="n"/>
      <c r="F152" s="51" t="n"/>
      <c r="G152" s="51" t="n"/>
      <c r="H152" s="51" t="n"/>
      <c r="I152" s="51" t="n"/>
      <c r="J152" s="51" t="n"/>
      <c r="K152" s="51" t="n"/>
      <c r="L152" s="51" t="n"/>
      <c r="M152" s="51" t="n"/>
      <c r="N152" s="51" t="n"/>
      <c r="O152" s="51" t="n"/>
      <c r="P152" s="51" t="n"/>
      <c r="Q152" s="51" t="n"/>
    </row>
    <row r="153">
      <c r="B153" s="51" t="n"/>
      <c r="C153" s="51" t="n"/>
      <c r="D153" s="51" t="n"/>
      <c r="E153" s="51" t="n"/>
      <c r="F153" s="51" t="n"/>
      <c r="G153" s="51" t="n"/>
      <c r="H153" s="51" t="n"/>
      <c r="I153" s="51" t="n"/>
      <c r="J153" s="51" t="n"/>
      <c r="K153" s="51" t="n"/>
      <c r="L153" s="51" t="n"/>
      <c r="M153" s="51" t="n"/>
      <c r="N153" s="51" t="n"/>
      <c r="O153" s="51" t="n"/>
      <c r="P153" s="51" t="n"/>
      <c r="Q153" s="51" t="n"/>
    </row>
    <row r="154">
      <c r="B154" s="51" t="n"/>
      <c r="C154" s="51" t="n"/>
      <c r="D154" s="51" t="n"/>
      <c r="E154" s="51" t="n"/>
      <c r="F154" s="51" t="n"/>
      <c r="G154" s="51" t="n"/>
      <c r="H154" s="51" t="n"/>
      <c r="I154" s="51" t="n"/>
      <c r="J154" s="51" t="n"/>
      <c r="K154" s="51" t="n"/>
      <c r="L154" s="51" t="n"/>
      <c r="M154" s="51" t="n"/>
      <c r="N154" s="51" t="n"/>
      <c r="O154" s="51" t="n"/>
      <c r="P154" s="51" t="n"/>
      <c r="Q154" s="51" t="n"/>
    </row>
    <row r="155">
      <c r="B155" s="51" t="n"/>
      <c r="C155" s="51" t="n"/>
      <c r="D155" s="51" t="n"/>
      <c r="E155" s="51" t="n"/>
      <c r="F155" s="51" t="n"/>
      <c r="G155" s="51" t="n"/>
      <c r="H155" s="51" t="n"/>
      <c r="I155" s="51" t="n"/>
      <c r="J155" s="51" t="n"/>
      <c r="K155" s="51" t="n"/>
      <c r="L155" s="51" t="n"/>
      <c r="M155" s="51" t="n"/>
      <c r="N155" s="51" t="n"/>
      <c r="O155" s="51" t="n"/>
      <c r="P155" s="51" t="n"/>
      <c r="Q155" s="51" t="n"/>
    </row>
    <row r="156">
      <c r="B156" s="51" t="n"/>
      <c r="C156" s="51" t="n"/>
      <c r="D156" s="51" t="n"/>
      <c r="E156" s="51" t="n"/>
      <c r="F156" s="51" t="n"/>
      <c r="G156" s="51" t="n"/>
      <c r="H156" s="51" t="n"/>
      <c r="I156" s="51" t="n"/>
      <c r="J156" s="51" t="n"/>
      <c r="K156" s="51" t="n"/>
      <c r="L156" s="51" t="n"/>
      <c r="M156" s="51" t="n"/>
      <c r="N156" s="51" t="n"/>
      <c r="O156" s="51" t="n"/>
      <c r="P156" s="51" t="n"/>
      <c r="Q156" s="51" t="n"/>
    </row>
    <row r="157">
      <c r="B157" s="51" t="n"/>
      <c r="C157" s="51" t="n"/>
      <c r="D157" s="51" t="n"/>
      <c r="E157" s="51" t="n"/>
      <c r="F157" s="51" t="n"/>
      <c r="G157" s="51" t="n"/>
      <c r="H157" s="51" t="n"/>
      <c r="I157" s="51" t="n"/>
      <c r="J157" s="51" t="n"/>
      <c r="K157" s="51" t="n"/>
      <c r="L157" s="51" t="n"/>
      <c r="M157" s="51" t="n"/>
      <c r="N157" s="51" t="n"/>
      <c r="O157" s="51" t="n"/>
      <c r="P157" s="51" t="n"/>
      <c r="Q157" s="51" t="n"/>
    </row>
    <row r="158">
      <c r="B158" s="51" t="n"/>
      <c r="C158" s="51" t="n"/>
      <c r="D158" s="51" t="n"/>
      <c r="E158" s="51" t="n"/>
      <c r="F158" s="51" t="n"/>
      <c r="G158" s="51" t="n"/>
      <c r="H158" s="51" t="n"/>
      <c r="I158" s="51" t="n"/>
      <c r="J158" s="51" t="n"/>
      <c r="K158" s="51" t="n"/>
      <c r="L158" s="51" t="n"/>
      <c r="M158" s="51" t="n"/>
      <c r="N158" s="51" t="n"/>
      <c r="O158" s="51" t="n"/>
      <c r="P158" s="51" t="n"/>
      <c r="Q158" s="51" t="n"/>
    </row>
    <row r="159">
      <c r="B159" s="51" t="n"/>
      <c r="C159" s="51" t="n"/>
      <c r="D159" s="51" t="n"/>
      <c r="E159" s="51" t="n"/>
      <c r="F159" s="51" t="n"/>
      <c r="G159" s="51" t="n"/>
      <c r="H159" s="51" t="n"/>
      <c r="I159" s="51" t="n"/>
      <c r="J159" s="51" t="n"/>
      <c r="K159" s="51" t="n"/>
      <c r="L159" s="51" t="n"/>
      <c r="M159" s="51" t="n"/>
      <c r="N159" s="51" t="n"/>
      <c r="O159" s="51" t="n"/>
      <c r="P159" s="51" t="n"/>
      <c r="Q159" s="51" t="n"/>
    </row>
    <row r="160">
      <c r="B160" s="51" t="n"/>
      <c r="C160" s="51" t="n"/>
      <c r="D160" s="51" t="n"/>
      <c r="E160" s="51" t="n"/>
      <c r="F160" s="51" t="n"/>
      <c r="G160" s="51" t="n"/>
      <c r="H160" s="51" t="n"/>
      <c r="I160" s="51" t="n"/>
      <c r="J160" s="51" t="n"/>
      <c r="K160" s="51" t="n"/>
      <c r="L160" s="51" t="n"/>
      <c r="M160" s="51" t="n"/>
      <c r="N160" s="51" t="n"/>
      <c r="O160" s="51" t="n"/>
      <c r="P160" s="51" t="n"/>
      <c r="Q160" s="51" t="n"/>
    </row>
    <row r="161">
      <c r="B161" s="51" t="n"/>
      <c r="C161" s="51" t="n"/>
      <c r="D161" s="51" t="n"/>
      <c r="E161" s="51" t="n"/>
      <c r="F161" s="51" t="n"/>
      <c r="G161" s="51" t="n"/>
      <c r="H161" s="51" t="n"/>
      <c r="I161" s="51" t="n"/>
      <c r="J161" s="51" t="n"/>
      <c r="K161" s="51" t="n"/>
      <c r="L161" s="51" t="n"/>
      <c r="M161" s="51" t="n"/>
      <c r="N161" s="51" t="n"/>
      <c r="O161" s="51" t="n"/>
      <c r="P161" s="51" t="n"/>
      <c r="Q161" s="51" t="n"/>
    </row>
    <row r="162">
      <c r="B162" s="51" t="n"/>
      <c r="C162" s="51" t="n"/>
      <c r="D162" s="51" t="n"/>
      <c r="E162" s="51" t="n"/>
      <c r="F162" s="51" t="n"/>
      <c r="G162" s="51" t="n"/>
      <c r="H162" s="51" t="n"/>
      <c r="I162" s="51" t="n"/>
      <c r="J162" s="51" t="n"/>
      <c r="K162" s="51" t="n"/>
      <c r="L162" s="51" t="n"/>
      <c r="M162" s="51" t="n"/>
      <c r="N162" s="51" t="n"/>
      <c r="O162" s="51" t="n"/>
      <c r="P162" s="51" t="n"/>
      <c r="Q162" s="51" t="n"/>
    </row>
    <row r="163">
      <c r="B163" s="51" t="n"/>
      <c r="C163" s="51" t="n"/>
      <c r="D163" s="51" t="n"/>
      <c r="E163" s="51" t="n"/>
      <c r="F163" s="51" t="n"/>
      <c r="G163" s="51" t="n"/>
      <c r="H163" s="51" t="n"/>
      <c r="I163" s="51" t="n"/>
      <c r="J163" s="51" t="n"/>
      <c r="K163" s="51" t="n"/>
      <c r="L163" s="51" t="n"/>
      <c r="M163" s="51" t="n"/>
      <c r="N163" s="51" t="n"/>
      <c r="O163" s="51" t="n"/>
      <c r="P163" s="51" t="n"/>
      <c r="Q163" s="51" t="n"/>
    </row>
    <row r="164">
      <c r="B164" s="51" t="n"/>
      <c r="C164" s="51" t="n"/>
      <c r="D164" s="51" t="n"/>
      <c r="E164" s="51" t="n"/>
      <c r="F164" s="51" t="n"/>
      <c r="G164" s="51" t="n"/>
      <c r="H164" s="51" t="n"/>
      <c r="I164" s="51" t="n"/>
      <c r="J164" s="51" t="n"/>
      <c r="K164" s="51" t="n"/>
      <c r="L164" s="51" t="n"/>
      <c r="M164" s="51" t="n"/>
      <c r="N164" s="51" t="n"/>
      <c r="O164" s="51" t="n"/>
      <c r="P164" s="51" t="n"/>
      <c r="Q164" s="51" t="n"/>
    </row>
    <row r="165">
      <c r="B165" s="51" t="n"/>
      <c r="C165" s="51" t="n"/>
      <c r="D165" s="51" t="n"/>
      <c r="E165" s="51" t="n"/>
      <c r="F165" s="51" t="n"/>
      <c r="G165" s="51" t="n"/>
      <c r="H165" s="51" t="n"/>
      <c r="I165" s="51" t="n"/>
      <c r="J165" s="51" t="n"/>
      <c r="K165" s="51" t="n"/>
      <c r="L165" s="51" t="n"/>
      <c r="M165" s="51" t="n"/>
      <c r="N165" s="51" t="n"/>
      <c r="O165" s="51" t="n"/>
      <c r="P165" s="51" t="n"/>
      <c r="Q165" s="51" t="n"/>
    </row>
    <row r="166">
      <c r="B166" s="51" t="n"/>
      <c r="C166" s="51" t="n"/>
      <c r="D166" s="51" t="n"/>
      <c r="E166" s="51" t="n"/>
      <c r="F166" s="51" t="n"/>
      <c r="G166" s="51" t="n"/>
      <c r="H166" s="51" t="n"/>
      <c r="I166" s="51" t="n"/>
      <c r="J166" s="51" t="n"/>
      <c r="K166" s="51" t="n"/>
      <c r="L166" s="51" t="n"/>
      <c r="M166" s="51" t="n"/>
      <c r="N166" s="51" t="n"/>
      <c r="O166" s="51" t="n"/>
      <c r="P166" s="51" t="n"/>
      <c r="Q166" s="51" t="n"/>
    </row>
    <row r="167">
      <c r="B167" s="51" t="n"/>
      <c r="C167" s="51" t="n"/>
      <c r="D167" s="51" t="n"/>
      <c r="E167" s="51" t="n"/>
      <c r="F167" s="51" t="n"/>
      <c r="G167" s="51" t="n"/>
      <c r="H167" s="51" t="n"/>
      <c r="I167" s="51" t="n"/>
      <c r="J167" s="51" t="n"/>
      <c r="K167" s="51" t="n"/>
      <c r="L167" s="51" t="n"/>
      <c r="M167" s="51" t="n"/>
      <c r="N167" s="51" t="n"/>
      <c r="O167" s="51" t="n"/>
      <c r="P167" s="51" t="n"/>
      <c r="Q167" s="51" t="n"/>
    </row>
    <row r="168">
      <c r="B168" s="51" t="n"/>
      <c r="C168" s="51" t="n"/>
      <c r="D168" s="51" t="n"/>
      <c r="E168" s="51" t="n"/>
      <c r="F168" s="51" t="n"/>
      <c r="G168" s="51" t="n"/>
      <c r="H168" s="51" t="n"/>
      <c r="I168" s="51" t="n"/>
      <c r="J168" s="51" t="n"/>
      <c r="K168" s="51" t="n"/>
      <c r="L168" s="51" t="n"/>
      <c r="M168" s="51" t="n"/>
      <c r="N168" s="51" t="n"/>
      <c r="O168" s="51" t="n"/>
      <c r="P168" s="51" t="n"/>
      <c r="Q168" s="51" t="n"/>
    </row>
    <row r="169">
      <c r="B169" s="51" t="n"/>
      <c r="C169" s="51" t="n"/>
      <c r="D169" s="51" t="n"/>
      <c r="E169" s="51" t="n"/>
      <c r="F169" s="51" t="n"/>
      <c r="G169" s="51" t="n"/>
      <c r="H169" s="51" t="n"/>
      <c r="I169" s="51" t="n"/>
      <c r="J169" s="51" t="n"/>
      <c r="K169" s="51" t="n"/>
      <c r="L169" s="51" t="n"/>
      <c r="M169" s="51" t="n"/>
      <c r="N169" s="51" t="n"/>
      <c r="O169" s="51" t="n"/>
      <c r="P169" s="51" t="n"/>
      <c r="Q169" s="51" t="n"/>
    </row>
    <row r="170">
      <c r="B170" s="51" t="n"/>
      <c r="C170" s="51" t="n"/>
      <c r="D170" s="51" t="n"/>
      <c r="E170" s="51" t="n"/>
      <c r="F170" s="51" t="n"/>
      <c r="G170" s="51" t="n"/>
      <c r="H170" s="51" t="n"/>
      <c r="I170" s="51" t="n"/>
      <c r="J170" s="51" t="n"/>
      <c r="K170" s="51" t="n"/>
      <c r="L170" s="51" t="n"/>
      <c r="M170" s="51" t="n"/>
      <c r="N170" s="51" t="n"/>
      <c r="O170" s="51" t="n"/>
      <c r="P170" s="51" t="n"/>
      <c r="Q170" s="51" t="n"/>
    </row>
    <row r="171">
      <c r="B171" s="51" t="n"/>
      <c r="C171" s="51" t="n"/>
      <c r="D171" s="51" t="n"/>
      <c r="E171" s="51" t="n"/>
      <c r="F171" s="51" t="n"/>
      <c r="G171" s="51" t="n"/>
      <c r="H171" s="51" t="n"/>
      <c r="I171" s="51" t="n"/>
      <c r="J171" s="51" t="n"/>
      <c r="K171" s="51" t="n"/>
      <c r="L171" s="51" t="n"/>
      <c r="M171" s="51" t="n"/>
      <c r="N171" s="51" t="n"/>
      <c r="O171" s="51" t="n"/>
      <c r="P171" s="51" t="n"/>
      <c r="Q171" s="51" t="n"/>
    </row>
    <row r="172">
      <c r="B172" s="51" t="n"/>
      <c r="C172" s="51" t="n"/>
      <c r="D172" s="51" t="n"/>
      <c r="E172" s="51" t="n"/>
      <c r="F172" s="51" t="n"/>
      <c r="G172" s="51" t="n"/>
      <c r="H172" s="51" t="n"/>
      <c r="I172" s="51" t="n"/>
      <c r="J172" s="51" t="n"/>
      <c r="K172" s="51" t="n"/>
      <c r="L172" s="51" t="n"/>
      <c r="M172" s="51" t="n"/>
      <c r="N172" s="51" t="n"/>
      <c r="O172" s="51" t="n"/>
      <c r="P172" s="51" t="n"/>
      <c r="Q172" s="51" t="n"/>
    </row>
    <row r="173">
      <c r="B173" s="51" t="n"/>
      <c r="C173" s="51" t="n"/>
      <c r="D173" s="51" t="n"/>
      <c r="E173" s="51" t="n"/>
      <c r="F173" s="51" t="n"/>
      <c r="G173" s="51" t="n"/>
      <c r="H173" s="51" t="n"/>
      <c r="I173" s="51" t="n"/>
      <c r="J173" s="51" t="n"/>
      <c r="K173" s="51" t="n"/>
      <c r="L173" s="51" t="n"/>
      <c r="M173" s="51" t="n"/>
      <c r="N173" s="51" t="n"/>
      <c r="O173" s="51" t="n"/>
      <c r="P173" s="51" t="n"/>
      <c r="Q173" s="51" t="n"/>
    </row>
    <row r="174">
      <c r="B174" s="51" t="n"/>
      <c r="C174" s="51" t="n"/>
      <c r="D174" s="51" t="n"/>
      <c r="E174" s="51" t="n"/>
      <c r="F174" s="51" t="n"/>
      <c r="G174" s="51" t="n"/>
      <c r="H174" s="51" t="n"/>
      <c r="I174" s="51" t="n"/>
      <c r="J174" s="51" t="n"/>
      <c r="K174" s="51" t="n"/>
      <c r="L174" s="51" t="n"/>
      <c r="M174" s="51" t="n"/>
      <c r="N174" s="51" t="n"/>
      <c r="O174" s="51" t="n"/>
      <c r="P174" s="51" t="n"/>
      <c r="Q174" s="51" t="n"/>
    </row>
    <row r="175">
      <c r="B175" s="51" t="n"/>
      <c r="C175" s="51" t="n"/>
      <c r="D175" s="51" t="n"/>
      <c r="E175" s="51" t="n"/>
      <c r="F175" s="51" t="n"/>
      <c r="G175" s="51" t="n"/>
      <c r="H175" s="51" t="n"/>
      <c r="I175" s="51" t="n"/>
      <c r="J175" s="51" t="n"/>
      <c r="K175" s="51" t="n"/>
      <c r="L175" s="51" t="n"/>
      <c r="M175" s="51" t="n"/>
      <c r="N175" s="51" t="n"/>
      <c r="O175" s="51" t="n"/>
      <c r="P175" s="51" t="n"/>
      <c r="Q175" s="51" t="n"/>
    </row>
    <row r="176">
      <c r="B176" s="51" t="n"/>
      <c r="C176" s="51" t="n"/>
      <c r="D176" s="51" t="n"/>
      <c r="E176" s="51" t="n"/>
      <c r="F176" s="51" t="n"/>
      <c r="G176" s="51" t="n"/>
      <c r="H176" s="51" t="n"/>
      <c r="I176" s="51" t="n"/>
      <c r="J176" s="51" t="n"/>
      <c r="K176" s="51" t="n"/>
      <c r="L176" s="51" t="n"/>
      <c r="M176" s="51" t="n"/>
      <c r="N176" s="51" t="n"/>
      <c r="O176" s="51" t="n"/>
      <c r="P176" s="51" t="n"/>
      <c r="Q176" s="51" t="n"/>
    </row>
    <row r="177">
      <c r="B177" s="51" t="n"/>
      <c r="C177" s="51" t="n"/>
      <c r="D177" s="51" t="n"/>
      <c r="E177" s="51" t="n"/>
      <c r="F177" s="51" t="n"/>
      <c r="G177" s="51" t="n"/>
      <c r="H177" s="51" t="n"/>
      <c r="I177" s="51" t="n"/>
      <c r="J177" s="51" t="n"/>
      <c r="K177" s="51" t="n"/>
      <c r="L177" s="51" t="n"/>
      <c r="M177" s="51" t="n"/>
      <c r="N177" s="51" t="n"/>
      <c r="O177" s="51" t="n"/>
      <c r="P177" s="51" t="n"/>
      <c r="Q177" s="51" t="n"/>
    </row>
    <row r="178">
      <c r="B178" s="51" t="n"/>
      <c r="C178" s="51" t="n"/>
      <c r="D178" s="51" t="n"/>
      <c r="E178" s="51" t="n"/>
      <c r="F178" s="51" t="n"/>
      <c r="G178" s="51" t="n"/>
      <c r="H178" s="51" t="n"/>
      <c r="I178" s="51" t="n"/>
      <c r="J178" s="51" t="n"/>
      <c r="K178" s="51" t="n"/>
      <c r="L178" s="51" t="n"/>
      <c r="M178" s="51" t="n"/>
      <c r="N178" s="51" t="n"/>
      <c r="O178" s="51" t="n"/>
      <c r="P178" s="51" t="n"/>
      <c r="Q178" s="51" t="n"/>
    </row>
    <row r="179">
      <c r="B179" s="51" t="n"/>
      <c r="C179" s="51" t="n"/>
      <c r="D179" s="51" t="n"/>
      <c r="E179" s="51" t="n"/>
      <c r="F179" s="51" t="n"/>
      <c r="G179" s="51" t="n"/>
      <c r="H179" s="51" t="n"/>
      <c r="I179" s="51" t="n"/>
      <c r="J179" s="51" t="n"/>
      <c r="K179" s="51" t="n"/>
      <c r="L179" s="51" t="n"/>
      <c r="M179" s="51" t="n"/>
      <c r="N179" s="51" t="n"/>
      <c r="O179" s="51" t="n"/>
      <c r="P179" s="51" t="n"/>
      <c r="Q179" s="51" t="n"/>
    </row>
    <row r="180">
      <c r="B180" s="51" t="n"/>
      <c r="C180" s="51" t="n"/>
      <c r="D180" s="51" t="n"/>
      <c r="E180" s="51" t="n"/>
      <c r="F180" s="51" t="n"/>
      <c r="G180" s="51" t="n"/>
      <c r="H180" s="51" t="n"/>
      <c r="I180" s="51" t="n"/>
      <c r="J180" s="51" t="n"/>
      <c r="K180" s="51" t="n"/>
      <c r="L180" s="51" t="n"/>
      <c r="M180" s="51" t="n"/>
      <c r="N180" s="51" t="n"/>
      <c r="O180" s="51" t="n"/>
      <c r="P180" s="51" t="n"/>
      <c r="Q180" s="51" t="n"/>
    </row>
    <row r="181">
      <c r="B181" s="51" t="n"/>
      <c r="C181" s="51" t="n"/>
      <c r="D181" s="51" t="n"/>
      <c r="E181" s="51" t="n"/>
      <c r="F181" s="51" t="n"/>
      <c r="G181" s="51" t="n"/>
      <c r="H181" s="51" t="n"/>
      <c r="I181" s="51" t="n"/>
      <c r="J181" s="51" t="n"/>
      <c r="K181" s="51" t="n"/>
      <c r="L181" s="51" t="n"/>
      <c r="M181" s="51" t="n"/>
      <c r="N181" s="51" t="n"/>
      <c r="O181" s="51" t="n"/>
      <c r="P181" s="51" t="n"/>
      <c r="Q181" s="51" t="n"/>
    </row>
    <row r="182">
      <c r="B182" s="51" t="n"/>
      <c r="C182" s="51" t="n"/>
      <c r="D182" s="51" t="n"/>
      <c r="E182" s="51" t="n"/>
      <c r="F182" s="51" t="n"/>
      <c r="G182" s="51" t="n"/>
      <c r="H182" s="51" t="n"/>
      <c r="I182" s="51" t="n"/>
      <c r="J182" s="51" t="n"/>
      <c r="K182" s="51" t="n"/>
      <c r="L182" s="51" t="n"/>
      <c r="M182" s="51" t="n"/>
      <c r="N182" s="51" t="n"/>
      <c r="O182" s="51" t="n"/>
      <c r="P182" s="51" t="n"/>
      <c r="Q182" s="51" t="n"/>
    </row>
    <row r="183">
      <c r="B183" s="51" t="n"/>
      <c r="C183" s="51" t="n"/>
      <c r="D183" s="51" t="n"/>
      <c r="E183" s="51" t="n"/>
      <c r="F183" s="51" t="n"/>
      <c r="G183" s="51" t="n"/>
      <c r="H183" s="51" t="n"/>
      <c r="I183" s="51" t="n"/>
      <c r="J183" s="51" t="n"/>
      <c r="K183" s="51" t="n"/>
      <c r="L183" s="51" t="n"/>
      <c r="M183" s="51" t="n"/>
      <c r="N183" s="51" t="n"/>
      <c r="O183" s="51" t="n"/>
      <c r="P183" s="51" t="n"/>
      <c r="Q183" s="51" t="n"/>
    </row>
    <row r="184">
      <c r="B184" s="51" t="n"/>
      <c r="C184" s="51" t="n"/>
      <c r="D184" s="51" t="n"/>
      <c r="E184" s="51" t="n"/>
      <c r="F184" s="51" t="n"/>
      <c r="G184" s="51" t="n"/>
      <c r="H184" s="51" t="n"/>
      <c r="I184" s="51" t="n"/>
      <c r="J184" s="51" t="n"/>
      <c r="K184" s="51" t="n"/>
      <c r="L184" s="51" t="n"/>
      <c r="M184" s="51" t="n"/>
      <c r="N184" s="51" t="n"/>
      <c r="O184" s="51" t="n"/>
      <c r="P184" s="51" t="n"/>
      <c r="Q184" s="51" t="n"/>
    </row>
    <row r="185">
      <c r="B185" s="51" t="n"/>
      <c r="C185" s="51" t="n"/>
      <c r="D185" s="51" t="n"/>
      <c r="E185" s="51" t="n"/>
      <c r="F185" s="51" t="n"/>
      <c r="G185" s="51" t="n"/>
      <c r="H185" s="51" t="n"/>
      <c r="I185" s="51" t="n"/>
      <c r="J185" s="51" t="n"/>
      <c r="K185" s="51" t="n"/>
      <c r="L185" s="51" t="n"/>
      <c r="M185" s="51" t="n"/>
      <c r="N185" s="51" t="n"/>
      <c r="O185" s="51" t="n"/>
      <c r="P185" s="51" t="n"/>
      <c r="Q185" s="51" t="n"/>
    </row>
    <row r="186">
      <c r="B186" s="51" t="n"/>
      <c r="C186" s="51" t="n"/>
      <c r="D186" s="51" t="n"/>
      <c r="E186" s="51" t="n"/>
      <c r="F186" s="51" t="n"/>
      <c r="G186" s="51" t="n"/>
      <c r="H186" s="51" t="n"/>
      <c r="I186" s="51" t="n"/>
      <c r="J186" s="51" t="n"/>
      <c r="K186" s="51" t="n"/>
      <c r="L186" s="51" t="n"/>
      <c r="M186" s="51" t="n"/>
      <c r="N186" s="51" t="n"/>
      <c r="O186" s="51" t="n"/>
      <c r="P186" s="51" t="n"/>
      <c r="Q186" s="51" t="n"/>
    </row>
    <row r="187">
      <c r="B187" s="51" t="n"/>
      <c r="C187" s="51" t="n"/>
      <c r="D187" s="51" t="n"/>
      <c r="E187" s="51" t="n"/>
      <c r="F187" s="51" t="n"/>
      <c r="G187" s="51" t="n"/>
      <c r="H187" s="51" t="n"/>
      <c r="I187" s="51" t="n"/>
      <c r="J187" s="51" t="n"/>
      <c r="K187" s="51" t="n"/>
      <c r="L187" s="51" t="n"/>
      <c r="M187" s="51" t="n"/>
      <c r="N187" s="51" t="n"/>
      <c r="O187" s="51" t="n"/>
      <c r="P187" s="51" t="n"/>
      <c r="Q187" s="51" t="n"/>
    </row>
    <row r="188">
      <c r="B188" s="51" t="n"/>
      <c r="C188" s="51" t="n"/>
      <c r="D188" s="51" t="n"/>
      <c r="E188" s="51" t="n"/>
      <c r="F188" s="51" t="n"/>
      <c r="G188" s="51" t="n"/>
      <c r="H188" s="51" t="n"/>
      <c r="I188" s="51" t="n"/>
      <c r="J188" s="51" t="n"/>
      <c r="K188" s="51" t="n"/>
      <c r="L188" s="51" t="n"/>
      <c r="M188" s="51" t="n"/>
      <c r="N188" s="51" t="n"/>
      <c r="O188" s="51" t="n"/>
      <c r="P188" s="51" t="n"/>
      <c r="Q188" s="51" t="n"/>
    </row>
    <row r="189">
      <c r="B189" s="51" t="n"/>
      <c r="C189" s="51" t="n"/>
      <c r="D189" s="51" t="n"/>
      <c r="E189" s="51" t="n"/>
      <c r="F189" s="51" t="n"/>
      <c r="G189" s="51" t="n"/>
      <c r="H189" s="51" t="n"/>
      <c r="I189" s="51" t="n"/>
      <c r="J189" s="51" t="n"/>
      <c r="K189" s="51" t="n"/>
      <c r="L189" s="51" t="n"/>
      <c r="M189" s="51" t="n"/>
      <c r="N189" s="51" t="n"/>
      <c r="O189" s="51" t="n"/>
      <c r="P189" s="51" t="n"/>
      <c r="Q189" s="51" t="n"/>
    </row>
    <row r="190">
      <c r="B190" s="51" t="n"/>
      <c r="C190" s="51" t="n"/>
      <c r="D190" s="51" t="n"/>
      <c r="E190" s="51" t="n"/>
      <c r="F190" s="51" t="n"/>
      <c r="G190" s="51" t="n"/>
      <c r="H190" s="51" t="n"/>
      <c r="I190" s="51" t="n"/>
      <c r="J190" s="51" t="n"/>
      <c r="K190" s="51" t="n"/>
      <c r="L190" s="51" t="n"/>
      <c r="M190" s="51" t="n"/>
      <c r="N190" s="51" t="n"/>
      <c r="O190" s="51" t="n"/>
      <c r="P190" s="51" t="n"/>
      <c r="Q190" s="51" t="n"/>
    </row>
    <row r="191">
      <c r="B191" s="51" t="n"/>
      <c r="C191" s="51" t="n"/>
      <c r="D191" s="51" t="n"/>
      <c r="E191" s="51" t="n"/>
      <c r="F191" s="51" t="n"/>
      <c r="G191" s="51" t="n"/>
      <c r="H191" s="51" t="n"/>
      <c r="I191" s="51" t="n"/>
      <c r="J191" s="51" t="n"/>
      <c r="K191" s="51" t="n"/>
      <c r="L191" s="51" t="n"/>
      <c r="M191" s="51" t="n"/>
      <c r="N191" s="51" t="n"/>
      <c r="O191" s="51" t="n"/>
      <c r="P191" s="51" t="n"/>
      <c r="Q191" s="51" t="n"/>
    </row>
    <row r="192">
      <c r="B192" s="51" t="n"/>
      <c r="C192" s="51" t="n"/>
      <c r="D192" s="51" t="n"/>
      <c r="E192" s="51" t="n"/>
      <c r="F192" s="51" t="n"/>
      <c r="G192" s="51" t="n"/>
      <c r="H192" s="51" t="n"/>
      <c r="I192" s="51" t="n"/>
      <c r="J192" s="51" t="n"/>
      <c r="K192" s="51" t="n"/>
      <c r="L192" s="51" t="n"/>
      <c r="M192" s="51" t="n"/>
      <c r="N192" s="51" t="n"/>
      <c r="O192" s="51" t="n"/>
      <c r="P192" s="51" t="n"/>
      <c r="Q192" s="51" t="n"/>
    </row>
    <row r="193">
      <c r="B193" s="51" t="n"/>
      <c r="C193" s="51" t="n"/>
      <c r="D193" s="51" t="n"/>
      <c r="E193" s="51" t="n"/>
      <c r="F193" s="51" t="n"/>
      <c r="G193" s="51" t="n"/>
      <c r="H193" s="51" t="n"/>
      <c r="I193" s="51" t="n"/>
      <c r="J193" s="51" t="n"/>
      <c r="K193" s="51" t="n"/>
      <c r="L193" s="51" t="n"/>
      <c r="M193" s="51" t="n"/>
      <c r="N193" s="51" t="n"/>
      <c r="O193" s="51" t="n"/>
      <c r="P193" s="51" t="n"/>
      <c r="Q193" s="51" t="n"/>
    </row>
    <row r="194">
      <c r="B194" s="51" t="n"/>
      <c r="C194" s="51" t="n"/>
      <c r="D194" s="51" t="n"/>
      <c r="E194" s="51" t="n"/>
      <c r="F194" s="51" t="n"/>
      <c r="G194" s="51" t="n"/>
      <c r="H194" s="51" t="n"/>
      <c r="I194" s="51" t="n"/>
      <c r="J194" s="51" t="n"/>
      <c r="K194" s="51" t="n"/>
      <c r="L194" s="51" t="n"/>
      <c r="M194" s="51" t="n"/>
      <c r="N194" s="51" t="n"/>
      <c r="O194" s="51" t="n"/>
      <c r="P194" s="51" t="n"/>
      <c r="Q194" s="51" t="n"/>
    </row>
    <row r="195">
      <c r="B195" s="51" t="n"/>
      <c r="C195" s="51" t="n"/>
      <c r="D195" s="51" t="n"/>
      <c r="E195" s="51" t="n"/>
      <c r="F195" s="51" t="n"/>
      <c r="G195" s="51" t="n"/>
      <c r="H195" s="51" t="n"/>
      <c r="I195" s="51" t="n"/>
      <c r="J195" s="51" t="n"/>
      <c r="K195" s="51" t="n"/>
      <c r="L195" s="51" t="n"/>
      <c r="M195" s="51" t="n"/>
      <c r="N195" s="51" t="n"/>
      <c r="O195" s="51" t="n"/>
      <c r="P195" s="51" t="n"/>
      <c r="Q195" s="51" t="n"/>
    </row>
    <row r="196">
      <c r="B196" s="51" t="n"/>
      <c r="C196" s="51" t="n"/>
      <c r="D196" s="51" t="n"/>
      <c r="E196" s="51" t="n"/>
      <c r="F196" s="51" t="n"/>
      <c r="G196" s="51" t="n"/>
      <c r="H196" s="51" t="n"/>
      <c r="I196" s="51" t="n"/>
      <c r="J196" s="51" t="n"/>
      <c r="K196" s="51" t="n"/>
      <c r="L196" s="51" t="n"/>
      <c r="M196" s="51" t="n"/>
      <c r="N196" s="51" t="n"/>
      <c r="O196" s="51" t="n"/>
      <c r="P196" s="51" t="n"/>
      <c r="Q196" s="51" t="n"/>
    </row>
    <row r="197">
      <c r="B197" s="51" t="n"/>
      <c r="C197" s="51" t="n"/>
      <c r="D197" s="51" t="n"/>
      <c r="E197" s="51" t="n"/>
      <c r="F197" s="51" t="n"/>
      <c r="G197" s="51" t="n"/>
      <c r="H197" s="51" t="n"/>
      <c r="I197" s="51" t="n"/>
      <c r="J197" s="51" t="n"/>
      <c r="K197" s="51" t="n"/>
      <c r="L197" s="51" t="n"/>
      <c r="M197" s="51" t="n"/>
      <c r="N197" s="51" t="n"/>
      <c r="O197" s="51" t="n"/>
      <c r="P197" s="51" t="n"/>
      <c r="Q197" s="51" t="n"/>
    </row>
    <row r="198">
      <c r="B198" s="51" t="n"/>
      <c r="C198" s="51" t="n"/>
      <c r="D198" s="51" t="n"/>
      <c r="E198" s="51" t="n"/>
      <c r="F198" s="51" t="n"/>
      <c r="G198" s="51" t="n"/>
      <c r="H198" s="51" t="n"/>
      <c r="I198" s="51" t="n"/>
      <c r="J198" s="51" t="n"/>
      <c r="K198" s="51" t="n"/>
      <c r="L198" s="51" t="n"/>
      <c r="M198" s="51" t="n"/>
      <c r="N198" s="51" t="n"/>
      <c r="O198" s="51" t="n"/>
      <c r="P198" s="51" t="n"/>
      <c r="Q198" s="51" t="n"/>
    </row>
    <row r="199">
      <c r="B199" s="51" t="n"/>
      <c r="C199" s="51" t="n"/>
      <c r="D199" s="51" t="n"/>
      <c r="E199" s="51" t="n"/>
      <c r="F199" s="51" t="n"/>
      <c r="G199" s="51" t="n"/>
      <c r="H199" s="51" t="n"/>
      <c r="I199" s="51" t="n"/>
      <c r="J199" s="51" t="n"/>
      <c r="K199" s="51" t="n"/>
      <c r="L199" s="51" t="n"/>
      <c r="M199" s="51" t="n"/>
      <c r="N199" s="51" t="n"/>
      <c r="O199" s="51" t="n"/>
      <c r="P199" s="51" t="n"/>
      <c r="Q199" s="51" t="n"/>
    </row>
    <row r="200">
      <c r="B200" s="51" t="n"/>
      <c r="C200" s="51" t="n"/>
      <c r="D200" s="51" t="n"/>
      <c r="E200" s="51" t="n"/>
      <c r="F200" s="51" t="n"/>
      <c r="G200" s="51" t="n"/>
      <c r="H200" s="51" t="n"/>
      <c r="I200" s="51" t="n"/>
      <c r="J200" s="51" t="n"/>
      <c r="K200" s="51" t="n"/>
      <c r="L200" s="51" t="n"/>
      <c r="M200" s="51" t="n"/>
      <c r="N200" s="51" t="n"/>
      <c r="O200" s="51" t="n"/>
      <c r="P200" s="51" t="n"/>
      <c r="Q200" s="51" t="n"/>
    </row>
    <row r="201">
      <c r="B201" s="51" t="n"/>
      <c r="C201" s="51" t="n"/>
      <c r="D201" s="51" t="n"/>
      <c r="E201" s="51" t="n"/>
      <c r="F201" s="51" t="n"/>
      <c r="G201" s="51" t="n"/>
      <c r="H201" s="51" t="n"/>
      <c r="I201" s="51" t="n"/>
      <c r="J201" s="51" t="n"/>
      <c r="K201" s="51" t="n"/>
      <c r="L201" s="51" t="n"/>
      <c r="M201" s="51" t="n"/>
      <c r="N201" s="51" t="n"/>
      <c r="O201" s="51" t="n"/>
      <c r="P201" s="51" t="n"/>
      <c r="Q201" s="51" t="n"/>
    </row>
    <row r="202">
      <c r="B202" s="51" t="n"/>
      <c r="C202" s="51" t="n"/>
      <c r="D202" s="51" t="n"/>
      <c r="E202" s="51" t="n"/>
      <c r="F202" s="51" t="n"/>
      <c r="G202" s="51" t="n"/>
      <c r="H202" s="51" t="n"/>
      <c r="I202" s="51" t="n"/>
      <c r="J202" s="51" t="n"/>
      <c r="K202" s="51" t="n"/>
      <c r="L202" s="51" t="n"/>
      <c r="M202" s="51" t="n"/>
      <c r="N202" s="51" t="n"/>
      <c r="O202" s="51" t="n"/>
      <c r="P202" s="51" t="n"/>
      <c r="Q202" s="51" t="n"/>
    </row>
    <row r="203">
      <c r="B203" s="51" t="n"/>
      <c r="C203" s="51" t="n"/>
      <c r="D203" s="51" t="n"/>
      <c r="E203" s="51" t="n"/>
      <c r="F203" s="51" t="n"/>
      <c r="G203" s="51" t="n"/>
      <c r="H203" s="51" t="n"/>
      <c r="I203" s="51" t="n"/>
      <c r="J203" s="51" t="n"/>
      <c r="K203" s="51" t="n"/>
      <c r="L203" s="51" t="n"/>
      <c r="M203" s="51" t="n"/>
      <c r="N203" s="51" t="n"/>
      <c r="O203" s="51" t="n"/>
      <c r="P203" s="51" t="n"/>
      <c r="Q203" s="51" t="n"/>
    </row>
    <row r="204">
      <c r="B204" s="51" t="n"/>
      <c r="C204" s="51" t="n"/>
      <c r="D204" s="51" t="n"/>
      <c r="E204" s="51" t="n"/>
      <c r="F204" s="51" t="n"/>
      <c r="G204" s="51" t="n"/>
      <c r="H204" s="51" t="n"/>
      <c r="I204" s="51" t="n"/>
      <c r="J204" s="51" t="n"/>
      <c r="K204" s="51" t="n"/>
      <c r="L204" s="51" t="n"/>
      <c r="M204" s="51" t="n"/>
      <c r="N204" s="51" t="n"/>
      <c r="O204" s="51" t="n"/>
      <c r="P204" s="51" t="n"/>
      <c r="Q204" s="51" t="n"/>
    </row>
    <row r="205">
      <c r="B205" s="51" t="n"/>
      <c r="C205" s="51" t="n"/>
      <c r="D205" s="51" t="n"/>
      <c r="E205" s="51" t="n"/>
      <c r="F205" s="51" t="n"/>
      <c r="G205" s="51" t="n"/>
      <c r="H205" s="51" t="n"/>
      <c r="I205" s="51" t="n"/>
      <c r="J205" s="51" t="n"/>
      <c r="K205" s="51" t="n"/>
      <c r="L205" s="51" t="n"/>
      <c r="M205" s="51" t="n"/>
      <c r="N205" s="51" t="n"/>
      <c r="O205" s="51" t="n"/>
      <c r="P205" s="51" t="n"/>
      <c r="Q205" s="51" t="n"/>
    </row>
    <row r="206">
      <c r="B206" s="51" t="n"/>
      <c r="C206" s="51" t="n"/>
      <c r="D206" s="51" t="n"/>
      <c r="E206" s="51" t="n"/>
      <c r="F206" s="51" t="n"/>
      <c r="G206" s="51" t="n"/>
      <c r="H206" s="51" t="n"/>
      <c r="I206" s="51" t="n"/>
      <c r="J206" s="51" t="n"/>
      <c r="K206" s="51" t="n"/>
      <c r="L206" s="51" t="n"/>
      <c r="M206" s="51" t="n"/>
      <c r="N206" s="51" t="n"/>
      <c r="O206" s="51" t="n"/>
      <c r="P206" s="51" t="n"/>
      <c r="Q206" s="51" t="n"/>
    </row>
    <row r="207">
      <c r="B207" s="51" t="n"/>
      <c r="C207" s="51" t="n"/>
      <c r="D207" s="51" t="n"/>
      <c r="E207" s="51" t="n"/>
      <c r="F207" s="51" t="n"/>
      <c r="G207" s="51" t="n"/>
      <c r="H207" s="51" t="n"/>
      <c r="I207" s="51" t="n"/>
      <c r="J207" s="51" t="n"/>
      <c r="K207" s="51" t="n"/>
      <c r="L207" s="51" t="n"/>
      <c r="M207" s="51" t="n"/>
      <c r="N207" s="51" t="n"/>
      <c r="O207" s="51" t="n"/>
      <c r="P207" s="51" t="n"/>
      <c r="Q207" s="51" t="n"/>
    </row>
    <row r="208">
      <c r="B208" s="51" t="n"/>
      <c r="C208" s="51" t="n"/>
      <c r="D208" s="51" t="n"/>
      <c r="E208" s="51" t="n"/>
      <c r="F208" s="51" t="n"/>
      <c r="G208" s="51" t="n"/>
      <c r="H208" s="51" t="n"/>
      <c r="I208" s="51" t="n"/>
      <c r="J208" s="51" t="n"/>
      <c r="K208" s="51" t="n"/>
      <c r="L208" s="51" t="n"/>
      <c r="M208" s="51" t="n"/>
      <c r="N208" s="51" t="n"/>
      <c r="O208" s="51" t="n"/>
      <c r="P208" s="51" t="n"/>
      <c r="Q208" s="51" t="n"/>
    </row>
    <row r="209">
      <c r="B209" s="51" t="n"/>
      <c r="C209" s="51" t="n"/>
      <c r="D209" s="51" t="n"/>
      <c r="E209" s="51" t="n"/>
      <c r="F209" s="51" t="n"/>
      <c r="G209" s="51" t="n"/>
      <c r="H209" s="51" t="n"/>
      <c r="I209" s="51" t="n"/>
      <c r="J209" s="51" t="n"/>
      <c r="K209" s="51" t="n"/>
      <c r="L209" s="51" t="n"/>
      <c r="M209" s="51" t="n"/>
      <c r="N209" s="51" t="n"/>
      <c r="O209" s="51" t="n"/>
      <c r="P209" s="51" t="n"/>
      <c r="Q209" s="51" t="n"/>
    </row>
    <row r="210">
      <c r="B210" s="51" t="n"/>
      <c r="C210" s="51" t="n"/>
      <c r="D210" s="51" t="n"/>
      <c r="E210" s="51" t="n"/>
      <c r="F210" s="51" t="n"/>
      <c r="G210" s="51" t="n"/>
      <c r="H210" s="51" t="n"/>
      <c r="I210" s="51" t="n"/>
      <c r="J210" s="51" t="n"/>
      <c r="K210" s="51" t="n"/>
      <c r="L210" s="51" t="n"/>
      <c r="M210" s="51" t="n"/>
      <c r="N210" s="51" t="n"/>
      <c r="O210" s="51" t="n"/>
      <c r="P210" s="51" t="n"/>
      <c r="Q210" s="51" t="n"/>
    </row>
    <row r="211">
      <c r="B211" s="51" t="n"/>
      <c r="C211" s="51" t="n"/>
      <c r="D211" s="51" t="n"/>
      <c r="E211" s="51" t="n"/>
      <c r="F211" s="51" t="n"/>
      <c r="G211" s="51" t="n"/>
      <c r="H211" s="51" t="n"/>
      <c r="I211" s="51" t="n"/>
      <c r="J211" s="51" t="n"/>
      <c r="K211" s="51" t="n"/>
      <c r="L211" s="51" t="n"/>
      <c r="M211" s="51" t="n"/>
      <c r="N211" s="51" t="n"/>
      <c r="O211" s="51" t="n"/>
      <c r="P211" s="51" t="n"/>
      <c r="Q211" s="51" t="n"/>
    </row>
    <row r="212">
      <c r="B212" s="51" t="n"/>
      <c r="C212" s="51" t="n"/>
      <c r="D212" s="51" t="n"/>
      <c r="E212" s="51" t="n"/>
      <c r="F212" s="51" t="n"/>
      <c r="G212" s="51" t="n"/>
      <c r="H212" s="51" t="n"/>
      <c r="I212" s="51" t="n"/>
      <c r="J212" s="51" t="n"/>
      <c r="K212" s="51" t="n"/>
      <c r="L212" s="51" t="n"/>
      <c r="M212" s="51" t="n"/>
      <c r="N212" s="51" t="n"/>
      <c r="O212" s="51" t="n"/>
      <c r="P212" s="51" t="n"/>
      <c r="Q212" s="51" t="n"/>
    </row>
    <row r="213">
      <c r="B213" s="51" t="n"/>
      <c r="C213" s="51" t="n"/>
      <c r="D213" s="51" t="n"/>
      <c r="E213" s="51" t="n"/>
      <c r="F213" s="51" t="n"/>
      <c r="G213" s="51" t="n"/>
      <c r="H213" s="51" t="n"/>
      <c r="I213" s="51" t="n"/>
      <c r="J213" s="51" t="n"/>
      <c r="K213" s="51" t="n"/>
      <c r="L213" s="51" t="n"/>
      <c r="M213" s="51" t="n"/>
      <c r="N213" s="51" t="n"/>
      <c r="O213" s="51" t="n"/>
      <c r="P213" s="51" t="n"/>
      <c r="Q213" s="51" t="n"/>
    </row>
    <row r="214">
      <c r="B214" s="51" t="n"/>
      <c r="C214" s="51" t="n"/>
      <c r="D214" s="51" t="n"/>
      <c r="E214" s="51" t="n"/>
      <c r="F214" s="51" t="n"/>
      <c r="G214" s="51" t="n"/>
      <c r="H214" s="51" t="n"/>
      <c r="I214" s="51" t="n"/>
      <c r="J214" s="51" t="n"/>
      <c r="K214" s="51" t="n"/>
      <c r="L214" s="51" t="n"/>
      <c r="M214" s="51" t="n"/>
      <c r="N214" s="51" t="n"/>
      <c r="O214" s="51" t="n"/>
      <c r="P214" s="51" t="n"/>
      <c r="Q214" s="51" t="n"/>
    </row>
    <row r="215">
      <c r="B215" s="51" t="n"/>
      <c r="C215" s="51" t="n"/>
      <c r="D215" s="51" t="n"/>
      <c r="E215" s="51" t="n"/>
      <c r="F215" s="51" t="n"/>
      <c r="G215" s="51" t="n"/>
      <c r="H215" s="51" t="n"/>
      <c r="I215" s="51" t="n"/>
      <c r="J215" s="51" t="n"/>
      <c r="K215" s="51" t="n"/>
      <c r="L215" s="51" t="n"/>
      <c r="M215" s="51" t="n"/>
      <c r="N215" s="51" t="n"/>
      <c r="O215" s="51" t="n"/>
      <c r="P215" s="51" t="n"/>
      <c r="Q215" s="51" t="n"/>
    </row>
    <row r="216">
      <c r="B216" s="51" t="n"/>
      <c r="C216" s="51" t="n"/>
      <c r="D216" s="51" t="n"/>
      <c r="E216" s="51" t="n"/>
      <c r="F216" s="51" t="n"/>
      <c r="G216" s="51" t="n"/>
      <c r="H216" s="51" t="n"/>
      <c r="I216" s="51" t="n"/>
      <c r="J216" s="51" t="n"/>
      <c r="K216" s="51" t="n"/>
      <c r="L216" s="51" t="n"/>
      <c r="M216" s="51" t="n"/>
      <c r="N216" s="51" t="n"/>
      <c r="O216" s="51" t="n"/>
      <c r="P216" s="51" t="n"/>
      <c r="Q216" s="51" t="n"/>
    </row>
    <row r="217">
      <c r="B217" s="51" t="n"/>
      <c r="C217" s="51" t="n"/>
      <c r="D217" s="51" t="n"/>
      <c r="E217" s="51" t="n"/>
      <c r="F217" s="51" t="n"/>
      <c r="G217" s="51" t="n"/>
      <c r="H217" s="51" t="n"/>
      <c r="I217" s="51" t="n"/>
      <c r="J217" s="51" t="n"/>
      <c r="K217" s="51" t="n"/>
      <c r="L217" s="51" t="n"/>
      <c r="M217" s="51" t="n"/>
      <c r="N217" s="51" t="n"/>
      <c r="O217" s="51" t="n"/>
      <c r="P217" s="51" t="n"/>
      <c r="Q217" s="51" t="n"/>
    </row>
    <row r="218">
      <c r="B218" s="51" t="n"/>
      <c r="C218" s="51" t="n"/>
      <c r="D218" s="51" t="n"/>
      <c r="E218" s="51" t="n"/>
      <c r="F218" s="51" t="n"/>
      <c r="G218" s="51" t="n"/>
      <c r="H218" s="51" t="n"/>
      <c r="I218" s="51" t="n"/>
      <c r="J218" s="51" t="n"/>
      <c r="K218" s="51" t="n"/>
      <c r="L218" s="51" t="n"/>
      <c r="M218" s="51" t="n"/>
      <c r="N218" s="51" t="n"/>
      <c r="O218" s="51" t="n"/>
      <c r="P218" s="51" t="n"/>
      <c r="Q218" s="51" t="n"/>
    </row>
    <row r="219">
      <c r="B219" s="51" t="n"/>
      <c r="C219" s="51" t="n"/>
      <c r="D219" s="51" t="n"/>
      <c r="E219" s="51" t="n"/>
      <c r="F219" s="51" t="n"/>
      <c r="G219" s="51" t="n"/>
      <c r="H219" s="51" t="n"/>
      <c r="I219" s="51" t="n"/>
      <c r="J219" s="51" t="n"/>
      <c r="K219" s="51" t="n"/>
      <c r="L219" s="51" t="n"/>
      <c r="M219" s="51" t="n"/>
      <c r="N219" s="51" t="n"/>
      <c r="O219" s="51" t="n"/>
      <c r="P219" s="51" t="n"/>
      <c r="Q219" s="51" t="n"/>
    </row>
    <row r="220">
      <c r="B220" s="51" t="n"/>
      <c r="C220" s="51" t="n"/>
      <c r="D220" s="51" t="n"/>
      <c r="E220" s="51" t="n"/>
      <c r="F220" s="51" t="n"/>
      <c r="G220" s="51" t="n"/>
      <c r="H220" s="51" t="n"/>
      <c r="I220" s="51" t="n"/>
      <c r="J220" s="51" t="n"/>
      <c r="K220" s="51" t="n"/>
      <c r="L220" s="51" t="n"/>
      <c r="M220" s="51" t="n"/>
      <c r="N220" s="51" t="n"/>
      <c r="O220" s="51" t="n"/>
      <c r="P220" s="51" t="n"/>
      <c r="Q220" s="51" t="n"/>
    </row>
    <row r="221">
      <c r="B221" s="51" t="n"/>
      <c r="C221" s="51" t="n"/>
      <c r="D221" s="51" t="n"/>
      <c r="E221" s="51" t="n"/>
      <c r="F221" s="51" t="n"/>
      <c r="G221" s="51" t="n"/>
      <c r="H221" s="51" t="n"/>
      <c r="I221" s="51" t="n"/>
      <c r="J221" s="51" t="n"/>
      <c r="K221" s="51" t="n"/>
      <c r="L221" s="51" t="n"/>
      <c r="M221" s="51" t="n"/>
      <c r="N221" s="51" t="n"/>
      <c r="O221" s="51" t="n"/>
      <c r="P221" s="51" t="n"/>
      <c r="Q221" s="51" t="n"/>
    </row>
    <row r="222">
      <c r="B222" s="51" t="n"/>
      <c r="C222" s="51" t="n"/>
      <c r="D222" s="51" t="n"/>
      <c r="E222" s="51" t="n"/>
      <c r="F222" s="51" t="n"/>
      <c r="G222" s="51" t="n"/>
      <c r="H222" s="51" t="n"/>
      <c r="I222" s="51" t="n"/>
      <c r="J222" s="51" t="n"/>
      <c r="K222" s="51" t="n"/>
      <c r="L222" s="51" t="n"/>
      <c r="M222" s="51" t="n"/>
      <c r="N222" s="51" t="n"/>
      <c r="O222" s="51" t="n"/>
      <c r="P222" s="51" t="n"/>
      <c r="Q222" s="51" t="n"/>
    </row>
    <row r="223">
      <c r="B223" s="51" t="n"/>
      <c r="C223" s="51" t="n"/>
      <c r="D223" s="51" t="n"/>
      <c r="E223" s="51" t="n"/>
      <c r="F223" s="51" t="n"/>
      <c r="G223" s="51" t="n"/>
      <c r="H223" s="51" t="n"/>
      <c r="I223" s="51" t="n"/>
      <c r="J223" s="51" t="n"/>
      <c r="K223" s="51" t="n"/>
      <c r="L223" s="51" t="n"/>
      <c r="M223" s="51" t="n"/>
      <c r="N223" s="51" t="n"/>
      <c r="O223" s="51" t="n"/>
      <c r="P223" s="51" t="n"/>
      <c r="Q223" s="51" t="n"/>
    </row>
    <row r="224">
      <c r="B224" s="51" t="n"/>
      <c r="C224" s="51" t="n"/>
      <c r="D224" s="51" t="n"/>
      <c r="E224" s="51" t="n"/>
      <c r="F224" s="51" t="n"/>
      <c r="G224" s="51" t="n"/>
      <c r="H224" s="51" t="n"/>
      <c r="I224" s="51" t="n"/>
      <c r="J224" s="51" t="n"/>
      <c r="K224" s="51" t="n"/>
      <c r="L224" s="51" t="n"/>
      <c r="M224" s="51" t="n"/>
      <c r="N224" s="51" t="n"/>
      <c r="O224" s="51" t="n"/>
      <c r="P224" s="51" t="n"/>
      <c r="Q224" s="51" t="n"/>
    </row>
    <row r="225">
      <c r="B225" s="51" t="n"/>
      <c r="C225" s="51" t="n"/>
      <c r="D225" s="51" t="n"/>
      <c r="E225" s="51" t="n"/>
      <c r="F225" s="51" t="n"/>
      <c r="G225" s="51" t="n"/>
      <c r="H225" s="51" t="n"/>
      <c r="I225" s="51" t="n"/>
      <c r="J225" s="51" t="n"/>
      <c r="K225" s="51" t="n"/>
      <c r="L225" s="51" t="n"/>
      <c r="M225" s="51" t="n"/>
      <c r="N225" s="51" t="n"/>
      <c r="O225" s="51" t="n"/>
      <c r="P225" s="51" t="n"/>
      <c r="Q225" s="51" t="n"/>
    </row>
    <row r="226">
      <c r="B226" s="51" t="n"/>
      <c r="C226" s="51" t="n"/>
      <c r="D226" s="51" t="n"/>
      <c r="E226" s="51" t="n"/>
      <c r="F226" s="51" t="n"/>
      <c r="G226" s="51" t="n"/>
      <c r="H226" s="51" t="n"/>
      <c r="I226" s="51" t="n"/>
      <c r="J226" s="51" t="n"/>
      <c r="K226" s="51" t="n"/>
      <c r="L226" s="51" t="n"/>
      <c r="M226" s="51" t="n"/>
      <c r="N226" s="51" t="n"/>
      <c r="O226" s="51" t="n"/>
      <c r="P226" s="51" t="n"/>
      <c r="Q226" s="51" t="n"/>
    </row>
    <row r="227">
      <c r="B227" s="51" t="n"/>
      <c r="C227" s="51" t="n"/>
      <c r="D227" s="51" t="n"/>
      <c r="E227" s="51" t="n"/>
      <c r="F227" s="51" t="n"/>
      <c r="G227" s="51" t="n"/>
      <c r="H227" s="51" t="n"/>
      <c r="I227" s="51" t="n"/>
      <c r="J227" s="51" t="n"/>
      <c r="K227" s="51" t="n"/>
      <c r="L227" s="51" t="n"/>
      <c r="M227" s="51" t="n"/>
      <c r="N227" s="51" t="n"/>
      <c r="O227" s="51" t="n"/>
      <c r="P227" s="51" t="n"/>
      <c r="Q227" s="51" t="n"/>
    </row>
    <row r="228">
      <c r="B228" s="51" t="n"/>
      <c r="C228" s="51" t="n"/>
      <c r="D228" s="51" t="n"/>
      <c r="E228" s="51" t="n"/>
      <c r="F228" s="51" t="n"/>
      <c r="G228" s="51" t="n"/>
      <c r="H228" s="51" t="n"/>
      <c r="I228" s="51" t="n"/>
      <c r="J228" s="51" t="n"/>
      <c r="K228" s="51" t="n"/>
      <c r="L228" s="51" t="n"/>
      <c r="M228" s="51" t="n"/>
      <c r="N228" s="51" t="n"/>
      <c r="O228" s="51" t="n"/>
      <c r="P228" s="51" t="n"/>
      <c r="Q228" s="51" t="n"/>
    </row>
    <row r="229">
      <c r="B229" s="51" t="n"/>
      <c r="C229" s="51" t="n"/>
      <c r="D229" s="51" t="n"/>
      <c r="E229" s="51" t="n"/>
      <c r="F229" s="51" t="n"/>
      <c r="G229" s="51" t="n"/>
      <c r="H229" s="51" t="n"/>
      <c r="I229" s="51" t="n"/>
      <c r="J229" s="51" t="n"/>
      <c r="K229" s="51" t="n"/>
      <c r="L229" s="51" t="n"/>
      <c r="M229" s="51" t="n"/>
      <c r="N229" s="51" t="n"/>
      <c r="O229" s="51" t="n"/>
      <c r="P229" s="51" t="n"/>
      <c r="Q229" s="51" t="n"/>
    </row>
    <row r="230">
      <c r="B230" s="51" t="n"/>
      <c r="C230" s="51" t="n"/>
      <c r="D230" s="51" t="n"/>
      <c r="E230" s="51" t="n"/>
      <c r="F230" s="51" t="n"/>
      <c r="G230" s="51" t="n"/>
      <c r="H230" s="51" t="n"/>
      <c r="I230" s="51" t="n"/>
      <c r="J230" s="51" t="n"/>
      <c r="K230" s="51" t="n"/>
      <c r="L230" s="51" t="n"/>
      <c r="M230" s="51" t="n"/>
      <c r="N230" s="51" t="n"/>
      <c r="O230" s="51" t="n"/>
      <c r="P230" s="51" t="n"/>
      <c r="Q230" s="51" t="n"/>
    </row>
    <row r="231">
      <c r="B231" s="51" t="n"/>
      <c r="C231" s="51" t="n"/>
      <c r="D231" s="51" t="n"/>
      <c r="E231" s="51" t="n"/>
      <c r="F231" s="51" t="n"/>
      <c r="G231" s="51" t="n"/>
      <c r="H231" s="51" t="n"/>
      <c r="I231" s="51" t="n"/>
      <c r="J231" s="51" t="n"/>
      <c r="K231" s="51" t="n"/>
      <c r="L231" s="51" t="n"/>
      <c r="M231" s="51" t="n"/>
      <c r="N231" s="51" t="n"/>
      <c r="O231" s="51" t="n"/>
      <c r="P231" s="51" t="n"/>
      <c r="Q231" s="51" t="n"/>
    </row>
    <row r="232">
      <c r="B232" s="51" t="n"/>
      <c r="C232" s="51" t="n"/>
      <c r="D232" s="51" t="n"/>
      <c r="E232" s="51" t="n"/>
      <c r="F232" s="51" t="n"/>
      <c r="G232" s="51" t="n"/>
      <c r="H232" s="51" t="n"/>
      <c r="I232" s="51" t="n"/>
      <c r="J232" s="51" t="n"/>
      <c r="K232" s="51" t="n"/>
      <c r="L232" s="51" t="n"/>
      <c r="M232" s="51" t="n"/>
      <c r="N232" s="51" t="n"/>
      <c r="O232" s="51" t="n"/>
      <c r="P232" s="51" t="n"/>
      <c r="Q232" s="51" t="n"/>
    </row>
    <row r="233">
      <c r="B233" s="51" t="n"/>
      <c r="C233" s="51" t="n"/>
      <c r="D233" s="51" t="n"/>
      <c r="E233" s="51" t="n"/>
      <c r="F233" s="51" t="n"/>
      <c r="G233" s="51" t="n"/>
      <c r="H233" s="51" t="n"/>
      <c r="I233" s="51" t="n"/>
      <c r="J233" s="51" t="n"/>
      <c r="K233" s="51" t="n"/>
      <c r="L233" s="51" t="n"/>
      <c r="M233" s="51" t="n"/>
      <c r="N233" s="51" t="n"/>
      <c r="O233" s="51" t="n"/>
      <c r="P233" s="51" t="n"/>
      <c r="Q233" s="51" t="n"/>
    </row>
    <row r="234">
      <c r="B234" s="51" t="n"/>
      <c r="C234" s="51" t="n"/>
      <c r="D234" s="51" t="n"/>
      <c r="E234" s="51" t="n"/>
      <c r="F234" s="51" t="n"/>
      <c r="G234" s="51" t="n"/>
      <c r="H234" s="51" t="n"/>
      <c r="I234" s="51" t="n"/>
      <c r="J234" s="51" t="n"/>
      <c r="K234" s="51" t="n"/>
      <c r="L234" s="51" t="n"/>
      <c r="M234" s="51" t="n"/>
      <c r="N234" s="51" t="n"/>
      <c r="O234" s="51" t="n"/>
      <c r="P234" s="51" t="n"/>
      <c r="Q234" s="51" t="n"/>
    </row>
    <row r="235">
      <c r="B235" s="51" t="n"/>
      <c r="C235" s="51" t="n"/>
      <c r="D235" s="51" t="n"/>
      <c r="E235" s="51" t="n"/>
      <c r="F235" s="51" t="n"/>
      <c r="G235" s="51" t="n"/>
      <c r="H235" s="51" t="n"/>
      <c r="I235" s="51" t="n"/>
      <c r="J235" s="51" t="n"/>
      <c r="K235" s="51" t="n"/>
      <c r="L235" s="51" t="n"/>
      <c r="M235" s="51" t="n"/>
      <c r="N235" s="51" t="n"/>
      <c r="O235" s="51" t="n"/>
      <c r="P235" s="51" t="n"/>
      <c r="Q235" s="51" t="n"/>
    </row>
    <row r="236">
      <c r="B236" s="51" t="n"/>
      <c r="C236" s="51" t="n"/>
      <c r="D236" s="51" t="n"/>
      <c r="E236" s="51" t="n"/>
      <c r="F236" s="51" t="n"/>
      <c r="G236" s="51" t="n"/>
      <c r="H236" s="51" t="n"/>
      <c r="I236" s="51" t="n"/>
      <c r="J236" s="51" t="n"/>
      <c r="K236" s="51" t="n"/>
      <c r="L236" s="51" t="n"/>
      <c r="M236" s="51" t="n"/>
      <c r="N236" s="51" t="n"/>
      <c r="O236" s="51" t="n"/>
      <c r="P236" s="51" t="n"/>
      <c r="Q236" s="51" t="n"/>
    </row>
    <row r="237">
      <c r="B237" s="51" t="n"/>
      <c r="C237" s="51" t="n"/>
      <c r="D237" s="51" t="n"/>
      <c r="E237" s="51" t="n"/>
      <c r="F237" s="51" t="n"/>
      <c r="G237" s="51" t="n"/>
      <c r="H237" s="51" t="n"/>
      <c r="I237" s="51" t="n"/>
      <c r="J237" s="51" t="n"/>
      <c r="K237" s="51" t="n"/>
      <c r="L237" s="51" t="n"/>
      <c r="M237" s="51" t="n"/>
      <c r="N237" s="51" t="n"/>
      <c r="O237" s="51" t="n"/>
      <c r="P237" s="51" t="n"/>
      <c r="Q237" s="51" t="n"/>
    </row>
    <row r="238">
      <c r="B238" s="51" t="n"/>
      <c r="C238" s="51" t="n"/>
      <c r="D238" s="51" t="n"/>
      <c r="E238" s="51" t="n"/>
      <c r="F238" s="51" t="n"/>
      <c r="G238" s="51" t="n"/>
      <c r="H238" s="51" t="n"/>
      <c r="I238" s="51" t="n"/>
      <c r="J238" s="51" t="n"/>
      <c r="K238" s="51" t="n"/>
      <c r="L238" s="51" t="n"/>
      <c r="M238" s="51" t="n"/>
      <c r="N238" s="51" t="n"/>
      <c r="O238" s="51" t="n"/>
      <c r="P238" s="51" t="n"/>
      <c r="Q238" s="51" t="n"/>
    </row>
    <row r="239">
      <c r="B239" s="51" t="n"/>
      <c r="C239" s="51" t="n"/>
      <c r="D239" s="51" t="n"/>
      <c r="E239" s="51" t="n"/>
      <c r="F239" s="51" t="n"/>
      <c r="G239" s="51" t="n"/>
      <c r="H239" s="51" t="n"/>
      <c r="I239" s="51" t="n"/>
      <c r="J239" s="51" t="n"/>
      <c r="K239" s="51" t="n"/>
      <c r="L239" s="51" t="n"/>
      <c r="M239" s="51" t="n"/>
      <c r="N239" s="51" t="n"/>
      <c r="O239" s="51" t="n"/>
      <c r="P239" s="51" t="n"/>
      <c r="Q239" s="51" t="n"/>
    </row>
    <row r="240">
      <c r="B240" s="51" t="n"/>
      <c r="C240" s="51" t="n"/>
      <c r="D240" s="51" t="n"/>
      <c r="E240" s="51" t="n"/>
      <c r="F240" s="51" t="n"/>
      <c r="G240" s="51" t="n"/>
      <c r="H240" s="51" t="n"/>
      <c r="I240" s="51" t="n"/>
      <c r="J240" s="51" t="n"/>
      <c r="K240" s="51" t="n"/>
      <c r="L240" s="51" t="n"/>
      <c r="M240" s="51" t="n"/>
      <c r="N240" s="51" t="n"/>
      <c r="O240" s="51" t="n"/>
      <c r="P240" s="51" t="n"/>
      <c r="Q240" s="51" t="n"/>
    </row>
    <row r="241">
      <c r="B241" s="51" t="n"/>
      <c r="C241" s="51" t="n"/>
      <c r="D241" s="51" t="n"/>
      <c r="E241" s="51" t="n"/>
      <c r="F241" s="51" t="n"/>
      <c r="G241" s="51" t="n"/>
      <c r="H241" s="51" t="n"/>
      <c r="I241" s="51" t="n"/>
      <c r="J241" s="51" t="n"/>
      <c r="K241" s="51" t="n"/>
      <c r="L241" s="51" t="n"/>
      <c r="M241" s="51" t="n"/>
      <c r="N241" s="51" t="n"/>
      <c r="O241" s="51" t="n"/>
      <c r="P241" s="51" t="n"/>
      <c r="Q241" s="51" t="n"/>
    </row>
    <row r="242">
      <c r="B242" s="51" t="n"/>
      <c r="C242" s="51" t="n"/>
      <c r="D242" s="51" t="n"/>
      <c r="E242" s="51" t="n"/>
      <c r="F242" s="51" t="n"/>
      <c r="G242" s="51" t="n"/>
      <c r="H242" s="51" t="n"/>
      <c r="I242" s="51" t="n"/>
      <c r="J242" s="51" t="n"/>
      <c r="K242" s="51" t="n"/>
      <c r="L242" s="51" t="n"/>
      <c r="M242" s="51" t="n"/>
      <c r="N242" s="51" t="n"/>
      <c r="O242" s="51" t="n"/>
      <c r="P242" s="51" t="n"/>
      <c r="Q242" s="51" t="n"/>
    </row>
    <row r="243">
      <c r="B243" s="51" t="n"/>
      <c r="C243" s="51" t="n"/>
      <c r="D243" s="51" t="n"/>
      <c r="E243" s="51" t="n"/>
      <c r="F243" s="51" t="n"/>
      <c r="G243" s="51" t="n"/>
      <c r="H243" s="51" t="n"/>
      <c r="I243" s="51" t="n"/>
      <c r="J243" s="51" t="n"/>
      <c r="K243" s="51" t="n"/>
      <c r="L243" s="51" t="n"/>
      <c r="M243" s="51" t="n"/>
      <c r="N243" s="51" t="n"/>
      <c r="O243" s="51" t="n"/>
      <c r="P243" s="51" t="n"/>
      <c r="Q243" s="51" t="n"/>
    </row>
    <row r="244">
      <c r="B244" s="51" t="n"/>
      <c r="C244" s="51" t="n"/>
      <c r="D244" s="51" t="n"/>
      <c r="E244" s="51" t="n"/>
      <c r="F244" s="51" t="n"/>
      <c r="G244" s="51" t="n"/>
      <c r="H244" s="51" t="n"/>
      <c r="I244" s="51" t="n"/>
      <c r="J244" s="51" t="n"/>
      <c r="K244" s="51" t="n"/>
      <c r="L244" s="51" t="n"/>
      <c r="M244" s="51" t="n"/>
      <c r="N244" s="51" t="n"/>
      <c r="O244" s="51" t="n"/>
      <c r="P244" s="51" t="n"/>
      <c r="Q244" s="51" t="n"/>
    </row>
    <row r="245">
      <c r="B245" s="51" t="n"/>
      <c r="C245" s="51" t="n"/>
      <c r="D245" s="51" t="n"/>
      <c r="E245" s="51" t="n"/>
      <c r="F245" s="51" t="n"/>
      <c r="G245" s="51" t="n"/>
      <c r="H245" s="51" t="n"/>
      <c r="I245" s="51" t="n"/>
      <c r="J245" s="51" t="n"/>
      <c r="K245" s="51" t="n"/>
      <c r="L245" s="51" t="n"/>
      <c r="M245" s="51" t="n"/>
      <c r="N245" s="51" t="n"/>
      <c r="O245" s="51" t="n"/>
      <c r="P245" s="51" t="n"/>
      <c r="Q245" s="51" t="n"/>
    </row>
    <row r="246">
      <c r="B246" s="51" t="n"/>
      <c r="C246" s="51" t="n"/>
      <c r="D246" s="51" t="n"/>
      <c r="E246" s="51" t="n"/>
      <c r="F246" s="51" t="n"/>
      <c r="G246" s="51" t="n"/>
      <c r="H246" s="51" t="n"/>
      <c r="I246" s="51" t="n"/>
      <c r="J246" s="51" t="n"/>
      <c r="K246" s="51" t="n"/>
      <c r="L246" s="51" t="n"/>
      <c r="M246" s="51" t="n"/>
      <c r="N246" s="51" t="n"/>
      <c r="O246" s="51" t="n"/>
      <c r="P246" s="51" t="n"/>
      <c r="Q246" s="51" t="n"/>
    </row>
    <row r="247">
      <c r="B247" s="51" t="n"/>
      <c r="C247" s="51" t="n"/>
      <c r="D247" s="51" t="n"/>
      <c r="E247" s="51" t="n"/>
      <c r="F247" s="51" t="n"/>
      <c r="G247" s="51" t="n"/>
      <c r="H247" s="51" t="n"/>
      <c r="I247" s="51" t="n"/>
      <c r="J247" s="51" t="n"/>
      <c r="K247" s="51" t="n"/>
      <c r="L247" s="51" t="n"/>
      <c r="M247" s="51" t="n"/>
      <c r="N247" s="51" t="n"/>
      <c r="O247" s="51" t="n"/>
      <c r="P247" s="51" t="n"/>
      <c r="Q247" s="51" t="n"/>
    </row>
    <row r="248">
      <c r="B248" s="51" t="n"/>
      <c r="C248" s="51" t="n"/>
      <c r="D248" s="51" t="n"/>
      <c r="E248" s="51" t="n"/>
      <c r="F248" s="51" t="n"/>
      <c r="G248" s="51" t="n"/>
      <c r="H248" s="51" t="n"/>
      <c r="I248" s="51" t="n"/>
      <c r="J248" s="51" t="n"/>
      <c r="K248" s="51" t="n"/>
      <c r="L248" s="51" t="n"/>
      <c r="M248" s="51" t="n"/>
      <c r="N248" s="51" t="n"/>
      <c r="O248" s="51" t="n"/>
      <c r="P248" s="51" t="n"/>
      <c r="Q248" s="51" t="n"/>
    </row>
    <row r="249">
      <c r="B249" s="51" t="n"/>
      <c r="C249" s="51" t="n"/>
      <c r="D249" s="51" t="n"/>
      <c r="E249" s="51" t="n"/>
      <c r="F249" s="51" t="n"/>
      <c r="G249" s="51" t="n"/>
      <c r="H249" s="51" t="n"/>
      <c r="I249" s="51" t="n"/>
      <c r="J249" s="51" t="n"/>
      <c r="K249" s="51" t="n"/>
      <c r="L249" s="51" t="n"/>
      <c r="M249" s="51" t="n"/>
      <c r="N249" s="51" t="n"/>
      <c r="O249" s="51" t="n"/>
      <c r="P249" s="51" t="n"/>
      <c r="Q249" s="51" t="n"/>
    </row>
    <row r="250">
      <c r="B250" s="51" t="n"/>
      <c r="C250" s="51" t="n"/>
      <c r="D250" s="51" t="n"/>
      <c r="E250" s="51" t="n"/>
      <c r="F250" s="51" t="n"/>
      <c r="G250" s="51" t="n"/>
      <c r="H250" s="51" t="n"/>
      <c r="I250" s="51" t="n"/>
      <c r="J250" s="51" t="n"/>
      <c r="K250" s="51" t="n"/>
      <c r="L250" s="51" t="n"/>
      <c r="M250" s="51" t="n"/>
      <c r="N250" s="51" t="n"/>
      <c r="O250" s="51" t="n"/>
      <c r="P250" s="51" t="n"/>
      <c r="Q250" s="51" t="n"/>
    </row>
    <row r="251">
      <c r="B251" s="51" t="n"/>
      <c r="C251" s="51" t="n"/>
      <c r="D251" s="51" t="n"/>
      <c r="E251" s="51" t="n"/>
      <c r="F251" s="51" t="n"/>
      <c r="G251" s="51" t="n"/>
      <c r="H251" s="51" t="n"/>
      <c r="I251" s="51" t="n"/>
      <c r="J251" s="51" t="n"/>
      <c r="K251" s="51" t="n"/>
      <c r="L251" s="51" t="n"/>
      <c r="M251" s="51" t="n"/>
      <c r="N251" s="51" t="n"/>
      <c r="O251" s="51" t="n"/>
      <c r="P251" s="51" t="n"/>
      <c r="Q251" s="51" t="n"/>
    </row>
    <row r="252">
      <c r="B252" s="51" t="n"/>
      <c r="C252" s="51" t="n"/>
      <c r="D252" s="51" t="n"/>
      <c r="E252" s="51" t="n"/>
      <c r="F252" s="51" t="n"/>
      <c r="G252" s="51" t="n"/>
      <c r="H252" s="51" t="n"/>
      <c r="I252" s="51" t="n"/>
      <c r="J252" s="51" t="n"/>
      <c r="K252" s="51" t="n"/>
      <c r="L252" s="51" t="n"/>
      <c r="M252" s="51" t="n"/>
      <c r="N252" s="51" t="n"/>
      <c r="O252" s="51" t="n"/>
      <c r="P252" s="51" t="n"/>
      <c r="Q252" s="51" t="n"/>
    </row>
    <row r="253">
      <c r="B253" s="51" t="n"/>
      <c r="C253" s="51" t="n"/>
      <c r="D253" s="51" t="n"/>
      <c r="E253" s="51" t="n"/>
      <c r="F253" s="51" t="n"/>
      <c r="G253" s="51" t="n"/>
      <c r="H253" s="51" t="n"/>
      <c r="I253" s="51" t="n"/>
      <c r="J253" s="51" t="n"/>
      <c r="K253" s="51" t="n"/>
      <c r="L253" s="51" t="n"/>
      <c r="M253" s="51" t="n"/>
      <c r="N253" s="51" t="n"/>
      <c r="O253" s="51" t="n"/>
      <c r="P253" s="51" t="n"/>
      <c r="Q253" s="51" t="n"/>
    </row>
    <row r="254">
      <c r="B254" s="51" t="n"/>
      <c r="C254" s="51" t="n"/>
      <c r="D254" s="51" t="n"/>
      <c r="E254" s="51" t="n"/>
      <c r="F254" s="51" t="n"/>
      <c r="G254" s="51" t="n"/>
      <c r="H254" s="51" t="n"/>
      <c r="I254" s="51" t="n"/>
      <c r="J254" s="51" t="n"/>
      <c r="K254" s="51" t="n"/>
      <c r="L254" s="51" t="n"/>
      <c r="M254" s="51" t="n"/>
      <c r="N254" s="51" t="n"/>
      <c r="O254" s="51" t="n"/>
      <c r="P254" s="51" t="n"/>
      <c r="Q254" s="51" t="n"/>
    </row>
    <row r="255">
      <c r="B255" s="51" t="n"/>
      <c r="C255" s="51" t="n"/>
      <c r="D255" s="51" t="n"/>
      <c r="E255" s="51" t="n"/>
      <c r="F255" s="51" t="n"/>
      <c r="G255" s="51" t="n"/>
      <c r="H255" s="51" t="n"/>
      <c r="I255" s="51" t="n"/>
      <c r="J255" s="51" t="n"/>
      <c r="K255" s="51" t="n"/>
      <c r="L255" s="51" t="n"/>
      <c r="M255" s="51" t="n"/>
      <c r="N255" s="51" t="n"/>
      <c r="O255" s="51" t="n"/>
      <c r="P255" s="51" t="n"/>
      <c r="Q255" s="51" t="n"/>
    </row>
    <row r="256">
      <c r="B256" s="51" t="n"/>
      <c r="C256" s="51" t="n"/>
      <c r="D256" s="51" t="n"/>
      <c r="E256" s="51" t="n"/>
      <c r="F256" s="51" t="n"/>
      <c r="G256" s="51" t="n"/>
      <c r="H256" s="51" t="n"/>
      <c r="I256" s="51" t="n"/>
      <c r="J256" s="51" t="n"/>
      <c r="K256" s="51" t="n"/>
      <c r="L256" s="51" t="n"/>
      <c r="M256" s="51" t="n"/>
      <c r="N256" s="51" t="n"/>
      <c r="O256" s="51" t="n"/>
      <c r="P256" s="51" t="n"/>
      <c r="Q256" s="51" t="n"/>
    </row>
    <row r="257">
      <c r="B257" s="51" t="n"/>
      <c r="C257" s="51" t="n"/>
      <c r="D257" s="51" t="n"/>
      <c r="E257" s="51" t="n"/>
      <c r="F257" s="51" t="n"/>
      <c r="G257" s="51" t="n"/>
      <c r="H257" s="51" t="n"/>
      <c r="I257" s="51" t="n"/>
      <c r="J257" s="51" t="n"/>
      <c r="K257" s="51" t="n"/>
      <c r="L257" s="51" t="n"/>
      <c r="M257" s="51" t="n"/>
      <c r="N257" s="51" t="n"/>
      <c r="O257" s="51" t="n"/>
      <c r="P257" s="51" t="n"/>
      <c r="Q257" s="51" t="n"/>
    </row>
    <row r="258">
      <c r="B258" s="51" t="n"/>
      <c r="C258" s="51" t="n"/>
      <c r="D258" s="51" t="n"/>
      <c r="E258" s="51" t="n"/>
      <c r="F258" s="51" t="n"/>
      <c r="G258" s="51" t="n"/>
      <c r="H258" s="51" t="n"/>
      <c r="I258" s="51" t="n"/>
      <c r="J258" s="51" t="n"/>
      <c r="K258" s="51" t="n"/>
      <c r="L258" s="51" t="n"/>
      <c r="M258" s="51" t="n"/>
      <c r="N258" s="51" t="n"/>
      <c r="O258" s="51" t="n"/>
      <c r="P258" s="51" t="n"/>
      <c r="Q258" s="51" t="n"/>
    </row>
    <row r="259">
      <c r="B259" s="51" t="n"/>
      <c r="C259" s="51" t="n"/>
      <c r="D259" s="51" t="n"/>
      <c r="E259" s="51" t="n"/>
      <c r="F259" s="51" t="n"/>
      <c r="G259" s="51" t="n"/>
      <c r="H259" s="51" t="n"/>
      <c r="I259" s="51" t="n"/>
      <c r="J259" s="51" t="n"/>
      <c r="K259" s="51" t="n"/>
      <c r="L259" s="51" t="n"/>
      <c r="M259" s="51" t="n"/>
      <c r="N259" s="51" t="n"/>
      <c r="O259" s="51" t="n"/>
      <c r="P259" s="51" t="n"/>
      <c r="Q259" s="51" t="n"/>
    </row>
    <row r="260">
      <c r="B260" s="51" t="n"/>
      <c r="C260" s="51" t="n"/>
      <c r="D260" s="51" t="n"/>
      <c r="E260" s="51" t="n"/>
      <c r="F260" s="51" t="n"/>
      <c r="G260" s="51" t="n"/>
      <c r="H260" s="51" t="n"/>
      <c r="I260" s="51" t="n"/>
      <c r="J260" s="51" t="n"/>
      <c r="K260" s="51" t="n"/>
      <c r="L260" s="51" t="n"/>
      <c r="M260" s="51" t="n"/>
      <c r="N260" s="51" t="n"/>
      <c r="O260" s="51" t="n"/>
      <c r="P260" s="51" t="n"/>
      <c r="Q260" s="51" t="n"/>
    </row>
    <row r="261">
      <c r="B261" s="51" t="n"/>
      <c r="C261" s="51" t="n"/>
      <c r="D261" s="51" t="n"/>
      <c r="E261" s="51" t="n"/>
      <c r="F261" s="51" t="n"/>
      <c r="G261" s="51" t="n"/>
      <c r="H261" s="51" t="n"/>
      <c r="I261" s="51" t="n"/>
      <c r="J261" s="51" t="n"/>
      <c r="K261" s="51" t="n"/>
      <c r="L261" s="51" t="n"/>
      <c r="M261" s="51" t="n"/>
      <c r="N261" s="51" t="n"/>
      <c r="O261" s="51" t="n"/>
      <c r="P261" s="51" t="n"/>
      <c r="Q261" s="51" t="n"/>
    </row>
    <row r="262">
      <c r="B262" s="51" t="n"/>
      <c r="C262" s="51" t="n"/>
      <c r="D262" s="51" t="n"/>
      <c r="E262" s="51" t="n"/>
      <c r="F262" s="51" t="n"/>
      <c r="G262" s="51" t="n"/>
      <c r="H262" s="51" t="n"/>
      <c r="I262" s="51" t="n"/>
      <c r="J262" s="51" t="n"/>
      <c r="K262" s="51" t="n"/>
      <c r="L262" s="51" t="n"/>
      <c r="M262" s="51" t="n"/>
      <c r="N262" s="51" t="n"/>
      <c r="O262" s="51" t="n"/>
      <c r="P262" s="51" t="n"/>
      <c r="Q262" s="51" t="n"/>
    </row>
    <row r="263">
      <c r="B263" s="51" t="n"/>
      <c r="C263" s="51" t="n"/>
      <c r="D263" s="51" t="n"/>
      <c r="E263" s="51" t="n"/>
      <c r="F263" s="51" t="n"/>
      <c r="G263" s="51" t="n"/>
      <c r="H263" s="51" t="n"/>
      <c r="I263" s="51" t="n"/>
      <c r="J263" s="51" t="n"/>
      <c r="K263" s="51" t="n"/>
      <c r="L263" s="51" t="n"/>
      <c r="M263" s="51" t="n"/>
      <c r="N263" s="51" t="n"/>
      <c r="O263" s="51" t="n"/>
      <c r="P263" s="51" t="n"/>
      <c r="Q263" s="51" t="n"/>
    </row>
    <row r="264">
      <c r="B264" s="51" t="n"/>
      <c r="C264" s="51" t="n"/>
      <c r="D264" s="51" t="n"/>
      <c r="E264" s="51" t="n"/>
      <c r="F264" s="51" t="n"/>
      <c r="G264" s="51" t="n"/>
      <c r="H264" s="51" t="n"/>
      <c r="I264" s="51" t="n"/>
      <c r="J264" s="51" t="n"/>
      <c r="K264" s="51" t="n"/>
      <c r="L264" s="51" t="n"/>
      <c r="M264" s="51" t="n"/>
      <c r="N264" s="51" t="n"/>
      <c r="O264" s="51" t="n"/>
      <c r="P264" s="51" t="n"/>
      <c r="Q264" s="51" t="n"/>
    </row>
    <row r="265">
      <c r="B265" s="51" t="n"/>
      <c r="C265" s="51" t="n"/>
      <c r="D265" s="51" t="n"/>
      <c r="E265" s="51" t="n"/>
      <c r="F265" s="51" t="n"/>
      <c r="G265" s="51" t="n"/>
      <c r="H265" s="51" t="n"/>
      <c r="I265" s="51" t="n"/>
      <c r="J265" s="51" t="n"/>
      <c r="K265" s="51" t="n"/>
      <c r="L265" s="51" t="n"/>
      <c r="M265" s="51" t="n"/>
      <c r="N265" s="51" t="n"/>
      <c r="O265" s="51" t="n"/>
      <c r="P265" s="51" t="n"/>
      <c r="Q265" s="51" t="n"/>
    </row>
    <row r="266">
      <c r="B266" s="51" t="n"/>
      <c r="C266" s="51" t="n"/>
      <c r="D266" s="51" t="n"/>
      <c r="E266" s="51" t="n"/>
      <c r="F266" s="51" t="n"/>
      <c r="G266" s="51" t="n"/>
      <c r="H266" s="51" t="n"/>
      <c r="I266" s="51" t="n"/>
      <c r="J266" s="51" t="n"/>
      <c r="K266" s="51" t="n"/>
      <c r="L266" s="51" t="n"/>
      <c r="M266" s="51" t="n"/>
      <c r="N266" s="51" t="n"/>
      <c r="O266" s="51" t="n"/>
      <c r="P266" s="51" t="n"/>
      <c r="Q266" s="51" t="n"/>
    </row>
    <row r="267">
      <c r="B267" s="51" t="n"/>
      <c r="C267" s="51" t="n"/>
      <c r="D267" s="51" t="n"/>
      <c r="E267" s="51" t="n"/>
      <c r="F267" s="51" t="n"/>
      <c r="G267" s="51" t="n"/>
      <c r="H267" s="51" t="n"/>
      <c r="I267" s="51" t="n"/>
      <c r="J267" s="51" t="n"/>
      <c r="K267" s="51" t="n"/>
      <c r="L267" s="51" t="n"/>
      <c r="M267" s="51" t="n"/>
      <c r="N267" s="51" t="n"/>
      <c r="O267" s="51" t="n"/>
      <c r="P267" s="51" t="n"/>
      <c r="Q267" s="51" t="n"/>
    </row>
    <row r="268">
      <c r="B268" s="51" t="n"/>
      <c r="C268" s="51" t="n"/>
      <c r="D268" s="51" t="n"/>
      <c r="E268" s="51" t="n"/>
      <c r="F268" s="51" t="n"/>
      <c r="G268" s="51" t="n"/>
      <c r="H268" s="51" t="n"/>
      <c r="I268" s="51" t="n"/>
      <c r="J268" s="51" t="n"/>
      <c r="K268" s="51" t="n"/>
      <c r="L268" s="51" t="n"/>
      <c r="M268" s="51" t="n"/>
      <c r="N268" s="51" t="n"/>
      <c r="O268" s="51" t="n"/>
      <c r="P268" s="51" t="n"/>
      <c r="Q268" s="51" t="n"/>
    </row>
    <row r="269">
      <c r="B269" s="51" t="n"/>
      <c r="C269" s="51" t="n"/>
      <c r="D269" s="51" t="n"/>
      <c r="E269" s="51" t="n"/>
      <c r="F269" s="51" t="n"/>
      <c r="G269" s="51" t="n"/>
      <c r="H269" s="51" t="n"/>
      <c r="I269" s="51" t="n"/>
      <c r="J269" s="51" t="n"/>
      <c r="K269" s="51" t="n"/>
      <c r="L269" s="51" t="n"/>
      <c r="M269" s="51" t="n"/>
      <c r="N269" s="51" t="n"/>
      <c r="O269" s="51" t="n"/>
      <c r="P269" s="51" t="n"/>
      <c r="Q269" s="51" t="n"/>
    </row>
    <row r="270">
      <c r="B270" s="51" t="n"/>
      <c r="C270" s="51" t="n"/>
      <c r="D270" s="51" t="n"/>
      <c r="E270" s="51" t="n"/>
      <c r="F270" s="51" t="n"/>
      <c r="G270" s="51" t="n"/>
      <c r="H270" s="51" t="n"/>
      <c r="I270" s="51" t="n"/>
      <c r="J270" s="51" t="n"/>
      <c r="K270" s="51" t="n"/>
      <c r="L270" s="51" t="n"/>
      <c r="M270" s="51" t="n"/>
      <c r="N270" s="51" t="n"/>
      <c r="O270" s="51" t="n"/>
      <c r="P270" s="51" t="n"/>
      <c r="Q270" s="51" t="n"/>
    </row>
    <row r="271">
      <c r="B271" s="51" t="n"/>
      <c r="C271" s="51" t="n"/>
      <c r="D271" s="51" t="n"/>
      <c r="E271" s="51" t="n"/>
      <c r="F271" s="51" t="n"/>
      <c r="G271" s="51" t="n"/>
      <c r="H271" s="51" t="n"/>
      <c r="I271" s="51" t="n"/>
      <c r="J271" s="51" t="n"/>
      <c r="K271" s="51" t="n"/>
      <c r="L271" s="51" t="n"/>
      <c r="M271" s="51" t="n"/>
      <c r="N271" s="51" t="n"/>
      <c r="O271" s="51" t="n"/>
      <c r="P271" s="51" t="n"/>
      <c r="Q271" s="51" t="n"/>
    </row>
    <row r="272">
      <c r="B272" s="51" t="n"/>
      <c r="C272" s="51" t="n"/>
      <c r="D272" s="51" t="n"/>
      <c r="E272" s="51" t="n"/>
      <c r="F272" s="51" t="n"/>
      <c r="G272" s="51" t="n"/>
      <c r="H272" s="51" t="n"/>
      <c r="I272" s="51" t="n"/>
      <c r="J272" s="51" t="n"/>
      <c r="K272" s="51" t="n"/>
      <c r="L272" s="51" t="n"/>
      <c r="M272" s="51" t="n"/>
      <c r="N272" s="51" t="n"/>
      <c r="O272" s="51" t="n"/>
      <c r="P272" s="51" t="n"/>
      <c r="Q272" s="51" t="n"/>
    </row>
    <row r="273">
      <c r="B273" s="51" t="n"/>
      <c r="C273" s="51" t="n"/>
      <c r="D273" s="51" t="n"/>
      <c r="E273" s="51" t="n"/>
      <c r="F273" s="51" t="n"/>
      <c r="G273" s="51" t="n"/>
      <c r="H273" s="51" t="n"/>
      <c r="I273" s="51" t="n"/>
      <c r="J273" s="51" t="n"/>
      <c r="K273" s="51" t="n"/>
      <c r="L273" s="51" t="n"/>
      <c r="M273" s="51" t="n"/>
      <c r="N273" s="51" t="n"/>
      <c r="O273" s="51" t="n"/>
      <c r="P273" s="51" t="n"/>
      <c r="Q273" s="51" t="n"/>
    </row>
    <row r="274">
      <c r="B274" s="51" t="n"/>
      <c r="C274" s="51" t="n"/>
      <c r="D274" s="51" t="n"/>
      <c r="E274" s="51" t="n"/>
      <c r="F274" s="51" t="n"/>
      <c r="G274" s="51" t="n"/>
      <c r="H274" s="51" t="n"/>
      <c r="I274" s="51" t="n"/>
      <c r="J274" s="51" t="n"/>
      <c r="K274" s="51" t="n"/>
      <c r="L274" s="51" t="n"/>
      <c r="M274" s="51" t="n"/>
      <c r="N274" s="51" t="n"/>
      <c r="O274" s="51" t="n"/>
      <c r="P274" s="51" t="n"/>
      <c r="Q274" s="51" t="n"/>
    </row>
    <row r="275">
      <c r="B275" s="51" t="n"/>
      <c r="C275" s="51" t="n"/>
      <c r="D275" s="51" t="n"/>
      <c r="E275" s="51" t="n"/>
      <c r="F275" s="51" t="n"/>
      <c r="G275" s="51" t="n"/>
      <c r="H275" s="51" t="n"/>
      <c r="I275" s="51" t="n"/>
      <c r="J275" s="51" t="n"/>
      <c r="K275" s="51" t="n"/>
      <c r="L275" s="51" t="n"/>
      <c r="M275" s="51" t="n"/>
      <c r="N275" s="51" t="n"/>
      <c r="O275" s="51" t="n"/>
      <c r="P275" s="51" t="n"/>
      <c r="Q275" s="51" t="n"/>
    </row>
    <row r="276">
      <c r="B276" s="51" t="n"/>
      <c r="C276" s="51" t="n"/>
      <c r="D276" s="51" t="n"/>
      <c r="E276" s="51" t="n"/>
      <c r="F276" s="51" t="n"/>
      <c r="G276" s="51" t="n"/>
      <c r="H276" s="51" t="n"/>
      <c r="I276" s="51" t="n"/>
      <c r="J276" s="51" t="n"/>
      <c r="K276" s="51" t="n"/>
      <c r="L276" s="51" t="n"/>
      <c r="M276" s="51" t="n"/>
      <c r="N276" s="51" t="n"/>
      <c r="O276" s="51" t="n"/>
      <c r="P276" s="51" t="n"/>
      <c r="Q276" s="51" t="n"/>
    </row>
    <row r="277">
      <c r="B277" s="51" t="n"/>
      <c r="C277" s="51" t="n"/>
      <c r="D277" s="51" t="n"/>
      <c r="E277" s="51" t="n"/>
      <c r="F277" s="51" t="n"/>
      <c r="G277" s="51" t="n"/>
      <c r="H277" s="51" t="n"/>
      <c r="I277" s="51" t="n"/>
      <c r="J277" s="51" t="n"/>
      <c r="K277" s="51" t="n"/>
      <c r="L277" s="51" t="n"/>
      <c r="M277" s="51" t="n"/>
      <c r="N277" s="51" t="n"/>
      <c r="O277" s="51" t="n"/>
      <c r="P277" s="51" t="n"/>
      <c r="Q277" s="51" t="n"/>
    </row>
    <row r="278">
      <c r="B278" s="51" t="n"/>
      <c r="C278" s="51" t="n"/>
      <c r="D278" s="51" t="n"/>
      <c r="E278" s="51" t="n"/>
      <c r="F278" s="51" t="n"/>
      <c r="G278" s="51" t="n"/>
      <c r="H278" s="51" t="n"/>
      <c r="I278" s="51" t="n"/>
      <c r="J278" s="51" t="n"/>
      <c r="K278" s="51" t="n"/>
      <c r="L278" s="51" t="n"/>
      <c r="M278" s="51" t="n"/>
      <c r="N278" s="51" t="n"/>
      <c r="O278" s="51" t="n"/>
      <c r="P278" s="51" t="n"/>
      <c r="Q278" s="51" t="n"/>
    </row>
    <row r="279">
      <c r="B279" s="51" t="n"/>
      <c r="C279" s="51" t="n"/>
      <c r="D279" s="51" t="n"/>
      <c r="E279" s="51" t="n"/>
      <c r="F279" s="51" t="n"/>
      <c r="G279" s="51" t="n"/>
      <c r="H279" s="51" t="n"/>
      <c r="I279" s="51" t="n"/>
      <c r="J279" s="51" t="n"/>
      <c r="K279" s="51" t="n"/>
      <c r="L279" s="51" t="n"/>
      <c r="M279" s="51" t="n"/>
      <c r="N279" s="51" t="n"/>
      <c r="O279" s="51" t="n"/>
      <c r="P279" s="51" t="n"/>
      <c r="Q279" s="51" t="n"/>
    </row>
    <row r="280">
      <c r="B280" s="51" t="n"/>
      <c r="C280" s="51" t="n"/>
      <c r="D280" s="51" t="n"/>
      <c r="E280" s="51" t="n"/>
      <c r="F280" s="51" t="n"/>
      <c r="G280" s="51" t="n"/>
      <c r="H280" s="51" t="n"/>
      <c r="I280" s="51" t="n"/>
      <c r="J280" s="51" t="n"/>
      <c r="K280" s="51" t="n"/>
      <c r="L280" s="51" t="n"/>
      <c r="M280" s="51" t="n"/>
      <c r="N280" s="51" t="n"/>
      <c r="O280" s="51" t="n"/>
      <c r="P280" s="51" t="n"/>
      <c r="Q280" s="51" t="n"/>
    </row>
    <row r="281">
      <c r="B281" s="51" t="n"/>
      <c r="C281" s="51" t="n"/>
      <c r="D281" s="51" t="n"/>
      <c r="E281" s="51" t="n"/>
      <c r="F281" s="51" t="n"/>
      <c r="G281" s="51" t="n"/>
      <c r="H281" s="51" t="n"/>
      <c r="I281" s="51" t="n"/>
      <c r="J281" s="51" t="n"/>
      <c r="K281" s="51" t="n"/>
      <c r="L281" s="51" t="n"/>
      <c r="M281" s="51" t="n"/>
      <c r="N281" s="51" t="n"/>
      <c r="O281" s="51" t="n"/>
      <c r="P281" s="51" t="n"/>
      <c r="Q281" s="51" t="n"/>
    </row>
    <row r="282">
      <c r="B282" s="51" t="n"/>
      <c r="C282" s="51" t="n"/>
      <c r="D282" s="51" t="n"/>
      <c r="E282" s="51" t="n"/>
      <c r="F282" s="51" t="n"/>
      <c r="G282" s="51" t="n"/>
      <c r="H282" s="51" t="n"/>
      <c r="I282" s="51" t="n"/>
      <c r="J282" s="51" t="n"/>
      <c r="K282" s="51" t="n"/>
      <c r="L282" s="51" t="n"/>
      <c r="M282" s="51" t="n"/>
      <c r="N282" s="51" t="n"/>
      <c r="O282" s="51" t="n"/>
      <c r="P282" s="51" t="n"/>
      <c r="Q282" s="51" t="n"/>
    </row>
    <row r="283">
      <c r="B283" s="51" t="n"/>
      <c r="C283" s="51" t="n"/>
      <c r="D283" s="51" t="n"/>
      <c r="E283" s="51" t="n"/>
      <c r="F283" s="51" t="n"/>
      <c r="G283" s="51" t="n"/>
      <c r="H283" s="51" t="n"/>
      <c r="I283" s="51" t="n"/>
      <c r="J283" s="51" t="n"/>
      <c r="K283" s="51" t="n"/>
      <c r="L283" s="51" t="n"/>
      <c r="M283" s="51" t="n"/>
      <c r="N283" s="51" t="n"/>
      <c r="O283" s="51" t="n"/>
      <c r="P283" s="51" t="n"/>
      <c r="Q283" s="51" t="n"/>
    </row>
    <row r="284">
      <c r="B284" s="51" t="n"/>
      <c r="C284" s="51" t="n"/>
      <c r="D284" s="51" t="n"/>
      <c r="E284" s="51" t="n"/>
      <c r="F284" s="51" t="n"/>
      <c r="G284" s="51" t="n"/>
      <c r="H284" s="51" t="n"/>
      <c r="I284" s="51" t="n"/>
      <c r="J284" s="51" t="n"/>
      <c r="K284" s="51" t="n"/>
      <c r="L284" s="51" t="n"/>
      <c r="M284" s="51" t="n"/>
      <c r="N284" s="51" t="n"/>
      <c r="O284" s="51" t="n"/>
      <c r="P284" s="51" t="n"/>
      <c r="Q284" s="51" t="n"/>
    </row>
    <row r="285">
      <c r="B285" s="51" t="n"/>
      <c r="C285" s="51" t="n"/>
      <c r="D285" s="51" t="n"/>
      <c r="E285" s="51" t="n"/>
      <c r="F285" s="51" t="n"/>
      <c r="G285" s="51" t="n"/>
      <c r="H285" s="51" t="n"/>
      <c r="I285" s="51" t="n"/>
      <c r="J285" s="51" t="n"/>
      <c r="K285" s="51" t="n"/>
      <c r="L285" s="51" t="n"/>
      <c r="M285" s="51" t="n"/>
      <c r="N285" s="51" t="n"/>
      <c r="O285" s="51" t="n"/>
      <c r="P285" s="51" t="n"/>
      <c r="Q285" s="51" t="n"/>
    </row>
    <row r="286">
      <c r="B286" s="51" t="n"/>
      <c r="C286" s="51" t="n"/>
      <c r="D286" s="51" t="n"/>
      <c r="E286" s="51" t="n"/>
      <c r="F286" s="51" t="n"/>
      <c r="G286" s="51" t="n"/>
      <c r="H286" s="51" t="n"/>
      <c r="I286" s="51" t="n"/>
      <c r="J286" s="51" t="n"/>
      <c r="K286" s="51" t="n"/>
      <c r="L286" s="51" t="n"/>
      <c r="M286" s="51" t="n"/>
      <c r="N286" s="51" t="n"/>
      <c r="O286" s="51" t="n"/>
      <c r="P286" s="51" t="n"/>
      <c r="Q286" s="51" t="n"/>
    </row>
    <row r="287">
      <c r="B287" s="51" t="n"/>
      <c r="C287" s="51" t="n"/>
      <c r="D287" s="51" t="n"/>
      <c r="E287" s="51" t="n"/>
      <c r="F287" s="51" t="n"/>
      <c r="G287" s="51" t="n"/>
      <c r="H287" s="51" t="n"/>
      <c r="I287" s="51" t="n"/>
      <c r="J287" s="51" t="n"/>
      <c r="K287" s="51" t="n"/>
      <c r="L287" s="51" t="n"/>
      <c r="M287" s="51" t="n"/>
      <c r="N287" s="51" t="n"/>
      <c r="O287" s="51" t="n"/>
      <c r="P287" s="51" t="n"/>
      <c r="Q287" s="51" t="n"/>
    </row>
    <row r="288">
      <c r="B288" s="51" t="n"/>
      <c r="C288" s="51" t="n"/>
      <c r="D288" s="51" t="n"/>
      <c r="E288" s="51" t="n"/>
      <c r="F288" s="51" t="n"/>
      <c r="G288" s="51" t="n"/>
      <c r="H288" s="51" t="n"/>
      <c r="I288" s="51" t="n"/>
      <c r="J288" s="51" t="n"/>
      <c r="K288" s="51" t="n"/>
      <c r="L288" s="51" t="n"/>
      <c r="M288" s="51" t="n"/>
      <c r="N288" s="51" t="n"/>
      <c r="O288" s="51" t="n"/>
      <c r="P288" s="51" t="n"/>
      <c r="Q288" s="51" t="n"/>
    </row>
    <row r="289">
      <c r="B289" s="51" t="n"/>
      <c r="C289" s="51" t="n"/>
      <c r="D289" s="51" t="n"/>
      <c r="E289" s="51" t="n"/>
      <c r="F289" s="51" t="n"/>
      <c r="G289" s="51" t="n"/>
      <c r="H289" s="51" t="n"/>
      <c r="I289" s="51" t="n"/>
      <c r="J289" s="51" t="n"/>
      <c r="K289" s="51" t="n"/>
      <c r="L289" s="51" t="n"/>
      <c r="M289" s="51" t="n"/>
      <c r="N289" s="51" t="n"/>
      <c r="O289" s="51" t="n"/>
      <c r="P289" s="51" t="n"/>
      <c r="Q289" s="51" t="n"/>
    </row>
    <row r="290">
      <c r="B290" s="51" t="n"/>
      <c r="C290" s="51" t="n"/>
      <c r="D290" s="51" t="n"/>
      <c r="E290" s="51" t="n"/>
      <c r="F290" s="51" t="n"/>
      <c r="G290" s="51" t="n"/>
      <c r="H290" s="51" t="n"/>
      <c r="I290" s="51" t="n"/>
      <c r="J290" s="51" t="n"/>
      <c r="K290" s="51" t="n"/>
      <c r="L290" s="51" t="n"/>
      <c r="M290" s="51" t="n"/>
      <c r="N290" s="51" t="n"/>
      <c r="O290" s="51" t="n"/>
      <c r="P290" s="51" t="n"/>
      <c r="Q290" s="51" t="n"/>
    </row>
    <row r="291">
      <c r="B291" s="51" t="n"/>
      <c r="C291" s="51" t="n"/>
      <c r="D291" s="51" t="n"/>
      <c r="E291" s="51" t="n"/>
      <c r="F291" s="51" t="n"/>
      <c r="G291" s="51" t="n"/>
      <c r="H291" s="51" t="n"/>
      <c r="I291" s="51" t="n"/>
      <c r="J291" s="51" t="n"/>
      <c r="K291" s="51" t="n"/>
      <c r="L291" s="51" t="n"/>
      <c r="M291" s="51" t="n"/>
      <c r="N291" s="51" t="n"/>
      <c r="O291" s="51" t="n"/>
      <c r="P291" s="51" t="n"/>
      <c r="Q291" s="51" t="n"/>
    </row>
    <row r="292">
      <c r="B292" s="51" t="n"/>
      <c r="C292" s="51" t="n"/>
      <c r="D292" s="51" t="n"/>
      <c r="E292" s="51" t="n"/>
      <c r="F292" s="51" t="n"/>
      <c r="G292" s="51" t="n"/>
      <c r="H292" s="51" t="n"/>
      <c r="I292" s="51" t="n"/>
      <c r="J292" s="51" t="n"/>
      <c r="K292" s="51" t="n"/>
      <c r="L292" s="51" t="n"/>
      <c r="M292" s="51" t="n"/>
      <c r="N292" s="51" t="n"/>
      <c r="O292" s="51" t="n"/>
      <c r="P292" s="51" t="n"/>
      <c r="Q292" s="51" t="n"/>
    </row>
    <row r="293">
      <c r="B293" s="51" t="n"/>
      <c r="C293" s="51" t="n"/>
      <c r="D293" s="51" t="n"/>
      <c r="E293" s="51" t="n"/>
      <c r="F293" s="51" t="n"/>
      <c r="G293" s="51" t="n"/>
      <c r="H293" s="51" t="n"/>
      <c r="I293" s="51" t="n"/>
      <c r="J293" s="51" t="n"/>
      <c r="K293" s="51" t="n"/>
      <c r="L293" s="51" t="n"/>
      <c r="M293" s="51" t="n"/>
      <c r="N293" s="51" t="n"/>
      <c r="O293" s="51" t="n"/>
      <c r="P293" s="51" t="n"/>
      <c r="Q293" s="51" t="n"/>
    </row>
    <row r="294">
      <c r="B294" s="51" t="n"/>
      <c r="C294" s="51" t="n"/>
      <c r="D294" s="51" t="n"/>
      <c r="E294" s="51" t="n"/>
      <c r="F294" s="51" t="n"/>
      <c r="G294" s="51" t="n"/>
      <c r="H294" s="51" t="n"/>
      <c r="I294" s="51" t="n"/>
      <c r="J294" s="51" t="n"/>
      <c r="K294" s="51" t="n"/>
      <c r="L294" s="51" t="n"/>
      <c r="M294" s="51" t="n"/>
      <c r="N294" s="51" t="n"/>
      <c r="O294" s="51" t="n"/>
      <c r="P294" s="51" t="n"/>
      <c r="Q294" s="51" t="n"/>
    </row>
    <row r="295">
      <c r="B295" s="51" t="n"/>
      <c r="C295" s="51" t="n"/>
      <c r="D295" s="51" t="n"/>
      <c r="E295" s="51" t="n"/>
      <c r="F295" s="51" t="n"/>
      <c r="G295" s="51" t="n"/>
      <c r="H295" s="51" t="n"/>
      <c r="I295" s="51" t="n"/>
      <c r="J295" s="51" t="n"/>
      <c r="K295" s="51" t="n"/>
      <c r="L295" s="51" t="n"/>
      <c r="M295" s="51" t="n"/>
      <c r="N295" s="51" t="n"/>
      <c r="O295" s="51" t="n"/>
      <c r="P295" s="51" t="n"/>
      <c r="Q295" s="51" t="n"/>
    </row>
    <row r="296">
      <c r="B296" s="51" t="n"/>
      <c r="C296" s="51" t="n"/>
      <c r="D296" s="51" t="n"/>
      <c r="E296" s="51" t="n"/>
      <c r="F296" s="51" t="n"/>
      <c r="G296" s="51" t="n"/>
      <c r="H296" s="51" t="n"/>
      <c r="I296" s="51" t="n"/>
      <c r="J296" s="51" t="n"/>
      <c r="K296" s="51" t="n"/>
      <c r="L296" s="51" t="n"/>
      <c r="M296" s="51" t="n"/>
      <c r="N296" s="51" t="n"/>
      <c r="O296" s="51" t="n"/>
      <c r="P296" s="51" t="n"/>
      <c r="Q296" s="51" t="n"/>
    </row>
    <row r="297">
      <c r="B297" s="51" t="n"/>
      <c r="C297" s="51" t="n"/>
      <c r="D297" s="51" t="n"/>
      <c r="E297" s="51" t="n"/>
      <c r="F297" s="51" t="n"/>
      <c r="G297" s="51" t="n"/>
      <c r="H297" s="51" t="n"/>
      <c r="I297" s="51" t="n"/>
      <c r="J297" s="51" t="n"/>
      <c r="K297" s="51" t="n"/>
      <c r="L297" s="51" t="n"/>
      <c r="M297" s="51" t="n"/>
      <c r="N297" s="51" t="n"/>
      <c r="O297" s="51" t="n"/>
      <c r="P297" s="51" t="n"/>
      <c r="Q297" s="51" t="n"/>
    </row>
    <row r="298">
      <c r="B298" s="51" t="n"/>
      <c r="C298" s="51" t="n"/>
      <c r="D298" s="51" t="n"/>
      <c r="E298" s="51" t="n"/>
      <c r="F298" s="51" t="n"/>
      <c r="G298" s="51" t="n"/>
      <c r="H298" s="51" t="n"/>
      <c r="I298" s="51" t="n"/>
      <c r="J298" s="51" t="n"/>
      <c r="K298" s="51" t="n"/>
      <c r="L298" s="51" t="n"/>
      <c r="M298" s="51" t="n"/>
      <c r="N298" s="51" t="n"/>
      <c r="O298" s="51" t="n"/>
      <c r="P298" s="51" t="n"/>
      <c r="Q298" s="51" t="n"/>
    </row>
    <row r="299">
      <c r="B299" s="51" t="n"/>
      <c r="C299" s="51" t="n"/>
      <c r="D299" s="51" t="n"/>
      <c r="E299" s="51" t="n"/>
      <c r="F299" s="51" t="n"/>
      <c r="G299" s="51" t="n"/>
      <c r="H299" s="51" t="n"/>
      <c r="I299" s="51" t="n"/>
      <c r="J299" s="51" t="n"/>
      <c r="K299" s="51" t="n"/>
      <c r="L299" s="51" t="n"/>
      <c r="M299" s="51" t="n"/>
      <c r="N299" s="51" t="n"/>
      <c r="O299" s="51" t="n"/>
      <c r="P299" s="51" t="n"/>
      <c r="Q299" s="51" t="n"/>
    </row>
    <row r="300">
      <c r="B300" s="51" t="n"/>
      <c r="C300" s="51" t="n"/>
      <c r="D300" s="51" t="n"/>
      <c r="E300" s="51" t="n"/>
      <c r="F300" s="51" t="n"/>
      <c r="G300" s="51" t="n"/>
      <c r="H300" s="51" t="n"/>
      <c r="I300" s="51" t="n"/>
      <c r="J300" s="51" t="n"/>
      <c r="K300" s="51" t="n"/>
      <c r="L300" s="51" t="n"/>
      <c r="M300" s="51" t="n"/>
      <c r="N300" s="51" t="n"/>
      <c r="O300" s="51" t="n"/>
      <c r="P300" s="51" t="n"/>
      <c r="Q300" s="51" t="n"/>
    </row>
    <row r="301">
      <c r="B301" s="51" t="n"/>
      <c r="C301" s="51" t="n"/>
      <c r="D301" s="51" t="n"/>
      <c r="E301" s="51" t="n"/>
      <c r="F301" s="51" t="n"/>
      <c r="G301" s="51" t="n"/>
      <c r="H301" s="51" t="n"/>
      <c r="I301" s="51" t="n"/>
      <c r="J301" s="51" t="n"/>
      <c r="K301" s="51" t="n"/>
      <c r="L301" s="51" t="n"/>
      <c r="M301" s="51" t="n"/>
      <c r="N301" s="51" t="n"/>
      <c r="O301" s="51" t="n"/>
      <c r="P301" s="51" t="n"/>
      <c r="Q301" s="51" t="n"/>
    </row>
    <row r="302">
      <c r="B302" s="51" t="n"/>
      <c r="C302" s="51" t="n"/>
      <c r="D302" s="51" t="n"/>
      <c r="E302" s="51" t="n"/>
      <c r="F302" s="51" t="n"/>
      <c r="G302" s="51" t="n"/>
      <c r="H302" s="51" t="n"/>
      <c r="I302" s="51" t="n"/>
      <c r="J302" s="51" t="n"/>
      <c r="K302" s="51" t="n"/>
      <c r="L302" s="51" t="n"/>
      <c r="M302" s="51" t="n"/>
      <c r="N302" s="51" t="n"/>
      <c r="O302" s="51" t="n"/>
      <c r="P302" s="51" t="n"/>
      <c r="Q302" s="51" t="n"/>
    </row>
    <row r="303">
      <c r="B303" s="51" t="n"/>
      <c r="C303" s="51" t="n"/>
      <c r="D303" s="51" t="n"/>
      <c r="E303" s="51" t="n"/>
      <c r="F303" s="51" t="n"/>
      <c r="G303" s="51" t="n"/>
      <c r="H303" s="51" t="n"/>
      <c r="I303" s="51" t="n"/>
      <c r="J303" s="51" t="n"/>
      <c r="K303" s="51" t="n"/>
      <c r="L303" s="51" t="n"/>
      <c r="M303" s="51" t="n"/>
      <c r="N303" s="51" t="n"/>
      <c r="O303" s="51" t="n"/>
      <c r="P303" s="51" t="n"/>
      <c r="Q303" s="51" t="n"/>
    </row>
    <row r="304">
      <c r="B304" s="51" t="n"/>
      <c r="C304" s="51" t="n"/>
      <c r="D304" s="51" t="n"/>
      <c r="E304" s="51" t="n"/>
      <c r="F304" s="51" t="n"/>
      <c r="G304" s="51" t="n"/>
      <c r="H304" s="51" t="n"/>
      <c r="I304" s="51" t="n"/>
      <c r="J304" s="51" t="n"/>
      <c r="K304" s="51" t="n"/>
      <c r="L304" s="51" t="n"/>
      <c r="M304" s="51" t="n"/>
      <c r="N304" s="51" t="n"/>
      <c r="O304" s="51" t="n"/>
      <c r="P304" s="51" t="n"/>
      <c r="Q304" s="51" t="n"/>
    </row>
    <row r="305">
      <c r="B305" s="51" t="n"/>
      <c r="C305" s="51" t="n"/>
      <c r="D305" s="51" t="n"/>
      <c r="E305" s="51" t="n"/>
      <c r="F305" s="51" t="n"/>
      <c r="G305" s="51" t="n"/>
      <c r="H305" s="51" t="n"/>
      <c r="I305" s="51" t="n"/>
      <c r="J305" s="51" t="n"/>
      <c r="K305" s="51" t="n"/>
      <c r="L305" s="51" t="n"/>
      <c r="M305" s="51" t="n"/>
      <c r="N305" s="51" t="n"/>
      <c r="O305" s="51" t="n"/>
      <c r="P305" s="51" t="n"/>
      <c r="Q305" s="51" t="n"/>
    </row>
    <row r="306">
      <c r="B306" s="51" t="n"/>
      <c r="C306" s="51" t="n"/>
      <c r="D306" s="51" t="n"/>
      <c r="E306" s="51" t="n"/>
      <c r="F306" s="51" t="n"/>
      <c r="G306" s="51" t="n"/>
      <c r="H306" s="51" t="n"/>
      <c r="I306" s="51" t="n"/>
      <c r="J306" s="51" t="n"/>
      <c r="K306" s="51" t="n"/>
      <c r="L306" s="51" t="n"/>
      <c r="M306" s="51" t="n"/>
      <c r="N306" s="51" t="n"/>
      <c r="O306" s="51" t="n"/>
      <c r="P306" s="51" t="n"/>
      <c r="Q306" s="51" t="n"/>
    </row>
    <row r="307">
      <c r="B307" s="51" t="n"/>
      <c r="C307" s="51" t="n"/>
      <c r="D307" s="51" t="n"/>
      <c r="E307" s="51" t="n"/>
      <c r="F307" s="51" t="n"/>
      <c r="G307" s="51" t="n"/>
      <c r="H307" s="51" t="n"/>
      <c r="I307" s="51" t="n"/>
      <c r="J307" s="51" t="n"/>
      <c r="K307" s="51" t="n"/>
      <c r="L307" s="51" t="n"/>
      <c r="M307" s="51" t="n"/>
      <c r="N307" s="51" t="n"/>
      <c r="O307" s="51" t="n"/>
      <c r="P307" s="51" t="n"/>
      <c r="Q307" s="51" t="n"/>
    </row>
    <row r="308">
      <c r="B308" s="51" t="n"/>
      <c r="C308" s="51" t="n"/>
      <c r="D308" s="51" t="n"/>
      <c r="E308" s="51" t="n"/>
      <c r="F308" s="51" t="n"/>
      <c r="G308" s="51" t="n"/>
      <c r="H308" s="51" t="n"/>
      <c r="I308" s="51" t="n"/>
      <c r="J308" s="51" t="n"/>
      <c r="K308" s="51" t="n"/>
      <c r="L308" s="51" t="n"/>
      <c r="M308" s="51" t="n"/>
      <c r="N308" s="51" t="n"/>
      <c r="O308" s="51" t="n"/>
      <c r="P308" s="51" t="n"/>
      <c r="Q308" s="51" t="n"/>
    </row>
    <row r="309">
      <c r="B309" s="51" t="n"/>
      <c r="C309" s="51" t="n"/>
      <c r="D309" s="51" t="n"/>
      <c r="E309" s="51" t="n"/>
      <c r="F309" s="51" t="n"/>
      <c r="G309" s="51" t="n"/>
      <c r="H309" s="51" t="n"/>
      <c r="I309" s="51" t="n"/>
      <c r="J309" s="51" t="n"/>
      <c r="K309" s="51" t="n"/>
      <c r="L309" s="51" t="n"/>
      <c r="M309" s="51" t="n"/>
      <c r="N309" s="51" t="n"/>
      <c r="O309" s="51" t="n"/>
      <c r="P309" s="51" t="n"/>
      <c r="Q309" s="51" t="n"/>
    </row>
    <row r="310">
      <c r="B310" s="51" t="n"/>
      <c r="C310" s="51" t="n"/>
      <c r="D310" s="51" t="n"/>
      <c r="E310" s="51" t="n"/>
      <c r="F310" s="51" t="n"/>
      <c r="G310" s="51" t="n"/>
      <c r="H310" s="51" t="n"/>
      <c r="I310" s="51" t="n"/>
      <c r="J310" s="51" t="n"/>
      <c r="K310" s="51" t="n"/>
      <c r="L310" s="51" t="n"/>
      <c r="M310" s="51" t="n"/>
      <c r="N310" s="51" t="n"/>
      <c r="O310" s="51" t="n"/>
      <c r="P310" s="51" t="n"/>
      <c r="Q310" s="51" t="n"/>
    </row>
    <row r="311">
      <c r="B311" s="51" t="n"/>
      <c r="C311" s="51" t="n"/>
      <c r="D311" s="51" t="n"/>
      <c r="E311" s="51" t="n"/>
      <c r="F311" s="51" t="n"/>
      <c r="G311" s="51" t="n"/>
      <c r="H311" s="51" t="n"/>
      <c r="I311" s="51" t="n"/>
      <c r="J311" s="51" t="n"/>
      <c r="K311" s="51" t="n"/>
      <c r="L311" s="51" t="n"/>
      <c r="M311" s="51" t="n"/>
      <c r="N311" s="51" t="n"/>
      <c r="O311" s="51" t="n"/>
      <c r="P311" s="51" t="n"/>
      <c r="Q311" s="51" t="n"/>
    </row>
    <row r="312">
      <c r="B312" s="51" t="n"/>
      <c r="C312" s="51" t="n"/>
      <c r="D312" s="51" t="n"/>
      <c r="E312" s="51" t="n"/>
      <c r="F312" s="51" t="n"/>
      <c r="G312" s="51" t="n"/>
      <c r="H312" s="51" t="n"/>
      <c r="I312" s="51" t="n"/>
      <c r="J312" s="51" t="n"/>
      <c r="K312" s="51" t="n"/>
      <c r="L312" s="51" t="n"/>
      <c r="M312" s="51" t="n"/>
      <c r="N312" s="51" t="n"/>
      <c r="O312" s="51" t="n"/>
      <c r="P312" s="51" t="n"/>
      <c r="Q312" s="51" t="n"/>
    </row>
    <row r="313">
      <c r="B313" s="51" t="n"/>
      <c r="C313" s="51" t="n"/>
      <c r="D313" s="51" t="n"/>
      <c r="E313" s="51" t="n"/>
      <c r="F313" s="51" t="n"/>
      <c r="G313" s="51" t="n"/>
      <c r="H313" s="51" t="n"/>
      <c r="I313" s="51" t="n"/>
      <c r="J313" s="51" t="n"/>
      <c r="K313" s="51" t="n"/>
      <c r="L313" s="51" t="n"/>
      <c r="M313" s="51" t="n"/>
      <c r="N313" s="51" t="n"/>
      <c r="O313" s="51" t="n"/>
      <c r="P313" s="51" t="n"/>
      <c r="Q313" s="51" t="n"/>
    </row>
    <row r="314">
      <c r="B314" s="51" t="n"/>
      <c r="C314" s="51" t="n"/>
      <c r="D314" s="51" t="n"/>
      <c r="E314" s="51" t="n"/>
      <c r="F314" s="51" t="n"/>
      <c r="G314" s="51" t="n"/>
      <c r="H314" s="51" t="n"/>
      <c r="I314" s="51" t="n"/>
      <c r="J314" s="51" t="n"/>
      <c r="K314" s="51" t="n"/>
      <c r="L314" s="51" t="n"/>
      <c r="M314" s="51" t="n"/>
      <c r="N314" s="51" t="n"/>
      <c r="O314" s="51" t="n"/>
      <c r="P314" s="51" t="n"/>
      <c r="Q314" s="51" t="n"/>
    </row>
    <row r="315">
      <c r="B315" s="51" t="n"/>
      <c r="C315" s="51" t="n"/>
      <c r="D315" s="51" t="n"/>
      <c r="E315" s="51" t="n"/>
      <c r="F315" s="51" t="n"/>
      <c r="G315" s="51" t="n"/>
      <c r="H315" s="51" t="n"/>
      <c r="I315" s="51" t="n"/>
      <c r="J315" s="51" t="n"/>
      <c r="K315" s="51" t="n"/>
      <c r="L315" s="51" t="n"/>
      <c r="M315" s="51" t="n"/>
      <c r="N315" s="51" t="n"/>
      <c r="O315" s="51" t="n"/>
      <c r="P315" s="51" t="n"/>
      <c r="Q315" s="51" t="n"/>
    </row>
    <row r="316">
      <c r="B316" s="51" t="n"/>
      <c r="C316" s="51" t="n"/>
      <c r="D316" s="51" t="n"/>
      <c r="E316" s="51" t="n"/>
      <c r="F316" s="51" t="n"/>
      <c r="G316" s="51" t="n"/>
      <c r="H316" s="51" t="n"/>
      <c r="I316" s="51" t="n"/>
      <c r="J316" s="51" t="n"/>
      <c r="K316" s="51" t="n"/>
      <c r="L316" s="51" t="n"/>
      <c r="M316" s="51" t="n"/>
      <c r="N316" s="51" t="n"/>
      <c r="O316" s="51" t="n"/>
      <c r="P316" s="51" t="n"/>
      <c r="Q316" s="51" t="n"/>
    </row>
    <row r="317">
      <c r="B317" s="51" t="n"/>
      <c r="C317" s="51" t="n"/>
      <c r="D317" s="51" t="n"/>
      <c r="E317" s="51" t="n"/>
      <c r="F317" s="51" t="n"/>
      <c r="G317" s="51" t="n"/>
      <c r="H317" s="51" t="n"/>
      <c r="I317" s="51" t="n"/>
      <c r="J317" s="51" t="n"/>
      <c r="K317" s="51" t="n"/>
      <c r="L317" s="51" t="n"/>
      <c r="M317" s="51" t="n"/>
      <c r="N317" s="51" t="n"/>
      <c r="O317" s="51" t="n"/>
      <c r="P317" s="51" t="n"/>
      <c r="Q317" s="51" t="n"/>
    </row>
    <row r="318">
      <c r="B318" s="51" t="n"/>
      <c r="C318" s="51" t="n"/>
      <c r="D318" s="51" t="n"/>
      <c r="E318" s="51" t="n"/>
      <c r="F318" s="51" t="n"/>
      <c r="G318" s="51" t="n"/>
      <c r="H318" s="51" t="n"/>
      <c r="I318" s="51" t="n"/>
      <c r="J318" s="51" t="n"/>
      <c r="K318" s="51" t="n"/>
      <c r="L318" s="51" t="n"/>
      <c r="M318" s="51" t="n"/>
      <c r="N318" s="51" t="n"/>
      <c r="O318" s="51" t="n"/>
      <c r="P318" s="51" t="n"/>
      <c r="Q318" s="51" t="n"/>
    </row>
    <row r="319">
      <c r="B319" s="51" t="n"/>
      <c r="C319" s="51" t="n"/>
      <c r="D319" s="51" t="n"/>
      <c r="E319" s="51" t="n"/>
      <c r="F319" s="51" t="n"/>
      <c r="G319" s="51" t="n"/>
      <c r="H319" s="51" t="n"/>
      <c r="I319" s="51" t="n"/>
      <c r="J319" s="51" t="n"/>
      <c r="K319" s="51" t="n"/>
      <c r="L319" s="51" t="n"/>
      <c r="M319" s="51" t="n"/>
      <c r="N319" s="51" t="n"/>
      <c r="O319" s="51" t="n"/>
      <c r="P319" s="51" t="n"/>
      <c r="Q319" s="51" t="n"/>
    </row>
    <row r="320">
      <c r="B320" s="51" t="n"/>
      <c r="C320" s="51" t="n"/>
      <c r="D320" s="51" t="n"/>
      <c r="E320" s="51" t="n"/>
      <c r="F320" s="51" t="n"/>
      <c r="G320" s="51" t="n"/>
      <c r="H320" s="51" t="n"/>
      <c r="I320" s="51" t="n"/>
      <c r="J320" s="51" t="n"/>
      <c r="K320" s="51" t="n"/>
      <c r="L320" s="51" t="n"/>
      <c r="M320" s="51" t="n"/>
      <c r="N320" s="51" t="n"/>
      <c r="O320" s="51" t="n"/>
      <c r="P320" s="51" t="n"/>
      <c r="Q320" s="51" t="n"/>
    </row>
    <row r="321">
      <c r="B321" s="51" t="n"/>
      <c r="C321" s="51" t="n"/>
      <c r="D321" s="51" t="n"/>
      <c r="E321" s="51" t="n"/>
      <c r="F321" s="51" t="n"/>
      <c r="G321" s="51" t="n"/>
      <c r="H321" s="51" t="n"/>
      <c r="I321" s="51" t="n"/>
      <c r="J321" s="51" t="n"/>
      <c r="K321" s="51" t="n"/>
      <c r="L321" s="51" t="n"/>
      <c r="M321" s="51" t="n"/>
      <c r="N321" s="51" t="n"/>
      <c r="O321" s="51" t="n"/>
      <c r="P321" s="51" t="n"/>
      <c r="Q321" s="51" t="n"/>
    </row>
    <row r="322">
      <c r="B322" s="51" t="n"/>
      <c r="C322" s="51" t="n"/>
      <c r="D322" s="51" t="n"/>
      <c r="E322" s="51" t="n"/>
      <c r="F322" s="51" t="n"/>
      <c r="G322" s="51" t="n"/>
      <c r="H322" s="51" t="n"/>
      <c r="I322" s="51" t="n"/>
      <c r="J322" s="51" t="n"/>
      <c r="K322" s="51" t="n"/>
      <c r="L322" s="51" t="n"/>
      <c r="M322" s="51" t="n"/>
      <c r="N322" s="51" t="n"/>
      <c r="O322" s="51" t="n"/>
      <c r="P322" s="51" t="n"/>
      <c r="Q322" s="51" t="n"/>
    </row>
    <row r="323">
      <c r="B323" s="51" t="n"/>
      <c r="C323" s="51" t="n"/>
      <c r="D323" s="51" t="n"/>
      <c r="E323" s="51" t="n"/>
      <c r="F323" s="51" t="n"/>
      <c r="G323" s="51" t="n"/>
      <c r="H323" s="51" t="n"/>
      <c r="I323" s="51" t="n"/>
      <c r="J323" s="51" t="n"/>
      <c r="K323" s="51" t="n"/>
      <c r="L323" s="51" t="n"/>
      <c r="M323" s="51" t="n"/>
      <c r="N323" s="51" t="n"/>
      <c r="O323" s="51" t="n"/>
      <c r="P323" s="51" t="n"/>
      <c r="Q323" s="51" t="n"/>
    </row>
    <row r="324">
      <c r="B324" s="51" t="n"/>
      <c r="C324" s="51" t="n"/>
      <c r="D324" s="51" t="n"/>
      <c r="E324" s="51" t="n"/>
      <c r="F324" s="51" t="n"/>
      <c r="G324" s="51" t="n"/>
      <c r="H324" s="51" t="n"/>
      <c r="I324" s="51" t="n"/>
      <c r="J324" s="51" t="n"/>
      <c r="K324" s="51" t="n"/>
      <c r="L324" s="51" t="n"/>
      <c r="M324" s="51" t="n"/>
      <c r="N324" s="51" t="n"/>
      <c r="O324" s="51" t="n"/>
      <c r="P324" s="51" t="n"/>
      <c r="Q324" s="51" t="n"/>
    </row>
    <row r="325">
      <c r="B325" s="51" t="n"/>
      <c r="C325" s="51" t="n"/>
      <c r="D325" s="51" t="n"/>
      <c r="E325" s="51" t="n"/>
      <c r="F325" s="51" t="n"/>
      <c r="G325" s="51" t="n"/>
      <c r="H325" s="51" t="n"/>
      <c r="I325" s="51" t="n"/>
      <c r="J325" s="51" t="n"/>
      <c r="K325" s="51" t="n"/>
      <c r="L325" s="51" t="n"/>
      <c r="M325" s="51" t="n"/>
      <c r="N325" s="51" t="n"/>
      <c r="O325" s="51" t="n"/>
      <c r="P325" s="51" t="n"/>
      <c r="Q325" s="51" t="n"/>
    </row>
    <row r="326">
      <c r="B326" s="51" t="n"/>
      <c r="C326" s="51" t="n"/>
      <c r="D326" s="51" t="n"/>
      <c r="E326" s="51" t="n"/>
      <c r="F326" s="51" t="n"/>
      <c r="G326" s="51" t="n"/>
      <c r="H326" s="51" t="n"/>
      <c r="I326" s="51" t="n"/>
      <c r="J326" s="51" t="n"/>
      <c r="K326" s="51" t="n"/>
      <c r="L326" s="51" t="n"/>
      <c r="M326" s="51" t="n"/>
      <c r="N326" s="51" t="n"/>
      <c r="O326" s="51" t="n"/>
      <c r="P326" s="51" t="n"/>
      <c r="Q326" s="51" t="n"/>
    </row>
    <row r="327">
      <c r="B327" s="51" t="n"/>
      <c r="C327" s="51" t="n"/>
      <c r="D327" s="51" t="n"/>
      <c r="E327" s="51" t="n"/>
      <c r="F327" s="51" t="n"/>
      <c r="G327" s="51" t="n"/>
      <c r="H327" s="51" t="n"/>
      <c r="I327" s="51" t="n"/>
      <c r="J327" s="51" t="n"/>
      <c r="K327" s="51" t="n"/>
      <c r="L327" s="51" t="n"/>
      <c r="M327" s="51" t="n"/>
      <c r="N327" s="51" t="n"/>
      <c r="O327" s="51" t="n"/>
      <c r="P327" s="51" t="n"/>
      <c r="Q327" s="51" t="n"/>
    </row>
    <row r="328">
      <c r="B328" s="51" t="n"/>
      <c r="C328" s="51" t="n"/>
      <c r="D328" s="51" t="n"/>
      <c r="E328" s="51" t="n"/>
      <c r="F328" s="51" t="n"/>
      <c r="G328" s="51" t="n"/>
      <c r="H328" s="51" t="n"/>
      <c r="I328" s="51" t="n"/>
      <c r="J328" s="51" t="n"/>
      <c r="K328" s="51" t="n"/>
      <c r="L328" s="51" t="n"/>
      <c r="M328" s="51" t="n"/>
      <c r="N328" s="51" t="n"/>
      <c r="O328" s="51" t="n"/>
      <c r="P328" s="51" t="n"/>
      <c r="Q328" s="51" t="n"/>
    </row>
    <row r="329">
      <c r="B329" s="51" t="n"/>
      <c r="C329" s="51" t="n"/>
      <c r="D329" s="51" t="n"/>
      <c r="E329" s="51" t="n"/>
      <c r="F329" s="51" t="n"/>
      <c r="G329" s="51" t="n"/>
      <c r="H329" s="51" t="n"/>
      <c r="I329" s="51" t="n"/>
      <c r="J329" s="51" t="n"/>
      <c r="K329" s="51" t="n"/>
      <c r="L329" s="51" t="n"/>
      <c r="M329" s="51" t="n"/>
      <c r="N329" s="51" t="n"/>
      <c r="O329" s="51" t="n"/>
      <c r="P329" s="51" t="n"/>
      <c r="Q329" s="51" t="n"/>
    </row>
    <row r="330">
      <c r="B330" s="51" t="n"/>
      <c r="C330" s="51" t="n"/>
      <c r="D330" s="51" t="n"/>
      <c r="E330" s="51" t="n"/>
      <c r="F330" s="51" t="n"/>
      <c r="G330" s="51" t="n"/>
      <c r="H330" s="51" t="n"/>
      <c r="I330" s="51" t="n"/>
      <c r="J330" s="51" t="n"/>
      <c r="K330" s="51" t="n"/>
      <c r="L330" s="51" t="n"/>
      <c r="M330" s="51" t="n"/>
      <c r="N330" s="51" t="n"/>
      <c r="O330" s="51" t="n"/>
      <c r="P330" s="51" t="n"/>
      <c r="Q330" s="51" t="n"/>
    </row>
    <row r="331">
      <c r="B331" s="51" t="n"/>
      <c r="C331" s="51" t="n"/>
      <c r="D331" s="51" t="n"/>
      <c r="E331" s="51" t="n"/>
      <c r="F331" s="51" t="n"/>
      <c r="G331" s="51" t="n"/>
      <c r="H331" s="51" t="n"/>
      <c r="I331" s="51" t="n"/>
      <c r="J331" s="51" t="n"/>
      <c r="K331" s="51" t="n"/>
      <c r="L331" s="51" t="n"/>
      <c r="M331" s="51" t="n"/>
      <c r="N331" s="51" t="n"/>
      <c r="O331" s="51" t="n"/>
      <c r="P331" s="51" t="n"/>
      <c r="Q331" s="51" t="n"/>
    </row>
    <row r="332">
      <c r="B332" s="51" t="n"/>
      <c r="C332" s="51" t="n"/>
      <c r="D332" s="51" t="n"/>
      <c r="E332" s="51" t="n"/>
      <c r="F332" s="51" t="n"/>
      <c r="G332" s="51" t="n"/>
      <c r="H332" s="51" t="n"/>
      <c r="I332" s="51" t="n"/>
      <c r="J332" s="51" t="n"/>
      <c r="K332" s="51" t="n"/>
      <c r="L332" s="51" t="n"/>
      <c r="M332" s="51" t="n"/>
      <c r="N332" s="51" t="n"/>
      <c r="O332" s="51" t="n"/>
      <c r="P332" s="51" t="n"/>
      <c r="Q332" s="51" t="n"/>
    </row>
    <row r="333">
      <c r="B333" s="51" t="n"/>
      <c r="C333" s="51" t="n"/>
      <c r="D333" s="51" t="n"/>
      <c r="E333" s="51" t="n"/>
      <c r="F333" s="51" t="n"/>
      <c r="G333" s="51" t="n"/>
      <c r="H333" s="51" t="n"/>
      <c r="I333" s="51" t="n"/>
      <c r="J333" s="51" t="n"/>
      <c r="K333" s="51" t="n"/>
      <c r="L333" s="51" t="n"/>
      <c r="M333" s="51" t="n"/>
      <c r="N333" s="51" t="n"/>
      <c r="O333" s="51" t="n"/>
      <c r="P333" s="51" t="n"/>
      <c r="Q333" s="51" t="n"/>
    </row>
    <row r="334">
      <c r="B334" s="51" t="n"/>
      <c r="C334" s="51" t="n"/>
      <c r="D334" s="51" t="n"/>
      <c r="E334" s="51" t="n"/>
      <c r="F334" s="51" t="n"/>
      <c r="G334" s="51" t="n"/>
      <c r="H334" s="51" t="n"/>
      <c r="I334" s="51" t="n"/>
      <c r="J334" s="51" t="n"/>
      <c r="K334" s="51" t="n"/>
      <c r="L334" s="51" t="n"/>
      <c r="M334" s="51" t="n"/>
      <c r="N334" s="51" t="n"/>
      <c r="O334" s="51" t="n"/>
      <c r="P334" s="51" t="n"/>
      <c r="Q334" s="51" t="n"/>
    </row>
    <row r="335">
      <c r="B335" s="51" t="n"/>
      <c r="C335" s="51" t="n"/>
      <c r="D335" s="51" t="n"/>
      <c r="E335" s="51" t="n"/>
      <c r="F335" s="51" t="n"/>
      <c r="G335" s="51" t="n"/>
      <c r="H335" s="51" t="n"/>
      <c r="I335" s="51" t="n"/>
      <c r="J335" s="51" t="n"/>
      <c r="K335" s="51" t="n"/>
      <c r="L335" s="51" t="n"/>
      <c r="M335" s="51" t="n"/>
      <c r="N335" s="51" t="n"/>
      <c r="O335" s="51" t="n"/>
      <c r="P335" s="51" t="n"/>
      <c r="Q335" s="51" t="n"/>
    </row>
    <row r="336">
      <c r="B336" s="51" t="n"/>
      <c r="C336" s="51" t="n"/>
      <c r="D336" s="51" t="n"/>
      <c r="E336" s="51" t="n"/>
      <c r="F336" s="51" t="n"/>
      <c r="G336" s="51" t="n"/>
      <c r="H336" s="51" t="n"/>
      <c r="I336" s="51" t="n"/>
      <c r="J336" s="51" t="n"/>
      <c r="K336" s="51" t="n"/>
      <c r="L336" s="51" t="n"/>
      <c r="M336" s="51" t="n"/>
      <c r="N336" s="51" t="n"/>
      <c r="O336" s="51" t="n"/>
      <c r="P336" s="51" t="n"/>
      <c r="Q336" s="51" t="n"/>
    </row>
    <row r="337">
      <c r="B337" s="51" t="n"/>
      <c r="C337" s="51" t="n"/>
      <c r="D337" s="51" t="n"/>
      <c r="E337" s="51" t="n"/>
      <c r="F337" s="51" t="n"/>
      <c r="G337" s="51" t="n"/>
      <c r="H337" s="51" t="n"/>
      <c r="I337" s="51" t="n"/>
      <c r="J337" s="51" t="n"/>
      <c r="K337" s="51" t="n"/>
      <c r="L337" s="51" t="n"/>
      <c r="M337" s="51" t="n"/>
      <c r="N337" s="51" t="n"/>
      <c r="O337" s="51" t="n"/>
      <c r="P337" s="51" t="n"/>
      <c r="Q337" s="51" t="n"/>
    </row>
    <row r="338">
      <c r="B338" s="51" t="n"/>
      <c r="C338" s="51" t="n"/>
      <c r="D338" s="51" t="n"/>
      <c r="E338" s="51" t="n"/>
      <c r="F338" s="51" t="n"/>
      <c r="G338" s="51" t="n"/>
      <c r="H338" s="51" t="n"/>
      <c r="I338" s="51" t="n"/>
      <c r="J338" s="51" t="n"/>
      <c r="K338" s="51" t="n"/>
      <c r="L338" s="51" t="n"/>
      <c r="M338" s="51" t="n"/>
      <c r="N338" s="51" t="n"/>
      <c r="O338" s="51" t="n"/>
      <c r="P338" s="51" t="n"/>
      <c r="Q338" s="51" t="n"/>
    </row>
    <row r="339">
      <c r="B339" s="51" t="n"/>
      <c r="C339" s="51" t="n"/>
      <c r="D339" s="51" t="n"/>
      <c r="E339" s="51" t="n"/>
      <c r="F339" s="51" t="n"/>
      <c r="G339" s="51" t="n"/>
      <c r="H339" s="51" t="n"/>
      <c r="I339" s="51" t="n"/>
      <c r="J339" s="51" t="n"/>
      <c r="K339" s="51" t="n"/>
      <c r="L339" s="51" t="n"/>
      <c r="M339" s="51" t="n"/>
      <c r="N339" s="51" t="n"/>
      <c r="O339" s="51" t="n"/>
      <c r="P339" s="51" t="n"/>
      <c r="Q339" s="51" t="n"/>
    </row>
    <row r="340">
      <c r="B340" s="51" t="n"/>
      <c r="C340" s="51" t="n"/>
      <c r="D340" s="51" t="n"/>
      <c r="E340" s="51" t="n"/>
      <c r="F340" s="51" t="n"/>
      <c r="G340" s="51" t="n"/>
      <c r="H340" s="51" t="n"/>
      <c r="I340" s="51" t="n"/>
      <c r="J340" s="51" t="n"/>
      <c r="K340" s="51" t="n"/>
      <c r="L340" s="51" t="n"/>
      <c r="M340" s="51" t="n"/>
      <c r="N340" s="51" t="n"/>
      <c r="O340" s="51" t="n"/>
      <c r="P340" s="51" t="n"/>
      <c r="Q340" s="51" t="n"/>
    </row>
    <row r="341">
      <c r="B341" s="51" t="n"/>
      <c r="C341" s="51" t="n"/>
      <c r="D341" s="51" t="n"/>
      <c r="E341" s="51" t="n"/>
      <c r="F341" s="51" t="n"/>
      <c r="G341" s="51" t="n"/>
      <c r="H341" s="51" t="n"/>
      <c r="I341" s="51" t="n"/>
      <c r="J341" s="51" t="n"/>
      <c r="K341" s="51" t="n"/>
      <c r="L341" s="51" t="n"/>
      <c r="M341" s="51" t="n"/>
      <c r="N341" s="51" t="n"/>
      <c r="O341" s="51" t="n"/>
      <c r="P341" s="51" t="n"/>
      <c r="Q341" s="51" t="n"/>
    </row>
    <row r="342">
      <c r="B342" s="51" t="n"/>
      <c r="C342" s="51" t="n"/>
      <c r="D342" s="51" t="n"/>
      <c r="E342" s="51" t="n"/>
      <c r="F342" s="51" t="n"/>
      <c r="G342" s="51" t="n"/>
      <c r="H342" s="51" t="n"/>
      <c r="I342" s="51" t="n"/>
      <c r="J342" s="51" t="n"/>
      <c r="K342" s="51" t="n"/>
      <c r="L342" s="51" t="n"/>
      <c r="M342" s="51" t="n"/>
      <c r="N342" s="51" t="n"/>
      <c r="O342" s="51" t="n"/>
      <c r="P342" s="51" t="n"/>
      <c r="Q342" s="51" t="n"/>
    </row>
    <row r="343">
      <c r="B343" s="51" t="n"/>
      <c r="C343" s="51" t="n"/>
      <c r="D343" s="51" t="n"/>
      <c r="E343" s="51" t="n"/>
      <c r="F343" s="51" t="n"/>
      <c r="G343" s="51" t="n"/>
      <c r="H343" s="51" t="n"/>
      <c r="I343" s="51" t="n"/>
      <c r="J343" s="51" t="n"/>
      <c r="K343" s="51" t="n"/>
      <c r="L343" s="51" t="n"/>
      <c r="M343" s="51" t="n"/>
      <c r="N343" s="51" t="n"/>
      <c r="O343" s="51" t="n"/>
      <c r="P343" s="51" t="n"/>
      <c r="Q343" s="51" t="n"/>
    </row>
    <row r="344">
      <c r="B344" s="51" t="n"/>
      <c r="C344" s="51" t="n"/>
      <c r="D344" s="51" t="n"/>
      <c r="E344" s="51" t="n"/>
      <c r="F344" s="51" t="n"/>
      <c r="G344" s="51" t="n"/>
      <c r="H344" s="51" t="n"/>
      <c r="I344" s="51" t="n"/>
      <c r="J344" s="51" t="n"/>
      <c r="K344" s="51" t="n"/>
      <c r="L344" s="51" t="n"/>
      <c r="M344" s="51" t="n"/>
      <c r="N344" s="51" t="n"/>
      <c r="O344" s="51" t="n"/>
      <c r="P344" s="51" t="n"/>
      <c r="Q344" s="51" t="n"/>
    </row>
    <row r="345">
      <c r="B345" s="51" t="n"/>
      <c r="C345" s="51" t="n"/>
      <c r="D345" s="51" t="n"/>
      <c r="E345" s="51" t="n"/>
      <c r="F345" s="51" t="n"/>
      <c r="G345" s="51" t="n"/>
      <c r="H345" s="51" t="n"/>
      <c r="I345" s="51" t="n"/>
      <c r="J345" s="51" t="n"/>
      <c r="K345" s="51" t="n"/>
      <c r="L345" s="51" t="n"/>
      <c r="M345" s="51" t="n"/>
      <c r="N345" s="51" t="n"/>
      <c r="O345" s="51" t="n"/>
      <c r="P345" s="51" t="n"/>
      <c r="Q345" s="51" t="n"/>
    </row>
    <row r="346">
      <c r="B346" s="51" t="n"/>
      <c r="C346" s="51" t="n"/>
      <c r="D346" s="51" t="n"/>
      <c r="E346" s="51" t="n"/>
      <c r="F346" s="51" t="n"/>
      <c r="G346" s="51" t="n"/>
      <c r="H346" s="51" t="n"/>
      <c r="I346" s="51" t="n"/>
      <c r="J346" s="51" t="n"/>
      <c r="K346" s="51" t="n"/>
      <c r="L346" s="51" t="n"/>
      <c r="M346" s="51" t="n"/>
      <c r="N346" s="51" t="n"/>
      <c r="O346" s="51" t="n"/>
      <c r="P346" s="51" t="n"/>
      <c r="Q346" s="51" t="n"/>
    </row>
    <row r="347">
      <c r="B347" s="51" t="n"/>
      <c r="C347" s="51" t="n"/>
      <c r="D347" s="51" t="n"/>
      <c r="E347" s="51" t="n"/>
      <c r="F347" s="51" t="n"/>
      <c r="G347" s="51" t="n"/>
      <c r="H347" s="51" t="n"/>
      <c r="I347" s="51" t="n"/>
      <c r="J347" s="51" t="n"/>
      <c r="K347" s="51" t="n"/>
      <c r="L347" s="51" t="n"/>
      <c r="M347" s="51" t="n"/>
      <c r="N347" s="51" t="n"/>
      <c r="O347" s="51" t="n"/>
      <c r="P347" s="51" t="n"/>
      <c r="Q347" s="51" t="n"/>
    </row>
    <row r="348">
      <c r="B348" s="51" t="n"/>
      <c r="C348" s="51" t="n"/>
      <c r="D348" s="51" t="n"/>
      <c r="E348" s="51" t="n"/>
      <c r="F348" s="51" t="n"/>
      <c r="G348" s="51" t="n"/>
      <c r="H348" s="51" t="n"/>
      <c r="I348" s="51" t="n"/>
      <c r="J348" s="51" t="n"/>
      <c r="K348" s="51" t="n"/>
      <c r="L348" s="51" t="n"/>
      <c r="M348" s="51" t="n"/>
      <c r="N348" s="51" t="n"/>
      <c r="O348" s="51" t="n"/>
      <c r="P348" s="51" t="n"/>
      <c r="Q348" s="51" t="n"/>
    </row>
    <row r="349">
      <c r="B349" s="51" t="n"/>
      <c r="C349" s="51" t="n"/>
      <c r="D349" s="51" t="n"/>
      <c r="E349" s="51" t="n"/>
      <c r="F349" s="51" t="n"/>
      <c r="G349" s="51" t="n"/>
      <c r="H349" s="51" t="n"/>
      <c r="I349" s="51" t="n"/>
      <c r="J349" s="51" t="n"/>
      <c r="K349" s="51" t="n"/>
      <c r="L349" s="51" t="n"/>
      <c r="M349" s="51" t="n"/>
      <c r="N349" s="51" t="n"/>
      <c r="O349" s="51" t="n"/>
      <c r="P349" s="51" t="n"/>
      <c r="Q349" s="51" t="n"/>
    </row>
    <row r="350">
      <c r="B350" s="51" t="n"/>
      <c r="C350" s="51" t="n"/>
      <c r="D350" s="51" t="n"/>
      <c r="E350" s="51" t="n"/>
      <c r="F350" s="51" t="n"/>
      <c r="G350" s="51" t="n"/>
      <c r="H350" s="51" t="n"/>
      <c r="I350" s="51" t="n"/>
      <c r="J350" s="51" t="n"/>
      <c r="K350" s="51" t="n"/>
      <c r="L350" s="51" t="n"/>
      <c r="M350" s="51" t="n"/>
      <c r="N350" s="51" t="n"/>
      <c r="O350" s="51" t="n"/>
      <c r="P350" s="51" t="n"/>
      <c r="Q350" s="51" t="n"/>
    </row>
    <row r="351">
      <c r="B351" s="51" t="n"/>
      <c r="C351" s="51" t="n"/>
      <c r="D351" s="51" t="n"/>
      <c r="E351" s="51" t="n"/>
      <c r="F351" s="51" t="n"/>
      <c r="G351" s="51" t="n"/>
      <c r="H351" s="51" t="n"/>
      <c r="I351" s="51" t="n"/>
      <c r="J351" s="51" t="n"/>
      <c r="K351" s="51" t="n"/>
      <c r="L351" s="51" t="n"/>
      <c r="M351" s="51" t="n"/>
      <c r="N351" s="51" t="n"/>
      <c r="O351" s="51" t="n"/>
      <c r="P351" s="51" t="n"/>
      <c r="Q351" s="51" t="n"/>
    </row>
    <row r="352">
      <c r="B352" s="51" t="n"/>
      <c r="C352" s="51" t="n"/>
      <c r="D352" s="51" t="n"/>
      <c r="E352" s="51" t="n"/>
      <c r="F352" s="51" t="n"/>
      <c r="G352" s="51" t="n"/>
      <c r="H352" s="51" t="n"/>
      <c r="I352" s="51" t="n"/>
      <c r="J352" s="51" t="n"/>
      <c r="K352" s="51" t="n"/>
      <c r="L352" s="51" t="n"/>
      <c r="M352" s="51" t="n"/>
      <c r="N352" s="51" t="n"/>
      <c r="O352" s="51" t="n"/>
      <c r="P352" s="51" t="n"/>
      <c r="Q352" s="51" t="n"/>
    </row>
    <row r="353">
      <c r="B353" s="51" t="n"/>
      <c r="C353" s="51" t="n"/>
      <c r="D353" s="51" t="n"/>
      <c r="E353" s="51" t="n"/>
      <c r="F353" s="51" t="n"/>
      <c r="G353" s="51" t="n"/>
      <c r="H353" s="51" t="n"/>
      <c r="I353" s="51" t="n"/>
      <c r="J353" s="51" t="n"/>
      <c r="K353" s="51" t="n"/>
      <c r="L353" s="51" t="n"/>
      <c r="M353" s="51" t="n"/>
      <c r="N353" s="51" t="n"/>
      <c r="O353" s="51" t="n"/>
      <c r="P353" s="51" t="n"/>
      <c r="Q353" s="51" t="n"/>
    </row>
    <row r="354">
      <c r="B354" s="51" t="n"/>
      <c r="C354" s="51" t="n"/>
      <c r="D354" s="51" t="n"/>
      <c r="E354" s="51" t="n"/>
      <c r="F354" s="51" t="n"/>
      <c r="G354" s="51" t="n"/>
      <c r="H354" s="51" t="n"/>
      <c r="I354" s="51" t="n"/>
      <c r="J354" s="51" t="n"/>
      <c r="K354" s="51" t="n"/>
      <c r="L354" s="51" t="n"/>
      <c r="M354" s="51" t="n"/>
      <c r="N354" s="51" t="n"/>
      <c r="O354" s="51" t="n"/>
      <c r="P354" s="51" t="n"/>
      <c r="Q354" s="51" t="n"/>
    </row>
    <row r="355">
      <c r="B355" s="51" t="n"/>
      <c r="C355" s="51" t="n"/>
      <c r="D355" s="51" t="n"/>
      <c r="E355" s="51" t="n"/>
      <c r="F355" s="51" t="n"/>
      <c r="G355" s="51" t="n"/>
      <c r="H355" s="51" t="n"/>
      <c r="I355" s="51" t="n"/>
      <c r="J355" s="51" t="n"/>
      <c r="K355" s="51" t="n"/>
      <c r="L355" s="51" t="n"/>
      <c r="M355" s="51" t="n"/>
      <c r="N355" s="51" t="n"/>
      <c r="O355" s="51" t="n"/>
      <c r="P355" s="51" t="n"/>
      <c r="Q355" s="51" t="n"/>
    </row>
    <row r="356">
      <c r="B356" s="51" t="n"/>
      <c r="C356" s="51" t="n"/>
      <c r="D356" s="51" t="n"/>
      <c r="E356" s="51" t="n"/>
      <c r="F356" s="51" t="n"/>
      <c r="G356" s="51" t="n"/>
      <c r="H356" s="51" t="n"/>
      <c r="I356" s="51" t="n"/>
      <c r="J356" s="51" t="n"/>
      <c r="K356" s="51" t="n"/>
      <c r="L356" s="51" t="n"/>
      <c r="M356" s="51" t="n"/>
      <c r="N356" s="51" t="n"/>
      <c r="O356" s="51" t="n"/>
      <c r="P356" s="51" t="n"/>
      <c r="Q356" s="51" t="n"/>
    </row>
    <row r="357">
      <c r="B357" s="51" t="n"/>
      <c r="C357" s="51" t="n"/>
      <c r="D357" s="51" t="n"/>
      <c r="E357" s="51" t="n"/>
      <c r="F357" s="51" t="n"/>
      <c r="G357" s="51" t="n"/>
      <c r="H357" s="51" t="n"/>
      <c r="I357" s="51" t="n"/>
      <c r="J357" s="51" t="n"/>
      <c r="K357" s="51" t="n"/>
      <c r="L357" s="51" t="n"/>
      <c r="M357" s="51" t="n"/>
      <c r="N357" s="51" t="n"/>
      <c r="O357" s="51" t="n"/>
      <c r="P357" s="51" t="n"/>
      <c r="Q357" s="51" t="n"/>
    </row>
    <row r="358">
      <c r="B358" s="51" t="n"/>
      <c r="C358" s="51" t="n"/>
      <c r="D358" s="51" t="n"/>
      <c r="E358" s="51" t="n"/>
      <c r="F358" s="51" t="n"/>
      <c r="G358" s="51" t="n"/>
      <c r="H358" s="51" t="n"/>
      <c r="I358" s="51" t="n"/>
      <c r="J358" s="51" t="n"/>
      <c r="K358" s="51" t="n"/>
      <c r="L358" s="51" t="n"/>
      <c r="M358" s="51" t="n"/>
      <c r="N358" s="51" t="n"/>
      <c r="O358" s="51" t="n"/>
      <c r="P358" s="51" t="n"/>
      <c r="Q358" s="51" t="n"/>
    </row>
    <row r="359">
      <c r="B359" s="51" t="n"/>
      <c r="C359" s="51" t="n"/>
      <c r="D359" s="51" t="n"/>
      <c r="E359" s="51" t="n"/>
      <c r="F359" s="51" t="n"/>
      <c r="G359" s="51" t="n"/>
      <c r="H359" s="51" t="n"/>
      <c r="I359" s="51" t="n"/>
      <c r="J359" s="51" t="n"/>
      <c r="K359" s="51" t="n"/>
      <c r="L359" s="51" t="n"/>
      <c r="M359" s="51" t="n"/>
      <c r="N359" s="51" t="n"/>
      <c r="O359" s="51" t="n"/>
      <c r="P359" s="51" t="n"/>
      <c r="Q359" s="51" t="n"/>
    </row>
    <row r="360">
      <c r="B360" s="51" t="n"/>
      <c r="C360" s="51" t="n"/>
      <c r="D360" s="51" t="n"/>
      <c r="E360" s="51" t="n"/>
      <c r="F360" s="51" t="n"/>
      <c r="G360" s="51" t="n"/>
      <c r="H360" s="51" t="n"/>
      <c r="I360" s="51" t="n"/>
      <c r="J360" s="51" t="n"/>
      <c r="K360" s="51" t="n"/>
      <c r="L360" s="51" t="n"/>
      <c r="M360" s="51" t="n"/>
      <c r="N360" s="51" t="n"/>
      <c r="O360" s="51" t="n"/>
      <c r="P360" s="51" t="n"/>
      <c r="Q360" s="51" t="n"/>
    </row>
    <row r="361">
      <c r="B361" s="51" t="n"/>
      <c r="C361" s="51" t="n"/>
      <c r="D361" s="51" t="n"/>
      <c r="E361" s="51" t="n"/>
      <c r="F361" s="51" t="n"/>
      <c r="G361" s="51" t="n"/>
      <c r="H361" s="51" t="n"/>
      <c r="I361" s="51" t="n"/>
      <c r="J361" s="51" t="n"/>
      <c r="K361" s="51" t="n"/>
      <c r="L361" s="51" t="n"/>
      <c r="M361" s="51" t="n"/>
      <c r="N361" s="51" t="n"/>
      <c r="O361" s="51" t="n"/>
      <c r="P361" s="51" t="n"/>
      <c r="Q361" s="51" t="n"/>
    </row>
    <row r="362">
      <c r="B362" s="51" t="n"/>
      <c r="C362" s="51" t="n"/>
      <c r="D362" s="51" t="n"/>
      <c r="E362" s="51" t="n"/>
      <c r="F362" s="51" t="n"/>
      <c r="G362" s="51" t="n"/>
      <c r="H362" s="51" t="n"/>
      <c r="I362" s="51" t="n"/>
      <c r="J362" s="51" t="n"/>
      <c r="K362" s="51" t="n"/>
      <c r="L362" s="51" t="n"/>
      <c r="M362" s="51" t="n"/>
      <c r="N362" s="51" t="n"/>
      <c r="O362" s="51" t="n"/>
      <c r="P362" s="51" t="n"/>
      <c r="Q362" s="51" t="n"/>
    </row>
    <row r="363">
      <c r="B363" s="51" t="n"/>
      <c r="C363" s="51" t="n"/>
      <c r="D363" s="51" t="n"/>
      <c r="E363" s="51" t="n"/>
      <c r="F363" s="51" t="n"/>
      <c r="G363" s="51" t="n"/>
      <c r="H363" s="51" t="n"/>
      <c r="I363" s="51" t="n"/>
      <c r="J363" s="51" t="n"/>
      <c r="K363" s="51" t="n"/>
      <c r="L363" s="51" t="n"/>
      <c r="M363" s="51" t="n"/>
      <c r="N363" s="51" t="n"/>
      <c r="O363" s="51" t="n"/>
      <c r="P363" s="51" t="n"/>
      <c r="Q363" s="51" t="n"/>
    </row>
    <row r="364">
      <c r="B364" s="51" t="n"/>
      <c r="C364" s="51" t="n"/>
      <c r="D364" s="51" t="n"/>
      <c r="E364" s="51" t="n"/>
      <c r="F364" s="51" t="n"/>
      <c r="G364" s="51" t="n"/>
      <c r="H364" s="51" t="n"/>
      <c r="I364" s="51" t="n"/>
      <c r="J364" s="51" t="n"/>
      <c r="K364" s="51" t="n"/>
      <c r="L364" s="51" t="n"/>
      <c r="M364" s="51" t="n"/>
      <c r="N364" s="51" t="n"/>
      <c r="O364" s="51" t="n"/>
      <c r="P364" s="51" t="n"/>
      <c r="Q364" s="51" t="n"/>
    </row>
    <row r="365">
      <c r="B365" s="51" t="n"/>
      <c r="C365" s="51" t="n"/>
      <c r="D365" s="51" t="n"/>
      <c r="E365" s="51" t="n"/>
      <c r="F365" s="51" t="n"/>
      <c r="G365" s="51" t="n"/>
      <c r="H365" s="51" t="n"/>
      <c r="I365" s="51" t="n"/>
      <c r="J365" s="51" t="n"/>
      <c r="K365" s="51" t="n"/>
      <c r="L365" s="51" t="n"/>
      <c r="M365" s="51" t="n"/>
      <c r="N365" s="51" t="n"/>
      <c r="O365" s="51" t="n"/>
      <c r="P365" s="51" t="n"/>
      <c r="Q365" s="51" t="n"/>
    </row>
    <row r="366">
      <c r="B366" s="51" t="n"/>
      <c r="C366" s="51" t="n"/>
      <c r="D366" s="51" t="n"/>
      <c r="E366" s="51" t="n"/>
      <c r="F366" s="51" t="n"/>
      <c r="G366" s="51" t="n"/>
      <c r="H366" s="51" t="n"/>
      <c r="I366" s="51" t="n"/>
      <c r="J366" s="51" t="n"/>
      <c r="K366" s="51" t="n"/>
      <c r="L366" s="51" t="n"/>
      <c r="M366" s="51" t="n"/>
      <c r="N366" s="51" t="n"/>
      <c r="O366" s="51" t="n"/>
      <c r="P366" s="51" t="n"/>
      <c r="Q366" s="51" t="n"/>
    </row>
    <row r="367">
      <c r="B367" s="51" t="n"/>
      <c r="C367" s="51" t="n"/>
      <c r="D367" s="51" t="n"/>
      <c r="E367" s="51" t="n"/>
      <c r="F367" s="51" t="n"/>
      <c r="G367" s="51" t="n"/>
      <c r="H367" s="51" t="n"/>
      <c r="I367" s="51" t="n"/>
      <c r="J367" s="51" t="n"/>
      <c r="K367" s="51" t="n"/>
      <c r="L367" s="51" t="n"/>
      <c r="M367" s="51" t="n"/>
      <c r="N367" s="51" t="n"/>
      <c r="O367" s="51" t="n"/>
      <c r="P367" s="51" t="n"/>
      <c r="Q367" s="51" t="n"/>
    </row>
    <row r="368">
      <c r="B368" s="51" t="n"/>
      <c r="C368" s="51" t="n"/>
      <c r="D368" s="51" t="n"/>
      <c r="E368" s="51" t="n"/>
      <c r="F368" s="51" t="n"/>
      <c r="G368" s="51" t="n"/>
      <c r="H368" s="51" t="n"/>
      <c r="I368" s="51" t="n"/>
      <c r="J368" s="51" t="n"/>
      <c r="K368" s="51" t="n"/>
      <c r="L368" s="51" t="n"/>
      <c r="M368" s="51" t="n"/>
      <c r="N368" s="51" t="n"/>
      <c r="O368" s="51" t="n"/>
      <c r="P368" s="51" t="n"/>
      <c r="Q368" s="51" t="n"/>
    </row>
    <row r="369">
      <c r="B369" s="51" t="n"/>
      <c r="C369" s="51" t="n"/>
      <c r="D369" s="51" t="n"/>
      <c r="E369" s="51" t="n"/>
      <c r="F369" s="51" t="n"/>
      <c r="G369" s="51" t="n"/>
      <c r="H369" s="51" t="n"/>
      <c r="I369" s="51" t="n"/>
      <c r="J369" s="51" t="n"/>
      <c r="K369" s="51" t="n"/>
      <c r="L369" s="51" t="n"/>
      <c r="M369" s="51" t="n"/>
      <c r="N369" s="51" t="n"/>
      <c r="O369" s="51" t="n"/>
      <c r="P369" s="51" t="n"/>
      <c r="Q369" s="51" t="n"/>
    </row>
    <row r="370">
      <c r="B370" s="51" t="n"/>
      <c r="C370" s="51" t="n"/>
      <c r="D370" s="51" t="n"/>
      <c r="E370" s="51" t="n"/>
      <c r="F370" s="51" t="n"/>
      <c r="G370" s="51" t="n"/>
      <c r="H370" s="51" t="n"/>
      <c r="I370" s="51" t="n"/>
      <c r="J370" s="51" t="n"/>
      <c r="K370" s="51" t="n"/>
      <c r="L370" s="51" t="n"/>
      <c r="M370" s="51" t="n"/>
      <c r="N370" s="51" t="n"/>
      <c r="O370" s="51" t="n"/>
      <c r="P370" s="51" t="n"/>
      <c r="Q370" s="51" t="n"/>
    </row>
    <row r="371">
      <c r="B371" s="51" t="n"/>
      <c r="C371" s="51" t="n"/>
      <c r="D371" s="51" t="n"/>
      <c r="E371" s="51" t="n"/>
      <c r="F371" s="51" t="n"/>
      <c r="G371" s="51" t="n"/>
      <c r="H371" s="51" t="n"/>
      <c r="I371" s="51" t="n"/>
      <c r="J371" s="51" t="n"/>
      <c r="K371" s="51" t="n"/>
      <c r="L371" s="51" t="n"/>
      <c r="M371" s="51" t="n"/>
      <c r="N371" s="51" t="n"/>
      <c r="O371" s="51" t="n"/>
      <c r="P371" s="51" t="n"/>
      <c r="Q371" s="51" t="n"/>
    </row>
    <row r="372">
      <c r="B372" s="51" t="n"/>
      <c r="C372" s="51" t="n"/>
      <c r="D372" s="51" t="n"/>
      <c r="E372" s="51" t="n"/>
      <c r="F372" s="51" t="n"/>
      <c r="G372" s="51" t="n"/>
      <c r="H372" s="51" t="n"/>
      <c r="I372" s="51" t="n"/>
      <c r="J372" s="51" t="n"/>
      <c r="K372" s="51" t="n"/>
      <c r="L372" s="51" t="n"/>
      <c r="M372" s="51" t="n"/>
      <c r="N372" s="51" t="n"/>
      <c r="O372" s="51" t="n"/>
      <c r="P372" s="51" t="n"/>
      <c r="Q372" s="51" t="n"/>
    </row>
    <row r="373">
      <c r="B373" s="51" t="n"/>
      <c r="C373" s="51" t="n"/>
      <c r="D373" s="51" t="n"/>
      <c r="E373" s="51" t="n"/>
      <c r="F373" s="51" t="n"/>
      <c r="G373" s="51" t="n"/>
      <c r="H373" s="51" t="n"/>
      <c r="I373" s="51" t="n"/>
      <c r="J373" s="51" t="n"/>
      <c r="K373" s="51" t="n"/>
      <c r="L373" s="51" t="n"/>
      <c r="M373" s="51" t="n"/>
      <c r="N373" s="51" t="n"/>
      <c r="O373" s="51" t="n"/>
      <c r="P373" s="51" t="n"/>
      <c r="Q373" s="51" t="n"/>
    </row>
    <row r="374">
      <c r="B374" s="51" t="n"/>
      <c r="C374" s="51" t="n"/>
      <c r="D374" s="51" t="n"/>
      <c r="E374" s="51" t="n"/>
      <c r="F374" s="51" t="n"/>
      <c r="G374" s="51" t="n"/>
      <c r="H374" s="51" t="n"/>
      <c r="I374" s="51" t="n"/>
      <c r="J374" s="51" t="n"/>
      <c r="K374" s="51" t="n"/>
      <c r="L374" s="51" t="n"/>
      <c r="M374" s="51" t="n"/>
      <c r="N374" s="51" t="n"/>
      <c r="O374" s="51" t="n"/>
      <c r="P374" s="51" t="n"/>
      <c r="Q374" s="51" t="n"/>
    </row>
    <row r="375">
      <c r="B375" s="51" t="n"/>
      <c r="C375" s="51" t="n"/>
      <c r="D375" s="51" t="n"/>
      <c r="E375" s="51" t="n"/>
      <c r="F375" s="51" t="n"/>
      <c r="G375" s="51" t="n"/>
      <c r="H375" s="51" t="n"/>
      <c r="I375" s="51" t="n"/>
      <c r="J375" s="51" t="n"/>
      <c r="K375" s="51" t="n"/>
      <c r="L375" s="51" t="n"/>
      <c r="M375" s="51" t="n"/>
      <c r="N375" s="51" t="n"/>
      <c r="O375" s="51" t="n"/>
      <c r="P375" s="51" t="n"/>
      <c r="Q375" s="51" t="n"/>
    </row>
    <row r="376">
      <c r="B376" s="51" t="n"/>
      <c r="C376" s="51" t="n"/>
      <c r="D376" s="51" t="n"/>
      <c r="E376" s="51" t="n"/>
      <c r="F376" s="51" t="n"/>
      <c r="G376" s="51" t="n"/>
      <c r="H376" s="51" t="n"/>
      <c r="I376" s="51" t="n"/>
      <c r="J376" s="51" t="n"/>
      <c r="K376" s="51" t="n"/>
      <c r="L376" s="51" t="n"/>
      <c r="M376" s="51" t="n"/>
      <c r="N376" s="51" t="n"/>
      <c r="O376" s="51" t="n"/>
      <c r="P376" s="51" t="n"/>
      <c r="Q376" s="51" t="n"/>
    </row>
    <row r="377">
      <c r="B377" s="51" t="n"/>
      <c r="C377" s="51" t="n"/>
      <c r="D377" s="51" t="n"/>
      <c r="E377" s="51" t="n"/>
      <c r="F377" s="51" t="n"/>
      <c r="G377" s="51" t="n"/>
      <c r="H377" s="51" t="n"/>
      <c r="I377" s="51" t="n"/>
      <c r="J377" s="51" t="n"/>
      <c r="K377" s="51" t="n"/>
      <c r="L377" s="51" t="n"/>
      <c r="M377" s="51" t="n"/>
      <c r="N377" s="51" t="n"/>
      <c r="O377" s="51" t="n"/>
      <c r="P377" s="51" t="n"/>
      <c r="Q377" s="51" t="n"/>
    </row>
    <row r="378">
      <c r="B378" s="51" t="n"/>
      <c r="C378" s="51" t="n"/>
      <c r="D378" s="51" t="n"/>
      <c r="E378" s="51" t="n"/>
      <c r="F378" s="51" t="n"/>
      <c r="G378" s="51" t="n"/>
      <c r="H378" s="51" t="n"/>
      <c r="I378" s="51" t="n"/>
      <c r="J378" s="51" t="n"/>
      <c r="K378" s="51" t="n"/>
      <c r="L378" s="51" t="n"/>
      <c r="M378" s="51" t="n"/>
      <c r="N378" s="51" t="n"/>
      <c r="O378" s="51" t="n"/>
      <c r="P378" s="51" t="n"/>
      <c r="Q378" s="51" t="n"/>
    </row>
    <row r="379">
      <c r="B379" s="51" t="n"/>
      <c r="C379" s="51" t="n"/>
      <c r="D379" s="51" t="n"/>
      <c r="E379" s="51" t="n"/>
      <c r="F379" s="51" t="n"/>
      <c r="G379" s="51" t="n"/>
      <c r="H379" s="51" t="n"/>
      <c r="I379" s="51" t="n"/>
      <c r="J379" s="51" t="n"/>
      <c r="K379" s="51" t="n"/>
      <c r="L379" s="51" t="n"/>
      <c r="M379" s="51" t="n"/>
      <c r="N379" s="51" t="n"/>
      <c r="O379" s="51" t="n"/>
      <c r="P379" s="51" t="n"/>
      <c r="Q379" s="51" t="n"/>
    </row>
    <row r="380">
      <c r="B380" s="51" t="n"/>
      <c r="C380" s="51" t="n"/>
      <c r="D380" s="51" t="n"/>
      <c r="E380" s="51" t="n"/>
      <c r="F380" s="51" t="n"/>
      <c r="G380" s="51" t="n"/>
      <c r="H380" s="51" t="n"/>
      <c r="I380" s="51" t="n"/>
      <c r="J380" s="51" t="n"/>
      <c r="K380" s="51" t="n"/>
      <c r="L380" s="51" t="n"/>
      <c r="M380" s="51" t="n"/>
      <c r="N380" s="51" t="n"/>
      <c r="O380" s="51" t="n"/>
      <c r="P380" s="51" t="n"/>
      <c r="Q380" s="51" t="n"/>
    </row>
    <row r="381">
      <c r="B381" s="51" t="n"/>
      <c r="C381" s="51" t="n"/>
      <c r="D381" s="51" t="n"/>
      <c r="E381" s="51" t="n"/>
      <c r="F381" s="51" t="n"/>
      <c r="G381" s="51" t="n"/>
      <c r="H381" s="51" t="n"/>
      <c r="I381" s="51" t="n"/>
      <c r="J381" s="51" t="n"/>
      <c r="K381" s="51" t="n"/>
      <c r="L381" s="51" t="n"/>
      <c r="M381" s="51" t="n"/>
      <c r="N381" s="51" t="n"/>
      <c r="O381" s="51" t="n"/>
      <c r="P381" s="51" t="n"/>
      <c r="Q381" s="51" t="n"/>
    </row>
    <row r="382">
      <c r="B382" s="51" t="n"/>
      <c r="C382" s="51" t="n"/>
      <c r="D382" s="51" t="n"/>
      <c r="E382" s="51" t="n"/>
      <c r="F382" s="51" t="n"/>
      <c r="G382" s="51" t="n"/>
      <c r="H382" s="51" t="n"/>
      <c r="I382" s="51" t="n"/>
      <c r="J382" s="51" t="n"/>
      <c r="K382" s="51" t="n"/>
      <c r="L382" s="51" t="n"/>
      <c r="M382" s="51" t="n"/>
      <c r="N382" s="51" t="n"/>
      <c r="O382" s="51" t="n"/>
      <c r="P382" s="51" t="n"/>
      <c r="Q382" s="51" t="n"/>
    </row>
    <row r="383">
      <c r="B383" s="51" t="n"/>
      <c r="C383" s="51" t="n"/>
      <c r="D383" s="51" t="n"/>
      <c r="E383" s="51" t="n"/>
      <c r="F383" s="51" t="n"/>
      <c r="G383" s="51" t="n"/>
      <c r="H383" s="51" t="n"/>
      <c r="I383" s="51" t="n"/>
      <c r="J383" s="51" t="n"/>
      <c r="K383" s="51" t="n"/>
      <c r="L383" s="51" t="n"/>
      <c r="M383" s="51" t="n"/>
      <c r="N383" s="51" t="n"/>
      <c r="O383" s="51" t="n"/>
      <c r="P383" s="51" t="n"/>
      <c r="Q383" s="51" t="n"/>
    </row>
    <row r="384">
      <c r="B384" s="51" t="n"/>
      <c r="C384" s="51" t="n"/>
      <c r="D384" s="51" t="n"/>
      <c r="E384" s="51" t="n"/>
      <c r="F384" s="51" t="n"/>
      <c r="G384" s="51" t="n"/>
      <c r="H384" s="51" t="n"/>
      <c r="I384" s="51" t="n"/>
      <c r="J384" s="51" t="n"/>
      <c r="K384" s="51" t="n"/>
      <c r="L384" s="51" t="n"/>
      <c r="M384" s="51" t="n"/>
      <c r="N384" s="51" t="n"/>
      <c r="O384" s="51" t="n"/>
      <c r="P384" s="51" t="n"/>
      <c r="Q384" s="51" t="n"/>
    </row>
    <row r="385">
      <c r="B385" s="51" t="n"/>
      <c r="C385" s="51" t="n"/>
      <c r="D385" s="51" t="n"/>
      <c r="E385" s="51" t="n"/>
      <c r="F385" s="51" t="n"/>
      <c r="G385" s="51" t="n"/>
      <c r="H385" s="51" t="n"/>
      <c r="I385" s="51" t="n"/>
      <c r="J385" s="51" t="n"/>
      <c r="K385" s="51" t="n"/>
      <c r="L385" s="51" t="n"/>
      <c r="M385" s="51" t="n"/>
      <c r="N385" s="51" t="n"/>
      <c r="O385" s="51" t="n"/>
      <c r="P385" s="51" t="n"/>
      <c r="Q385" s="51" t="n"/>
    </row>
    <row r="386">
      <c r="B386" s="51" t="n"/>
      <c r="C386" s="51" t="n"/>
      <c r="D386" s="51" t="n"/>
      <c r="E386" s="51" t="n"/>
      <c r="F386" s="51" t="n"/>
      <c r="G386" s="51" t="n"/>
      <c r="H386" s="51" t="n"/>
      <c r="I386" s="51" t="n"/>
      <c r="J386" s="51" t="n"/>
      <c r="K386" s="51" t="n"/>
      <c r="L386" s="51" t="n"/>
      <c r="M386" s="51" t="n"/>
      <c r="N386" s="51" t="n"/>
      <c r="O386" s="51" t="n"/>
      <c r="P386" s="51" t="n"/>
      <c r="Q386" s="51" t="n"/>
    </row>
    <row r="387">
      <c r="B387" s="51" t="n"/>
      <c r="C387" s="51" t="n"/>
      <c r="D387" s="51" t="n"/>
      <c r="E387" s="51" t="n"/>
      <c r="F387" s="51" t="n"/>
      <c r="G387" s="51" t="n"/>
      <c r="H387" s="51" t="n"/>
      <c r="I387" s="51" t="n"/>
      <c r="J387" s="51" t="n"/>
      <c r="K387" s="51" t="n"/>
      <c r="L387" s="51" t="n"/>
      <c r="M387" s="51" t="n"/>
      <c r="N387" s="51" t="n"/>
      <c r="O387" s="51" t="n"/>
      <c r="P387" s="51" t="n"/>
      <c r="Q387" s="51" t="n"/>
    </row>
    <row r="388">
      <c r="B388" s="51" t="n"/>
      <c r="C388" s="51" t="n"/>
      <c r="D388" s="51" t="n"/>
      <c r="E388" s="51" t="n"/>
      <c r="F388" s="51" t="n"/>
      <c r="G388" s="51" t="n"/>
      <c r="H388" s="51" t="n"/>
      <c r="I388" s="51" t="n"/>
      <c r="J388" s="51" t="n"/>
      <c r="K388" s="51" t="n"/>
      <c r="L388" s="51" t="n"/>
      <c r="M388" s="51" t="n"/>
      <c r="N388" s="51" t="n"/>
      <c r="O388" s="51" t="n"/>
      <c r="P388" s="51" t="n"/>
      <c r="Q388" s="51" t="n"/>
    </row>
    <row r="389">
      <c r="B389" s="51" t="n"/>
      <c r="C389" s="51" t="n"/>
      <c r="D389" s="51" t="n"/>
      <c r="E389" s="51" t="n"/>
      <c r="F389" s="51" t="n"/>
      <c r="G389" s="51" t="n"/>
      <c r="H389" s="51" t="n"/>
      <c r="I389" s="51" t="n"/>
      <c r="J389" s="51" t="n"/>
      <c r="K389" s="51" t="n"/>
      <c r="L389" s="51" t="n"/>
      <c r="M389" s="51" t="n"/>
      <c r="N389" s="51" t="n"/>
      <c r="O389" s="51" t="n"/>
      <c r="P389" s="51" t="n"/>
      <c r="Q389" s="51" t="n"/>
    </row>
    <row r="390">
      <c r="B390" s="51" t="n"/>
      <c r="C390" s="51" t="n"/>
      <c r="D390" s="51" t="n"/>
      <c r="E390" s="51" t="n"/>
      <c r="F390" s="51" t="n"/>
      <c r="G390" s="51" t="n"/>
      <c r="H390" s="51" t="n"/>
      <c r="I390" s="51" t="n"/>
      <c r="J390" s="51" t="n"/>
      <c r="K390" s="51" t="n"/>
      <c r="L390" s="51" t="n"/>
      <c r="M390" s="51" t="n"/>
      <c r="N390" s="51" t="n"/>
      <c r="O390" s="51" t="n"/>
      <c r="P390" s="51" t="n"/>
      <c r="Q390" s="51" t="n"/>
    </row>
    <row r="391">
      <c r="B391" s="51" t="n"/>
      <c r="C391" s="51" t="n"/>
      <c r="D391" s="51" t="n"/>
      <c r="E391" s="51" t="n"/>
      <c r="F391" s="51" t="n"/>
      <c r="G391" s="51" t="n"/>
      <c r="H391" s="51" t="n"/>
      <c r="I391" s="51" t="n"/>
      <c r="J391" s="51" t="n"/>
      <c r="K391" s="51" t="n"/>
      <c r="L391" s="51" t="n"/>
      <c r="M391" s="51" t="n"/>
      <c r="N391" s="51" t="n"/>
      <c r="O391" s="51" t="n"/>
      <c r="P391" s="51" t="n"/>
      <c r="Q391" s="51" t="n"/>
    </row>
    <row r="392">
      <c r="B392" s="51" t="n"/>
      <c r="C392" s="51" t="n"/>
      <c r="D392" s="51" t="n"/>
      <c r="E392" s="51" t="n"/>
      <c r="F392" s="51" t="n"/>
      <c r="G392" s="51" t="n"/>
      <c r="H392" s="51" t="n"/>
      <c r="I392" s="51" t="n"/>
      <c r="J392" s="51" t="n"/>
      <c r="K392" s="51" t="n"/>
      <c r="L392" s="51" t="n"/>
      <c r="M392" s="51" t="n"/>
      <c r="N392" s="51" t="n"/>
      <c r="O392" s="51" t="n"/>
      <c r="P392" s="51" t="n"/>
      <c r="Q392" s="51" t="n"/>
    </row>
    <row r="393">
      <c r="B393" s="51" t="n"/>
      <c r="C393" s="51" t="n"/>
      <c r="D393" s="51" t="n"/>
      <c r="E393" s="51" t="n"/>
      <c r="F393" s="51" t="n"/>
      <c r="G393" s="51" t="n"/>
      <c r="H393" s="51" t="n"/>
      <c r="I393" s="51" t="n"/>
      <c r="J393" s="51" t="n"/>
      <c r="K393" s="51" t="n"/>
      <c r="L393" s="51" t="n"/>
      <c r="M393" s="51" t="n"/>
      <c r="N393" s="51" t="n"/>
      <c r="O393" s="51" t="n"/>
      <c r="P393" s="51" t="n"/>
      <c r="Q393" s="51" t="n"/>
    </row>
    <row r="394">
      <c r="B394" s="51" t="n"/>
      <c r="C394" s="51" t="n"/>
      <c r="D394" s="51" t="n"/>
      <c r="E394" s="51" t="n"/>
      <c r="F394" s="51" t="n"/>
      <c r="G394" s="51" t="n"/>
      <c r="H394" s="51" t="n"/>
      <c r="I394" s="51" t="n"/>
      <c r="J394" s="51" t="n"/>
      <c r="K394" s="51" t="n"/>
      <c r="L394" s="51" t="n"/>
      <c r="M394" s="51" t="n"/>
      <c r="N394" s="51" t="n"/>
      <c r="O394" s="51" t="n"/>
      <c r="P394" s="51" t="n"/>
      <c r="Q394" s="51" t="n"/>
    </row>
    <row r="395">
      <c r="B395" s="51" t="n"/>
      <c r="C395" s="51" t="n"/>
      <c r="D395" s="51" t="n"/>
      <c r="E395" s="51" t="n"/>
      <c r="F395" s="51" t="n"/>
      <c r="G395" s="51" t="n"/>
      <c r="H395" s="51" t="n"/>
      <c r="I395" s="51" t="n"/>
      <c r="J395" s="51" t="n"/>
      <c r="K395" s="51" t="n"/>
      <c r="L395" s="51" t="n"/>
      <c r="M395" s="51" t="n"/>
      <c r="N395" s="51" t="n"/>
      <c r="O395" s="51" t="n"/>
      <c r="P395" s="51" t="n"/>
      <c r="Q395" s="51" t="n"/>
    </row>
    <row r="396">
      <c r="B396" s="51" t="n"/>
      <c r="C396" s="51" t="n"/>
      <c r="D396" s="51" t="n"/>
      <c r="E396" s="51" t="n"/>
      <c r="F396" s="51" t="n"/>
      <c r="G396" s="51" t="n"/>
      <c r="H396" s="51" t="n"/>
      <c r="I396" s="51" t="n"/>
      <c r="J396" s="51" t="n"/>
      <c r="K396" s="51" t="n"/>
      <c r="L396" s="51" t="n"/>
      <c r="M396" s="51" t="n"/>
      <c r="N396" s="51" t="n"/>
      <c r="O396" s="51" t="n"/>
      <c r="P396" s="51" t="n"/>
      <c r="Q396" s="51" t="n"/>
    </row>
    <row r="397">
      <c r="B397" s="51" t="n"/>
      <c r="C397" s="51" t="n"/>
      <c r="D397" s="51" t="n"/>
      <c r="E397" s="51" t="n"/>
      <c r="F397" s="51" t="n"/>
      <c r="G397" s="51" t="n"/>
      <c r="H397" s="51" t="n"/>
      <c r="I397" s="51" t="n"/>
      <c r="J397" s="51" t="n"/>
      <c r="K397" s="51" t="n"/>
      <c r="L397" s="51" t="n"/>
      <c r="M397" s="51" t="n"/>
      <c r="N397" s="51" t="n"/>
      <c r="O397" s="51" t="n"/>
      <c r="P397" s="51" t="n"/>
      <c r="Q397" s="51" t="n"/>
    </row>
    <row r="398">
      <c r="B398" s="51" t="n"/>
      <c r="C398" s="51" t="n"/>
      <c r="D398" s="51" t="n"/>
      <c r="E398" s="51" t="n"/>
      <c r="F398" s="51" t="n"/>
      <c r="G398" s="51" t="n"/>
      <c r="H398" s="51" t="n"/>
      <c r="I398" s="51" t="n"/>
      <c r="J398" s="51" t="n"/>
      <c r="K398" s="51" t="n"/>
      <c r="L398" s="51" t="n"/>
      <c r="M398" s="51" t="n"/>
      <c r="N398" s="51" t="n"/>
      <c r="O398" s="51" t="n"/>
      <c r="P398" s="51" t="n"/>
      <c r="Q398" s="51" t="n"/>
    </row>
    <row r="399">
      <c r="B399" s="51" t="n"/>
      <c r="C399" s="51" t="n"/>
      <c r="D399" s="51" t="n"/>
      <c r="E399" s="51" t="n"/>
      <c r="F399" s="51" t="n"/>
      <c r="G399" s="51" t="n"/>
      <c r="H399" s="51" t="n"/>
      <c r="I399" s="51" t="n"/>
      <c r="J399" s="51" t="n"/>
      <c r="K399" s="51" t="n"/>
      <c r="L399" s="51" t="n"/>
      <c r="M399" s="51" t="n"/>
      <c r="N399" s="51" t="n"/>
      <c r="O399" s="51" t="n"/>
      <c r="P399" s="51" t="n"/>
      <c r="Q399" s="51" t="n"/>
    </row>
    <row r="400">
      <c r="B400" s="51" t="n"/>
      <c r="C400" s="51" t="n"/>
      <c r="D400" s="51" t="n"/>
      <c r="E400" s="51" t="n"/>
      <c r="F400" s="51" t="n"/>
      <c r="G400" s="51" t="n"/>
      <c r="H400" s="51" t="n"/>
      <c r="I400" s="51" t="n"/>
      <c r="J400" s="51" t="n"/>
      <c r="K400" s="51" t="n"/>
      <c r="L400" s="51" t="n"/>
      <c r="M400" s="51" t="n"/>
      <c r="N400" s="51" t="n"/>
      <c r="O400" s="51" t="n"/>
      <c r="P400" s="51" t="n"/>
      <c r="Q400" s="51" t="n"/>
    </row>
    <row r="401">
      <c r="B401" s="51" t="n"/>
      <c r="C401" s="51" t="n"/>
      <c r="D401" s="51" t="n"/>
      <c r="E401" s="51" t="n"/>
      <c r="F401" s="51" t="n"/>
      <c r="G401" s="51" t="n"/>
      <c r="H401" s="51" t="n"/>
      <c r="I401" s="51" t="n"/>
      <c r="J401" s="51" t="n"/>
      <c r="K401" s="51" t="n"/>
      <c r="L401" s="51" t="n"/>
      <c r="M401" s="51" t="n"/>
      <c r="N401" s="51" t="n"/>
      <c r="O401" s="51" t="n"/>
      <c r="P401" s="51" t="n"/>
      <c r="Q401" s="51" t="n"/>
    </row>
    <row r="402">
      <c r="B402" s="51" t="n"/>
      <c r="C402" s="51" t="n"/>
      <c r="D402" s="51" t="n"/>
      <c r="E402" s="51" t="n"/>
      <c r="F402" s="51" t="n"/>
      <c r="G402" s="51" t="n"/>
      <c r="H402" s="51" t="n"/>
      <c r="I402" s="51" t="n"/>
      <c r="J402" s="51" t="n"/>
      <c r="K402" s="51" t="n"/>
      <c r="L402" s="51" t="n"/>
      <c r="M402" s="51" t="n"/>
      <c r="N402" s="51" t="n"/>
      <c r="O402" s="51" t="n"/>
      <c r="P402" s="51" t="n"/>
      <c r="Q402" s="51" t="n"/>
    </row>
    <row r="403">
      <c r="B403" s="51" t="n"/>
      <c r="C403" s="51" t="n"/>
      <c r="D403" s="51" t="n"/>
      <c r="E403" s="51" t="n"/>
      <c r="F403" s="51" t="n"/>
      <c r="G403" s="51" t="n"/>
      <c r="H403" s="51" t="n"/>
      <c r="I403" s="51" t="n"/>
      <c r="J403" s="51" t="n"/>
      <c r="K403" s="51" t="n"/>
      <c r="L403" s="51" t="n"/>
      <c r="M403" s="51" t="n"/>
      <c r="N403" s="51" t="n"/>
      <c r="O403" s="51" t="n"/>
      <c r="P403" s="51" t="n"/>
      <c r="Q403" s="51" t="n"/>
    </row>
    <row r="404">
      <c r="B404" s="51" t="n"/>
      <c r="C404" s="51" t="n"/>
      <c r="D404" s="51" t="n"/>
      <c r="E404" s="51" t="n"/>
      <c r="F404" s="51" t="n"/>
      <c r="G404" s="51" t="n"/>
      <c r="H404" s="51" t="n"/>
      <c r="I404" s="51" t="n"/>
      <c r="J404" s="51" t="n"/>
      <c r="K404" s="51" t="n"/>
      <c r="L404" s="51" t="n"/>
      <c r="M404" s="51" t="n"/>
      <c r="N404" s="51" t="n"/>
      <c r="O404" s="51" t="n"/>
      <c r="P404" s="51" t="n"/>
      <c r="Q404" s="51" t="n"/>
    </row>
    <row r="405">
      <c r="B405" s="51" t="n"/>
      <c r="C405" s="51" t="n"/>
      <c r="D405" s="51" t="n"/>
      <c r="E405" s="51" t="n"/>
      <c r="F405" s="51" t="n"/>
      <c r="G405" s="51" t="n"/>
      <c r="H405" s="51" t="n"/>
      <c r="I405" s="51" t="n"/>
      <c r="J405" s="51" t="n"/>
      <c r="K405" s="51" t="n"/>
      <c r="L405" s="51" t="n"/>
      <c r="M405" s="51" t="n"/>
      <c r="N405" s="51" t="n"/>
      <c r="O405" s="51" t="n"/>
      <c r="P405" s="51" t="n"/>
      <c r="Q405" s="51" t="n"/>
    </row>
    <row r="406">
      <c r="B406" s="51" t="n"/>
      <c r="C406" s="51" t="n"/>
      <c r="D406" s="51" t="n"/>
      <c r="E406" s="51" t="n"/>
      <c r="F406" s="51" t="n"/>
      <c r="G406" s="51" t="n"/>
      <c r="H406" s="51" t="n"/>
      <c r="I406" s="51" t="n"/>
      <c r="J406" s="51" t="n"/>
      <c r="K406" s="51" t="n"/>
      <c r="L406" s="51" t="n"/>
      <c r="M406" s="51" t="n"/>
      <c r="N406" s="51" t="n"/>
      <c r="O406" s="51" t="n"/>
      <c r="P406" s="51" t="n"/>
      <c r="Q406" s="51" t="n"/>
    </row>
    <row r="407">
      <c r="B407" s="51" t="n"/>
      <c r="C407" s="51" t="n"/>
      <c r="D407" s="51" t="n"/>
      <c r="E407" s="51" t="n"/>
      <c r="F407" s="51" t="n"/>
      <c r="G407" s="51" t="n"/>
      <c r="H407" s="51" t="n"/>
      <c r="I407" s="51" t="n"/>
      <c r="J407" s="51" t="n"/>
      <c r="K407" s="51" t="n"/>
      <c r="L407" s="51" t="n"/>
      <c r="M407" s="51" t="n"/>
      <c r="N407" s="51" t="n"/>
      <c r="O407" s="51" t="n"/>
      <c r="P407" s="51" t="n"/>
      <c r="Q407" s="51" t="n"/>
    </row>
    <row r="408">
      <c r="B408" s="51" t="n"/>
      <c r="C408" s="51" t="n"/>
      <c r="D408" s="51" t="n"/>
      <c r="E408" s="51" t="n"/>
      <c r="F408" s="51" t="n"/>
      <c r="G408" s="51" t="n"/>
      <c r="H408" s="51" t="n"/>
      <c r="I408" s="51" t="n"/>
      <c r="J408" s="51" t="n"/>
      <c r="K408" s="51" t="n"/>
      <c r="L408" s="51" t="n"/>
      <c r="M408" s="51" t="n"/>
      <c r="N408" s="51" t="n"/>
      <c r="O408" s="51" t="n"/>
      <c r="P408" s="51" t="n"/>
      <c r="Q408" s="51" t="n"/>
    </row>
    <row r="409">
      <c r="B409" s="51" t="n"/>
      <c r="C409" s="51" t="n"/>
      <c r="D409" s="51" t="n"/>
      <c r="E409" s="51" t="n"/>
      <c r="F409" s="51" t="n"/>
      <c r="G409" s="51" t="n"/>
      <c r="H409" s="51" t="n"/>
      <c r="I409" s="51" t="n"/>
      <c r="J409" s="51" t="n"/>
      <c r="K409" s="51" t="n"/>
      <c r="L409" s="51" t="n"/>
      <c r="M409" s="51" t="n"/>
      <c r="N409" s="51" t="n"/>
      <c r="O409" s="51" t="n"/>
      <c r="P409" s="51" t="n"/>
      <c r="Q409" s="51" t="n"/>
    </row>
    <row r="410">
      <c r="B410" s="51" t="n"/>
      <c r="C410" s="51" t="n"/>
      <c r="D410" s="51" t="n"/>
      <c r="E410" s="51" t="n"/>
      <c r="F410" s="51" t="n"/>
      <c r="G410" s="51" t="n"/>
      <c r="H410" s="51" t="n"/>
      <c r="I410" s="51" t="n"/>
      <c r="J410" s="51" t="n"/>
      <c r="K410" s="51" t="n"/>
      <c r="L410" s="51" t="n"/>
      <c r="M410" s="51" t="n"/>
      <c r="N410" s="51" t="n"/>
      <c r="O410" s="51" t="n"/>
      <c r="P410" s="51" t="n"/>
      <c r="Q410" s="51" t="n"/>
    </row>
    <row r="411">
      <c r="B411" s="51" t="n"/>
      <c r="C411" s="51" t="n"/>
      <c r="D411" s="51" t="n"/>
      <c r="E411" s="51" t="n"/>
      <c r="F411" s="51" t="n"/>
      <c r="G411" s="51" t="n"/>
      <c r="H411" s="51" t="n"/>
      <c r="I411" s="51" t="n"/>
      <c r="J411" s="51" t="n"/>
      <c r="K411" s="51" t="n"/>
      <c r="L411" s="51" t="n"/>
      <c r="M411" s="51" t="n"/>
      <c r="N411" s="51" t="n"/>
      <c r="O411" s="51" t="n"/>
      <c r="P411" s="51" t="n"/>
      <c r="Q411" s="51" t="n"/>
    </row>
    <row r="412">
      <c r="B412" s="51" t="n"/>
      <c r="C412" s="51" t="n"/>
      <c r="D412" s="51" t="n"/>
      <c r="E412" s="51" t="n"/>
      <c r="F412" s="51" t="n"/>
      <c r="G412" s="51" t="n"/>
      <c r="H412" s="51" t="n"/>
      <c r="I412" s="51" t="n"/>
      <c r="J412" s="51" t="n"/>
      <c r="K412" s="51" t="n"/>
      <c r="L412" s="51" t="n"/>
      <c r="M412" s="51" t="n"/>
      <c r="N412" s="51" t="n"/>
      <c r="O412" s="51" t="n"/>
      <c r="P412" s="51" t="n"/>
      <c r="Q412" s="51" t="n"/>
    </row>
    <row r="413">
      <c r="B413" s="51" t="n"/>
      <c r="C413" s="51" t="n"/>
      <c r="D413" s="51" t="n"/>
      <c r="E413" s="51" t="n"/>
      <c r="F413" s="51" t="n"/>
      <c r="G413" s="51" t="n"/>
      <c r="H413" s="51" t="n"/>
      <c r="I413" s="51" t="n"/>
      <c r="J413" s="51" t="n"/>
      <c r="K413" s="51" t="n"/>
      <c r="L413" s="51" t="n"/>
      <c r="M413" s="51" t="n"/>
      <c r="N413" s="51" t="n"/>
      <c r="O413" s="51" t="n"/>
      <c r="P413" s="51" t="n"/>
      <c r="Q413" s="51" t="n"/>
    </row>
    <row r="414">
      <c r="B414" s="51" t="n"/>
      <c r="C414" s="51" t="n"/>
      <c r="D414" s="51" t="n"/>
      <c r="E414" s="51" t="n"/>
      <c r="F414" s="51" t="n"/>
      <c r="G414" s="51" t="n"/>
      <c r="H414" s="51" t="n"/>
      <c r="I414" s="51" t="n"/>
      <c r="J414" s="51" t="n"/>
      <c r="K414" s="51" t="n"/>
      <c r="L414" s="51" t="n"/>
      <c r="M414" s="51" t="n"/>
      <c r="N414" s="51" t="n"/>
      <c r="O414" s="51" t="n"/>
      <c r="P414" s="51" t="n"/>
      <c r="Q414" s="51" t="n"/>
    </row>
    <row r="415">
      <c r="B415" s="51" t="n"/>
      <c r="C415" s="51" t="n"/>
      <c r="D415" s="51" t="n"/>
      <c r="E415" s="51" t="n"/>
      <c r="F415" s="51" t="n"/>
      <c r="G415" s="51" t="n"/>
      <c r="H415" s="51" t="n"/>
      <c r="I415" s="51" t="n"/>
      <c r="J415" s="51" t="n"/>
      <c r="K415" s="51" t="n"/>
      <c r="L415" s="51" t="n"/>
      <c r="M415" s="51" t="n"/>
      <c r="N415" s="51" t="n"/>
      <c r="O415" s="51" t="n"/>
      <c r="P415" s="51" t="n"/>
      <c r="Q415" s="51" t="n"/>
    </row>
    <row r="416">
      <c r="B416" s="51" t="n"/>
      <c r="C416" s="51" t="n"/>
      <c r="D416" s="51" t="n"/>
      <c r="E416" s="51" t="n"/>
      <c r="F416" s="51" t="n"/>
      <c r="G416" s="51" t="n"/>
      <c r="H416" s="51" t="n"/>
      <c r="I416" s="51" t="n"/>
      <c r="J416" s="51" t="n"/>
      <c r="K416" s="51" t="n"/>
      <c r="L416" s="51" t="n"/>
      <c r="M416" s="51" t="n"/>
      <c r="N416" s="51" t="n"/>
      <c r="O416" s="51" t="n"/>
      <c r="P416" s="51" t="n"/>
      <c r="Q416" s="51" t="n"/>
    </row>
    <row r="417">
      <c r="B417" s="51" t="n"/>
      <c r="C417" s="51" t="n"/>
      <c r="D417" s="51" t="n"/>
      <c r="E417" s="51" t="n"/>
      <c r="F417" s="51" t="n"/>
      <c r="G417" s="51" t="n"/>
      <c r="H417" s="51" t="n"/>
      <c r="I417" s="51" t="n"/>
      <c r="J417" s="51" t="n"/>
      <c r="K417" s="51" t="n"/>
      <c r="L417" s="51" t="n"/>
      <c r="M417" s="51" t="n"/>
      <c r="N417" s="51" t="n"/>
      <c r="O417" s="51" t="n"/>
      <c r="P417" s="51" t="n"/>
      <c r="Q417" s="51" t="n"/>
    </row>
    <row r="418">
      <c r="B418" s="51" t="n"/>
      <c r="C418" s="51" t="n"/>
      <c r="D418" s="51" t="n"/>
      <c r="E418" s="51" t="n"/>
      <c r="F418" s="51" t="n"/>
      <c r="G418" s="51" t="n"/>
      <c r="H418" s="51" t="n"/>
      <c r="I418" s="51" t="n"/>
      <c r="J418" s="51" t="n"/>
      <c r="K418" s="51" t="n"/>
      <c r="L418" s="51" t="n"/>
      <c r="M418" s="51" t="n"/>
      <c r="N418" s="51" t="n"/>
      <c r="O418" s="51" t="n"/>
      <c r="P418" s="51" t="n"/>
      <c r="Q418" s="51" t="n"/>
    </row>
    <row r="419">
      <c r="B419" s="51" t="n"/>
      <c r="C419" s="51" t="n"/>
      <c r="D419" s="51" t="n"/>
      <c r="E419" s="51" t="n"/>
      <c r="F419" s="51" t="n"/>
      <c r="G419" s="51" t="n"/>
      <c r="H419" s="51" t="n"/>
      <c r="I419" s="51" t="n"/>
      <c r="J419" s="51" t="n"/>
      <c r="K419" s="51" t="n"/>
      <c r="L419" s="51" t="n"/>
      <c r="M419" s="51" t="n"/>
      <c r="N419" s="51" t="n"/>
      <c r="O419" s="51" t="n"/>
      <c r="P419" s="51" t="n"/>
      <c r="Q419" s="51" t="n"/>
    </row>
    <row r="420">
      <c r="B420" s="51" t="n"/>
      <c r="C420" s="51" t="n"/>
      <c r="D420" s="51" t="n"/>
      <c r="E420" s="51" t="n"/>
      <c r="F420" s="51" t="n"/>
      <c r="G420" s="51" t="n"/>
      <c r="H420" s="51" t="n"/>
      <c r="I420" s="51" t="n"/>
      <c r="J420" s="51" t="n"/>
      <c r="K420" s="51" t="n"/>
      <c r="L420" s="51" t="n"/>
      <c r="M420" s="51" t="n"/>
      <c r="N420" s="51" t="n"/>
      <c r="O420" s="51" t="n"/>
      <c r="P420" s="51" t="n"/>
      <c r="Q420" s="51" t="n"/>
    </row>
    <row r="421">
      <c r="B421" s="51" t="n"/>
      <c r="C421" s="51" t="n"/>
      <c r="D421" s="51" t="n"/>
      <c r="E421" s="51" t="n"/>
      <c r="F421" s="51" t="n"/>
      <c r="G421" s="51" t="n"/>
      <c r="H421" s="51" t="n"/>
      <c r="I421" s="51" t="n"/>
      <c r="J421" s="51" t="n"/>
      <c r="K421" s="51" t="n"/>
      <c r="L421" s="51" t="n"/>
      <c r="M421" s="51" t="n"/>
      <c r="N421" s="51" t="n"/>
      <c r="O421" s="51" t="n"/>
      <c r="P421" s="51" t="n"/>
      <c r="Q421" s="51" t="n"/>
    </row>
    <row r="422">
      <c r="B422" s="51" t="n"/>
      <c r="C422" s="51" t="n"/>
      <c r="D422" s="51" t="n"/>
      <c r="E422" s="51" t="n"/>
      <c r="F422" s="51" t="n"/>
      <c r="G422" s="51" t="n"/>
      <c r="H422" s="51" t="n"/>
      <c r="I422" s="51" t="n"/>
      <c r="J422" s="51" t="n"/>
      <c r="K422" s="51" t="n"/>
      <c r="L422" s="51" t="n"/>
      <c r="M422" s="51" t="n"/>
      <c r="N422" s="51" t="n"/>
      <c r="O422" s="51" t="n"/>
      <c r="P422" s="51" t="n"/>
      <c r="Q422" s="51" t="n"/>
    </row>
    <row r="423">
      <c r="B423" s="51" t="n"/>
      <c r="C423" s="51" t="n"/>
      <c r="D423" s="51" t="n"/>
      <c r="E423" s="51" t="n"/>
      <c r="F423" s="51" t="n"/>
      <c r="G423" s="51" t="n"/>
      <c r="H423" s="51" t="n"/>
      <c r="I423" s="51" t="n"/>
      <c r="J423" s="51" t="n"/>
      <c r="K423" s="51" t="n"/>
      <c r="L423" s="51" t="n"/>
      <c r="M423" s="51" t="n"/>
      <c r="N423" s="51" t="n"/>
      <c r="O423" s="51" t="n"/>
      <c r="P423" s="51" t="n"/>
      <c r="Q423" s="51" t="n"/>
    </row>
    <row r="424">
      <c r="B424" s="51" t="n"/>
      <c r="C424" s="51" t="n"/>
      <c r="D424" s="51" t="n"/>
      <c r="E424" s="51" t="n"/>
      <c r="F424" s="51" t="n"/>
      <c r="G424" s="51" t="n"/>
      <c r="H424" s="51" t="n"/>
      <c r="I424" s="51" t="n"/>
      <c r="J424" s="51" t="n"/>
      <c r="K424" s="51" t="n"/>
      <c r="L424" s="51" t="n"/>
      <c r="M424" s="51" t="n"/>
      <c r="N424" s="51" t="n"/>
      <c r="O424" s="51" t="n"/>
      <c r="P424" s="51" t="n"/>
      <c r="Q424" s="51" t="n"/>
    </row>
    <row r="425">
      <c r="B425" s="51" t="n"/>
      <c r="C425" s="51" t="n"/>
      <c r="D425" s="51" t="n"/>
      <c r="E425" s="51" t="n"/>
      <c r="F425" s="51" t="n"/>
      <c r="G425" s="51" t="n"/>
      <c r="H425" s="51" t="n"/>
      <c r="I425" s="51" t="n"/>
      <c r="J425" s="51" t="n"/>
      <c r="K425" s="51" t="n"/>
      <c r="L425" s="51" t="n"/>
      <c r="M425" s="51" t="n"/>
      <c r="N425" s="51" t="n"/>
      <c r="O425" s="51" t="n"/>
      <c r="P425" s="51" t="n"/>
      <c r="Q425" s="51" t="n"/>
    </row>
    <row r="426">
      <c r="B426" s="51" t="n"/>
      <c r="C426" s="51" t="n"/>
      <c r="D426" s="51" t="n"/>
      <c r="E426" s="51" t="n"/>
      <c r="F426" s="51" t="n"/>
      <c r="G426" s="51" t="n"/>
      <c r="H426" s="51" t="n"/>
      <c r="I426" s="51" t="n"/>
      <c r="J426" s="51" t="n"/>
      <c r="K426" s="51" t="n"/>
      <c r="L426" s="51" t="n"/>
      <c r="M426" s="51" t="n"/>
      <c r="N426" s="51" t="n"/>
      <c r="O426" s="51" t="n"/>
      <c r="P426" s="51" t="n"/>
      <c r="Q426" s="51" t="n"/>
    </row>
    <row r="427">
      <c r="B427" s="51" t="n"/>
      <c r="C427" s="51" t="n"/>
      <c r="D427" s="51" t="n"/>
      <c r="E427" s="51" t="n"/>
      <c r="F427" s="51" t="n"/>
      <c r="G427" s="51" t="n"/>
      <c r="H427" s="51" t="n"/>
      <c r="I427" s="51" t="n"/>
      <c r="J427" s="51" t="n"/>
      <c r="K427" s="51" t="n"/>
      <c r="L427" s="51" t="n"/>
      <c r="M427" s="51" t="n"/>
      <c r="N427" s="51" t="n"/>
      <c r="O427" s="51" t="n"/>
      <c r="P427" s="51" t="n"/>
      <c r="Q427" s="51" t="n"/>
    </row>
    <row r="428">
      <c r="B428" s="51" t="n"/>
      <c r="C428" s="51" t="n"/>
      <c r="D428" s="51" t="n"/>
      <c r="E428" s="51" t="n"/>
      <c r="F428" s="51" t="n"/>
      <c r="G428" s="51" t="n"/>
      <c r="H428" s="51" t="n"/>
      <c r="I428" s="51" t="n"/>
      <c r="J428" s="51" t="n"/>
      <c r="K428" s="51" t="n"/>
      <c r="L428" s="51" t="n"/>
      <c r="M428" s="51" t="n"/>
      <c r="N428" s="51" t="n"/>
      <c r="O428" s="51" t="n"/>
      <c r="P428" s="51" t="n"/>
      <c r="Q428" s="51" t="n"/>
    </row>
    <row r="429">
      <c r="B429" s="51" t="n"/>
      <c r="C429" s="51" t="n"/>
      <c r="D429" s="51" t="n"/>
      <c r="E429" s="51" t="n"/>
      <c r="F429" s="51" t="n"/>
      <c r="G429" s="51" t="n"/>
      <c r="H429" s="51" t="n"/>
      <c r="I429" s="51" t="n"/>
      <c r="J429" s="51" t="n"/>
      <c r="K429" s="51" t="n"/>
      <c r="L429" s="51" t="n"/>
      <c r="M429" s="51" t="n"/>
      <c r="N429" s="51" t="n"/>
      <c r="O429" s="51" t="n"/>
      <c r="P429" s="51" t="n"/>
      <c r="Q429" s="51" t="n"/>
    </row>
    <row r="430">
      <c r="B430" s="51" t="n"/>
      <c r="C430" s="51" t="n"/>
      <c r="D430" s="51" t="n"/>
      <c r="E430" s="51" t="n"/>
      <c r="F430" s="51" t="n"/>
      <c r="G430" s="51" t="n"/>
      <c r="H430" s="51" t="n"/>
      <c r="I430" s="51" t="n"/>
      <c r="J430" s="51" t="n"/>
      <c r="K430" s="51" t="n"/>
      <c r="L430" s="51" t="n"/>
      <c r="M430" s="51" t="n"/>
      <c r="N430" s="51" t="n"/>
      <c r="O430" s="51" t="n"/>
      <c r="P430" s="51" t="n"/>
      <c r="Q430" s="51" t="n"/>
    </row>
    <row r="431">
      <c r="B431" s="51" t="n"/>
      <c r="C431" s="51" t="n"/>
      <c r="D431" s="51" t="n"/>
      <c r="E431" s="51" t="n"/>
      <c r="F431" s="51" t="n"/>
      <c r="G431" s="51" t="n"/>
      <c r="H431" s="51" t="n"/>
      <c r="I431" s="51" t="n"/>
      <c r="J431" s="51" t="n"/>
      <c r="K431" s="51" t="n"/>
      <c r="L431" s="51" t="n"/>
      <c r="M431" s="51" t="n"/>
      <c r="N431" s="51" t="n"/>
      <c r="O431" s="51" t="n"/>
      <c r="P431" s="51" t="n"/>
      <c r="Q431" s="51" t="n"/>
    </row>
    <row r="432">
      <c r="B432" s="51" t="n"/>
      <c r="C432" s="51" t="n"/>
      <c r="D432" s="51" t="n"/>
      <c r="E432" s="51" t="n"/>
      <c r="F432" s="51" t="n"/>
      <c r="G432" s="51" t="n"/>
      <c r="H432" s="51" t="n"/>
      <c r="I432" s="51" t="n"/>
      <c r="J432" s="51" t="n"/>
      <c r="K432" s="51" t="n"/>
      <c r="L432" s="51" t="n"/>
      <c r="M432" s="51" t="n"/>
      <c r="N432" s="51" t="n"/>
      <c r="O432" s="51" t="n"/>
      <c r="P432" s="51" t="n"/>
      <c r="Q432" s="51" t="n"/>
    </row>
    <row r="433">
      <c r="B433" s="51" t="n"/>
      <c r="C433" s="51" t="n"/>
      <c r="D433" s="51" t="n"/>
      <c r="E433" s="51" t="n"/>
      <c r="F433" s="51" t="n"/>
      <c r="G433" s="51" t="n"/>
      <c r="H433" s="51" t="n"/>
      <c r="I433" s="51" t="n"/>
      <c r="J433" s="51" t="n"/>
      <c r="K433" s="51" t="n"/>
      <c r="L433" s="51" t="n"/>
      <c r="M433" s="51" t="n"/>
      <c r="N433" s="51" t="n"/>
      <c r="O433" s="51" t="n"/>
      <c r="P433" s="51" t="n"/>
      <c r="Q433" s="51" t="n"/>
    </row>
    <row r="434">
      <c r="B434" s="51" t="n"/>
      <c r="C434" s="51" t="n"/>
      <c r="D434" s="51" t="n"/>
      <c r="E434" s="51" t="n"/>
      <c r="F434" s="51" t="n"/>
      <c r="G434" s="51" t="n"/>
      <c r="H434" s="51" t="n"/>
      <c r="I434" s="51" t="n"/>
      <c r="J434" s="51" t="n"/>
      <c r="K434" s="51" t="n"/>
      <c r="L434" s="51" t="n"/>
      <c r="M434" s="51" t="n"/>
      <c r="N434" s="51" t="n"/>
      <c r="O434" s="51" t="n"/>
      <c r="P434" s="51" t="n"/>
      <c r="Q434" s="51" t="n"/>
    </row>
    <row r="435">
      <c r="B435" s="51" t="n"/>
      <c r="C435" s="51" t="n"/>
      <c r="D435" s="51" t="n"/>
      <c r="E435" s="51" t="n"/>
      <c r="F435" s="51" t="n"/>
      <c r="G435" s="51" t="n"/>
      <c r="H435" s="51" t="n"/>
      <c r="I435" s="51" t="n"/>
      <c r="J435" s="51" t="n"/>
      <c r="K435" s="51" t="n"/>
      <c r="L435" s="51" t="n"/>
      <c r="M435" s="51" t="n"/>
      <c r="N435" s="51" t="n"/>
      <c r="O435" s="51" t="n"/>
      <c r="P435" s="51" t="n"/>
      <c r="Q435" s="51" t="n"/>
    </row>
    <row r="436">
      <c r="B436" s="51" t="n"/>
      <c r="C436" s="51" t="n"/>
      <c r="D436" s="51" t="n"/>
      <c r="E436" s="51" t="n"/>
      <c r="F436" s="51" t="n"/>
      <c r="G436" s="51" t="n"/>
      <c r="H436" s="51" t="n"/>
      <c r="I436" s="51" t="n"/>
      <c r="J436" s="51" t="n"/>
      <c r="K436" s="51" t="n"/>
      <c r="L436" s="51" t="n"/>
      <c r="M436" s="51" t="n"/>
      <c r="N436" s="51" t="n"/>
      <c r="O436" s="51" t="n"/>
      <c r="P436" s="51" t="n"/>
      <c r="Q436" s="51" t="n"/>
    </row>
    <row r="437">
      <c r="B437" s="51" t="n"/>
      <c r="C437" s="51" t="n"/>
      <c r="D437" s="51" t="n"/>
      <c r="E437" s="51" t="n"/>
      <c r="F437" s="51" t="n"/>
      <c r="G437" s="51" t="n"/>
      <c r="H437" s="51" t="n"/>
      <c r="I437" s="51" t="n"/>
      <c r="J437" s="51" t="n"/>
      <c r="K437" s="51" t="n"/>
      <c r="L437" s="51" t="n"/>
      <c r="M437" s="51" t="n"/>
      <c r="N437" s="51" t="n"/>
      <c r="O437" s="51" t="n"/>
      <c r="P437" s="51" t="n"/>
      <c r="Q437" s="51" t="n"/>
    </row>
    <row r="438">
      <c r="B438" s="51" t="n"/>
      <c r="C438" s="51" t="n"/>
      <c r="D438" s="51" t="n"/>
      <c r="E438" s="51" t="n"/>
      <c r="F438" s="51" t="n"/>
      <c r="G438" s="51" t="n"/>
      <c r="H438" s="51" t="n"/>
      <c r="I438" s="51" t="n"/>
      <c r="J438" s="51" t="n"/>
      <c r="K438" s="51" t="n"/>
      <c r="L438" s="51" t="n"/>
      <c r="M438" s="51" t="n"/>
      <c r="N438" s="51" t="n"/>
      <c r="O438" s="51" t="n"/>
      <c r="P438" s="51" t="n"/>
      <c r="Q438" s="51" t="n"/>
    </row>
    <row r="439">
      <c r="B439" s="51" t="n"/>
      <c r="C439" s="51" t="n"/>
      <c r="D439" s="51" t="n"/>
      <c r="E439" s="51" t="n"/>
      <c r="F439" s="51" t="n"/>
      <c r="G439" s="51" t="n"/>
      <c r="H439" s="51" t="n"/>
      <c r="I439" s="51" t="n"/>
      <c r="J439" s="51" t="n"/>
      <c r="K439" s="51" t="n"/>
      <c r="L439" s="51" t="n"/>
      <c r="M439" s="51" t="n"/>
      <c r="N439" s="51" t="n"/>
      <c r="O439" s="51" t="n"/>
      <c r="P439" s="51" t="n"/>
      <c r="Q439" s="51" t="n"/>
    </row>
    <row r="440">
      <c r="B440" s="51" t="n"/>
      <c r="C440" s="51" t="n"/>
      <c r="D440" s="51" t="n"/>
      <c r="E440" s="51" t="n"/>
      <c r="F440" s="51" t="n"/>
      <c r="G440" s="51" t="n"/>
      <c r="H440" s="51" t="n"/>
      <c r="I440" s="51" t="n"/>
      <c r="J440" s="51" t="n"/>
      <c r="K440" s="51" t="n"/>
      <c r="L440" s="51" t="n"/>
      <c r="M440" s="51" t="n"/>
      <c r="N440" s="51" t="n"/>
      <c r="O440" s="51" t="n"/>
      <c r="P440" s="51" t="n"/>
      <c r="Q440" s="51" t="n"/>
    </row>
    <row r="441">
      <c r="B441" s="51" t="n"/>
      <c r="C441" s="51" t="n"/>
      <c r="D441" s="51" t="n"/>
      <c r="E441" s="51" t="n"/>
      <c r="F441" s="51" t="n"/>
      <c r="G441" s="51" t="n"/>
      <c r="H441" s="51" t="n"/>
      <c r="I441" s="51" t="n"/>
      <c r="J441" s="51" t="n"/>
      <c r="K441" s="51" t="n"/>
      <c r="L441" s="51" t="n"/>
      <c r="M441" s="51" t="n"/>
      <c r="N441" s="51" t="n"/>
      <c r="O441" s="51" t="n"/>
      <c r="P441" s="51" t="n"/>
      <c r="Q441" s="51" t="n"/>
    </row>
    <row r="442">
      <c r="B442" s="51" t="n"/>
      <c r="C442" s="51" t="n"/>
      <c r="D442" s="51" t="n"/>
      <c r="E442" s="51" t="n"/>
      <c r="F442" s="51" t="n"/>
      <c r="G442" s="51" t="n"/>
      <c r="H442" s="51" t="n"/>
      <c r="I442" s="51" t="n"/>
      <c r="J442" s="51" t="n"/>
      <c r="K442" s="51" t="n"/>
      <c r="L442" s="51" t="n"/>
      <c r="M442" s="51" t="n"/>
      <c r="N442" s="51" t="n"/>
      <c r="O442" s="51" t="n"/>
      <c r="P442" s="51" t="n"/>
      <c r="Q442" s="51" t="n"/>
    </row>
    <row r="443">
      <c r="B443" s="51" t="n"/>
      <c r="C443" s="51" t="n"/>
      <c r="D443" s="51" t="n"/>
      <c r="E443" s="51" t="n"/>
      <c r="F443" s="51" t="n"/>
      <c r="G443" s="51" t="n"/>
      <c r="H443" s="51" t="n"/>
      <c r="I443" s="51" t="n"/>
      <c r="J443" s="51" t="n"/>
      <c r="K443" s="51" t="n"/>
      <c r="L443" s="51" t="n"/>
      <c r="M443" s="51" t="n"/>
      <c r="N443" s="51" t="n"/>
      <c r="O443" s="51" t="n"/>
      <c r="P443" s="51" t="n"/>
      <c r="Q443" s="51" t="n"/>
    </row>
    <row r="444">
      <c r="B444" s="51" t="n"/>
      <c r="C444" s="51" t="n"/>
      <c r="D444" s="51" t="n"/>
      <c r="E444" s="51" t="n"/>
      <c r="F444" s="51" t="n"/>
      <c r="G444" s="51" t="n"/>
      <c r="H444" s="51" t="n"/>
      <c r="I444" s="51" t="n"/>
      <c r="J444" s="51" t="n"/>
      <c r="K444" s="51" t="n"/>
      <c r="L444" s="51" t="n"/>
      <c r="M444" s="51" t="n"/>
      <c r="N444" s="51" t="n"/>
      <c r="O444" s="51" t="n"/>
      <c r="P444" s="51" t="n"/>
      <c r="Q444" s="51" t="n"/>
    </row>
    <row r="445">
      <c r="B445" s="51" t="n"/>
      <c r="C445" s="51" t="n"/>
      <c r="D445" s="51" t="n"/>
      <c r="E445" s="51" t="n"/>
      <c r="F445" s="51" t="n"/>
      <c r="G445" s="51" t="n"/>
      <c r="H445" s="51" t="n"/>
      <c r="I445" s="51" t="n"/>
      <c r="J445" s="51" t="n"/>
      <c r="K445" s="51" t="n"/>
      <c r="L445" s="51" t="n"/>
      <c r="M445" s="51" t="n"/>
      <c r="N445" s="51" t="n"/>
      <c r="O445" s="51" t="n"/>
      <c r="P445" s="51" t="n"/>
      <c r="Q445" s="51" t="n"/>
    </row>
    <row r="446">
      <c r="B446" s="51" t="n"/>
      <c r="C446" s="51" t="n"/>
      <c r="D446" s="51" t="n"/>
      <c r="E446" s="51" t="n"/>
      <c r="F446" s="51" t="n"/>
      <c r="G446" s="51" t="n"/>
      <c r="H446" s="51" t="n"/>
      <c r="I446" s="51" t="n"/>
      <c r="J446" s="51" t="n"/>
      <c r="K446" s="51" t="n"/>
      <c r="L446" s="51" t="n"/>
      <c r="M446" s="51" t="n"/>
      <c r="N446" s="51" t="n"/>
      <c r="O446" s="51" t="n"/>
      <c r="P446" s="51" t="n"/>
      <c r="Q446" s="51" t="n"/>
    </row>
    <row r="447">
      <c r="B447" s="51" t="n"/>
      <c r="C447" s="51" t="n"/>
      <c r="D447" s="51" t="n"/>
      <c r="E447" s="51" t="n"/>
      <c r="F447" s="51" t="n"/>
      <c r="G447" s="51" t="n"/>
      <c r="H447" s="51" t="n"/>
      <c r="I447" s="51" t="n"/>
      <c r="J447" s="51" t="n"/>
      <c r="K447" s="51" t="n"/>
      <c r="L447" s="51" t="n"/>
      <c r="M447" s="51" t="n"/>
      <c r="N447" s="51" t="n"/>
      <c r="O447" s="51" t="n"/>
      <c r="P447" s="51" t="n"/>
      <c r="Q447" s="51" t="n"/>
    </row>
    <row r="448">
      <c r="B448" s="51" t="n"/>
      <c r="C448" s="51" t="n"/>
      <c r="D448" s="51" t="n"/>
      <c r="E448" s="51" t="n"/>
      <c r="F448" s="51" t="n"/>
      <c r="G448" s="51" t="n"/>
      <c r="H448" s="51" t="n"/>
      <c r="I448" s="51" t="n"/>
      <c r="J448" s="51" t="n"/>
      <c r="K448" s="51" t="n"/>
      <c r="L448" s="51" t="n"/>
      <c r="M448" s="51" t="n"/>
      <c r="N448" s="51" t="n"/>
      <c r="O448" s="51" t="n"/>
      <c r="P448" s="51" t="n"/>
      <c r="Q448" s="51" t="n"/>
    </row>
    <row r="449">
      <c r="B449" s="51" t="n"/>
      <c r="C449" s="51" t="n"/>
      <c r="D449" s="51" t="n"/>
      <c r="E449" s="51" t="n"/>
      <c r="F449" s="51" t="n"/>
      <c r="G449" s="51" t="n"/>
      <c r="H449" s="51" t="n"/>
      <c r="I449" s="51" t="n"/>
      <c r="J449" s="51" t="n"/>
      <c r="K449" s="51" t="n"/>
      <c r="L449" s="51" t="n"/>
      <c r="M449" s="51" t="n"/>
      <c r="N449" s="51" t="n"/>
      <c r="O449" s="51" t="n"/>
      <c r="P449" s="51" t="n"/>
      <c r="Q449" s="51" t="n"/>
    </row>
    <row r="450">
      <c r="B450" s="51" t="n"/>
      <c r="C450" s="51" t="n"/>
      <c r="D450" s="51" t="n"/>
      <c r="E450" s="51" t="n"/>
      <c r="F450" s="51" t="n"/>
      <c r="G450" s="51" t="n"/>
      <c r="H450" s="51" t="n"/>
      <c r="I450" s="51" t="n"/>
      <c r="J450" s="51" t="n"/>
      <c r="K450" s="51" t="n"/>
      <c r="L450" s="51" t="n"/>
      <c r="M450" s="51" t="n"/>
      <c r="N450" s="51" t="n"/>
      <c r="O450" s="51" t="n"/>
      <c r="P450" s="51" t="n"/>
      <c r="Q450" s="51" t="n"/>
    </row>
    <row r="451">
      <c r="B451" s="51" t="n"/>
      <c r="C451" s="51" t="n"/>
      <c r="D451" s="51" t="n"/>
      <c r="E451" s="51" t="n"/>
      <c r="F451" s="51" t="n"/>
      <c r="G451" s="51" t="n"/>
      <c r="H451" s="51" t="n"/>
      <c r="I451" s="51" t="n"/>
      <c r="J451" s="51" t="n"/>
      <c r="K451" s="51" t="n"/>
      <c r="L451" s="51" t="n"/>
      <c r="M451" s="51" t="n"/>
      <c r="N451" s="51" t="n"/>
      <c r="O451" s="51" t="n"/>
      <c r="P451" s="51" t="n"/>
      <c r="Q451" s="51" t="n"/>
    </row>
    <row r="452">
      <c r="B452" s="51" t="n"/>
      <c r="C452" s="51" t="n"/>
      <c r="D452" s="51" t="n"/>
      <c r="E452" s="51" t="n"/>
      <c r="F452" s="51" t="n"/>
      <c r="G452" s="51" t="n"/>
      <c r="H452" s="51" t="n"/>
      <c r="I452" s="51" t="n"/>
      <c r="J452" s="51" t="n"/>
      <c r="K452" s="51" t="n"/>
      <c r="L452" s="51" t="n"/>
      <c r="M452" s="51" t="n"/>
      <c r="N452" s="51" t="n"/>
      <c r="O452" s="51" t="n"/>
      <c r="P452" s="51" t="n"/>
      <c r="Q452" s="51" t="n"/>
    </row>
    <row r="453">
      <c r="B453" s="51" t="n"/>
      <c r="C453" s="51" t="n"/>
      <c r="D453" s="51" t="n"/>
      <c r="E453" s="51" t="n"/>
      <c r="F453" s="51" t="n"/>
      <c r="G453" s="51" t="n"/>
      <c r="H453" s="51" t="n"/>
      <c r="I453" s="51" t="n"/>
      <c r="J453" s="51" t="n"/>
      <c r="K453" s="51" t="n"/>
      <c r="L453" s="51" t="n"/>
      <c r="M453" s="51" t="n"/>
      <c r="N453" s="51" t="n"/>
      <c r="O453" s="51" t="n"/>
      <c r="P453" s="51" t="n"/>
      <c r="Q453" s="51" t="n"/>
    </row>
    <row r="454">
      <c r="B454" s="51" t="n"/>
      <c r="C454" s="51" t="n"/>
      <c r="D454" s="51" t="n"/>
      <c r="E454" s="51" t="n"/>
      <c r="F454" s="51" t="n"/>
      <c r="G454" s="51" t="n"/>
      <c r="H454" s="51" t="n"/>
      <c r="I454" s="51" t="n"/>
      <c r="J454" s="51" t="n"/>
      <c r="K454" s="51" t="n"/>
      <c r="L454" s="51" t="n"/>
      <c r="M454" s="51" t="n"/>
      <c r="N454" s="51" t="n"/>
      <c r="O454" s="51" t="n"/>
      <c r="P454" s="51" t="n"/>
      <c r="Q454" s="51" t="n"/>
    </row>
    <row r="455">
      <c r="B455" s="51" t="n"/>
      <c r="C455" s="51" t="n"/>
      <c r="D455" s="51" t="n"/>
      <c r="E455" s="51" t="n"/>
      <c r="F455" s="51" t="n"/>
      <c r="G455" s="51" t="n"/>
      <c r="H455" s="51" t="n"/>
      <c r="I455" s="51" t="n"/>
      <c r="J455" s="51" t="n"/>
      <c r="K455" s="51" t="n"/>
      <c r="L455" s="51" t="n"/>
      <c r="M455" s="51" t="n"/>
      <c r="N455" s="51" t="n"/>
      <c r="O455" s="51" t="n"/>
      <c r="P455" s="51" t="n"/>
      <c r="Q455" s="51" t="n"/>
    </row>
    <row r="456">
      <c r="B456" s="51" t="n"/>
      <c r="C456" s="51" t="n"/>
      <c r="D456" s="51" t="n"/>
      <c r="E456" s="51" t="n"/>
      <c r="F456" s="51" t="n"/>
      <c r="G456" s="51" t="n"/>
      <c r="H456" s="51" t="n"/>
      <c r="I456" s="51" t="n"/>
      <c r="J456" s="51" t="n"/>
      <c r="K456" s="51" t="n"/>
      <c r="L456" s="51" t="n"/>
      <c r="M456" s="51" t="n"/>
      <c r="N456" s="51" t="n"/>
      <c r="O456" s="51" t="n"/>
      <c r="P456" s="51" t="n"/>
      <c r="Q456" s="51" t="n"/>
    </row>
    <row r="457">
      <c r="B457" s="51" t="n"/>
      <c r="C457" s="51" t="n"/>
      <c r="D457" s="51" t="n"/>
      <c r="E457" s="51" t="n"/>
      <c r="F457" s="51" t="n"/>
      <c r="G457" s="51" t="n"/>
      <c r="H457" s="51" t="n"/>
      <c r="I457" s="51" t="n"/>
      <c r="J457" s="51" t="n"/>
      <c r="K457" s="51" t="n"/>
      <c r="L457" s="51" t="n"/>
      <c r="M457" s="51" t="n"/>
      <c r="N457" s="51" t="n"/>
      <c r="O457" s="51" t="n"/>
      <c r="P457" s="51" t="n"/>
      <c r="Q457" s="51" t="n"/>
    </row>
    <row r="458">
      <c r="B458" s="51" t="n"/>
      <c r="C458" s="51" t="n"/>
      <c r="D458" s="51" t="n"/>
      <c r="E458" s="51" t="n"/>
      <c r="F458" s="51" t="n"/>
      <c r="G458" s="51" t="n"/>
      <c r="H458" s="51" t="n"/>
      <c r="I458" s="51" t="n"/>
      <c r="J458" s="51" t="n"/>
      <c r="K458" s="51" t="n"/>
      <c r="L458" s="51" t="n"/>
      <c r="M458" s="51" t="n"/>
      <c r="N458" s="51" t="n"/>
      <c r="O458" s="51" t="n"/>
      <c r="P458" s="51" t="n"/>
      <c r="Q458" s="51" t="n"/>
    </row>
    <row r="459">
      <c r="B459" s="51" t="n"/>
      <c r="C459" s="51" t="n"/>
      <c r="D459" s="51" t="n"/>
      <c r="E459" s="51" t="n"/>
      <c r="F459" s="51" t="n"/>
      <c r="G459" s="51" t="n"/>
      <c r="H459" s="51" t="n"/>
      <c r="I459" s="51" t="n"/>
      <c r="J459" s="51" t="n"/>
      <c r="K459" s="51" t="n"/>
      <c r="L459" s="51" t="n"/>
      <c r="M459" s="51" t="n"/>
      <c r="N459" s="51" t="n"/>
      <c r="O459" s="51" t="n"/>
      <c r="P459" s="51" t="n"/>
      <c r="Q459" s="51" t="n"/>
    </row>
    <row r="460">
      <c r="B460" s="51" t="n"/>
      <c r="C460" s="51" t="n"/>
      <c r="D460" s="51" t="n"/>
      <c r="E460" s="51" t="n"/>
      <c r="F460" s="51" t="n"/>
      <c r="G460" s="51" t="n"/>
      <c r="H460" s="51" t="n"/>
      <c r="I460" s="51" t="n"/>
      <c r="J460" s="51" t="n"/>
      <c r="K460" s="51" t="n"/>
      <c r="L460" s="51" t="n"/>
      <c r="M460" s="51" t="n"/>
      <c r="N460" s="51" t="n"/>
      <c r="O460" s="51" t="n"/>
      <c r="P460" s="51" t="n"/>
      <c r="Q460" s="51" t="n"/>
    </row>
    <row r="461">
      <c r="B461" s="51" t="n"/>
      <c r="C461" s="51" t="n"/>
      <c r="D461" s="51" t="n"/>
      <c r="E461" s="51" t="n"/>
      <c r="F461" s="51" t="n"/>
      <c r="G461" s="51" t="n"/>
      <c r="H461" s="51" t="n"/>
      <c r="I461" s="51" t="n"/>
      <c r="J461" s="51" t="n"/>
      <c r="K461" s="51" t="n"/>
      <c r="L461" s="51" t="n"/>
      <c r="M461" s="51" t="n"/>
      <c r="N461" s="51" t="n"/>
      <c r="O461" s="51" t="n"/>
      <c r="P461" s="51" t="n"/>
      <c r="Q461" s="51" t="n"/>
    </row>
    <row r="462">
      <c r="B462" s="51" t="n"/>
      <c r="C462" s="51" t="n"/>
      <c r="D462" s="51" t="n"/>
      <c r="E462" s="51" t="n"/>
      <c r="F462" s="51" t="n"/>
      <c r="G462" s="51" t="n"/>
      <c r="H462" s="51" t="n"/>
      <c r="I462" s="51" t="n"/>
      <c r="J462" s="51" t="n"/>
      <c r="K462" s="51" t="n"/>
      <c r="L462" s="51" t="n"/>
      <c r="M462" s="51" t="n"/>
      <c r="N462" s="51" t="n"/>
      <c r="O462" s="51" t="n"/>
      <c r="P462" s="51" t="n"/>
      <c r="Q462" s="51" t="n"/>
    </row>
    <row r="463">
      <c r="B463" s="51" t="n"/>
      <c r="C463" s="51" t="n"/>
      <c r="D463" s="51" t="n"/>
      <c r="E463" s="51" t="n"/>
      <c r="F463" s="51" t="n"/>
      <c r="G463" s="51" t="n"/>
      <c r="H463" s="51" t="n"/>
      <c r="I463" s="51" t="n"/>
      <c r="J463" s="51" t="n"/>
      <c r="K463" s="51" t="n"/>
      <c r="L463" s="51" t="n"/>
      <c r="M463" s="51" t="n"/>
      <c r="N463" s="51" t="n"/>
      <c r="O463" s="51" t="n"/>
      <c r="P463" s="51" t="n"/>
      <c r="Q463" s="51" t="n"/>
    </row>
    <row r="464">
      <c r="B464" s="51" t="n"/>
      <c r="C464" s="51" t="n"/>
      <c r="D464" s="51" t="n"/>
      <c r="E464" s="51" t="n"/>
      <c r="F464" s="51" t="n"/>
      <c r="G464" s="51" t="n"/>
      <c r="H464" s="51" t="n"/>
      <c r="I464" s="51" t="n"/>
      <c r="J464" s="51" t="n"/>
      <c r="K464" s="51" t="n"/>
      <c r="L464" s="51" t="n"/>
      <c r="M464" s="51" t="n"/>
      <c r="N464" s="51" t="n"/>
      <c r="O464" s="51" t="n"/>
      <c r="P464" s="51" t="n"/>
      <c r="Q464" s="51" t="n"/>
    </row>
    <row r="465">
      <c r="B465" s="51" t="n"/>
      <c r="C465" s="51" t="n"/>
      <c r="D465" s="51" t="n"/>
      <c r="E465" s="51" t="n"/>
      <c r="F465" s="51" t="n"/>
      <c r="G465" s="51" t="n"/>
      <c r="H465" s="51" t="n"/>
      <c r="I465" s="51" t="n"/>
      <c r="J465" s="51" t="n"/>
      <c r="K465" s="51" t="n"/>
      <c r="L465" s="51" t="n"/>
      <c r="M465" s="51" t="n"/>
      <c r="N465" s="51" t="n"/>
      <c r="O465" s="51" t="n"/>
      <c r="P465" s="51" t="n"/>
      <c r="Q465" s="51" t="n"/>
    </row>
    <row r="466">
      <c r="B466" s="51" t="n"/>
      <c r="C466" s="51" t="n"/>
      <c r="D466" s="51" t="n"/>
      <c r="E466" s="51" t="n"/>
      <c r="F466" s="51" t="n"/>
      <c r="G466" s="51" t="n"/>
      <c r="H466" s="51" t="n"/>
      <c r="I466" s="51" t="n"/>
      <c r="J466" s="51" t="n"/>
      <c r="K466" s="51" t="n"/>
      <c r="L466" s="51" t="n"/>
      <c r="M466" s="51" t="n"/>
      <c r="N466" s="51" t="n"/>
      <c r="O466" s="51" t="n"/>
      <c r="P466" s="51" t="n"/>
      <c r="Q466" s="51" t="n"/>
    </row>
    <row r="467">
      <c r="B467" s="51" t="n"/>
      <c r="C467" s="51" t="n"/>
      <c r="D467" s="51" t="n"/>
      <c r="E467" s="51" t="n"/>
      <c r="F467" s="51" t="n"/>
      <c r="G467" s="51" t="n"/>
      <c r="H467" s="51" t="n"/>
      <c r="I467" s="51" t="n"/>
      <c r="J467" s="51" t="n"/>
      <c r="K467" s="51" t="n"/>
      <c r="L467" s="51" t="n"/>
      <c r="M467" s="51" t="n"/>
      <c r="N467" s="51" t="n"/>
      <c r="O467" s="51" t="n"/>
      <c r="P467" s="51" t="n"/>
      <c r="Q467" s="51" t="n"/>
    </row>
    <row r="468">
      <c r="B468" s="51" t="n"/>
      <c r="C468" s="51" t="n"/>
      <c r="D468" s="51" t="n"/>
      <c r="E468" s="51" t="n"/>
      <c r="F468" s="51" t="n"/>
      <c r="G468" s="51" t="n"/>
      <c r="H468" s="51" t="n"/>
      <c r="I468" s="51" t="n"/>
      <c r="J468" s="51" t="n"/>
      <c r="K468" s="51" t="n"/>
      <c r="L468" s="51" t="n"/>
      <c r="M468" s="51" t="n"/>
      <c r="N468" s="51" t="n"/>
      <c r="O468" s="51" t="n"/>
      <c r="P468" s="51" t="n"/>
      <c r="Q468" s="51" t="n"/>
    </row>
    <row r="469">
      <c r="B469" s="51" t="n"/>
      <c r="C469" s="51" t="n"/>
      <c r="D469" s="51" t="n"/>
      <c r="E469" s="51" t="n"/>
      <c r="F469" s="51" t="n"/>
      <c r="G469" s="51" t="n"/>
      <c r="H469" s="51" t="n"/>
      <c r="I469" s="51" t="n"/>
      <c r="J469" s="51" t="n"/>
      <c r="K469" s="51" t="n"/>
      <c r="L469" s="51" t="n"/>
      <c r="M469" s="51" t="n"/>
      <c r="N469" s="51" t="n"/>
      <c r="O469" s="51" t="n"/>
      <c r="P469" s="51" t="n"/>
      <c r="Q469" s="51" t="n"/>
    </row>
    <row r="470">
      <c r="B470" s="51" t="n"/>
      <c r="C470" s="51" t="n"/>
      <c r="D470" s="51" t="n"/>
      <c r="E470" s="51" t="n"/>
      <c r="F470" s="51" t="n"/>
      <c r="G470" s="51" t="n"/>
      <c r="H470" s="51" t="n"/>
      <c r="I470" s="51" t="n"/>
      <c r="J470" s="51" t="n"/>
      <c r="K470" s="51" t="n"/>
      <c r="L470" s="51" t="n"/>
      <c r="M470" s="51" t="n"/>
      <c r="N470" s="51" t="n"/>
      <c r="O470" s="51" t="n"/>
      <c r="P470" s="51" t="n"/>
      <c r="Q470" s="51" t="n"/>
    </row>
    <row r="471">
      <c r="B471" s="51" t="n"/>
      <c r="C471" s="51" t="n"/>
      <c r="D471" s="51" t="n"/>
      <c r="E471" s="51" t="n"/>
      <c r="F471" s="51" t="n"/>
      <c r="G471" s="51" t="n"/>
      <c r="H471" s="51" t="n"/>
      <c r="I471" s="51" t="n"/>
      <c r="J471" s="51" t="n"/>
      <c r="K471" s="51" t="n"/>
      <c r="L471" s="51" t="n"/>
      <c r="M471" s="51" t="n"/>
      <c r="N471" s="51" t="n"/>
      <c r="O471" s="51" t="n"/>
      <c r="P471" s="51" t="n"/>
      <c r="Q471" s="51" t="n"/>
    </row>
    <row r="472">
      <c r="B472" s="51" t="n"/>
      <c r="C472" s="51" t="n"/>
      <c r="D472" s="51" t="n"/>
      <c r="E472" s="51" t="n"/>
      <c r="F472" s="51" t="n"/>
      <c r="G472" s="51" t="n"/>
      <c r="H472" s="51" t="n"/>
      <c r="I472" s="51" t="n"/>
      <c r="J472" s="51" t="n"/>
      <c r="K472" s="51" t="n"/>
      <c r="L472" s="51" t="n"/>
      <c r="M472" s="51" t="n"/>
      <c r="N472" s="51" t="n"/>
      <c r="O472" s="51" t="n"/>
      <c r="P472" s="51" t="n"/>
      <c r="Q472" s="51" t="n"/>
    </row>
    <row r="473">
      <c r="B473" s="51" t="n"/>
      <c r="C473" s="51" t="n"/>
      <c r="D473" s="51" t="n"/>
      <c r="E473" s="51" t="n"/>
      <c r="F473" s="51" t="n"/>
      <c r="G473" s="51" t="n"/>
      <c r="H473" s="51" t="n"/>
      <c r="I473" s="51" t="n"/>
      <c r="J473" s="51" t="n"/>
      <c r="K473" s="51" t="n"/>
      <c r="L473" s="51" t="n"/>
      <c r="M473" s="51" t="n"/>
      <c r="N473" s="51" t="n"/>
      <c r="O473" s="51" t="n"/>
      <c r="P473" s="51" t="n"/>
      <c r="Q473" s="51" t="n"/>
    </row>
    <row r="474">
      <c r="B474" s="51" t="n"/>
      <c r="C474" s="51" t="n"/>
      <c r="D474" s="51" t="n"/>
      <c r="E474" s="51" t="n"/>
      <c r="F474" s="51" t="n"/>
      <c r="G474" s="51" t="n"/>
      <c r="H474" s="51" t="n"/>
      <c r="I474" s="51" t="n"/>
      <c r="J474" s="51" t="n"/>
      <c r="K474" s="51" t="n"/>
      <c r="L474" s="51" t="n"/>
      <c r="M474" s="51" t="n"/>
      <c r="N474" s="51" t="n"/>
      <c r="O474" s="51" t="n"/>
      <c r="P474" s="51" t="n"/>
      <c r="Q474" s="51" t="n"/>
    </row>
    <row r="475">
      <c r="B475" s="51" t="n"/>
      <c r="C475" s="51" t="n"/>
      <c r="D475" s="51" t="n"/>
      <c r="E475" s="51" t="n"/>
      <c r="F475" s="51" t="n"/>
      <c r="G475" s="51" t="n"/>
      <c r="H475" s="51" t="n"/>
      <c r="I475" s="51" t="n"/>
      <c r="J475" s="51" t="n"/>
      <c r="K475" s="51" t="n"/>
      <c r="L475" s="51" t="n"/>
      <c r="M475" s="51" t="n"/>
      <c r="N475" s="51" t="n"/>
      <c r="O475" s="51" t="n"/>
      <c r="P475" s="51" t="n"/>
      <c r="Q475" s="51" t="n"/>
    </row>
    <row r="476">
      <c r="B476" s="51" t="n"/>
      <c r="C476" s="51" t="n"/>
      <c r="D476" s="51" t="n"/>
      <c r="E476" s="51" t="n"/>
      <c r="F476" s="51" t="n"/>
      <c r="G476" s="51" t="n"/>
      <c r="H476" s="51" t="n"/>
      <c r="I476" s="51" t="n"/>
      <c r="J476" s="51" t="n"/>
      <c r="K476" s="51" t="n"/>
      <c r="L476" s="51" t="n"/>
      <c r="M476" s="51" t="n"/>
      <c r="N476" s="51" t="n"/>
      <c r="O476" s="51" t="n"/>
      <c r="P476" s="51" t="n"/>
      <c r="Q476" s="51" t="n"/>
    </row>
    <row r="477">
      <c r="B477" s="51" t="n"/>
      <c r="C477" s="51" t="n"/>
      <c r="D477" s="51" t="n"/>
      <c r="E477" s="51" t="n"/>
      <c r="F477" s="51" t="n"/>
      <c r="G477" s="51" t="n"/>
      <c r="H477" s="51" t="n"/>
      <c r="I477" s="51" t="n"/>
      <c r="J477" s="51" t="n"/>
      <c r="K477" s="51" t="n"/>
      <c r="L477" s="51" t="n"/>
      <c r="M477" s="51" t="n"/>
      <c r="N477" s="51" t="n"/>
      <c r="O477" s="51" t="n"/>
      <c r="P477" s="51" t="n"/>
      <c r="Q477" s="51" t="n"/>
    </row>
    <row r="478">
      <c r="B478" s="51" t="n"/>
      <c r="C478" s="51" t="n"/>
      <c r="D478" s="51" t="n"/>
      <c r="E478" s="51" t="n"/>
      <c r="F478" s="51" t="n"/>
      <c r="G478" s="51" t="n"/>
      <c r="H478" s="51" t="n"/>
      <c r="I478" s="51" t="n"/>
      <c r="J478" s="51" t="n"/>
      <c r="K478" s="51" t="n"/>
      <c r="L478" s="51" t="n"/>
      <c r="M478" s="51" t="n"/>
      <c r="N478" s="51" t="n"/>
      <c r="O478" s="51" t="n"/>
      <c r="P478" s="51" t="n"/>
      <c r="Q478" s="51" t="n"/>
    </row>
    <row r="479">
      <c r="B479" s="51" t="n"/>
      <c r="C479" s="51" t="n"/>
      <c r="D479" s="51" t="n"/>
      <c r="E479" s="51" t="n"/>
      <c r="F479" s="51" t="n"/>
      <c r="G479" s="51" t="n"/>
      <c r="H479" s="51" t="n"/>
      <c r="I479" s="51" t="n"/>
      <c r="J479" s="51" t="n"/>
      <c r="K479" s="51" t="n"/>
      <c r="L479" s="51" t="n"/>
      <c r="M479" s="51" t="n"/>
      <c r="N479" s="51" t="n"/>
      <c r="O479" s="51" t="n"/>
      <c r="P479" s="51" t="n"/>
      <c r="Q479" s="51" t="n"/>
    </row>
    <row r="480">
      <c r="B480" s="51" t="n"/>
      <c r="C480" s="51" t="n"/>
      <c r="D480" s="51" t="n"/>
      <c r="E480" s="51" t="n"/>
      <c r="F480" s="51" t="n"/>
      <c r="G480" s="51" t="n"/>
      <c r="H480" s="51" t="n"/>
      <c r="I480" s="51" t="n"/>
      <c r="J480" s="51" t="n"/>
      <c r="K480" s="51" t="n"/>
      <c r="L480" s="51" t="n"/>
      <c r="M480" s="51" t="n"/>
      <c r="N480" s="51" t="n"/>
      <c r="O480" s="51" t="n"/>
      <c r="P480" s="51" t="n"/>
      <c r="Q480" s="51" t="n"/>
    </row>
    <row r="481">
      <c r="B481" s="51" t="n"/>
      <c r="C481" s="51" t="n"/>
      <c r="D481" s="51" t="n"/>
      <c r="E481" s="51" t="n"/>
      <c r="F481" s="51" t="n"/>
      <c r="G481" s="51" t="n"/>
      <c r="H481" s="51" t="n"/>
      <c r="I481" s="51" t="n"/>
      <c r="J481" s="51" t="n"/>
      <c r="K481" s="51" t="n"/>
      <c r="L481" s="51" t="n"/>
      <c r="M481" s="51" t="n"/>
      <c r="N481" s="51" t="n"/>
      <c r="O481" s="51" t="n"/>
      <c r="P481" s="51" t="n"/>
      <c r="Q481" s="51" t="n"/>
    </row>
    <row r="482">
      <c r="B482" s="51" t="n"/>
      <c r="C482" s="51" t="n"/>
      <c r="D482" s="51" t="n"/>
      <c r="E482" s="51" t="n"/>
      <c r="F482" s="51" t="n"/>
      <c r="G482" s="51" t="n"/>
      <c r="H482" s="51" t="n"/>
      <c r="I482" s="51" t="n"/>
      <c r="J482" s="51" t="n"/>
      <c r="K482" s="51" t="n"/>
      <c r="L482" s="51" t="n"/>
      <c r="M482" s="51" t="n"/>
      <c r="N482" s="51" t="n"/>
      <c r="O482" s="51" t="n"/>
      <c r="P482" s="51" t="n"/>
      <c r="Q482" s="51" t="n"/>
    </row>
    <row r="483">
      <c r="B483" s="51" t="n"/>
      <c r="C483" s="51" t="n"/>
      <c r="D483" s="51" t="n"/>
      <c r="E483" s="51" t="n"/>
      <c r="F483" s="51" t="n"/>
      <c r="G483" s="51" t="n"/>
      <c r="H483" s="51" t="n"/>
      <c r="I483" s="51" t="n"/>
      <c r="J483" s="51" t="n"/>
      <c r="K483" s="51" t="n"/>
      <c r="L483" s="51" t="n"/>
      <c r="M483" s="51" t="n"/>
      <c r="N483" s="51" t="n"/>
      <c r="O483" s="51" t="n"/>
      <c r="P483" s="51" t="n"/>
      <c r="Q483" s="51" t="n"/>
    </row>
    <row r="484">
      <c r="B484" s="51" t="n"/>
      <c r="C484" s="51" t="n"/>
      <c r="D484" s="51" t="n"/>
      <c r="E484" s="51" t="n"/>
      <c r="F484" s="51" t="n"/>
      <c r="G484" s="51" t="n"/>
      <c r="H484" s="51" t="n"/>
      <c r="I484" s="51" t="n"/>
      <c r="J484" s="51" t="n"/>
      <c r="K484" s="51" t="n"/>
      <c r="L484" s="51" t="n"/>
      <c r="M484" s="51" t="n"/>
      <c r="N484" s="51" t="n"/>
      <c r="O484" s="51" t="n"/>
      <c r="P484" s="51" t="n"/>
      <c r="Q484" s="51" t="n"/>
    </row>
    <row r="485">
      <c r="B485" s="51" t="n"/>
      <c r="C485" s="51" t="n"/>
      <c r="D485" s="51" t="n"/>
      <c r="E485" s="51" t="n"/>
      <c r="F485" s="51" t="n"/>
      <c r="G485" s="51" t="n"/>
      <c r="H485" s="51" t="n"/>
      <c r="I485" s="51" t="n"/>
      <c r="J485" s="51" t="n"/>
      <c r="K485" s="51" t="n"/>
      <c r="L485" s="51" t="n"/>
      <c r="M485" s="51" t="n"/>
      <c r="N485" s="51" t="n"/>
      <c r="O485" s="51" t="n"/>
      <c r="P485" s="51" t="n"/>
      <c r="Q485" s="51" t="n"/>
    </row>
    <row r="486">
      <c r="B486" s="51" t="n"/>
      <c r="C486" s="51" t="n"/>
      <c r="D486" s="51" t="n"/>
      <c r="E486" s="51" t="n"/>
      <c r="F486" s="51" t="n"/>
      <c r="G486" s="51" t="n"/>
      <c r="H486" s="51" t="n"/>
      <c r="I486" s="51" t="n"/>
      <c r="J486" s="51" t="n"/>
      <c r="K486" s="51" t="n"/>
      <c r="L486" s="51" t="n"/>
      <c r="M486" s="51" t="n"/>
      <c r="N486" s="51" t="n"/>
      <c r="O486" s="51" t="n"/>
      <c r="P486" s="51" t="n"/>
      <c r="Q486" s="51" t="n"/>
    </row>
    <row r="487">
      <c r="B487" s="51" t="n"/>
      <c r="C487" s="51" t="n"/>
      <c r="D487" s="51" t="n"/>
      <c r="E487" s="51" t="n"/>
      <c r="F487" s="51" t="n"/>
      <c r="G487" s="51" t="n"/>
      <c r="H487" s="51" t="n"/>
      <c r="I487" s="51" t="n"/>
      <c r="J487" s="51" t="n"/>
      <c r="K487" s="51" t="n"/>
      <c r="L487" s="51" t="n"/>
      <c r="M487" s="51" t="n"/>
      <c r="N487" s="51" t="n"/>
      <c r="O487" s="51" t="n"/>
      <c r="P487" s="51" t="n"/>
      <c r="Q487" s="51" t="n"/>
    </row>
    <row r="488">
      <c r="B488" s="51" t="n"/>
      <c r="C488" s="51" t="n"/>
      <c r="D488" s="51" t="n"/>
      <c r="E488" s="51" t="n"/>
      <c r="F488" s="51" t="n"/>
      <c r="G488" s="51" t="n"/>
      <c r="H488" s="51" t="n"/>
      <c r="I488" s="51" t="n"/>
      <c r="J488" s="51" t="n"/>
      <c r="K488" s="51" t="n"/>
      <c r="L488" s="51" t="n"/>
      <c r="M488" s="51" t="n"/>
      <c r="N488" s="51" t="n"/>
      <c r="O488" s="51" t="n"/>
      <c r="P488" s="51" t="n"/>
      <c r="Q488" s="51" t="n"/>
    </row>
    <row r="489">
      <c r="B489" s="51" t="n"/>
      <c r="C489" s="51" t="n"/>
      <c r="D489" s="51" t="n"/>
      <c r="E489" s="51" t="n"/>
      <c r="F489" s="51" t="n"/>
      <c r="G489" s="51" t="n"/>
      <c r="H489" s="51" t="n"/>
      <c r="I489" s="51" t="n"/>
      <c r="J489" s="51" t="n"/>
      <c r="K489" s="51" t="n"/>
      <c r="L489" s="51" t="n"/>
      <c r="M489" s="51" t="n"/>
      <c r="N489" s="51" t="n"/>
      <c r="O489" s="51" t="n"/>
      <c r="P489" s="51" t="n"/>
      <c r="Q489" s="51" t="n"/>
    </row>
    <row r="490">
      <c r="B490" s="51" t="n"/>
      <c r="C490" s="51" t="n"/>
      <c r="D490" s="51" t="n"/>
      <c r="E490" s="51" t="n"/>
      <c r="F490" s="51" t="n"/>
      <c r="G490" s="51" t="n"/>
      <c r="H490" s="51" t="n"/>
      <c r="I490" s="51" t="n"/>
      <c r="J490" s="51" t="n"/>
      <c r="K490" s="51" t="n"/>
      <c r="L490" s="51" t="n"/>
      <c r="M490" s="51" t="n"/>
      <c r="N490" s="51" t="n"/>
      <c r="O490" s="51" t="n"/>
      <c r="P490" s="51" t="n"/>
      <c r="Q490" s="51" t="n"/>
    </row>
    <row r="491">
      <c r="B491" s="51" t="n"/>
      <c r="C491" s="51" t="n"/>
      <c r="D491" s="51" t="n"/>
      <c r="E491" s="51" t="n"/>
      <c r="F491" s="51" t="n"/>
      <c r="G491" s="51" t="n"/>
      <c r="H491" s="51" t="n"/>
      <c r="I491" s="51" t="n"/>
      <c r="J491" s="51" t="n"/>
      <c r="K491" s="51" t="n"/>
      <c r="L491" s="51" t="n"/>
      <c r="M491" s="51" t="n"/>
      <c r="N491" s="51" t="n"/>
      <c r="O491" s="51" t="n"/>
      <c r="P491" s="51" t="n"/>
      <c r="Q491" s="51" t="n"/>
    </row>
    <row r="492">
      <c r="B492" s="51" t="n"/>
      <c r="C492" s="51" t="n"/>
      <c r="D492" s="51" t="n"/>
      <c r="E492" s="51" t="n"/>
      <c r="F492" s="51" t="n"/>
      <c r="G492" s="51" t="n"/>
      <c r="H492" s="51" t="n"/>
      <c r="I492" s="51" t="n"/>
      <c r="J492" s="51" t="n"/>
      <c r="K492" s="51" t="n"/>
      <c r="L492" s="51" t="n"/>
      <c r="M492" s="51" t="n"/>
      <c r="N492" s="51" t="n"/>
      <c r="O492" s="51" t="n"/>
      <c r="P492" s="51" t="n"/>
      <c r="Q492" s="51" t="n"/>
    </row>
    <row r="493">
      <c r="B493" s="51" t="n"/>
      <c r="C493" s="51" t="n"/>
      <c r="D493" s="51" t="n"/>
      <c r="E493" s="51" t="n"/>
      <c r="F493" s="51" t="n"/>
      <c r="G493" s="51" t="n"/>
      <c r="H493" s="51" t="n"/>
      <c r="I493" s="51" t="n"/>
      <c r="J493" s="51" t="n"/>
      <c r="K493" s="51" t="n"/>
      <c r="L493" s="51" t="n"/>
      <c r="M493" s="51" t="n"/>
      <c r="N493" s="51" t="n"/>
      <c r="O493" s="51" t="n"/>
      <c r="P493" s="51" t="n"/>
      <c r="Q493" s="51" t="n"/>
    </row>
    <row r="494">
      <c r="B494" s="51" t="n"/>
      <c r="C494" s="51" t="n"/>
      <c r="D494" s="51" t="n"/>
      <c r="E494" s="51" t="n"/>
      <c r="F494" s="51" t="n"/>
      <c r="G494" s="51" t="n"/>
      <c r="H494" s="51" t="n"/>
      <c r="I494" s="51" t="n"/>
      <c r="J494" s="51" t="n"/>
      <c r="K494" s="51" t="n"/>
      <c r="L494" s="51" t="n"/>
      <c r="M494" s="51" t="n"/>
      <c r="N494" s="51" t="n"/>
      <c r="O494" s="51" t="n"/>
      <c r="P494" s="51" t="n"/>
      <c r="Q494" s="51" t="n"/>
    </row>
    <row r="495">
      <c r="B495" s="51" t="n"/>
      <c r="C495" s="51" t="n"/>
      <c r="D495" s="51" t="n"/>
      <c r="E495" s="51" t="n"/>
      <c r="F495" s="51" t="n"/>
      <c r="G495" s="51" t="n"/>
      <c r="H495" s="51" t="n"/>
      <c r="I495" s="51" t="n"/>
      <c r="J495" s="51" t="n"/>
      <c r="K495" s="51" t="n"/>
      <c r="L495" s="51" t="n"/>
      <c r="M495" s="51" t="n"/>
      <c r="N495" s="51" t="n"/>
      <c r="O495" s="51" t="n"/>
      <c r="P495" s="51" t="n"/>
      <c r="Q495" s="51" t="n"/>
    </row>
    <row r="496">
      <c r="B496" s="51" t="n"/>
      <c r="C496" s="51" t="n"/>
      <c r="D496" s="51" t="n"/>
      <c r="E496" s="51" t="n"/>
      <c r="F496" s="51" t="n"/>
      <c r="G496" s="51" t="n"/>
      <c r="H496" s="51" t="n"/>
      <c r="I496" s="51" t="n"/>
      <c r="J496" s="51" t="n"/>
      <c r="K496" s="51" t="n"/>
      <c r="L496" s="51" t="n"/>
      <c r="M496" s="51" t="n"/>
      <c r="N496" s="51" t="n"/>
      <c r="O496" s="51" t="n"/>
      <c r="P496" s="51" t="n"/>
      <c r="Q496" s="51" t="n"/>
    </row>
    <row r="497">
      <c r="B497" s="51" t="n"/>
      <c r="C497" s="51" t="n"/>
      <c r="D497" s="51" t="n"/>
      <c r="E497" s="51" t="n"/>
      <c r="F497" s="51" t="n"/>
      <c r="G497" s="51" t="n"/>
      <c r="H497" s="51" t="n"/>
      <c r="I497" s="51" t="n"/>
      <c r="J497" s="51" t="n"/>
      <c r="K497" s="51" t="n"/>
      <c r="L497" s="51" t="n"/>
      <c r="M497" s="51" t="n"/>
      <c r="N497" s="51" t="n"/>
      <c r="O497" s="51" t="n"/>
      <c r="P497" s="51" t="n"/>
      <c r="Q497" s="51" t="n"/>
    </row>
    <row r="498">
      <c r="B498" s="51" t="n"/>
      <c r="C498" s="51" t="n"/>
      <c r="D498" s="51" t="n"/>
      <c r="E498" s="51" t="n"/>
      <c r="F498" s="51" t="n"/>
      <c r="G498" s="51" t="n"/>
      <c r="H498" s="51" t="n"/>
      <c r="I498" s="51" t="n"/>
      <c r="J498" s="51" t="n"/>
      <c r="K498" s="51" t="n"/>
      <c r="L498" s="51" t="n"/>
      <c r="M498" s="51" t="n"/>
      <c r="N498" s="51" t="n"/>
      <c r="O498" s="51" t="n"/>
      <c r="P498" s="51" t="n"/>
      <c r="Q498" s="51" t="n"/>
    </row>
    <row r="499">
      <c r="B499" s="51" t="n"/>
      <c r="C499" s="51" t="n"/>
      <c r="D499" s="51" t="n"/>
      <c r="E499" s="51" t="n"/>
      <c r="F499" s="51" t="n"/>
      <c r="G499" s="51" t="n"/>
      <c r="H499" s="51" t="n"/>
      <c r="I499" s="51" t="n"/>
      <c r="J499" s="51" t="n"/>
      <c r="K499" s="51" t="n"/>
      <c r="L499" s="51" t="n"/>
      <c r="M499" s="51" t="n"/>
      <c r="N499" s="51" t="n"/>
      <c r="O499" s="51" t="n"/>
      <c r="P499" s="51" t="n"/>
      <c r="Q499" s="51" t="n"/>
    </row>
    <row r="500">
      <c r="B500" s="51" t="n"/>
      <c r="C500" s="51" t="n"/>
      <c r="D500" s="51" t="n"/>
      <c r="E500" s="51" t="n"/>
      <c r="F500" s="51" t="n"/>
      <c r="G500" s="51" t="n"/>
      <c r="H500" s="51" t="n"/>
      <c r="I500" s="51" t="n"/>
      <c r="J500" s="51" t="n"/>
      <c r="K500" s="51" t="n"/>
      <c r="L500" s="51" t="n"/>
      <c r="M500" s="51" t="n"/>
      <c r="N500" s="51" t="n"/>
      <c r="O500" s="51" t="n"/>
      <c r="P500" s="51" t="n"/>
      <c r="Q500" s="51" t="n"/>
    </row>
    <row r="501">
      <c r="B501" s="51" t="n"/>
      <c r="C501" s="51" t="n"/>
      <c r="D501" s="51" t="n"/>
      <c r="E501" s="51" t="n"/>
      <c r="F501" s="51" t="n"/>
      <c r="G501" s="51" t="n"/>
      <c r="H501" s="51" t="n"/>
      <c r="I501" s="51" t="n"/>
      <c r="J501" s="51" t="n"/>
      <c r="K501" s="51" t="n"/>
      <c r="L501" s="51" t="n"/>
      <c r="M501" s="51" t="n"/>
      <c r="N501" s="51" t="n"/>
      <c r="O501" s="51" t="n"/>
      <c r="P501" s="51" t="n"/>
      <c r="Q501" s="51" t="n"/>
    </row>
    <row r="502">
      <c r="B502" s="51" t="n"/>
      <c r="C502" s="51" t="n"/>
      <c r="D502" s="51" t="n"/>
      <c r="E502" s="51" t="n"/>
      <c r="F502" s="51" t="n"/>
      <c r="G502" s="51" t="n"/>
      <c r="H502" s="51" t="n"/>
      <c r="I502" s="51" t="n"/>
      <c r="J502" s="51" t="n"/>
      <c r="K502" s="51" t="n"/>
      <c r="L502" s="51" t="n"/>
      <c r="M502" s="51" t="n"/>
      <c r="N502" s="51" t="n"/>
      <c r="O502" s="51" t="n"/>
      <c r="P502" s="51" t="n"/>
      <c r="Q502" s="51" t="n"/>
    </row>
    <row r="503">
      <c r="B503" s="51" t="n"/>
      <c r="C503" s="51" t="n"/>
      <c r="D503" s="51" t="n"/>
      <c r="E503" s="51" t="n"/>
      <c r="F503" s="51" t="n"/>
      <c r="G503" s="51" t="n"/>
      <c r="H503" s="51" t="n"/>
      <c r="I503" s="51" t="n"/>
      <c r="J503" s="51" t="n"/>
      <c r="K503" s="51" t="n"/>
      <c r="L503" s="51" t="n"/>
      <c r="M503" s="51" t="n"/>
      <c r="N503" s="51" t="n"/>
      <c r="O503" s="51" t="n"/>
      <c r="P503" s="51" t="n"/>
      <c r="Q503" s="51" t="n"/>
    </row>
    <row r="504">
      <c r="B504" s="51" t="n"/>
      <c r="C504" s="51" t="n"/>
      <c r="D504" s="51" t="n"/>
      <c r="E504" s="51" t="n"/>
      <c r="F504" s="51" t="n"/>
      <c r="G504" s="51" t="n"/>
      <c r="H504" s="51" t="n"/>
      <c r="I504" s="51" t="n"/>
      <c r="J504" s="51" t="n"/>
      <c r="K504" s="51" t="n"/>
      <c r="L504" s="51" t="n"/>
      <c r="M504" s="51" t="n"/>
      <c r="N504" s="51" t="n"/>
      <c r="O504" s="51" t="n"/>
      <c r="P504" s="51" t="n"/>
      <c r="Q504" s="51" t="n"/>
    </row>
    <row r="505">
      <c r="B505" s="51" t="n"/>
      <c r="C505" s="51" t="n"/>
      <c r="D505" s="51" t="n"/>
      <c r="E505" s="51" t="n"/>
      <c r="F505" s="51" t="n"/>
      <c r="G505" s="51" t="n"/>
      <c r="H505" s="51" t="n"/>
      <c r="I505" s="51" t="n"/>
      <c r="J505" s="51" t="n"/>
      <c r="K505" s="51" t="n"/>
      <c r="L505" s="51" t="n"/>
      <c r="M505" s="51" t="n"/>
      <c r="N505" s="51" t="n"/>
      <c r="O505" s="51" t="n"/>
      <c r="P505" s="51" t="n"/>
      <c r="Q505" s="51" t="n"/>
    </row>
    <row r="506">
      <c r="B506" s="51" t="n"/>
      <c r="C506" s="51" t="n"/>
      <c r="D506" s="51" t="n"/>
      <c r="E506" s="51" t="n"/>
      <c r="F506" s="51" t="n"/>
      <c r="G506" s="51" t="n"/>
      <c r="H506" s="51" t="n"/>
      <c r="I506" s="51" t="n"/>
      <c r="J506" s="51" t="n"/>
      <c r="K506" s="51" t="n"/>
      <c r="L506" s="51" t="n"/>
      <c r="M506" s="51" t="n"/>
      <c r="N506" s="51" t="n"/>
      <c r="O506" s="51" t="n"/>
      <c r="P506" s="51" t="n"/>
      <c r="Q506" s="51" t="n"/>
    </row>
    <row r="507">
      <c r="B507" s="51" t="n"/>
      <c r="C507" s="51" t="n"/>
      <c r="D507" s="51" t="n"/>
      <c r="E507" s="51" t="n"/>
      <c r="F507" s="51" t="n"/>
      <c r="G507" s="51" t="n"/>
      <c r="H507" s="51" t="n"/>
      <c r="I507" s="51" t="n"/>
      <c r="J507" s="51" t="n"/>
      <c r="K507" s="51" t="n"/>
      <c r="L507" s="51" t="n"/>
      <c r="M507" s="51" t="n"/>
      <c r="N507" s="51" t="n"/>
      <c r="O507" s="51" t="n"/>
      <c r="P507" s="51" t="n"/>
      <c r="Q507" s="51" t="n"/>
    </row>
    <row r="508">
      <c r="B508" s="51" t="n"/>
      <c r="C508" s="51" t="n"/>
      <c r="D508" s="51" t="n"/>
      <c r="E508" s="51" t="n"/>
      <c r="F508" s="51" t="n"/>
      <c r="G508" s="51" t="n"/>
      <c r="H508" s="51" t="n"/>
      <c r="I508" s="51" t="n"/>
      <c r="J508" s="51" t="n"/>
      <c r="K508" s="51" t="n"/>
      <c r="L508" s="51" t="n"/>
      <c r="M508" s="51" t="n"/>
      <c r="N508" s="51" t="n"/>
      <c r="O508" s="51" t="n"/>
      <c r="P508" s="51" t="n"/>
      <c r="Q508" s="51" t="n"/>
    </row>
    <row r="509">
      <c r="B509" s="51" t="n"/>
      <c r="C509" s="51" t="n"/>
      <c r="D509" s="51" t="n"/>
      <c r="E509" s="51" t="n"/>
      <c r="F509" s="51" t="n"/>
      <c r="G509" s="51" t="n"/>
      <c r="H509" s="51" t="n"/>
      <c r="I509" s="51" t="n"/>
      <c r="J509" s="51" t="n"/>
      <c r="K509" s="51" t="n"/>
      <c r="L509" s="51" t="n"/>
      <c r="M509" s="51" t="n"/>
      <c r="N509" s="51" t="n"/>
      <c r="O509" s="51" t="n"/>
      <c r="P509" s="51" t="n"/>
      <c r="Q509" s="51" t="n"/>
    </row>
    <row r="510">
      <c r="B510" s="51" t="n"/>
      <c r="C510" s="51" t="n"/>
      <c r="D510" s="51" t="n"/>
      <c r="E510" s="51" t="n"/>
      <c r="F510" s="51" t="n"/>
      <c r="G510" s="51" t="n"/>
      <c r="H510" s="51" t="n"/>
      <c r="I510" s="51" t="n"/>
      <c r="J510" s="51" t="n"/>
      <c r="K510" s="51" t="n"/>
      <c r="L510" s="51" t="n"/>
      <c r="M510" s="51" t="n"/>
      <c r="N510" s="51" t="n"/>
      <c r="O510" s="51" t="n"/>
      <c r="P510" s="51" t="n"/>
      <c r="Q510" s="51" t="n"/>
    </row>
    <row r="511">
      <c r="B511" s="51" t="n"/>
      <c r="C511" s="51" t="n"/>
      <c r="D511" s="51" t="n"/>
      <c r="E511" s="51" t="n"/>
      <c r="F511" s="51" t="n"/>
      <c r="G511" s="51" t="n"/>
      <c r="H511" s="51" t="n"/>
      <c r="I511" s="51" t="n"/>
      <c r="J511" s="51" t="n"/>
      <c r="K511" s="51" t="n"/>
      <c r="L511" s="51" t="n"/>
      <c r="M511" s="51" t="n"/>
      <c r="N511" s="51" t="n"/>
      <c r="O511" s="51" t="n"/>
      <c r="P511" s="51" t="n"/>
      <c r="Q511" s="51" t="n"/>
    </row>
    <row r="512">
      <c r="B512" s="51" t="n"/>
      <c r="C512" s="51" t="n"/>
      <c r="D512" s="51" t="n"/>
      <c r="E512" s="51" t="n"/>
      <c r="F512" s="51" t="n"/>
      <c r="G512" s="51" t="n"/>
      <c r="H512" s="51" t="n"/>
      <c r="I512" s="51" t="n"/>
      <c r="J512" s="51" t="n"/>
      <c r="K512" s="51" t="n"/>
      <c r="L512" s="51" t="n"/>
      <c r="M512" s="51" t="n"/>
      <c r="N512" s="51" t="n"/>
      <c r="O512" s="51" t="n"/>
      <c r="P512" s="51" t="n"/>
      <c r="Q512" s="51" t="n"/>
    </row>
    <row r="513">
      <c r="B513" s="51" t="n"/>
      <c r="C513" s="51" t="n"/>
      <c r="D513" s="51" t="n"/>
      <c r="E513" s="51" t="n"/>
      <c r="F513" s="51" t="n"/>
      <c r="G513" s="51" t="n"/>
      <c r="H513" s="51" t="n"/>
      <c r="I513" s="51" t="n"/>
      <c r="J513" s="51" t="n"/>
      <c r="K513" s="51" t="n"/>
      <c r="L513" s="51" t="n"/>
      <c r="M513" s="51" t="n"/>
      <c r="N513" s="51" t="n"/>
      <c r="O513" s="51" t="n"/>
      <c r="P513" s="51" t="n"/>
      <c r="Q513" s="51" t="n"/>
    </row>
    <row r="514">
      <c r="B514" s="51" t="n"/>
      <c r="C514" s="51" t="n"/>
      <c r="D514" s="51" t="n"/>
      <c r="E514" s="51" t="n"/>
      <c r="F514" s="51" t="n"/>
      <c r="G514" s="51" t="n"/>
      <c r="H514" s="51" t="n"/>
      <c r="I514" s="51" t="n"/>
      <c r="J514" s="51" t="n"/>
      <c r="K514" s="51" t="n"/>
      <c r="L514" s="51" t="n"/>
      <c r="M514" s="51" t="n"/>
      <c r="N514" s="51" t="n"/>
      <c r="O514" s="51" t="n"/>
      <c r="P514" s="51" t="n"/>
      <c r="Q514" s="51" t="n"/>
    </row>
    <row r="515">
      <c r="B515" s="51" t="n"/>
      <c r="C515" s="51" t="n"/>
      <c r="D515" s="51" t="n"/>
      <c r="E515" s="51" t="n"/>
      <c r="F515" s="51" t="n"/>
      <c r="G515" s="51" t="n"/>
      <c r="H515" s="51" t="n"/>
      <c r="I515" s="51" t="n"/>
      <c r="J515" s="51" t="n"/>
      <c r="K515" s="51" t="n"/>
      <c r="L515" s="51" t="n"/>
      <c r="M515" s="51" t="n"/>
      <c r="N515" s="51" t="n"/>
      <c r="O515" s="51" t="n"/>
      <c r="P515" s="51" t="n"/>
      <c r="Q515" s="51" t="n"/>
    </row>
    <row r="516">
      <c r="B516" s="51" t="n"/>
      <c r="C516" s="51" t="n"/>
      <c r="D516" s="51" t="n"/>
      <c r="E516" s="51" t="n"/>
      <c r="F516" s="51" t="n"/>
      <c r="G516" s="51" t="n"/>
      <c r="H516" s="51" t="n"/>
      <c r="I516" s="51" t="n"/>
      <c r="J516" s="51" t="n"/>
      <c r="K516" s="51" t="n"/>
      <c r="L516" s="51" t="n"/>
      <c r="M516" s="51" t="n"/>
      <c r="N516" s="51" t="n"/>
      <c r="O516" s="51" t="n"/>
      <c r="P516" s="51" t="n"/>
      <c r="Q516" s="51" t="n"/>
    </row>
    <row r="517">
      <c r="B517" s="51" t="n"/>
      <c r="C517" s="51" t="n"/>
      <c r="D517" s="51" t="n"/>
      <c r="E517" s="51" t="n"/>
      <c r="F517" s="51" t="n"/>
      <c r="G517" s="51" t="n"/>
      <c r="H517" s="51" t="n"/>
      <c r="I517" s="51" t="n"/>
      <c r="J517" s="51" t="n"/>
      <c r="K517" s="51" t="n"/>
      <c r="L517" s="51" t="n"/>
      <c r="M517" s="51" t="n"/>
      <c r="N517" s="51" t="n"/>
      <c r="O517" s="51" t="n"/>
      <c r="P517" s="51" t="n"/>
      <c r="Q517" s="51" t="n"/>
    </row>
  </sheetData>
  <mergeCells count="7">
    <mergeCell ref="B8:Q8"/>
    <mergeCell ref="B10:C10"/>
    <mergeCell ref="B4:Q4"/>
    <mergeCell ref="B6:Q6"/>
    <mergeCell ref="B7:Q7"/>
    <mergeCell ref="B3:Q3"/>
    <mergeCell ref="B5:Q5"/>
  </mergeCells>
  <conditionalFormatting sqref="E9">
    <cfRule type="cellIs" priority="1" operator="greaterThan" dxfId="5">
      <formula>0</formula>
    </cfRule>
  </conditionalFormatting>
  <conditionalFormatting sqref="D17:D517">
    <cfRule type="expression" priority="2" dxfId="6">
      <formula>AND(LEN($B17&amp;$C17&amp;$D17&amp;$E17&amp;$F17&amp;$G17&amp;$H17&amp;$I17&amp;$J17&amp;$K17&amp;$L17&amp;$M17&amp;$N17&amp;$O17&amp;$P17&amp;$Q17)&gt;0,D17="")</formula>
    </cfRule>
  </conditionalFormatting>
  <conditionalFormatting sqref="F17:F517">
    <cfRule type="expression" priority="3" dxfId="6">
      <formula>AND(LEN($B17&amp;$C17&amp;$D17&amp;$E17&amp;$F17&amp;$G17&amp;$H17&amp;$I17&amp;$J17&amp;$K17&amp;$L17&amp;$M17&amp;$N17&amp;$O17&amp;$P17&amp;$Q17)&gt;0,F17="")</formula>
    </cfRule>
  </conditionalFormatting>
  <conditionalFormatting sqref="G17:G517">
    <cfRule type="expression" priority="4" dxfId="6">
      <formula>AND(LEN($B17&amp;$C17&amp;$D17&amp;$E17&amp;$F17&amp;$G17&amp;$H17&amp;$I17&amp;$J17&amp;$K17&amp;$L17&amp;$M17&amp;$N17&amp;$O17&amp;$P17&amp;$Q17)&gt;0,G17="")</formula>
    </cfRule>
  </conditionalFormatting>
  <dataValidations count="1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ent Code" error="The code is not in D0-06, column Account Code. Enter it there first, or keep it if it is a code BIBS already holds." promptTitle="Parent Code" prompt="No. Code of the parent account; blank for a top-level group Allowed: A code of D0-06 Chart of accounts, column Account Code" type="list" errorStyle="warning">
      <formula1>=CODES_D0_06_ACCOUNT_CODE</formula1>
    </dataValidation>
    <dataValidation sqref="C17:C517" showDropDown="0" showInputMessage="1" showErrorMessage="0" allowBlank="1" promptTitle="Account Code" prompt="No. Account code; blank for the next number of the parent's scheme"/>
    <dataValidation sqref="D17:D517" showDropDown="0" showInputMessage="1" showErrorMessage="0" allowBlank="1" promptTitle="Account Name" prompt="Yes. Account name"/>
    <dataValidation sqref="E17:E517" showDropDown="0" showInputMessage="1" showErrorMessage="0" allowBlank="1" promptTitle="Short Code" prompt="No. Unique short code used on journal lines"/>
    <dataValidation sqref="F17:F517" showDropDown="0" showInputMessage="1" showErrorMessage="1" allowBlank="1" errorTitle="Class" error="Choose a value of the list Account class of the chart (sheet Reference lists)." promptTitle="Class" prompt="Yes. Class of the account Allowed: ASSET, LIABILITY, EQUITY, INCOME, EXPENSE, MEMORANDUM (list Account class of the chart)" type="list" errorStyle="stop">
      <formula1>=LIST_ACCOUNT_CLASS_CHART</formula1>
    </dataValidation>
    <dataValidation sqref="G17:G517" showDropDown="0" showInputMessage="1" showErrorMessage="1" allowBlank="1" errorTitle="Level" error="Choose a value of the list Account level (sheet Reference lists)." promptTitle="Level" prompt="Yes. Level of the account, one tier below the parent Allowed: GROUP, MAIN, SUB, MICRO (list Account level)" type="list" errorStyle="stop">
      <formula1>=LIST_ACCOUNT_LEVEL</formula1>
    </dataValidation>
    <dataValidation sqref="H17:H517" showDropDown="0" showInputMessage="1" showErrorMessage="1" allowBlank="1" errorTitle="Category" error="The code is not in D0-07, column Category code. Enter it there first, or keep it if it is a code BIBS already holds." promptTitle="Category" prompt="No. GL category Allowed: A code of D0-07 Account categories and numbering, column Category code" type="list" errorStyle="warning">
      <formula1>=CODES_D0_07_CATEGORY_CODE</formula1>
    </dataValidation>
    <dataValidation sqref="I17:I517" showDropDown="0" showInputMessage="1" showErrorMessage="1" allowBlank="1" errorTitle="Control Account" error="Choose a value of the list Yes or no (sheet Reference lists)." promptTitle="Control Account" prompt="No. Control account Allowed: Y or N" type="list" errorStyle="stop">
      <formula1>=LIST_YES_NO</formula1>
    </dataValidation>
    <dataValidation sqref="J17:J517" showDropDown="0" showInputMessage="1" showErrorMessage="0" allowBlank="1" promptTitle="Sub-ledger Type" prompt="No. Sub-ledger the account controls; blank for none"/>
    <dataValidation sqref="K17:K517" showDropDown="0" showInputMessage="1" showErrorMessage="0" allowBlank="1" promptTitle="Currencies" prompt="No. Currencies allowed on the account; blank for all"/>
    <dataValidation sqref="L17:L517" showDropDown="0" showInputMessage="1" showErrorMessage="1" allowBlank="1" errorTitle="Manual Posting" error="Choose a value of the list Yes or no (sheet Reference lists)." promptTitle="Manual Posting" prompt="No. Manual journals allowed; blank for Y Allowed: Y or N" type="list" errorStyle="stop">
      <formula1>=LIST_YES_NO</formula1>
    </dataValidation>
    <dataValidation sqref="M17:M517" showDropDown="0" showInputMessage="1" showErrorMessage="1" allowBlank="1" errorTitle="Cost Centre Required" error="Choose a value of the list Yes or no (sheet Reference lists)." promptTitle="Cost Centre Required" prompt="No. Cost centre mandatory on journal lines Allowed: Y or N" type="list" errorStyle="stop">
      <formula1>=LIST_YES_NO</formula1>
    </dataValidation>
    <dataValidation sqref="N17:N517" showDropDown="0" showInputMessage="1" showErrorMessage="1" allowBlank="1" errorTitle="Revaluation Required" error="Choose a value of the list Yes or no (sheet Reference lists)." promptTitle="Revaluation Required" prompt="No. Revalued at month end Allowed: Y or N" type="list" errorStyle="stop">
      <formula1>=LIST_YES_NO</formula1>
    </dataValidation>
    <dataValidation sqref="O17:O517" showDropDown="0" showInputMessage="1" showErrorMessage="0" allowBlank="1" promptTitle="Report Group" prompt="No. Financial statement line"/>
    <dataValidation sqref="P17:P517" showDropDown="0" showInputMessage="1" showErrorMessage="0" allowBlank="1" promptTitle="Opened On" prompt="No. Opening date; blank for today"/>
    <dataValidation sqref="Q17:Q517" showDropDown="0" showInputMessage="1" showErrorMessage="1" allowBlank="1" errorTitle="Negative Balance" error="Choose a value of the list Negative balance (sheet Reference lists)." promptTitle="Negative Balance" prompt="No. What a negative balance does; blank for ALLOW Allowed: ALLOW, WARN, BLOCK (list Negative balance)" type="list" errorStyle="stop">
      <formula1>=LIST_NEGATIVE_BALANCE</formula1>
    </dataValidation>
  </dataValidations>
  <hyperlinks>
    <hyperlink ref="A2" location="'Start here'!A1"/>
    <hyperlink ref="Q2" location="'Questions and comments'!A1"/>
    <hyperlink ref="B8" location="'D0-07 Categories and numbering'!A1"/>
    <hyperlink ref="B14" location="'D0-06 Chart of accounts'!C16"/>
    <hyperlink ref="F14" location="'Reference lists'!A191"/>
    <hyperlink ref="G14" location="'Reference lists'!A197"/>
    <hyperlink ref="H14" location="'D0-07 Categories and numbering'!C16"/>
    <hyperlink ref="Q14" location="'Reference lists'!A20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7" t="inlineStr">
        <is>
          <t>PM-01 Product catalogue</t>
        </is>
      </c>
      <c r="W1" s="28" t="inlineStr">
        <is>
          <t>Step 9 of 31</t>
        </is>
      </c>
    </row>
    <row r="2">
      <c r="A2" s="29" t="inlineStr">
        <is>
          <t>← Back to Start here</t>
        </is>
      </c>
      <c r="B2" s="30" t="inlineStr">
        <is>
          <t>Step 9 of 31. Fill in one row per record below the column headers; the guide above each column says what to enter.</t>
        </is>
      </c>
      <c r="W2" s="31" t="inlineStr">
        <is>
          <t>Ask a question →</t>
        </is>
      </c>
    </row>
    <row r="3" outlineLevel="1" ht="15.5" customHeight="1">
      <c r="A3" s="32" t="inlineStr">
        <is>
          <t>Purpose</t>
        </is>
      </c>
      <c r="B3" s="33" t="inlineStr">
        <is>
          <t>Product lines, cover types and subtypes, and every product (risk code) with its features</t>
        </is>
      </c>
    </row>
    <row r="4" outlineLevel="1" ht="15.5" customHeight="1">
      <c r="A4" s="32" t="inlineStr">
        <is>
          <t>Provided by</t>
        </is>
      </c>
      <c r="B4" s="33" t="inlineStr">
        <is>
          <t>Product Owner, Marketing Business System (MBS)</t>
        </is>
      </c>
    </row>
    <row r="5" outlineLevel="1" ht="15.5" customHeight="1">
      <c r="A5" s="32" t="inlineStr">
        <is>
          <t>Due</t>
        </is>
      </c>
      <c r="B5" s="34" t="inlineStr">
        <is>
          <t>9-Apr-2027 – Reference data for Trial migration 1 (M4)</t>
        </is>
      </c>
    </row>
    <row r="6" outlineLevel="1" ht="15.5" customHeight="1">
      <c r="A6" s="32" t="inlineStr">
        <is>
          <t>How it is loaded</t>
        </is>
      </c>
      <c r="B6" s="33" t="inlineStr">
        <is>
          <t>Data migration object R05 (product lines, cover types, products) through the catalogue services, pending authorisation; after go-live on Products (SCR-PM-11)</t>
        </is>
      </c>
    </row>
    <row r="7" outlineLevel="1" ht="15.5" customHeight="1">
      <c r="A7" s="32" t="inlineStr">
        <is>
          <t>Source</t>
        </is>
      </c>
      <c r="B7" s="33" t="inlineStr">
        <is>
          <t>Legacy QPS and EBIX product lists, completed by MBS</t>
        </is>
      </c>
    </row>
    <row r="8" outlineLevel="1" ht="26" customHeight="1">
      <c r="A8" s="32" t="inlineStr">
        <is>
          <t>Depends on</t>
        </is>
      </c>
      <c r="B8" s="55" t="inlineStr">
        <is>
          <t>PM-09 Lists of values and parameters →</t>
        </is>
      </c>
    </row>
    <row r="9" ht="26" customHeight="1">
      <c r="A9" s="36" t="inlineStr">
        <is>
          <t>Progress</t>
        </is>
      </c>
      <c r="B9" s="37" t="inlineStr">
        <is>
          <t>Rows entered</t>
        </is>
      </c>
      <c r="C9" s="38">
        <f>SUMPRODUCT(((ROW($B$17:$B$517)&gt;17)+($B$17&lt;&gt;"MOTOR")&gt;0)*(LEN($B$17:$B$517&amp;$C$17:$C$517&amp;$D$17:$D$517&amp;$E$17:$E$517&amp;$F$17:$F$517&amp;$G$17:$G$517&amp;$H$17:$H$517&amp;$I$17:$I$517&amp;$J$17:$J$517&amp;$K$17:$K$517&amp;$L$17:$L$517&amp;$M$17:$M$517&amp;$N$17:$N$517&amp;$O$17:$O$517&amp;$P$17:$P$517&amp;$Q$17:$Q$517&amp;$R$17:$R$517&amp;$S$17:$S$517&amp;$T$17:$T$517&amp;$U$17:$U$517&amp;$V$17:$V$517&amp;$W$17:$W$517)&gt;0))</f>
        <v/>
      </c>
      <c r="D9" s="37" t="inlineStr">
        <is>
          <t>Mandatory cells missing</t>
        </is>
      </c>
      <c r="E9" s="38">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c r="L11" s="42" t="n"/>
      <c r="M11" s="42" t="n"/>
      <c r="N11" s="42" t="n"/>
      <c r="O11" s="42" t="n"/>
      <c r="P11" s="42" t="n"/>
      <c r="Q11" s="42" t="n"/>
      <c r="R11" s="42" t="n"/>
      <c r="S11" s="42" t="n"/>
      <c r="T11" s="42" t="n"/>
      <c r="U11" s="42" t="n"/>
      <c r="V11" s="42" t="n"/>
      <c r="W11" s="42" t="n"/>
    </row>
    <row r="12" ht="30" customHeight="1">
      <c r="A12" s="43" t="inlineStr">
        <is>
          <t>Mandatory</t>
        </is>
      </c>
      <c r="B12" s="44" t="inlineStr">
        <is>
          <t>Yes</t>
        </is>
      </c>
      <c r="C12" s="44" t="inlineStr">
        <is>
          <t>Yes</t>
        </is>
      </c>
      <c r="D12" s="45" t="inlineStr">
        <is>
          <t>No</t>
        </is>
      </c>
      <c r="E12" s="45" t="inlineStr">
        <is>
          <t>Conditional: package products</t>
        </is>
      </c>
      <c r="F12" s="45" t="inlineStr">
        <is>
          <t>Conditional: with the code</t>
        </is>
      </c>
      <c r="G12" s="45" t="inlineStr">
        <is>
          <t>No</t>
        </is>
      </c>
      <c r="H12" s="44" t="inlineStr">
        <is>
          <t>Yes</t>
        </is>
      </c>
      <c r="I12" s="44" t="inlineStr">
        <is>
          <t>Yes</t>
        </is>
      </c>
      <c r="J12" s="45" t="inlineStr">
        <is>
          <t>No</t>
        </is>
      </c>
      <c r="K12" s="44" t="inlineStr">
        <is>
          <t>Yes</t>
        </is>
      </c>
      <c r="L12" s="45" t="inlineStr">
        <is>
          <t>No</t>
        </is>
      </c>
      <c r="M12" s="44" t="inlineStr">
        <is>
          <t>Yes</t>
        </is>
      </c>
      <c r="N12" s="45" t="inlineStr">
        <is>
          <t>No</t>
        </is>
      </c>
      <c r="O12" s="45" t="inlineStr">
        <is>
          <t>No</t>
        </is>
      </c>
      <c r="P12" s="44" t="inlineStr">
        <is>
          <t>Yes</t>
        </is>
      </c>
      <c r="Q12" s="44" t="inlineStr">
        <is>
          <t>Yes</t>
        </is>
      </c>
      <c r="R12" s="45" t="inlineStr">
        <is>
          <t>No</t>
        </is>
      </c>
      <c r="S12" s="45" t="inlineStr">
        <is>
          <t>No</t>
        </is>
      </c>
      <c r="T12" s="45" t="inlineStr">
        <is>
          <t>No</t>
        </is>
      </c>
      <c r="U12" s="45" t="inlineStr">
        <is>
          <t>No</t>
        </is>
      </c>
      <c r="V12" s="45" t="inlineStr">
        <is>
          <t>No</t>
        </is>
      </c>
      <c r="W12" s="45" t="inlineStr">
        <is>
          <t>No</t>
        </is>
      </c>
    </row>
    <row r="13" ht="30" customHeight="1">
      <c r="A13" s="43" t="inlineStr">
        <is>
          <t>Format</t>
        </is>
      </c>
      <c r="B13" s="45" t="inlineStr">
        <is>
          <t>Up to 30 capitals</t>
        </is>
      </c>
      <c r="C13" s="45" t="inlineStr">
        <is>
          <t>Text</t>
        </is>
      </c>
      <c r="D13" s="45" t="inlineStr">
        <is>
          <t>Regular expression</t>
        </is>
      </c>
      <c r="E13" s="45" t="inlineStr">
        <is>
          <t>Up to 30 capitals</t>
        </is>
      </c>
      <c r="F13" s="45" t="inlineStr">
        <is>
          <t>Text</t>
        </is>
      </c>
      <c r="G13" s="45" t="inlineStr">
        <is>
          <t>Cover type code</t>
        </is>
      </c>
      <c r="H13" s="45" t="inlineStr">
        <is>
          <t>1 to 20 capitals or digits</t>
        </is>
      </c>
      <c r="I13" s="45" t="inlineStr">
        <is>
          <t>Up to 200 characters</t>
        </is>
      </c>
      <c r="J13" s="45" t="inlineStr">
        <is>
          <t>Text</t>
        </is>
      </c>
      <c r="K13" s="45" t="inlineStr">
        <is>
          <t>Y or N</t>
        </is>
      </c>
      <c r="L13" s="45" t="inlineStr">
        <is>
          <t>Codes separated by commas; blank = all</t>
        </is>
      </c>
      <c r="M13" s="45" t="inlineStr">
        <is>
          <t>PAID or CLIENT_CONFIRMATION</t>
        </is>
      </c>
      <c r="N13" s="45" t="inlineStr">
        <is>
          <t>BY_RULES, ALWAYS or NEVER</t>
        </is>
      </c>
      <c r="O13" s="45" t="inlineStr">
        <is>
          <t>Up to four decimals</t>
        </is>
      </c>
      <c r="P13" s="45" t="inlineStr">
        <is>
          <t>Percentage</t>
        </is>
      </c>
      <c r="Q13" s="45" t="inlineStr">
        <is>
          <t>Amount in PHP</t>
        </is>
      </c>
      <c r="R13" s="45" t="inlineStr">
        <is>
          <t>Amount in PHP</t>
        </is>
      </c>
      <c r="S13" s="45" t="inlineStr">
        <is>
          <t>Y or N</t>
        </is>
      </c>
      <c r="T13" s="45" t="inlineStr">
        <is>
          <t>Y or N</t>
        </is>
      </c>
      <c r="U13" s="45" t="inlineStr">
        <is>
          <t>Y or N</t>
        </is>
      </c>
      <c r="V13" s="45" t="inlineStr">
        <is>
          <t>Y or N; 2 to 10 years</t>
        </is>
      </c>
      <c r="W13" s="45" t="inlineStr">
        <is>
          <t>Y or N</t>
        </is>
      </c>
    </row>
    <row r="14" ht="56" customHeight="1">
      <c r="A14" s="43" t="inlineStr">
        <is>
          <t>Allowed values</t>
        </is>
      </c>
      <c r="B14" s="45" t="inlineStr">
        <is>
          <t>Free entry, up to 30 characters</t>
        </is>
      </c>
      <c r="C14" s="45" t="inlineStr">
        <is>
          <t>Free entry</t>
        </is>
      </c>
      <c r="D14" s="45" t="inlineStr">
        <is>
          <t>Free entry</t>
        </is>
      </c>
      <c r="E14" s="45" t="inlineStr">
        <is>
          <t>Free entry, up to 30 characters</t>
        </is>
      </c>
      <c r="F14" s="45" t="inlineStr">
        <is>
          <t>Free entry</t>
        </is>
      </c>
      <c r="G14" s="53" t="inlineStr">
        <is>
          <t>A code of PM-01 Product catalogue, column Cover type code</t>
        </is>
      </c>
      <c r="H14" s="45" t="inlineStr">
        <is>
          <t>Free entry, up to 20 characters</t>
        </is>
      </c>
      <c r="I14" s="45" t="inlineStr">
        <is>
          <t>Free entry, up to 200 characters</t>
        </is>
      </c>
      <c r="J14" s="45" t="inlineStr">
        <is>
          <t>Free entry</t>
        </is>
      </c>
      <c r="K14" s="45" t="inlineStr">
        <is>
          <t>Y or N</t>
        </is>
      </c>
      <c r="L14" s="53" t="inlineStr">
        <is>
          <t>One or more codes of the list Market segment (Reference lists), separated by commas</t>
        </is>
      </c>
      <c r="M14" s="53" t="inlineStr">
        <is>
          <t>PAID, CLIENT_CONFIRMATION (list Placement after)</t>
        </is>
      </c>
      <c r="N14" s="53" t="inlineStr">
        <is>
          <t>BY_RULES, ALWAYS, NEVER (list TSU review)</t>
        </is>
      </c>
      <c r="O14" s="45" t="inlineStr">
        <is>
          <t>A number from 0 to 100</t>
        </is>
      </c>
      <c r="P14" s="45" t="inlineStr">
        <is>
          <t>A number from 0 to 100</t>
        </is>
      </c>
      <c r="Q14" s="45" t="inlineStr">
        <is>
          <t>A number</t>
        </is>
      </c>
      <c r="R14" s="45" t="inlineStr">
        <is>
          <t>A number</t>
        </is>
      </c>
      <c r="S14" s="45" t="inlineStr">
        <is>
          <t>Y or N</t>
        </is>
      </c>
      <c r="T14" s="45" t="inlineStr">
        <is>
          <t>Y or N</t>
        </is>
      </c>
      <c r="U14" s="45" t="inlineStr">
        <is>
          <t>Y or N</t>
        </is>
      </c>
      <c r="V14" s="45" t="inlineStr">
        <is>
          <t>Free entry</t>
        </is>
      </c>
      <c r="W14" s="45" t="inlineStr">
        <is>
          <t>Y or N</t>
        </is>
      </c>
    </row>
    <row r="15" ht="69" customHeight="1">
      <c r="A15" s="43" t="inlineStr">
        <is>
          <t>What to enter</t>
        </is>
      </c>
      <c r="B15" s="45" t="inlineStr">
        <is>
          <t>Product line (level 1), for example MOTOR, PROPERTY</t>
        </is>
      </c>
      <c r="C15" s="45" t="inlineStr">
        <is>
          <t>Name shown in the drop-downs</t>
        </is>
      </c>
      <c r="D15" s="45" t="inlineStr">
        <is>
          <t>Naming convention of the risk codes of the line, when BDOI states one</t>
        </is>
      </c>
      <c r="E15" s="45" t="inlineStr">
        <is>
          <t>Cover type (level 2) of the line</t>
        </is>
      </c>
      <c r="F15" s="45" t="inlineStr">
        <is>
          <t>Name of the cover type</t>
        </is>
      </c>
      <c r="G15" s="45" t="inlineStr">
        <is>
          <t>Only for a subtype (one level below a cover type)</t>
        </is>
      </c>
      <c r="H15" s="45" t="inlineStr">
        <is>
          <t>Product code (level 3); unique</t>
        </is>
      </c>
      <c r="I15" s="45" t="inlineStr">
        <is>
          <t>Name shown to users</t>
        </is>
      </c>
      <c r="J15" s="45" t="inlineStr">
        <is>
          <t>Code of the product in QPS or EBIX, for the migration map</t>
        </is>
      </c>
      <c r="K15" s="45" t="inlineStr">
        <is>
          <t>Y for a package product (terms change through versions)</t>
        </is>
      </c>
      <c r="L15" s="45" t="inlineStr">
        <is>
          <t>Segments the product is offered to (list MARKET_SEGMENT)</t>
        </is>
      </c>
      <c r="M15" s="45" t="inlineStr">
        <is>
          <t>Payment gate before placement</t>
        </is>
      </c>
      <c r="N15" s="45" t="inlineStr">
        <is>
          <t>When TSU reviews an account of the product</t>
        </is>
      </c>
      <c r="O15" s="45" t="inlineStr">
        <is>
          <t>Rate of a non-package product; for a package, of version 1</t>
        </is>
      </c>
      <c r="P15" s="45" t="inlineStr">
        <is>
          <t>Commission when no insurer rate applies</t>
        </is>
      </c>
      <c r="Q15" s="45" t="inlineStr">
        <is>
          <t>Minimum premium of the product</t>
        </is>
      </c>
      <c r="R15" s="45" t="inlineStr">
        <is>
          <t>Above it the account goes to TSU</t>
        </is>
      </c>
      <c r="S15" s="45" t="inlineStr">
        <is>
          <t>Several vehicles on one account</t>
        </is>
      </c>
      <c r="T15" s="45" t="inlineStr">
        <is>
          <t>Mortgage or loan related</t>
        </is>
      </c>
      <c r="U15" s="45" t="inlineStr">
        <is>
          <t>Premium may be paid directly to the insurer</t>
        </is>
      </c>
      <c r="V15" s="45" t="inlineStr">
        <is>
          <t>Multi-year term and its maximum</t>
        </is>
      </c>
      <c r="W15" s="45" t="inlineStr">
        <is>
          <t>Free First Year eligible</t>
        </is>
      </c>
    </row>
    <row r="16" ht="30" customHeight="1">
      <c r="A16" s="46" t="inlineStr">
        <is>
          <t>Row</t>
        </is>
      </c>
      <c r="B16" s="47" t="inlineStr">
        <is>
          <t>Line code *</t>
        </is>
      </c>
      <c r="C16" s="47" t="inlineStr">
        <is>
          <t>Line name *</t>
        </is>
      </c>
      <c r="D16" s="47" t="inlineStr">
        <is>
          <t>Risk-code pattern</t>
        </is>
      </c>
      <c r="E16" s="47" t="inlineStr">
        <is>
          <t>Cover type code</t>
        </is>
      </c>
      <c r="F16" s="47" t="inlineStr">
        <is>
          <t>Cover type name</t>
        </is>
      </c>
      <c r="G16" s="47" t="inlineStr">
        <is>
          <t>Parent cover type</t>
        </is>
      </c>
      <c r="H16" s="47" t="inlineStr">
        <is>
          <t>Risk code *</t>
        </is>
      </c>
      <c r="I16" s="47" t="inlineStr">
        <is>
          <t>Product name *</t>
        </is>
      </c>
      <c r="J16" s="47" t="inlineStr">
        <is>
          <t>Legacy code</t>
        </is>
      </c>
      <c r="K16" s="47" t="inlineStr">
        <is>
          <t>Package *</t>
        </is>
      </c>
      <c r="L16" s="47" t="inlineStr">
        <is>
          <t>Market segments</t>
        </is>
      </c>
      <c r="M16" s="47" t="inlineStr">
        <is>
          <t>Placement after *</t>
        </is>
      </c>
      <c r="N16" s="47" t="inlineStr">
        <is>
          <t>TSU review</t>
        </is>
      </c>
      <c r="O16" s="47" t="inlineStr">
        <is>
          <t>Default rate %</t>
        </is>
      </c>
      <c r="P16" s="47" t="inlineStr">
        <is>
          <t>Default commission % *</t>
        </is>
      </c>
      <c r="Q16" s="47" t="inlineStr">
        <is>
          <t>Minimum premium *</t>
        </is>
      </c>
      <c r="R16" s="47" t="inlineStr">
        <is>
          <t>Package TSI limit</t>
        </is>
      </c>
      <c r="S16" s="47" t="inlineStr">
        <is>
          <t>Fleet</t>
        </is>
      </c>
      <c r="T16" s="47" t="inlineStr">
        <is>
          <t>Mortgage related</t>
        </is>
      </c>
      <c r="U16" s="47" t="inlineStr">
        <is>
          <t>Direct payment allowed</t>
        </is>
      </c>
      <c r="V16" s="47" t="inlineStr">
        <is>
          <t>Multi-year / Maximum term</t>
        </is>
      </c>
      <c r="W16" s="47" t="inlineStr">
        <is>
          <t>Free First Year</t>
        </is>
      </c>
    </row>
    <row r="17" ht="18" customHeight="1">
      <c r="A17" s="48" t="inlineStr">
        <is>
          <t>Example – overwrite or delete</t>
        </is>
      </c>
      <c r="B17" s="49" t="inlineStr">
        <is>
          <t>MOTOR</t>
        </is>
      </c>
      <c r="C17" s="49" t="inlineStr">
        <is>
          <t>Motor</t>
        </is>
      </c>
      <c r="D17" s="49" t="inlineStr">
        <is>
          <t>MTR[0-9]{2}</t>
        </is>
      </c>
      <c r="E17" s="49" t="inlineStr">
        <is>
          <t>COMPREHENSIVE</t>
        </is>
      </c>
      <c r="F17" s="49" t="inlineStr">
        <is>
          <t>Comprehensive</t>
        </is>
      </c>
      <c r="G17" s="49" t="n"/>
      <c r="H17" s="49" t="inlineStr">
        <is>
          <t>MTR30</t>
        </is>
      </c>
      <c r="I17" s="49" t="inlineStr">
        <is>
          <t>Motor Fleet Plus</t>
        </is>
      </c>
      <c r="J17" s="49" t="inlineStr">
        <is>
          <t>QPS-MFP</t>
        </is>
      </c>
      <c r="K17" s="49" t="inlineStr">
        <is>
          <t>Y</t>
        </is>
      </c>
      <c r="L17" s="49" t="inlineStr">
        <is>
          <t>COMBANK</t>
        </is>
      </c>
      <c r="M17" s="49" t="inlineStr">
        <is>
          <t>PAID</t>
        </is>
      </c>
      <c r="N17" s="49" t="inlineStr">
        <is>
          <t>BY_RULES</t>
        </is>
      </c>
      <c r="O17" s="54" t="n">
        <v>1.2</v>
      </c>
      <c r="P17" s="54" t="n">
        <v>15</v>
      </c>
      <c r="Q17" s="54" t="n">
        <v>5000</v>
      </c>
      <c r="R17" s="54" t="n">
        <v>5000000</v>
      </c>
      <c r="S17" s="49" t="inlineStr">
        <is>
          <t>Y</t>
        </is>
      </c>
      <c r="T17" s="49" t="inlineStr">
        <is>
          <t>N</t>
        </is>
      </c>
      <c r="U17" s="49" t="inlineStr">
        <is>
          <t>N</t>
        </is>
      </c>
      <c r="V17" s="49" t="inlineStr">
        <is>
          <t>N</t>
        </is>
      </c>
      <c r="W17" s="49" t="inlineStr">
        <is>
          <t>N</t>
        </is>
      </c>
    </row>
    <row r="18">
      <c r="B18" s="51" t="n"/>
      <c r="C18" s="51" t="n"/>
      <c r="D18" s="51" t="n"/>
      <c r="E18" s="51" t="n"/>
      <c r="F18" s="51" t="n"/>
      <c r="G18" s="51" t="n"/>
      <c r="H18" s="51" t="n"/>
      <c r="I18" s="51" t="n"/>
      <c r="J18" s="51" t="n"/>
      <c r="K18" s="51" t="n"/>
      <c r="L18" s="51" t="n"/>
      <c r="M18" s="51" t="n"/>
      <c r="N18" s="51" t="n"/>
      <c r="S18" s="51" t="n"/>
      <c r="T18" s="51" t="n"/>
      <c r="U18" s="51" t="n"/>
      <c r="V18" s="51" t="n"/>
      <c r="W18" s="51" t="n"/>
    </row>
    <row r="19">
      <c r="B19" s="51" t="n"/>
      <c r="C19" s="51" t="n"/>
      <c r="D19" s="51" t="n"/>
      <c r="E19" s="51" t="n"/>
      <c r="F19" s="51" t="n"/>
      <c r="G19" s="51" t="n"/>
      <c r="H19" s="51" t="n"/>
      <c r="I19" s="51" t="n"/>
      <c r="J19" s="51" t="n"/>
      <c r="K19" s="51" t="n"/>
      <c r="L19" s="51" t="n"/>
      <c r="M19" s="51" t="n"/>
      <c r="N19" s="51" t="n"/>
      <c r="S19" s="51" t="n"/>
      <c r="T19" s="51" t="n"/>
      <c r="U19" s="51" t="n"/>
      <c r="V19" s="51" t="n"/>
      <c r="W19" s="51" t="n"/>
    </row>
    <row r="20">
      <c r="B20" s="51" t="n"/>
      <c r="C20" s="51" t="n"/>
      <c r="D20" s="51" t="n"/>
      <c r="E20" s="51" t="n"/>
      <c r="F20" s="51" t="n"/>
      <c r="G20" s="51" t="n"/>
      <c r="H20" s="51" t="n"/>
      <c r="I20" s="51" t="n"/>
      <c r="J20" s="51" t="n"/>
      <c r="K20" s="51" t="n"/>
      <c r="L20" s="51" t="n"/>
      <c r="M20" s="51" t="n"/>
      <c r="N20" s="51" t="n"/>
      <c r="S20" s="51" t="n"/>
      <c r="T20" s="51" t="n"/>
      <c r="U20" s="51" t="n"/>
      <c r="V20" s="51" t="n"/>
      <c r="W20" s="51" t="n"/>
    </row>
    <row r="21">
      <c r="B21" s="51" t="n"/>
      <c r="C21" s="51" t="n"/>
      <c r="D21" s="51" t="n"/>
      <c r="E21" s="51" t="n"/>
      <c r="F21" s="51" t="n"/>
      <c r="G21" s="51" t="n"/>
      <c r="H21" s="51" t="n"/>
      <c r="I21" s="51" t="n"/>
      <c r="J21" s="51" t="n"/>
      <c r="K21" s="51" t="n"/>
      <c r="L21" s="51" t="n"/>
      <c r="M21" s="51" t="n"/>
      <c r="N21" s="51" t="n"/>
      <c r="S21" s="51" t="n"/>
      <c r="T21" s="51" t="n"/>
      <c r="U21" s="51" t="n"/>
      <c r="V21" s="51" t="n"/>
      <c r="W21" s="51" t="n"/>
    </row>
    <row r="22">
      <c r="B22" s="51" t="n"/>
      <c r="C22" s="51" t="n"/>
      <c r="D22" s="51" t="n"/>
      <c r="E22" s="51" t="n"/>
      <c r="F22" s="51" t="n"/>
      <c r="G22" s="51" t="n"/>
      <c r="H22" s="51" t="n"/>
      <c r="I22" s="51" t="n"/>
      <c r="J22" s="51" t="n"/>
      <c r="K22" s="51" t="n"/>
      <c r="L22" s="51" t="n"/>
      <c r="M22" s="51" t="n"/>
      <c r="N22" s="51" t="n"/>
      <c r="S22" s="51" t="n"/>
      <c r="T22" s="51" t="n"/>
      <c r="U22" s="51" t="n"/>
      <c r="V22" s="51" t="n"/>
      <c r="W22" s="51" t="n"/>
    </row>
    <row r="23">
      <c r="B23" s="51" t="n"/>
      <c r="C23" s="51" t="n"/>
      <c r="D23" s="51" t="n"/>
      <c r="E23" s="51" t="n"/>
      <c r="F23" s="51" t="n"/>
      <c r="G23" s="51" t="n"/>
      <c r="H23" s="51" t="n"/>
      <c r="I23" s="51" t="n"/>
      <c r="J23" s="51" t="n"/>
      <c r="K23" s="51" t="n"/>
      <c r="L23" s="51" t="n"/>
      <c r="M23" s="51" t="n"/>
      <c r="N23" s="51" t="n"/>
      <c r="S23" s="51" t="n"/>
      <c r="T23" s="51" t="n"/>
      <c r="U23" s="51" t="n"/>
      <c r="V23" s="51" t="n"/>
      <c r="W23" s="51" t="n"/>
    </row>
    <row r="24">
      <c r="B24" s="51" t="n"/>
      <c r="C24" s="51" t="n"/>
      <c r="D24" s="51" t="n"/>
      <c r="E24" s="51" t="n"/>
      <c r="F24" s="51" t="n"/>
      <c r="G24" s="51" t="n"/>
      <c r="H24" s="51" t="n"/>
      <c r="I24" s="51" t="n"/>
      <c r="J24" s="51" t="n"/>
      <c r="K24" s="51" t="n"/>
      <c r="L24" s="51" t="n"/>
      <c r="M24" s="51" t="n"/>
      <c r="N24" s="51" t="n"/>
      <c r="S24" s="51" t="n"/>
      <c r="T24" s="51" t="n"/>
      <c r="U24" s="51" t="n"/>
      <c r="V24" s="51" t="n"/>
      <c r="W24" s="51" t="n"/>
    </row>
    <row r="25">
      <c r="B25" s="51" t="n"/>
      <c r="C25" s="51" t="n"/>
      <c r="D25" s="51" t="n"/>
      <c r="E25" s="51" t="n"/>
      <c r="F25" s="51" t="n"/>
      <c r="G25" s="51" t="n"/>
      <c r="H25" s="51" t="n"/>
      <c r="I25" s="51" t="n"/>
      <c r="J25" s="51" t="n"/>
      <c r="K25" s="51" t="n"/>
      <c r="L25" s="51" t="n"/>
      <c r="M25" s="51" t="n"/>
      <c r="N25" s="51" t="n"/>
      <c r="S25" s="51" t="n"/>
      <c r="T25" s="51" t="n"/>
      <c r="U25" s="51" t="n"/>
      <c r="V25" s="51" t="n"/>
      <c r="W25" s="51" t="n"/>
    </row>
    <row r="26">
      <c r="B26" s="51" t="n"/>
      <c r="C26" s="51" t="n"/>
      <c r="D26" s="51" t="n"/>
      <c r="E26" s="51" t="n"/>
      <c r="F26" s="51" t="n"/>
      <c r="G26" s="51" t="n"/>
      <c r="H26" s="51" t="n"/>
      <c r="I26" s="51" t="n"/>
      <c r="J26" s="51" t="n"/>
      <c r="K26" s="51" t="n"/>
      <c r="L26" s="51" t="n"/>
      <c r="M26" s="51" t="n"/>
      <c r="N26" s="51" t="n"/>
      <c r="S26" s="51" t="n"/>
      <c r="T26" s="51" t="n"/>
      <c r="U26" s="51" t="n"/>
      <c r="V26" s="51" t="n"/>
      <c r="W26" s="51" t="n"/>
    </row>
    <row r="27">
      <c r="B27" s="51" t="n"/>
      <c r="C27" s="51" t="n"/>
      <c r="D27" s="51" t="n"/>
      <c r="E27" s="51" t="n"/>
      <c r="F27" s="51" t="n"/>
      <c r="G27" s="51" t="n"/>
      <c r="H27" s="51" t="n"/>
      <c r="I27" s="51" t="n"/>
      <c r="J27" s="51" t="n"/>
      <c r="K27" s="51" t="n"/>
      <c r="L27" s="51" t="n"/>
      <c r="M27" s="51" t="n"/>
      <c r="N27" s="51" t="n"/>
      <c r="S27" s="51" t="n"/>
      <c r="T27" s="51" t="n"/>
      <c r="U27" s="51" t="n"/>
      <c r="V27" s="51" t="n"/>
      <c r="W27" s="51" t="n"/>
    </row>
    <row r="28">
      <c r="B28" s="51" t="n"/>
      <c r="C28" s="51" t="n"/>
      <c r="D28" s="51" t="n"/>
      <c r="E28" s="51" t="n"/>
      <c r="F28" s="51" t="n"/>
      <c r="G28" s="51" t="n"/>
      <c r="H28" s="51" t="n"/>
      <c r="I28" s="51" t="n"/>
      <c r="J28" s="51" t="n"/>
      <c r="K28" s="51" t="n"/>
      <c r="L28" s="51" t="n"/>
      <c r="M28" s="51" t="n"/>
      <c r="N28" s="51" t="n"/>
      <c r="S28" s="51" t="n"/>
      <c r="T28" s="51" t="n"/>
      <c r="U28" s="51" t="n"/>
      <c r="V28" s="51" t="n"/>
      <c r="W28" s="51" t="n"/>
    </row>
    <row r="29">
      <c r="B29" s="51" t="n"/>
      <c r="C29" s="51" t="n"/>
      <c r="D29" s="51" t="n"/>
      <c r="E29" s="51" t="n"/>
      <c r="F29" s="51" t="n"/>
      <c r="G29" s="51" t="n"/>
      <c r="H29" s="51" t="n"/>
      <c r="I29" s="51" t="n"/>
      <c r="J29" s="51" t="n"/>
      <c r="K29" s="51" t="n"/>
      <c r="L29" s="51" t="n"/>
      <c r="M29" s="51" t="n"/>
      <c r="N29" s="51" t="n"/>
      <c r="S29" s="51" t="n"/>
      <c r="T29" s="51" t="n"/>
      <c r="U29" s="51" t="n"/>
      <c r="V29" s="51" t="n"/>
      <c r="W29" s="51" t="n"/>
    </row>
    <row r="30">
      <c r="B30" s="51" t="n"/>
      <c r="C30" s="51" t="n"/>
      <c r="D30" s="51" t="n"/>
      <c r="E30" s="51" t="n"/>
      <c r="F30" s="51" t="n"/>
      <c r="G30" s="51" t="n"/>
      <c r="H30" s="51" t="n"/>
      <c r="I30" s="51" t="n"/>
      <c r="J30" s="51" t="n"/>
      <c r="K30" s="51" t="n"/>
      <c r="L30" s="51" t="n"/>
      <c r="M30" s="51" t="n"/>
      <c r="N30" s="51" t="n"/>
      <c r="S30" s="51" t="n"/>
      <c r="T30" s="51" t="n"/>
      <c r="U30" s="51" t="n"/>
      <c r="V30" s="51" t="n"/>
      <c r="W30" s="51" t="n"/>
    </row>
    <row r="31">
      <c r="B31" s="51" t="n"/>
      <c r="C31" s="51" t="n"/>
      <c r="D31" s="51" t="n"/>
      <c r="E31" s="51" t="n"/>
      <c r="F31" s="51" t="n"/>
      <c r="G31" s="51" t="n"/>
      <c r="H31" s="51" t="n"/>
      <c r="I31" s="51" t="n"/>
      <c r="J31" s="51" t="n"/>
      <c r="K31" s="51" t="n"/>
      <c r="L31" s="51" t="n"/>
      <c r="M31" s="51" t="n"/>
      <c r="N31" s="51" t="n"/>
      <c r="S31" s="51" t="n"/>
      <c r="T31" s="51" t="n"/>
      <c r="U31" s="51" t="n"/>
      <c r="V31" s="51" t="n"/>
      <c r="W31" s="51" t="n"/>
    </row>
    <row r="32">
      <c r="B32" s="51" t="n"/>
      <c r="C32" s="51" t="n"/>
      <c r="D32" s="51" t="n"/>
      <c r="E32" s="51" t="n"/>
      <c r="F32" s="51" t="n"/>
      <c r="G32" s="51" t="n"/>
      <c r="H32" s="51" t="n"/>
      <c r="I32" s="51" t="n"/>
      <c r="J32" s="51" t="n"/>
      <c r="K32" s="51" t="n"/>
      <c r="L32" s="51" t="n"/>
      <c r="M32" s="51" t="n"/>
      <c r="N32" s="51" t="n"/>
      <c r="S32" s="51" t="n"/>
      <c r="T32" s="51" t="n"/>
      <c r="U32" s="51" t="n"/>
      <c r="V32" s="51" t="n"/>
      <c r="W32" s="51" t="n"/>
    </row>
    <row r="33">
      <c r="B33" s="51" t="n"/>
      <c r="C33" s="51" t="n"/>
      <c r="D33" s="51" t="n"/>
      <c r="E33" s="51" t="n"/>
      <c r="F33" s="51" t="n"/>
      <c r="G33" s="51" t="n"/>
      <c r="H33" s="51" t="n"/>
      <c r="I33" s="51" t="n"/>
      <c r="J33" s="51" t="n"/>
      <c r="K33" s="51" t="n"/>
      <c r="L33" s="51" t="n"/>
      <c r="M33" s="51" t="n"/>
      <c r="N33" s="51" t="n"/>
      <c r="S33" s="51" t="n"/>
      <c r="T33" s="51" t="n"/>
      <c r="U33" s="51" t="n"/>
      <c r="V33" s="51" t="n"/>
      <c r="W33" s="51" t="n"/>
    </row>
    <row r="34">
      <c r="B34" s="51" t="n"/>
      <c r="C34" s="51" t="n"/>
      <c r="D34" s="51" t="n"/>
      <c r="E34" s="51" t="n"/>
      <c r="F34" s="51" t="n"/>
      <c r="G34" s="51" t="n"/>
      <c r="H34" s="51" t="n"/>
      <c r="I34" s="51" t="n"/>
      <c r="J34" s="51" t="n"/>
      <c r="K34" s="51" t="n"/>
      <c r="L34" s="51" t="n"/>
      <c r="M34" s="51" t="n"/>
      <c r="N34" s="51" t="n"/>
      <c r="S34" s="51" t="n"/>
      <c r="T34" s="51" t="n"/>
      <c r="U34" s="51" t="n"/>
      <c r="V34" s="51" t="n"/>
      <c r="W34" s="51" t="n"/>
    </row>
    <row r="35">
      <c r="B35" s="51" t="n"/>
      <c r="C35" s="51" t="n"/>
      <c r="D35" s="51" t="n"/>
      <c r="E35" s="51" t="n"/>
      <c r="F35" s="51" t="n"/>
      <c r="G35" s="51" t="n"/>
      <c r="H35" s="51" t="n"/>
      <c r="I35" s="51" t="n"/>
      <c r="J35" s="51" t="n"/>
      <c r="K35" s="51" t="n"/>
      <c r="L35" s="51" t="n"/>
      <c r="M35" s="51" t="n"/>
      <c r="N35" s="51" t="n"/>
      <c r="S35" s="51" t="n"/>
      <c r="T35" s="51" t="n"/>
      <c r="U35" s="51" t="n"/>
      <c r="V35" s="51" t="n"/>
      <c r="W35" s="51" t="n"/>
    </row>
    <row r="36">
      <c r="B36" s="51" t="n"/>
      <c r="C36" s="51" t="n"/>
      <c r="D36" s="51" t="n"/>
      <c r="E36" s="51" t="n"/>
      <c r="F36" s="51" t="n"/>
      <c r="G36" s="51" t="n"/>
      <c r="H36" s="51" t="n"/>
      <c r="I36" s="51" t="n"/>
      <c r="J36" s="51" t="n"/>
      <c r="K36" s="51" t="n"/>
      <c r="L36" s="51" t="n"/>
      <c r="M36" s="51" t="n"/>
      <c r="N36" s="51" t="n"/>
      <c r="S36" s="51" t="n"/>
      <c r="T36" s="51" t="n"/>
      <c r="U36" s="51" t="n"/>
      <c r="V36" s="51" t="n"/>
      <c r="W36" s="51" t="n"/>
    </row>
    <row r="37">
      <c r="B37" s="51" t="n"/>
      <c r="C37" s="51" t="n"/>
      <c r="D37" s="51" t="n"/>
      <c r="E37" s="51" t="n"/>
      <c r="F37" s="51" t="n"/>
      <c r="G37" s="51" t="n"/>
      <c r="H37" s="51" t="n"/>
      <c r="I37" s="51" t="n"/>
      <c r="J37" s="51" t="n"/>
      <c r="K37" s="51" t="n"/>
      <c r="L37" s="51" t="n"/>
      <c r="M37" s="51" t="n"/>
      <c r="N37" s="51" t="n"/>
      <c r="S37" s="51" t="n"/>
      <c r="T37" s="51" t="n"/>
      <c r="U37" s="51" t="n"/>
      <c r="V37" s="51" t="n"/>
      <c r="W37" s="51" t="n"/>
    </row>
    <row r="38">
      <c r="B38" s="51" t="n"/>
      <c r="C38" s="51" t="n"/>
      <c r="D38" s="51" t="n"/>
      <c r="E38" s="51" t="n"/>
      <c r="F38" s="51" t="n"/>
      <c r="G38" s="51" t="n"/>
      <c r="H38" s="51" t="n"/>
      <c r="I38" s="51" t="n"/>
      <c r="J38" s="51" t="n"/>
      <c r="K38" s="51" t="n"/>
      <c r="L38" s="51" t="n"/>
      <c r="M38" s="51" t="n"/>
      <c r="N38" s="51" t="n"/>
      <c r="S38" s="51" t="n"/>
      <c r="T38" s="51" t="n"/>
      <c r="U38" s="51" t="n"/>
      <c r="V38" s="51" t="n"/>
      <c r="W38" s="51" t="n"/>
    </row>
    <row r="39">
      <c r="B39" s="51" t="n"/>
      <c r="C39" s="51" t="n"/>
      <c r="D39" s="51" t="n"/>
      <c r="E39" s="51" t="n"/>
      <c r="F39" s="51" t="n"/>
      <c r="G39" s="51" t="n"/>
      <c r="H39" s="51" t="n"/>
      <c r="I39" s="51" t="n"/>
      <c r="J39" s="51" t="n"/>
      <c r="K39" s="51" t="n"/>
      <c r="L39" s="51" t="n"/>
      <c r="M39" s="51" t="n"/>
      <c r="N39" s="51" t="n"/>
      <c r="S39" s="51" t="n"/>
      <c r="T39" s="51" t="n"/>
      <c r="U39" s="51" t="n"/>
      <c r="V39" s="51" t="n"/>
      <c r="W39" s="51" t="n"/>
    </row>
    <row r="40">
      <c r="B40" s="51" t="n"/>
      <c r="C40" s="51" t="n"/>
      <c r="D40" s="51" t="n"/>
      <c r="E40" s="51" t="n"/>
      <c r="F40" s="51" t="n"/>
      <c r="G40" s="51" t="n"/>
      <c r="H40" s="51" t="n"/>
      <c r="I40" s="51" t="n"/>
      <c r="J40" s="51" t="n"/>
      <c r="K40" s="51" t="n"/>
      <c r="L40" s="51" t="n"/>
      <c r="M40" s="51" t="n"/>
      <c r="N40" s="51" t="n"/>
      <c r="S40" s="51" t="n"/>
      <c r="T40" s="51" t="n"/>
      <c r="U40" s="51" t="n"/>
      <c r="V40" s="51" t="n"/>
      <c r="W40" s="51" t="n"/>
    </row>
    <row r="41">
      <c r="B41" s="51" t="n"/>
      <c r="C41" s="51" t="n"/>
      <c r="D41" s="51" t="n"/>
      <c r="E41" s="51" t="n"/>
      <c r="F41" s="51" t="n"/>
      <c r="G41" s="51" t="n"/>
      <c r="H41" s="51" t="n"/>
      <c r="I41" s="51" t="n"/>
      <c r="J41" s="51" t="n"/>
      <c r="K41" s="51" t="n"/>
      <c r="L41" s="51" t="n"/>
      <c r="M41" s="51" t="n"/>
      <c r="N41" s="51" t="n"/>
      <c r="S41" s="51" t="n"/>
      <c r="T41" s="51" t="n"/>
      <c r="U41" s="51" t="n"/>
      <c r="V41" s="51" t="n"/>
      <c r="W41" s="51" t="n"/>
    </row>
    <row r="42">
      <c r="B42" s="51" t="n"/>
      <c r="C42" s="51" t="n"/>
      <c r="D42" s="51" t="n"/>
      <c r="E42" s="51" t="n"/>
      <c r="F42" s="51" t="n"/>
      <c r="G42" s="51" t="n"/>
      <c r="H42" s="51" t="n"/>
      <c r="I42" s="51" t="n"/>
      <c r="J42" s="51" t="n"/>
      <c r="K42" s="51" t="n"/>
      <c r="L42" s="51" t="n"/>
      <c r="M42" s="51" t="n"/>
      <c r="N42" s="51" t="n"/>
      <c r="S42" s="51" t="n"/>
      <c r="T42" s="51" t="n"/>
      <c r="U42" s="51" t="n"/>
      <c r="V42" s="51" t="n"/>
      <c r="W42" s="51" t="n"/>
    </row>
    <row r="43">
      <c r="B43" s="51" t="n"/>
      <c r="C43" s="51" t="n"/>
      <c r="D43" s="51" t="n"/>
      <c r="E43" s="51" t="n"/>
      <c r="F43" s="51" t="n"/>
      <c r="G43" s="51" t="n"/>
      <c r="H43" s="51" t="n"/>
      <c r="I43" s="51" t="n"/>
      <c r="J43" s="51" t="n"/>
      <c r="K43" s="51" t="n"/>
      <c r="L43" s="51" t="n"/>
      <c r="M43" s="51" t="n"/>
      <c r="N43" s="51" t="n"/>
      <c r="S43" s="51" t="n"/>
      <c r="T43" s="51" t="n"/>
      <c r="U43" s="51" t="n"/>
      <c r="V43" s="51" t="n"/>
      <c r="W43" s="51" t="n"/>
    </row>
    <row r="44">
      <c r="B44" s="51" t="n"/>
      <c r="C44" s="51" t="n"/>
      <c r="D44" s="51" t="n"/>
      <c r="E44" s="51" t="n"/>
      <c r="F44" s="51" t="n"/>
      <c r="G44" s="51" t="n"/>
      <c r="H44" s="51" t="n"/>
      <c r="I44" s="51" t="n"/>
      <c r="J44" s="51" t="n"/>
      <c r="K44" s="51" t="n"/>
      <c r="L44" s="51" t="n"/>
      <c r="M44" s="51" t="n"/>
      <c r="N44" s="51" t="n"/>
      <c r="S44" s="51" t="n"/>
      <c r="T44" s="51" t="n"/>
      <c r="U44" s="51" t="n"/>
      <c r="V44" s="51" t="n"/>
      <c r="W44" s="51" t="n"/>
    </row>
    <row r="45">
      <c r="B45" s="51" t="n"/>
      <c r="C45" s="51" t="n"/>
      <c r="D45" s="51" t="n"/>
      <c r="E45" s="51" t="n"/>
      <c r="F45" s="51" t="n"/>
      <c r="G45" s="51" t="n"/>
      <c r="H45" s="51" t="n"/>
      <c r="I45" s="51" t="n"/>
      <c r="J45" s="51" t="n"/>
      <c r="K45" s="51" t="n"/>
      <c r="L45" s="51" t="n"/>
      <c r="M45" s="51" t="n"/>
      <c r="N45" s="51" t="n"/>
      <c r="S45" s="51" t="n"/>
      <c r="T45" s="51" t="n"/>
      <c r="U45" s="51" t="n"/>
      <c r="V45" s="51" t="n"/>
      <c r="W45" s="51" t="n"/>
    </row>
    <row r="46">
      <c r="B46" s="51" t="n"/>
      <c r="C46" s="51" t="n"/>
      <c r="D46" s="51" t="n"/>
      <c r="E46" s="51" t="n"/>
      <c r="F46" s="51" t="n"/>
      <c r="G46" s="51" t="n"/>
      <c r="H46" s="51" t="n"/>
      <c r="I46" s="51" t="n"/>
      <c r="J46" s="51" t="n"/>
      <c r="K46" s="51" t="n"/>
      <c r="L46" s="51" t="n"/>
      <c r="M46" s="51" t="n"/>
      <c r="N46" s="51" t="n"/>
      <c r="S46" s="51" t="n"/>
      <c r="T46" s="51" t="n"/>
      <c r="U46" s="51" t="n"/>
      <c r="V46" s="51" t="n"/>
      <c r="W46" s="51" t="n"/>
    </row>
    <row r="47">
      <c r="B47" s="51" t="n"/>
      <c r="C47" s="51" t="n"/>
      <c r="D47" s="51" t="n"/>
      <c r="E47" s="51" t="n"/>
      <c r="F47" s="51" t="n"/>
      <c r="G47" s="51" t="n"/>
      <c r="H47" s="51" t="n"/>
      <c r="I47" s="51" t="n"/>
      <c r="J47" s="51" t="n"/>
      <c r="K47" s="51" t="n"/>
      <c r="L47" s="51" t="n"/>
      <c r="M47" s="51" t="n"/>
      <c r="N47" s="51" t="n"/>
      <c r="S47" s="51" t="n"/>
      <c r="T47" s="51" t="n"/>
      <c r="U47" s="51" t="n"/>
      <c r="V47" s="51" t="n"/>
      <c r="W47" s="51" t="n"/>
    </row>
    <row r="48">
      <c r="B48" s="51" t="n"/>
      <c r="C48" s="51" t="n"/>
      <c r="D48" s="51" t="n"/>
      <c r="E48" s="51" t="n"/>
      <c r="F48" s="51" t="n"/>
      <c r="G48" s="51" t="n"/>
      <c r="H48" s="51" t="n"/>
      <c r="I48" s="51" t="n"/>
      <c r="J48" s="51" t="n"/>
      <c r="K48" s="51" t="n"/>
      <c r="L48" s="51" t="n"/>
      <c r="M48" s="51" t="n"/>
      <c r="N48" s="51" t="n"/>
      <c r="S48" s="51" t="n"/>
      <c r="T48" s="51" t="n"/>
      <c r="U48" s="51" t="n"/>
      <c r="V48" s="51" t="n"/>
      <c r="W48" s="51" t="n"/>
    </row>
    <row r="49">
      <c r="B49" s="51" t="n"/>
      <c r="C49" s="51" t="n"/>
      <c r="D49" s="51" t="n"/>
      <c r="E49" s="51" t="n"/>
      <c r="F49" s="51" t="n"/>
      <c r="G49" s="51" t="n"/>
      <c r="H49" s="51" t="n"/>
      <c r="I49" s="51" t="n"/>
      <c r="J49" s="51" t="n"/>
      <c r="K49" s="51" t="n"/>
      <c r="L49" s="51" t="n"/>
      <c r="M49" s="51" t="n"/>
      <c r="N49" s="51" t="n"/>
      <c r="S49" s="51" t="n"/>
      <c r="T49" s="51" t="n"/>
      <c r="U49" s="51" t="n"/>
      <c r="V49" s="51" t="n"/>
      <c r="W49" s="51" t="n"/>
    </row>
    <row r="50">
      <c r="B50" s="51" t="n"/>
      <c r="C50" s="51" t="n"/>
      <c r="D50" s="51" t="n"/>
      <c r="E50" s="51" t="n"/>
      <c r="F50" s="51" t="n"/>
      <c r="G50" s="51" t="n"/>
      <c r="H50" s="51" t="n"/>
      <c r="I50" s="51" t="n"/>
      <c r="J50" s="51" t="n"/>
      <c r="K50" s="51" t="n"/>
      <c r="L50" s="51" t="n"/>
      <c r="M50" s="51" t="n"/>
      <c r="N50" s="51" t="n"/>
      <c r="S50" s="51" t="n"/>
      <c r="T50" s="51" t="n"/>
      <c r="U50" s="51" t="n"/>
      <c r="V50" s="51" t="n"/>
      <c r="W50" s="51" t="n"/>
    </row>
    <row r="51">
      <c r="B51" s="51" t="n"/>
      <c r="C51" s="51" t="n"/>
      <c r="D51" s="51" t="n"/>
      <c r="E51" s="51" t="n"/>
      <c r="F51" s="51" t="n"/>
      <c r="G51" s="51" t="n"/>
      <c r="H51" s="51" t="n"/>
      <c r="I51" s="51" t="n"/>
      <c r="J51" s="51" t="n"/>
      <c r="K51" s="51" t="n"/>
      <c r="L51" s="51" t="n"/>
      <c r="M51" s="51" t="n"/>
      <c r="N51" s="51" t="n"/>
      <c r="S51" s="51" t="n"/>
      <c r="T51" s="51" t="n"/>
      <c r="U51" s="51" t="n"/>
      <c r="V51" s="51" t="n"/>
      <c r="W51" s="51" t="n"/>
    </row>
    <row r="52">
      <c r="B52" s="51" t="n"/>
      <c r="C52" s="51" t="n"/>
      <c r="D52" s="51" t="n"/>
      <c r="E52" s="51" t="n"/>
      <c r="F52" s="51" t="n"/>
      <c r="G52" s="51" t="n"/>
      <c r="H52" s="51" t="n"/>
      <c r="I52" s="51" t="n"/>
      <c r="J52" s="51" t="n"/>
      <c r="K52" s="51" t="n"/>
      <c r="L52" s="51" t="n"/>
      <c r="M52" s="51" t="n"/>
      <c r="N52" s="51" t="n"/>
      <c r="S52" s="51" t="n"/>
      <c r="T52" s="51" t="n"/>
      <c r="U52" s="51" t="n"/>
      <c r="V52" s="51" t="n"/>
      <c r="W52" s="51" t="n"/>
    </row>
    <row r="53">
      <c r="B53" s="51" t="n"/>
      <c r="C53" s="51" t="n"/>
      <c r="D53" s="51" t="n"/>
      <c r="E53" s="51" t="n"/>
      <c r="F53" s="51" t="n"/>
      <c r="G53" s="51" t="n"/>
      <c r="H53" s="51" t="n"/>
      <c r="I53" s="51" t="n"/>
      <c r="J53" s="51" t="n"/>
      <c r="K53" s="51" t="n"/>
      <c r="L53" s="51" t="n"/>
      <c r="M53" s="51" t="n"/>
      <c r="N53" s="51" t="n"/>
      <c r="S53" s="51" t="n"/>
      <c r="T53" s="51" t="n"/>
      <c r="U53" s="51" t="n"/>
      <c r="V53" s="51" t="n"/>
      <c r="W53" s="51" t="n"/>
    </row>
    <row r="54">
      <c r="B54" s="51" t="n"/>
      <c r="C54" s="51" t="n"/>
      <c r="D54" s="51" t="n"/>
      <c r="E54" s="51" t="n"/>
      <c r="F54" s="51" t="n"/>
      <c r="G54" s="51" t="n"/>
      <c r="H54" s="51" t="n"/>
      <c r="I54" s="51" t="n"/>
      <c r="J54" s="51" t="n"/>
      <c r="K54" s="51" t="n"/>
      <c r="L54" s="51" t="n"/>
      <c r="M54" s="51" t="n"/>
      <c r="N54" s="51" t="n"/>
      <c r="S54" s="51" t="n"/>
      <c r="T54" s="51" t="n"/>
      <c r="U54" s="51" t="n"/>
      <c r="V54" s="51" t="n"/>
      <c r="W54" s="51" t="n"/>
    </row>
    <row r="55">
      <c r="B55" s="51" t="n"/>
      <c r="C55" s="51" t="n"/>
      <c r="D55" s="51" t="n"/>
      <c r="E55" s="51" t="n"/>
      <c r="F55" s="51" t="n"/>
      <c r="G55" s="51" t="n"/>
      <c r="H55" s="51" t="n"/>
      <c r="I55" s="51" t="n"/>
      <c r="J55" s="51" t="n"/>
      <c r="K55" s="51" t="n"/>
      <c r="L55" s="51" t="n"/>
      <c r="M55" s="51" t="n"/>
      <c r="N55" s="51" t="n"/>
      <c r="S55" s="51" t="n"/>
      <c r="T55" s="51" t="n"/>
      <c r="U55" s="51" t="n"/>
      <c r="V55" s="51" t="n"/>
      <c r="W55" s="51" t="n"/>
    </row>
    <row r="56">
      <c r="B56" s="51" t="n"/>
      <c r="C56" s="51" t="n"/>
      <c r="D56" s="51" t="n"/>
      <c r="E56" s="51" t="n"/>
      <c r="F56" s="51" t="n"/>
      <c r="G56" s="51" t="n"/>
      <c r="H56" s="51" t="n"/>
      <c r="I56" s="51" t="n"/>
      <c r="J56" s="51" t="n"/>
      <c r="K56" s="51" t="n"/>
      <c r="L56" s="51" t="n"/>
      <c r="M56" s="51" t="n"/>
      <c r="N56" s="51" t="n"/>
      <c r="S56" s="51" t="n"/>
      <c r="T56" s="51" t="n"/>
      <c r="U56" s="51" t="n"/>
      <c r="V56" s="51" t="n"/>
      <c r="W56" s="51" t="n"/>
    </row>
    <row r="57">
      <c r="B57" s="51" t="n"/>
      <c r="C57" s="51" t="n"/>
      <c r="D57" s="51" t="n"/>
      <c r="E57" s="51" t="n"/>
      <c r="F57" s="51" t="n"/>
      <c r="G57" s="51" t="n"/>
      <c r="H57" s="51" t="n"/>
      <c r="I57" s="51" t="n"/>
      <c r="J57" s="51" t="n"/>
      <c r="K57" s="51" t="n"/>
      <c r="L57" s="51" t="n"/>
      <c r="M57" s="51" t="n"/>
      <c r="N57" s="51" t="n"/>
      <c r="S57" s="51" t="n"/>
      <c r="T57" s="51" t="n"/>
      <c r="U57" s="51" t="n"/>
      <c r="V57" s="51" t="n"/>
      <c r="W57" s="51" t="n"/>
    </row>
    <row r="58">
      <c r="B58" s="51" t="n"/>
      <c r="C58" s="51" t="n"/>
      <c r="D58" s="51" t="n"/>
      <c r="E58" s="51" t="n"/>
      <c r="F58" s="51" t="n"/>
      <c r="G58" s="51" t="n"/>
      <c r="H58" s="51" t="n"/>
      <c r="I58" s="51" t="n"/>
      <c r="J58" s="51" t="n"/>
      <c r="K58" s="51" t="n"/>
      <c r="L58" s="51" t="n"/>
      <c r="M58" s="51" t="n"/>
      <c r="N58" s="51" t="n"/>
      <c r="S58" s="51" t="n"/>
      <c r="T58" s="51" t="n"/>
      <c r="U58" s="51" t="n"/>
      <c r="V58" s="51" t="n"/>
      <c r="W58" s="51" t="n"/>
    </row>
    <row r="59">
      <c r="B59" s="51" t="n"/>
      <c r="C59" s="51" t="n"/>
      <c r="D59" s="51" t="n"/>
      <c r="E59" s="51" t="n"/>
      <c r="F59" s="51" t="n"/>
      <c r="G59" s="51" t="n"/>
      <c r="H59" s="51" t="n"/>
      <c r="I59" s="51" t="n"/>
      <c r="J59" s="51" t="n"/>
      <c r="K59" s="51" t="n"/>
      <c r="L59" s="51" t="n"/>
      <c r="M59" s="51" t="n"/>
      <c r="N59" s="51" t="n"/>
      <c r="S59" s="51" t="n"/>
      <c r="T59" s="51" t="n"/>
      <c r="U59" s="51" t="n"/>
      <c r="V59" s="51" t="n"/>
      <c r="W59" s="51" t="n"/>
    </row>
    <row r="60">
      <c r="B60" s="51" t="n"/>
      <c r="C60" s="51" t="n"/>
      <c r="D60" s="51" t="n"/>
      <c r="E60" s="51" t="n"/>
      <c r="F60" s="51" t="n"/>
      <c r="G60" s="51" t="n"/>
      <c r="H60" s="51" t="n"/>
      <c r="I60" s="51" t="n"/>
      <c r="J60" s="51" t="n"/>
      <c r="K60" s="51" t="n"/>
      <c r="L60" s="51" t="n"/>
      <c r="M60" s="51" t="n"/>
      <c r="N60" s="51" t="n"/>
      <c r="S60" s="51" t="n"/>
      <c r="T60" s="51" t="n"/>
      <c r="U60" s="51" t="n"/>
      <c r="V60" s="51" t="n"/>
      <c r="W60" s="51" t="n"/>
    </row>
    <row r="61">
      <c r="B61" s="51" t="n"/>
      <c r="C61" s="51" t="n"/>
      <c r="D61" s="51" t="n"/>
      <c r="E61" s="51" t="n"/>
      <c r="F61" s="51" t="n"/>
      <c r="G61" s="51" t="n"/>
      <c r="H61" s="51" t="n"/>
      <c r="I61" s="51" t="n"/>
      <c r="J61" s="51" t="n"/>
      <c r="K61" s="51" t="n"/>
      <c r="L61" s="51" t="n"/>
      <c r="M61" s="51" t="n"/>
      <c r="N61" s="51" t="n"/>
      <c r="S61" s="51" t="n"/>
      <c r="T61" s="51" t="n"/>
      <c r="U61" s="51" t="n"/>
      <c r="V61" s="51" t="n"/>
      <c r="W61" s="51" t="n"/>
    </row>
    <row r="62">
      <c r="B62" s="51" t="n"/>
      <c r="C62" s="51" t="n"/>
      <c r="D62" s="51" t="n"/>
      <c r="E62" s="51" t="n"/>
      <c r="F62" s="51" t="n"/>
      <c r="G62" s="51" t="n"/>
      <c r="H62" s="51" t="n"/>
      <c r="I62" s="51" t="n"/>
      <c r="J62" s="51" t="n"/>
      <c r="K62" s="51" t="n"/>
      <c r="L62" s="51" t="n"/>
      <c r="M62" s="51" t="n"/>
      <c r="N62" s="51" t="n"/>
      <c r="S62" s="51" t="n"/>
      <c r="T62" s="51" t="n"/>
      <c r="U62" s="51" t="n"/>
      <c r="V62" s="51" t="n"/>
      <c r="W62" s="51" t="n"/>
    </row>
    <row r="63">
      <c r="B63" s="51" t="n"/>
      <c r="C63" s="51" t="n"/>
      <c r="D63" s="51" t="n"/>
      <c r="E63" s="51" t="n"/>
      <c r="F63" s="51" t="n"/>
      <c r="G63" s="51" t="n"/>
      <c r="H63" s="51" t="n"/>
      <c r="I63" s="51" t="n"/>
      <c r="J63" s="51" t="n"/>
      <c r="K63" s="51" t="n"/>
      <c r="L63" s="51" t="n"/>
      <c r="M63" s="51" t="n"/>
      <c r="N63" s="51" t="n"/>
      <c r="S63" s="51" t="n"/>
      <c r="T63" s="51" t="n"/>
      <c r="U63" s="51" t="n"/>
      <c r="V63" s="51" t="n"/>
      <c r="W63" s="51" t="n"/>
    </row>
    <row r="64">
      <c r="B64" s="51" t="n"/>
      <c r="C64" s="51" t="n"/>
      <c r="D64" s="51" t="n"/>
      <c r="E64" s="51" t="n"/>
      <c r="F64" s="51" t="n"/>
      <c r="G64" s="51" t="n"/>
      <c r="H64" s="51" t="n"/>
      <c r="I64" s="51" t="n"/>
      <c r="J64" s="51" t="n"/>
      <c r="K64" s="51" t="n"/>
      <c r="L64" s="51" t="n"/>
      <c r="M64" s="51" t="n"/>
      <c r="N64" s="51" t="n"/>
      <c r="S64" s="51" t="n"/>
      <c r="T64" s="51" t="n"/>
      <c r="U64" s="51" t="n"/>
      <c r="V64" s="51" t="n"/>
      <c r="W64" s="51" t="n"/>
    </row>
    <row r="65">
      <c r="B65" s="51" t="n"/>
      <c r="C65" s="51" t="n"/>
      <c r="D65" s="51" t="n"/>
      <c r="E65" s="51" t="n"/>
      <c r="F65" s="51" t="n"/>
      <c r="G65" s="51" t="n"/>
      <c r="H65" s="51" t="n"/>
      <c r="I65" s="51" t="n"/>
      <c r="J65" s="51" t="n"/>
      <c r="K65" s="51" t="n"/>
      <c r="L65" s="51" t="n"/>
      <c r="M65" s="51" t="n"/>
      <c r="N65" s="51" t="n"/>
      <c r="S65" s="51" t="n"/>
      <c r="T65" s="51" t="n"/>
      <c r="U65" s="51" t="n"/>
      <c r="V65" s="51" t="n"/>
      <c r="W65" s="51" t="n"/>
    </row>
    <row r="66">
      <c r="B66" s="51" t="n"/>
      <c r="C66" s="51" t="n"/>
      <c r="D66" s="51" t="n"/>
      <c r="E66" s="51" t="n"/>
      <c r="F66" s="51" t="n"/>
      <c r="G66" s="51" t="n"/>
      <c r="H66" s="51" t="n"/>
      <c r="I66" s="51" t="n"/>
      <c r="J66" s="51" t="n"/>
      <c r="K66" s="51" t="n"/>
      <c r="L66" s="51" t="n"/>
      <c r="M66" s="51" t="n"/>
      <c r="N66" s="51" t="n"/>
      <c r="S66" s="51" t="n"/>
      <c r="T66" s="51" t="n"/>
      <c r="U66" s="51" t="n"/>
      <c r="V66" s="51" t="n"/>
      <c r="W66" s="51" t="n"/>
    </row>
    <row r="67">
      <c r="B67" s="51" t="n"/>
      <c r="C67" s="51" t="n"/>
      <c r="D67" s="51" t="n"/>
      <c r="E67" s="51" t="n"/>
      <c r="F67" s="51" t="n"/>
      <c r="G67" s="51" t="n"/>
      <c r="H67" s="51" t="n"/>
      <c r="I67" s="51" t="n"/>
      <c r="J67" s="51" t="n"/>
      <c r="K67" s="51" t="n"/>
      <c r="L67" s="51" t="n"/>
      <c r="M67" s="51" t="n"/>
      <c r="N67" s="51" t="n"/>
      <c r="S67" s="51" t="n"/>
      <c r="T67" s="51" t="n"/>
      <c r="U67" s="51" t="n"/>
      <c r="V67" s="51" t="n"/>
      <c r="W67" s="51" t="n"/>
    </row>
    <row r="68">
      <c r="B68" s="51" t="n"/>
      <c r="C68" s="51" t="n"/>
      <c r="D68" s="51" t="n"/>
      <c r="E68" s="51" t="n"/>
      <c r="F68" s="51" t="n"/>
      <c r="G68" s="51" t="n"/>
      <c r="H68" s="51" t="n"/>
      <c r="I68" s="51" t="n"/>
      <c r="J68" s="51" t="n"/>
      <c r="K68" s="51" t="n"/>
      <c r="L68" s="51" t="n"/>
      <c r="M68" s="51" t="n"/>
      <c r="N68" s="51" t="n"/>
      <c r="S68" s="51" t="n"/>
      <c r="T68" s="51" t="n"/>
      <c r="U68" s="51" t="n"/>
      <c r="V68" s="51" t="n"/>
      <c r="W68" s="51" t="n"/>
    </row>
    <row r="69">
      <c r="B69" s="51" t="n"/>
      <c r="C69" s="51" t="n"/>
      <c r="D69" s="51" t="n"/>
      <c r="E69" s="51" t="n"/>
      <c r="F69" s="51" t="n"/>
      <c r="G69" s="51" t="n"/>
      <c r="H69" s="51" t="n"/>
      <c r="I69" s="51" t="n"/>
      <c r="J69" s="51" t="n"/>
      <c r="K69" s="51" t="n"/>
      <c r="L69" s="51" t="n"/>
      <c r="M69" s="51" t="n"/>
      <c r="N69" s="51" t="n"/>
      <c r="S69" s="51" t="n"/>
      <c r="T69" s="51" t="n"/>
      <c r="U69" s="51" t="n"/>
      <c r="V69" s="51" t="n"/>
      <c r="W69" s="51" t="n"/>
    </row>
    <row r="70">
      <c r="B70" s="51" t="n"/>
      <c r="C70" s="51" t="n"/>
      <c r="D70" s="51" t="n"/>
      <c r="E70" s="51" t="n"/>
      <c r="F70" s="51" t="n"/>
      <c r="G70" s="51" t="n"/>
      <c r="H70" s="51" t="n"/>
      <c r="I70" s="51" t="n"/>
      <c r="J70" s="51" t="n"/>
      <c r="K70" s="51" t="n"/>
      <c r="L70" s="51" t="n"/>
      <c r="M70" s="51" t="n"/>
      <c r="N70" s="51" t="n"/>
      <c r="S70" s="51" t="n"/>
      <c r="T70" s="51" t="n"/>
      <c r="U70" s="51" t="n"/>
      <c r="V70" s="51" t="n"/>
      <c r="W70" s="51" t="n"/>
    </row>
    <row r="71">
      <c r="B71" s="51" t="n"/>
      <c r="C71" s="51" t="n"/>
      <c r="D71" s="51" t="n"/>
      <c r="E71" s="51" t="n"/>
      <c r="F71" s="51" t="n"/>
      <c r="G71" s="51" t="n"/>
      <c r="H71" s="51" t="n"/>
      <c r="I71" s="51" t="n"/>
      <c r="J71" s="51" t="n"/>
      <c r="K71" s="51" t="n"/>
      <c r="L71" s="51" t="n"/>
      <c r="M71" s="51" t="n"/>
      <c r="N71" s="51" t="n"/>
      <c r="S71" s="51" t="n"/>
      <c r="T71" s="51" t="n"/>
      <c r="U71" s="51" t="n"/>
      <c r="V71" s="51" t="n"/>
      <c r="W71" s="51" t="n"/>
    </row>
    <row r="72">
      <c r="B72" s="51" t="n"/>
      <c r="C72" s="51" t="n"/>
      <c r="D72" s="51" t="n"/>
      <c r="E72" s="51" t="n"/>
      <c r="F72" s="51" t="n"/>
      <c r="G72" s="51" t="n"/>
      <c r="H72" s="51" t="n"/>
      <c r="I72" s="51" t="n"/>
      <c r="J72" s="51" t="n"/>
      <c r="K72" s="51" t="n"/>
      <c r="L72" s="51" t="n"/>
      <c r="M72" s="51" t="n"/>
      <c r="N72" s="51" t="n"/>
      <c r="S72" s="51" t="n"/>
      <c r="T72" s="51" t="n"/>
      <c r="U72" s="51" t="n"/>
      <c r="V72" s="51" t="n"/>
      <c r="W72" s="51" t="n"/>
    </row>
    <row r="73">
      <c r="B73" s="51" t="n"/>
      <c r="C73" s="51" t="n"/>
      <c r="D73" s="51" t="n"/>
      <c r="E73" s="51" t="n"/>
      <c r="F73" s="51" t="n"/>
      <c r="G73" s="51" t="n"/>
      <c r="H73" s="51" t="n"/>
      <c r="I73" s="51" t="n"/>
      <c r="J73" s="51" t="n"/>
      <c r="K73" s="51" t="n"/>
      <c r="L73" s="51" t="n"/>
      <c r="M73" s="51" t="n"/>
      <c r="N73" s="51" t="n"/>
      <c r="S73" s="51" t="n"/>
      <c r="T73" s="51" t="n"/>
      <c r="U73" s="51" t="n"/>
      <c r="V73" s="51" t="n"/>
      <c r="W73" s="51" t="n"/>
    </row>
    <row r="74">
      <c r="B74" s="51" t="n"/>
      <c r="C74" s="51" t="n"/>
      <c r="D74" s="51" t="n"/>
      <c r="E74" s="51" t="n"/>
      <c r="F74" s="51" t="n"/>
      <c r="G74" s="51" t="n"/>
      <c r="H74" s="51" t="n"/>
      <c r="I74" s="51" t="n"/>
      <c r="J74" s="51" t="n"/>
      <c r="K74" s="51" t="n"/>
      <c r="L74" s="51" t="n"/>
      <c r="M74" s="51" t="n"/>
      <c r="N74" s="51" t="n"/>
      <c r="S74" s="51" t="n"/>
      <c r="T74" s="51" t="n"/>
      <c r="U74" s="51" t="n"/>
      <c r="V74" s="51" t="n"/>
      <c r="W74" s="51" t="n"/>
    </row>
    <row r="75">
      <c r="B75" s="51" t="n"/>
      <c r="C75" s="51" t="n"/>
      <c r="D75" s="51" t="n"/>
      <c r="E75" s="51" t="n"/>
      <c r="F75" s="51" t="n"/>
      <c r="G75" s="51" t="n"/>
      <c r="H75" s="51" t="n"/>
      <c r="I75" s="51" t="n"/>
      <c r="J75" s="51" t="n"/>
      <c r="K75" s="51" t="n"/>
      <c r="L75" s="51" t="n"/>
      <c r="M75" s="51" t="n"/>
      <c r="N75" s="51" t="n"/>
      <c r="S75" s="51" t="n"/>
      <c r="T75" s="51" t="n"/>
      <c r="U75" s="51" t="n"/>
      <c r="V75" s="51" t="n"/>
      <c r="W75" s="51" t="n"/>
    </row>
    <row r="76">
      <c r="B76" s="51" t="n"/>
      <c r="C76" s="51" t="n"/>
      <c r="D76" s="51" t="n"/>
      <c r="E76" s="51" t="n"/>
      <c r="F76" s="51" t="n"/>
      <c r="G76" s="51" t="n"/>
      <c r="H76" s="51" t="n"/>
      <c r="I76" s="51" t="n"/>
      <c r="J76" s="51" t="n"/>
      <c r="K76" s="51" t="n"/>
      <c r="L76" s="51" t="n"/>
      <c r="M76" s="51" t="n"/>
      <c r="N76" s="51" t="n"/>
      <c r="S76" s="51" t="n"/>
      <c r="T76" s="51" t="n"/>
      <c r="U76" s="51" t="n"/>
      <c r="V76" s="51" t="n"/>
      <c r="W76" s="51" t="n"/>
    </row>
    <row r="77">
      <c r="B77" s="51" t="n"/>
      <c r="C77" s="51" t="n"/>
      <c r="D77" s="51" t="n"/>
      <c r="E77" s="51" t="n"/>
      <c r="F77" s="51" t="n"/>
      <c r="G77" s="51" t="n"/>
      <c r="H77" s="51" t="n"/>
      <c r="I77" s="51" t="n"/>
      <c r="J77" s="51" t="n"/>
      <c r="K77" s="51" t="n"/>
      <c r="L77" s="51" t="n"/>
      <c r="M77" s="51" t="n"/>
      <c r="N77" s="51" t="n"/>
      <c r="S77" s="51" t="n"/>
      <c r="T77" s="51" t="n"/>
      <c r="U77" s="51" t="n"/>
      <c r="V77" s="51" t="n"/>
      <c r="W77" s="51" t="n"/>
    </row>
    <row r="78">
      <c r="B78" s="51" t="n"/>
      <c r="C78" s="51" t="n"/>
      <c r="D78" s="51" t="n"/>
      <c r="E78" s="51" t="n"/>
      <c r="F78" s="51" t="n"/>
      <c r="G78" s="51" t="n"/>
      <c r="H78" s="51" t="n"/>
      <c r="I78" s="51" t="n"/>
      <c r="J78" s="51" t="n"/>
      <c r="K78" s="51" t="n"/>
      <c r="L78" s="51" t="n"/>
      <c r="M78" s="51" t="n"/>
      <c r="N78" s="51" t="n"/>
      <c r="S78" s="51" t="n"/>
      <c r="T78" s="51" t="n"/>
      <c r="U78" s="51" t="n"/>
      <c r="V78" s="51" t="n"/>
      <c r="W78" s="51" t="n"/>
    </row>
    <row r="79">
      <c r="B79" s="51" t="n"/>
      <c r="C79" s="51" t="n"/>
      <c r="D79" s="51" t="n"/>
      <c r="E79" s="51" t="n"/>
      <c r="F79" s="51" t="n"/>
      <c r="G79" s="51" t="n"/>
      <c r="H79" s="51" t="n"/>
      <c r="I79" s="51" t="n"/>
      <c r="J79" s="51" t="n"/>
      <c r="K79" s="51" t="n"/>
      <c r="L79" s="51" t="n"/>
      <c r="M79" s="51" t="n"/>
      <c r="N79" s="51" t="n"/>
      <c r="S79" s="51" t="n"/>
      <c r="T79" s="51" t="n"/>
      <c r="U79" s="51" t="n"/>
      <c r="V79" s="51" t="n"/>
      <c r="W79" s="51" t="n"/>
    </row>
    <row r="80">
      <c r="B80" s="51" t="n"/>
      <c r="C80" s="51" t="n"/>
      <c r="D80" s="51" t="n"/>
      <c r="E80" s="51" t="n"/>
      <c r="F80" s="51" t="n"/>
      <c r="G80" s="51" t="n"/>
      <c r="H80" s="51" t="n"/>
      <c r="I80" s="51" t="n"/>
      <c r="J80" s="51" t="n"/>
      <c r="K80" s="51" t="n"/>
      <c r="L80" s="51" t="n"/>
      <c r="M80" s="51" t="n"/>
      <c r="N80" s="51" t="n"/>
      <c r="S80" s="51" t="n"/>
      <c r="T80" s="51" t="n"/>
      <c r="U80" s="51" t="n"/>
      <c r="V80" s="51" t="n"/>
      <c r="W80" s="51" t="n"/>
    </row>
    <row r="81">
      <c r="B81" s="51" t="n"/>
      <c r="C81" s="51" t="n"/>
      <c r="D81" s="51" t="n"/>
      <c r="E81" s="51" t="n"/>
      <c r="F81" s="51" t="n"/>
      <c r="G81" s="51" t="n"/>
      <c r="H81" s="51" t="n"/>
      <c r="I81" s="51" t="n"/>
      <c r="J81" s="51" t="n"/>
      <c r="K81" s="51" t="n"/>
      <c r="L81" s="51" t="n"/>
      <c r="M81" s="51" t="n"/>
      <c r="N81" s="51" t="n"/>
      <c r="S81" s="51" t="n"/>
      <c r="T81" s="51" t="n"/>
      <c r="U81" s="51" t="n"/>
      <c r="V81" s="51" t="n"/>
      <c r="W81" s="51" t="n"/>
    </row>
    <row r="82">
      <c r="B82" s="51" t="n"/>
      <c r="C82" s="51" t="n"/>
      <c r="D82" s="51" t="n"/>
      <c r="E82" s="51" t="n"/>
      <c r="F82" s="51" t="n"/>
      <c r="G82" s="51" t="n"/>
      <c r="H82" s="51" t="n"/>
      <c r="I82" s="51" t="n"/>
      <c r="J82" s="51" t="n"/>
      <c r="K82" s="51" t="n"/>
      <c r="L82" s="51" t="n"/>
      <c r="M82" s="51" t="n"/>
      <c r="N82" s="51" t="n"/>
      <c r="S82" s="51" t="n"/>
      <c r="T82" s="51" t="n"/>
      <c r="U82" s="51" t="n"/>
      <c r="V82" s="51" t="n"/>
      <c r="W82" s="51" t="n"/>
    </row>
    <row r="83">
      <c r="B83" s="51" t="n"/>
      <c r="C83" s="51" t="n"/>
      <c r="D83" s="51" t="n"/>
      <c r="E83" s="51" t="n"/>
      <c r="F83" s="51" t="n"/>
      <c r="G83" s="51" t="n"/>
      <c r="H83" s="51" t="n"/>
      <c r="I83" s="51" t="n"/>
      <c r="J83" s="51" t="n"/>
      <c r="K83" s="51" t="n"/>
      <c r="L83" s="51" t="n"/>
      <c r="M83" s="51" t="n"/>
      <c r="N83" s="51" t="n"/>
      <c r="S83" s="51" t="n"/>
      <c r="T83" s="51" t="n"/>
      <c r="U83" s="51" t="n"/>
      <c r="V83" s="51" t="n"/>
      <c r="W83" s="51" t="n"/>
    </row>
    <row r="84">
      <c r="B84" s="51" t="n"/>
      <c r="C84" s="51" t="n"/>
      <c r="D84" s="51" t="n"/>
      <c r="E84" s="51" t="n"/>
      <c r="F84" s="51" t="n"/>
      <c r="G84" s="51" t="n"/>
      <c r="H84" s="51" t="n"/>
      <c r="I84" s="51" t="n"/>
      <c r="J84" s="51" t="n"/>
      <c r="K84" s="51" t="n"/>
      <c r="L84" s="51" t="n"/>
      <c r="M84" s="51" t="n"/>
      <c r="N84" s="51" t="n"/>
      <c r="S84" s="51" t="n"/>
      <c r="T84" s="51" t="n"/>
      <c r="U84" s="51" t="n"/>
      <c r="V84" s="51" t="n"/>
      <c r="W84" s="51" t="n"/>
    </row>
    <row r="85">
      <c r="B85" s="51" t="n"/>
      <c r="C85" s="51" t="n"/>
      <c r="D85" s="51" t="n"/>
      <c r="E85" s="51" t="n"/>
      <c r="F85" s="51" t="n"/>
      <c r="G85" s="51" t="n"/>
      <c r="H85" s="51" t="n"/>
      <c r="I85" s="51" t="n"/>
      <c r="J85" s="51" t="n"/>
      <c r="K85" s="51" t="n"/>
      <c r="L85" s="51" t="n"/>
      <c r="M85" s="51" t="n"/>
      <c r="N85" s="51" t="n"/>
      <c r="S85" s="51" t="n"/>
      <c r="T85" s="51" t="n"/>
      <c r="U85" s="51" t="n"/>
      <c r="V85" s="51" t="n"/>
      <c r="W85" s="51" t="n"/>
    </row>
    <row r="86">
      <c r="B86" s="51" t="n"/>
      <c r="C86" s="51" t="n"/>
      <c r="D86" s="51" t="n"/>
      <c r="E86" s="51" t="n"/>
      <c r="F86" s="51" t="n"/>
      <c r="G86" s="51" t="n"/>
      <c r="H86" s="51" t="n"/>
      <c r="I86" s="51" t="n"/>
      <c r="J86" s="51" t="n"/>
      <c r="K86" s="51" t="n"/>
      <c r="L86" s="51" t="n"/>
      <c r="M86" s="51" t="n"/>
      <c r="N86" s="51" t="n"/>
      <c r="S86" s="51" t="n"/>
      <c r="T86" s="51" t="n"/>
      <c r="U86" s="51" t="n"/>
      <c r="V86" s="51" t="n"/>
      <c r="W86" s="51" t="n"/>
    </row>
    <row r="87">
      <c r="B87" s="51" t="n"/>
      <c r="C87" s="51" t="n"/>
      <c r="D87" s="51" t="n"/>
      <c r="E87" s="51" t="n"/>
      <c r="F87" s="51" t="n"/>
      <c r="G87" s="51" t="n"/>
      <c r="H87" s="51" t="n"/>
      <c r="I87" s="51" t="n"/>
      <c r="J87" s="51" t="n"/>
      <c r="K87" s="51" t="n"/>
      <c r="L87" s="51" t="n"/>
      <c r="M87" s="51" t="n"/>
      <c r="N87" s="51" t="n"/>
      <c r="S87" s="51" t="n"/>
      <c r="T87" s="51" t="n"/>
      <c r="U87" s="51" t="n"/>
      <c r="V87" s="51" t="n"/>
      <c r="W87" s="51" t="n"/>
    </row>
    <row r="88">
      <c r="B88" s="51" t="n"/>
      <c r="C88" s="51" t="n"/>
      <c r="D88" s="51" t="n"/>
      <c r="E88" s="51" t="n"/>
      <c r="F88" s="51" t="n"/>
      <c r="G88" s="51" t="n"/>
      <c r="H88" s="51" t="n"/>
      <c r="I88" s="51" t="n"/>
      <c r="J88" s="51" t="n"/>
      <c r="K88" s="51" t="n"/>
      <c r="L88" s="51" t="n"/>
      <c r="M88" s="51" t="n"/>
      <c r="N88" s="51" t="n"/>
      <c r="S88" s="51" t="n"/>
      <c r="T88" s="51" t="n"/>
      <c r="U88" s="51" t="n"/>
      <c r="V88" s="51" t="n"/>
      <c r="W88" s="51" t="n"/>
    </row>
    <row r="89">
      <c r="B89" s="51" t="n"/>
      <c r="C89" s="51" t="n"/>
      <c r="D89" s="51" t="n"/>
      <c r="E89" s="51" t="n"/>
      <c r="F89" s="51" t="n"/>
      <c r="G89" s="51" t="n"/>
      <c r="H89" s="51" t="n"/>
      <c r="I89" s="51" t="n"/>
      <c r="J89" s="51" t="n"/>
      <c r="K89" s="51" t="n"/>
      <c r="L89" s="51" t="n"/>
      <c r="M89" s="51" t="n"/>
      <c r="N89" s="51" t="n"/>
      <c r="S89" s="51" t="n"/>
      <c r="T89" s="51" t="n"/>
      <c r="U89" s="51" t="n"/>
      <c r="V89" s="51" t="n"/>
      <c r="W89" s="51" t="n"/>
    </row>
    <row r="90">
      <c r="B90" s="51" t="n"/>
      <c r="C90" s="51" t="n"/>
      <c r="D90" s="51" t="n"/>
      <c r="E90" s="51" t="n"/>
      <c r="F90" s="51" t="n"/>
      <c r="G90" s="51" t="n"/>
      <c r="H90" s="51" t="n"/>
      <c r="I90" s="51" t="n"/>
      <c r="J90" s="51" t="n"/>
      <c r="K90" s="51" t="n"/>
      <c r="L90" s="51" t="n"/>
      <c r="M90" s="51" t="n"/>
      <c r="N90" s="51" t="n"/>
      <c r="S90" s="51" t="n"/>
      <c r="T90" s="51" t="n"/>
      <c r="U90" s="51" t="n"/>
      <c r="V90" s="51" t="n"/>
      <c r="W90" s="51" t="n"/>
    </row>
    <row r="91">
      <c r="B91" s="51" t="n"/>
      <c r="C91" s="51" t="n"/>
      <c r="D91" s="51" t="n"/>
      <c r="E91" s="51" t="n"/>
      <c r="F91" s="51" t="n"/>
      <c r="G91" s="51" t="n"/>
      <c r="H91" s="51" t="n"/>
      <c r="I91" s="51" t="n"/>
      <c r="J91" s="51" t="n"/>
      <c r="K91" s="51" t="n"/>
      <c r="L91" s="51" t="n"/>
      <c r="M91" s="51" t="n"/>
      <c r="N91" s="51" t="n"/>
      <c r="S91" s="51" t="n"/>
      <c r="T91" s="51" t="n"/>
      <c r="U91" s="51" t="n"/>
      <c r="V91" s="51" t="n"/>
      <c r="W91" s="51" t="n"/>
    </row>
    <row r="92">
      <c r="B92" s="51" t="n"/>
      <c r="C92" s="51" t="n"/>
      <c r="D92" s="51" t="n"/>
      <c r="E92" s="51" t="n"/>
      <c r="F92" s="51" t="n"/>
      <c r="G92" s="51" t="n"/>
      <c r="H92" s="51" t="n"/>
      <c r="I92" s="51" t="n"/>
      <c r="J92" s="51" t="n"/>
      <c r="K92" s="51" t="n"/>
      <c r="L92" s="51" t="n"/>
      <c r="M92" s="51" t="n"/>
      <c r="N92" s="51" t="n"/>
      <c r="S92" s="51" t="n"/>
      <c r="T92" s="51" t="n"/>
      <c r="U92" s="51" t="n"/>
      <c r="V92" s="51" t="n"/>
      <c r="W92" s="51" t="n"/>
    </row>
    <row r="93">
      <c r="B93" s="51" t="n"/>
      <c r="C93" s="51" t="n"/>
      <c r="D93" s="51" t="n"/>
      <c r="E93" s="51" t="n"/>
      <c r="F93" s="51" t="n"/>
      <c r="G93" s="51" t="n"/>
      <c r="H93" s="51" t="n"/>
      <c r="I93" s="51" t="n"/>
      <c r="J93" s="51" t="n"/>
      <c r="K93" s="51" t="n"/>
      <c r="L93" s="51" t="n"/>
      <c r="M93" s="51" t="n"/>
      <c r="N93" s="51" t="n"/>
      <c r="S93" s="51" t="n"/>
      <c r="T93" s="51" t="n"/>
      <c r="U93" s="51" t="n"/>
      <c r="V93" s="51" t="n"/>
      <c r="W93" s="51" t="n"/>
    </row>
    <row r="94">
      <c r="B94" s="51" t="n"/>
      <c r="C94" s="51" t="n"/>
      <c r="D94" s="51" t="n"/>
      <c r="E94" s="51" t="n"/>
      <c r="F94" s="51" t="n"/>
      <c r="G94" s="51" t="n"/>
      <c r="H94" s="51" t="n"/>
      <c r="I94" s="51" t="n"/>
      <c r="J94" s="51" t="n"/>
      <c r="K94" s="51" t="n"/>
      <c r="L94" s="51" t="n"/>
      <c r="M94" s="51" t="n"/>
      <c r="N94" s="51" t="n"/>
      <c r="S94" s="51" t="n"/>
      <c r="T94" s="51" t="n"/>
      <c r="U94" s="51" t="n"/>
      <c r="V94" s="51" t="n"/>
      <c r="W94" s="51" t="n"/>
    </row>
    <row r="95">
      <c r="B95" s="51" t="n"/>
      <c r="C95" s="51" t="n"/>
      <c r="D95" s="51" t="n"/>
      <c r="E95" s="51" t="n"/>
      <c r="F95" s="51" t="n"/>
      <c r="G95" s="51" t="n"/>
      <c r="H95" s="51" t="n"/>
      <c r="I95" s="51" t="n"/>
      <c r="J95" s="51" t="n"/>
      <c r="K95" s="51" t="n"/>
      <c r="L95" s="51" t="n"/>
      <c r="M95" s="51" t="n"/>
      <c r="N95" s="51" t="n"/>
      <c r="S95" s="51" t="n"/>
      <c r="T95" s="51" t="n"/>
      <c r="U95" s="51" t="n"/>
      <c r="V95" s="51" t="n"/>
      <c r="W95" s="51" t="n"/>
    </row>
    <row r="96">
      <c r="B96" s="51" t="n"/>
      <c r="C96" s="51" t="n"/>
      <c r="D96" s="51" t="n"/>
      <c r="E96" s="51" t="n"/>
      <c r="F96" s="51" t="n"/>
      <c r="G96" s="51" t="n"/>
      <c r="H96" s="51" t="n"/>
      <c r="I96" s="51" t="n"/>
      <c r="J96" s="51" t="n"/>
      <c r="K96" s="51" t="n"/>
      <c r="L96" s="51" t="n"/>
      <c r="M96" s="51" t="n"/>
      <c r="N96" s="51" t="n"/>
      <c r="S96" s="51" t="n"/>
      <c r="T96" s="51" t="n"/>
      <c r="U96" s="51" t="n"/>
      <c r="V96" s="51" t="n"/>
      <c r="W96" s="51" t="n"/>
    </row>
    <row r="97">
      <c r="B97" s="51" t="n"/>
      <c r="C97" s="51" t="n"/>
      <c r="D97" s="51" t="n"/>
      <c r="E97" s="51" t="n"/>
      <c r="F97" s="51" t="n"/>
      <c r="G97" s="51" t="n"/>
      <c r="H97" s="51" t="n"/>
      <c r="I97" s="51" t="n"/>
      <c r="J97" s="51" t="n"/>
      <c r="K97" s="51" t="n"/>
      <c r="L97" s="51" t="n"/>
      <c r="M97" s="51" t="n"/>
      <c r="N97" s="51" t="n"/>
      <c r="S97" s="51" t="n"/>
      <c r="T97" s="51" t="n"/>
      <c r="U97" s="51" t="n"/>
      <c r="V97" s="51" t="n"/>
      <c r="W97" s="51" t="n"/>
    </row>
    <row r="98">
      <c r="B98" s="51" t="n"/>
      <c r="C98" s="51" t="n"/>
      <c r="D98" s="51" t="n"/>
      <c r="E98" s="51" t="n"/>
      <c r="F98" s="51" t="n"/>
      <c r="G98" s="51" t="n"/>
      <c r="H98" s="51" t="n"/>
      <c r="I98" s="51" t="n"/>
      <c r="J98" s="51" t="n"/>
      <c r="K98" s="51" t="n"/>
      <c r="L98" s="51" t="n"/>
      <c r="M98" s="51" t="n"/>
      <c r="N98" s="51" t="n"/>
      <c r="S98" s="51" t="n"/>
      <c r="T98" s="51" t="n"/>
      <c r="U98" s="51" t="n"/>
      <c r="V98" s="51" t="n"/>
      <c r="W98" s="51" t="n"/>
    </row>
    <row r="99">
      <c r="B99" s="51" t="n"/>
      <c r="C99" s="51" t="n"/>
      <c r="D99" s="51" t="n"/>
      <c r="E99" s="51" t="n"/>
      <c r="F99" s="51" t="n"/>
      <c r="G99" s="51" t="n"/>
      <c r="H99" s="51" t="n"/>
      <c r="I99" s="51" t="n"/>
      <c r="J99" s="51" t="n"/>
      <c r="K99" s="51" t="n"/>
      <c r="L99" s="51" t="n"/>
      <c r="M99" s="51" t="n"/>
      <c r="N99" s="51" t="n"/>
      <c r="S99" s="51" t="n"/>
      <c r="T99" s="51" t="n"/>
      <c r="U99" s="51" t="n"/>
      <c r="V99" s="51" t="n"/>
      <c r="W99" s="51" t="n"/>
    </row>
    <row r="100">
      <c r="B100" s="51" t="n"/>
      <c r="C100" s="51" t="n"/>
      <c r="D100" s="51" t="n"/>
      <c r="E100" s="51" t="n"/>
      <c r="F100" s="51" t="n"/>
      <c r="G100" s="51" t="n"/>
      <c r="H100" s="51" t="n"/>
      <c r="I100" s="51" t="n"/>
      <c r="J100" s="51" t="n"/>
      <c r="K100" s="51" t="n"/>
      <c r="L100" s="51" t="n"/>
      <c r="M100" s="51" t="n"/>
      <c r="N100" s="51" t="n"/>
      <c r="S100" s="51" t="n"/>
      <c r="T100" s="51" t="n"/>
      <c r="U100" s="51" t="n"/>
      <c r="V100" s="51" t="n"/>
      <c r="W100" s="51" t="n"/>
    </row>
    <row r="101">
      <c r="B101" s="51" t="n"/>
      <c r="C101" s="51" t="n"/>
      <c r="D101" s="51" t="n"/>
      <c r="E101" s="51" t="n"/>
      <c r="F101" s="51" t="n"/>
      <c r="G101" s="51" t="n"/>
      <c r="H101" s="51" t="n"/>
      <c r="I101" s="51" t="n"/>
      <c r="J101" s="51" t="n"/>
      <c r="K101" s="51" t="n"/>
      <c r="L101" s="51" t="n"/>
      <c r="M101" s="51" t="n"/>
      <c r="N101" s="51" t="n"/>
      <c r="S101" s="51" t="n"/>
      <c r="T101" s="51" t="n"/>
      <c r="U101" s="51" t="n"/>
      <c r="V101" s="51" t="n"/>
      <c r="W101" s="51" t="n"/>
    </row>
    <row r="102">
      <c r="B102" s="51" t="n"/>
      <c r="C102" s="51" t="n"/>
      <c r="D102" s="51" t="n"/>
      <c r="E102" s="51" t="n"/>
      <c r="F102" s="51" t="n"/>
      <c r="G102" s="51" t="n"/>
      <c r="H102" s="51" t="n"/>
      <c r="I102" s="51" t="n"/>
      <c r="J102" s="51" t="n"/>
      <c r="K102" s="51" t="n"/>
      <c r="L102" s="51" t="n"/>
      <c r="M102" s="51" t="n"/>
      <c r="N102" s="51" t="n"/>
      <c r="S102" s="51" t="n"/>
      <c r="T102" s="51" t="n"/>
      <c r="U102" s="51" t="n"/>
      <c r="V102" s="51" t="n"/>
      <c r="W102" s="51" t="n"/>
    </row>
    <row r="103">
      <c r="B103" s="51" t="n"/>
      <c r="C103" s="51" t="n"/>
      <c r="D103" s="51" t="n"/>
      <c r="E103" s="51" t="n"/>
      <c r="F103" s="51" t="n"/>
      <c r="G103" s="51" t="n"/>
      <c r="H103" s="51" t="n"/>
      <c r="I103" s="51" t="n"/>
      <c r="J103" s="51" t="n"/>
      <c r="K103" s="51" t="n"/>
      <c r="L103" s="51" t="n"/>
      <c r="M103" s="51" t="n"/>
      <c r="N103" s="51" t="n"/>
      <c r="S103" s="51" t="n"/>
      <c r="T103" s="51" t="n"/>
      <c r="U103" s="51" t="n"/>
      <c r="V103" s="51" t="n"/>
      <c r="W103" s="51" t="n"/>
    </row>
    <row r="104">
      <c r="B104" s="51" t="n"/>
      <c r="C104" s="51" t="n"/>
      <c r="D104" s="51" t="n"/>
      <c r="E104" s="51" t="n"/>
      <c r="F104" s="51" t="n"/>
      <c r="G104" s="51" t="n"/>
      <c r="H104" s="51" t="n"/>
      <c r="I104" s="51" t="n"/>
      <c r="J104" s="51" t="n"/>
      <c r="K104" s="51" t="n"/>
      <c r="L104" s="51" t="n"/>
      <c r="M104" s="51" t="n"/>
      <c r="N104" s="51" t="n"/>
      <c r="S104" s="51" t="n"/>
      <c r="T104" s="51" t="n"/>
      <c r="U104" s="51" t="n"/>
      <c r="V104" s="51" t="n"/>
      <c r="W104" s="51" t="n"/>
    </row>
    <row r="105">
      <c r="B105" s="51" t="n"/>
      <c r="C105" s="51" t="n"/>
      <c r="D105" s="51" t="n"/>
      <c r="E105" s="51" t="n"/>
      <c r="F105" s="51" t="n"/>
      <c r="G105" s="51" t="n"/>
      <c r="H105" s="51" t="n"/>
      <c r="I105" s="51" t="n"/>
      <c r="J105" s="51" t="n"/>
      <c r="K105" s="51" t="n"/>
      <c r="L105" s="51" t="n"/>
      <c r="M105" s="51" t="n"/>
      <c r="N105" s="51" t="n"/>
      <c r="S105" s="51" t="n"/>
      <c r="T105" s="51" t="n"/>
      <c r="U105" s="51" t="n"/>
      <c r="V105" s="51" t="n"/>
      <c r="W105" s="51" t="n"/>
    </row>
    <row r="106">
      <c r="B106" s="51" t="n"/>
      <c r="C106" s="51" t="n"/>
      <c r="D106" s="51" t="n"/>
      <c r="E106" s="51" t="n"/>
      <c r="F106" s="51" t="n"/>
      <c r="G106" s="51" t="n"/>
      <c r="H106" s="51" t="n"/>
      <c r="I106" s="51" t="n"/>
      <c r="J106" s="51" t="n"/>
      <c r="K106" s="51" t="n"/>
      <c r="L106" s="51" t="n"/>
      <c r="M106" s="51" t="n"/>
      <c r="N106" s="51" t="n"/>
      <c r="S106" s="51" t="n"/>
      <c r="T106" s="51" t="n"/>
      <c r="U106" s="51" t="n"/>
      <c r="V106" s="51" t="n"/>
      <c r="W106" s="51" t="n"/>
    </row>
    <row r="107">
      <c r="B107" s="51" t="n"/>
      <c r="C107" s="51" t="n"/>
      <c r="D107" s="51" t="n"/>
      <c r="E107" s="51" t="n"/>
      <c r="F107" s="51" t="n"/>
      <c r="G107" s="51" t="n"/>
      <c r="H107" s="51" t="n"/>
      <c r="I107" s="51" t="n"/>
      <c r="J107" s="51" t="n"/>
      <c r="K107" s="51" t="n"/>
      <c r="L107" s="51" t="n"/>
      <c r="M107" s="51" t="n"/>
      <c r="N107" s="51" t="n"/>
      <c r="S107" s="51" t="n"/>
      <c r="T107" s="51" t="n"/>
      <c r="U107" s="51" t="n"/>
      <c r="V107" s="51" t="n"/>
      <c r="W107" s="51" t="n"/>
    </row>
    <row r="108">
      <c r="B108" s="51" t="n"/>
      <c r="C108" s="51" t="n"/>
      <c r="D108" s="51" t="n"/>
      <c r="E108" s="51" t="n"/>
      <c r="F108" s="51" t="n"/>
      <c r="G108" s="51" t="n"/>
      <c r="H108" s="51" t="n"/>
      <c r="I108" s="51" t="n"/>
      <c r="J108" s="51" t="n"/>
      <c r="K108" s="51" t="n"/>
      <c r="L108" s="51" t="n"/>
      <c r="M108" s="51" t="n"/>
      <c r="N108" s="51" t="n"/>
      <c r="S108" s="51" t="n"/>
      <c r="T108" s="51" t="n"/>
      <c r="U108" s="51" t="n"/>
      <c r="V108" s="51" t="n"/>
      <c r="W108" s="51" t="n"/>
    </row>
    <row r="109">
      <c r="B109" s="51" t="n"/>
      <c r="C109" s="51" t="n"/>
      <c r="D109" s="51" t="n"/>
      <c r="E109" s="51" t="n"/>
      <c r="F109" s="51" t="n"/>
      <c r="G109" s="51" t="n"/>
      <c r="H109" s="51" t="n"/>
      <c r="I109" s="51" t="n"/>
      <c r="J109" s="51" t="n"/>
      <c r="K109" s="51" t="n"/>
      <c r="L109" s="51" t="n"/>
      <c r="M109" s="51" t="n"/>
      <c r="N109" s="51" t="n"/>
      <c r="S109" s="51" t="n"/>
      <c r="T109" s="51" t="n"/>
      <c r="U109" s="51" t="n"/>
      <c r="V109" s="51" t="n"/>
      <c r="W109" s="51" t="n"/>
    </row>
    <row r="110">
      <c r="B110" s="51" t="n"/>
      <c r="C110" s="51" t="n"/>
      <c r="D110" s="51" t="n"/>
      <c r="E110" s="51" t="n"/>
      <c r="F110" s="51" t="n"/>
      <c r="G110" s="51" t="n"/>
      <c r="H110" s="51" t="n"/>
      <c r="I110" s="51" t="n"/>
      <c r="J110" s="51" t="n"/>
      <c r="K110" s="51" t="n"/>
      <c r="L110" s="51" t="n"/>
      <c r="M110" s="51" t="n"/>
      <c r="N110" s="51" t="n"/>
      <c r="S110" s="51" t="n"/>
      <c r="T110" s="51" t="n"/>
      <c r="U110" s="51" t="n"/>
      <c r="V110" s="51" t="n"/>
      <c r="W110" s="51" t="n"/>
    </row>
    <row r="111">
      <c r="B111" s="51" t="n"/>
      <c r="C111" s="51" t="n"/>
      <c r="D111" s="51" t="n"/>
      <c r="E111" s="51" t="n"/>
      <c r="F111" s="51" t="n"/>
      <c r="G111" s="51" t="n"/>
      <c r="H111" s="51" t="n"/>
      <c r="I111" s="51" t="n"/>
      <c r="J111" s="51" t="n"/>
      <c r="K111" s="51" t="n"/>
      <c r="L111" s="51" t="n"/>
      <c r="M111" s="51" t="n"/>
      <c r="N111" s="51" t="n"/>
      <c r="S111" s="51" t="n"/>
      <c r="T111" s="51" t="n"/>
      <c r="U111" s="51" t="n"/>
      <c r="V111" s="51" t="n"/>
      <c r="W111" s="51" t="n"/>
    </row>
    <row r="112">
      <c r="B112" s="51" t="n"/>
      <c r="C112" s="51" t="n"/>
      <c r="D112" s="51" t="n"/>
      <c r="E112" s="51" t="n"/>
      <c r="F112" s="51" t="n"/>
      <c r="G112" s="51" t="n"/>
      <c r="H112" s="51" t="n"/>
      <c r="I112" s="51" t="n"/>
      <c r="J112" s="51" t="n"/>
      <c r="K112" s="51" t="n"/>
      <c r="L112" s="51" t="n"/>
      <c r="M112" s="51" t="n"/>
      <c r="N112" s="51" t="n"/>
      <c r="S112" s="51" t="n"/>
      <c r="T112" s="51" t="n"/>
      <c r="U112" s="51" t="n"/>
      <c r="V112" s="51" t="n"/>
      <c r="W112" s="51" t="n"/>
    </row>
    <row r="113">
      <c r="B113" s="51" t="n"/>
      <c r="C113" s="51" t="n"/>
      <c r="D113" s="51" t="n"/>
      <c r="E113" s="51" t="n"/>
      <c r="F113" s="51" t="n"/>
      <c r="G113" s="51" t="n"/>
      <c r="H113" s="51" t="n"/>
      <c r="I113" s="51" t="n"/>
      <c r="J113" s="51" t="n"/>
      <c r="K113" s="51" t="n"/>
      <c r="L113" s="51" t="n"/>
      <c r="M113" s="51" t="n"/>
      <c r="N113" s="51" t="n"/>
      <c r="S113" s="51" t="n"/>
      <c r="T113" s="51" t="n"/>
      <c r="U113" s="51" t="n"/>
      <c r="V113" s="51" t="n"/>
      <c r="W113" s="51" t="n"/>
    </row>
    <row r="114">
      <c r="B114" s="51" t="n"/>
      <c r="C114" s="51" t="n"/>
      <c r="D114" s="51" t="n"/>
      <c r="E114" s="51" t="n"/>
      <c r="F114" s="51" t="n"/>
      <c r="G114" s="51" t="n"/>
      <c r="H114" s="51" t="n"/>
      <c r="I114" s="51" t="n"/>
      <c r="J114" s="51" t="n"/>
      <c r="K114" s="51" t="n"/>
      <c r="L114" s="51" t="n"/>
      <c r="M114" s="51" t="n"/>
      <c r="N114" s="51" t="n"/>
      <c r="S114" s="51" t="n"/>
      <c r="T114" s="51" t="n"/>
      <c r="U114" s="51" t="n"/>
      <c r="V114" s="51" t="n"/>
      <c r="W114" s="51" t="n"/>
    </row>
    <row r="115">
      <c r="B115" s="51" t="n"/>
      <c r="C115" s="51" t="n"/>
      <c r="D115" s="51" t="n"/>
      <c r="E115" s="51" t="n"/>
      <c r="F115" s="51" t="n"/>
      <c r="G115" s="51" t="n"/>
      <c r="H115" s="51" t="n"/>
      <c r="I115" s="51" t="n"/>
      <c r="J115" s="51" t="n"/>
      <c r="K115" s="51" t="n"/>
      <c r="L115" s="51" t="n"/>
      <c r="M115" s="51" t="n"/>
      <c r="N115" s="51" t="n"/>
      <c r="S115" s="51" t="n"/>
      <c r="T115" s="51" t="n"/>
      <c r="U115" s="51" t="n"/>
      <c r="V115" s="51" t="n"/>
      <c r="W115" s="51" t="n"/>
    </row>
    <row r="116">
      <c r="B116" s="51" t="n"/>
      <c r="C116" s="51" t="n"/>
      <c r="D116" s="51" t="n"/>
      <c r="E116" s="51" t="n"/>
      <c r="F116" s="51" t="n"/>
      <c r="G116" s="51" t="n"/>
      <c r="H116" s="51" t="n"/>
      <c r="I116" s="51" t="n"/>
      <c r="J116" s="51" t="n"/>
      <c r="K116" s="51" t="n"/>
      <c r="L116" s="51" t="n"/>
      <c r="M116" s="51" t="n"/>
      <c r="N116" s="51" t="n"/>
      <c r="S116" s="51" t="n"/>
      <c r="T116" s="51" t="n"/>
      <c r="U116" s="51" t="n"/>
      <c r="V116" s="51" t="n"/>
      <c r="W116" s="51" t="n"/>
    </row>
    <row r="117">
      <c r="B117" s="51" t="n"/>
      <c r="C117" s="51" t="n"/>
      <c r="D117" s="51" t="n"/>
      <c r="E117" s="51" t="n"/>
      <c r="F117" s="51" t="n"/>
      <c r="G117" s="51" t="n"/>
      <c r="H117" s="51" t="n"/>
      <c r="I117" s="51" t="n"/>
      <c r="J117" s="51" t="n"/>
      <c r="K117" s="51" t="n"/>
      <c r="L117" s="51" t="n"/>
      <c r="M117" s="51" t="n"/>
      <c r="N117" s="51" t="n"/>
      <c r="S117" s="51" t="n"/>
      <c r="T117" s="51" t="n"/>
      <c r="U117" s="51" t="n"/>
      <c r="V117" s="51" t="n"/>
      <c r="W117" s="51" t="n"/>
    </row>
    <row r="118">
      <c r="B118" s="51" t="n"/>
      <c r="C118" s="51" t="n"/>
      <c r="D118" s="51" t="n"/>
      <c r="E118" s="51" t="n"/>
      <c r="F118" s="51" t="n"/>
      <c r="G118" s="51" t="n"/>
      <c r="H118" s="51" t="n"/>
      <c r="I118" s="51" t="n"/>
      <c r="J118" s="51" t="n"/>
      <c r="K118" s="51" t="n"/>
      <c r="L118" s="51" t="n"/>
      <c r="M118" s="51" t="n"/>
      <c r="N118" s="51" t="n"/>
      <c r="S118" s="51" t="n"/>
      <c r="T118" s="51" t="n"/>
      <c r="U118" s="51" t="n"/>
      <c r="V118" s="51" t="n"/>
      <c r="W118" s="51" t="n"/>
    </row>
    <row r="119">
      <c r="B119" s="51" t="n"/>
      <c r="C119" s="51" t="n"/>
      <c r="D119" s="51" t="n"/>
      <c r="E119" s="51" t="n"/>
      <c r="F119" s="51" t="n"/>
      <c r="G119" s="51" t="n"/>
      <c r="H119" s="51" t="n"/>
      <c r="I119" s="51" t="n"/>
      <c r="J119" s="51" t="n"/>
      <c r="K119" s="51" t="n"/>
      <c r="L119" s="51" t="n"/>
      <c r="M119" s="51" t="n"/>
      <c r="N119" s="51" t="n"/>
      <c r="S119" s="51" t="n"/>
      <c r="T119" s="51" t="n"/>
      <c r="U119" s="51" t="n"/>
      <c r="V119" s="51" t="n"/>
      <c r="W119" s="51" t="n"/>
    </row>
    <row r="120">
      <c r="B120" s="51" t="n"/>
      <c r="C120" s="51" t="n"/>
      <c r="D120" s="51" t="n"/>
      <c r="E120" s="51" t="n"/>
      <c r="F120" s="51" t="n"/>
      <c r="G120" s="51" t="n"/>
      <c r="H120" s="51" t="n"/>
      <c r="I120" s="51" t="n"/>
      <c r="J120" s="51" t="n"/>
      <c r="K120" s="51" t="n"/>
      <c r="L120" s="51" t="n"/>
      <c r="M120" s="51" t="n"/>
      <c r="N120" s="51" t="n"/>
      <c r="S120" s="51" t="n"/>
      <c r="T120" s="51" t="n"/>
      <c r="U120" s="51" t="n"/>
      <c r="V120" s="51" t="n"/>
      <c r="W120" s="51" t="n"/>
    </row>
    <row r="121">
      <c r="B121" s="51" t="n"/>
      <c r="C121" s="51" t="n"/>
      <c r="D121" s="51" t="n"/>
      <c r="E121" s="51" t="n"/>
      <c r="F121" s="51" t="n"/>
      <c r="G121" s="51" t="n"/>
      <c r="H121" s="51" t="n"/>
      <c r="I121" s="51" t="n"/>
      <c r="J121" s="51" t="n"/>
      <c r="K121" s="51" t="n"/>
      <c r="L121" s="51" t="n"/>
      <c r="M121" s="51" t="n"/>
      <c r="N121" s="51" t="n"/>
      <c r="S121" s="51" t="n"/>
      <c r="T121" s="51" t="n"/>
      <c r="U121" s="51" t="n"/>
      <c r="V121" s="51" t="n"/>
      <c r="W121" s="51" t="n"/>
    </row>
    <row r="122">
      <c r="B122" s="51" t="n"/>
      <c r="C122" s="51" t="n"/>
      <c r="D122" s="51" t="n"/>
      <c r="E122" s="51" t="n"/>
      <c r="F122" s="51" t="n"/>
      <c r="G122" s="51" t="n"/>
      <c r="H122" s="51" t="n"/>
      <c r="I122" s="51" t="n"/>
      <c r="J122" s="51" t="n"/>
      <c r="K122" s="51" t="n"/>
      <c r="L122" s="51" t="n"/>
      <c r="M122" s="51" t="n"/>
      <c r="N122" s="51" t="n"/>
      <c r="S122" s="51" t="n"/>
      <c r="T122" s="51" t="n"/>
      <c r="U122" s="51" t="n"/>
      <c r="V122" s="51" t="n"/>
      <c r="W122" s="51" t="n"/>
    </row>
    <row r="123">
      <c r="B123" s="51" t="n"/>
      <c r="C123" s="51" t="n"/>
      <c r="D123" s="51" t="n"/>
      <c r="E123" s="51" t="n"/>
      <c r="F123" s="51" t="n"/>
      <c r="G123" s="51" t="n"/>
      <c r="H123" s="51" t="n"/>
      <c r="I123" s="51" t="n"/>
      <c r="J123" s="51" t="n"/>
      <c r="K123" s="51" t="n"/>
      <c r="L123" s="51" t="n"/>
      <c r="M123" s="51" t="n"/>
      <c r="N123" s="51" t="n"/>
      <c r="S123" s="51" t="n"/>
      <c r="T123" s="51" t="n"/>
      <c r="U123" s="51" t="n"/>
      <c r="V123" s="51" t="n"/>
      <c r="W123" s="51" t="n"/>
    </row>
    <row r="124">
      <c r="B124" s="51" t="n"/>
      <c r="C124" s="51" t="n"/>
      <c r="D124" s="51" t="n"/>
      <c r="E124" s="51" t="n"/>
      <c r="F124" s="51" t="n"/>
      <c r="G124" s="51" t="n"/>
      <c r="H124" s="51" t="n"/>
      <c r="I124" s="51" t="n"/>
      <c r="J124" s="51" t="n"/>
      <c r="K124" s="51" t="n"/>
      <c r="L124" s="51" t="n"/>
      <c r="M124" s="51" t="n"/>
      <c r="N124" s="51" t="n"/>
      <c r="S124" s="51" t="n"/>
      <c r="T124" s="51" t="n"/>
      <c r="U124" s="51" t="n"/>
      <c r="V124" s="51" t="n"/>
      <c r="W124" s="51" t="n"/>
    </row>
    <row r="125">
      <c r="B125" s="51" t="n"/>
      <c r="C125" s="51" t="n"/>
      <c r="D125" s="51" t="n"/>
      <c r="E125" s="51" t="n"/>
      <c r="F125" s="51" t="n"/>
      <c r="G125" s="51" t="n"/>
      <c r="H125" s="51" t="n"/>
      <c r="I125" s="51" t="n"/>
      <c r="J125" s="51" t="n"/>
      <c r="K125" s="51" t="n"/>
      <c r="L125" s="51" t="n"/>
      <c r="M125" s="51" t="n"/>
      <c r="N125" s="51" t="n"/>
      <c r="S125" s="51" t="n"/>
      <c r="T125" s="51" t="n"/>
      <c r="U125" s="51" t="n"/>
      <c r="V125" s="51" t="n"/>
      <c r="W125" s="51" t="n"/>
    </row>
    <row r="126">
      <c r="B126" s="51" t="n"/>
      <c r="C126" s="51" t="n"/>
      <c r="D126" s="51" t="n"/>
      <c r="E126" s="51" t="n"/>
      <c r="F126" s="51" t="n"/>
      <c r="G126" s="51" t="n"/>
      <c r="H126" s="51" t="n"/>
      <c r="I126" s="51" t="n"/>
      <c r="J126" s="51" t="n"/>
      <c r="K126" s="51" t="n"/>
      <c r="L126" s="51" t="n"/>
      <c r="M126" s="51" t="n"/>
      <c r="N126" s="51" t="n"/>
      <c r="S126" s="51" t="n"/>
      <c r="T126" s="51" t="n"/>
      <c r="U126" s="51" t="n"/>
      <c r="V126" s="51" t="n"/>
      <c r="W126" s="51" t="n"/>
    </row>
    <row r="127">
      <c r="B127" s="51" t="n"/>
      <c r="C127" s="51" t="n"/>
      <c r="D127" s="51" t="n"/>
      <c r="E127" s="51" t="n"/>
      <c r="F127" s="51" t="n"/>
      <c r="G127" s="51" t="n"/>
      <c r="H127" s="51" t="n"/>
      <c r="I127" s="51" t="n"/>
      <c r="J127" s="51" t="n"/>
      <c r="K127" s="51" t="n"/>
      <c r="L127" s="51" t="n"/>
      <c r="M127" s="51" t="n"/>
      <c r="N127" s="51" t="n"/>
      <c r="S127" s="51" t="n"/>
      <c r="T127" s="51" t="n"/>
      <c r="U127" s="51" t="n"/>
      <c r="V127" s="51" t="n"/>
      <c r="W127" s="51" t="n"/>
    </row>
    <row r="128">
      <c r="B128" s="51" t="n"/>
      <c r="C128" s="51" t="n"/>
      <c r="D128" s="51" t="n"/>
      <c r="E128" s="51" t="n"/>
      <c r="F128" s="51" t="n"/>
      <c r="G128" s="51" t="n"/>
      <c r="H128" s="51" t="n"/>
      <c r="I128" s="51" t="n"/>
      <c r="J128" s="51" t="n"/>
      <c r="K128" s="51" t="n"/>
      <c r="L128" s="51" t="n"/>
      <c r="M128" s="51" t="n"/>
      <c r="N128" s="51" t="n"/>
      <c r="S128" s="51" t="n"/>
      <c r="T128" s="51" t="n"/>
      <c r="U128" s="51" t="n"/>
      <c r="V128" s="51" t="n"/>
      <c r="W128" s="51" t="n"/>
    </row>
    <row r="129">
      <c r="B129" s="51" t="n"/>
      <c r="C129" s="51" t="n"/>
      <c r="D129" s="51" t="n"/>
      <c r="E129" s="51" t="n"/>
      <c r="F129" s="51" t="n"/>
      <c r="G129" s="51" t="n"/>
      <c r="H129" s="51" t="n"/>
      <c r="I129" s="51" t="n"/>
      <c r="J129" s="51" t="n"/>
      <c r="K129" s="51" t="n"/>
      <c r="L129" s="51" t="n"/>
      <c r="M129" s="51" t="n"/>
      <c r="N129" s="51" t="n"/>
      <c r="S129" s="51" t="n"/>
      <c r="T129" s="51" t="n"/>
      <c r="U129" s="51" t="n"/>
      <c r="V129" s="51" t="n"/>
      <c r="W129" s="51" t="n"/>
    </row>
    <row r="130">
      <c r="B130" s="51" t="n"/>
      <c r="C130" s="51" t="n"/>
      <c r="D130" s="51" t="n"/>
      <c r="E130" s="51" t="n"/>
      <c r="F130" s="51" t="n"/>
      <c r="G130" s="51" t="n"/>
      <c r="H130" s="51" t="n"/>
      <c r="I130" s="51" t="n"/>
      <c r="J130" s="51" t="n"/>
      <c r="K130" s="51" t="n"/>
      <c r="L130" s="51" t="n"/>
      <c r="M130" s="51" t="n"/>
      <c r="N130" s="51" t="n"/>
      <c r="S130" s="51" t="n"/>
      <c r="T130" s="51" t="n"/>
      <c r="U130" s="51" t="n"/>
      <c r="V130" s="51" t="n"/>
      <c r="W130" s="51" t="n"/>
    </row>
    <row r="131">
      <c r="B131" s="51" t="n"/>
      <c r="C131" s="51" t="n"/>
      <c r="D131" s="51" t="n"/>
      <c r="E131" s="51" t="n"/>
      <c r="F131" s="51" t="n"/>
      <c r="G131" s="51" t="n"/>
      <c r="H131" s="51" t="n"/>
      <c r="I131" s="51" t="n"/>
      <c r="J131" s="51" t="n"/>
      <c r="K131" s="51" t="n"/>
      <c r="L131" s="51" t="n"/>
      <c r="M131" s="51" t="n"/>
      <c r="N131" s="51" t="n"/>
      <c r="S131" s="51" t="n"/>
      <c r="T131" s="51" t="n"/>
      <c r="U131" s="51" t="n"/>
      <c r="V131" s="51" t="n"/>
      <c r="W131" s="51" t="n"/>
    </row>
    <row r="132">
      <c r="B132" s="51" t="n"/>
      <c r="C132" s="51" t="n"/>
      <c r="D132" s="51" t="n"/>
      <c r="E132" s="51" t="n"/>
      <c r="F132" s="51" t="n"/>
      <c r="G132" s="51" t="n"/>
      <c r="H132" s="51" t="n"/>
      <c r="I132" s="51" t="n"/>
      <c r="J132" s="51" t="n"/>
      <c r="K132" s="51" t="n"/>
      <c r="L132" s="51" t="n"/>
      <c r="M132" s="51" t="n"/>
      <c r="N132" s="51" t="n"/>
      <c r="S132" s="51" t="n"/>
      <c r="T132" s="51" t="n"/>
      <c r="U132" s="51" t="n"/>
      <c r="V132" s="51" t="n"/>
      <c r="W132" s="51" t="n"/>
    </row>
    <row r="133">
      <c r="B133" s="51" t="n"/>
      <c r="C133" s="51" t="n"/>
      <c r="D133" s="51" t="n"/>
      <c r="E133" s="51" t="n"/>
      <c r="F133" s="51" t="n"/>
      <c r="G133" s="51" t="n"/>
      <c r="H133" s="51" t="n"/>
      <c r="I133" s="51" t="n"/>
      <c r="J133" s="51" t="n"/>
      <c r="K133" s="51" t="n"/>
      <c r="L133" s="51" t="n"/>
      <c r="M133" s="51" t="n"/>
      <c r="N133" s="51" t="n"/>
      <c r="S133" s="51" t="n"/>
      <c r="T133" s="51" t="n"/>
      <c r="U133" s="51" t="n"/>
      <c r="V133" s="51" t="n"/>
      <c r="W133" s="51" t="n"/>
    </row>
    <row r="134">
      <c r="B134" s="51" t="n"/>
      <c r="C134" s="51" t="n"/>
      <c r="D134" s="51" t="n"/>
      <c r="E134" s="51" t="n"/>
      <c r="F134" s="51" t="n"/>
      <c r="G134" s="51" t="n"/>
      <c r="H134" s="51" t="n"/>
      <c r="I134" s="51" t="n"/>
      <c r="J134" s="51" t="n"/>
      <c r="K134" s="51" t="n"/>
      <c r="L134" s="51" t="n"/>
      <c r="M134" s="51" t="n"/>
      <c r="N134" s="51" t="n"/>
      <c r="S134" s="51" t="n"/>
      <c r="T134" s="51" t="n"/>
      <c r="U134" s="51" t="n"/>
      <c r="V134" s="51" t="n"/>
      <c r="W134" s="51" t="n"/>
    </row>
    <row r="135">
      <c r="B135" s="51" t="n"/>
      <c r="C135" s="51" t="n"/>
      <c r="D135" s="51" t="n"/>
      <c r="E135" s="51" t="n"/>
      <c r="F135" s="51" t="n"/>
      <c r="G135" s="51" t="n"/>
      <c r="H135" s="51" t="n"/>
      <c r="I135" s="51" t="n"/>
      <c r="J135" s="51" t="n"/>
      <c r="K135" s="51" t="n"/>
      <c r="L135" s="51" t="n"/>
      <c r="M135" s="51" t="n"/>
      <c r="N135" s="51" t="n"/>
      <c r="S135" s="51" t="n"/>
      <c r="T135" s="51" t="n"/>
      <c r="U135" s="51" t="n"/>
      <c r="V135" s="51" t="n"/>
      <c r="W135" s="51" t="n"/>
    </row>
    <row r="136">
      <c r="B136" s="51" t="n"/>
      <c r="C136" s="51" t="n"/>
      <c r="D136" s="51" t="n"/>
      <c r="E136" s="51" t="n"/>
      <c r="F136" s="51" t="n"/>
      <c r="G136" s="51" t="n"/>
      <c r="H136" s="51" t="n"/>
      <c r="I136" s="51" t="n"/>
      <c r="J136" s="51" t="n"/>
      <c r="K136" s="51" t="n"/>
      <c r="L136" s="51" t="n"/>
      <c r="M136" s="51" t="n"/>
      <c r="N136" s="51" t="n"/>
      <c r="S136" s="51" t="n"/>
      <c r="T136" s="51" t="n"/>
      <c r="U136" s="51" t="n"/>
      <c r="V136" s="51" t="n"/>
      <c r="W136" s="51" t="n"/>
    </row>
    <row r="137">
      <c r="B137" s="51" t="n"/>
      <c r="C137" s="51" t="n"/>
      <c r="D137" s="51" t="n"/>
      <c r="E137" s="51" t="n"/>
      <c r="F137" s="51" t="n"/>
      <c r="G137" s="51" t="n"/>
      <c r="H137" s="51" t="n"/>
      <c r="I137" s="51" t="n"/>
      <c r="J137" s="51" t="n"/>
      <c r="K137" s="51" t="n"/>
      <c r="L137" s="51" t="n"/>
      <c r="M137" s="51" t="n"/>
      <c r="N137" s="51" t="n"/>
      <c r="S137" s="51" t="n"/>
      <c r="T137" s="51" t="n"/>
      <c r="U137" s="51" t="n"/>
      <c r="V137" s="51" t="n"/>
      <c r="W137" s="51" t="n"/>
    </row>
    <row r="138">
      <c r="B138" s="51" t="n"/>
      <c r="C138" s="51" t="n"/>
      <c r="D138" s="51" t="n"/>
      <c r="E138" s="51" t="n"/>
      <c r="F138" s="51" t="n"/>
      <c r="G138" s="51" t="n"/>
      <c r="H138" s="51" t="n"/>
      <c r="I138" s="51" t="n"/>
      <c r="J138" s="51" t="n"/>
      <c r="K138" s="51" t="n"/>
      <c r="L138" s="51" t="n"/>
      <c r="M138" s="51" t="n"/>
      <c r="N138" s="51" t="n"/>
      <c r="S138" s="51" t="n"/>
      <c r="T138" s="51" t="n"/>
      <c r="U138" s="51" t="n"/>
      <c r="V138" s="51" t="n"/>
      <c r="W138" s="51" t="n"/>
    </row>
    <row r="139">
      <c r="B139" s="51" t="n"/>
      <c r="C139" s="51" t="n"/>
      <c r="D139" s="51" t="n"/>
      <c r="E139" s="51" t="n"/>
      <c r="F139" s="51" t="n"/>
      <c r="G139" s="51" t="n"/>
      <c r="H139" s="51" t="n"/>
      <c r="I139" s="51" t="n"/>
      <c r="J139" s="51" t="n"/>
      <c r="K139" s="51" t="n"/>
      <c r="L139" s="51" t="n"/>
      <c r="M139" s="51" t="n"/>
      <c r="N139" s="51" t="n"/>
      <c r="S139" s="51" t="n"/>
      <c r="T139" s="51" t="n"/>
      <c r="U139" s="51" t="n"/>
      <c r="V139" s="51" t="n"/>
      <c r="W139" s="51" t="n"/>
    </row>
    <row r="140">
      <c r="B140" s="51" t="n"/>
      <c r="C140" s="51" t="n"/>
      <c r="D140" s="51" t="n"/>
      <c r="E140" s="51" t="n"/>
      <c r="F140" s="51" t="n"/>
      <c r="G140" s="51" t="n"/>
      <c r="H140" s="51" t="n"/>
      <c r="I140" s="51" t="n"/>
      <c r="J140" s="51" t="n"/>
      <c r="K140" s="51" t="n"/>
      <c r="L140" s="51" t="n"/>
      <c r="M140" s="51" t="n"/>
      <c r="N140" s="51" t="n"/>
      <c r="S140" s="51" t="n"/>
      <c r="T140" s="51" t="n"/>
      <c r="U140" s="51" t="n"/>
      <c r="V140" s="51" t="n"/>
      <c r="W140" s="51" t="n"/>
    </row>
    <row r="141">
      <c r="B141" s="51" t="n"/>
      <c r="C141" s="51" t="n"/>
      <c r="D141" s="51" t="n"/>
      <c r="E141" s="51" t="n"/>
      <c r="F141" s="51" t="n"/>
      <c r="G141" s="51" t="n"/>
      <c r="H141" s="51" t="n"/>
      <c r="I141" s="51" t="n"/>
      <c r="J141" s="51" t="n"/>
      <c r="K141" s="51" t="n"/>
      <c r="L141" s="51" t="n"/>
      <c r="M141" s="51" t="n"/>
      <c r="N141" s="51" t="n"/>
      <c r="S141" s="51" t="n"/>
      <c r="T141" s="51" t="n"/>
      <c r="U141" s="51" t="n"/>
      <c r="V141" s="51" t="n"/>
      <c r="W141" s="51" t="n"/>
    </row>
    <row r="142">
      <c r="B142" s="51" t="n"/>
      <c r="C142" s="51" t="n"/>
      <c r="D142" s="51" t="n"/>
      <c r="E142" s="51" t="n"/>
      <c r="F142" s="51" t="n"/>
      <c r="G142" s="51" t="n"/>
      <c r="H142" s="51" t="n"/>
      <c r="I142" s="51" t="n"/>
      <c r="J142" s="51" t="n"/>
      <c r="K142" s="51" t="n"/>
      <c r="L142" s="51" t="n"/>
      <c r="M142" s="51" t="n"/>
      <c r="N142" s="51" t="n"/>
      <c r="S142" s="51" t="n"/>
      <c r="T142" s="51" t="n"/>
      <c r="U142" s="51" t="n"/>
      <c r="V142" s="51" t="n"/>
      <c r="W142" s="51" t="n"/>
    </row>
    <row r="143">
      <c r="B143" s="51" t="n"/>
      <c r="C143" s="51" t="n"/>
      <c r="D143" s="51" t="n"/>
      <c r="E143" s="51" t="n"/>
      <c r="F143" s="51" t="n"/>
      <c r="G143" s="51" t="n"/>
      <c r="H143" s="51" t="n"/>
      <c r="I143" s="51" t="n"/>
      <c r="J143" s="51" t="n"/>
      <c r="K143" s="51" t="n"/>
      <c r="L143" s="51" t="n"/>
      <c r="M143" s="51" t="n"/>
      <c r="N143" s="51" t="n"/>
      <c r="S143" s="51" t="n"/>
      <c r="T143" s="51" t="n"/>
      <c r="U143" s="51" t="n"/>
      <c r="V143" s="51" t="n"/>
      <c r="W143" s="51" t="n"/>
    </row>
    <row r="144">
      <c r="B144" s="51" t="n"/>
      <c r="C144" s="51" t="n"/>
      <c r="D144" s="51" t="n"/>
      <c r="E144" s="51" t="n"/>
      <c r="F144" s="51" t="n"/>
      <c r="G144" s="51" t="n"/>
      <c r="H144" s="51" t="n"/>
      <c r="I144" s="51" t="n"/>
      <c r="J144" s="51" t="n"/>
      <c r="K144" s="51" t="n"/>
      <c r="L144" s="51" t="n"/>
      <c r="M144" s="51" t="n"/>
      <c r="N144" s="51" t="n"/>
      <c r="S144" s="51" t="n"/>
      <c r="T144" s="51" t="n"/>
      <c r="U144" s="51" t="n"/>
      <c r="V144" s="51" t="n"/>
      <c r="W144" s="51" t="n"/>
    </row>
    <row r="145">
      <c r="B145" s="51" t="n"/>
      <c r="C145" s="51" t="n"/>
      <c r="D145" s="51" t="n"/>
      <c r="E145" s="51" t="n"/>
      <c r="F145" s="51" t="n"/>
      <c r="G145" s="51" t="n"/>
      <c r="H145" s="51" t="n"/>
      <c r="I145" s="51" t="n"/>
      <c r="J145" s="51" t="n"/>
      <c r="K145" s="51" t="n"/>
      <c r="L145" s="51" t="n"/>
      <c r="M145" s="51" t="n"/>
      <c r="N145" s="51" t="n"/>
      <c r="S145" s="51" t="n"/>
      <c r="T145" s="51" t="n"/>
      <c r="U145" s="51" t="n"/>
      <c r="V145" s="51" t="n"/>
      <c r="W145" s="51" t="n"/>
    </row>
    <row r="146">
      <c r="B146" s="51" t="n"/>
      <c r="C146" s="51" t="n"/>
      <c r="D146" s="51" t="n"/>
      <c r="E146" s="51" t="n"/>
      <c r="F146" s="51" t="n"/>
      <c r="G146" s="51" t="n"/>
      <c r="H146" s="51" t="n"/>
      <c r="I146" s="51" t="n"/>
      <c r="J146" s="51" t="n"/>
      <c r="K146" s="51" t="n"/>
      <c r="L146" s="51" t="n"/>
      <c r="M146" s="51" t="n"/>
      <c r="N146" s="51" t="n"/>
      <c r="S146" s="51" t="n"/>
      <c r="T146" s="51" t="n"/>
      <c r="U146" s="51" t="n"/>
      <c r="V146" s="51" t="n"/>
      <c r="W146" s="51" t="n"/>
    </row>
    <row r="147">
      <c r="B147" s="51" t="n"/>
      <c r="C147" s="51" t="n"/>
      <c r="D147" s="51" t="n"/>
      <c r="E147" s="51" t="n"/>
      <c r="F147" s="51" t="n"/>
      <c r="G147" s="51" t="n"/>
      <c r="H147" s="51" t="n"/>
      <c r="I147" s="51" t="n"/>
      <c r="J147" s="51" t="n"/>
      <c r="K147" s="51" t="n"/>
      <c r="L147" s="51" t="n"/>
      <c r="M147" s="51" t="n"/>
      <c r="N147" s="51" t="n"/>
      <c r="S147" s="51" t="n"/>
      <c r="T147" s="51" t="n"/>
      <c r="U147" s="51" t="n"/>
      <c r="V147" s="51" t="n"/>
      <c r="W147" s="51" t="n"/>
    </row>
    <row r="148">
      <c r="B148" s="51" t="n"/>
      <c r="C148" s="51" t="n"/>
      <c r="D148" s="51" t="n"/>
      <c r="E148" s="51" t="n"/>
      <c r="F148" s="51" t="n"/>
      <c r="G148" s="51" t="n"/>
      <c r="H148" s="51" t="n"/>
      <c r="I148" s="51" t="n"/>
      <c r="J148" s="51" t="n"/>
      <c r="K148" s="51" t="n"/>
      <c r="L148" s="51" t="n"/>
      <c r="M148" s="51" t="n"/>
      <c r="N148" s="51" t="n"/>
      <c r="S148" s="51" t="n"/>
      <c r="T148" s="51" t="n"/>
      <c r="U148" s="51" t="n"/>
      <c r="V148" s="51" t="n"/>
      <c r="W148" s="51" t="n"/>
    </row>
    <row r="149">
      <c r="B149" s="51" t="n"/>
      <c r="C149" s="51" t="n"/>
      <c r="D149" s="51" t="n"/>
      <c r="E149" s="51" t="n"/>
      <c r="F149" s="51" t="n"/>
      <c r="G149" s="51" t="n"/>
      <c r="H149" s="51" t="n"/>
      <c r="I149" s="51" t="n"/>
      <c r="J149" s="51" t="n"/>
      <c r="K149" s="51" t="n"/>
      <c r="L149" s="51" t="n"/>
      <c r="M149" s="51" t="n"/>
      <c r="N149" s="51" t="n"/>
      <c r="S149" s="51" t="n"/>
      <c r="T149" s="51" t="n"/>
      <c r="U149" s="51" t="n"/>
      <c r="V149" s="51" t="n"/>
      <c r="W149" s="51" t="n"/>
    </row>
    <row r="150">
      <c r="B150" s="51" t="n"/>
      <c r="C150" s="51" t="n"/>
      <c r="D150" s="51" t="n"/>
      <c r="E150" s="51" t="n"/>
      <c r="F150" s="51" t="n"/>
      <c r="G150" s="51" t="n"/>
      <c r="H150" s="51" t="n"/>
      <c r="I150" s="51" t="n"/>
      <c r="J150" s="51" t="n"/>
      <c r="K150" s="51" t="n"/>
      <c r="L150" s="51" t="n"/>
      <c r="M150" s="51" t="n"/>
      <c r="N150" s="51" t="n"/>
      <c r="S150" s="51" t="n"/>
      <c r="T150" s="51" t="n"/>
      <c r="U150" s="51" t="n"/>
      <c r="V150" s="51" t="n"/>
      <c r="W150" s="51" t="n"/>
    </row>
    <row r="151">
      <c r="B151" s="51" t="n"/>
      <c r="C151" s="51" t="n"/>
      <c r="D151" s="51" t="n"/>
      <c r="E151" s="51" t="n"/>
      <c r="F151" s="51" t="n"/>
      <c r="G151" s="51" t="n"/>
      <c r="H151" s="51" t="n"/>
      <c r="I151" s="51" t="n"/>
      <c r="J151" s="51" t="n"/>
      <c r="K151" s="51" t="n"/>
      <c r="L151" s="51" t="n"/>
      <c r="M151" s="51" t="n"/>
      <c r="N151" s="51" t="n"/>
      <c r="S151" s="51" t="n"/>
      <c r="T151" s="51" t="n"/>
      <c r="U151" s="51" t="n"/>
      <c r="V151" s="51" t="n"/>
      <c r="W151" s="51" t="n"/>
    </row>
    <row r="152">
      <c r="B152" s="51" t="n"/>
      <c r="C152" s="51" t="n"/>
      <c r="D152" s="51" t="n"/>
      <c r="E152" s="51" t="n"/>
      <c r="F152" s="51" t="n"/>
      <c r="G152" s="51" t="n"/>
      <c r="H152" s="51" t="n"/>
      <c r="I152" s="51" t="n"/>
      <c r="J152" s="51" t="n"/>
      <c r="K152" s="51" t="n"/>
      <c r="L152" s="51" t="n"/>
      <c r="M152" s="51" t="n"/>
      <c r="N152" s="51" t="n"/>
      <c r="S152" s="51" t="n"/>
      <c r="T152" s="51" t="n"/>
      <c r="U152" s="51" t="n"/>
      <c r="V152" s="51" t="n"/>
      <c r="W152" s="51" t="n"/>
    </row>
    <row r="153">
      <c r="B153" s="51" t="n"/>
      <c r="C153" s="51" t="n"/>
      <c r="D153" s="51" t="n"/>
      <c r="E153" s="51" t="n"/>
      <c r="F153" s="51" t="n"/>
      <c r="G153" s="51" t="n"/>
      <c r="H153" s="51" t="n"/>
      <c r="I153" s="51" t="n"/>
      <c r="J153" s="51" t="n"/>
      <c r="K153" s="51" t="n"/>
      <c r="L153" s="51" t="n"/>
      <c r="M153" s="51" t="n"/>
      <c r="N153" s="51" t="n"/>
      <c r="S153" s="51" t="n"/>
      <c r="T153" s="51" t="n"/>
      <c r="U153" s="51" t="n"/>
      <c r="V153" s="51" t="n"/>
      <c r="W153" s="51" t="n"/>
    </row>
    <row r="154">
      <c r="B154" s="51" t="n"/>
      <c r="C154" s="51" t="n"/>
      <c r="D154" s="51" t="n"/>
      <c r="E154" s="51" t="n"/>
      <c r="F154" s="51" t="n"/>
      <c r="G154" s="51" t="n"/>
      <c r="H154" s="51" t="n"/>
      <c r="I154" s="51" t="n"/>
      <c r="J154" s="51" t="n"/>
      <c r="K154" s="51" t="n"/>
      <c r="L154" s="51" t="n"/>
      <c r="M154" s="51" t="n"/>
      <c r="N154" s="51" t="n"/>
      <c r="S154" s="51" t="n"/>
      <c r="T154" s="51" t="n"/>
      <c r="U154" s="51" t="n"/>
      <c r="V154" s="51" t="n"/>
      <c r="W154" s="51" t="n"/>
    </row>
    <row r="155">
      <c r="B155" s="51" t="n"/>
      <c r="C155" s="51" t="n"/>
      <c r="D155" s="51" t="n"/>
      <c r="E155" s="51" t="n"/>
      <c r="F155" s="51" t="n"/>
      <c r="G155" s="51" t="n"/>
      <c r="H155" s="51" t="n"/>
      <c r="I155" s="51" t="n"/>
      <c r="J155" s="51" t="n"/>
      <c r="K155" s="51" t="n"/>
      <c r="L155" s="51" t="n"/>
      <c r="M155" s="51" t="n"/>
      <c r="N155" s="51" t="n"/>
      <c r="S155" s="51" t="n"/>
      <c r="T155" s="51" t="n"/>
      <c r="U155" s="51" t="n"/>
      <c r="V155" s="51" t="n"/>
      <c r="W155" s="51" t="n"/>
    </row>
    <row r="156">
      <c r="B156" s="51" t="n"/>
      <c r="C156" s="51" t="n"/>
      <c r="D156" s="51" t="n"/>
      <c r="E156" s="51" t="n"/>
      <c r="F156" s="51" t="n"/>
      <c r="G156" s="51" t="n"/>
      <c r="H156" s="51" t="n"/>
      <c r="I156" s="51" t="n"/>
      <c r="J156" s="51" t="n"/>
      <c r="K156" s="51" t="n"/>
      <c r="L156" s="51" t="n"/>
      <c r="M156" s="51" t="n"/>
      <c r="N156" s="51" t="n"/>
      <c r="S156" s="51" t="n"/>
      <c r="T156" s="51" t="n"/>
      <c r="U156" s="51" t="n"/>
      <c r="V156" s="51" t="n"/>
      <c r="W156" s="51" t="n"/>
    </row>
    <row r="157">
      <c r="B157" s="51" t="n"/>
      <c r="C157" s="51" t="n"/>
      <c r="D157" s="51" t="n"/>
      <c r="E157" s="51" t="n"/>
      <c r="F157" s="51" t="n"/>
      <c r="G157" s="51" t="n"/>
      <c r="H157" s="51" t="n"/>
      <c r="I157" s="51" t="n"/>
      <c r="J157" s="51" t="n"/>
      <c r="K157" s="51" t="n"/>
      <c r="L157" s="51" t="n"/>
      <c r="M157" s="51" t="n"/>
      <c r="N157" s="51" t="n"/>
      <c r="S157" s="51" t="n"/>
      <c r="T157" s="51" t="n"/>
      <c r="U157" s="51" t="n"/>
      <c r="V157" s="51" t="n"/>
      <c r="W157" s="51" t="n"/>
    </row>
    <row r="158">
      <c r="B158" s="51" t="n"/>
      <c r="C158" s="51" t="n"/>
      <c r="D158" s="51" t="n"/>
      <c r="E158" s="51" t="n"/>
      <c r="F158" s="51" t="n"/>
      <c r="G158" s="51" t="n"/>
      <c r="H158" s="51" t="n"/>
      <c r="I158" s="51" t="n"/>
      <c r="J158" s="51" t="n"/>
      <c r="K158" s="51" t="n"/>
      <c r="L158" s="51" t="n"/>
      <c r="M158" s="51" t="n"/>
      <c r="N158" s="51" t="n"/>
      <c r="S158" s="51" t="n"/>
      <c r="T158" s="51" t="n"/>
      <c r="U158" s="51" t="n"/>
      <c r="V158" s="51" t="n"/>
      <c r="W158" s="51" t="n"/>
    </row>
    <row r="159">
      <c r="B159" s="51" t="n"/>
      <c r="C159" s="51" t="n"/>
      <c r="D159" s="51" t="n"/>
      <c r="E159" s="51" t="n"/>
      <c r="F159" s="51" t="n"/>
      <c r="G159" s="51" t="n"/>
      <c r="H159" s="51" t="n"/>
      <c r="I159" s="51" t="n"/>
      <c r="J159" s="51" t="n"/>
      <c r="K159" s="51" t="n"/>
      <c r="L159" s="51" t="n"/>
      <c r="M159" s="51" t="n"/>
      <c r="N159" s="51" t="n"/>
      <c r="S159" s="51" t="n"/>
      <c r="T159" s="51" t="n"/>
      <c r="U159" s="51" t="n"/>
      <c r="V159" s="51" t="n"/>
      <c r="W159" s="51" t="n"/>
    </row>
    <row r="160">
      <c r="B160" s="51" t="n"/>
      <c r="C160" s="51" t="n"/>
      <c r="D160" s="51" t="n"/>
      <c r="E160" s="51" t="n"/>
      <c r="F160" s="51" t="n"/>
      <c r="G160" s="51" t="n"/>
      <c r="H160" s="51" t="n"/>
      <c r="I160" s="51" t="n"/>
      <c r="J160" s="51" t="n"/>
      <c r="K160" s="51" t="n"/>
      <c r="L160" s="51" t="n"/>
      <c r="M160" s="51" t="n"/>
      <c r="N160" s="51" t="n"/>
      <c r="S160" s="51" t="n"/>
      <c r="T160" s="51" t="n"/>
      <c r="U160" s="51" t="n"/>
      <c r="V160" s="51" t="n"/>
      <c r="W160" s="51" t="n"/>
    </row>
    <row r="161">
      <c r="B161" s="51" t="n"/>
      <c r="C161" s="51" t="n"/>
      <c r="D161" s="51" t="n"/>
      <c r="E161" s="51" t="n"/>
      <c r="F161" s="51" t="n"/>
      <c r="G161" s="51" t="n"/>
      <c r="H161" s="51" t="n"/>
      <c r="I161" s="51" t="n"/>
      <c r="J161" s="51" t="n"/>
      <c r="K161" s="51" t="n"/>
      <c r="L161" s="51" t="n"/>
      <c r="M161" s="51" t="n"/>
      <c r="N161" s="51" t="n"/>
      <c r="S161" s="51" t="n"/>
      <c r="T161" s="51" t="n"/>
      <c r="U161" s="51" t="n"/>
      <c r="V161" s="51" t="n"/>
      <c r="W161" s="51" t="n"/>
    </row>
    <row r="162">
      <c r="B162" s="51" t="n"/>
      <c r="C162" s="51" t="n"/>
      <c r="D162" s="51" t="n"/>
      <c r="E162" s="51" t="n"/>
      <c r="F162" s="51" t="n"/>
      <c r="G162" s="51" t="n"/>
      <c r="H162" s="51" t="n"/>
      <c r="I162" s="51" t="n"/>
      <c r="J162" s="51" t="n"/>
      <c r="K162" s="51" t="n"/>
      <c r="L162" s="51" t="n"/>
      <c r="M162" s="51" t="n"/>
      <c r="N162" s="51" t="n"/>
      <c r="S162" s="51" t="n"/>
      <c r="T162" s="51" t="n"/>
      <c r="U162" s="51" t="n"/>
      <c r="V162" s="51" t="n"/>
      <c r="W162" s="51" t="n"/>
    </row>
    <row r="163">
      <c r="B163" s="51" t="n"/>
      <c r="C163" s="51" t="n"/>
      <c r="D163" s="51" t="n"/>
      <c r="E163" s="51" t="n"/>
      <c r="F163" s="51" t="n"/>
      <c r="G163" s="51" t="n"/>
      <c r="H163" s="51" t="n"/>
      <c r="I163" s="51" t="n"/>
      <c r="J163" s="51" t="n"/>
      <c r="K163" s="51" t="n"/>
      <c r="L163" s="51" t="n"/>
      <c r="M163" s="51" t="n"/>
      <c r="N163" s="51" t="n"/>
      <c r="S163" s="51" t="n"/>
      <c r="T163" s="51" t="n"/>
      <c r="U163" s="51" t="n"/>
      <c r="V163" s="51" t="n"/>
      <c r="W163" s="51" t="n"/>
    </row>
    <row r="164">
      <c r="B164" s="51" t="n"/>
      <c r="C164" s="51" t="n"/>
      <c r="D164" s="51" t="n"/>
      <c r="E164" s="51" t="n"/>
      <c r="F164" s="51" t="n"/>
      <c r="G164" s="51" t="n"/>
      <c r="H164" s="51" t="n"/>
      <c r="I164" s="51" t="n"/>
      <c r="J164" s="51" t="n"/>
      <c r="K164" s="51" t="n"/>
      <c r="L164" s="51" t="n"/>
      <c r="M164" s="51" t="n"/>
      <c r="N164" s="51" t="n"/>
      <c r="S164" s="51" t="n"/>
      <c r="T164" s="51" t="n"/>
      <c r="U164" s="51" t="n"/>
      <c r="V164" s="51" t="n"/>
      <c r="W164" s="51" t="n"/>
    </row>
    <row r="165">
      <c r="B165" s="51" t="n"/>
      <c r="C165" s="51" t="n"/>
      <c r="D165" s="51" t="n"/>
      <c r="E165" s="51" t="n"/>
      <c r="F165" s="51" t="n"/>
      <c r="G165" s="51" t="n"/>
      <c r="H165" s="51" t="n"/>
      <c r="I165" s="51" t="n"/>
      <c r="J165" s="51" t="n"/>
      <c r="K165" s="51" t="n"/>
      <c r="L165" s="51" t="n"/>
      <c r="M165" s="51" t="n"/>
      <c r="N165" s="51" t="n"/>
      <c r="S165" s="51" t="n"/>
      <c r="T165" s="51" t="n"/>
      <c r="U165" s="51" t="n"/>
      <c r="V165" s="51" t="n"/>
      <c r="W165" s="51" t="n"/>
    </row>
    <row r="166">
      <c r="B166" s="51" t="n"/>
      <c r="C166" s="51" t="n"/>
      <c r="D166" s="51" t="n"/>
      <c r="E166" s="51" t="n"/>
      <c r="F166" s="51" t="n"/>
      <c r="G166" s="51" t="n"/>
      <c r="H166" s="51" t="n"/>
      <c r="I166" s="51" t="n"/>
      <c r="J166" s="51" t="n"/>
      <c r="K166" s="51" t="n"/>
      <c r="L166" s="51" t="n"/>
      <c r="M166" s="51" t="n"/>
      <c r="N166" s="51" t="n"/>
      <c r="S166" s="51" t="n"/>
      <c r="T166" s="51" t="n"/>
      <c r="U166" s="51" t="n"/>
      <c r="V166" s="51" t="n"/>
      <c r="W166" s="51" t="n"/>
    </row>
    <row r="167">
      <c r="B167" s="51" t="n"/>
      <c r="C167" s="51" t="n"/>
      <c r="D167" s="51" t="n"/>
      <c r="E167" s="51" t="n"/>
      <c r="F167" s="51" t="n"/>
      <c r="G167" s="51" t="n"/>
      <c r="H167" s="51" t="n"/>
      <c r="I167" s="51" t="n"/>
      <c r="J167" s="51" t="n"/>
      <c r="K167" s="51" t="n"/>
      <c r="L167" s="51" t="n"/>
      <c r="M167" s="51" t="n"/>
      <c r="N167" s="51" t="n"/>
      <c r="S167" s="51" t="n"/>
      <c r="T167" s="51" t="n"/>
      <c r="U167" s="51" t="n"/>
      <c r="V167" s="51" t="n"/>
      <c r="W167" s="51" t="n"/>
    </row>
    <row r="168">
      <c r="B168" s="51" t="n"/>
      <c r="C168" s="51" t="n"/>
      <c r="D168" s="51" t="n"/>
      <c r="E168" s="51" t="n"/>
      <c r="F168" s="51" t="n"/>
      <c r="G168" s="51" t="n"/>
      <c r="H168" s="51" t="n"/>
      <c r="I168" s="51" t="n"/>
      <c r="J168" s="51" t="n"/>
      <c r="K168" s="51" t="n"/>
      <c r="L168" s="51" t="n"/>
      <c r="M168" s="51" t="n"/>
      <c r="N168" s="51" t="n"/>
      <c r="S168" s="51" t="n"/>
      <c r="T168" s="51" t="n"/>
      <c r="U168" s="51" t="n"/>
      <c r="V168" s="51" t="n"/>
      <c r="W168" s="51" t="n"/>
    </row>
    <row r="169">
      <c r="B169" s="51" t="n"/>
      <c r="C169" s="51" t="n"/>
      <c r="D169" s="51" t="n"/>
      <c r="E169" s="51" t="n"/>
      <c r="F169" s="51" t="n"/>
      <c r="G169" s="51" t="n"/>
      <c r="H169" s="51" t="n"/>
      <c r="I169" s="51" t="n"/>
      <c r="J169" s="51" t="n"/>
      <c r="K169" s="51" t="n"/>
      <c r="L169" s="51" t="n"/>
      <c r="M169" s="51" t="n"/>
      <c r="N169" s="51" t="n"/>
      <c r="S169" s="51" t="n"/>
      <c r="T169" s="51" t="n"/>
      <c r="U169" s="51" t="n"/>
      <c r="V169" s="51" t="n"/>
      <c r="W169" s="51" t="n"/>
    </row>
    <row r="170">
      <c r="B170" s="51" t="n"/>
      <c r="C170" s="51" t="n"/>
      <c r="D170" s="51" t="n"/>
      <c r="E170" s="51" t="n"/>
      <c r="F170" s="51" t="n"/>
      <c r="G170" s="51" t="n"/>
      <c r="H170" s="51" t="n"/>
      <c r="I170" s="51" t="n"/>
      <c r="J170" s="51" t="n"/>
      <c r="K170" s="51" t="n"/>
      <c r="L170" s="51" t="n"/>
      <c r="M170" s="51" t="n"/>
      <c r="N170" s="51" t="n"/>
      <c r="S170" s="51" t="n"/>
      <c r="T170" s="51" t="n"/>
      <c r="U170" s="51" t="n"/>
      <c r="V170" s="51" t="n"/>
      <c r="W170" s="51" t="n"/>
    </row>
    <row r="171">
      <c r="B171" s="51" t="n"/>
      <c r="C171" s="51" t="n"/>
      <c r="D171" s="51" t="n"/>
      <c r="E171" s="51" t="n"/>
      <c r="F171" s="51" t="n"/>
      <c r="G171" s="51" t="n"/>
      <c r="H171" s="51" t="n"/>
      <c r="I171" s="51" t="n"/>
      <c r="J171" s="51" t="n"/>
      <c r="K171" s="51" t="n"/>
      <c r="L171" s="51" t="n"/>
      <c r="M171" s="51" t="n"/>
      <c r="N171" s="51" t="n"/>
      <c r="S171" s="51" t="n"/>
      <c r="T171" s="51" t="n"/>
      <c r="U171" s="51" t="n"/>
      <c r="V171" s="51" t="n"/>
      <c r="W171" s="51" t="n"/>
    </row>
    <row r="172">
      <c r="B172" s="51" t="n"/>
      <c r="C172" s="51" t="n"/>
      <c r="D172" s="51" t="n"/>
      <c r="E172" s="51" t="n"/>
      <c r="F172" s="51" t="n"/>
      <c r="G172" s="51" t="n"/>
      <c r="H172" s="51" t="n"/>
      <c r="I172" s="51" t="n"/>
      <c r="J172" s="51" t="n"/>
      <c r="K172" s="51" t="n"/>
      <c r="L172" s="51" t="n"/>
      <c r="M172" s="51" t="n"/>
      <c r="N172" s="51" t="n"/>
      <c r="S172" s="51" t="n"/>
      <c r="T172" s="51" t="n"/>
      <c r="U172" s="51" t="n"/>
      <c r="V172" s="51" t="n"/>
      <c r="W172" s="51" t="n"/>
    </row>
    <row r="173">
      <c r="B173" s="51" t="n"/>
      <c r="C173" s="51" t="n"/>
      <c r="D173" s="51" t="n"/>
      <c r="E173" s="51" t="n"/>
      <c r="F173" s="51" t="n"/>
      <c r="G173" s="51" t="n"/>
      <c r="H173" s="51" t="n"/>
      <c r="I173" s="51" t="n"/>
      <c r="J173" s="51" t="n"/>
      <c r="K173" s="51" t="n"/>
      <c r="L173" s="51" t="n"/>
      <c r="M173" s="51" t="n"/>
      <c r="N173" s="51" t="n"/>
      <c r="S173" s="51" t="n"/>
      <c r="T173" s="51" t="n"/>
      <c r="U173" s="51" t="n"/>
      <c r="V173" s="51" t="n"/>
      <c r="W173" s="51" t="n"/>
    </row>
    <row r="174">
      <c r="B174" s="51" t="n"/>
      <c r="C174" s="51" t="n"/>
      <c r="D174" s="51" t="n"/>
      <c r="E174" s="51" t="n"/>
      <c r="F174" s="51" t="n"/>
      <c r="G174" s="51" t="n"/>
      <c r="H174" s="51" t="n"/>
      <c r="I174" s="51" t="n"/>
      <c r="J174" s="51" t="n"/>
      <c r="K174" s="51" t="n"/>
      <c r="L174" s="51" t="n"/>
      <c r="M174" s="51" t="n"/>
      <c r="N174" s="51" t="n"/>
      <c r="S174" s="51" t="n"/>
      <c r="T174" s="51" t="n"/>
      <c r="U174" s="51" t="n"/>
      <c r="V174" s="51" t="n"/>
      <c r="W174" s="51" t="n"/>
    </row>
    <row r="175">
      <c r="B175" s="51" t="n"/>
      <c r="C175" s="51" t="n"/>
      <c r="D175" s="51" t="n"/>
      <c r="E175" s="51" t="n"/>
      <c r="F175" s="51" t="n"/>
      <c r="G175" s="51" t="n"/>
      <c r="H175" s="51" t="n"/>
      <c r="I175" s="51" t="n"/>
      <c r="J175" s="51" t="n"/>
      <c r="K175" s="51" t="n"/>
      <c r="L175" s="51" t="n"/>
      <c r="M175" s="51" t="n"/>
      <c r="N175" s="51" t="n"/>
      <c r="S175" s="51" t="n"/>
      <c r="T175" s="51" t="n"/>
      <c r="U175" s="51" t="n"/>
      <c r="V175" s="51" t="n"/>
      <c r="W175" s="51" t="n"/>
    </row>
    <row r="176">
      <c r="B176" s="51" t="n"/>
      <c r="C176" s="51" t="n"/>
      <c r="D176" s="51" t="n"/>
      <c r="E176" s="51" t="n"/>
      <c r="F176" s="51" t="n"/>
      <c r="G176" s="51" t="n"/>
      <c r="H176" s="51" t="n"/>
      <c r="I176" s="51" t="n"/>
      <c r="J176" s="51" t="n"/>
      <c r="K176" s="51" t="n"/>
      <c r="L176" s="51" t="n"/>
      <c r="M176" s="51" t="n"/>
      <c r="N176" s="51" t="n"/>
      <c r="S176" s="51" t="n"/>
      <c r="T176" s="51" t="n"/>
      <c r="U176" s="51" t="n"/>
      <c r="V176" s="51" t="n"/>
      <c r="W176" s="51" t="n"/>
    </row>
    <row r="177">
      <c r="B177" s="51" t="n"/>
      <c r="C177" s="51" t="n"/>
      <c r="D177" s="51" t="n"/>
      <c r="E177" s="51" t="n"/>
      <c r="F177" s="51" t="n"/>
      <c r="G177" s="51" t="n"/>
      <c r="H177" s="51" t="n"/>
      <c r="I177" s="51" t="n"/>
      <c r="J177" s="51" t="n"/>
      <c r="K177" s="51" t="n"/>
      <c r="L177" s="51" t="n"/>
      <c r="M177" s="51" t="n"/>
      <c r="N177" s="51" t="n"/>
      <c r="S177" s="51" t="n"/>
      <c r="T177" s="51" t="n"/>
      <c r="U177" s="51" t="n"/>
      <c r="V177" s="51" t="n"/>
      <c r="W177" s="51" t="n"/>
    </row>
    <row r="178">
      <c r="B178" s="51" t="n"/>
      <c r="C178" s="51" t="n"/>
      <c r="D178" s="51" t="n"/>
      <c r="E178" s="51" t="n"/>
      <c r="F178" s="51" t="n"/>
      <c r="G178" s="51" t="n"/>
      <c r="H178" s="51" t="n"/>
      <c r="I178" s="51" t="n"/>
      <c r="J178" s="51" t="n"/>
      <c r="K178" s="51" t="n"/>
      <c r="L178" s="51" t="n"/>
      <c r="M178" s="51" t="n"/>
      <c r="N178" s="51" t="n"/>
      <c r="S178" s="51" t="n"/>
      <c r="T178" s="51" t="n"/>
      <c r="U178" s="51" t="n"/>
      <c r="V178" s="51" t="n"/>
      <c r="W178" s="51" t="n"/>
    </row>
    <row r="179">
      <c r="B179" s="51" t="n"/>
      <c r="C179" s="51" t="n"/>
      <c r="D179" s="51" t="n"/>
      <c r="E179" s="51" t="n"/>
      <c r="F179" s="51" t="n"/>
      <c r="G179" s="51" t="n"/>
      <c r="H179" s="51" t="n"/>
      <c r="I179" s="51" t="n"/>
      <c r="J179" s="51" t="n"/>
      <c r="K179" s="51" t="n"/>
      <c r="L179" s="51" t="n"/>
      <c r="M179" s="51" t="n"/>
      <c r="N179" s="51" t="n"/>
      <c r="S179" s="51" t="n"/>
      <c r="T179" s="51" t="n"/>
      <c r="U179" s="51" t="n"/>
      <c r="V179" s="51" t="n"/>
      <c r="W179" s="51" t="n"/>
    </row>
    <row r="180">
      <c r="B180" s="51" t="n"/>
      <c r="C180" s="51" t="n"/>
      <c r="D180" s="51" t="n"/>
      <c r="E180" s="51" t="n"/>
      <c r="F180" s="51" t="n"/>
      <c r="G180" s="51" t="n"/>
      <c r="H180" s="51" t="n"/>
      <c r="I180" s="51" t="n"/>
      <c r="J180" s="51" t="n"/>
      <c r="K180" s="51" t="n"/>
      <c r="L180" s="51" t="n"/>
      <c r="M180" s="51" t="n"/>
      <c r="N180" s="51" t="n"/>
      <c r="S180" s="51" t="n"/>
      <c r="T180" s="51" t="n"/>
      <c r="U180" s="51" t="n"/>
      <c r="V180" s="51" t="n"/>
      <c r="W180" s="51" t="n"/>
    </row>
    <row r="181">
      <c r="B181" s="51" t="n"/>
      <c r="C181" s="51" t="n"/>
      <c r="D181" s="51" t="n"/>
      <c r="E181" s="51" t="n"/>
      <c r="F181" s="51" t="n"/>
      <c r="G181" s="51" t="n"/>
      <c r="H181" s="51" t="n"/>
      <c r="I181" s="51" t="n"/>
      <c r="J181" s="51" t="n"/>
      <c r="K181" s="51" t="n"/>
      <c r="L181" s="51" t="n"/>
      <c r="M181" s="51" t="n"/>
      <c r="N181" s="51" t="n"/>
      <c r="S181" s="51" t="n"/>
      <c r="T181" s="51" t="n"/>
      <c r="U181" s="51" t="n"/>
      <c r="V181" s="51" t="n"/>
      <c r="W181" s="51" t="n"/>
    </row>
    <row r="182">
      <c r="B182" s="51" t="n"/>
      <c r="C182" s="51" t="n"/>
      <c r="D182" s="51" t="n"/>
      <c r="E182" s="51" t="n"/>
      <c r="F182" s="51" t="n"/>
      <c r="G182" s="51" t="n"/>
      <c r="H182" s="51" t="n"/>
      <c r="I182" s="51" t="n"/>
      <c r="J182" s="51" t="n"/>
      <c r="K182" s="51" t="n"/>
      <c r="L182" s="51" t="n"/>
      <c r="M182" s="51" t="n"/>
      <c r="N182" s="51" t="n"/>
      <c r="S182" s="51" t="n"/>
      <c r="T182" s="51" t="n"/>
      <c r="U182" s="51" t="n"/>
      <c r="V182" s="51" t="n"/>
      <c r="W182" s="51" t="n"/>
    </row>
    <row r="183">
      <c r="B183" s="51" t="n"/>
      <c r="C183" s="51" t="n"/>
      <c r="D183" s="51" t="n"/>
      <c r="E183" s="51" t="n"/>
      <c r="F183" s="51" t="n"/>
      <c r="G183" s="51" t="n"/>
      <c r="H183" s="51" t="n"/>
      <c r="I183" s="51" t="n"/>
      <c r="J183" s="51" t="n"/>
      <c r="K183" s="51" t="n"/>
      <c r="L183" s="51" t="n"/>
      <c r="M183" s="51" t="n"/>
      <c r="N183" s="51" t="n"/>
      <c r="S183" s="51" t="n"/>
      <c r="T183" s="51" t="n"/>
      <c r="U183" s="51" t="n"/>
      <c r="V183" s="51" t="n"/>
      <c r="W183" s="51" t="n"/>
    </row>
    <row r="184">
      <c r="B184" s="51" t="n"/>
      <c r="C184" s="51" t="n"/>
      <c r="D184" s="51" t="n"/>
      <c r="E184" s="51" t="n"/>
      <c r="F184" s="51" t="n"/>
      <c r="G184" s="51" t="n"/>
      <c r="H184" s="51" t="n"/>
      <c r="I184" s="51" t="n"/>
      <c r="J184" s="51" t="n"/>
      <c r="K184" s="51" t="n"/>
      <c r="L184" s="51" t="n"/>
      <c r="M184" s="51" t="n"/>
      <c r="N184" s="51" t="n"/>
      <c r="S184" s="51" t="n"/>
      <c r="T184" s="51" t="n"/>
      <c r="U184" s="51" t="n"/>
      <c r="V184" s="51" t="n"/>
      <c r="W184" s="51" t="n"/>
    </row>
    <row r="185">
      <c r="B185" s="51" t="n"/>
      <c r="C185" s="51" t="n"/>
      <c r="D185" s="51" t="n"/>
      <c r="E185" s="51" t="n"/>
      <c r="F185" s="51" t="n"/>
      <c r="G185" s="51" t="n"/>
      <c r="H185" s="51" t="n"/>
      <c r="I185" s="51" t="n"/>
      <c r="J185" s="51" t="n"/>
      <c r="K185" s="51" t="n"/>
      <c r="L185" s="51" t="n"/>
      <c r="M185" s="51" t="n"/>
      <c r="N185" s="51" t="n"/>
      <c r="S185" s="51" t="n"/>
      <c r="T185" s="51" t="n"/>
      <c r="U185" s="51" t="n"/>
      <c r="V185" s="51" t="n"/>
      <c r="W185" s="51" t="n"/>
    </row>
    <row r="186">
      <c r="B186" s="51" t="n"/>
      <c r="C186" s="51" t="n"/>
      <c r="D186" s="51" t="n"/>
      <c r="E186" s="51" t="n"/>
      <c r="F186" s="51" t="n"/>
      <c r="G186" s="51" t="n"/>
      <c r="H186" s="51" t="n"/>
      <c r="I186" s="51" t="n"/>
      <c r="J186" s="51" t="n"/>
      <c r="K186" s="51" t="n"/>
      <c r="L186" s="51" t="n"/>
      <c r="M186" s="51" t="n"/>
      <c r="N186" s="51" t="n"/>
      <c r="S186" s="51" t="n"/>
      <c r="T186" s="51" t="n"/>
      <c r="U186" s="51" t="n"/>
      <c r="V186" s="51" t="n"/>
      <c r="W186" s="51" t="n"/>
    </row>
    <row r="187">
      <c r="B187" s="51" t="n"/>
      <c r="C187" s="51" t="n"/>
      <c r="D187" s="51" t="n"/>
      <c r="E187" s="51" t="n"/>
      <c r="F187" s="51" t="n"/>
      <c r="G187" s="51" t="n"/>
      <c r="H187" s="51" t="n"/>
      <c r="I187" s="51" t="n"/>
      <c r="J187" s="51" t="n"/>
      <c r="K187" s="51" t="n"/>
      <c r="L187" s="51" t="n"/>
      <c r="M187" s="51" t="n"/>
      <c r="N187" s="51" t="n"/>
      <c r="S187" s="51" t="n"/>
      <c r="T187" s="51" t="n"/>
      <c r="U187" s="51" t="n"/>
      <c r="V187" s="51" t="n"/>
      <c r="W187" s="51" t="n"/>
    </row>
    <row r="188">
      <c r="B188" s="51" t="n"/>
      <c r="C188" s="51" t="n"/>
      <c r="D188" s="51" t="n"/>
      <c r="E188" s="51" t="n"/>
      <c r="F188" s="51" t="n"/>
      <c r="G188" s="51" t="n"/>
      <c r="H188" s="51" t="n"/>
      <c r="I188" s="51" t="n"/>
      <c r="J188" s="51" t="n"/>
      <c r="K188" s="51" t="n"/>
      <c r="L188" s="51" t="n"/>
      <c r="M188" s="51" t="n"/>
      <c r="N188" s="51" t="n"/>
      <c r="S188" s="51" t="n"/>
      <c r="T188" s="51" t="n"/>
      <c r="U188" s="51" t="n"/>
      <c r="V188" s="51" t="n"/>
      <c r="W188" s="51" t="n"/>
    </row>
    <row r="189">
      <c r="B189" s="51" t="n"/>
      <c r="C189" s="51" t="n"/>
      <c r="D189" s="51" t="n"/>
      <c r="E189" s="51" t="n"/>
      <c r="F189" s="51" t="n"/>
      <c r="G189" s="51" t="n"/>
      <c r="H189" s="51" t="n"/>
      <c r="I189" s="51" t="n"/>
      <c r="J189" s="51" t="n"/>
      <c r="K189" s="51" t="n"/>
      <c r="L189" s="51" t="n"/>
      <c r="M189" s="51" t="n"/>
      <c r="N189" s="51" t="n"/>
      <c r="S189" s="51" t="n"/>
      <c r="T189" s="51" t="n"/>
      <c r="U189" s="51" t="n"/>
      <c r="V189" s="51" t="n"/>
      <c r="W189" s="51" t="n"/>
    </row>
    <row r="190">
      <c r="B190" s="51" t="n"/>
      <c r="C190" s="51" t="n"/>
      <c r="D190" s="51" t="n"/>
      <c r="E190" s="51" t="n"/>
      <c r="F190" s="51" t="n"/>
      <c r="G190" s="51" t="n"/>
      <c r="H190" s="51" t="n"/>
      <c r="I190" s="51" t="n"/>
      <c r="J190" s="51" t="n"/>
      <c r="K190" s="51" t="n"/>
      <c r="L190" s="51" t="n"/>
      <c r="M190" s="51" t="n"/>
      <c r="N190" s="51" t="n"/>
      <c r="S190" s="51" t="n"/>
      <c r="T190" s="51" t="n"/>
      <c r="U190" s="51" t="n"/>
      <c r="V190" s="51" t="n"/>
      <c r="W190" s="51" t="n"/>
    </row>
    <row r="191">
      <c r="B191" s="51" t="n"/>
      <c r="C191" s="51" t="n"/>
      <c r="D191" s="51" t="n"/>
      <c r="E191" s="51" t="n"/>
      <c r="F191" s="51" t="n"/>
      <c r="G191" s="51" t="n"/>
      <c r="H191" s="51" t="n"/>
      <c r="I191" s="51" t="n"/>
      <c r="J191" s="51" t="n"/>
      <c r="K191" s="51" t="n"/>
      <c r="L191" s="51" t="n"/>
      <c r="M191" s="51" t="n"/>
      <c r="N191" s="51" t="n"/>
      <c r="S191" s="51" t="n"/>
      <c r="T191" s="51" t="n"/>
      <c r="U191" s="51" t="n"/>
      <c r="V191" s="51" t="n"/>
      <c r="W191" s="51" t="n"/>
    </row>
    <row r="192">
      <c r="B192" s="51" t="n"/>
      <c r="C192" s="51" t="n"/>
      <c r="D192" s="51" t="n"/>
      <c r="E192" s="51" t="n"/>
      <c r="F192" s="51" t="n"/>
      <c r="G192" s="51" t="n"/>
      <c r="H192" s="51" t="n"/>
      <c r="I192" s="51" t="n"/>
      <c r="J192" s="51" t="n"/>
      <c r="K192" s="51" t="n"/>
      <c r="L192" s="51" t="n"/>
      <c r="M192" s="51" t="n"/>
      <c r="N192" s="51" t="n"/>
      <c r="S192" s="51" t="n"/>
      <c r="T192" s="51" t="n"/>
      <c r="U192" s="51" t="n"/>
      <c r="V192" s="51" t="n"/>
      <c r="W192" s="51" t="n"/>
    </row>
    <row r="193">
      <c r="B193" s="51" t="n"/>
      <c r="C193" s="51" t="n"/>
      <c r="D193" s="51" t="n"/>
      <c r="E193" s="51" t="n"/>
      <c r="F193" s="51" t="n"/>
      <c r="G193" s="51" t="n"/>
      <c r="H193" s="51" t="n"/>
      <c r="I193" s="51" t="n"/>
      <c r="J193" s="51" t="n"/>
      <c r="K193" s="51" t="n"/>
      <c r="L193" s="51" t="n"/>
      <c r="M193" s="51" t="n"/>
      <c r="N193" s="51" t="n"/>
      <c r="S193" s="51" t="n"/>
      <c r="T193" s="51" t="n"/>
      <c r="U193" s="51" t="n"/>
      <c r="V193" s="51" t="n"/>
      <c r="W193" s="51" t="n"/>
    </row>
    <row r="194">
      <c r="B194" s="51" t="n"/>
      <c r="C194" s="51" t="n"/>
      <c r="D194" s="51" t="n"/>
      <c r="E194" s="51" t="n"/>
      <c r="F194" s="51" t="n"/>
      <c r="G194" s="51" t="n"/>
      <c r="H194" s="51" t="n"/>
      <c r="I194" s="51" t="n"/>
      <c r="J194" s="51" t="n"/>
      <c r="K194" s="51" t="n"/>
      <c r="L194" s="51" t="n"/>
      <c r="M194" s="51" t="n"/>
      <c r="N194" s="51" t="n"/>
      <c r="S194" s="51" t="n"/>
      <c r="T194" s="51" t="n"/>
      <c r="U194" s="51" t="n"/>
      <c r="V194" s="51" t="n"/>
      <c r="W194" s="51" t="n"/>
    </row>
    <row r="195">
      <c r="B195" s="51" t="n"/>
      <c r="C195" s="51" t="n"/>
      <c r="D195" s="51" t="n"/>
      <c r="E195" s="51" t="n"/>
      <c r="F195" s="51" t="n"/>
      <c r="G195" s="51" t="n"/>
      <c r="H195" s="51" t="n"/>
      <c r="I195" s="51" t="n"/>
      <c r="J195" s="51" t="n"/>
      <c r="K195" s="51" t="n"/>
      <c r="L195" s="51" t="n"/>
      <c r="M195" s="51" t="n"/>
      <c r="N195" s="51" t="n"/>
      <c r="S195" s="51" t="n"/>
      <c r="T195" s="51" t="n"/>
      <c r="U195" s="51" t="n"/>
      <c r="V195" s="51" t="n"/>
      <c r="W195" s="51" t="n"/>
    </row>
    <row r="196">
      <c r="B196" s="51" t="n"/>
      <c r="C196" s="51" t="n"/>
      <c r="D196" s="51" t="n"/>
      <c r="E196" s="51" t="n"/>
      <c r="F196" s="51" t="n"/>
      <c r="G196" s="51" t="n"/>
      <c r="H196" s="51" t="n"/>
      <c r="I196" s="51" t="n"/>
      <c r="J196" s="51" t="n"/>
      <c r="K196" s="51" t="n"/>
      <c r="L196" s="51" t="n"/>
      <c r="M196" s="51" t="n"/>
      <c r="N196" s="51" t="n"/>
      <c r="S196" s="51" t="n"/>
      <c r="T196" s="51" t="n"/>
      <c r="U196" s="51" t="n"/>
      <c r="V196" s="51" t="n"/>
      <c r="W196" s="51" t="n"/>
    </row>
    <row r="197">
      <c r="B197" s="51" t="n"/>
      <c r="C197" s="51" t="n"/>
      <c r="D197" s="51" t="n"/>
      <c r="E197" s="51" t="n"/>
      <c r="F197" s="51" t="n"/>
      <c r="G197" s="51" t="n"/>
      <c r="H197" s="51" t="n"/>
      <c r="I197" s="51" t="n"/>
      <c r="J197" s="51" t="n"/>
      <c r="K197" s="51" t="n"/>
      <c r="L197" s="51" t="n"/>
      <c r="M197" s="51" t="n"/>
      <c r="N197" s="51" t="n"/>
      <c r="S197" s="51" t="n"/>
      <c r="T197" s="51" t="n"/>
      <c r="U197" s="51" t="n"/>
      <c r="V197" s="51" t="n"/>
      <c r="W197" s="51" t="n"/>
    </row>
    <row r="198">
      <c r="B198" s="51" t="n"/>
      <c r="C198" s="51" t="n"/>
      <c r="D198" s="51" t="n"/>
      <c r="E198" s="51" t="n"/>
      <c r="F198" s="51" t="n"/>
      <c r="G198" s="51" t="n"/>
      <c r="H198" s="51" t="n"/>
      <c r="I198" s="51" t="n"/>
      <c r="J198" s="51" t="n"/>
      <c r="K198" s="51" t="n"/>
      <c r="L198" s="51" t="n"/>
      <c r="M198" s="51" t="n"/>
      <c r="N198" s="51" t="n"/>
      <c r="S198" s="51" t="n"/>
      <c r="T198" s="51" t="n"/>
      <c r="U198" s="51" t="n"/>
      <c r="V198" s="51" t="n"/>
      <c r="W198" s="51" t="n"/>
    </row>
    <row r="199">
      <c r="B199" s="51" t="n"/>
      <c r="C199" s="51" t="n"/>
      <c r="D199" s="51" t="n"/>
      <c r="E199" s="51" t="n"/>
      <c r="F199" s="51" t="n"/>
      <c r="G199" s="51" t="n"/>
      <c r="H199" s="51" t="n"/>
      <c r="I199" s="51" t="n"/>
      <c r="J199" s="51" t="n"/>
      <c r="K199" s="51" t="n"/>
      <c r="L199" s="51" t="n"/>
      <c r="M199" s="51" t="n"/>
      <c r="N199" s="51" t="n"/>
      <c r="S199" s="51" t="n"/>
      <c r="T199" s="51" t="n"/>
      <c r="U199" s="51" t="n"/>
      <c r="V199" s="51" t="n"/>
      <c r="W199" s="51" t="n"/>
    </row>
    <row r="200">
      <c r="B200" s="51" t="n"/>
      <c r="C200" s="51" t="n"/>
      <c r="D200" s="51" t="n"/>
      <c r="E200" s="51" t="n"/>
      <c r="F200" s="51" t="n"/>
      <c r="G200" s="51" t="n"/>
      <c r="H200" s="51" t="n"/>
      <c r="I200" s="51" t="n"/>
      <c r="J200" s="51" t="n"/>
      <c r="K200" s="51" t="n"/>
      <c r="L200" s="51" t="n"/>
      <c r="M200" s="51" t="n"/>
      <c r="N200" s="51" t="n"/>
      <c r="S200" s="51" t="n"/>
      <c r="T200" s="51" t="n"/>
      <c r="U200" s="51" t="n"/>
      <c r="V200" s="51" t="n"/>
      <c r="W200" s="51" t="n"/>
    </row>
    <row r="201">
      <c r="B201" s="51" t="n"/>
      <c r="C201" s="51" t="n"/>
      <c r="D201" s="51" t="n"/>
      <c r="E201" s="51" t="n"/>
      <c r="F201" s="51" t="n"/>
      <c r="G201" s="51" t="n"/>
      <c r="H201" s="51" t="n"/>
      <c r="I201" s="51" t="n"/>
      <c r="J201" s="51" t="n"/>
      <c r="K201" s="51" t="n"/>
      <c r="L201" s="51" t="n"/>
      <c r="M201" s="51" t="n"/>
      <c r="N201" s="51" t="n"/>
      <c r="S201" s="51" t="n"/>
      <c r="T201" s="51" t="n"/>
      <c r="U201" s="51" t="n"/>
      <c r="V201" s="51" t="n"/>
      <c r="W201" s="51" t="n"/>
    </row>
    <row r="202">
      <c r="B202" s="51" t="n"/>
      <c r="C202" s="51" t="n"/>
      <c r="D202" s="51" t="n"/>
      <c r="E202" s="51" t="n"/>
      <c r="F202" s="51" t="n"/>
      <c r="G202" s="51" t="n"/>
      <c r="H202" s="51" t="n"/>
      <c r="I202" s="51" t="n"/>
      <c r="J202" s="51" t="n"/>
      <c r="K202" s="51" t="n"/>
      <c r="L202" s="51" t="n"/>
      <c r="M202" s="51" t="n"/>
      <c r="N202" s="51" t="n"/>
      <c r="S202" s="51" t="n"/>
      <c r="T202" s="51" t="n"/>
      <c r="U202" s="51" t="n"/>
      <c r="V202" s="51" t="n"/>
      <c r="W202" s="51" t="n"/>
    </row>
    <row r="203">
      <c r="B203" s="51" t="n"/>
      <c r="C203" s="51" t="n"/>
      <c r="D203" s="51" t="n"/>
      <c r="E203" s="51" t="n"/>
      <c r="F203" s="51" t="n"/>
      <c r="G203" s="51" t="n"/>
      <c r="H203" s="51" t="n"/>
      <c r="I203" s="51" t="n"/>
      <c r="J203" s="51" t="n"/>
      <c r="K203" s="51" t="n"/>
      <c r="L203" s="51" t="n"/>
      <c r="M203" s="51" t="n"/>
      <c r="N203" s="51" t="n"/>
      <c r="S203" s="51" t="n"/>
      <c r="T203" s="51" t="n"/>
      <c r="U203" s="51" t="n"/>
      <c r="V203" s="51" t="n"/>
      <c r="W203" s="51" t="n"/>
    </row>
    <row r="204">
      <c r="B204" s="51" t="n"/>
      <c r="C204" s="51" t="n"/>
      <c r="D204" s="51" t="n"/>
      <c r="E204" s="51" t="n"/>
      <c r="F204" s="51" t="n"/>
      <c r="G204" s="51" t="n"/>
      <c r="H204" s="51" t="n"/>
      <c r="I204" s="51" t="n"/>
      <c r="J204" s="51" t="n"/>
      <c r="K204" s="51" t="n"/>
      <c r="L204" s="51" t="n"/>
      <c r="M204" s="51" t="n"/>
      <c r="N204" s="51" t="n"/>
      <c r="S204" s="51" t="n"/>
      <c r="T204" s="51" t="n"/>
      <c r="U204" s="51" t="n"/>
      <c r="V204" s="51" t="n"/>
      <c r="W204" s="51" t="n"/>
    </row>
    <row r="205">
      <c r="B205" s="51" t="n"/>
      <c r="C205" s="51" t="n"/>
      <c r="D205" s="51" t="n"/>
      <c r="E205" s="51" t="n"/>
      <c r="F205" s="51" t="n"/>
      <c r="G205" s="51" t="n"/>
      <c r="H205" s="51" t="n"/>
      <c r="I205" s="51" t="n"/>
      <c r="J205" s="51" t="n"/>
      <c r="K205" s="51" t="n"/>
      <c r="L205" s="51" t="n"/>
      <c r="M205" s="51" t="n"/>
      <c r="N205" s="51" t="n"/>
      <c r="S205" s="51" t="n"/>
      <c r="T205" s="51" t="n"/>
      <c r="U205" s="51" t="n"/>
      <c r="V205" s="51" t="n"/>
      <c r="W205" s="51" t="n"/>
    </row>
    <row r="206">
      <c r="B206" s="51" t="n"/>
      <c r="C206" s="51" t="n"/>
      <c r="D206" s="51" t="n"/>
      <c r="E206" s="51" t="n"/>
      <c r="F206" s="51" t="n"/>
      <c r="G206" s="51" t="n"/>
      <c r="H206" s="51" t="n"/>
      <c r="I206" s="51" t="n"/>
      <c r="J206" s="51" t="n"/>
      <c r="K206" s="51" t="n"/>
      <c r="L206" s="51" t="n"/>
      <c r="M206" s="51" t="n"/>
      <c r="N206" s="51" t="n"/>
      <c r="S206" s="51" t="n"/>
      <c r="T206" s="51" t="n"/>
      <c r="U206" s="51" t="n"/>
      <c r="V206" s="51" t="n"/>
      <c r="W206" s="51" t="n"/>
    </row>
    <row r="207">
      <c r="B207" s="51" t="n"/>
      <c r="C207" s="51" t="n"/>
      <c r="D207" s="51" t="n"/>
      <c r="E207" s="51" t="n"/>
      <c r="F207" s="51" t="n"/>
      <c r="G207" s="51" t="n"/>
      <c r="H207" s="51" t="n"/>
      <c r="I207" s="51" t="n"/>
      <c r="J207" s="51" t="n"/>
      <c r="K207" s="51" t="n"/>
      <c r="L207" s="51" t="n"/>
      <c r="M207" s="51" t="n"/>
      <c r="N207" s="51" t="n"/>
      <c r="S207" s="51" t="n"/>
      <c r="T207" s="51" t="n"/>
      <c r="U207" s="51" t="n"/>
      <c r="V207" s="51" t="n"/>
      <c r="W207" s="51" t="n"/>
    </row>
    <row r="208">
      <c r="B208" s="51" t="n"/>
      <c r="C208" s="51" t="n"/>
      <c r="D208" s="51" t="n"/>
      <c r="E208" s="51" t="n"/>
      <c r="F208" s="51" t="n"/>
      <c r="G208" s="51" t="n"/>
      <c r="H208" s="51" t="n"/>
      <c r="I208" s="51" t="n"/>
      <c r="J208" s="51" t="n"/>
      <c r="K208" s="51" t="n"/>
      <c r="L208" s="51" t="n"/>
      <c r="M208" s="51" t="n"/>
      <c r="N208" s="51" t="n"/>
      <c r="S208" s="51" t="n"/>
      <c r="T208" s="51" t="n"/>
      <c r="U208" s="51" t="n"/>
      <c r="V208" s="51" t="n"/>
      <c r="W208" s="51" t="n"/>
    </row>
    <row r="209">
      <c r="B209" s="51" t="n"/>
      <c r="C209" s="51" t="n"/>
      <c r="D209" s="51" t="n"/>
      <c r="E209" s="51" t="n"/>
      <c r="F209" s="51" t="n"/>
      <c r="G209" s="51" t="n"/>
      <c r="H209" s="51" t="n"/>
      <c r="I209" s="51" t="n"/>
      <c r="J209" s="51" t="n"/>
      <c r="K209" s="51" t="n"/>
      <c r="L209" s="51" t="n"/>
      <c r="M209" s="51" t="n"/>
      <c r="N209" s="51" t="n"/>
      <c r="S209" s="51" t="n"/>
      <c r="T209" s="51" t="n"/>
      <c r="U209" s="51" t="n"/>
      <c r="V209" s="51" t="n"/>
      <c r="W209" s="51" t="n"/>
    </row>
    <row r="210">
      <c r="B210" s="51" t="n"/>
      <c r="C210" s="51" t="n"/>
      <c r="D210" s="51" t="n"/>
      <c r="E210" s="51" t="n"/>
      <c r="F210" s="51" t="n"/>
      <c r="G210" s="51" t="n"/>
      <c r="H210" s="51" t="n"/>
      <c r="I210" s="51" t="n"/>
      <c r="J210" s="51" t="n"/>
      <c r="K210" s="51" t="n"/>
      <c r="L210" s="51" t="n"/>
      <c r="M210" s="51" t="n"/>
      <c r="N210" s="51" t="n"/>
      <c r="S210" s="51" t="n"/>
      <c r="T210" s="51" t="n"/>
      <c r="U210" s="51" t="n"/>
      <c r="V210" s="51" t="n"/>
      <c r="W210" s="51" t="n"/>
    </row>
    <row r="211">
      <c r="B211" s="51" t="n"/>
      <c r="C211" s="51" t="n"/>
      <c r="D211" s="51" t="n"/>
      <c r="E211" s="51" t="n"/>
      <c r="F211" s="51" t="n"/>
      <c r="G211" s="51" t="n"/>
      <c r="H211" s="51" t="n"/>
      <c r="I211" s="51" t="n"/>
      <c r="J211" s="51" t="n"/>
      <c r="K211" s="51" t="n"/>
      <c r="L211" s="51" t="n"/>
      <c r="M211" s="51" t="n"/>
      <c r="N211" s="51" t="n"/>
      <c r="S211" s="51" t="n"/>
      <c r="T211" s="51" t="n"/>
      <c r="U211" s="51" t="n"/>
      <c r="V211" s="51" t="n"/>
      <c r="W211" s="51" t="n"/>
    </row>
    <row r="212">
      <c r="B212" s="51" t="n"/>
      <c r="C212" s="51" t="n"/>
      <c r="D212" s="51" t="n"/>
      <c r="E212" s="51" t="n"/>
      <c r="F212" s="51" t="n"/>
      <c r="G212" s="51" t="n"/>
      <c r="H212" s="51" t="n"/>
      <c r="I212" s="51" t="n"/>
      <c r="J212" s="51" t="n"/>
      <c r="K212" s="51" t="n"/>
      <c r="L212" s="51" t="n"/>
      <c r="M212" s="51" t="n"/>
      <c r="N212" s="51" t="n"/>
      <c r="S212" s="51" t="n"/>
      <c r="T212" s="51" t="n"/>
      <c r="U212" s="51" t="n"/>
      <c r="V212" s="51" t="n"/>
      <c r="W212" s="51" t="n"/>
    </row>
    <row r="213">
      <c r="B213" s="51" t="n"/>
      <c r="C213" s="51" t="n"/>
      <c r="D213" s="51" t="n"/>
      <c r="E213" s="51" t="n"/>
      <c r="F213" s="51" t="n"/>
      <c r="G213" s="51" t="n"/>
      <c r="H213" s="51" t="n"/>
      <c r="I213" s="51" t="n"/>
      <c r="J213" s="51" t="n"/>
      <c r="K213" s="51" t="n"/>
      <c r="L213" s="51" t="n"/>
      <c r="M213" s="51" t="n"/>
      <c r="N213" s="51" t="n"/>
      <c r="S213" s="51" t="n"/>
      <c r="T213" s="51" t="n"/>
      <c r="U213" s="51" t="n"/>
      <c r="V213" s="51" t="n"/>
      <c r="W213" s="51" t="n"/>
    </row>
    <row r="214">
      <c r="B214" s="51" t="n"/>
      <c r="C214" s="51" t="n"/>
      <c r="D214" s="51" t="n"/>
      <c r="E214" s="51" t="n"/>
      <c r="F214" s="51" t="n"/>
      <c r="G214" s="51" t="n"/>
      <c r="H214" s="51" t="n"/>
      <c r="I214" s="51" t="n"/>
      <c r="J214" s="51" t="n"/>
      <c r="K214" s="51" t="n"/>
      <c r="L214" s="51" t="n"/>
      <c r="M214" s="51" t="n"/>
      <c r="N214" s="51" t="n"/>
      <c r="S214" s="51" t="n"/>
      <c r="T214" s="51" t="n"/>
      <c r="U214" s="51" t="n"/>
      <c r="V214" s="51" t="n"/>
      <c r="W214" s="51" t="n"/>
    </row>
    <row r="215">
      <c r="B215" s="51" t="n"/>
      <c r="C215" s="51" t="n"/>
      <c r="D215" s="51" t="n"/>
      <c r="E215" s="51" t="n"/>
      <c r="F215" s="51" t="n"/>
      <c r="G215" s="51" t="n"/>
      <c r="H215" s="51" t="n"/>
      <c r="I215" s="51" t="n"/>
      <c r="J215" s="51" t="n"/>
      <c r="K215" s="51" t="n"/>
      <c r="L215" s="51" t="n"/>
      <c r="M215" s="51" t="n"/>
      <c r="N215" s="51" t="n"/>
      <c r="S215" s="51" t="n"/>
      <c r="T215" s="51" t="n"/>
      <c r="U215" s="51" t="n"/>
      <c r="V215" s="51" t="n"/>
      <c r="W215" s="51" t="n"/>
    </row>
    <row r="216">
      <c r="B216" s="51" t="n"/>
      <c r="C216" s="51" t="n"/>
      <c r="D216" s="51" t="n"/>
      <c r="E216" s="51" t="n"/>
      <c r="F216" s="51" t="n"/>
      <c r="G216" s="51" t="n"/>
      <c r="H216" s="51" t="n"/>
      <c r="I216" s="51" t="n"/>
      <c r="J216" s="51" t="n"/>
      <c r="K216" s="51" t="n"/>
      <c r="L216" s="51" t="n"/>
      <c r="M216" s="51" t="n"/>
      <c r="N216" s="51" t="n"/>
      <c r="S216" s="51" t="n"/>
      <c r="T216" s="51" t="n"/>
      <c r="U216" s="51" t="n"/>
      <c r="V216" s="51" t="n"/>
      <c r="W216" s="51" t="n"/>
    </row>
    <row r="217">
      <c r="B217" s="51" t="n"/>
      <c r="C217" s="51" t="n"/>
      <c r="D217" s="51" t="n"/>
      <c r="E217" s="51" t="n"/>
      <c r="F217" s="51" t="n"/>
      <c r="G217" s="51" t="n"/>
      <c r="H217" s="51" t="n"/>
      <c r="I217" s="51" t="n"/>
      <c r="J217" s="51" t="n"/>
      <c r="K217" s="51" t="n"/>
      <c r="L217" s="51" t="n"/>
      <c r="M217" s="51" t="n"/>
      <c r="N217" s="51" t="n"/>
      <c r="S217" s="51" t="n"/>
      <c r="T217" s="51" t="n"/>
      <c r="U217" s="51" t="n"/>
      <c r="V217" s="51" t="n"/>
      <c r="W217" s="51" t="n"/>
    </row>
    <row r="218">
      <c r="B218" s="51" t="n"/>
      <c r="C218" s="51" t="n"/>
      <c r="D218" s="51" t="n"/>
      <c r="E218" s="51" t="n"/>
      <c r="F218" s="51" t="n"/>
      <c r="G218" s="51" t="n"/>
      <c r="H218" s="51" t="n"/>
      <c r="I218" s="51" t="n"/>
      <c r="J218" s="51" t="n"/>
      <c r="K218" s="51" t="n"/>
      <c r="L218" s="51" t="n"/>
      <c r="M218" s="51" t="n"/>
      <c r="N218" s="51" t="n"/>
      <c r="S218" s="51" t="n"/>
      <c r="T218" s="51" t="n"/>
      <c r="U218" s="51" t="n"/>
      <c r="V218" s="51" t="n"/>
      <c r="W218" s="51" t="n"/>
    </row>
    <row r="219">
      <c r="B219" s="51" t="n"/>
      <c r="C219" s="51" t="n"/>
      <c r="D219" s="51" t="n"/>
      <c r="E219" s="51" t="n"/>
      <c r="F219" s="51" t="n"/>
      <c r="G219" s="51" t="n"/>
      <c r="H219" s="51" t="n"/>
      <c r="I219" s="51" t="n"/>
      <c r="J219" s="51" t="n"/>
      <c r="K219" s="51" t="n"/>
      <c r="L219" s="51" t="n"/>
      <c r="M219" s="51" t="n"/>
      <c r="N219" s="51" t="n"/>
      <c r="S219" s="51" t="n"/>
      <c r="T219" s="51" t="n"/>
      <c r="U219" s="51" t="n"/>
      <c r="V219" s="51" t="n"/>
      <c r="W219" s="51" t="n"/>
    </row>
    <row r="220">
      <c r="B220" s="51" t="n"/>
      <c r="C220" s="51" t="n"/>
      <c r="D220" s="51" t="n"/>
      <c r="E220" s="51" t="n"/>
      <c r="F220" s="51" t="n"/>
      <c r="G220" s="51" t="n"/>
      <c r="H220" s="51" t="n"/>
      <c r="I220" s="51" t="n"/>
      <c r="J220" s="51" t="n"/>
      <c r="K220" s="51" t="n"/>
      <c r="L220" s="51" t="n"/>
      <c r="M220" s="51" t="n"/>
      <c r="N220" s="51" t="n"/>
      <c r="S220" s="51" t="n"/>
      <c r="T220" s="51" t="n"/>
      <c r="U220" s="51" t="n"/>
      <c r="V220" s="51" t="n"/>
      <c r="W220" s="51" t="n"/>
    </row>
    <row r="221">
      <c r="B221" s="51" t="n"/>
      <c r="C221" s="51" t="n"/>
      <c r="D221" s="51" t="n"/>
      <c r="E221" s="51" t="n"/>
      <c r="F221" s="51" t="n"/>
      <c r="G221" s="51" t="n"/>
      <c r="H221" s="51" t="n"/>
      <c r="I221" s="51" t="n"/>
      <c r="J221" s="51" t="n"/>
      <c r="K221" s="51" t="n"/>
      <c r="L221" s="51" t="n"/>
      <c r="M221" s="51" t="n"/>
      <c r="N221" s="51" t="n"/>
      <c r="S221" s="51" t="n"/>
      <c r="T221" s="51" t="n"/>
      <c r="U221" s="51" t="n"/>
      <c r="V221" s="51" t="n"/>
      <c r="W221" s="51" t="n"/>
    </row>
    <row r="222">
      <c r="B222" s="51" t="n"/>
      <c r="C222" s="51" t="n"/>
      <c r="D222" s="51" t="n"/>
      <c r="E222" s="51" t="n"/>
      <c r="F222" s="51" t="n"/>
      <c r="G222" s="51" t="n"/>
      <c r="H222" s="51" t="n"/>
      <c r="I222" s="51" t="n"/>
      <c r="J222" s="51" t="n"/>
      <c r="K222" s="51" t="n"/>
      <c r="L222" s="51" t="n"/>
      <c r="M222" s="51" t="n"/>
      <c r="N222" s="51" t="n"/>
      <c r="S222" s="51" t="n"/>
      <c r="T222" s="51" t="n"/>
      <c r="U222" s="51" t="n"/>
      <c r="V222" s="51" t="n"/>
      <c r="W222" s="51" t="n"/>
    </row>
    <row r="223">
      <c r="B223" s="51" t="n"/>
      <c r="C223" s="51" t="n"/>
      <c r="D223" s="51" t="n"/>
      <c r="E223" s="51" t="n"/>
      <c r="F223" s="51" t="n"/>
      <c r="G223" s="51" t="n"/>
      <c r="H223" s="51" t="n"/>
      <c r="I223" s="51" t="n"/>
      <c r="J223" s="51" t="n"/>
      <c r="K223" s="51" t="n"/>
      <c r="L223" s="51" t="n"/>
      <c r="M223" s="51" t="n"/>
      <c r="N223" s="51" t="n"/>
      <c r="S223" s="51" t="n"/>
      <c r="T223" s="51" t="n"/>
      <c r="U223" s="51" t="n"/>
      <c r="V223" s="51" t="n"/>
      <c r="W223" s="51" t="n"/>
    </row>
    <row r="224">
      <c r="B224" s="51" t="n"/>
      <c r="C224" s="51" t="n"/>
      <c r="D224" s="51" t="n"/>
      <c r="E224" s="51" t="n"/>
      <c r="F224" s="51" t="n"/>
      <c r="G224" s="51" t="n"/>
      <c r="H224" s="51" t="n"/>
      <c r="I224" s="51" t="n"/>
      <c r="J224" s="51" t="n"/>
      <c r="K224" s="51" t="n"/>
      <c r="L224" s="51" t="n"/>
      <c r="M224" s="51" t="n"/>
      <c r="N224" s="51" t="n"/>
      <c r="S224" s="51" t="n"/>
      <c r="T224" s="51" t="n"/>
      <c r="U224" s="51" t="n"/>
      <c r="V224" s="51" t="n"/>
      <c r="W224" s="51" t="n"/>
    </row>
    <row r="225">
      <c r="B225" s="51" t="n"/>
      <c r="C225" s="51" t="n"/>
      <c r="D225" s="51" t="n"/>
      <c r="E225" s="51" t="n"/>
      <c r="F225" s="51" t="n"/>
      <c r="G225" s="51" t="n"/>
      <c r="H225" s="51" t="n"/>
      <c r="I225" s="51" t="n"/>
      <c r="J225" s="51" t="n"/>
      <c r="K225" s="51" t="n"/>
      <c r="L225" s="51" t="n"/>
      <c r="M225" s="51" t="n"/>
      <c r="N225" s="51" t="n"/>
      <c r="S225" s="51" t="n"/>
      <c r="T225" s="51" t="n"/>
      <c r="U225" s="51" t="n"/>
      <c r="V225" s="51" t="n"/>
      <c r="W225" s="51" t="n"/>
    </row>
    <row r="226">
      <c r="B226" s="51" t="n"/>
      <c r="C226" s="51" t="n"/>
      <c r="D226" s="51" t="n"/>
      <c r="E226" s="51" t="n"/>
      <c r="F226" s="51" t="n"/>
      <c r="G226" s="51" t="n"/>
      <c r="H226" s="51" t="n"/>
      <c r="I226" s="51" t="n"/>
      <c r="J226" s="51" t="n"/>
      <c r="K226" s="51" t="n"/>
      <c r="L226" s="51" t="n"/>
      <c r="M226" s="51" t="n"/>
      <c r="N226" s="51" t="n"/>
      <c r="S226" s="51" t="n"/>
      <c r="T226" s="51" t="n"/>
      <c r="U226" s="51" t="n"/>
      <c r="V226" s="51" t="n"/>
      <c r="W226" s="51" t="n"/>
    </row>
    <row r="227">
      <c r="B227" s="51" t="n"/>
      <c r="C227" s="51" t="n"/>
      <c r="D227" s="51" t="n"/>
      <c r="E227" s="51" t="n"/>
      <c r="F227" s="51" t="n"/>
      <c r="G227" s="51" t="n"/>
      <c r="H227" s="51" t="n"/>
      <c r="I227" s="51" t="n"/>
      <c r="J227" s="51" t="n"/>
      <c r="K227" s="51" t="n"/>
      <c r="L227" s="51" t="n"/>
      <c r="M227" s="51" t="n"/>
      <c r="N227" s="51" t="n"/>
      <c r="S227" s="51" t="n"/>
      <c r="T227" s="51" t="n"/>
      <c r="U227" s="51" t="n"/>
      <c r="V227" s="51" t="n"/>
      <c r="W227" s="51" t="n"/>
    </row>
    <row r="228">
      <c r="B228" s="51" t="n"/>
      <c r="C228" s="51" t="n"/>
      <c r="D228" s="51" t="n"/>
      <c r="E228" s="51" t="n"/>
      <c r="F228" s="51" t="n"/>
      <c r="G228" s="51" t="n"/>
      <c r="H228" s="51" t="n"/>
      <c r="I228" s="51" t="n"/>
      <c r="J228" s="51" t="n"/>
      <c r="K228" s="51" t="n"/>
      <c r="L228" s="51" t="n"/>
      <c r="M228" s="51" t="n"/>
      <c r="N228" s="51" t="n"/>
      <c r="S228" s="51" t="n"/>
      <c r="T228" s="51" t="n"/>
      <c r="U228" s="51" t="n"/>
      <c r="V228" s="51" t="n"/>
      <c r="W228" s="51" t="n"/>
    </row>
    <row r="229">
      <c r="B229" s="51" t="n"/>
      <c r="C229" s="51" t="n"/>
      <c r="D229" s="51" t="n"/>
      <c r="E229" s="51" t="n"/>
      <c r="F229" s="51" t="n"/>
      <c r="G229" s="51" t="n"/>
      <c r="H229" s="51" t="n"/>
      <c r="I229" s="51" t="n"/>
      <c r="J229" s="51" t="n"/>
      <c r="K229" s="51" t="n"/>
      <c r="L229" s="51" t="n"/>
      <c r="M229" s="51" t="n"/>
      <c r="N229" s="51" t="n"/>
      <c r="S229" s="51" t="n"/>
      <c r="T229" s="51" t="n"/>
      <c r="U229" s="51" t="n"/>
      <c r="V229" s="51" t="n"/>
      <c r="W229" s="51" t="n"/>
    </row>
    <row r="230">
      <c r="B230" s="51" t="n"/>
      <c r="C230" s="51" t="n"/>
      <c r="D230" s="51" t="n"/>
      <c r="E230" s="51" t="n"/>
      <c r="F230" s="51" t="n"/>
      <c r="G230" s="51" t="n"/>
      <c r="H230" s="51" t="n"/>
      <c r="I230" s="51" t="n"/>
      <c r="J230" s="51" t="n"/>
      <c r="K230" s="51" t="n"/>
      <c r="L230" s="51" t="n"/>
      <c r="M230" s="51" t="n"/>
      <c r="N230" s="51" t="n"/>
      <c r="S230" s="51" t="n"/>
      <c r="T230" s="51" t="n"/>
      <c r="U230" s="51" t="n"/>
      <c r="V230" s="51" t="n"/>
      <c r="W230" s="51" t="n"/>
    </row>
    <row r="231">
      <c r="B231" s="51" t="n"/>
      <c r="C231" s="51" t="n"/>
      <c r="D231" s="51" t="n"/>
      <c r="E231" s="51" t="n"/>
      <c r="F231" s="51" t="n"/>
      <c r="G231" s="51" t="n"/>
      <c r="H231" s="51" t="n"/>
      <c r="I231" s="51" t="n"/>
      <c r="J231" s="51" t="n"/>
      <c r="K231" s="51" t="n"/>
      <c r="L231" s="51" t="n"/>
      <c r="M231" s="51" t="n"/>
      <c r="N231" s="51" t="n"/>
      <c r="S231" s="51" t="n"/>
      <c r="T231" s="51" t="n"/>
      <c r="U231" s="51" t="n"/>
      <c r="V231" s="51" t="n"/>
      <c r="W231" s="51" t="n"/>
    </row>
    <row r="232">
      <c r="B232" s="51" t="n"/>
      <c r="C232" s="51" t="n"/>
      <c r="D232" s="51" t="n"/>
      <c r="E232" s="51" t="n"/>
      <c r="F232" s="51" t="n"/>
      <c r="G232" s="51" t="n"/>
      <c r="H232" s="51" t="n"/>
      <c r="I232" s="51" t="n"/>
      <c r="J232" s="51" t="n"/>
      <c r="K232" s="51" t="n"/>
      <c r="L232" s="51" t="n"/>
      <c r="M232" s="51" t="n"/>
      <c r="N232" s="51" t="n"/>
      <c r="S232" s="51" t="n"/>
      <c r="T232" s="51" t="n"/>
      <c r="U232" s="51" t="n"/>
      <c r="V232" s="51" t="n"/>
      <c r="W232" s="51" t="n"/>
    </row>
    <row r="233">
      <c r="B233" s="51" t="n"/>
      <c r="C233" s="51" t="n"/>
      <c r="D233" s="51" t="n"/>
      <c r="E233" s="51" t="n"/>
      <c r="F233" s="51" t="n"/>
      <c r="G233" s="51" t="n"/>
      <c r="H233" s="51" t="n"/>
      <c r="I233" s="51" t="n"/>
      <c r="J233" s="51" t="n"/>
      <c r="K233" s="51" t="n"/>
      <c r="L233" s="51" t="n"/>
      <c r="M233" s="51" t="n"/>
      <c r="N233" s="51" t="n"/>
      <c r="S233" s="51" t="n"/>
      <c r="T233" s="51" t="n"/>
      <c r="U233" s="51" t="n"/>
      <c r="V233" s="51" t="n"/>
      <c r="W233" s="51" t="n"/>
    </row>
    <row r="234">
      <c r="B234" s="51" t="n"/>
      <c r="C234" s="51" t="n"/>
      <c r="D234" s="51" t="n"/>
      <c r="E234" s="51" t="n"/>
      <c r="F234" s="51" t="n"/>
      <c r="G234" s="51" t="n"/>
      <c r="H234" s="51" t="n"/>
      <c r="I234" s="51" t="n"/>
      <c r="J234" s="51" t="n"/>
      <c r="K234" s="51" t="n"/>
      <c r="L234" s="51" t="n"/>
      <c r="M234" s="51" t="n"/>
      <c r="N234" s="51" t="n"/>
      <c r="S234" s="51" t="n"/>
      <c r="T234" s="51" t="n"/>
      <c r="U234" s="51" t="n"/>
      <c r="V234" s="51" t="n"/>
      <c r="W234" s="51" t="n"/>
    </row>
    <row r="235">
      <c r="B235" s="51" t="n"/>
      <c r="C235" s="51" t="n"/>
      <c r="D235" s="51" t="n"/>
      <c r="E235" s="51" t="n"/>
      <c r="F235" s="51" t="n"/>
      <c r="G235" s="51" t="n"/>
      <c r="H235" s="51" t="n"/>
      <c r="I235" s="51" t="n"/>
      <c r="J235" s="51" t="n"/>
      <c r="K235" s="51" t="n"/>
      <c r="L235" s="51" t="n"/>
      <c r="M235" s="51" t="n"/>
      <c r="N235" s="51" t="n"/>
      <c r="S235" s="51" t="n"/>
      <c r="T235" s="51" t="n"/>
      <c r="U235" s="51" t="n"/>
      <c r="V235" s="51" t="n"/>
      <c r="W235" s="51" t="n"/>
    </row>
    <row r="236">
      <c r="B236" s="51" t="n"/>
      <c r="C236" s="51" t="n"/>
      <c r="D236" s="51" t="n"/>
      <c r="E236" s="51" t="n"/>
      <c r="F236" s="51" t="n"/>
      <c r="G236" s="51" t="n"/>
      <c r="H236" s="51" t="n"/>
      <c r="I236" s="51" t="n"/>
      <c r="J236" s="51" t="n"/>
      <c r="K236" s="51" t="n"/>
      <c r="L236" s="51" t="n"/>
      <c r="M236" s="51" t="n"/>
      <c r="N236" s="51" t="n"/>
      <c r="S236" s="51" t="n"/>
      <c r="T236" s="51" t="n"/>
      <c r="U236" s="51" t="n"/>
      <c r="V236" s="51" t="n"/>
      <c r="W236" s="51" t="n"/>
    </row>
    <row r="237">
      <c r="B237" s="51" t="n"/>
      <c r="C237" s="51" t="n"/>
      <c r="D237" s="51" t="n"/>
      <c r="E237" s="51" t="n"/>
      <c r="F237" s="51" t="n"/>
      <c r="G237" s="51" t="n"/>
      <c r="H237" s="51" t="n"/>
      <c r="I237" s="51" t="n"/>
      <c r="J237" s="51" t="n"/>
      <c r="K237" s="51" t="n"/>
      <c r="L237" s="51" t="n"/>
      <c r="M237" s="51" t="n"/>
      <c r="N237" s="51" t="n"/>
      <c r="S237" s="51" t="n"/>
      <c r="T237" s="51" t="n"/>
      <c r="U237" s="51" t="n"/>
      <c r="V237" s="51" t="n"/>
      <c r="W237" s="51" t="n"/>
    </row>
    <row r="238">
      <c r="B238" s="51" t="n"/>
      <c r="C238" s="51" t="n"/>
      <c r="D238" s="51" t="n"/>
      <c r="E238" s="51" t="n"/>
      <c r="F238" s="51" t="n"/>
      <c r="G238" s="51" t="n"/>
      <c r="H238" s="51" t="n"/>
      <c r="I238" s="51" t="n"/>
      <c r="J238" s="51" t="n"/>
      <c r="K238" s="51" t="n"/>
      <c r="L238" s="51" t="n"/>
      <c r="M238" s="51" t="n"/>
      <c r="N238" s="51" t="n"/>
      <c r="S238" s="51" t="n"/>
      <c r="T238" s="51" t="n"/>
      <c r="U238" s="51" t="n"/>
      <c r="V238" s="51" t="n"/>
      <c r="W238" s="51" t="n"/>
    </row>
    <row r="239">
      <c r="B239" s="51" t="n"/>
      <c r="C239" s="51" t="n"/>
      <c r="D239" s="51" t="n"/>
      <c r="E239" s="51" t="n"/>
      <c r="F239" s="51" t="n"/>
      <c r="G239" s="51" t="n"/>
      <c r="H239" s="51" t="n"/>
      <c r="I239" s="51" t="n"/>
      <c r="J239" s="51" t="n"/>
      <c r="K239" s="51" t="n"/>
      <c r="L239" s="51" t="n"/>
      <c r="M239" s="51" t="n"/>
      <c r="N239" s="51" t="n"/>
      <c r="S239" s="51" t="n"/>
      <c r="T239" s="51" t="n"/>
      <c r="U239" s="51" t="n"/>
      <c r="V239" s="51" t="n"/>
      <c r="W239" s="51" t="n"/>
    </row>
    <row r="240">
      <c r="B240" s="51" t="n"/>
      <c r="C240" s="51" t="n"/>
      <c r="D240" s="51" t="n"/>
      <c r="E240" s="51" t="n"/>
      <c r="F240" s="51" t="n"/>
      <c r="G240" s="51" t="n"/>
      <c r="H240" s="51" t="n"/>
      <c r="I240" s="51" t="n"/>
      <c r="J240" s="51" t="n"/>
      <c r="K240" s="51" t="n"/>
      <c r="L240" s="51" t="n"/>
      <c r="M240" s="51" t="n"/>
      <c r="N240" s="51" t="n"/>
      <c r="S240" s="51" t="n"/>
      <c r="T240" s="51" t="n"/>
      <c r="U240" s="51" t="n"/>
      <c r="V240" s="51" t="n"/>
      <c r="W240" s="51" t="n"/>
    </row>
    <row r="241">
      <c r="B241" s="51" t="n"/>
      <c r="C241" s="51" t="n"/>
      <c r="D241" s="51" t="n"/>
      <c r="E241" s="51" t="n"/>
      <c r="F241" s="51" t="n"/>
      <c r="G241" s="51" t="n"/>
      <c r="H241" s="51" t="n"/>
      <c r="I241" s="51" t="n"/>
      <c r="J241" s="51" t="n"/>
      <c r="K241" s="51" t="n"/>
      <c r="L241" s="51" t="n"/>
      <c r="M241" s="51" t="n"/>
      <c r="N241" s="51" t="n"/>
      <c r="S241" s="51" t="n"/>
      <c r="T241" s="51" t="n"/>
      <c r="U241" s="51" t="n"/>
      <c r="V241" s="51" t="n"/>
      <c r="W241" s="51" t="n"/>
    </row>
    <row r="242">
      <c r="B242" s="51" t="n"/>
      <c r="C242" s="51" t="n"/>
      <c r="D242" s="51" t="n"/>
      <c r="E242" s="51" t="n"/>
      <c r="F242" s="51" t="n"/>
      <c r="G242" s="51" t="n"/>
      <c r="H242" s="51" t="n"/>
      <c r="I242" s="51" t="n"/>
      <c r="J242" s="51" t="n"/>
      <c r="K242" s="51" t="n"/>
      <c r="L242" s="51" t="n"/>
      <c r="M242" s="51" t="n"/>
      <c r="N242" s="51" t="n"/>
      <c r="S242" s="51" t="n"/>
      <c r="T242" s="51" t="n"/>
      <c r="U242" s="51" t="n"/>
      <c r="V242" s="51" t="n"/>
      <c r="W242" s="51" t="n"/>
    </row>
    <row r="243">
      <c r="B243" s="51" t="n"/>
      <c r="C243" s="51" t="n"/>
      <c r="D243" s="51" t="n"/>
      <c r="E243" s="51" t="n"/>
      <c r="F243" s="51" t="n"/>
      <c r="G243" s="51" t="n"/>
      <c r="H243" s="51" t="n"/>
      <c r="I243" s="51" t="n"/>
      <c r="J243" s="51" t="n"/>
      <c r="K243" s="51" t="n"/>
      <c r="L243" s="51" t="n"/>
      <c r="M243" s="51" t="n"/>
      <c r="N243" s="51" t="n"/>
      <c r="S243" s="51" t="n"/>
      <c r="T243" s="51" t="n"/>
      <c r="U243" s="51" t="n"/>
      <c r="V243" s="51" t="n"/>
      <c r="W243" s="51" t="n"/>
    </row>
    <row r="244">
      <c r="B244" s="51" t="n"/>
      <c r="C244" s="51" t="n"/>
      <c r="D244" s="51" t="n"/>
      <c r="E244" s="51" t="n"/>
      <c r="F244" s="51" t="n"/>
      <c r="G244" s="51" t="n"/>
      <c r="H244" s="51" t="n"/>
      <c r="I244" s="51" t="n"/>
      <c r="J244" s="51" t="n"/>
      <c r="K244" s="51" t="n"/>
      <c r="L244" s="51" t="n"/>
      <c r="M244" s="51" t="n"/>
      <c r="N244" s="51" t="n"/>
      <c r="S244" s="51" t="n"/>
      <c r="T244" s="51" t="n"/>
      <c r="U244" s="51" t="n"/>
      <c r="V244" s="51" t="n"/>
      <c r="W244" s="51" t="n"/>
    </row>
    <row r="245">
      <c r="B245" s="51" t="n"/>
      <c r="C245" s="51" t="n"/>
      <c r="D245" s="51" t="n"/>
      <c r="E245" s="51" t="n"/>
      <c r="F245" s="51" t="n"/>
      <c r="G245" s="51" t="n"/>
      <c r="H245" s="51" t="n"/>
      <c r="I245" s="51" t="n"/>
      <c r="J245" s="51" t="n"/>
      <c r="K245" s="51" t="n"/>
      <c r="L245" s="51" t="n"/>
      <c r="M245" s="51" t="n"/>
      <c r="N245" s="51" t="n"/>
      <c r="S245" s="51" t="n"/>
      <c r="T245" s="51" t="n"/>
      <c r="U245" s="51" t="n"/>
      <c r="V245" s="51" t="n"/>
      <c r="W245" s="51" t="n"/>
    </row>
    <row r="246">
      <c r="B246" s="51" t="n"/>
      <c r="C246" s="51" t="n"/>
      <c r="D246" s="51" t="n"/>
      <c r="E246" s="51" t="n"/>
      <c r="F246" s="51" t="n"/>
      <c r="G246" s="51" t="n"/>
      <c r="H246" s="51" t="n"/>
      <c r="I246" s="51" t="n"/>
      <c r="J246" s="51" t="n"/>
      <c r="K246" s="51" t="n"/>
      <c r="L246" s="51" t="n"/>
      <c r="M246" s="51" t="n"/>
      <c r="N246" s="51" t="n"/>
      <c r="S246" s="51" t="n"/>
      <c r="T246" s="51" t="n"/>
      <c r="U246" s="51" t="n"/>
      <c r="V246" s="51" t="n"/>
      <c r="W246" s="51" t="n"/>
    </row>
    <row r="247">
      <c r="B247" s="51" t="n"/>
      <c r="C247" s="51" t="n"/>
      <c r="D247" s="51" t="n"/>
      <c r="E247" s="51" t="n"/>
      <c r="F247" s="51" t="n"/>
      <c r="G247" s="51" t="n"/>
      <c r="H247" s="51" t="n"/>
      <c r="I247" s="51" t="n"/>
      <c r="J247" s="51" t="n"/>
      <c r="K247" s="51" t="n"/>
      <c r="L247" s="51" t="n"/>
      <c r="M247" s="51" t="n"/>
      <c r="N247" s="51" t="n"/>
      <c r="S247" s="51" t="n"/>
      <c r="T247" s="51" t="n"/>
      <c r="U247" s="51" t="n"/>
      <c r="V247" s="51" t="n"/>
      <c r="W247" s="51" t="n"/>
    </row>
    <row r="248">
      <c r="B248" s="51" t="n"/>
      <c r="C248" s="51" t="n"/>
      <c r="D248" s="51" t="n"/>
      <c r="E248" s="51" t="n"/>
      <c r="F248" s="51" t="n"/>
      <c r="G248" s="51" t="n"/>
      <c r="H248" s="51" t="n"/>
      <c r="I248" s="51" t="n"/>
      <c r="J248" s="51" t="n"/>
      <c r="K248" s="51" t="n"/>
      <c r="L248" s="51" t="n"/>
      <c r="M248" s="51" t="n"/>
      <c r="N248" s="51" t="n"/>
      <c r="S248" s="51" t="n"/>
      <c r="T248" s="51" t="n"/>
      <c r="U248" s="51" t="n"/>
      <c r="V248" s="51" t="n"/>
      <c r="W248" s="51" t="n"/>
    </row>
    <row r="249">
      <c r="B249" s="51" t="n"/>
      <c r="C249" s="51" t="n"/>
      <c r="D249" s="51" t="n"/>
      <c r="E249" s="51" t="n"/>
      <c r="F249" s="51" t="n"/>
      <c r="G249" s="51" t="n"/>
      <c r="H249" s="51" t="n"/>
      <c r="I249" s="51" t="n"/>
      <c r="J249" s="51" t="n"/>
      <c r="K249" s="51" t="n"/>
      <c r="L249" s="51" t="n"/>
      <c r="M249" s="51" t="n"/>
      <c r="N249" s="51" t="n"/>
      <c r="S249" s="51" t="n"/>
      <c r="T249" s="51" t="n"/>
      <c r="U249" s="51" t="n"/>
      <c r="V249" s="51" t="n"/>
      <c r="W249" s="51" t="n"/>
    </row>
    <row r="250">
      <c r="B250" s="51" t="n"/>
      <c r="C250" s="51" t="n"/>
      <c r="D250" s="51" t="n"/>
      <c r="E250" s="51" t="n"/>
      <c r="F250" s="51" t="n"/>
      <c r="G250" s="51" t="n"/>
      <c r="H250" s="51" t="n"/>
      <c r="I250" s="51" t="n"/>
      <c r="J250" s="51" t="n"/>
      <c r="K250" s="51" t="n"/>
      <c r="L250" s="51" t="n"/>
      <c r="M250" s="51" t="n"/>
      <c r="N250" s="51" t="n"/>
      <c r="S250" s="51" t="n"/>
      <c r="T250" s="51" t="n"/>
      <c r="U250" s="51" t="n"/>
      <c r="V250" s="51" t="n"/>
      <c r="W250" s="51" t="n"/>
    </row>
    <row r="251">
      <c r="B251" s="51" t="n"/>
      <c r="C251" s="51" t="n"/>
      <c r="D251" s="51" t="n"/>
      <c r="E251" s="51" t="n"/>
      <c r="F251" s="51" t="n"/>
      <c r="G251" s="51" t="n"/>
      <c r="H251" s="51" t="n"/>
      <c r="I251" s="51" t="n"/>
      <c r="J251" s="51" t="n"/>
      <c r="K251" s="51" t="n"/>
      <c r="L251" s="51" t="n"/>
      <c r="M251" s="51" t="n"/>
      <c r="N251" s="51" t="n"/>
      <c r="S251" s="51" t="n"/>
      <c r="T251" s="51" t="n"/>
      <c r="U251" s="51" t="n"/>
      <c r="V251" s="51" t="n"/>
      <c r="W251" s="51" t="n"/>
    </row>
    <row r="252">
      <c r="B252" s="51" t="n"/>
      <c r="C252" s="51" t="n"/>
      <c r="D252" s="51" t="n"/>
      <c r="E252" s="51" t="n"/>
      <c r="F252" s="51" t="n"/>
      <c r="G252" s="51" t="n"/>
      <c r="H252" s="51" t="n"/>
      <c r="I252" s="51" t="n"/>
      <c r="J252" s="51" t="n"/>
      <c r="K252" s="51" t="n"/>
      <c r="L252" s="51" t="n"/>
      <c r="M252" s="51" t="n"/>
      <c r="N252" s="51" t="n"/>
      <c r="S252" s="51" t="n"/>
      <c r="T252" s="51" t="n"/>
      <c r="U252" s="51" t="n"/>
      <c r="V252" s="51" t="n"/>
      <c r="W252" s="51" t="n"/>
    </row>
    <row r="253">
      <c r="B253" s="51" t="n"/>
      <c r="C253" s="51" t="n"/>
      <c r="D253" s="51" t="n"/>
      <c r="E253" s="51" t="n"/>
      <c r="F253" s="51" t="n"/>
      <c r="G253" s="51" t="n"/>
      <c r="H253" s="51" t="n"/>
      <c r="I253" s="51" t="n"/>
      <c r="J253" s="51" t="n"/>
      <c r="K253" s="51" t="n"/>
      <c r="L253" s="51" t="n"/>
      <c r="M253" s="51" t="n"/>
      <c r="N253" s="51" t="n"/>
      <c r="S253" s="51" t="n"/>
      <c r="T253" s="51" t="n"/>
      <c r="U253" s="51" t="n"/>
      <c r="V253" s="51" t="n"/>
      <c r="W253" s="51" t="n"/>
    </row>
    <row r="254">
      <c r="B254" s="51" t="n"/>
      <c r="C254" s="51" t="n"/>
      <c r="D254" s="51" t="n"/>
      <c r="E254" s="51" t="n"/>
      <c r="F254" s="51" t="n"/>
      <c r="G254" s="51" t="n"/>
      <c r="H254" s="51" t="n"/>
      <c r="I254" s="51" t="n"/>
      <c r="J254" s="51" t="n"/>
      <c r="K254" s="51" t="n"/>
      <c r="L254" s="51" t="n"/>
      <c r="M254" s="51" t="n"/>
      <c r="N254" s="51" t="n"/>
      <c r="S254" s="51" t="n"/>
      <c r="T254" s="51" t="n"/>
      <c r="U254" s="51" t="n"/>
      <c r="V254" s="51" t="n"/>
      <c r="W254" s="51" t="n"/>
    </row>
    <row r="255">
      <c r="B255" s="51" t="n"/>
      <c r="C255" s="51" t="n"/>
      <c r="D255" s="51" t="n"/>
      <c r="E255" s="51" t="n"/>
      <c r="F255" s="51" t="n"/>
      <c r="G255" s="51" t="n"/>
      <c r="H255" s="51" t="n"/>
      <c r="I255" s="51" t="n"/>
      <c r="J255" s="51" t="n"/>
      <c r="K255" s="51" t="n"/>
      <c r="L255" s="51" t="n"/>
      <c r="M255" s="51" t="n"/>
      <c r="N255" s="51" t="n"/>
      <c r="S255" s="51" t="n"/>
      <c r="T255" s="51" t="n"/>
      <c r="U255" s="51" t="n"/>
      <c r="V255" s="51" t="n"/>
      <c r="W255" s="51" t="n"/>
    </row>
    <row r="256">
      <c r="B256" s="51" t="n"/>
      <c r="C256" s="51" t="n"/>
      <c r="D256" s="51" t="n"/>
      <c r="E256" s="51" t="n"/>
      <c r="F256" s="51" t="n"/>
      <c r="G256" s="51" t="n"/>
      <c r="H256" s="51" t="n"/>
      <c r="I256" s="51" t="n"/>
      <c r="J256" s="51" t="n"/>
      <c r="K256" s="51" t="n"/>
      <c r="L256" s="51" t="n"/>
      <c r="M256" s="51" t="n"/>
      <c r="N256" s="51" t="n"/>
      <c r="S256" s="51" t="n"/>
      <c r="T256" s="51" t="n"/>
      <c r="U256" s="51" t="n"/>
      <c r="V256" s="51" t="n"/>
      <c r="W256" s="51" t="n"/>
    </row>
    <row r="257">
      <c r="B257" s="51" t="n"/>
      <c r="C257" s="51" t="n"/>
      <c r="D257" s="51" t="n"/>
      <c r="E257" s="51" t="n"/>
      <c r="F257" s="51" t="n"/>
      <c r="G257" s="51" t="n"/>
      <c r="H257" s="51" t="n"/>
      <c r="I257" s="51" t="n"/>
      <c r="J257" s="51" t="n"/>
      <c r="K257" s="51" t="n"/>
      <c r="L257" s="51" t="n"/>
      <c r="M257" s="51" t="n"/>
      <c r="N257" s="51" t="n"/>
      <c r="S257" s="51" t="n"/>
      <c r="T257" s="51" t="n"/>
      <c r="U257" s="51" t="n"/>
      <c r="V257" s="51" t="n"/>
      <c r="W257" s="51" t="n"/>
    </row>
    <row r="258">
      <c r="B258" s="51" t="n"/>
      <c r="C258" s="51" t="n"/>
      <c r="D258" s="51" t="n"/>
      <c r="E258" s="51" t="n"/>
      <c r="F258" s="51" t="n"/>
      <c r="G258" s="51" t="n"/>
      <c r="H258" s="51" t="n"/>
      <c r="I258" s="51" t="n"/>
      <c r="J258" s="51" t="n"/>
      <c r="K258" s="51" t="n"/>
      <c r="L258" s="51" t="n"/>
      <c r="M258" s="51" t="n"/>
      <c r="N258" s="51" t="n"/>
      <c r="S258" s="51" t="n"/>
      <c r="T258" s="51" t="n"/>
      <c r="U258" s="51" t="n"/>
      <c r="V258" s="51" t="n"/>
      <c r="W258" s="51" t="n"/>
    </row>
    <row r="259">
      <c r="B259" s="51" t="n"/>
      <c r="C259" s="51" t="n"/>
      <c r="D259" s="51" t="n"/>
      <c r="E259" s="51" t="n"/>
      <c r="F259" s="51" t="n"/>
      <c r="G259" s="51" t="n"/>
      <c r="H259" s="51" t="n"/>
      <c r="I259" s="51" t="n"/>
      <c r="J259" s="51" t="n"/>
      <c r="K259" s="51" t="n"/>
      <c r="L259" s="51" t="n"/>
      <c r="M259" s="51" t="n"/>
      <c r="N259" s="51" t="n"/>
      <c r="S259" s="51" t="n"/>
      <c r="T259" s="51" t="n"/>
      <c r="U259" s="51" t="n"/>
      <c r="V259" s="51" t="n"/>
      <c r="W259" s="51" t="n"/>
    </row>
    <row r="260">
      <c r="B260" s="51" t="n"/>
      <c r="C260" s="51" t="n"/>
      <c r="D260" s="51" t="n"/>
      <c r="E260" s="51" t="n"/>
      <c r="F260" s="51" t="n"/>
      <c r="G260" s="51" t="n"/>
      <c r="H260" s="51" t="n"/>
      <c r="I260" s="51" t="n"/>
      <c r="J260" s="51" t="n"/>
      <c r="K260" s="51" t="n"/>
      <c r="L260" s="51" t="n"/>
      <c r="M260" s="51" t="n"/>
      <c r="N260" s="51" t="n"/>
      <c r="S260" s="51" t="n"/>
      <c r="T260" s="51" t="n"/>
      <c r="U260" s="51" t="n"/>
      <c r="V260" s="51" t="n"/>
      <c r="W260" s="51" t="n"/>
    </row>
    <row r="261">
      <c r="B261" s="51" t="n"/>
      <c r="C261" s="51" t="n"/>
      <c r="D261" s="51" t="n"/>
      <c r="E261" s="51" t="n"/>
      <c r="F261" s="51" t="n"/>
      <c r="G261" s="51" t="n"/>
      <c r="H261" s="51" t="n"/>
      <c r="I261" s="51" t="n"/>
      <c r="J261" s="51" t="n"/>
      <c r="K261" s="51" t="n"/>
      <c r="L261" s="51" t="n"/>
      <c r="M261" s="51" t="n"/>
      <c r="N261" s="51" t="n"/>
      <c r="S261" s="51" t="n"/>
      <c r="T261" s="51" t="n"/>
      <c r="U261" s="51" t="n"/>
      <c r="V261" s="51" t="n"/>
      <c r="W261" s="51" t="n"/>
    </row>
    <row r="262">
      <c r="B262" s="51" t="n"/>
      <c r="C262" s="51" t="n"/>
      <c r="D262" s="51" t="n"/>
      <c r="E262" s="51" t="n"/>
      <c r="F262" s="51" t="n"/>
      <c r="G262" s="51" t="n"/>
      <c r="H262" s="51" t="n"/>
      <c r="I262" s="51" t="n"/>
      <c r="J262" s="51" t="n"/>
      <c r="K262" s="51" t="n"/>
      <c r="L262" s="51" t="n"/>
      <c r="M262" s="51" t="n"/>
      <c r="N262" s="51" t="n"/>
      <c r="S262" s="51" t="n"/>
      <c r="T262" s="51" t="n"/>
      <c r="U262" s="51" t="n"/>
      <c r="V262" s="51" t="n"/>
      <c r="W262" s="51" t="n"/>
    </row>
    <row r="263">
      <c r="B263" s="51" t="n"/>
      <c r="C263" s="51" t="n"/>
      <c r="D263" s="51" t="n"/>
      <c r="E263" s="51" t="n"/>
      <c r="F263" s="51" t="n"/>
      <c r="G263" s="51" t="n"/>
      <c r="H263" s="51" t="n"/>
      <c r="I263" s="51" t="n"/>
      <c r="J263" s="51" t="n"/>
      <c r="K263" s="51" t="n"/>
      <c r="L263" s="51" t="n"/>
      <c r="M263" s="51" t="n"/>
      <c r="N263" s="51" t="n"/>
      <c r="S263" s="51" t="n"/>
      <c r="T263" s="51" t="n"/>
      <c r="U263" s="51" t="n"/>
      <c r="V263" s="51" t="n"/>
      <c r="W263" s="51" t="n"/>
    </row>
    <row r="264">
      <c r="B264" s="51" t="n"/>
      <c r="C264" s="51" t="n"/>
      <c r="D264" s="51" t="n"/>
      <c r="E264" s="51" t="n"/>
      <c r="F264" s="51" t="n"/>
      <c r="G264" s="51" t="n"/>
      <c r="H264" s="51" t="n"/>
      <c r="I264" s="51" t="n"/>
      <c r="J264" s="51" t="n"/>
      <c r="K264" s="51" t="n"/>
      <c r="L264" s="51" t="n"/>
      <c r="M264" s="51" t="n"/>
      <c r="N264" s="51" t="n"/>
      <c r="S264" s="51" t="n"/>
      <c r="T264" s="51" t="n"/>
      <c r="U264" s="51" t="n"/>
      <c r="V264" s="51" t="n"/>
      <c r="W264" s="51" t="n"/>
    </row>
    <row r="265">
      <c r="B265" s="51" t="n"/>
      <c r="C265" s="51" t="n"/>
      <c r="D265" s="51" t="n"/>
      <c r="E265" s="51" t="n"/>
      <c r="F265" s="51" t="n"/>
      <c r="G265" s="51" t="n"/>
      <c r="H265" s="51" t="n"/>
      <c r="I265" s="51" t="n"/>
      <c r="J265" s="51" t="n"/>
      <c r="K265" s="51" t="n"/>
      <c r="L265" s="51" t="n"/>
      <c r="M265" s="51" t="n"/>
      <c r="N265" s="51" t="n"/>
      <c r="S265" s="51" t="n"/>
      <c r="T265" s="51" t="n"/>
      <c r="U265" s="51" t="n"/>
      <c r="V265" s="51" t="n"/>
      <c r="W265" s="51" t="n"/>
    </row>
    <row r="266">
      <c r="B266" s="51" t="n"/>
      <c r="C266" s="51" t="n"/>
      <c r="D266" s="51" t="n"/>
      <c r="E266" s="51" t="n"/>
      <c r="F266" s="51" t="n"/>
      <c r="G266" s="51" t="n"/>
      <c r="H266" s="51" t="n"/>
      <c r="I266" s="51" t="n"/>
      <c r="J266" s="51" t="n"/>
      <c r="K266" s="51" t="n"/>
      <c r="L266" s="51" t="n"/>
      <c r="M266" s="51" t="n"/>
      <c r="N266" s="51" t="n"/>
      <c r="S266" s="51" t="n"/>
      <c r="T266" s="51" t="n"/>
      <c r="U266" s="51" t="n"/>
      <c r="V266" s="51" t="n"/>
      <c r="W266" s="51" t="n"/>
    </row>
    <row r="267">
      <c r="B267" s="51" t="n"/>
      <c r="C267" s="51" t="n"/>
      <c r="D267" s="51" t="n"/>
      <c r="E267" s="51" t="n"/>
      <c r="F267" s="51" t="n"/>
      <c r="G267" s="51" t="n"/>
      <c r="H267" s="51" t="n"/>
      <c r="I267" s="51" t="n"/>
      <c r="J267" s="51" t="n"/>
      <c r="K267" s="51" t="n"/>
      <c r="L267" s="51" t="n"/>
      <c r="M267" s="51" t="n"/>
      <c r="N267" s="51" t="n"/>
      <c r="S267" s="51" t="n"/>
      <c r="T267" s="51" t="n"/>
      <c r="U267" s="51" t="n"/>
      <c r="V267" s="51" t="n"/>
      <c r="W267" s="51" t="n"/>
    </row>
    <row r="268">
      <c r="B268" s="51" t="n"/>
      <c r="C268" s="51" t="n"/>
      <c r="D268" s="51" t="n"/>
      <c r="E268" s="51" t="n"/>
      <c r="F268" s="51" t="n"/>
      <c r="G268" s="51" t="n"/>
      <c r="H268" s="51" t="n"/>
      <c r="I268" s="51" t="n"/>
      <c r="J268" s="51" t="n"/>
      <c r="K268" s="51" t="n"/>
      <c r="L268" s="51" t="n"/>
      <c r="M268" s="51" t="n"/>
      <c r="N268" s="51" t="n"/>
      <c r="S268" s="51" t="n"/>
      <c r="T268" s="51" t="n"/>
      <c r="U268" s="51" t="n"/>
      <c r="V268" s="51" t="n"/>
      <c r="W268" s="51" t="n"/>
    </row>
    <row r="269">
      <c r="B269" s="51" t="n"/>
      <c r="C269" s="51" t="n"/>
      <c r="D269" s="51" t="n"/>
      <c r="E269" s="51" t="n"/>
      <c r="F269" s="51" t="n"/>
      <c r="G269" s="51" t="n"/>
      <c r="H269" s="51" t="n"/>
      <c r="I269" s="51" t="n"/>
      <c r="J269" s="51" t="n"/>
      <c r="K269" s="51" t="n"/>
      <c r="L269" s="51" t="n"/>
      <c r="M269" s="51" t="n"/>
      <c r="N269" s="51" t="n"/>
      <c r="S269" s="51" t="n"/>
      <c r="T269" s="51" t="n"/>
      <c r="U269" s="51" t="n"/>
      <c r="V269" s="51" t="n"/>
      <c r="W269" s="51" t="n"/>
    </row>
    <row r="270">
      <c r="B270" s="51" t="n"/>
      <c r="C270" s="51" t="n"/>
      <c r="D270" s="51" t="n"/>
      <c r="E270" s="51" t="n"/>
      <c r="F270" s="51" t="n"/>
      <c r="G270" s="51" t="n"/>
      <c r="H270" s="51" t="n"/>
      <c r="I270" s="51" t="n"/>
      <c r="J270" s="51" t="n"/>
      <c r="K270" s="51" t="n"/>
      <c r="L270" s="51" t="n"/>
      <c r="M270" s="51" t="n"/>
      <c r="N270" s="51" t="n"/>
      <c r="S270" s="51" t="n"/>
      <c r="T270" s="51" t="n"/>
      <c r="U270" s="51" t="n"/>
      <c r="V270" s="51" t="n"/>
      <c r="W270" s="51" t="n"/>
    </row>
    <row r="271">
      <c r="B271" s="51" t="n"/>
      <c r="C271" s="51" t="n"/>
      <c r="D271" s="51" t="n"/>
      <c r="E271" s="51" t="n"/>
      <c r="F271" s="51" t="n"/>
      <c r="G271" s="51" t="n"/>
      <c r="H271" s="51" t="n"/>
      <c r="I271" s="51" t="n"/>
      <c r="J271" s="51" t="n"/>
      <c r="K271" s="51" t="n"/>
      <c r="L271" s="51" t="n"/>
      <c r="M271" s="51" t="n"/>
      <c r="N271" s="51" t="n"/>
      <c r="S271" s="51" t="n"/>
      <c r="T271" s="51" t="n"/>
      <c r="U271" s="51" t="n"/>
      <c r="V271" s="51" t="n"/>
      <c r="W271" s="51" t="n"/>
    </row>
    <row r="272">
      <c r="B272" s="51" t="n"/>
      <c r="C272" s="51" t="n"/>
      <c r="D272" s="51" t="n"/>
      <c r="E272" s="51" t="n"/>
      <c r="F272" s="51" t="n"/>
      <c r="G272" s="51" t="n"/>
      <c r="H272" s="51" t="n"/>
      <c r="I272" s="51" t="n"/>
      <c r="J272" s="51" t="n"/>
      <c r="K272" s="51" t="n"/>
      <c r="L272" s="51" t="n"/>
      <c r="M272" s="51" t="n"/>
      <c r="N272" s="51" t="n"/>
      <c r="S272" s="51" t="n"/>
      <c r="T272" s="51" t="n"/>
      <c r="U272" s="51" t="n"/>
      <c r="V272" s="51" t="n"/>
      <c r="W272" s="51" t="n"/>
    </row>
    <row r="273">
      <c r="B273" s="51" t="n"/>
      <c r="C273" s="51" t="n"/>
      <c r="D273" s="51" t="n"/>
      <c r="E273" s="51" t="n"/>
      <c r="F273" s="51" t="n"/>
      <c r="G273" s="51" t="n"/>
      <c r="H273" s="51" t="n"/>
      <c r="I273" s="51" t="n"/>
      <c r="J273" s="51" t="n"/>
      <c r="K273" s="51" t="n"/>
      <c r="L273" s="51" t="n"/>
      <c r="M273" s="51" t="n"/>
      <c r="N273" s="51" t="n"/>
      <c r="S273" s="51" t="n"/>
      <c r="T273" s="51" t="n"/>
      <c r="U273" s="51" t="n"/>
      <c r="V273" s="51" t="n"/>
      <c r="W273" s="51" t="n"/>
    </row>
    <row r="274">
      <c r="B274" s="51" t="n"/>
      <c r="C274" s="51" t="n"/>
      <c r="D274" s="51" t="n"/>
      <c r="E274" s="51" t="n"/>
      <c r="F274" s="51" t="n"/>
      <c r="G274" s="51" t="n"/>
      <c r="H274" s="51" t="n"/>
      <c r="I274" s="51" t="n"/>
      <c r="J274" s="51" t="n"/>
      <c r="K274" s="51" t="n"/>
      <c r="L274" s="51" t="n"/>
      <c r="M274" s="51" t="n"/>
      <c r="N274" s="51" t="n"/>
      <c r="S274" s="51" t="n"/>
      <c r="T274" s="51" t="n"/>
      <c r="U274" s="51" t="n"/>
      <c r="V274" s="51" t="n"/>
      <c r="W274" s="51" t="n"/>
    </row>
    <row r="275">
      <c r="B275" s="51" t="n"/>
      <c r="C275" s="51" t="n"/>
      <c r="D275" s="51" t="n"/>
      <c r="E275" s="51" t="n"/>
      <c r="F275" s="51" t="n"/>
      <c r="G275" s="51" t="n"/>
      <c r="H275" s="51" t="n"/>
      <c r="I275" s="51" t="n"/>
      <c r="J275" s="51" t="n"/>
      <c r="K275" s="51" t="n"/>
      <c r="L275" s="51" t="n"/>
      <c r="M275" s="51" t="n"/>
      <c r="N275" s="51" t="n"/>
      <c r="S275" s="51" t="n"/>
      <c r="T275" s="51" t="n"/>
      <c r="U275" s="51" t="n"/>
      <c r="V275" s="51" t="n"/>
      <c r="W275" s="51" t="n"/>
    </row>
    <row r="276">
      <c r="B276" s="51" t="n"/>
      <c r="C276" s="51" t="n"/>
      <c r="D276" s="51" t="n"/>
      <c r="E276" s="51" t="n"/>
      <c r="F276" s="51" t="n"/>
      <c r="G276" s="51" t="n"/>
      <c r="H276" s="51" t="n"/>
      <c r="I276" s="51" t="n"/>
      <c r="J276" s="51" t="n"/>
      <c r="K276" s="51" t="n"/>
      <c r="L276" s="51" t="n"/>
      <c r="M276" s="51" t="n"/>
      <c r="N276" s="51" t="n"/>
      <c r="S276" s="51" t="n"/>
      <c r="T276" s="51" t="n"/>
      <c r="U276" s="51" t="n"/>
      <c r="V276" s="51" t="n"/>
      <c r="W276" s="51" t="n"/>
    </row>
    <row r="277">
      <c r="B277" s="51" t="n"/>
      <c r="C277" s="51" t="n"/>
      <c r="D277" s="51" t="n"/>
      <c r="E277" s="51" t="n"/>
      <c r="F277" s="51" t="n"/>
      <c r="G277" s="51" t="n"/>
      <c r="H277" s="51" t="n"/>
      <c r="I277" s="51" t="n"/>
      <c r="J277" s="51" t="n"/>
      <c r="K277" s="51" t="n"/>
      <c r="L277" s="51" t="n"/>
      <c r="M277" s="51" t="n"/>
      <c r="N277" s="51" t="n"/>
      <c r="S277" s="51" t="n"/>
      <c r="T277" s="51" t="n"/>
      <c r="U277" s="51" t="n"/>
      <c r="V277" s="51" t="n"/>
      <c r="W277" s="51" t="n"/>
    </row>
    <row r="278">
      <c r="B278" s="51" t="n"/>
      <c r="C278" s="51" t="n"/>
      <c r="D278" s="51" t="n"/>
      <c r="E278" s="51" t="n"/>
      <c r="F278" s="51" t="n"/>
      <c r="G278" s="51" t="n"/>
      <c r="H278" s="51" t="n"/>
      <c r="I278" s="51" t="n"/>
      <c r="J278" s="51" t="n"/>
      <c r="K278" s="51" t="n"/>
      <c r="L278" s="51" t="n"/>
      <c r="M278" s="51" t="n"/>
      <c r="N278" s="51" t="n"/>
      <c r="S278" s="51" t="n"/>
      <c r="T278" s="51" t="n"/>
      <c r="U278" s="51" t="n"/>
      <c r="V278" s="51" t="n"/>
      <c r="W278" s="51" t="n"/>
    </row>
    <row r="279">
      <c r="B279" s="51" t="n"/>
      <c r="C279" s="51" t="n"/>
      <c r="D279" s="51" t="n"/>
      <c r="E279" s="51" t="n"/>
      <c r="F279" s="51" t="n"/>
      <c r="G279" s="51" t="n"/>
      <c r="H279" s="51" t="n"/>
      <c r="I279" s="51" t="n"/>
      <c r="J279" s="51" t="n"/>
      <c r="K279" s="51" t="n"/>
      <c r="L279" s="51" t="n"/>
      <c r="M279" s="51" t="n"/>
      <c r="N279" s="51" t="n"/>
      <c r="S279" s="51" t="n"/>
      <c r="T279" s="51" t="n"/>
      <c r="U279" s="51" t="n"/>
      <c r="V279" s="51" t="n"/>
      <c r="W279" s="51" t="n"/>
    </row>
    <row r="280">
      <c r="B280" s="51" t="n"/>
      <c r="C280" s="51" t="n"/>
      <c r="D280" s="51" t="n"/>
      <c r="E280" s="51" t="n"/>
      <c r="F280" s="51" t="n"/>
      <c r="G280" s="51" t="n"/>
      <c r="H280" s="51" t="n"/>
      <c r="I280" s="51" t="n"/>
      <c r="J280" s="51" t="n"/>
      <c r="K280" s="51" t="n"/>
      <c r="L280" s="51" t="n"/>
      <c r="M280" s="51" t="n"/>
      <c r="N280" s="51" t="n"/>
      <c r="S280" s="51" t="n"/>
      <c r="T280" s="51" t="n"/>
      <c r="U280" s="51" t="n"/>
      <c r="V280" s="51" t="n"/>
      <c r="W280" s="51" t="n"/>
    </row>
    <row r="281">
      <c r="B281" s="51" t="n"/>
      <c r="C281" s="51" t="n"/>
      <c r="D281" s="51" t="n"/>
      <c r="E281" s="51" t="n"/>
      <c r="F281" s="51" t="n"/>
      <c r="G281" s="51" t="n"/>
      <c r="H281" s="51" t="n"/>
      <c r="I281" s="51" t="n"/>
      <c r="J281" s="51" t="n"/>
      <c r="K281" s="51" t="n"/>
      <c r="L281" s="51" t="n"/>
      <c r="M281" s="51" t="n"/>
      <c r="N281" s="51" t="n"/>
      <c r="S281" s="51" t="n"/>
      <c r="T281" s="51" t="n"/>
      <c r="U281" s="51" t="n"/>
      <c r="V281" s="51" t="n"/>
      <c r="W281" s="51" t="n"/>
    </row>
    <row r="282">
      <c r="B282" s="51" t="n"/>
      <c r="C282" s="51" t="n"/>
      <c r="D282" s="51" t="n"/>
      <c r="E282" s="51" t="n"/>
      <c r="F282" s="51" t="n"/>
      <c r="G282" s="51" t="n"/>
      <c r="H282" s="51" t="n"/>
      <c r="I282" s="51" t="n"/>
      <c r="J282" s="51" t="n"/>
      <c r="K282" s="51" t="n"/>
      <c r="L282" s="51" t="n"/>
      <c r="M282" s="51" t="n"/>
      <c r="N282" s="51" t="n"/>
      <c r="S282" s="51" t="n"/>
      <c r="T282" s="51" t="n"/>
      <c r="U282" s="51" t="n"/>
      <c r="V282" s="51" t="n"/>
      <c r="W282" s="51" t="n"/>
    </row>
    <row r="283">
      <c r="B283" s="51" t="n"/>
      <c r="C283" s="51" t="n"/>
      <c r="D283" s="51" t="n"/>
      <c r="E283" s="51" t="n"/>
      <c r="F283" s="51" t="n"/>
      <c r="G283" s="51" t="n"/>
      <c r="H283" s="51" t="n"/>
      <c r="I283" s="51" t="n"/>
      <c r="J283" s="51" t="n"/>
      <c r="K283" s="51" t="n"/>
      <c r="L283" s="51" t="n"/>
      <c r="M283" s="51" t="n"/>
      <c r="N283" s="51" t="n"/>
      <c r="S283" s="51" t="n"/>
      <c r="T283" s="51" t="n"/>
      <c r="U283" s="51" t="n"/>
      <c r="V283" s="51" t="n"/>
      <c r="W283" s="51" t="n"/>
    </row>
    <row r="284">
      <c r="B284" s="51" t="n"/>
      <c r="C284" s="51" t="n"/>
      <c r="D284" s="51" t="n"/>
      <c r="E284" s="51" t="n"/>
      <c r="F284" s="51" t="n"/>
      <c r="G284" s="51" t="n"/>
      <c r="H284" s="51" t="n"/>
      <c r="I284" s="51" t="n"/>
      <c r="J284" s="51" t="n"/>
      <c r="K284" s="51" t="n"/>
      <c r="L284" s="51" t="n"/>
      <c r="M284" s="51" t="n"/>
      <c r="N284" s="51" t="n"/>
      <c r="S284" s="51" t="n"/>
      <c r="T284" s="51" t="n"/>
      <c r="U284" s="51" t="n"/>
      <c r="V284" s="51" t="n"/>
      <c r="W284" s="51" t="n"/>
    </row>
    <row r="285">
      <c r="B285" s="51" t="n"/>
      <c r="C285" s="51" t="n"/>
      <c r="D285" s="51" t="n"/>
      <c r="E285" s="51" t="n"/>
      <c r="F285" s="51" t="n"/>
      <c r="G285" s="51" t="n"/>
      <c r="H285" s="51" t="n"/>
      <c r="I285" s="51" t="n"/>
      <c r="J285" s="51" t="n"/>
      <c r="K285" s="51" t="n"/>
      <c r="L285" s="51" t="n"/>
      <c r="M285" s="51" t="n"/>
      <c r="N285" s="51" t="n"/>
      <c r="S285" s="51" t="n"/>
      <c r="T285" s="51" t="n"/>
      <c r="U285" s="51" t="n"/>
      <c r="V285" s="51" t="n"/>
      <c r="W285" s="51" t="n"/>
    </row>
    <row r="286">
      <c r="B286" s="51" t="n"/>
      <c r="C286" s="51" t="n"/>
      <c r="D286" s="51" t="n"/>
      <c r="E286" s="51" t="n"/>
      <c r="F286" s="51" t="n"/>
      <c r="G286" s="51" t="n"/>
      <c r="H286" s="51" t="n"/>
      <c r="I286" s="51" t="n"/>
      <c r="J286" s="51" t="n"/>
      <c r="K286" s="51" t="n"/>
      <c r="L286" s="51" t="n"/>
      <c r="M286" s="51" t="n"/>
      <c r="N286" s="51" t="n"/>
      <c r="S286" s="51" t="n"/>
      <c r="T286" s="51" t="n"/>
      <c r="U286" s="51" t="n"/>
      <c r="V286" s="51" t="n"/>
      <c r="W286" s="51" t="n"/>
    </row>
    <row r="287">
      <c r="B287" s="51" t="n"/>
      <c r="C287" s="51" t="n"/>
      <c r="D287" s="51" t="n"/>
      <c r="E287" s="51" t="n"/>
      <c r="F287" s="51" t="n"/>
      <c r="G287" s="51" t="n"/>
      <c r="H287" s="51" t="n"/>
      <c r="I287" s="51" t="n"/>
      <c r="J287" s="51" t="n"/>
      <c r="K287" s="51" t="n"/>
      <c r="L287" s="51" t="n"/>
      <c r="M287" s="51" t="n"/>
      <c r="N287" s="51" t="n"/>
      <c r="S287" s="51" t="n"/>
      <c r="T287" s="51" t="n"/>
      <c r="U287" s="51" t="n"/>
      <c r="V287" s="51" t="n"/>
      <c r="W287" s="51" t="n"/>
    </row>
    <row r="288">
      <c r="B288" s="51" t="n"/>
      <c r="C288" s="51" t="n"/>
      <c r="D288" s="51" t="n"/>
      <c r="E288" s="51" t="n"/>
      <c r="F288" s="51" t="n"/>
      <c r="G288" s="51" t="n"/>
      <c r="H288" s="51" t="n"/>
      <c r="I288" s="51" t="n"/>
      <c r="J288" s="51" t="n"/>
      <c r="K288" s="51" t="n"/>
      <c r="L288" s="51" t="n"/>
      <c r="M288" s="51" t="n"/>
      <c r="N288" s="51" t="n"/>
      <c r="S288" s="51" t="n"/>
      <c r="T288" s="51" t="n"/>
      <c r="U288" s="51" t="n"/>
      <c r="V288" s="51" t="n"/>
      <c r="W288" s="51" t="n"/>
    </row>
    <row r="289">
      <c r="B289" s="51" t="n"/>
      <c r="C289" s="51" t="n"/>
      <c r="D289" s="51" t="n"/>
      <c r="E289" s="51" t="n"/>
      <c r="F289" s="51" t="n"/>
      <c r="G289" s="51" t="n"/>
      <c r="H289" s="51" t="n"/>
      <c r="I289" s="51" t="n"/>
      <c r="J289" s="51" t="n"/>
      <c r="K289" s="51" t="n"/>
      <c r="L289" s="51" t="n"/>
      <c r="M289" s="51" t="n"/>
      <c r="N289" s="51" t="n"/>
      <c r="S289" s="51" t="n"/>
      <c r="T289" s="51" t="n"/>
      <c r="U289" s="51" t="n"/>
      <c r="V289" s="51" t="n"/>
      <c r="W289" s="51" t="n"/>
    </row>
    <row r="290">
      <c r="B290" s="51" t="n"/>
      <c r="C290" s="51" t="n"/>
      <c r="D290" s="51" t="n"/>
      <c r="E290" s="51" t="n"/>
      <c r="F290" s="51" t="n"/>
      <c r="G290" s="51" t="n"/>
      <c r="H290" s="51" t="n"/>
      <c r="I290" s="51" t="n"/>
      <c r="J290" s="51" t="n"/>
      <c r="K290" s="51" t="n"/>
      <c r="L290" s="51" t="n"/>
      <c r="M290" s="51" t="n"/>
      <c r="N290" s="51" t="n"/>
      <c r="S290" s="51" t="n"/>
      <c r="T290" s="51" t="n"/>
      <c r="U290" s="51" t="n"/>
      <c r="V290" s="51" t="n"/>
      <c r="W290" s="51" t="n"/>
    </row>
    <row r="291">
      <c r="B291" s="51" t="n"/>
      <c r="C291" s="51" t="n"/>
      <c r="D291" s="51" t="n"/>
      <c r="E291" s="51" t="n"/>
      <c r="F291" s="51" t="n"/>
      <c r="G291" s="51" t="n"/>
      <c r="H291" s="51" t="n"/>
      <c r="I291" s="51" t="n"/>
      <c r="J291" s="51" t="n"/>
      <c r="K291" s="51" t="n"/>
      <c r="L291" s="51" t="n"/>
      <c r="M291" s="51" t="n"/>
      <c r="N291" s="51" t="n"/>
      <c r="S291" s="51" t="n"/>
      <c r="T291" s="51" t="n"/>
      <c r="U291" s="51" t="n"/>
      <c r="V291" s="51" t="n"/>
      <c r="W291" s="51" t="n"/>
    </row>
    <row r="292">
      <c r="B292" s="51" t="n"/>
      <c r="C292" s="51" t="n"/>
      <c r="D292" s="51" t="n"/>
      <c r="E292" s="51" t="n"/>
      <c r="F292" s="51" t="n"/>
      <c r="G292" s="51" t="n"/>
      <c r="H292" s="51" t="n"/>
      <c r="I292" s="51" t="n"/>
      <c r="J292" s="51" t="n"/>
      <c r="K292" s="51" t="n"/>
      <c r="L292" s="51" t="n"/>
      <c r="M292" s="51" t="n"/>
      <c r="N292" s="51" t="n"/>
      <c r="S292" s="51" t="n"/>
      <c r="T292" s="51" t="n"/>
      <c r="U292" s="51" t="n"/>
      <c r="V292" s="51" t="n"/>
      <c r="W292" s="51" t="n"/>
    </row>
    <row r="293">
      <c r="B293" s="51" t="n"/>
      <c r="C293" s="51" t="n"/>
      <c r="D293" s="51" t="n"/>
      <c r="E293" s="51" t="n"/>
      <c r="F293" s="51" t="n"/>
      <c r="G293" s="51" t="n"/>
      <c r="H293" s="51" t="n"/>
      <c r="I293" s="51" t="n"/>
      <c r="J293" s="51" t="n"/>
      <c r="K293" s="51" t="n"/>
      <c r="L293" s="51" t="n"/>
      <c r="M293" s="51" t="n"/>
      <c r="N293" s="51" t="n"/>
      <c r="S293" s="51" t="n"/>
      <c r="T293" s="51" t="n"/>
      <c r="U293" s="51" t="n"/>
      <c r="V293" s="51" t="n"/>
      <c r="W293" s="51" t="n"/>
    </row>
    <row r="294">
      <c r="B294" s="51" t="n"/>
      <c r="C294" s="51" t="n"/>
      <c r="D294" s="51" t="n"/>
      <c r="E294" s="51" t="n"/>
      <c r="F294" s="51" t="n"/>
      <c r="G294" s="51" t="n"/>
      <c r="H294" s="51" t="n"/>
      <c r="I294" s="51" t="n"/>
      <c r="J294" s="51" t="n"/>
      <c r="K294" s="51" t="n"/>
      <c r="L294" s="51" t="n"/>
      <c r="M294" s="51" t="n"/>
      <c r="N294" s="51" t="n"/>
      <c r="S294" s="51" t="n"/>
      <c r="T294" s="51" t="n"/>
      <c r="U294" s="51" t="n"/>
      <c r="V294" s="51" t="n"/>
      <c r="W294" s="51" t="n"/>
    </row>
    <row r="295">
      <c r="B295" s="51" t="n"/>
      <c r="C295" s="51" t="n"/>
      <c r="D295" s="51" t="n"/>
      <c r="E295" s="51" t="n"/>
      <c r="F295" s="51" t="n"/>
      <c r="G295" s="51" t="n"/>
      <c r="H295" s="51" t="n"/>
      <c r="I295" s="51" t="n"/>
      <c r="J295" s="51" t="n"/>
      <c r="K295" s="51" t="n"/>
      <c r="L295" s="51" t="n"/>
      <c r="M295" s="51" t="n"/>
      <c r="N295" s="51" t="n"/>
      <c r="S295" s="51" t="n"/>
      <c r="T295" s="51" t="n"/>
      <c r="U295" s="51" t="n"/>
      <c r="V295" s="51" t="n"/>
      <c r="W295" s="51" t="n"/>
    </row>
    <row r="296">
      <c r="B296" s="51" t="n"/>
      <c r="C296" s="51" t="n"/>
      <c r="D296" s="51" t="n"/>
      <c r="E296" s="51" t="n"/>
      <c r="F296" s="51" t="n"/>
      <c r="G296" s="51" t="n"/>
      <c r="H296" s="51" t="n"/>
      <c r="I296" s="51" t="n"/>
      <c r="J296" s="51" t="n"/>
      <c r="K296" s="51" t="n"/>
      <c r="L296" s="51" t="n"/>
      <c r="M296" s="51" t="n"/>
      <c r="N296" s="51" t="n"/>
      <c r="S296" s="51" t="n"/>
      <c r="T296" s="51" t="n"/>
      <c r="U296" s="51" t="n"/>
      <c r="V296" s="51" t="n"/>
      <c r="W296" s="51" t="n"/>
    </row>
    <row r="297">
      <c r="B297" s="51" t="n"/>
      <c r="C297" s="51" t="n"/>
      <c r="D297" s="51" t="n"/>
      <c r="E297" s="51" t="n"/>
      <c r="F297" s="51" t="n"/>
      <c r="G297" s="51" t="n"/>
      <c r="H297" s="51" t="n"/>
      <c r="I297" s="51" t="n"/>
      <c r="J297" s="51" t="n"/>
      <c r="K297" s="51" t="n"/>
      <c r="L297" s="51" t="n"/>
      <c r="M297" s="51" t="n"/>
      <c r="N297" s="51" t="n"/>
      <c r="S297" s="51" t="n"/>
      <c r="T297" s="51" t="n"/>
      <c r="U297" s="51" t="n"/>
      <c r="V297" s="51" t="n"/>
      <c r="W297" s="51" t="n"/>
    </row>
    <row r="298">
      <c r="B298" s="51" t="n"/>
      <c r="C298" s="51" t="n"/>
      <c r="D298" s="51" t="n"/>
      <c r="E298" s="51" t="n"/>
      <c r="F298" s="51" t="n"/>
      <c r="G298" s="51" t="n"/>
      <c r="H298" s="51" t="n"/>
      <c r="I298" s="51" t="n"/>
      <c r="J298" s="51" t="n"/>
      <c r="K298" s="51" t="n"/>
      <c r="L298" s="51" t="n"/>
      <c r="M298" s="51" t="n"/>
      <c r="N298" s="51" t="n"/>
      <c r="S298" s="51" t="n"/>
      <c r="T298" s="51" t="n"/>
      <c r="U298" s="51" t="n"/>
      <c r="V298" s="51" t="n"/>
      <c r="W298" s="51" t="n"/>
    </row>
    <row r="299">
      <c r="B299" s="51" t="n"/>
      <c r="C299" s="51" t="n"/>
      <c r="D299" s="51" t="n"/>
      <c r="E299" s="51" t="n"/>
      <c r="F299" s="51" t="n"/>
      <c r="G299" s="51" t="n"/>
      <c r="H299" s="51" t="n"/>
      <c r="I299" s="51" t="n"/>
      <c r="J299" s="51" t="n"/>
      <c r="K299" s="51" t="n"/>
      <c r="L299" s="51" t="n"/>
      <c r="M299" s="51" t="n"/>
      <c r="N299" s="51" t="n"/>
      <c r="S299" s="51" t="n"/>
      <c r="T299" s="51" t="n"/>
      <c r="U299" s="51" t="n"/>
      <c r="V299" s="51" t="n"/>
      <c r="W299" s="51" t="n"/>
    </row>
    <row r="300">
      <c r="B300" s="51" t="n"/>
      <c r="C300" s="51" t="n"/>
      <c r="D300" s="51" t="n"/>
      <c r="E300" s="51" t="n"/>
      <c r="F300" s="51" t="n"/>
      <c r="G300" s="51" t="n"/>
      <c r="H300" s="51" t="n"/>
      <c r="I300" s="51" t="n"/>
      <c r="J300" s="51" t="n"/>
      <c r="K300" s="51" t="n"/>
      <c r="L300" s="51" t="n"/>
      <c r="M300" s="51" t="n"/>
      <c r="N300" s="51" t="n"/>
      <c r="S300" s="51" t="n"/>
      <c r="T300" s="51" t="n"/>
      <c r="U300" s="51" t="n"/>
      <c r="V300" s="51" t="n"/>
      <c r="W300" s="51" t="n"/>
    </row>
    <row r="301">
      <c r="B301" s="51" t="n"/>
      <c r="C301" s="51" t="n"/>
      <c r="D301" s="51" t="n"/>
      <c r="E301" s="51" t="n"/>
      <c r="F301" s="51" t="n"/>
      <c r="G301" s="51" t="n"/>
      <c r="H301" s="51" t="n"/>
      <c r="I301" s="51" t="n"/>
      <c r="J301" s="51" t="n"/>
      <c r="K301" s="51" t="n"/>
      <c r="L301" s="51" t="n"/>
      <c r="M301" s="51" t="n"/>
      <c r="N301" s="51" t="n"/>
      <c r="S301" s="51" t="n"/>
      <c r="T301" s="51" t="n"/>
      <c r="U301" s="51" t="n"/>
      <c r="V301" s="51" t="n"/>
      <c r="W301" s="51" t="n"/>
    </row>
    <row r="302">
      <c r="B302" s="51" t="n"/>
      <c r="C302" s="51" t="n"/>
      <c r="D302" s="51" t="n"/>
      <c r="E302" s="51" t="n"/>
      <c r="F302" s="51" t="n"/>
      <c r="G302" s="51" t="n"/>
      <c r="H302" s="51" t="n"/>
      <c r="I302" s="51" t="n"/>
      <c r="J302" s="51" t="n"/>
      <c r="K302" s="51" t="n"/>
      <c r="L302" s="51" t="n"/>
      <c r="M302" s="51" t="n"/>
      <c r="N302" s="51" t="n"/>
      <c r="S302" s="51" t="n"/>
      <c r="T302" s="51" t="n"/>
      <c r="U302" s="51" t="n"/>
      <c r="V302" s="51" t="n"/>
      <c r="W302" s="51" t="n"/>
    </row>
    <row r="303">
      <c r="B303" s="51" t="n"/>
      <c r="C303" s="51" t="n"/>
      <c r="D303" s="51" t="n"/>
      <c r="E303" s="51" t="n"/>
      <c r="F303" s="51" t="n"/>
      <c r="G303" s="51" t="n"/>
      <c r="H303" s="51" t="n"/>
      <c r="I303" s="51" t="n"/>
      <c r="J303" s="51" t="n"/>
      <c r="K303" s="51" t="n"/>
      <c r="L303" s="51" t="n"/>
      <c r="M303" s="51" t="n"/>
      <c r="N303" s="51" t="n"/>
      <c r="S303" s="51" t="n"/>
      <c r="T303" s="51" t="n"/>
      <c r="U303" s="51" t="n"/>
      <c r="V303" s="51" t="n"/>
      <c r="W303" s="51" t="n"/>
    </row>
    <row r="304">
      <c r="B304" s="51" t="n"/>
      <c r="C304" s="51" t="n"/>
      <c r="D304" s="51" t="n"/>
      <c r="E304" s="51" t="n"/>
      <c r="F304" s="51" t="n"/>
      <c r="G304" s="51" t="n"/>
      <c r="H304" s="51" t="n"/>
      <c r="I304" s="51" t="n"/>
      <c r="J304" s="51" t="n"/>
      <c r="K304" s="51" t="n"/>
      <c r="L304" s="51" t="n"/>
      <c r="M304" s="51" t="n"/>
      <c r="N304" s="51" t="n"/>
      <c r="S304" s="51" t="n"/>
      <c r="T304" s="51" t="n"/>
      <c r="U304" s="51" t="n"/>
      <c r="V304" s="51" t="n"/>
      <c r="W304" s="51" t="n"/>
    </row>
    <row r="305">
      <c r="B305" s="51" t="n"/>
      <c r="C305" s="51" t="n"/>
      <c r="D305" s="51" t="n"/>
      <c r="E305" s="51" t="n"/>
      <c r="F305" s="51" t="n"/>
      <c r="G305" s="51" t="n"/>
      <c r="H305" s="51" t="n"/>
      <c r="I305" s="51" t="n"/>
      <c r="J305" s="51" t="n"/>
      <c r="K305" s="51" t="n"/>
      <c r="L305" s="51" t="n"/>
      <c r="M305" s="51" t="n"/>
      <c r="N305" s="51" t="n"/>
      <c r="S305" s="51" t="n"/>
      <c r="T305" s="51" t="n"/>
      <c r="U305" s="51" t="n"/>
      <c r="V305" s="51" t="n"/>
      <c r="W305" s="51" t="n"/>
    </row>
    <row r="306">
      <c r="B306" s="51" t="n"/>
      <c r="C306" s="51" t="n"/>
      <c r="D306" s="51" t="n"/>
      <c r="E306" s="51" t="n"/>
      <c r="F306" s="51" t="n"/>
      <c r="G306" s="51" t="n"/>
      <c r="H306" s="51" t="n"/>
      <c r="I306" s="51" t="n"/>
      <c r="J306" s="51" t="n"/>
      <c r="K306" s="51" t="n"/>
      <c r="L306" s="51" t="n"/>
      <c r="M306" s="51" t="n"/>
      <c r="N306" s="51" t="n"/>
      <c r="S306" s="51" t="n"/>
      <c r="T306" s="51" t="n"/>
      <c r="U306" s="51" t="n"/>
      <c r="V306" s="51" t="n"/>
      <c r="W306" s="51" t="n"/>
    </row>
    <row r="307">
      <c r="B307" s="51" t="n"/>
      <c r="C307" s="51" t="n"/>
      <c r="D307" s="51" t="n"/>
      <c r="E307" s="51" t="n"/>
      <c r="F307" s="51" t="n"/>
      <c r="G307" s="51" t="n"/>
      <c r="H307" s="51" t="n"/>
      <c r="I307" s="51" t="n"/>
      <c r="J307" s="51" t="n"/>
      <c r="K307" s="51" t="n"/>
      <c r="L307" s="51" t="n"/>
      <c r="M307" s="51" t="n"/>
      <c r="N307" s="51" t="n"/>
      <c r="S307" s="51" t="n"/>
      <c r="T307" s="51" t="n"/>
      <c r="U307" s="51" t="n"/>
      <c r="V307" s="51" t="n"/>
      <c r="W307" s="51" t="n"/>
    </row>
    <row r="308">
      <c r="B308" s="51" t="n"/>
      <c r="C308" s="51" t="n"/>
      <c r="D308" s="51" t="n"/>
      <c r="E308" s="51" t="n"/>
      <c r="F308" s="51" t="n"/>
      <c r="G308" s="51" t="n"/>
      <c r="H308" s="51" t="n"/>
      <c r="I308" s="51" t="n"/>
      <c r="J308" s="51" t="n"/>
      <c r="K308" s="51" t="n"/>
      <c r="L308" s="51" t="n"/>
      <c r="M308" s="51" t="n"/>
      <c r="N308" s="51" t="n"/>
      <c r="S308" s="51" t="n"/>
      <c r="T308" s="51" t="n"/>
      <c r="U308" s="51" t="n"/>
      <c r="V308" s="51" t="n"/>
      <c r="W308" s="51" t="n"/>
    </row>
    <row r="309">
      <c r="B309" s="51" t="n"/>
      <c r="C309" s="51" t="n"/>
      <c r="D309" s="51" t="n"/>
      <c r="E309" s="51" t="n"/>
      <c r="F309" s="51" t="n"/>
      <c r="G309" s="51" t="n"/>
      <c r="H309" s="51" t="n"/>
      <c r="I309" s="51" t="n"/>
      <c r="J309" s="51" t="n"/>
      <c r="K309" s="51" t="n"/>
      <c r="L309" s="51" t="n"/>
      <c r="M309" s="51" t="n"/>
      <c r="N309" s="51" t="n"/>
      <c r="S309" s="51" t="n"/>
      <c r="T309" s="51" t="n"/>
      <c r="U309" s="51" t="n"/>
      <c r="V309" s="51" t="n"/>
      <c r="W309" s="51" t="n"/>
    </row>
    <row r="310">
      <c r="B310" s="51" t="n"/>
      <c r="C310" s="51" t="n"/>
      <c r="D310" s="51" t="n"/>
      <c r="E310" s="51" t="n"/>
      <c r="F310" s="51" t="n"/>
      <c r="G310" s="51" t="n"/>
      <c r="H310" s="51" t="n"/>
      <c r="I310" s="51" t="n"/>
      <c r="J310" s="51" t="n"/>
      <c r="K310" s="51" t="n"/>
      <c r="L310" s="51" t="n"/>
      <c r="M310" s="51" t="n"/>
      <c r="N310" s="51" t="n"/>
      <c r="S310" s="51" t="n"/>
      <c r="T310" s="51" t="n"/>
      <c r="U310" s="51" t="n"/>
      <c r="V310" s="51" t="n"/>
      <c r="W310" s="51" t="n"/>
    </row>
    <row r="311">
      <c r="B311" s="51" t="n"/>
      <c r="C311" s="51" t="n"/>
      <c r="D311" s="51" t="n"/>
      <c r="E311" s="51" t="n"/>
      <c r="F311" s="51" t="n"/>
      <c r="G311" s="51" t="n"/>
      <c r="H311" s="51" t="n"/>
      <c r="I311" s="51" t="n"/>
      <c r="J311" s="51" t="n"/>
      <c r="K311" s="51" t="n"/>
      <c r="L311" s="51" t="n"/>
      <c r="M311" s="51" t="n"/>
      <c r="N311" s="51" t="n"/>
      <c r="S311" s="51" t="n"/>
      <c r="T311" s="51" t="n"/>
      <c r="U311" s="51" t="n"/>
      <c r="V311" s="51" t="n"/>
      <c r="W311" s="51" t="n"/>
    </row>
    <row r="312">
      <c r="B312" s="51" t="n"/>
      <c r="C312" s="51" t="n"/>
      <c r="D312" s="51" t="n"/>
      <c r="E312" s="51" t="n"/>
      <c r="F312" s="51" t="n"/>
      <c r="G312" s="51" t="n"/>
      <c r="H312" s="51" t="n"/>
      <c r="I312" s="51" t="n"/>
      <c r="J312" s="51" t="n"/>
      <c r="K312" s="51" t="n"/>
      <c r="L312" s="51" t="n"/>
      <c r="M312" s="51" t="n"/>
      <c r="N312" s="51" t="n"/>
      <c r="S312" s="51" t="n"/>
      <c r="T312" s="51" t="n"/>
      <c r="U312" s="51" t="n"/>
      <c r="V312" s="51" t="n"/>
      <c r="W312" s="51" t="n"/>
    </row>
    <row r="313">
      <c r="B313" s="51" t="n"/>
      <c r="C313" s="51" t="n"/>
      <c r="D313" s="51" t="n"/>
      <c r="E313" s="51" t="n"/>
      <c r="F313" s="51" t="n"/>
      <c r="G313" s="51" t="n"/>
      <c r="H313" s="51" t="n"/>
      <c r="I313" s="51" t="n"/>
      <c r="J313" s="51" t="n"/>
      <c r="K313" s="51" t="n"/>
      <c r="L313" s="51" t="n"/>
      <c r="M313" s="51" t="n"/>
      <c r="N313" s="51" t="n"/>
      <c r="S313" s="51" t="n"/>
      <c r="T313" s="51" t="n"/>
      <c r="U313" s="51" t="n"/>
      <c r="V313" s="51" t="n"/>
      <c r="W313" s="51" t="n"/>
    </row>
    <row r="314">
      <c r="B314" s="51" t="n"/>
      <c r="C314" s="51" t="n"/>
      <c r="D314" s="51" t="n"/>
      <c r="E314" s="51" t="n"/>
      <c r="F314" s="51" t="n"/>
      <c r="G314" s="51" t="n"/>
      <c r="H314" s="51" t="n"/>
      <c r="I314" s="51" t="n"/>
      <c r="J314" s="51" t="n"/>
      <c r="K314" s="51" t="n"/>
      <c r="L314" s="51" t="n"/>
      <c r="M314" s="51" t="n"/>
      <c r="N314" s="51" t="n"/>
      <c r="S314" s="51" t="n"/>
      <c r="T314" s="51" t="n"/>
      <c r="U314" s="51" t="n"/>
      <c r="V314" s="51" t="n"/>
      <c r="W314" s="51" t="n"/>
    </row>
    <row r="315">
      <c r="B315" s="51" t="n"/>
      <c r="C315" s="51" t="n"/>
      <c r="D315" s="51" t="n"/>
      <c r="E315" s="51" t="n"/>
      <c r="F315" s="51" t="n"/>
      <c r="G315" s="51" t="n"/>
      <c r="H315" s="51" t="n"/>
      <c r="I315" s="51" t="n"/>
      <c r="J315" s="51" t="n"/>
      <c r="K315" s="51" t="n"/>
      <c r="L315" s="51" t="n"/>
      <c r="M315" s="51" t="n"/>
      <c r="N315" s="51" t="n"/>
      <c r="S315" s="51" t="n"/>
      <c r="T315" s="51" t="n"/>
      <c r="U315" s="51" t="n"/>
      <c r="V315" s="51" t="n"/>
      <c r="W315" s="51" t="n"/>
    </row>
    <row r="316">
      <c r="B316" s="51" t="n"/>
      <c r="C316" s="51" t="n"/>
      <c r="D316" s="51" t="n"/>
      <c r="E316" s="51" t="n"/>
      <c r="F316" s="51" t="n"/>
      <c r="G316" s="51" t="n"/>
      <c r="H316" s="51" t="n"/>
      <c r="I316" s="51" t="n"/>
      <c r="J316" s="51" t="n"/>
      <c r="K316" s="51" t="n"/>
      <c r="L316" s="51" t="n"/>
      <c r="M316" s="51" t="n"/>
      <c r="N316" s="51" t="n"/>
      <c r="S316" s="51" t="n"/>
      <c r="T316" s="51" t="n"/>
      <c r="U316" s="51" t="n"/>
      <c r="V316" s="51" t="n"/>
      <c r="W316" s="51" t="n"/>
    </row>
    <row r="317">
      <c r="B317" s="51" t="n"/>
      <c r="C317" s="51" t="n"/>
      <c r="D317" s="51" t="n"/>
      <c r="E317" s="51" t="n"/>
      <c r="F317" s="51" t="n"/>
      <c r="G317" s="51" t="n"/>
      <c r="H317" s="51" t="n"/>
      <c r="I317" s="51" t="n"/>
      <c r="J317" s="51" t="n"/>
      <c r="K317" s="51" t="n"/>
      <c r="L317" s="51" t="n"/>
      <c r="M317" s="51" t="n"/>
      <c r="N317" s="51" t="n"/>
      <c r="S317" s="51" t="n"/>
      <c r="T317" s="51" t="n"/>
      <c r="U317" s="51" t="n"/>
      <c r="V317" s="51" t="n"/>
      <c r="W317" s="51" t="n"/>
    </row>
    <row r="318">
      <c r="B318" s="51" t="n"/>
      <c r="C318" s="51" t="n"/>
      <c r="D318" s="51" t="n"/>
      <c r="E318" s="51" t="n"/>
      <c r="F318" s="51" t="n"/>
      <c r="G318" s="51" t="n"/>
      <c r="H318" s="51" t="n"/>
      <c r="I318" s="51" t="n"/>
      <c r="J318" s="51" t="n"/>
      <c r="K318" s="51" t="n"/>
      <c r="L318" s="51" t="n"/>
      <c r="M318" s="51" t="n"/>
      <c r="N318" s="51" t="n"/>
      <c r="S318" s="51" t="n"/>
      <c r="T318" s="51" t="n"/>
      <c r="U318" s="51" t="n"/>
      <c r="V318" s="51" t="n"/>
      <c r="W318" s="51" t="n"/>
    </row>
    <row r="319">
      <c r="B319" s="51" t="n"/>
      <c r="C319" s="51" t="n"/>
      <c r="D319" s="51" t="n"/>
      <c r="E319" s="51" t="n"/>
      <c r="F319" s="51" t="n"/>
      <c r="G319" s="51" t="n"/>
      <c r="H319" s="51" t="n"/>
      <c r="I319" s="51" t="n"/>
      <c r="J319" s="51" t="n"/>
      <c r="K319" s="51" t="n"/>
      <c r="L319" s="51" t="n"/>
      <c r="M319" s="51" t="n"/>
      <c r="N319" s="51" t="n"/>
      <c r="S319" s="51" t="n"/>
      <c r="T319" s="51" t="n"/>
      <c r="U319" s="51" t="n"/>
      <c r="V319" s="51" t="n"/>
      <c r="W319" s="51" t="n"/>
    </row>
    <row r="320">
      <c r="B320" s="51" t="n"/>
      <c r="C320" s="51" t="n"/>
      <c r="D320" s="51" t="n"/>
      <c r="E320" s="51" t="n"/>
      <c r="F320" s="51" t="n"/>
      <c r="G320" s="51" t="n"/>
      <c r="H320" s="51" t="n"/>
      <c r="I320" s="51" t="n"/>
      <c r="J320" s="51" t="n"/>
      <c r="K320" s="51" t="n"/>
      <c r="L320" s="51" t="n"/>
      <c r="M320" s="51" t="n"/>
      <c r="N320" s="51" t="n"/>
      <c r="S320" s="51" t="n"/>
      <c r="T320" s="51" t="n"/>
      <c r="U320" s="51" t="n"/>
      <c r="V320" s="51" t="n"/>
      <c r="W320" s="51" t="n"/>
    </row>
    <row r="321">
      <c r="B321" s="51" t="n"/>
      <c r="C321" s="51" t="n"/>
      <c r="D321" s="51" t="n"/>
      <c r="E321" s="51" t="n"/>
      <c r="F321" s="51" t="n"/>
      <c r="G321" s="51" t="n"/>
      <c r="H321" s="51" t="n"/>
      <c r="I321" s="51" t="n"/>
      <c r="J321" s="51" t="n"/>
      <c r="K321" s="51" t="n"/>
      <c r="L321" s="51" t="n"/>
      <c r="M321" s="51" t="n"/>
      <c r="N321" s="51" t="n"/>
      <c r="S321" s="51" t="n"/>
      <c r="T321" s="51" t="n"/>
      <c r="U321" s="51" t="n"/>
      <c r="V321" s="51" t="n"/>
      <c r="W321" s="51" t="n"/>
    </row>
    <row r="322">
      <c r="B322" s="51" t="n"/>
      <c r="C322" s="51" t="n"/>
      <c r="D322" s="51" t="n"/>
      <c r="E322" s="51" t="n"/>
      <c r="F322" s="51" t="n"/>
      <c r="G322" s="51" t="n"/>
      <c r="H322" s="51" t="n"/>
      <c r="I322" s="51" t="n"/>
      <c r="J322" s="51" t="n"/>
      <c r="K322" s="51" t="n"/>
      <c r="L322" s="51" t="n"/>
      <c r="M322" s="51" t="n"/>
      <c r="N322" s="51" t="n"/>
      <c r="S322" s="51" t="n"/>
      <c r="T322" s="51" t="n"/>
      <c r="U322" s="51" t="n"/>
      <c r="V322" s="51" t="n"/>
      <c r="W322" s="51" t="n"/>
    </row>
    <row r="323">
      <c r="B323" s="51" t="n"/>
      <c r="C323" s="51" t="n"/>
      <c r="D323" s="51" t="n"/>
      <c r="E323" s="51" t="n"/>
      <c r="F323" s="51" t="n"/>
      <c r="G323" s="51" t="n"/>
      <c r="H323" s="51" t="n"/>
      <c r="I323" s="51" t="n"/>
      <c r="J323" s="51" t="n"/>
      <c r="K323" s="51" t="n"/>
      <c r="L323" s="51" t="n"/>
      <c r="M323" s="51" t="n"/>
      <c r="N323" s="51" t="n"/>
      <c r="S323" s="51" t="n"/>
      <c r="T323" s="51" t="n"/>
      <c r="U323" s="51" t="n"/>
      <c r="V323" s="51" t="n"/>
      <c r="W323" s="51" t="n"/>
    </row>
    <row r="324">
      <c r="B324" s="51" t="n"/>
      <c r="C324" s="51" t="n"/>
      <c r="D324" s="51" t="n"/>
      <c r="E324" s="51" t="n"/>
      <c r="F324" s="51" t="n"/>
      <c r="G324" s="51" t="n"/>
      <c r="H324" s="51" t="n"/>
      <c r="I324" s="51" t="n"/>
      <c r="J324" s="51" t="n"/>
      <c r="K324" s="51" t="n"/>
      <c r="L324" s="51" t="n"/>
      <c r="M324" s="51" t="n"/>
      <c r="N324" s="51" t="n"/>
      <c r="S324" s="51" t="n"/>
      <c r="T324" s="51" t="n"/>
      <c r="U324" s="51" t="n"/>
      <c r="V324" s="51" t="n"/>
      <c r="W324" s="51" t="n"/>
    </row>
    <row r="325">
      <c r="B325" s="51" t="n"/>
      <c r="C325" s="51" t="n"/>
      <c r="D325" s="51" t="n"/>
      <c r="E325" s="51" t="n"/>
      <c r="F325" s="51" t="n"/>
      <c r="G325" s="51" t="n"/>
      <c r="H325" s="51" t="n"/>
      <c r="I325" s="51" t="n"/>
      <c r="J325" s="51" t="n"/>
      <c r="K325" s="51" t="n"/>
      <c r="L325" s="51" t="n"/>
      <c r="M325" s="51" t="n"/>
      <c r="N325" s="51" t="n"/>
      <c r="S325" s="51" t="n"/>
      <c r="T325" s="51" t="n"/>
      <c r="U325" s="51" t="n"/>
      <c r="V325" s="51" t="n"/>
      <c r="W325" s="51" t="n"/>
    </row>
    <row r="326">
      <c r="B326" s="51" t="n"/>
      <c r="C326" s="51" t="n"/>
      <c r="D326" s="51" t="n"/>
      <c r="E326" s="51" t="n"/>
      <c r="F326" s="51" t="n"/>
      <c r="G326" s="51" t="n"/>
      <c r="H326" s="51" t="n"/>
      <c r="I326" s="51" t="n"/>
      <c r="J326" s="51" t="n"/>
      <c r="K326" s="51" t="n"/>
      <c r="L326" s="51" t="n"/>
      <c r="M326" s="51" t="n"/>
      <c r="N326" s="51" t="n"/>
      <c r="S326" s="51" t="n"/>
      <c r="T326" s="51" t="n"/>
      <c r="U326" s="51" t="n"/>
      <c r="V326" s="51" t="n"/>
      <c r="W326" s="51" t="n"/>
    </row>
    <row r="327">
      <c r="B327" s="51" t="n"/>
      <c r="C327" s="51" t="n"/>
      <c r="D327" s="51" t="n"/>
      <c r="E327" s="51" t="n"/>
      <c r="F327" s="51" t="n"/>
      <c r="G327" s="51" t="n"/>
      <c r="H327" s="51" t="n"/>
      <c r="I327" s="51" t="n"/>
      <c r="J327" s="51" t="n"/>
      <c r="K327" s="51" t="n"/>
      <c r="L327" s="51" t="n"/>
      <c r="M327" s="51" t="n"/>
      <c r="N327" s="51" t="n"/>
      <c r="S327" s="51" t="n"/>
      <c r="T327" s="51" t="n"/>
      <c r="U327" s="51" t="n"/>
      <c r="V327" s="51" t="n"/>
      <c r="W327" s="51" t="n"/>
    </row>
    <row r="328">
      <c r="B328" s="51" t="n"/>
      <c r="C328" s="51" t="n"/>
      <c r="D328" s="51" t="n"/>
      <c r="E328" s="51" t="n"/>
      <c r="F328" s="51" t="n"/>
      <c r="G328" s="51" t="n"/>
      <c r="H328" s="51" t="n"/>
      <c r="I328" s="51" t="n"/>
      <c r="J328" s="51" t="n"/>
      <c r="K328" s="51" t="n"/>
      <c r="L328" s="51" t="n"/>
      <c r="M328" s="51" t="n"/>
      <c r="N328" s="51" t="n"/>
      <c r="S328" s="51" t="n"/>
      <c r="T328" s="51" t="n"/>
      <c r="U328" s="51" t="n"/>
      <c r="V328" s="51" t="n"/>
      <c r="W328" s="51" t="n"/>
    </row>
    <row r="329">
      <c r="B329" s="51" t="n"/>
      <c r="C329" s="51" t="n"/>
      <c r="D329" s="51" t="n"/>
      <c r="E329" s="51" t="n"/>
      <c r="F329" s="51" t="n"/>
      <c r="G329" s="51" t="n"/>
      <c r="H329" s="51" t="n"/>
      <c r="I329" s="51" t="n"/>
      <c r="J329" s="51" t="n"/>
      <c r="K329" s="51" t="n"/>
      <c r="L329" s="51" t="n"/>
      <c r="M329" s="51" t="n"/>
      <c r="N329" s="51" t="n"/>
      <c r="S329" s="51" t="n"/>
      <c r="T329" s="51" t="n"/>
      <c r="U329" s="51" t="n"/>
      <c r="V329" s="51" t="n"/>
      <c r="W329" s="51" t="n"/>
    </row>
    <row r="330">
      <c r="B330" s="51" t="n"/>
      <c r="C330" s="51" t="n"/>
      <c r="D330" s="51" t="n"/>
      <c r="E330" s="51" t="n"/>
      <c r="F330" s="51" t="n"/>
      <c r="G330" s="51" t="n"/>
      <c r="H330" s="51" t="n"/>
      <c r="I330" s="51" t="n"/>
      <c r="J330" s="51" t="n"/>
      <c r="K330" s="51" t="n"/>
      <c r="L330" s="51" t="n"/>
      <c r="M330" s="51" t="n"/>
      <c r="N330" s="51" t="n"/>
      <c r="S330" s="51" t="n"/>
      <c r="T330" s="51" t="n"/>
      <c r="U330" s="51" t="n"/>
      <c r="V330" s="51" t="n"/>
      <c r="W330" s="51" t="n"/>
    </row>
    <row r="331">
      <c r="B331" s="51" t="n"/>
      <c r="C331" s="51" t="n"/>
      <c r="D331" s="51" t="n"/>
      <c r="E331" s="51" t="n"/>
      <c r="F331" s="51" t="n"/>
      <c r="G331" s="51" t="n"/>
      <c r="H331" s="51" t="n"/>
      <c r="I331" s="51" t="n"/>
      <c r="J331" s="51" t="n"/>
      <c r="K331" s="51" t="n"/>
      <c r="L331" s="51" t="n"/>
      <c r="M331" s="51" t="n"/>
      <c r="N331" s="51" t="n"/>
      <c r="S331" s="51" t="n"/>
      <c r="T331" s="51" t="n"/>
      <c r="U331" s="51" t="n"/>
      <c r="V331" s="51" t="n"/>
      <c r="W331" s="51" t="n"/>
    </row>
    <row r="332">
      <c r="B332" s="51" t="n"/>
      <c r="C332" s="51" t="n"/>
      <c r="D332" s="51" t="n"/>
      <c r="E332" s="51" t="n"/>
      <c r="F332" s="51" t="n"/>
      <c r="G332" s="51" t="n"/>
      <c r="H332" s="51" t="n"/>
      <c r="I332" s="51" t="n"/>
      <c r="J332" s="51" t="n"/>
      <c r="K332" s="51" t="n"/>
      <c r="L332" s="51" t="n"/>
      <c r="M332" s="51" t="n"/>
      <c r="N332" s="51" t="n"/>
      <c r="S332" s="51" t="n"/>
      <c r="T332" s="51" t="n"/>
      <c r="U332" s="51" t="n"/>
      <c r="V332" s="51" t="n"/>
      <c r="W332" s="51" t="n"/>
    </row>
    <row r="333">
      <c r="B333" s="51" t="n"/>
      <c r="C333" s="51" t="n"/>
      <c r="D333" s="51" t="n"/>
      <c r="E333" s="51" t="n"/>
      <c r="F333" s="51" t="n"/>
      <c r="G333" s="51" t="n"/>
      <c r="H333" s="51" t="n"/>
      <c r="I333" s="51" t="n"/>
      <c r="J333" s="51" t="n"/>
      <c r="K333" s="51" t="n"/>
      <c r="L333" s="51" t="n"/>
      <c r="M333" s="51" t="n"/>
      <c r="N333" s="51" t="n"/>
      <c r="S333" s="51" t="n"/>
      <c r="T333" s="51" t="n"/>
      <c r="U333" s="51" t="n"/>
      <c r="V333" s="51" t="n"/>
      <c r="W333" s="51" t="n"/>
    </row>
    <row r="334">
      <c r="B334" s="51" t="n"/>
      <c r="C334" s="51" t="n"/>
      <c r="D334" s="51" t="n"/>
      <c r="E334" s="51" t="n"/>
      <c r="F334" s="51" t="n"/>
      <c r="G334" s="51" t="n"/>
      <c r="H334" s="51" t="n"/>
      <c r="I334" s="51" t="n"/>
      <c r="J334" s="51" t="n"/>
      <c r="K334" s="51" t="n"/>
      <c r="L334" s="51" t="n"/>
      <c r="M334" s="51" t="n"/>
      <c r="N334" s="51" t="n"/>
      <c r="S334" s="51" t="n"/>
      <c r="T334" s="51" t="n"/>
      <c r="U334" s="51" t="n"/>
      <c r="V334" s="51" t="n"/>
      <c r="W334" s="51" t="n"/>
    </row>
    <row r="335">
      <c r="B335" s="51" t="n"/>
      <c r="C335" s="51" t="n"/>
      <c r="D335" s="51" t="n"/>
      <c r="E335" s="51" t="n"/>
      <c r="F335" s="51" t="n"/>
      <c r="G335" s="51" t="n"/>
      <c r="H335" s="51" t="n"/>
      <c r="I335" s="51" t="n"/>
      <c r="J335" s="51" t="n"/>
      <c r="K335" s="51" t="n"/>
      <c r="L335" s="51" t="n"/>
      <c r="M335" s="51" t="n"/>
      <c r="N335" s="51" t="n"/>
      <c r="S335" s="51" t="n"/>
      <c r="T335" s="51" t="n"/>
      <c r="U335" s="51" t="n"/>
      <c r="V335" s="51" t="n"/>
      <c r="W335" s="51" t="n"/>
    </row>
    <row r="336">
      <c r="B336" s="51" t="n"/>
      <c r="C336" s="51" t="n"/>
      <c r="D336" s="51" t="n"/>
      <c r="E336" s="51" t="n"/>
      <c r="F336" s="51" t="n"/>
      <c r="G336" s="51" t="n"/>
      <c r="H336" s="51" t="n"/>
      <c r="I336" s="51" t="n"/>
      <c r="J336" s="51" t="n"/>
      <c r="K336" s="51" t="n"/>
      <c r="L336" s="51" t="n"/>
      <c r="M336" s="51" t="n"/>
      <c r="N336" s="51" t="n"/>
      <c r="S336" s="51" t="n"/>
      <c r="T336" s="51" t="n"/>
      <c r="U336" s="51" t="n"/>
      <c r="V336" s="51" t="n"/>
      <c r="W336" s="51" t="n"/>
    </row>
    <row r="337">
      <c r="B337" s="51" t="n"/>
      <c r="C337" s="51" t="n"/>
      <c r="D337" s="51" t="n"/>
      <c r="E337" s="51" t="n"/>
      <c r="F337" s="51" t="n"/>
      <c r="G337" s="51" t="n"/>
      <c r="H337" s="51" t="n"/>
      <c r="I337" s="51" t="n"/>
      <c r="J337" s="51" t="n"/>
      <c r="K337" s="51" t="n"/>
      <c r="L337" s="51" t="n"/>
      <c r="M337" s="51" t="n"/>
      <c r="N337" s="51" t="n"/>
      <c r="S337" s="51" t="n"/>
      <c r="T337" s="51" t="n"/>
      <c r="U337" s="51" t="n"/>
      <c r="V337" s="51" t="n"/>
      <c r="W337" s="51" t="n"/>
    </row>
    <row r="338">
      <c r="B338" s="51" t="n"/>
      <c r="C338" s="51" t="n"/>
      <c r="D338" s="51" t="n"/>
      <c r="E338" s="51" t="n"/>
      <c r="F338" s="51" t="n"/>
      <c r="G338" s="51" t="n"/>
      <c r="H338" s="51" t="n"/>
      <c r="I338" s="51" t="n"/>
      <c r="J338" s="51" t="n"/>
      <c r="K338" s="51" t="n"/>
      <c r="L338" s="51" t="n"/>
      <c r="M338" s="51" t="n"/>
      <c r="N338" s="51" t="n"/>
      <c r="S338" s="51" t="n"/>
      <c r="T338" s="51" t="n"/>
      <c r="U338" s="51" t="n"/>
      <c r="V338" s="51" t="n"/>
      <c r="W338" s="51" t="n"/>
    </row>
    <row r="339">
      <c r="B339" s="51" t="n"/>
      <c r="C339" s="51" t="n"/>
      <c r="D339" s="51" t="n"/>
      <c r="E339" s="51" t="n"/>
      <c r="F339" s="51" t="n"/>
      <c r="G339" s="51" t="n"/>
      <c r="H339" s="51" t="n"/>
      <c r="I339" s="51" t="n"/>
      <c r="J339" s="51" t="n"/>
      <c r="K339" s="51" t="n"/>
      <c r="L339" s="51" t="n"/>
      <c r="M339" s="51" t="n"/>
      <c r="N339" s="51" t="n"/>
      <c r="S339" s="51" t="n"/>
      <c r="T339" s="51" t="n"/>
      <c r="U339" s="51" t="n"/>
      <c r="V339" s="51" t="n"/>
      <c r="W339" s="51" t="n"/>
    </row>
    <row r="340">
      <c r="B340" s="51" t="n"/>
      <c r="C340" s="51" t="n"/>
      <c r="D340" s="51" t="n"/>
      <c r="E340" s="51" t="n"/>
      <c r="F340" s="51" t="n"/>
      <c r="G340" s="51" t="n"/>
      <c r="H340" s="51" t="n"/>
      <c r="I340" s="51" t="n"/>
      <c r="J340" s="51" t="n"/>
      <c r="K340" s="51" t="n"/>
      <c r="L340" s="51" t="n"/>
      <c r="M340" s="51" t="n"/>
      <c r="N340" s="51" t="n"/>
      <c r="S340" s="51" t="n"/>
      <c r="T340" s="51" t="n"/>
      <c r="U340" s="51" t="n"/>
      <c r="V340" s="51" t="n"/>
      <c r="W340" s="51" t="n"/>
    </row>
    <row r="341">
      <c r="B341" s="51" t="n"/>
      <c r="C341" s="51" t="n"/>
      <c r="D341" s="51" t="n"/>
      <c r="E341" s="51" t="n"/>
      <c r="F341" s="51" t="n"/>
      <c r="G341" s="51" t="n"/>
      <c r="H341" s="51" t="n"/>
      <c r="I341" s="51" t="n"/>
      <c r="J341" s="51" t="n"/>
      <c r="K341" s="51" t="n"/>
      <c r="L341" s="51" t="n"/>
      <c r="M341" s="51" t="n"/>
      <c r="N341" s="51" t="n"/>
      <c r="S341" s="51" t="n"/>
      <c r="T341" s="51" t="n"/>
      <c r="U341" s="51" t="n"/>
      <c r="V341" s="51" t="n"/>
      <c r="W341" s="51" t="n"/>
    </row>
    <row r="342">
      <c r="B342" s="51" t="n"/>
      <c r="C342" s="51" t="n"/>
      <c r="D342" s="51" t="n"/>
      <c r="E342" s="51" t="n"/>
      <c r="F342" s="51" t="n"/>
      <c r="G342" s="51" t="n"/>
      <c r="H342" s="51" t="n"/>
      <c r="I342" s="51" t="n"/>
      <c r="J342" s="51" t="n"/>
      <c r="K342" s="51" t="n"/>
      <c r="L342" s="51" t="n"/>
      <c r="M342" s="51" t="n"/>
      <c r="N342" s="51" t="n"/>
      <c r="S342" s="51" t="n"/>
      <c r="T342" s="51" t="n"/>
      <c r="U342" s="51" t="n"/>
      <c r="V342" s="51" t="n"/>
      <c r="W342" s="51" t="n"/>
    </row>
    <row r="343">
      <c r="B343" s="51" t="n"/>
      <c r="C343" s="51" t="n"/>
      <c r="D343" s="51" t="n"/>
      <c r="E343" s="51" t="n"/>
      <c r="F343" s="51" t="n"/>
      <c r="G343" s="51" t="n"/>
      <c r="H343" s="51" t="n"/>
      <c r="I343" s="51" t="n"/>
      <c r="J343" s="51" t="n"/>
      <c r="K343" s="51" t="n"/>
      <c r="L343" s="51" t="n"/>
      <c r="M343" s="51" t="n"/>
      <c r="N343" s="51" t="n"/>
      <c r="S343" s="51" t="n"/>
      <c r="T343" s="51" t="n"/>
      <c r="U343" s="51" t="n"/>
      <c r="V343" s="51" t="n"/>
      <c r="W343" s="51" t="n"/>
    </row>
    <row r="344">
      <c r="B344" s="51" t="n"/>
      <c r="C344" s="51" t="n"/>
      <c r="D344" s="51" t="n"/>
      <c r="E344" s="51" t="n"/>
      <c r="F344" s="51" t="n"/>
      <c r="G344" s="51" t="n"/>
      <c r="H344" s="51" t="n"/>
      <c r="I344" s="51" t="n"/>
      <c r="J344" s="51" t="n"/>
      <c r="K344" s="51" t="n"/>
      <c r="L344" s="51" t="n"/>
      <c r="M344" s="51" t="n"/>
      <c r="N344" s="51" t="n"/>
      <c r="S344" s="51" t="n"/>
      <c r="T344" s="51" t="n"/>
      <c r="U344" s="51" t="n"/>
      <c r="V344" s="51" t="n"/>
      <c r="W344" s="51" t="n"/>
    </row>
    <row r="345">
      <c r="B345" s="51" t="n"/>
      <c r="C345" s="51" t="n"/>
      <c r="D345" s="51" t="n"/>
      <c r="E345" s="51" t="n"/>
      <c r="F345" s="51" t="n"/>
      <c r="G345" s="51" t="n"/>
      <c r="H345" s="51" t="n"/>
      <c r="I345" s="51" t="n"/>
      <c r="J345" s="51" t="n"/>
      <c r="K345" s="51" t="n"/>
      <c r="L345" s="51" t="n"/>
      <c r="M345" s="51" t="n"/>
      <c r="N345" s="51" t="n"/>
      <c r="S345" s="51" t="n"/>
      <c r="T345" s="51" t="n"/>
      <c r="U345" s="51" t="n"/>
      <c r="V345" s="51" t="n"/>
      <c r="W345" s="51" t="n"/>
    </row>
    <row r="346">
      <c r="B346" s="51" t="n"/>
      <c r="C346" s="51" t="n"/>
      <c r="D346" s="51" t="n"/>
      <c r="E346" s="51" t="n"/>
      <c r="F346" s="51" t="n"/>
      <c r="G346" s="51" t="n"/>
      <c r="H346" s="51" t="n"/>
      <c r="I346" s="51" t="n"/>
      <c r="J346" s="51" t="n"/>
      <c r="K346" s="51" t="n"/>
      <c r="L346" s="51" t="n"/>
      <c r="M346" s="51" t="n"/>
      <c r="N346" s="51" t="n"/>
      <c r="S346" s="51" t="n"/>
      <c r="T346" s="51" t="n"/>
      <c r="U346" s="51" t="n"/>
      <c r="V346" s="51" t="n"/>
      <c r="W346" s="51" t="n"/>
    </row>
    <row r="347">
      <c r="B347" s="51" t="n"/>
      <c r="C347" s="51" t="n"/>
      <c r="D347" s="51" t="n"/>
      <c r="E347" s="51" t="n"/>
      <c r="F347" s="51" t="n"/>
      <c r="G347" s="51" t="n"/>
      <c r="H347" s="51" t="n"/>
      <c r="I347" s="51" t="n"/>
      <c r="J347" s="51" t="n"/>
      <c r="K347" s="51" t="n"/>
      <c r="L347" s="51" t="n"/>
      <c r="M347" s="51" t="n"/>
      <c r="N347" s="51" t="n"/>
      <c r="S347" s="51" t="n"/>
      <c r="T347" s="51" t="n"/>
      <c r="U347" s="51" t="n"/>
      <c r="V347" s="51" t="n"/>
      <c r="W347" s="51" t="n"/>
    </row>
    <row r="348">
      <c r="B348" s="51" t="n"/>
      <c r="C348" s="51" t="n"/>
      <c r="D348" s="51" t="n"/>
      <c r="E348" s="51" t="n"/>
      <c r="F348" s="51" t="n"/>
      <c r="G348" s="51" t="n"/>
      <c r="H348" s="51" t="n"/>
      <c r="I348" s="51" t="n"/>
      <c r="J348" s="51" t="n"/>
      <c r="K348" s="51" t="n"/>
      <c r="L348" s="51" t="n"/>
      <c r="M348" s="51" t="n"/>
      <c r="N348" s="51" t="n"/>
      <c r="S348" s="51" t="n"/>
      <c r="T348" s="51" t="n"/>
      <c r="U348" s="51" t="n"/>
      <c r="V348" s="51" t="n"/>
      <c r="W348" s="51" t="n"/>
    </row>
    <row r="349">
      <c r="B349" s="51" t="n"/>
      <c r="C349" s="51" t="n"/>
      <c r="D349" s="51" t="n"/>
      <c r="E349" s="51" t="n"/>
      <c r="F349" s="51" t="n"/>
      <c r="G349" s="51" t="n"/>
      <c r="H349" s="51" t="n"/>
      <c r="I349" s="51" t="n"/>
      <c r="J349" s="51" t="n"/>
      <c r="K349" s="51" t="n"/>
      <c r="L349" s="51" t="n"/>
      <c r="M349" s="51" t="n"/>
      <c r="N349" s="51" t="n"/>
      <c r="S349" s="51" t="n"/>
      <c r="T349" s="51" t="n"/>
      <c r="U349" s="51" t="n"/>
      <c r="V349" s="51" t="n"/>
      <c r="W349" s="51" t="n"/>
    </row>
    <row r="350">
      <c r="B350" s="51" t="n"/>
      <c r="C350" s="51" t="n"/>
      <c r="D350" s="51" t="n"/>
      <c r="E350" s="51" t="n"/>
      <c r="F350" s="51" t="n"/>
      <c r="G350" s="51" t="n"/>
      <c r="H350" s="51" t="n"/>
      <c r="I350" s="51" t="n"/>
      <c r="J350" s="51" t="n"/>
      <c r="K350" s="51" t="n"/>
      <c r="L350" s="51" t="n"/>
      <c r="M350" s="51" t="n"/>
      <c r="N350" s="51" t="n"/>
      <c r="S350" s="51" t="n"/>
      <c r="T350" s="51" t="n"/>
      <c r="U350" s="51" t="n"/>
      <c r="V350" s="51" t="n"/>
      <c r="W350" s="51" t="n"/>
    </row>
    <row r="351">
      <c r="B351" s="51" t="n"/>
      <c r="C351" s="51" t="n"/>
      <c r="D351" s="51" t="n"/>
      <c r="E351" s="51" t="n"/>
      <c r="F351" s="51" t="n"/>
      <c r="G351" s="51" t="n"/>
      <c r="H351" s="51" t="n"/>
      <c r="I351" s="51" t="n"/>
      <c r="J351" s="51" t="n"/>
      <c r="K351" s="51" t="n"/>
      <c r="L351" s="51" t="n"/>
      <c r="M351" s="51" t="n"/>
      <c r="N351" s="51" t="n"/>
      <c r="S351" s="51" t="n"/>
      <c r="T351" s="51" t="n"/>
      <c r="U351" s="51" t="n"/>
      <c r="V351" s="51" t="n"/>
      <c r="W351" s="51" t="n"/>
    </row>
    <row r="352">
      <c r="B352" s="51" t="n"/>
      <c r="C352" s="51" t="n"/>
      <c r="D352" s="51" t="n"/>
      <c r="E352" s="51" t="n"/>
      <c r="F352" s="51" t="n"/>
      <c r="G352" s="51" t="n"/>
      <c r="H352" s="51" t="n"/>
      <c r="I352" s="51" t="n"/>
      <c r="J352" s="51" t="n"/>
      <c r="K352" s="51" t="n"/>
      <c r="L352" s="51" t="n"/>
      <c r="M352" s="51" t="n"/>
      <c r="N352" s="51" t="n"/>
      <c r="S352" s="51" t="n"/>
      <c r="T352" s="51" t="n"/>
      <c r="U352" s="51" t="n"/>
      <c r="V352" s="51" t="n"/>
      <c r="W352" s="51" t="n"/>
    </row>
    <row r="353">
      <c r="B353" s="51" t="n"/>
      <c r="C353" s="51" t="n"/>
      <c r="D353" s="51" t="n"/>
      <c r="E353" s="51" t="n"/>
      <c r="F353" s="51" t="n"/>
      <c r="G353" s="51" t="n"/>
      <c r="H353" s="51" t="n"/>
      <c r="I353" s="51" t="n"/>
      <c r="J353" s="51" t="n"/>
      <c r="K353" s="51" t="n"/>
      <c r="L353" s="51" t="n"/>
      <c r="M353" s="51" t="n"/>
      <c r="N353" s="51" t="n"/>
      <c r="S353" s="51" t="n"/>
      <c r="T353" s="51" t="n"/>
      <c r="U353" s="51" t="n"/>
      <c r="V353" s="51" t="n"/>
      <c r="W353" s="51" t="n"/>
    </row>
    <row r="354">
      <c r="B354" s="51" t="n"/>
      <c r="C354" s="51" t="n"/>
      <c r="D354" s="51" t="n"/>
      <c r="E354" s="51" t="n"/>
      <c r="F354" s="51" t="n"/>
      <c r="G354" s="51" t="n"/>
      <c r="H354" s="51" t="n"/>
      <c r="I354" s="51" t="n"/>
      <c r="J354" s="51" t="n"/>
      <c r="K354" s="51" t="n"/>
      <c r="L354" s="51" t="n"/>
      <c r="M354" s="51" t="n"/>
      <c r="N354" s="51" t="n"/>
      <c r="S354" s="51" t="n"/>
      <c r="T354" s="51" t="n"/>
      <c r="U354" s="51" t="n"/>
      <c r="V354" s="51" t="n"/>
      <c r="W354" s="51" t="n"/>
    </row>
    <row r="355">
      <c r="B355" s="51" t="n"/>
      <c r="C355" s="51" t="n"/>
      <c r="D355" s="51" t="n"/>
      <c r="E355" s="51" t="n"/>
      <c r="F355" s="51" t="n"/>
      <c r="G355" s="51" t="n"/>
      <c r="H355" s="51" t="n"/>
      <c r="I355" s="51" t="n"/>
      <c r="J355" s="51" t="n"/>
      <c r="K355" s="51" t="n"/>
      <c r="L355" s="51" t="n"/>
      <c r="M355" s="51" t="n"/>
      <c r="N355" s="51" t="n"/>
      <c r="S355" s="51" t="n"/>
      <c r="T355" s="51" t="n"/>
      <c r="U355" s="51" t="n"/>
      <c r="V355" s="51" t="n"/>
      <c r="W355" s="51" t="n"/>
    </row>
    <row r="356">
      <c r="B356" s="51" t="n"/>
      <c r="C356" s="51" t="n"/>
      <c r="D356" s="51" t="n"/>
      <c r="E356" s="51" t="n"/>
      <c r="F356" s="51" t="n"/>
      <c r="G356" s="51" t="n"/>
      <c r="H356" s="51" t="n"/>
      <c r="I356" s="51" t="n"/>
      <c r="J356" s="51" t="n"/>
      <c r="K356" s="51" t="n"/>
      <c r="L356" s="51" t="n"/>
      <c r="M356" s="51" t="n"/>
      <c r="N356" s="51" t="n"/>
      <c r="S356" s="51" t="n"/>
      <c r="T356" s="51" t="n"/>
      <c r="U356" s="51" t="n"/>
      <c r="V356" s="51" t="n"/>
      <c r="W356" s="51" t="n"/>
    </row>
    <row r="357">
      <c r="B357" s="51" t="n"/>
      <c r="C357" s="51" t="n"/>
      <c r="D357" s="51" t="n"/>
      <c r="E357" s="51" t="n"/>
      <c r="F357" s="51" t="n"/>
      <c r="G357" s="51" t="n"/>
      <c r="H357" s="51" t="n"/>
      <c r="I357" s="51" t="n"/>
      <c r="J357" s="51" t="n"/>
      <c r="K357" s="51" t="n"/>
      <c r="L357" s="51" t="n"/>
      <c r="M357" s="51" t="n"/>
      <c r="N357" s="51" t="n"/>
      <c r="S357" s="51" t="n"/>
      <c r="T357" s="51" t="n"/>
      <c r="U357" s="51" t="n"/>
      <c r="V357" s="51" t="n"/>
      <c r="W357" s="51" t="n"/>
    </row>
    <row r="358">
      <c r="B358" s="51" t="n"/>
      <c r="C358" s="51" t="n"/>
      <c r="D358" s="51" t="n"/>
      <c r="E358" s="51" t="n"/>
      <c r="F358" s="51" t="n"/>
      <c r="G358" s="51" t="n"/>
      <c r="H358" s="51" t="n"/>
      <c r="I358" s="51" t="n"/>
      <c r="J358" s="51" t="n"/>
      <c r="K358" s="51" t="n"/>
      <c r="L358" s="51" t="n"/>
      <c r="M358" s="51" t="n"/>
      <c r="N358" s="51" t="n"/>
      <c r="S358" s="51" t="n"/>
      <c r="T358" s="51" t="n"/>
      <c r="U358" s="51" t="n"/>
      <c r="V358" s="51" t="n"/>
      <c r="W358" s="51" t="n"/>
    </row>
    <row r="359">
      <c r="B359" s="51" t="n"/>
      <c r="C359" s="51" t="n"/>
      <c r="D359" s="51" t="n"/>
      <c r="E359" s="51" t="n"/>
      <c r="F359" s="51" t="n"/>
      <c r="G359" s="51" t="n"/>
      <c r="H359" s="51" t="n"/>
      <c r="I359" s="51" t="n"/>
      <c r="J359" s="51" t="n"/>
      <c r="K359" s="51" t="n"/>
      <c r="L359" s="51" t="n"/>
      <c r="M359" s="51" t="n"/>
      <c r="N359" s="51" t="n"/>
      <c r="S359" s="51" t="n"/>
      <c r="T359" s="51" t="n"/>
      <c r="U359" s="51" t="n"/>
      <c r="V359" s="51" t="n"/>
      <c r="W359" s="51" t="n"/>
    </row>
    <row r="360">
      <c r="B360" s="51" t="n"/>
      <c r="C360" s="51" t="n"/>
      <c r="D360" s="51" t="n"/>
      <c r="E360" s="51" t="n"/>
      <c r="F360" s="51" t="n"/>
      <c r="G360" s="51" t="n"/>
      <c r="H360" s="51" t="n"/>
      <c r="I360" s="51" t="n"/>
      <c r="J360" s="51" t="n"/>
      <c r="K360" s="51" t="n"/>
      <c r="L360" s="51" t="n"/>
      <c r="M360" s="51" t="n"/>
      <c r="N360" s="51" t="n"/>
      <c r="S360" s="51" t="n"/>
      <c r="T360" s="51" t="n"/>
      <c r="U360" s="51" t="n"/>
      <c r="V360" s="51" t="n"/>
      <c r="W360" s="51" t="n"/>
    </row>
    <row r="361">
      <c r="B361" s="51" t="n"/>
      <c r="C361" s="51" t="n"/>
      <c r="D361" s="51" t="n"/>
      <c r="E361" s="51" t="n"/>
      <c r="F361" s="51" t="n"/>
      <c r="G361" s="51" t="n"/>
      <c r="H361" s="51" t="n"/>
      <c r="I361" s="51" t="n"/>
      <c r="J361" s="51" t="n"/>
      <c r="K361" s="51" t="n"/>
      <c r="L361" s="51" t="n"/>
      <c r="M361" s="51" t="n"/>
      <c r="N361" s="51" t="n"/>
      <c r="S361" s="51" t="n"/>
      <c r="T361" s="51" t="n"/>
      <c r="U361" s="51" t="n"/>
      <c r="V361" s="51" t="n"/>
      <c r="W361" s="51" t="n"/>
    </row>
    <row r="362">
      <c r="B362" s="51" t="n"/>
      <c r="C362" s="51" t="n"/>
      <c r="D362" s="51" t="n"/>
      <c r="E362" s="51" t="n"/>
      <c r="F362" s="51" t="n"/>
      <c r="G362" s="51" t="n"/>
      <c r="H362" s="51" t="n"/>
      <c r="I362" s="51" t="n"/>
      <c r="J362" s="51" t="n"/>
      <c r="K362" s="51" t="n"/>
      <c r="L362" s="51" t="n"/>
      <c r="M362" s="51" t="n"/>
      <c r="N362" s="51" t="n"/>
      <c r="S362" s="51" t="n"/>
      <c r="T362" s="51" t="n"/>
      <c r="U362" s="51" t="n"/>
      <c r="V362" s="51" t="n"/>
      <c r="W362" s="51" t="n"/>
    </row>
    <row r="363">
      <c r="B363" s="51" t="n"/>
      <c r="C363" s="51" t="n"/>
      <c r="D363" s="51" t="n"/>
      <c r="E363" s="51" t="n"/>
      <c r="F363" s="51" t="n"/>
      <c r="G363" s="51" t="n"/>
      <c r="H363" s="51" t="n"/>
      <c r="I363" s="51" t="n"/>
      <c r="J363" s="51" t="n"/>
      <c r="K363" s="51" t="n"/>
      <c r="L363" s="51" t="n"/>
      <c r="M363" s="51" t="n"/>
      <c r="N363" s="51" t="n"/>
      <c r="S363" s="51" t="n"/>
      <c r="T363" s="51" t="n"/>
      <c r="U363" s="51" t="n"/>
      <c r="V363" s="51" t="n"/>
      <c r="W363" s="51" t="n"/>
    </row>
    <row r="364">
      <c r="B364" s="51" t="n"/>
      <c r="C364" s="51" t="n"/>
      <c r="D364" s="51" t="n"/>
      <c r="E364" s="51" t="n"/>
      <c r="F364" s="51" t="n"/>
      <c r="G364" s="51" t="n"/>
      <c r="H364" s="51" t="n"/>
      <c r="I364" s="51" t="n"/>
      <c r="J364" s="51" t="n"/>
      <c r="K364" s="51" t="n"/>
      <c r="L364" s="51" t="n"/>
      <c r="M364" s="51" t="n"/>
      <c r="N364" s="51" t="n"/>
      <c r="S364" s="51" t="n"/>
      <c r="T364" s="51" t="n"/>
      <c r="U364" s="51" t="n"/>
      <c r="V364" s="51" t="n"/>
      <c r="W364" s="51" t="n"/>
    </row>
    <row r="365">
      <c r="B365" s="51" t="n"/>
      <c r="C365" s="51" t="n"/>
      <c r="D365" s="51" t="n"/>
      <c r="E365" s="51" t="n"/>
      <c r="F365" s="51" t="n"/>
      <c r="G365" s="51" t="n"/>
      <c r="H365" s="51" t="n"/>
      <c r="I365" s="51" t="n"/>
      <c r="J365" s="51" t="n"/>
      <c r="K365" s="51" t="n"/>
      <c r="L365" s="51" t="n"/>
      <c r="M365" s="51" t="n"/>
      <c r="N365" s="51" t="n"/>
      <c r="S365" s="51" t="n"/>
      <c r="T365" s="51" t="n"/>
      <c r="U365" s="51" t="n"/>
      <c r="V365" s="51" t="n"/>
      <c r="W365" s="51" t="n"/>
    </row>
    <row r="366">
      <c r="B366" s="51" t="n"/>
      <c r="C366" s="51" t="n"/>
      <c r="D366" s="51" t="n"/>
      <c r="E366" s="51" t="n"/>
      <c r="F366" s="51" t="n"/>
      <c r="G366" s="51" t="n"/>
      <c r="H366" s="51" t="n"/>
      <c r="I366" s="51" t="n"/>
      <c r="J366" s="51" t="n"/>
      <c r="K366" s="51" t="n"/>
      <c r="L366" s="51" t="n"/>
      <c r="M366" s="51" t="n"/>
      <c r="N366" s="51" t="n"/>
      <c r="S366" s="51" t="n"/>
      <c r="T366" s="51" t="n"/>
      <c r="U366" s="51" t="n"/>
      <c r="V366" s="51" t="n"/>
      <c r="W366" s="51" t="n"/>
    </row>
    <row r="367">
      <c r="B367" s="51" t="n"/>
      <c r="C367" s="51" t="n"/>
      <c r="D367" s="51" t="n"/>
      <c r="E367" s="51" t="n"/>
      <c r="F367" s="51" t="n"/>
      <c r="G367" s="51" t="n"/>
      <c r="H367" s="51" t="n"/>
      <c r="I367" s="51" t="n"/>
      <c r="J367" s="51" t="n"/>
      <c r="K367" s="51" t="n"/>
      <c r="L367" s="51" t="n"/>
      <c r="M367" s="51" t="n"/>
      <c r="N367" s="51" t="n"/>
      <c r="S367" s="51" t="n"/>
      <c r="T367" s="51" t="n"/>
      <c r="U367" s="51" t="n"/>
      <c r="V367" s="51" t="n"/>
      <c r="W367" s="51" t="n"/>
    </row>
    <row r="368">
      <c r="B368" s="51" t="n"/>
      <c r="C368" s="51" t="n"/>
      <c r="D368" s="51" t="n"/>
      <c r="E368" s="51" t="n"/>
      <c r="F368" s="51" t="n"/>
      <c r="G368" s="51" t="n"/>
      <c r="H368" s="51" t="n"/>
      <c r="I368" s="51" t="n"/>
      <c r="J368" s="51" t="n"/>
      <c r="K368" s="51" t="n"/>
      <c r="L368" s="51" t="n"/>
      <c r="M368" s="51" t="n"/>
      <c r="N368" s="51" t="n"/>
      <c r="S368" s="51" t="n"/>
      <c r="T368" s="51" t="n"/>
      <c r="U368" s="51" t="n"/>
      <c r="V368" s="51" t="n"/>
      <c r="W368" s="51" t="n"/>
    </row>
    <row r="369">
      <c r="B369" s="51" t="n"/>
      <c r="C369" s="51" t="n"/>
      <c r="D369" s="51" t="n"/>
      <c r="E369" s="51" t="n"/>
      <c r="F369" s="51" t="n"/>
      <c r="G369" s="51" t="n"/>
      <c r="H369" s="51" t="n"/>
      <c r="I369" s="51" t="n"/>
      <c r="J369" s="51" t="n"/>
      <c r="K369" s="51" t="n"/>
      <c r="L369" s="51" t="n"/>
      <c r="M369" s="51" t="n"/>
      <c r="N369" s="51" t="n"/>
      <c r="S369" s="51" t="n"/>
      <c r="T369" s="51" t="n"/>
      <c r="U369" s="51" t="n"/>
      <c r="V369" s="51" t="n"/>
      <c r="W369" s="51" t="n"/>
    </row>
    <row r="370">
      <c r="B370" s="51" t="n"/>
      <c r="C370" s="51" t="n"/>
      <c r="D370" s="51" t="n"/>
      <c r="E370" s="51" t="n"/>
      <c r="F370" s="51" t="n"/>
      <c r="G370" s="51" t="n"/>
      <c r="H370" s="51" t="n"/>
      <c r="I370" s="51" t="n"/>
      <c r="J370" s="51" t="n"/>
      <c r="K370" s="51" t="n"/>
      <c r="L370" s="51" t="n"/>
      <c r="M370" s="51" t="n"/>
      <c r="N370" s="51" t="n"/>
      <c r="S370" s="51" t="n"/>
      <c r="T370" s="51" t="n"/>
      <c r="U370" s="51" t="n"/>
      <c r="V370" s="51" t="n"/>
      <c r="W370" s="51" t="n"/>
    </row>
    <row r="371">
      <c r="B371" s="51" t="n"/>
      <c r="C371" s="51" t="n"/>
      <c r="D371" s="51" t="n"/>
      <c r="E371" s="51" t="n"/>
      <c r="F371" s="51" t="n"/>
      <c r="G371" s="51" t="n"/>
      <c r="H371" s="51" t="n"/>
      <c r="I371" s="51" t="n"/>
      <c r="J371" s="51" t="n"/>
      <c r="K371" s="51" t="n"/>
      <c r="L371" s="51" t="n"/>
      <c r="M371" s="51" t="n"/>
      <c r="N371" s="51" t="n"/>
      <c r="S371" s="51" t="n"/>
      <c r="T371" s="51" t="n"/>
      <c r="U371" s="51" t="n"/>
      <c r="V371" s="51" t="n"/>
      <c r="W371" s="51" t="n"/>
    </row>
    <row r="372">
      <c r="B372" s="51" t="n"/>
      <c r="C372" s="51" t="n"/>
      <c r="D372" s="51" t="n"/>
      <c r="E372" s="51" t="n"/>
      <c r="F372" s="51" t="n"/>
      <c r="G372" s="51" t="n"/>
      <c r="H372" s="51" t="n"/>
      <c r="I372" s="51" t="n"/>
      <c r="J372" s="51" t="n"/>
      <c r="K372" s="51" t="n"/>
      <c r="L372" s="51" t="n"/>
      <c r="M372" s="51" t="n"/>
      <c r="N372" s="51" t="n"/>
      <c r="S372" s="51" t="n"/>
      <c r="T372" s="51" t="n"/>
      <c r="U372" s="51" t="n"/>
      <c r="V372" s="51" t="n"/>
      <c r="W372" s="51" t="n"/>
    </row>
    <row r="373">
      <c r="B373" s="51" t="n"/>
      <c r="C373" s="51" t="n"/>
      <c r="D373" s="51" t="n"/>
      <c r="E373" s="51" t="n"/>
      <c r="F373" s="51" t="n"/>
      <c r="G373" s="51" t="n"/>
      <c r="H373" s="51" t="n"/>
      <c r="I373" s="51" t="n"/>
      <c r="J373" s="51" t="n"/>
      <c r="K373" s="51" t="n"/>
      <c r="L373" s="51" t="n"/>
      <c r="M373" s="51" t="n"/>
      <c r="N373" s="51" t="n"/>
      <c r="S373" s="51" t="n"/>
      <c r="T373" s="51" t="n"/>
      <c r="U373" s="51" t="n"/>
      <c r="V373" s="51" t="n"/>
      <c r="W373" s="51" t="n"/>
    </row>
    <row r="374">
      <c r="B374" s="51" t="n"/>
      <c r="C374" s="51" t="n"/>
      <c r="D374" s="51" t="n"/>
      <c r="E374" s="51" t="n"/>
      <c r="F374" s="51" t="n"/>
      <c r="G374" s="51" t="n"/>
      <c r="H374" s="51" t="n"/>
      <c r="I374" s="51" t="n"/>
      <c r="J374" s="51" t="n"/>
      <c r="K374" s="51" t="n"/>
      <c r="L374" s="51" t="n"/>
      <c r="M374" s="51" t="n"/>
      <c r="N374" s="51" t="n"/>
      <c r="S374" s="51" t="n"/>
      <c r="T374" s="51" t="n"/>
      <c r="U374" s="51" t="n"/>
      <c r="V374" s="51" t="n"/>
      <c r="W374" s="51" t="n"/>
    </row>
    <row r="375">
      <c r="B375" s="51" t="n"/>
      <c r="C375" s="51" t="n"/>
      <c r="D375" s="51" t="n"/>
      <c r="E375" s="51" t="n"/>
      <c r="F375" s="51" t="n"/>
      <c r="G375" s="51" t="n"/>
      <c r="H375" s="51" t="n"/>
      <c r="I375" s="51" t="n"/>
      <c r="J375" s="51" t="n"/>
      <c r="K375" s="51" t="n"/>
      <c r="L375" s="51" t="n"/>
      <c r="M375" s="51" t="n"/>
      <c r="N375" s="51" t="n"/>
      <c r="S375" s="51" t="n"/>
      <c r="T375" s="51" t="n"/>
      <c r="U375" s="51" t="n"/>
      <c r="V375" s="51" t="n"/>
      <c r="W375" s="51" t="n"/>
    </row>
    <row r="376">
      <c r="B376" s="51" t="n"/>
      <c r="C376" s="51" t="n"/>
      <c r="D376" s="51" t="n"/>
      <c r="E376" s="51" t="n"/>
      <c r="F376" s="51" t="n"/>
      <c r="G376" s="51" t="n"/>
      <c r="H376" s="51" t="n"/>
      <c r="I376" s="51" t="n"/>
      <c r="J376" s="51" t="n"/>
      <c r="K376" s="51" t="n"/>
      <c r="L376" s="51" t="n"/>
      <c r="M376" s="51" t="n"/>
      <c r="N376" s="51" t="n"/>
      <c r="S376" s="51" t="n"/>
      <c r="T376" s="51" t="n"/>
      <c r="U376" s="51" t="n"/>
      <c r="V376" s="51" t="n"/>
      <c r="W376" s="51" t="n"/>
    </row>
    <row r="377">
      <c r="B377" s="51" t="n"/>
      <c r="C377" s="51" t="n"/>
      <c r="D377" s="51" t="n"/>
      <c r="E377" s="51" t="n"/>
      <c r="F377" s="51" t="n"/>
      <c r="G377" s="51" t="n"/>
      <c r="H377" s="51" t="n"/>
      <c r="I377" s="51" t="n"/>
      <c r="J377" s="51" t="n"/>
      <c r="K377" s="51" t="n"/>
      <c r="L377" s="51" t="n"/>
      <c r="M377" s="51" t="n"/>
      <c r="N377" s="51" t="n"/>
      <c r="S377" s="51" t="n"/>
      <c r="T377" s="51" t="n"/>
      <c r="U377" s="51" t="n"/>
      <c r="V377" s="51" t="n"/>
      <c r="W377" s="51" t="n"/>
    </row>
    <row r="378">
      <c r="B378" s="51" t="n"/>
      <c r="C378" s="51" t="n"/>
      <c r="D378" s="51" t="n"/>
      <c r="E378" s="51" t="n"/>
      <c r="F378" s="51" t="n"/>
      <c r="G378" s="51" t="n"/>
      <c r="H378" s="51" t="n"/>
      <c r="I378" s="51" t="n"/>
      <c r="J378" s="51" t="n"/>
      <c r="K378" s="51" t="n"/>
      <c r="L378" s="51" t="n"/>
      <c r="M378" s="51" t="n"/>
      <c r="N378" s="51" t="n"/>
      <c r="S378" s="51" t="n"/>
      <c r="T378" s="51" t="n"/>
      <c r="U378" s="51" t="n"/>
      <c r="V378" s="51" t="n"/>
      <c r="W378" s="51" t="n"/>
    </row>
    <row r="379">
      <c r="B379" s="51" t="n"/>
      <c r="C379" s="51" t="n"/>
      <c r="D379" s="51" t="n"/>
      <c r="E379" s="51" t="n"/>
      <c r="F379" s="51" t="n"/>
      <c r="G379" s="51" t="n"/>
      <c r="H379" s="51" t="n"/>
      <c r="I379" s="51" t="n"/>
      <c r="J379" s="51" t="n"/>
      <c r="K379" s="51" t="n"/>
      <c r="L379" s="51" t="n"/>
      <c r="M379" s="51" t="n"/>
      <c r="N379" s="51" t="n"/>
      <c r="S379" s="51" t="n"/>
      <c r="T379" s="51" t="n"/>
      <c r="U379" s="51" t="n"/>
      <c r="V379" s="51" t="n"/>
      <c r="W379" s="51" t="n"/>
    </row>
    <row r="380">
      <c r="B380" s="51" t="n"/>
      <c r="C380" s="51" t="n"/>
      <c r="D380" s="51" t="n"/>
      <c r="E380" s="51" t="n"/>
      <c r="F380" s="51" t="n"/>
      <c r="G380" s="51" t="n"/>
      <c r="H380" s="51" t="n"/>
      <c r="I380" s="51" t="n"/>
      <c r="J380" s="51" t="n"/>
      <c r="K380" s="51" t="n"/>
      <c r="L380" s="51" t="n"/>
      <c r="M380" s="51" t="n"/>
      <c r="N380" s="51" t="n"/>
      <c r="S380" s="51" t="n"/>
      <c r="T380" s="51" t="n"/>
      <c r="U380" s="51" t="n"/>
      <c r="V380" s="51" t="n"/>
      <c r="W380" s="51" t="n"/>
    </row>
    <row r="381">
      <c r="B381" s="51" t="n"/>
      <c r="C381" s="51" t="n"/>
      <c r="D381" s="51" t="n"/>
      <c r="E381" s="51" t="n"/>
      <c r="F381" s="51" t="n"/>
      <c r="G381" s="51" t="n"/>
      <c r="H381" s="51" t="n"/>
      <c r="I381" s="51" t="n"/>
      <c r="J381" s="51" t="n"/>
      <c r="K381" s="51" t="n"/>
      <c r="L381" s="51" t="n"/>
      <c r="M381" s="51" t="n"/>
      <c r="N381" s="51" t="n"/>
      <c r="S381" s="51" t="n"/>
      <c r="T381" s="51" t="n"/>
      <c r="U381" s="51" t="n"/>
      <c r="V381" s="51" t="n"/>
      <c r="W381" s="51" t="n"/>
    </row>
    <row r="382">
      <c r="B382" s="51" t="n"/>
      <c r="C382" s="51" t="n"/>
      <c r="D382" s="51" t="n"/>
      <c r="E382" s="51" t="n"/>
      <c r="F382" s="51" t="n"/>
      <c r="G382" s="51" t="n"/>
      <c r="H382" s="51" t="n"/>
      <c r="I382" s="51" t="n"/>
      <c r="J382" s="51" t="n"/>
      <c r="K382" s="51" t="n"/>
      <c r="L382" s="51" t="n"/>
      <c r="M382" s="51" t="n"/>
      <c r="N382" s="51" t="n"/>
      <c r="S382" s="51" t="n"/>
      <c r="T382" s="51" t="n"/>
      <c r="U382" s="51" t="n"/>
      <c r="V382" s="51" t="n"/>
      <c r="W382" s="51" t="n"/>
    </row>
    <row r="383">
      <c r="B383" s="51" t="n"/>
      <c r="C383" s="51" t="n"/>
      <c r="D383" s="51" t="n"/>
      <c r="E383" s="51" t="n"/>
      <c r="F383" s="51" t="n"/>
      <c r="G383" s="51" t="n"/>
      <c r="H383" s="51" t="n"/>
      <c r="I383" s="51" t="n"/>
      <c r="J383" s="51" t="n"/>
      <c r="K383" s="51" t="n"/>
      <c r="L383" s="51" t="n"/>
      <c r="M383" s="51" t="n"/>
      <c r="N383" s="51" t="n"/>
      <c r="S383" s="51" t="n"/>
      <c r="T383" s="51" t="n"/>
      <c r="U383" s="51" t="n"/>
      <c r="V383" s="51" t="n"/>
      <c r="W383" s="51" t="n"/>
    </row>
    <row r="384">
      <c r="B384" s="51" t="n"/>
      <c r="C384" s="51" t="n"/>
      <c r="D384" s="51" t="n"/>
      <c r="E384" s="51" t="n"/>
      <c r="F384" s="51" t="n"/>
      <c r="G384" s="51" t="n"/>
      <c r="H384" s="51" t="n"/>
      <c r="I384" s="51" t="n"/>
      <c r="J384" s="51" t="n"/>
      <c r="K384" s="51" t="n"/>
      <c r="L384" s="51" t="n"/>
      <c r="M384" s="51" t="n"/>
      <c r="N384" s="51" t="n"/>
      <c r="S384" s="51" t="n"/>
      <c r="T384" s="51" t="n"/>
      <c r="U384" s="51" t="n"/>
      <c r="V384" s="51" t="n"/>
      <c r="W384" s="51" t="n"/>
    </row>
    <row r="385">
      <c r="B385" s="51" t="n"/>
      <c r="C385" s="51" t="n"/>
      <c r="D385" s="51" t="n"/>
      <c r="E385" s="51" t="n"/>
      <c r="F385" s="51" t="n"/>
      <c r="G385" s="51" t="n"/>
      <c r="H385" s="51" t="n"/>
      <c r="I385" s="51" t="n"/>
      <c r="J385" s="51" t="n"/>
      <c r="K385" s="51" t="n"/>
      <c r="L385" s="51" t="n"/>
      <c r="M385" s="51" t="n"/>
      <c r="N385" s="51" t="n"/>
      <c r="S385" s="51" t="n"/>
      <c r="T385" s="51" t="n"/>
      <c r="U385" s="51" t="n"/>
      <c r="V385" s="51" t="n"/>
      <c r="W385" s="51" t="n"/>
    </row>
    <row r="386">
      <c r="B386" s="51" t="n"/>
      <c r="C386" s="51" t="n"/>
      <c r="D386" s="51" t="n"/>
      <c r="E386" s="51" t="n"/>
      <c r="F386" s="51" t="n"/>
      <c r="G386" s="51" t="n"/>
      <c r="H386" s="51" t="n"/>
      <c r="I386" s="51" t="n"/>
      <c r="J386" s="51" t="n"/>
      <c r="K386" s="51" t="n"/>
      <c r="L386" s="51" t="n"/>
      <c r="M386" s="51" t="n"/>
      <c r="N386" s="51" t="n"/>
      <c r="S386" s="51" t="n"/>
      <c r="T386" s="51" t="n"/>
      <c r="U386" s="51" t="n"/>
      <c r="V386" s="51" t="n"/>
      <c r="W386" s="51" t="n"/>
    </row>
    <row r="387">
      <c r="B387" s="51" t="n"/>
      <c r="C387" s="51" t="n"/>
      <c r="D387" s="51" t="n"/>
      <c r="E387" s="51" t="n"/>
      <c r="F387" s="51" t="n"/>
      <c r="G387" s="51" t="n"/>
      <c r="H387" s="51" t="n"/>
      <c r="I387" s="51" t="n"/>
      <c r="J387" s="51" t="n"/>
      <c r="K387" s="51" t="n"/>
      <c r="L387" s="51" t="n"/>
      <c r="M387" s="51" t="n"/>
      <c r="N387" s="51" t="n"/>
      <c r="S387" s="51" t="n"/>
      <c r="T387" s="51" t="n"/>
      <c r="U387" s="51" t="n"/>
      <c r="V387" s="51" t="n"/>
      <c r="W387" s="51" t="n"/>
    </row>
    <row r="388">
      <c r="B388" s="51" t="n"/>
      <c r="C388" s="51" t="n"/>
      <c r="D388" s="51" t="n"/>
      <c r="E388" s="51" t="n"/>
      <c r="F388" s="51" t="n"/>
      <c r="G388" s="51" t="n"/>
      <c r="H388" s="51" t="n"/>
      <c r="I388" s="51" t="n"/>
      <c r="J388" s="51" t="n"/>
      <c r="K388" s="51" t="n"/>
      <c r="L388" s="51" t="n"/>
      <c r="M388" s="51" t="n"/>
      <c r="N388" s="51" t="n"/>
      <c r="S388" s="51" t="n"/>
      <c r="T388" s="51" t="n"/>
      <c r="U388" s="51" t="n"/>
      <c r="V388" s="51" t="n"/>
      <c r="W388" s="51" t="n"/>
    </row>
    <row r="389">
      <c r="B389" s="51" t="n"/>
      <c r="C389" s="51" t="n"/>
      <c r="D389" s="51" t="n"/>
      <c r="E389" s="51" t="n"/>
      <c r="F389" s="51" t="n"/>
      <c r="G389" s="51" t="n"/>
      <c r="H389" s="51" t="n"/>
      <c r="I389" s="51" t="n"/>
      <c r="J389" s="51" t="n"/>
      <c r="K389" s="51" t="n"/>
      <c r="L389" s="51" t="n"/>
      <c r="M389" s="51" t="n"/>
      <c r="N389" s="51" t="n"/>
      <c r="S389" s="51" t="n"/>
      <c r="T389" s="51" t="n"/>
      <c r="U389" s="51" t="n"/>
      <c r="V389" s="51" t="n"/>
      <c r="W389" s="51" t="n"/>
    </row>
    <row r="390">
      <c r="B390" s="51" t="n"/>
      <c r="C390" s="51" t="n"/>
      <c r="D390" s="51" t="n"/>
      <c r="E390" s="51" t="n"/>
      <c r="F390" s="51" t="n"/>
      <c r="G390" s="51" t="n"/>
      <c r="H390" s="51" t="n"/>
      <c r="I390" s="51" t="n"/>
      <c r="J390" s="51" t="n"/>
      <c r="K390" s="51" t="n"/>
      <c r="L390" s="51" t="n"/>
      <c r="M390" s="51" t="n"/>
      <c r="N390" s="51" t="n"/>
      <c r="S390" s="51" t="n"/>
      <c r="T390" s="51" t="n"/>
      <c r="U390" s="51" t="n"/>
      <c r="V390" s="51" t="n"/>
      <c r="W390" s="51" t="n"/>
    </row>
    <row r="391">
      <c r="B391" s="51" t="n"/>
      <c r="C391" s="51" t="n"/>
      <c r="D391" s="51" t="n"/>
      <c r="E391" s="51" t="n"/>
      <c r="F391" s="51" t="n"/>
      <c r="G391" s="51" t="n"/>
      <c r="H391" s="51" t="n"/>
      <c r="I391" s="51" t="n"/>
      <c r="J391" s="51" t="n"/>
      <c r="K391" s="51" t="n"/>
      <c r="L391" s="51" t="n"/>
      <c r="M391" s="51" t="n"/>
      <c r="N391" s="51" t="n"/>
      <c r="S391" s="51" t="n"/>
      <c r="T391" s="51" t="n"/>
      <c r="U391" s="51" t="n"/>
      <c r="V391" s="51" t="n"/>
      <c r="W391" s="51" t="n"/>
    </row>
    <row r="392">
      <c r="B392" s="51" t="n"/>
      <c r="C392" s="51" t="n"/>
      <c r="D392" s="51" t="n"/>
      <c r="E392" s="51" t="n"/>
      <c r="F392" s="51" t="n"/>
      <c r="G392" s="51" t="n"/>
      <c r="H392" s="51" t="n"/>
      <c r="I392" s="51" t="n"/>
      <c r="J392" s="51" t="n"/>
      <c r="K392" s="51" t="n"/>
      <c r="L392" s="51" t="n"/>
      <c r="M392" s="51" t="n"/>
      <c r="N392" s="51" t="n"/>
      <c r="S392" s="51" t="n"/>
      <c r="T392" s="51" t="n"/>
      <c r="U392" s="51" t="n"/>
      <c r="V392" s="51" t="n"/>
      <c r="W392" s="51" t="n"/>
    </row>
    <row r="393">
      <c r="B393" s="51" t="n"/>
      <c r="C393" s="51" t="n"/>
      <c r="D393" s="51" t="n"/>
      <c r="E393" s="51" t="n"/>
      <c r="F393" s="51" t="n"/>
      <c r="G393" s="51" t="n"/>
      <c r="H393" s="51" t="n"/>
      <c r="I393" s="51" t="n"/>
      <c r="J393" s="51" t="n"/>
      <c r="K393" s="51" t="n"/>
      <c r="L393" s="51" t="n"/>
      <c r="M393" s="51" t="n"/>
      <c r="N393" s="51" t="n"/>
      <c r="S393" s="51" t="n"/>
      <c r="T393" s="51" t="n"/>
      <c r="U393" s="51" t="n"/>
      <c r="V393" s="51" t="n"/>
      <c r="W393" s="51" t="n"/>
    </row>
    <row r="394">
      <c r="B394" s="51" t="n"/>
      <c r="C394" s="51" t="n"/>
      <c r="D394" s="51" t="n"/>
      <c r="E394" s="51" t="n"/>
      <c r="F394" s="51" t="n"/>
      <c r="G394" s="51" t="n"/>
      <c r="H394" s="51" t="n"/>
      <c r="I394" s="51" t="n"/>
      <c r="J394" s="51" t="n"/>
      <c r="K394" s="51" t="n"/>
      <c r="L394" s="51" t="n"/>
      <c r="M394" s="51" t="n"/>
      <c r="N394" s="51" t="n"/>
      <c r="S394" s="51" t="n"/>
      <c r="T394" s="51" t="n"/>
      <c r="U394" s="51" t="n"/>
      <c r="V394" s="51" t="n"/>
      <c r="W394" s="51" t="n"/>
    </row>
    <row r="395">
      <c r="B395" s="51" t="n"/>
      <c r="C395" s="51" t="n"/>
      <c r="D395" s="51" t="n"/>
      <c r="E395" s="51" t="n"/>
      <c r="F395" s="51" t="n"/>
      <c r="G395" s="51" t="n"/>
      <c r="H395" s="51" t="n"/>
      <c r="I395" s="51" t="n"/>
      <c r="J395" s="51" t="n"/>
      <c r="K395" s="51" t="n"/>
      <c r="L395" s="51" t="n"/>
      <c r="M395" s="51" t="n"/>
      <c r="N395" s="51" t="n"/>
      <c r="S395" s="51" t="n"/>
      <c r="T395" s="51" t="n"/>
      <c r="U395" s="51" t="n"/>
      <c r="V395" s="51" t="n"/>
      <c r="W395" s="51" t="n"/>
    </row>
    <row r="396">
      <c r="B396" s="51" t="n"/>
      <c r="C396" s="51" t="n"/>
      <c r="D396" s="51" t="n"/>
      <c r="E396" s="51" t="n"/>
      <c r="F396" s="51" t="n"/>
      <c r="G396" s="51" t="n"/>
      <c r="H396" s="51" t="n"/>
      <c r="I396" s="51" t="n"/>
      <c r="J396" s="51" t="n"/>
      <c r="K396" s="51" t="n"/>
      <c r="L396" s="51" t="n"/>
      <c r="M396" s="51" t="n"/>
      <c r="N396" s="51" t="n"/>
      <c r="S396" s="51" t="n"/>
      <c r="T396" s="51" t="n"/>
      <c r="U396" s="51" t="n"/>
      <c r="V396" s="51" t="n"/>
      <c r="W396" s="51" t="n"/>
    </row>
    <row r="397">
      <c r="B397" s="51" t="n"/>
      <c r="C397" s="51" t="n"/>
      <c r="D397" s="51" t="n"/>
      <c r="E397" s="51" t="n"/>
      <c r="F397" s="51" t="n"/>
      <c r="G397" s="51" t="n"/>
      <c r="H397" s="51" t="n"/>
      <c r="I397" s="51" t="n"/>
      <c r="J397" s="51" t="n"/>
      <c r="K397" s="51" t="n"/>
      <c r="L397" s="51" t="n"/>
      <c r="M397" s="51" t="n"/>
      <c r="N397" s="51" t="n"/>
      <c r="S397" s="51" t="n"/>
      <c r="T397" s="51" t="n"/>
      <c r="U397" s="51" t="n"/>
      <c r="V397" s="51" t="n"/>
      <c r="W397" s="51" t="n"/>
    </row>
    <row r="398">
      <c r="B398" s="51" t="n"/>
      <c r="C398" s="51" t="n"/>
      <c r="D398" s="51" t="n"/>
      <c r="E398" s="51" t="n"/>
      <c r="F398" s="51" t="n"/>
      <c r="G398" s="51" t="n"/>
      <c r="H398" s="51" t="n"/>
      <c r="I398" s="51" t="n"/>
      <c r="J398" s="51" t="n"/>
      <c r="K398" s="51" t="n"/>
      <c r="L398" s="51" t="n"/>
      <c r="M398" s="51" t="n"/>
      <c r="N398" s="51" t="n"/>
      <c r="S398" s="51" t="n"/>
      <c r="T398" s="51" t="n"/>
      <c r="U398" s="51" t="n"/>
      <c r="V398" s="51" t="n"/>
      <c r="W398" s="51" t="n"/>
    </row>
    <row r="399">
      <c r="B399" s="51" t="n"/>
      <c r="C399" s="51" t="n"/>
      <c r="D399" s="51" t="n"/>
      <c r="E399" s="51" t="n"/>
      <c r="F399" s="51" t="n"/>
      <c r="G399" s="51" t="n"/>
      <c r="H399" s="51" t="n"/>
      <c r="I399" s="51" t="n"/>
      <c r="J399" s="51" t="n"/>
      <c r="K399" s="51" t="n"/>
      <c r="L399" s="51" t="n"/>
      <c r="M399" s="51" t="n"/>
      <c r="N399" s="51" t="n"/>
      <c r="S399" s="51" t="n"/>
      <c r="T399" s="51" t="n"/>
      <c r="U399" s="51" t="n"/>
      <c r="V399" s="51" t="n"/>
      <c r="W399" s="51" t="n"/>
    </row>
    <row r="400">
      <c r="B400" s="51" t="n"/>
      <c r="C400" s="51" t="n"/>
      <c r="D400" s="51" t="n"/>
      <c r="E400" s="51" t="n"/>
      <c r="F400" s="51" t="n"/>
      <c r="G400" s="51" t="n"/>
      <c r="H400" s="51" t="n"/>
      <c r="I400" s="51" t="n"/>
      <c r="J400" s="51" t="n"/>
      <c r="K400" s="51" t="n"/>
      <c r="L400" s="51" t="n"/>
      <c r="M400" s="51" t="n"/>
      <c r="N400" s="51" t="n"/>
      <c r="S400" s="51" t="n"/>
      <c r="T400" s="51" t="n"/>
      <c r="U400" s="51" t="n"/>
      <c r="V400" s="51" t="n"/>
      <c r="W400" s="51" t="n"/>
    </row>
    <row r="401">
      <c r="B401" s="51" t="n"/>
      <c r="C401" s="51" t="n"/>
      <c r="D401" s="51" t="n"/>
      <c r="E401" s="51" t="n"/>
      <c r="F401" s="51" t="n"/>
      <c r="G401" s="51" t="n"/>
      <c r="H401" s="51" t="n"/>
      <c r="I401" s="51" t="n"/>
      <c r="J401" s="51" t="n"/>
      <c r="K401" s="51" t="n"/>
      <c r="L401" s="51" t="n"/>
      <c r="M401" s="51" t="n"/>
      <c r="N401" s="51" t="n"/>
      <c r="S401" s="51" t="n"/>
      <c r="T401" s="51" t="n"/>
      <c r="U401" s="51" t="n"/>
      <c r="V401" s="51" t="n"/>
      <c r="W401" s="51" t="n"/>
    </row>
    <row r="402">
      <c r="B402" s="51" t="n"/>
      <c r="C402" s="51" t="n"/>
      <c r="D402" s="51" t="n"/>
      <c r="E402" s="51" t="n"/>
      <c r="F402" s="51" t="n"/>
      <c r="G402" s="51" t="n"/>
      <c r="H402" s="51" t="n"/>
      <c r="I402" s="51" t="n"/>
      <c r="J402" s="51" t="n"/>
      <c r="K402" s="51" t="n"/>
      <c r="L402" s="51" t="n"/>
      <c r="M402" s="51" t="n"/>
      <c r="N402" s="51" t="n"/>
      <c r="S402" s="51" t="n"/>
      <c r="T402" s="51" t="n"/>
      <c r="U402" s="51" t="n"/>
      <c r="V402" s="51" t="n"/>
      <c r="W402" s="51" t="n"/>
    </row>
    <row r="403">
      <c r="B403" s="51" t="n"/>
      <c r="C403" s="51" t="n"/>
      <c r="D403" s="51" t="n"/>
      <c r="E403" s="51" t="n"/>
      <c r="F403" s="51" t="n"/>
      <c r="G403" s="51" t="n"/>
      <c r="H403" s="51" t="n"/>
      <c r="I403" s="51" t="n"/>
      <c r="J403" s="51" t="n"/>
      <c r="K403" s="51" t="n"/>
      <c r="L403" s="51" t="n"/>
      <c r="M403" s="51" t="n"/>
      <c r="N403" s="51" t="n"/>
      <c r="S403" s="51" t="n"/>
      <c r="T403" s="51" t="n"/>
      <c r="U403" s="51" t="n"/>
      <c r="V403" s="51" t="n"/>
      <c r="W403" s="51" t="n"/>
    </row>
    <row r="404">
      <c r="B404" s="51" t="n"/>
      <c r="C404" s="51" t="n"/>
      <c r="D404" s="51" t="n"/>
      <c r="E404" s="51" t="n"/>
      <c r="F404" s="51" t="n"/>
      <c r="G404" s="51" t="n"/>
      <c r="H404" s="51" t="n"/>
      <c r="I404" s="51" t="n"/>
      <c r="J404" s="51" t="n"/>
      <c r="K404" s="51" t="n"/>
      <c r="L404" s="51" t="n"/>
      <c r="M404" s="51" t="n"/>
      <c r="N404" s="51" t="n"/>
      <c r="S404" s="51" t="n"/>
      <c r="T404" s="51" t="n"/>
      <c r="U404" s="51" t="n"/>
      <c r="V404" s="51" t="n"/>
      <c r="W404" s="51" t="n"/>
    </row>
    <row r="405">
      <c r="B405" s="51" t="n"/>
      <c r="C405" s="51" t="n"/>
      <c r="D405" s="51" t="n"/>
      <c r="E405" s="51" t="n"/>
      <c r="F405" s="51" t="n"/>
      <c r="G405" s="51" t="n"/>
      <c r="H405" s="51" t="n"/>
      <c r="I405" s="51" t="n"/>
      <c r="J405" s="51" t="n"/>
      <c r="K405" s="51" t="n"/>
      <c r="L405" s="51" t="n"/>
      <c r="M405" s="51" t="n"/>
      <c r="N405" s="51" t="n"/>
      <c r="S405" s="51" t="n"/>
      <c r="T405" s="51" t="n"/>
      <c r="U405" s="51" t="n"/>
      <c r="V405" s="51" t="n"/>
      <c r="W405" s="51" t="n"/>
    </row>
    <row r="406">
      <c r="B406" s="51" t="n"/>
      <c r="C406" s="51" t="n"/>
      <c r="D406" s="51" t="n"/>
      <c r="E406" s="51" t="n"/>
      <c r="F406" s="51" t="n"/>
      <c r="G406" s="51" t="n"/>
      <c r="H406" s="51" t="n"/>
      <c r="I406" s="51" t="n"/>
      <c r="J406" s="51" t="n"/>
      <c r="K406" s="51" t="n"/>
      <c r="L406" s="51" t="n"/>
      <c r="M406" s="51" t="n"/>
      <c r="N406" s="51" t="n"/>
      <c r="S406" s="51" t="n"/>
      <c r="T406" s="51" t="n"/>
      <c r="U406" s="51" t="n"/>
      <c r="V406" s="51" t="n"/>
      <c r="W406" s="51" t="n"/>
    </row>
    <row r="407">
      <c r="B407" s="51" t="n"/>
      <c r="C407" s="51" t="n"/>
      <c r="D407" s="51" t="n"/>
      <c r="E407" s="51" t="n"/>
      <c r="F407" s="51" t="n"/>
      <c r="G407" s="51" t="n"/>
      <c r="H407" s="51" t="n"/>
      <c r="I407" s="51" t="n"/>
      <c r="J407" s="51" t="n"/>
      <c r="K407" s="51" t="n"/>
      <c r="L407" s="51" t="n"/>
      <c r="M407" s="51" t="n"/>
      <c r="N407" s="51" t="n"/>
      <c r="S407" s="51" t="n"/>
      <c r="T407" s="51" t="n"/>
      <c r="U407" s="51" t="n"/>
      <c r="V407" s="51" t="n"/>
      <c r="W407" s="51" t="n"/>
    </row>
    <row r="408">
      <c r="B408" s="51" t="n"/>
      <c r="C408" s="51" t="n"/>
      <c r="D408" s="51" t="n"/>
      <c r="E408" s="51" t="n"/>
      <c r="F408" s="51" t="n"/>
      <c r="G408" s="51" t="n"/>
      <c r="H408" s="51" t="n"/>
      <c r="I408" s="51" t="n"/>
      <c r="J408" s="51" t="n"/>
      <c r="K408" s="51" t="n"/>
      <c r="L408" s="51" t="n"/>
      <c r="M408" s="51" t="n"/>
      <c r="N408" s="51" t="n"/>
      <c r="S408" s="51" t="n"/>
      <c r="T408" s="51" t="n"/>
      <c r="U408" s="51" t="n"/>
      <c r="V408" s="51" t="n"/>
      <c r="W408" s="51" t="n"/>
    </row>
    <row r="409">
      <c r="B409" s="51" t="n"/>
      <c r="C409" s="51" t="n"/>
      <c r="D409" s="51" t="n"/>
      <c r="E409" s="51" t="n"/>
      <c r="F409" s="51" t="n"/>
      <c r="G409" s="51" t="n"/>
      <c r="H409" s="51" t="n"/>
      <c r="I409" s="51" t="n"/>
      <c r="J409" s="51" t="n"/>
      <c r="K409" s="51" t="n"/>
      <c r="L409" s="51" t="n"/>
      <c r="M409" s="51" t="n"/>
      <c r="N409" s="51" t="n"/>
      <c r="S409" s="51" t="n"/>
      <c r="T409" s="51" t="n"/>
      <c r="U409" s="51" t="n"/>
      <c r="V409" s="51" t="n"/>
      <c r="W409" s="51" t="n"/>
    </row>
    <row r="410">
      <c r="B410" s="51" t="n"/>
      <c r="C410" s="51" t="n"/>
      <c r="D410" s="51" t="n"/>
      <c r="E410" s="51" t="n"/>
      <c r="F410" s="51" t="n"/>
      <c r="G410" s="51" t="n"/>
      <c r="H410" s="51" t="n"/>
      <c r="I410" s="51" t="n"/>
      <c r="J410" s="51" t="n"/>
      <c r="K410" s="51" t="n"/>
      <c r="L410" s="51" t="n"/>
      <c r="M410" s="51" t="n"/>
      <c r="N410" s="51" t="n"/>
      <c r="S410" s="51" t="n"/>
      <c r="T410" s="51" t="n"/>
      <c r="U410" s="51" t="n"/>
      <c r="V410" s="51" t="n"/>
      <c r="W410" s="51" t="n"/>
    </row>
    <row r="411">
      <c r="B411" s="51" t="n"/>
      <c r="C411" s="51" t="n"/>
      <c r="D411" s="51" t="n"/>
      <c r="E411" s="51" t="n"/>
      <c r="F411" s="51" t="n"/>
      <c r="G411" s="51" t="n"/>
      <c r="H411" s="51" t="n"/>
      <c r="I411" s="51" t="n"/>
      <c r="J411" s="51" t="n"/>
      <c r="K411" s="51" t="n"/>
      <c r="L411" s="51" t="n"/>
      <c r="M411" s="51" t="n"/>
      <c r="N411" s="51" t="n"/>
      <c r="S411" s="51" t="n"/>
      <c r="T411" s="51" t="n"/>
      <c r="U411" s="51" t="n"/>
      <c r="V411" s="51" t="n"/>
      <c r="W411" s="51" t="n"/>
    </row>
    <row r="412">
      <c r="B412" s="51" t="n"/>
      <c r="C412" s="51" t="n"/>
      <c r="D412" s="51" t="n"/>
      <c r="E412" s="51" t="n"/>
      <c r="F412" s="51" t="n"/>
      <c r="G412" s="51" t="n"/>
      <c r="H412" s="51" t="n"/>
      <c r="I412" s="51" t="n"/>
      <c r="J412" s="51" t="n"/>
      <c r="K412" s="51" t="n"/>
      <c r="L412" s="51" t="n"/>
      <c r="M412" s="51" t="n"/>
      <c r="N412" s="51" t="n"/>
      <c r="S412" s="51" t="n"/>
      <c r="T412" s="51" t="n"/>
      <c r="U412" s="51" t="n"/>
      <c r="V412" s="51" t="n"/>
      <c r="W412" s="51" t="n"/>
    </row>
    <row r="413">
      <c r="B413" s="51" t="n"/>
      <c r="C413" s="51" t="n"/>
      <c r="D413" s="51" t="n"/>
      <c r="E413" s="51" t="n"/>
      <c r="F413" s="51" t="n"/>
      <c r="G413" s="51" t="n"/>
      <c r="H413" s="51" t="n"/>
      <c r="I413" s="51" t="n"/>
      <c r="J413" s="51" t="n"/>
      <c r="K413" s="51" t="n"/>
      <c r="L413" s="51" t="n"/>
      <c r="M413" s="51" t="n"/>
      <c r="N413" s="51" t="n"/>
      <c r="S413" s="51" t="n"/>
      <c r="T413" s="51" t="n"/>
      <c r="U413" s="51" t="n"/>
      <c r="V413" s="51" t="n"/>
      <c r="W413" s="51" t="n"/>
    </row>
    <row r="414">
      <c r="B414" s="51" t="n"/>
      <c r="C414" s="51" t="n"/>
      <c r="D414" s="51" t="n"/>
      <c r="E414" s="51" t="n"/>
      <c r="F414" s="51" t="n"/>
      <c r="G414" s="51" t="n"/>
      <c r="H414" s="51" t="n"/>
      <c r="I414" s="51" t="n"/>
      <c r="J414" s="51" t="n"/>
      <c r="K414" s="51" t="n"/>
      <c r="L414" s="51" t="n"/>
      <c r="M414" s="51" t="n"/>
      <c r="N414" s="51" t="n"/>
      <c r="S414" s="51" t="n"/>
      <c r="T414" s="51" t="n"/>
      <c r="U414" s="51" t="n"/>
      <c r="V414" s="51" t="n"/>
      <c r="W414" s="51" t="n"/>
    </row>
    <row r="415">
      <c r="B415" s="51" t="n"/>
      <c r="C415" s="51" t="n"/>
      <c r="D415" s="51" t="n"/>
      <c r="E415" s="51" t="n"/>
      <c r="F415" s="51" t="n"/>
      <c r="G415" s="51" t="n"/>
      <c r="H415" s="51" t="n"/>
      <c r="I415" s="51" t="n"/>
      <c r="J415" s="51" t="n"/>
      <c r="K415" s="51" t="n"/>
      <c r="L415" s="51" t="n"/>
      <c r="M415" s="51" t="n"/>
      <c r="N415" s="51" t="n"/>
      <c r="S415" s="51" t="n"/>
      <c r="T415" s="51" t="n"/>
      <c r="U415" s="51" t="n"/>
      <c r="V415" s="51" t="n"/>
      <c r="W415" s="51" t="n"/>
    </row>
    <row r="416">
      <c r="B416" s="51" t="n"/>
      <c r="C416" s="51" t="n"/>
      <c r="D416" s="51" t="n"/>
      <c r="E416" s="51" t="n"/>
      <c r="F416" s="51" t="n"/>
      <c r="G416" s="51" t="n"/>
      <c r="H416" s="51" t="n"/>
      <c r="I416" s="51" t="n"/>
      <c r="J416" s="51" t="n"/>
      <c r="K416" s="51" t="n"/>
      <c r="L416" s="51" t="n"/>
      <c r="M416" s="51" t="n"/>
      <c r="N416" s="51" t="n"/>
      <c r="S416" s="51" t="n"/>
      <c r="T416" s="51" t="n"/>
      <c r="U416" s="51" t="n"/>
      <c r="V416" s="51" t="n"/>
      <c r="W416" s="51" t="n"/>
    </row>
    <row r="417">
      <c r="B417" s="51" t="n"/>
      <c r="C417" s="51" t="n"/>
      <c r="D417" s="51" t="n"/>
      <c r="E417" s="51" t="n"/>
      <c r="F417" s="51" t="n"/>
      <c r="G417" s="51" t="n"/>
      <c r="H417" s="51" t="n"/>
      <c r="I417" s="51" t="n"/>
      <c r="J417" s="51" t="n"/>
      <c r="K417" s="51" t="n"/>
      <c r="L417" s="51" t="n"/>
      <c r="M417" s="51" t="n"/>
      <c r="N417" s="51" t="n"/>
      <c r="S417" s="51" t="n"/>
      <c r="T417" s="51" t="n"/>
      <c r="U417" s="51" t="n"/>
      <c r="V417" s="51" t="n"/>
      <c r="W417" s="51" t="n"/>
    </row>
    <row r="418">
      <c r="B418" s="51" t="n"/>
      <c r="C418" s="51" t="n"/>
      <c r="D418" s="51" t="n"/>
      <c r="E418" s="51" t="n"/>
      <c r="F418" s="51" t="n"/>
      <c r="G418" s="51" t="n"/>
      <c r="H418" s="51" t="n"/>
      <c r="I418" s="51" t="n"/>
      <c r="J418" s="51" t="n"/>
      <c r="K418" s="51" t="n"/>
      <c r="L418" s="51" t="n"/>
      <c r="M418" s="51" t="n"/>
      <c r="N418" s="51" t="n"/>
      <c r="S418" s="51" t="n"/>
      <c r="T418" s="51" t="n"/>
      <c r="U418" s="51" t="n"/>
      <c r="V418" s="51" t="n"/>
      <c r="W418" s="51" t="n"/>
    </row>
    <row r="419">
      <c r="B419" s="51" t="n"/>
      <c r="C419" s="51" t="n"/>
      <c r="D419" s="51" t="n"/>
      <c r="E419" s="51" t="n"/>
      <c r="F419" s="51" t="n"/>
      <c r="G419" s="51" t="n"/>
      <c r="H419" s="51" t="n"/>
      <c r="I419" s="51" t="n"/>
      <c r="J419" s="51" t="n"/>
      <c r="K419" s="51" t="n"/>
      <c r="L419" s="51" t="n"/>
      <c r="M419" s="51" t="n"/>
      <c r="N419" s="51" t="n"/>
      <c r="S419" s="51" t="n"/>
      <c r="T419" s="51" t="n"/>
      <c r="U419" s="51" t="n"/>
      <c r="V419" s="51" t="n"/>
      <c r="W419" s="51" t="n"/>
    </row>
    <row r="420">
      <c r="B420" s="51" t="n"/>
      <c r="C420" s="51" t="n"/>
      <c r="D420" s="51" t="n"/>
      <c r="E420" s="51" t="n"/>
      <c r="F420" s="51" t="n"/>
      <c r="G420" s="51" t="n"/>
      <c r="H420" s="51" t="n"/>
      <c r="I420" s="51" t="n"/>
      <c r="J420" s="51" t="n"/>
      <c r="K420" s="51" t="n"/>
      <c r="L420" s="51" t="n"/>
      <c r="M420" s="51" t="n"/>
      <c r="N420" s="51" t="n"/>
      <c r="S420" s="51" t="n"/>
      <c r="T420" s="51" t="n"/>
      <c r="U420" s="51" t="n"/>
      <c r="V420" s="51" t="n"/>
      <c r="W420" s="51" t="n"/>
    </row>
    <row r="421">
      <c r="B421" s="51" t="n"/>
      <c r="C421" s="51" t="n"/>
      <c r="D421" s="51" t="n"/>
      <c r="E421" s="51" t="n"/>
      <c r="F421" s="51" t="n"/>
      <c r="G421" s="51" t="n"/>
      <c r="H421" s="51" t="n"/>
      <c r="I421" s="51" t="n"/>
      <c r="J421" s="51" t="n"/>
      <c r="K421" s="51" t="n"/>
      <c r="L421" s="51" t="n"/>
      <c r="M421" s="51" t="n"/>
      <c r="N421" s="51" t="n"/>
      <c r="S421" s="51" t="n"/>
      <c r="T421" s="51" t="n"/>
      <c r="U421" s="51" t="n"/>
      <c r="V421" s="51" t="n"/>
      <c r="W421" s="51" t="n"/>
    </row>
    <row r="422">
      <c r="B422" s="51" t="n"/>
      <c r="C422" s="51" t="n"/>
      <c r="D422" s="51" t="n"/>
      <c r="E422" s="51" t="n"/>
      <c r="F422" s="51" t="n"/>
      <c r="G422" s="51" t="n"/>
      <c r="H422" s="51" t="n"/>
      <c r="I422" s="51" t="n"/>
      <c r="J422" s="51" t="n"/>
      <c r="K422" s="51" t="n"/>
      <c r="L422" s="51" t="n"/>
      <c r="M422" s="51" t="n"/>
      <c r="N422" s="51" t="n"/>
      <c r="S422" s="51" t="n"/>
      <c r="T422" s="51" t="n"/>
      <c r="U422" s="51" t="n"/>
      <c r="V422" s="51" t="n"/>
      <c r="W422" s="51" t="n"/>
    </row>
    <row r="423">
      <c r="B423" s="51" t="n"/>
      <c r="C423" s="51" t="n"/>
      <c r="D423" s="51" t="n"/>
      <c r="E423" s="51" t="n"/>
      <c r="F423" s="51" t="n"/>
      <c r="G423" s="51" t="n"/>
      <c r="H423" s="51" t="n"/>
      <c r="I423" s="51" t="n"/>
      <c r="J423" s="51" t="n"/>
      <c r="K423" s="51" t="n"/>
      <c r="L423" s="51" t="n"/>
      <c r="M423" s="51" t="n"/>
      <c r="N423" s="51" t="n"/>
      <c r="S423" s="51" t="n"/>
      <c r="T423" s="51" t="n"/>
      <c r="U423" s="51" t="n"/>
      <c r="V423" s="51" t="n"/>
      <c r="W423" s="51" t="n"/>
    </row>
    <row r="424">
      <c r="B424" s="51" t="n"/>
      <c r="C424" s="51" t="n"/>
      <c r="D424" s="51" t="n"/>
      <c r="E424" s="51" t="n"/>
      <c r="F424" s="51" t="n"/>
      <c r="G424" s="51" t="n"/>
      <c r="H424" s="51" t="n"/>
      <c r="I424" s="51" t="n"/>
      <c r="J424" s="51" t="n"/>
      <c r="K424" s="51" t="n"/>
      <c r="L424" s="51" t="n"/>
      <c r="M424" s="51" t="n"/>
      <c r="N424" s="51" t="n"/>
      <c r="S424" s="51" t="n"/>
      <c r="T424" s="51" t="n"/>
      <c r="U424" s="51" t="n"/>
      <c r="V424" s="51" t="n"/>
      <c r="W424" s="51" t="n"/>
    </row>
    <row r="425">
      <c r="B425" s="51" t="n"/>
      <c r="C425" s="51" t="n"/>
      <c r="D425" s="51" t="n"/>
      <c r="E425" s="51" t="n"/>
      <c r="F425" s="51" t="n"/>
      <c r="G425" s="51" t="n"/>
      <c r="H425" s="51" t="n"/>
      <c r="I425" s="51" t="n"/>
      <c r="J425" s="51" t="n"/>
      <c r="K425" s="51" t="n"/>
      <c r="L425" s="51" t="n"/>
      <c r="M425" s="51" t="n"/>
      <c r="N425" s="51" t="n"/>
      <c r="S425" s="51" t="n"/>
      <c r="T425" s="51" t="n"/>
      <c r="U425" s="51" t="n"/>
      <c r="V425" s="51" t="n"/>
      <c r="W425" s="51" t="n"/>
    </row>
    <row r="426">
      <c r="B426" s="51" t="n"/>
      <c r="C426" s="51" t="n"/>
      <c r="D426" s="51" t="n"/>
      <c r="E426" s="51" t="n"/>
      <c r="F426" s="51" t="n"/>
      <c r="G426" s="51" t="n"/>
      <c r="H426" s="51" t="n"/>
      <c r="I426" s="51" t="n"/>
      <c r="J426" s="51" t="n"/>
      <c r="K426" s="51" t="n"/>
      <c r="L426" s="51" t="n"/>
      <c r="M426" s="51" t="n"/>
      <c r="N426" s="51" t="n"/>
      <c r="S426" s="51" t="n"/>
      <c r="T426" s="51" t="n"/>
      <c r="U426" s="51" t="n"/>
      <c r="V426" s="51" t="n"/>
      <c r="W426" s="51" t="n"/>
    </row>
    <row r="427">
      <c r="B427" s="51" t="n"/>
      <c r="C427" s="51" t="n"/>
      <c r="D427" s="51" t="n"/>
      <c r="E427" s="51" t="n"/>
      <c r="F427" s="51" t="n"/>
      <c r="G427" s="51" t="n"/>
      <c r="H427" s="51" t="n"/>
      <c r="I427" s="51" t="n"/>
      <c r="J427" s="51" t="n"/>
      <c r="K427" s="51" t="n"/>
      <c r="L427" s="51" t="n"/>
      <c r="M427" s="51" t="n"/>
      <c r="N427" s="51" t="n"/>
      <c r="S427" s="51" t="n"/>
      <c r="T427" s="51" t="n"/>
      <c r="U427" s="51" t="n"/>
      <c r="V427" s="51" t="n"/>
      <c r="W427" s="51" t="n"/>
    </row>
    <row r="428">
      <c r="B428" s="51" t="n"/>
      <c r="C428" s="51" t="n"/>
      <c r="D428" s="51" t="n"/>
      <c r="E428" s="51" t="n"/>
      <c r="F428" s="51" t="n"/>
      <c r="G428" s="51" t="n"/>
      <c r="H428" s="51" t="n"/>
      <c r="I428" s="51" t="n"/>
      <c r="J428" s="51" t="n"/>
      <c r="K428" s="51" t="n"/>
      <c r="L428" s="51" t="n"/>
      <c r="M428" s="51" t="n"/>
      <c r="N428" s="51" t="n"/>
      <c r="S428" s="51" t="n"/>
      <c r="T428" s="51" t="n"/>
      <c r="U428" s="51" t="n"/>
      <c r="V428" s="51" t="n"/>
      <c r="W428" s="51" t="n"/>
    </row>
    <row r="429">
      <c r="B429" s="51" t="n"/>
      <c r="C429" s="51" t="n"/>
      <c r="D429" s="51" t="n"/>
      <c r="E429" s="51" t="n"/>
      <c r="F429" s="51" t="n"/>
      <c r="G429" s="51" t="n"/>
      <c r="H429" s="51" t="n"/>
      <c r="I429" s="51" t="n"/>
      <c r="J429" s="51" t="n"/>
      <c r="K429" s="51" t="n"/>
      <c r="L429" s="51" t="n"/>
      <c r="M429" s="51" t="n"/>
      <c r="N429" s="51" t="n"/>
      <c r="S429" s="51" t="n"/>
      <c r="T429" s="51" t="n"/>
      <c r="U429" s="51" t="n"/>
      <c r="V429" s="51" t="n"/>
      <c r="W429" s="51" t="n"/>
    </row>
    <row r="430">
      <c r="B430" s="51" t="n"/>
      <c r="C430" s="51" t="n"/>
      <c r="D430" s="51" t="n"/>
      <c r="E430" s="51" t="n"/>
      <c r="F430" s="51" t="n"/>
      <c r="G430" s="51" t="n"/>
      <c r="H430" s="51" t="n"/>
      <c r="I430" s="51" t="n"/>
      <c r="J430" s="51" t="n"/>
      <c r="K430" s="51" t="n"/>
      <c r="L430" s="51" t="n"/>
      <c r="M430" s="51" t="n"/>
      <c r="N430" s="51" t="n"/>
      <c r="S430" s="51" t="n"/>
      <c r="T430" s="51" t="n"/>
      <c r="U430" s="51" t="n"/>
      <c r="V430" s="51" t="n"/>
      <c r="W430" s="51" t="n"/>
    </row>
    <row r="431">
      <c r="B431" s="51" t="n"/>
      <c r="C431" s="51" t="n"/>
      <c r="D431" s="51" t="n"/>
      <c r="E431" s="51" t="n"/>
      <c r="F431" s="51" t="n"/>
      <c r="G431" s="51" t="n"/>
      <c r="H431" s="51" t="n"/>
      <c r="I431" s="51" t="n"/>
      <c r="J431" s="51" t="n"/>
      <c r="K431" s="51" t="n"/>
      <c r="L431" s="51" t="n"/>
      <c r="M431" s="51" t="n"/>
      <c r="N431" s="51" t="n"/>
      <c r="S431" s="51" t="n"/>
      <c r="T431" s="51" t="n"/>
      <c r="U431" s="51" t="n"/>
      <c r="V431" s="51" t="n"/>
      <c r="W431" s="51" t="n"/>
    </row>
    <row r="432">
      <c r="B432" s="51" t="n"/>
      <c r="C432" s="51" t="n"/>
      <c r="D432" s="51" t="n"/>
      <c r="E432" s="51" t="n"/>
      <c r="F432" s="51" t="n"/>
      <c r="G432" s="51" t="n"/>
      <c r="H432" s="51" t="n"/>
      <c r="I432" s="51" t="n"/>
      <c r="J432" s="51" t="n"/>
      <c r="K432" s="51" t="n"/>
      <c r="L432" s="51" t="n"/>
      <c r="M432" s="51" t="n"/>
      <c r="N432" s="51" t="n"/>
      <c r="S432" s="51" t="n"/>
      <c r="T432" s="51" t="n"/>
      <c r="U432" s="51" t="n"/>
      <c r="V432" s="51" t="n"/>
      <c r="W432" s="51" t="n"/>
    </row>
    <row r="433">
      <c r="B433" s="51" t="n"/>
      <c r="C433" s="51" t="n"/>
      <c r="D433" s="51" t="n"/>
      <c r="E433" s="51" t="n"/>
      <c r="F433" s="51" t="n"/>
      <c r="G433" s="51" t="n"/>
      <c r="H433" s="51" t="n"/>
      <c r="I433" s="51" t="n"/>
      <c r="J433" s="51" t="n"/>
      <c r="K433" s="51" t="n"/>
      <c r="L433" s="51" t="n"/>
      <c r="M433" s="51" t="n"/>
      <c r="N433" s="51" t="n"/>
      <c r="S433" s="51" t="n"/>
      <c r="T433" s="51" t="n"/>
      <c r="U433" s="51" t="n"/>
      <c r="V433" s="51" t="n"/>
      <c r="W433" s="51" t="n"/>
    </row>
    <row r="434">
      <c r="B434" s="51" t="n"/>
      <c r="C434" s="51" t="n"/>
      <c r="D434" s="51" t="n"/>
      <c r="E434" s="51" t="n"/>
      <c r="F434" s="51" t="n"/>
      <c r="G434" s="51" t="n"/>
      <c r="H434" s="51" t="n"/>
      <c r="I434" s="51" t="n"/>
      <c r="J434" s="51" t="n"/>
      <c r="K434" s="51" t="n"/>
      <c r="L434" s="51" t="n"/>
      <c r="M434" s="51" t="n"/>
      <c r="N434" s="51" t="n"/>
      <c r="S434" s="51" t="n"/>
      <c r="T434" s="51" t="n"/>
      <c r="U434" s="51" t="n"/>
      <c r="V434" s="51" t="n"/>
      <c r="W434" s="51" t="n"/>
    </row>
    <row r="435">
      <c r="B435" s="51" t="n"/>
      <c r="C435" s="51" t="n"/>
      <c r="D435" s="51" t="n"/>
      <c r="E435" s="51" t="n"/>
      <c r="F435" s="51" t="n"/>
      <c r="G435" s="51" t="n"/>
      <c r="H435" s="51" t="n"/>
      <c r="I435" s="51" t="n"/>
      <c r="J435" s="51" t="n"/>
      <c r="K435" s="51" t="n"/>
      <c r="L435" s="51" t="n"/>
      <c r="M435" s="51" t="n"/>
      <c r="N435" s="51" t="n"/>
      <c r="S435" s="51" t="n"/>
      <c r="T435" s="51" t="n"/>
      <c r="U435" s="51" t="n"/>
      <c r="V435" s="51" t="n"/>
      <c r="W435" s="51" t="n"/>
    </row>
    <row r="436">
      <c r="B436" s="51" t="n"/>
      <c r="C436" s="51" t="n"/>
      <c r="D436" s="51" t="n"/>
      <c r="E436" s="51" t="n"/>
      <c r="F436" s="51" t="n"/>
      <c r="G436" s="51" t="n"/>
      <c r="H436" s="51" t="n"/>
      <c r="I436" s="51" t="n"/>
      <c r="J436" s="51" t="n"/>
      <c r="K436" s="51" t="n"/>
      <c r="L436" s="51" t="n"/>
      <c r="M436" s="51" t="n"/>
      <c r="N436" s="51" t="n"/>
      <c r="S436" s="51" t="n"/>
      <c r="T436" s="51" t="n"/>
      <c r="U436" s="51" t="n"/>
      <c r="V436" s="51" t="n"/>
      <c r="W436" s="51" t="n"/>
    </row>
    <row r="437">
      <c r="B437" s="51" t="n"/>
      <c r="C437" s="51" t="n"/>
      <c r="D437" s="51" t="n"/>
      <c r="E437" s="51" t="n"/>
      <c r="F437" s="51" t="n"/>
      <c r="G437" s="51" t="n"/>
      <c r="H437" s="51" t="n"/>
      <c r="I437" s="51" t="n"/>
      <c r="J437" s="51" t="n"/>
      <c r="K437" s="51" t="n"/>
      <c r="L437" s="51" t="n"/>
      <c r="M437" s="51" t="n"/>
      <c r="N437" s="51" t="n"/>
      <c r="S437" s="51" t="n"/>
      <c r="T437" s="51" t="n"/>
      <c r="U437" s="51" t="n"/>
      <c r="V437" s="51" t="n"/>
      <c r="W437" s="51" t="n"/>
    </row>
    <row r="438">
      <c r="B438" s="51" t="n"/>
      <c r="C438" s="51" t="n"/>
      <c r="D438" s="51" t="n"/>
      <c r="E438" s="51" t="n"/>
      <c r="F438" s="51" t="n"/>
      <c r="G438" s="51" t="n"/>
      <c r="H438" s="51" t="n"/>
      <c r="I438" s="51" t="n"/>
      <c r="J438" s="51" t="n"/>
      <c r="K438" s="51" t="n"/>
      <c r="L438" s="51" t="n"/>
      <c r="M438" s="51" t="n"/>
      <c r="N438" s="51" t="n"/>
      <c r="S438" s="51" t="n"/>
      <c r="T438" s="51" t="n"/>
      <c r="U438" s="51" t="n"/>
      <c r="V438" s="51" t="n"/>
      <c r="W438" s="51" t="n"/>
    </row>
    <row r="439">
      <c r="B439" s="51" t="n"/>
      <c r="C439" s="51" t="n"/>
      <c r="D439" s="51" t="n"/>
      <c r="E439" s="51" t="n"/>
      <c r="F439" s="51" t="n"/>
      <c r="G439" s="51" t="n"/>
      <c r="H439" s="51" t="n"/>
      <c r="I439" s="51" t="n"/>
      <c r="J439" s="51" t="n"/>
      <c r="K439" s="51" t="n"/>
      <c r="L439" s="51" t="n"/>
      <c r="M439" s="51" t="n"/>
      <c r="N439" s="51" t="n"/>
      <c r="S439" s="51" t="n"/>
      <c r="T439" s="51" t="n"/>
      <c r="U439" s="51" t="n"/>
      <c r="V439" s="51" t="n"/>
      <c r="W439" s="51" t="n"/>
    </row>
    <row r="440">
      <c r="B440" s="51" t="n"/>
      <c r="C440" s="51" t="n"/>
      <c r="D440" s="51" t="n"/>
      <c r="E440" s="51" t="n"/>
      <c r="F440" s="51" t="n"/>
      <c r="G440" s="51" t="n"/>
      <c r="H440" s="51" t="n"/>
      <c r="I440" s="51" t="n"/>
      <c r="J440" s="51" t="n"/>
      <c r="K440" s="51" t="n"/>
      <c r="L440" s="51" t="n"/>
      <c r="M440" s="51" t="n"/>
      <c r="N440" s="51" t="n"/>
      <c r="S440" s="51" t="n"/>
      <c r="T440" s="51" t="n"/>
      <c r="U440" s="51" t="n"/>
      <c r="V440" s="51" t="n"/>
      <c r="W440" s="51" t="n"/>
    </row>
    <row r="441">
      <c r="B441" s="51" t="n"/>
      <c r="C441" s="51" t="n"/>
      <c r="D441" s="51" t="n"/>
      <c r="E441" s="51" t="n"/>
      <c r="F441" s="51" t="n"/>
      <c r="G441" s="51" t="n"/>
      <c r="H441" s="51" t="n"/>
      <c r="I441" s="51" t="n"/>
      <c r="J441" s="51" t="n"/>
      <c r="K441" s="51" t="n"/>
      <c r="L441" s="51" t="n"/>
      <c r="M441" s="51" t="n"/>
      <c r="N441" s="51" t="n"/>
      <c r="S441" s="51" t="n"/>
      <c r="T441" s="51" t="n"/>
      <c r="U441" s="51" t="n"/>
      <c r="V441" s="51" t="n"/>
      <c r="W441" s="51" t="n"/>
    </row>
    <row r="442">
      <c r="B442" s="51" t="n"/>
      <c r="C442" s="51" t="n"/>
      <c r="D442" s="51" t="n"/>
      <c r="E442" s="51" t="n"/>
      <c r="F442" s="51" t="n"/>
      <c r="G442" s="51" t="n"/>
      <c r="H442" s="51" t="n"/>
      <c r="I442" s="51" t="n"/>
      <c r="J442" s="51" t="n"/>
      <c r="K442" s="51" t="n"/>
      <c r="L442" s="51" t="n"/>
      <c r="M442" s="51" t="n"/>
      <c r="N442" s="51" t="n"/>
      <c r="S442" s="51" t="n"/>
      <c r="T442" s="51" t="n"/>
      <c r="U442" s="51" t="n"/>
      <c r="V442" s="51" t="n"/>
      <c r="W442" s="51" t="n"/>
    </row>
    <row r="443">
      <c r="B443" s="51" t="n"/>
      <c r="C443" s="51" t="n"/>
      <c r="D443" s="51" t="n"/>
      <c r="E443" s="51" t="n"/>
      <c r="F443" s="51" t="n"/>
      <c r="G443" s="51" t="n"/>
      <c r="H443" s="51" t="n"/>
      <c r="I443" s="51" t="n"/>
      <c r="J443" s="51" t="n"/>
      <c r="K443" s="51" t="n"/>
      <c r="L443" s="51" t="n"/>
      <c r="M443" s="51" t="n"/>
      <c r="N443" s="51" t="n"/>
      <c r="S443" s="51" t="n"/>
      <c r="T443" s="51" t="n"/>
      <c r="U443" s="51" t="n"/>
      <c r="V443" s="51" t="n"/>
      <c r="W443" s="51" t="n"/>
    </row>
    <row r="444">
      <c r="B444" s="51" t="n"/>
      <c r="C444" s="51" t="n"/>
      <c r="D444" s="51" t="n"/>
      <c r="E444" s="51" t="n"/>
      <c r="F444" s="51" t="n"/>
      <c r="G444" s="51" t="n"/>
      <c r="H444" s="51" t="n"/>
      <c r="I444" s="51" t="n"/>
      <c r="J444" s="51" t="n"/>
      <c r="K444" s="51" t="n"/>
      <c r="L444" s="51" t="n"/>
      <c r="M444" s="51" t="n"/>
      <c r="N444" s="51" t="n"/>
      <c r="S444" s="51" t="n"/>
      <c r="T444" s="51" t="n"/>
      <c r="U444" s="51" t="n"/>
      <c r="V444" s="51" t="n"/>
      <c r="W444" s="51" t="n"/>
    </row>
    <row r="445">
      <c r="B445" s="51" t="n"/>
      <c r="C445" s="51" t="n"/>
      <c r="D445" s="51" t="n"/>
      <c r="E445" s="51" t="n"/>
      <c r="F445" s="51" t="n"/>
      <c r="G445" s="51" t="n"/>
      <c r="H445" s="51" t="n"/>
      <c r="I445" s="51" t="n"/>
      <c r="J445" s="51" t="n"/>
      <c r="K445" s="51" t="n"/>
      <c r="L445" s="51" t="n"/>
      <c r="M445" s="51" t="n"/>
      <c r="N445" s="51" t="n"/>
      <c r="S445" s="51" t="n"/>
      <c r="T445" s="51" t="n"/>
      <c r="U445" s="51" t="n"/>
      <c r="V445" s="51" t="n"/>
      <c r="W445" s="51" t="n"/>
    </row>
    <row r="446">
      <c r="B446" s="51" t="n"/>
      <c r="C446" s="51" t="n"/>
      <c r="D446" s="51" t="n"/>
      <c r="E446" s="51" t="n"/>
      <c r="F446" s="51" t="n"/>
      <c r="G446" s="51" t="n"/>
      <c r="H446" s="51" t="n"/>
      <c r="I446" s="51" t="n"/>
      <c r="J446" s="51" t="n"/>
      <c r="K446" s="51" t="n"/>
      <c r="L446" s="51" t="n"/>
      <c r="M446" s="51" t="n"/>
      <c r="N446" s="51" t="n"/>
      <c r="S446" s="51" t="n"/>
      <c r="T446" s="51" t="n"/>
      <c r="U446" s="51" t="n"/>
      <c r="V446" s="51" t="n"/>
      <c r="W446" s="51" t="n"/>
    </row>
    <row r="447">
      <c r="B447" s="51" t="n"/>
      <c r="C447" s="51" t="n"/>
      <c r="D447" s="51" t="n"/>
      <c r="E447" s="51" t="n"/>
      <c r="F447" s="51" t="n"/>
      <c r="G447" s="51" t="n"/>
      <c r="H447" s="51" t="n"/>
      <c r="I447" s="51" t="n"/>
      <c r="J447" s="51" t="n"/>
      <c r="K447" s="51" t="n"/>
      <c r="L447" s="51" t="n"/>
      <c r="M447" s="51" t="n"/>
      <c r="N447" s="51" t="n"/>
      <c r="S447" s="51" t="n"/>
      <c r="T447" s="51" t="n"/>
      <c r="U447" s="51" t="n"/>
      <c r="V447" s="51" t="n"/>
      <c r="W447" s="51" t="n"/>
    </row>
    <row r="448">
      <c r="B448" s="51" t="n"/>
      <c r="C448" s="51" t="n"/>
      <c r="D448" s="51" t="n"/>
      <c r="E448" s="51" t="n"/>
      <c r="F448" s="51" t="n"/>
      <c r="G448" s="51" t="n"/>
      <c r="H448" s="51" t="n"/>
      <c r="I448" s="51" t="n"/>
      <c r="J448" s="51" t="n"/>
      <c r="K448" s="51" t="n"/>
      <c r="L448" s="51" t="n"/>
      <c r="M448" s="51" t="n"/>
      <c r="N448" s="51" t="n"/>
      <c r="S448" s="51" t="n"/>
      <c r="T448" s="51" t="n"/>
      <c r="U448" s="51" t="n"/>
      <c r="V448" s="51" t="n"/>
      <c r="W448" s="51" t="n"/>
    </row>
    <row r="449">
      <c r="B449" s="51" t="n"/>
      <c r="C449" s="51" t="n"/>
      <c r="D449" s="51" t="n"/>
      <c r="E449" s="51" t="n"/>
      <c r="F449" s="51" t="n"/>
      <c r="G449" s="51" t="n"/>
      <c r="H449" s="51" t="n"/>
      <c r="I449" s="51" t="n"/>
      <c r="J449" s="51" t="n"/>
      <c r="K449" s="51" t="n"/>
      <c r="L449" s="51" t="n"/>
      <c r="M449" s="51" t="n"/>
      <c r="N449" s="51" t="n"/>
      <c r="S449" s="51" t="n"/>
      <c r="T449" s="51" t="n"/>
      <c r="U449" s="51" t="n"/>
      <c r="V449" s="51" t="n"/>
      <c r="W449" s="51" t="n"/>
    </row>
    <row r="450">
      <c r="B450" s="51" t="n"/>
      <c r="C450" s="51" t="n"/>
      <c r="D450" s="51" t="n"/>
      <c r="E450" s="51" t="n"/>
      <c r="F450" s="51" t="n"/>
      <c r="G450" s="51" t="n"/>
      <c r="H450" s="51" t="n"/>
      <c r="I450" s="51" t="n"/>
      <c r="J450" s="51" t="n"/>
      <c r="K450" s="51" t="n"/>
      <c r="L450" s="51" t="n"/>
      <c r="M450" s="51" t="n"/>
      <c r="N450" s="51" t="n"/>
      <c r="S450" s="51" t="n"/>
      <c r="T450" s="51" t="n"/>
      <c r="U450" s="51" t="n"/>
      <c r="V450" s="51" t="n"/>
      <c r="W450" s="51" t="n"/>
    </row>
    <row r="451">
      <c r="B451" s="51" t="n"/>
      <c r="C451" s="51" t="n"/>
      <c r="D451" s="51" t="n"/>
      <c r="E451" s="51" t="n"/>
      <c r="F451" s="51" t="n"/>
      <c r="G451" s="51" t="n"/>
      <c r="H451" s="51" t="n"/>
      <c r="I451" s="51" t="n"/>
      <c r="J451" s="51" t="n"/>
      <c r="K451" s="51" t="n"/>
      <c r="L451" s="51" t="n"/>
      <c r="M451" s="51" t="n"/>
      <c r="N451" s="51" t="n"/>
      <c r="S451" s="51" t="n"/>
      <c r="T451" s="51" t="n"/>
      <c r="U451" s="51" t="n"/>
      <c r="V451" s="51" t="n"/>
      <c r="W451" s="51" t="n"/>
    </row>
    <row r="452">
      <c r="B452" s="51" t="n"/>
      <c r="C452" s="51" t="n"/>
      <c r="D452" s="51" t="n"/>
      <c r="E452" s="51" t="n"/>
      <c r="F452" s="51" t="n"/>
      <c r="G452" s="51" t="n"/>
      <c r="H452" s="51" t="n"/>
      <c r="I452" s="51" t="n"/>
      <c r="J452" s="51" t="n"/>
      <c r="K452" s="51" t="n"/>
      <c r="L452" s="51" t="n"/>
      <c r="M452" s="51" t="n"/>
      <c r="N452" s="51" t="n"/>
      <c r="S452" s="51" t="n"/>
      <c r="T452" s="51" t="n"/>
      <c r="U452" s="51" t="n"/>
      <c r="V452" s="51" t="n"/>
      <c r="W452" s="51" t="n"/>
    </row>
    <row r="453">
      <c r="B453" s="51" t="n"/>
      <c r="C453" s="51" t="n"/>
      <c r="D453" s="51" t="n"/>
      <c r="E453" s="51" t="n"/>
      <c r="F453" s="51" t="n"/>
      <c r="G453" s="51" t="n"/>
      <c r="H453" s="51" t="n"/>
      <c r="I453" s="51" t="n"/>
      <c r="J453" s="51" t="n"/>
      <c r="K453" s="51" t="n"/>
      <c r="L453" s="51" t="n"/>
      <c r="M453" s="51" t="n"/>
      <c r="N453" s="51" t="n"/>
      <c r="S453" s="51" t="n"/>
      <c r="T453" s="51" t="n"/>
      <c r="U453" s="51" t="n"/>
      <c r="V453" s="51" t="n"/>
      <c r="W453" s="51" t="n"/>
    </row>
    <row r="454">
      <c r="B454" s="51" t="n"/>
      <c r="C454" s="51" t="n"/>
      <c r="D454" s="51" t="n"/>
      <c r="E454" s="51" t="n"/>
      <c r="F454" s="51" t="n"/>
      <c r="G454" s="51" t="n"/>
      <c r="H454" s="51" t="n"/>
      <c r="I454" s="51" t="n"/>
      <c r="J454" s="51" t="n"/>
      <c r="K454" s="51" t="n"/>
      <c r="L454" s="51" t="n"/>
      <c r="M454" s="51" t="n"/>
      <c r="N454" s="51" t="n"/>
      <c r="S454" s="51" t="n"/>
      <c r="T454" s="51" t="n"/>
      <c r="U454" s="51" t="n"/>
      <c r="V454" s="51" t="n"/>
      <c r="W454" s="51" t="n"/>
    </row>
    <row r="455">
      <c r="B455" s="51" t="n"/>
      <c r="C455" s="51" t="n"/>
      <c r="D455" s="51" t="n"/>
      <c r="E455" s="51" t="n"/>
      <c r="F455" s="51" t="n"/>
      <c r="G455" s="51" t="n"/>
      <c r="H455" s="51" t="n"/>
      <c r="I455" s="51" t="n"/>
      <c r="J455" s="51" t="n"/>
      <c r="K455" s="51" t="n"/>
      <c r="L455" s="51" t="n"/>
      <c r="M455" s="51" t="n"/>
      <c r="N455" s="51" t="n"/>
      <c r="S455" s="51" t="n"/>
      <c r="T455" s="51" t="n"/>
      <c r="U455" s="51" t="n"/>
      <c r="V455" s="51" t="n"/>
      <c r="W455" s="51" t="n"/>
    </row>
    <row r="456">
      <c r="B456" s="51" t="n"/>
      <c r="C456" s="51" t="n"/>
      <c r="D456" s="51" t="n"/>
      <c r="E456" s="51" t="n"/>
      <c r="F456" s="51" t="n"/>
      <c r="G456" s="51" t="n"/>
      <c r="H456" s="51" t="n"/>
      <c r="I456" s="51" t="n"/>
      <c r="J456" s="51" t="n"/>
      <c r="K456" s="51" t="n"/>
      <c r="L456" s="51" t="n"/>
      <c r="M456" s="51" t="n"/>
      <c r="N456" s="51" t="n"/>
      <c r="S456" s="51" t="n"/>
      <c r="T456" s="51" t="n"/>
      <c r="U456" s="51" t="n"/>
      <c r="V456" s="51" t="n"/>
      <c r="W456" s="51" t="n"/>
    </row>
    <row r="457">
      <c r="B457" s="51" t="n"/>
      <c r="C457" s="51" t="n"/>
      <c r="D457" s="51" t="n"/>
      <c r="E457" s="51" t="n"/>
      <c r="F457" s="51" t="n"/>
      <c r="G457" s="51" t="n"/>
      <c r="H457" s="51" t="n"/>
      <c r="I457" s="51" t="n"/>
      <c r="J457" s="51" t="n"/>
      <c r="K457" s="51" t="n"/>
      <c r="L457" s="51" t="n"/>
      <c r="M457" s="51" t="n"/>
      <c r="N457" s="51" t="n"/>
      <c r="S457" s="51" t="n"/>
      <c r="T457" s="51" t="n"/>
      <c r="U457" s="51" t="n"/>
      <c r="V457" s="51" t="n"/>
      <c r="W457" s="51" t="n"/>
    </row>
    <row r="458">
      <c r="B458" s="51" t="n"/>
      <c r="C458" s="51" t="n"/>
      <c r="D458" s="51" t="n"/>
      <c r="E458" s="51" t="n"/>
      <c r="F458" s="51" t="n"/>
      <c r="G458" s="51" t="n"/>
      <c r="H458" s="51" t="n"/>
      <c r="I458" s="51" t="n"/>
      <c r="J458" s="51" t="n"/>
      <c r="K458" s="51" t="n"/>
      <c r="L458" s="51" t="n"/>
      <c r="M458" s="51" t="n"/>
      <c r="N458" s="51" t="n"/>
      <c r="S458" s="51" t="n"/>
      <c r="T458" s="51" t="n"/>
      <c r="U458" s="51" t="n"/>
      <c r="V458" s="51" t="n"/>
      <c r="W458" s="51" t="n"/>
    </row>
    <row r="459">
      <c r="B459" s="51" t="n"/>
      <c r="C459" s="51" t="n"/>
      <c r="D459" s="51" t="n"/>
      <c r="E459" s="51" t="n"/>
      <c r="F459" s="51" t="n"/>
      <c r="G459" s="51" t="n"/>
      <c r="H459" s="51" t="n"/>
      <c r="I459" s="51" t="n"/>
      <c r="J459" s="51" t="n"/>
      <c r="K459" s="51" t="n"/>
      <c r="L459" s="51" t="n"/>
      <c r="M459" s="51" t="n"/>
      <c r="N459" s="51" t="n"/>
      <c r="S459" s="51" t="n"/>
      <c r="T459" s="51" t="n"/>
      <c r="U459" s="51" t="n"/>
      <c r="V459" s="51" t="n"/>
      <c r="W459" s="51" t="n"/>
    </row>
    <row r="460">
      <c r="B460" s="51" t="n"/>
      <c r="C460" s="51" t="n"/>
      <c r="D460" s="51" t="n"/>
      <c r="E460" s="51" t="n"/>
      <c r="F460" s="51" t="n"/>
      <c r="G460" s="51" t="n"/>
      <c r="H460" s="51" t="n"/>
      <c r="I460" s="51" t="n"/>
      <c r="J460" s="51" t="n"/>
      <c r="K460" s="51" t="n"/>
      <c r="L460" s="51" t="n"/>
      <c r="M460" s="51" t="n"/>
      <c r="N460" s="51" t="n"/>
      <c r="S460" s="51" t="n"/>
      <c r="T460" s="51" t="n"/>
      <c r="U460" s="51" t="n"/>
      <c r="V460" s="51" t="n"/>
      <c r="W460" s="51" t="n"/>
    </row>
    <row r="461">
      <c r="B461" s="51" t="n"/>
      <c r="C461" s="51" t="n"/>
      <c r="D461" s="51" t="n"/>
      <c r="E461" s="51" t="n"/>
      <c r="F461" s="51" t="n"/>
      <c r="G461" s="51" t="n"/>
      <c r="H461" s="51" t="n"/>
      <c r="I461" s="51" t="n"/>
      <c r="J461" s="51" t="n"/>
      <c r="K461" s="51" t="n"/>
      <c r="L461" s="51" t="n"/>
      <c r="M461" s="51" t="n"/>
      <c r="N461" s="51" t="n"/>
      <c r="S461" s="51" t="n"/>
      <c r="T461" s="51" t="n"/>
      <c r="U461" s="51" t="n"/>
      <c r="V461" s="51" t="n"/>
      <c r="W461" s="51" t="n"/>
    </row>
    <row r="462">
      <c r="B462" s="51" t="n"/>
      <c r="C462" s="51" t="n"/>
      <c r="D462" s="51" t="n"/>
      <c r="E462" s="51" t="n"/>
      <c r="F462" s="51" t="n"/>
      <c r="G462" s="51" t="n"/>
      <c r="H462" s="51" t="n"/>
      <c r="I462" s="51" t="n"/>
      <c r="J462" s="51" t="n"/>
      <c r="K462" s="51" t="n"/>
      <c r="L462" s="51" t="n"/>
      <c r="M462" s="51" t="n"/>
      <c r="N462" s="51" t="n"/>
      <c r="S462" s="51" t="n"/>
      <c r="T462" s="51" t="n"/>
      <c r="U462" s="51" t="n"/>
      <c r="V462" s="51" t="n"/>
      <c r="W462" s="51" t="n"/>
    </row>
    <row r="463">
      <c r="B463" s="51" t="n"/>
      <c r="C463" s="51" t="n"/>
      <c r="D463" s="51" t="n"/>
      <c r="E463" s="51" t="n"/>
      <c r="F463" s="51" t="n"/>
      <c r="G463" s="51" t="n"/>
      <c r="H463" s="51" t="n"/>
      <c r="I463" s="51" t="n"/>
      <c r="J463" s="51" t="n"/>
      <c r="K463" s="51" t="n"/>
      <c r="L463" s="51" t="n"/>
      <c r="M463" s="51" t="n"/>
      <c r="N463" s="51" t="n"/>
      <c r="S463" s="51" t="n"/>
      <c r="T463" s="51" t="n"/>
      <c r="U463" s="51" t="n"/>
      <c r="V463" s="51" t="n"/>
      <c r="W463" s="51" t="n"/>
    </row>
    <row r="464">
      <c r="B464" s="51" t="n"/>
      <c r="C464" s="51" t="n"/>
      <c r="D464" s="51" t="n"/>
      <c r="E464" s="51" t="n"/>
      <c r="F464" s="51" t="n"/>
      <c r="G464" s="51" t="n"/>
      <c r="H464" s="51" t="n"/>
      <c r="I464" s="51" t="n"/>
      <c r="J464" s="51" t="n"/>
      <c r="K464" s="51" t="n"/>
      <c r="L464" s="51" t="n"/>
      <c r="M464" s="51" t="n"/>
      <c r="N464" s="51" t="n"/>
      <c r="S464" s="51" t="n"/>
      <c r="T464" s="51" t="n"/>
      <c r="U464" s="51" t="n"/>
      <c r="V464" s="51" t="n"/>
      <c r="W464" s="51" t="n"/>
    </row>
    <row r="465">
      <c r="B465" s="51" t="n"/>
      <c r="C465" s="51" t="n"/>
      <c r="D465" s="51" t="n"/>
      <c r="E465" s="51" t="n"/>
      <c r="F465" s="51" t="n"/>
      <c r="G465" s="51" t="n"/>
      <c r="H465" s="51" t="n"/>
      <c r="I465" s="51" t="n"/>
      <c r="J465" s="51" t="n"/>
      <c r="K465" s="51" t="n"/>
      <c r="L465" s="51" t="n"/>
      <c r="M465" s="51" t="n"/>
      <c r="N465" s="51" t="n"/>
      <c r="S465" s="51" t="n"/>
      <c r="T465" s="51" t="n"/>
      <c r="U465" s="51" t="n"/>
      <c r="V465" s="51" t="n"/>
      <c r="W465" s="51" t="n"/>
    </row>
    <row r="466">
      <c r="B466" s="51" t="n"/>
      <c r="C466" s="51" t="n"/>
      <c r="D466" s="51" t="n"/>
      <c r="E466" s="51" t="n"/>
      <c r="F466" s="51" t="n"/>
      <c r="G466" s="51" t="n"/>
      <c r="H466" s="51" t="n"/>
      <c r="I466" s="51" t="n"/>
      <c r="J466" s="51" t="n"/>
      <c r="K466" s="51" t="n"/>
      <c r="L466" s="51" t="n"/>
      <c r="M466" s="51" t="n"/>
      <c r="N466" s="51" t="n"/>
      <c r="S466" s="51" t="n"/>
      <c r="T466" s="51" t="n"/>
      <c r="U466" s="51" t="n"/>
      <c r="V466" s="51" t="n"/>
      <c r="W466" s="51" t="n"/>
    </row>
    <row r="467">
      <c r="B467" s="51" t="n"/>
      <c r="C467" s="51" t="n"/>
      <c r="D467" s="51" t="n"/>
      <c r="E467" s="51" t="n"/>
      <c r="F467" s="51" t="n"/>
      <c r="G467" s="51" t="n"/>
      <c r="H467" s="51" t="n"/>
      <c r="I467" s="51" t="n"/>
      <c r="J467" s="51" t="n"/>
      <c r="K467" s="51" t="n"/>
      <c r="L467" s="51" t="n"/>
      <c r="M467" s="51" t="n"/>
      <c r="N467" s="51" t="n"/>
      <c r="S467" s="51" t="n"/>
      <c r="T467" s="51" t="n"/>
      <c r="U467" s="51" t="n"/>
      <c r="V467" s="51" t="n"/>
      <c r="W467" s="51" t="n"/>
    </row>
    <row r="468">
      <c r="B468" s="51" t="n"/>
      <c r="C468" s="51" t="n"/>
      <c r="D468" s="51" t="n"/>
      <c r="E468" s="51" t="n"/>
      <c r="F468" s="51" t="n"/>
      <c r="G468" s="51" t="n"/>
      <c r="H468" s="51" t="n"/>
      <c r="I468" s="51" t="n"/>
      <c r="J468" s="51" t="n"/>
      <c r="K468" s="51" t="n"/>
      <c r="L468" s="51" t="n"/>
      <c r="M468" s="51" t="n"/>
      <c r="N468" s="51" t="n"/>
      <c r="S468" s="51" t="n"/>
      <c r="T468" s="51" t="n"/>
      <c r="U468" s="51" t="n"/>
      <c r="V468" s="51" t="n"/>
      <c r="W468" s="51" t="n"/>
    </row>
    <row r="469">
      <c r="B469" s="51" t="n"/>
      <c r="C469" s="51" t="n"/>
      <c r="D469" s="51" t="n"/>
      <c r="E469" s="51" t="n"/>
      <c r="F469" s="51" t="n"/>
      <c r="G469" s="51" t="n"/>
      <c r="H469" s="51" t="n"/>
      <c r="I469" s="51" t="n"/>
      <c r="J469" s="51" t="n"/>
      <c r="K469" s="51" t="n"/>
      <c r="L469" s="51" t="n"/>
      <c r="M469" s="51" t="n"/>
      <c r="N469" s="51" t="n"/>
      <c r="S469" s="51" t="n"/>
      <c r="T469" s="51" t="n"/>
      <c r="U469" s="51" t="n"/>
      <c r="V469" s="51" t="n"/>
      <c r="W469" s="51" t="n"/>
    </row>
    <row r="470">
      <c r="B470" s="51" t="n"/>
      <c r="C470" s="51" t="n"/>
      <c r="D470" s="51" t="n"/>
      <c r="E470" s="51" t="n"/>
      <c r="F470" s="51" t="n"/>
      <c r="G470" s="51" t="n"/>
      <c r="H470" s="51" t="n"/>
      <c r="I470" s="51" t="n"/>
      <c r="J470" s="51" t="n"/>
      <c r="K470" s="51" t="n"/>
      <c r="L470" s="51" t="n"/>
      <c r="M470" s="51" t="n"/>
      <c r="N470" s="51" t="n"/>
      <c r="S470" s="51" t="n"/>
      <c r="T470" s="51" t="n"/>
      <c r="U470" s="51" t="n"/>
      <c r="V470" s="51" t="n"/>
      <c r="W470" s="51" t="n"/>
    </row>
    <row r="471">
      <c r="B471" s="51" t="n"/>
      <c r="C471" s="51" t="n"/>
      <c r="D471" s="51" t="n"/>
      <c r="E471" s="51" t="n"/>
      <c r="F471" s="51" t="n"/>
      <c r="G471" s="51" t="n"/>
      <c r="H471" s="51" t="n"/>
      <c r="I471" s="51" t="n"/>
      <c r="J471" s="51" t="n"/>
      <c r="K471" s="51" t="n"/>
      <c r="L471" s="51" t="n"/>
      <c r="M471" s="51" t="n"/>
      <c r="N471" s="51" t="n"/>
      <c r="S471" s="51" t="n"/>
      <c r="T471" s="51" t="n"/>
      <c r="U471" s="51" t="n"/>
      <c r="V471" s="51" t="n"/>
      <c r="W471" s="51" t="n"/>
    </row>
    <row r="472">
      <c r="B472" s="51" t="n"/>
      <c r="C472" s="51" t="n"/>
      <c r="D472" s="51" t="n"/>
      <c r="E472" s="51" t="n"/>
      <c r="F472" s="51" t="n"/>
      <c r="G472" s="51" t="n"/>
      <c r="H472" s="51" t="n"/>
      <c r="I472" s="51" t="n"/>
      <c r="J472" s="51" t="n"/>
      <c r="K472" s="51" t="n"/>
      <c r="L472" s="51" t="n"/>
      <c r="M472" s="51" t="n"/>
      <c r="N472" s="51" t="n"/>
      <c r="S472" s="51" t="n"/>
      <c r="T472" s="51" t="n"/>
      <c r="U472" s="51" t="n"/>
      <c r="V472" s="51" t="n"/>
      <c r="W472" s="51" t="n"/>
    </row>
    <row r="473">
      <c r="B473" s="51" t="n"/>
      <c r="C473" s="51" t="n"/>
      <c r="D473" s="51" t="n"/>
      <c r="E473" s="51" t="n"/>
      <c r="F473" s="51" t="n"/>
      <c r="G473" s="51" t="n"/>
      <c r="H473" s="51" t="n"/>
      <c r="I473" s="51" t="n"/>
      <c r="J473" s="51" t="n"/>
      <c r="K473" s="51" t="n"/>
      <c r="L473" s="51" t="n"/>
      <c r="M473" s="51" t="n"/>
      <c r="N473" s="51" t="n"/>
      <c r="S473" s="51" t="n"/>
      <c r="T473" s="51" t="n"/>
      <c r="U473" s="51" t="n"/>
      <c r="V473" s="51" t="n"/>
      <c r="W473" s="51" t="n"/>
    </row>
    <row r="474">
      <c r="B474" s="51" t="n"/>
      <c r="C474" s="51" t="n"/>
      <c r="D474" s="51" t="n"/>
      <c r="E474" s="51" t="n"/>
      <c r="F474" s="51" t="n"/>
      <c r="G474" s="51" t="n"/>
      <c r="H474" s="51" t="n"/>
      <c r="I474" s="51" t="n"/>
      <c r="J474" s="51" t="n"/>
      <c r="K474" s="51" t="n"/>
      <c r="L474" s="51" t="n"/>
      <c r="M474" s="51" t="n"/>
      <c r="N474" s="51" t="n"/>
      <c r="S474" s="51" t="n"/>
      <c r="T474" s="51" t="n"/>
      <c r="U474" s="51" t="n"/>
      <c r="V474" s="51" t="n"/>
      <c r="W474" s="51" t="n"/>
    </row>
    <row r="475">
      <c r="B475" s="51" t="n"/>
      <c r="C475" s="51" t="n"/>
      <c r="D475" s="51" t="n"/>
      <c r="E475" s="51" t="n"/>
      <c r="F475" s="51" t="n"/>
      <c r="G475" s="51" t="n"/>
      <c r="H475" s="51" t="n"/>
      <c r="I475" s="51" t="n"/>
      <c r="J475" s="51" t="n"/>
      <c r="K475" s="51" t="n"/>
      <c r="L475" s="51" t="n"/>
      <c r="M475" s="51" t="n"/>
      <c r="N475" s="51" t="n"/>
      <c r="S475" s="51" t="n"/>
      <c r="T475" s="51" t="n"/>
      <c r="U475" s="51" t="n"/>
      <c r="V475" s="51" t="n"/>
      <c r="W475" s="51" t="n"/>
    </row>
    <row r="476">
      <c r="B476" s="51" t="n"/>
      <c r="C476" s="51" t="n"/>
      <c r="D476" s="51" t="n"/>
      <c r="E476" s="51" t="n"/>
      <c r="F476" s="51" t="n"/>
      <c r="G476" s="51" t="n"/>
      <c r="H476" s="51" t="n"/>
      <c r="I476" s="51" t="n"/>
      <c r="J476" s="51" t="n"/>
      <c r="K476" s="51" t="n"/>
      <c r="L476" s="51" t="n"/>
      <c r="M476" s="51" t="n"/>
      <c r="N476" s="51" t="n"/>
      <c r="S476" s="51" t="n"/>
      <c r="T476" s="51" t="n"/>
      <c r="U476" s="51" t="n"/>
      <c r="V476" s="51" t="n"/>
      <c r="W476" s="51" t="n"/>
    </row>
    <row r="477">
      <c r="B477" s="51" t="n"/>
      <c r="C477" s="51" t="n"/>
      <c r="D477" s="51" t="n"/>
      <c r="E477" s="51" t="n"/>
      <c r="F477" s="51" t="n"/>
      <c r="G477" s="51" t="n"/>
      <c r="H477" s="51" t="n"/>
      <c r="I477" s="51" t="n"/>
      <c r="J477" s="51" t="n"/>
      <c r="K477" s="51" t="n"/>
      <c r="L477" s="51" t="n"/>
      <c r="M477" s="51" t="n"/>
      <c r="N477" s="51" t="n"/>
      <c r="S477" s="51" t="n"/>
      <c r="T477" s="51" t="n"/>
      <c r="U477" s="51" t="n"/>
      <c r="V477" s="51" t="n"/>
      <c r="W477" s="51" t="n"/>
    </row>
    <row r="478">
      <c r="B478" s="51" t="n"/>
      <c r="C478" s="51" t="n"/>
      <c r="D478" s="51" t="n"/>
      <c r="E478" s="51" t="n"/>
      <c r="F478" s="51" t="n"/>
      <c r="G478" s="51" t="n"/>
      <c r="H478" s="51" t="n"/>
      <c r="I478" s="51" t="n"/>
      <c r="J478" s="51" t="n"/>
      <c r="K478" s="51" t="n"/>
      <c r="L478" s="51" t="n"/>
      <c r="M478" s="51" t="n"/>
      <c r="N478" s="51" t="n"/>
      <c r="S478" s="51" t="n"/>
      <c r="T478" s="51" t="n"/>
      <c r="U478" s="51" t="n"/>
      <c r="V478" s="51" t="n"/>
      <c r="W478" s="51" t="n"/>
    </row>
    <row r="479">
      <c r="B479" s="51" t="n"/>
      <c r="C479" s="51" t="n"/>
      <c r="D479" s="51" t="n"/>
      <c r="E479" s="51" t="n"/>
      <c r="F479" s="51" t="n"/>
      <c r="G479" s="51" t="n"/>
      <c r="H479" s="51" t="n"/>
      <c r="I479" s="51" t="n"/>
      <c r="J479" s="51" t="n"/>
      <c r="K479" s="51" t="n"/>
      <c r="L479" s="51" t="n"/>
      <c r="M479" s="51" t="n"/>
      <c r="N479" s="51" t="n"/>
      <c r="S479" s="51" t="n"/>
      <c r="T479" s="51" t="n"/>
      <c r="U479" s="51" t="n"/>
      <c r="V479" s="51" t="n"/>
      <c r="W479" s="51" t="n"/>
    </row>
    <row r="480">
      <c r="B480" s="51" t="n"/>
      <c r="C480" s="51" t="n"/>
      <c r="D480" s="51" t="n"/>
      <c r="E480" s="51" t="n"/>
      <c r="F480" s="51" t="n"/>
      <c r="G480" s="51" t="n"/>
      <c r="H480" s="51" t="n"/>
      <c r="I480" s="51" t="n"/>
      <c r="J480" s="51" t="n"/>
      <c r="K480" s="51" t="n"/>
      <c r="L480" s="51" t="n"/>
      <c r="M480" s="51" t="n"/>
      <c r="N480" s="51" t="n"/>
      <c r="S480" s="51" t="n"/>
      <c r="T480" s="51" t="n"/>
      <c r="U480" s="51" t="n"/>
      <c r="V480" s="51" t="n"/>
      <c r="W480" s="51" t="n"/>
    </row>
    <row r="481">
      <c r="B481" s="51" t="n"/>
      <c r="C481" s="51" t="n"/>
      <c r="D481" s="51" t="n"/>
      <c r="E481" s="51" t="n"/>
      <c r="F481" s="51" t="n"/>
      <c r="G481" s="51" t="n"/>
      <c r="H481" s="51" t="n"/>
      <c r="I481" s="51" t="n"/>
      <c r="J481" s="51" t="n"/>
      <c r="K481" s="51" t="n"/>
      <c r="L481" s="51" t="n"/>
      <c r="M481" s="51" t="n"/>
      <c r="N481" s="51" t="n"/>
      <c r="S481" s="51" t="n"/>
      <c r="T481" s="51" t="n"/>
      <c r="U481" s="51" t="n"/>
      <c r="V481" s="51" t="n"/>
      <c r="W481" s="51" t="n"/>
    </row>
    <row r="482">
      <c r="B482" s="51" t="n"/>
      <c r="C482" s="51" t="n"/>
      <c r="D482" s="51" t="n"/>
      <c r="E482" s="51" t="n"/>
      <c r="F482" s="51" t="n"/>
      <c r="G482" s="51" t="n"/>
      <c r="H482" s="51" t="n"/>
      <c r="I482" s="51" t="n"/>
      <c r="J482" s="51" t="n"/>
      <c r="K482" s="51" t="n"/>
      <c r="L482" s="51" t="n"/>
      <c r="M482" s="51" t="n"/>
      <c r="N482" s="51" t="n"/>
      <c r="S482" s="51" t="n"/>
      <c r="T482" s="51" t="n"/>
      <c r="U482" s="51" t="n"/>
      <c r="V482" s="51" t="n"/>
      <c r="W482" s="51" t="n"/>
    </row>
    <row r="483">
      <c r="B483" s="51" t="n"/>
      <c r="C483" s="51" t="n"/>
      <c r="D483" s="51" t="n"/>
      <c r="E483" s="51" t="n"/>
      <c r="F483" s="51" t="n"/>
      <c r="G483" s="51" t="n"/>
      <c r="H483" s="51" t="n"/>
      <c r="I483" s="51" t="n"/>
      <c r="J483" s="51" t="n"/>
      <c r="K483" s="51" t="n"/>
      <c r="L483" s="51" t="n"/>
      <c r="M483" s="51" t="n"/>
      <c r="N483" s="51" t="n"/>
      <c r="S483" s="51" t="n"/>
      <c r="T483" s="51" t="n"/>
      <c r="U483" s="51" t="n"/>
      <c r="V483" s="51" t="n"/>
      <c r="W483" s="51" t="n"/>
    </row>
    <row r="484">
      <c r="B484" s="51" t="n"/>
      <c r="C484" s="51" t="n"/>
      <c r="D484" s="51" t="n"/>
      <c r="E484" s="51" t="n"/>
      <c r="F484" s="51" t="n"/>
      <c r="G484" s="51" t="n"/>
      <c r="H484" s="51" t="n"/>
      <c r="I484" s="51" t="n"/>
      <c r="J484" s="51" t="n"/>
      <c r="K484" s="51" t="n"/>
      <c r="L484" s="51" t="n"/>
      <c r="M484" s="51" t="n"/>
      <c r="N484" s="51" t="n"/>
      <c r="S484" s="51" t="n"/>
      <c r="T484" s="51" t="n"/>
      <c r="U484" s="51" t="n"/>
      <c r="V484" s="51" t="n"/>
      <c r="W484" s="51" t="n"/>
    </row>
    <row r="485">
      <c r="B485" s="51" t="n"/>
      <c r="C485" s="51" t="n"/>
      <c r="D485" s="51" t="n"/>
      <c r="E485" s="51" t="n"/>
      <c r="F485" s="51" t="n"/>
      <c r="G485" s="51" t="n"/>
      <c r="H485" s="51" t="n"/>
      <c r="I485" s="51" t="n"/>
      <c r="J485" s="51" t="n"/>
      <c r="K485" s="51" t="n"/>
      <c r="L485" s="51" t="n"/>
      <c r="M485" s="51" t="n"/>
      <c r="N485" s="51" t="n"/>
      <c r="S485" s="51" t="n"/>
      <c r="T485" s="51" t="n"/>
      <c r="U485" s="51" t="n"/>
      <c r="V485" s="51" t="n"/>
      <c r="W485" s="51" t="n"/>
    </row>
    <row r="486">
      <c r="B486" s="51" t="n"/>
      <c r="C486" s="51" t="n"/>
      <c r="D486" s="51" t="n"/>
      <c r="E486" s="51" t="n"/>
      <c r="F486" s="51" t="n"/>
      <c r="G486" s="51" t="n"/>
      <c r="H486" s="51" t="n"/>
      <c r="I486" s="51" t="n"/>
      <c r="J486" s="51" t="n"/>
      <c r="K486" s="51" t="n"/>
      <c r="L486" s="51" t="n"/>
      <c r="M486" s="51" t="n"/>
      <c r="N486" s="51" t="n"/>
      <c r="S486" s="51" t="n"/>
      <c r="T486" s="51" t="n"/>
      <c r="U486" s="51" t="n"/>
      <c r="V486" s="51" t="n"/>
      <c r="W486" s="51" t="n"/>
    </row>
    <row r="487">
      <c r="B487" s="51" t="n"/>
      <c r="C487" s="51" t="n"/>
      <c r="D487" s="51" t="n"/>
      <c r="E487" s="51" t="n"/>
      <c r="F487" s="51" t="n"/>
      <c r="G487" s="51" t="n"/>
      <c r="H487" s="51" t="n"/>
      <c r="I487" s="51" t="n"/>
      <c r="J487" s="51" t="n"/>
      <c r="K487" s="51" t="n"/>
      <c r="L487" s="51" t="n"/>
      <c r="M487" s="51" t="n"/>
      <c r="N487" s="51" t="n"/>
      <c r="S487" s="51" t="n"/>
      <c r="T487" s="51" t="n"/>
      <c r="U487" s="51" t="n"/>
      <c r="V487" s="51" t="n"/>
      <c r="W487" s="51" t="n"/>
    </row>
    <row r="488">
      <c r="B488" s="51" t="n"/>
      <c r="C488" s="51" t="n"/>
      <c r="D488" s="51" t="n"/>
      <c r="E488" s="51" t="n"/>
      <c r="F488" s="51" t="n"/>
      <c r="G488" s="51" t="n"/>
      <c r="H488" s="51" t="n"/>
      <c r="I488" s="51" t="n"/>
      <c r="J488" s="51" t="n"/>
      <c r="K488" s="51" t="n"/>
      <c r="L488" s="51" t="n"/>
      <c r="M488" s="51" t="n"/>
      <c r="N488" s="51" t="n"/>
      <c r="S488" s="51" t="n"/>
      <c r="T488" s="51" t="n"/>
      <c r="U488" s="51" t="n"/>
      <c r="V488" s="51" t="n"/>
      <c r="W488" s="51" t="n"/>
    </row>
    <row r="489">
      <c r="B489" s="51" t="n"/>
      <c r="C489" s="51" t="n"/>
      <c r="D489" s="51" t="n"/>
      <c r="E489" s="51" t="n"/>
      <c r="F489" s="51" t="n"/>
      <c r="G489" s="51" t="n"/>
      <c r="H489" s="51" t="n"/>
      <c r="I489" s="51" t="n"/>
      <c r="J489" s="51" t="n"/>
      <c r="K489" s="51" t="n"/>
      <c r="L489" s="51" t="n"/>
      <c r="M489" s="51" t="n"/>
      <c r="N489" s="51" t="n"/>
      <c r="S489" s="51" t="n"/>
      <c r="T489" s="51" t="n"/>
      <c r="U489" s="51" t="n"/>
      <c r="V489" s="51" t="n"/>
      <c r="W489" s="51" t="n"/>
    </row>
    <row r="490">
      <c r="B490" s="51" t="n"/>
      <c r="C490" s="51" t="n"/>
      <c r="D490" s="51" t="n"/>
      <c r="E490" s="51" t="n"/>
      <c r="F490" s="51" t="n"/>
      <c r="G490" s="51" t="n"/>
      <c r="H490" s="51" t="n"/>
      <c r="I490" s="51" t="n"/>
      <c r="J490" s="51" t="n"/>
      <c r="K490" s="51" t="n"/>
      <c r="L490" s="51" t="n"/>
      <c r="M490" s="51" t="n"/>
      <c r="N490" s="51" t="n"/>
      <c r="S490" s="51" t="n"/>
      <c r="T490" s="51" t="n"/>
      <c r="U490" s="51" t="n"/>
      <c r="V490" s="51" t="n"/>
      <c r="W490" s="51" t="n"/>
    </row>
    <row r="491">
      <c r="B491" s="51" t="n"/>
      <c r="C491" s="51" t="n"/>
      <c r="D491" s="51" t="n"/>
      <c r="E491" s="51" t="n"/>
      <c r="F491" s="51" t="n"/>
      <c r="G491" s="51" t="n"/>
      <c r="H491" s="51" t="n"/>
      <c r="I491" s="51" t="n"/>
      <c r="J491" s="51" t="n"/>
      <c r="K491" s="51" t="n"/>
      <c r="L491" s="51" t="n"/>
      <c r="M491" s="51" t="n"/>
      <c r="N491" s="51" t="n"/>
      <c r="S491" s="51" t="n"/>
      <c r="T491" s="51" t="n"/>
      <c r="U491" s="51" t="n"/>
      <c r="V491" s="51" t="n"/>
      <c r="W491" s="51" t="n"/>
    </row>
    <row r="492">
      <c r="B492" s="51" t="n"/>
      <c r="C492" s="51" t="n"/>
      <c r="D492" s="51" t="n"/>
      <c r="E492" s="51" t="n"/>
      <c r="F492" s="51" t="n"/>
      <c r="G492" s="51" t="n"/>
      <c r="H492" s="51" t="n"/>
      <c r="I492" s="51" t="n"/>
      <c r="J492" s="51" t="n"/>
      <c r="K492" s="51" t="n"/>
      <c r="L492" s="51" t="n"/>
      <c r="M492" s="51" t="n"/>
      <c r="N492" s="51" t="n"/>
      <c r="S492" s="51" t="n"/>
      <c r="T492" s="51" t="n"/>
      <c r="U492" s="51" t="n"/>
      <c r="V492" s="51" t="n"/>
      <c r="W492" s="51" t="n"/>
    </row>
    <row r="493">
      <c r="B493" s="51" t="n"/>
      <c r="C493" s="51" t="n"/>
      <c r="D493" s="51" t="n"/>
      <c r="E493" s="51" t="n"/>
      <c r="F493" s="51" t="n"/>
      <c r="G493" s="51" t="n"/>
      <c r="H493" s="51" t="n"/>
      <c r="I493" s="51" t="n"/>
      <c r="J493" s="51" t="n"/>
      <c r="K493" s="51" t="n"/>
      <c r="L493" s="51" t="n"/>
      <c r="M493" s="51" t="n"/>
      <c r="N493" s="51" t="n"/>
      <c r="S493" s="51" t="n"/>
      <c r="T493" s="51" t="n"/>
      <c r="U493" s="51" t="n"/>
      <c r="V493" s="51" t="n"/>
      <c r="W493" s="51" t="n"/>
    </row>
    <row r="494">
      <c r="B494" s="51" t="n"/>
      <c r="C494" s="51" t="n"/>
      <c r="D494" s="51" t="n"/>
      <c r="E494" s="51" t="n"/>
      <c r="F494" s="51" t="n"/>
      <c r="G494" s="51" t="n"/>
      <c r="H494" s="51" t="n"/>
      <c r="I494" s="51" t="n"/>
      <c r="J494" s="51" t="n"/>
      <c r="K494" s="51" t="n"/>
      <c r="L494" s="51" t="n"/>
      <c r="M494" s="51" t="n"/>
      <c r="N494" s="51" t="n"/>
      <c r="S494" s="51" t="n"/>
      <c r="T494" s="51" t="n"/>
      <c r="U494" s="51" t="n"/>
      <c r="V494" s="51" t="n"/>
      <c r="W494" s="51" t="n"/>
    </row>
    <row r="495">
      <c r="B495" s="51" t="n"/>
      <c r="C495" s="51" t="n"/>
      <c r="D495" s="51" t="n"/>
      <c r="E495" s="51" t="n"/>
      <c r="F495" s="51" t="n"/>
      <c r="G495" s="51" t="n"/>
      <c r="H495" s="51" t="n"/>
      <c r="I495" s="51" t="n"/>
      <c r="J495" s="51" t="n"/>
      <c r="K495" s="51" t="n"/>
      <c r="L495" s="51" t="n"/>
      <c r="M495" s="51" t="n"/>
      <c r="N495" s="51" t="n"/>
      <c r="S495" s="51" t="n"/>
      <c r="T495" s="51" t="n"/>
      <c r="U495" s="51" t="n"/>
      <c r="V495" s="51" t="n"/>
      <c r="W495" s="51" t="n"/>
    </row>
    <row r="496">
      <c r="B496" s="51" t="n"/>
      <c r="C496" s="51" t="n"/>
      <c r="D496" s="51" t="n"/>
      <c r="E496" s="51" t="n"/>
      <c r="F496" s="51" t="n"/>
      <c r="G496" s="51" t="n"/>
      <c r="H496" s="51" t="n"/>
      <c r="I496" s="51" t="n"/>
      <c r="J496" s="51" t="n"/>
      <c r="K496" s="51" t="n"/>
      <c r="L496" s="51" t="n"/>
      <c r="M496" s="51" t="n"/>
      <c r="N496" s="51" t="n"/>
      <c r="S496" s="51" t="n"/>
      <c r="T496" s="51" t="n"/>
      <c r="U496" s="51" t="n"/>
      <c r="V496" s="51" t="n"/>
      <c r="W496" s="51" t="n"/>
    </row>
    <row r="497">
      <c r="B497" s="51" t="n"/>
      <c r="C497" s="51" t="n"/>
      <c r="D497" s="51" t="n"/>
      <c r="E497" s="51" t="n"/>
      <c r="F497" s="51" t="n"/>
      <c r="G497" s="51" t="n"/>
      <c r="H497" s="51" t="n"/>
      <c r="I497" s="51" t="n"/>
      <c r="J497" s="51" t="n"/>
      <c r="K497" s="51" t="n"/>
      <c r="L497" s="51" t="n"/>
      <c r="M497" s="51" t="n"/>
      <c r="N497" s="51" t="n"/>
      <c r="S497" s="51" t="n"/>
      <c r="T497" s="51" t="n"/>
      <c r="U497" s="51" t="n"/>
      <c r="V497" s="51" t="n"/>
      <c r="W497" s="51" t="n"/>
    </row>
    <row r="498">
      <c r="B498" s="51" t="n"/>
      <c r="C498" s="51" t="n"/>
      <c r="D498" s="51" t="n"/>
      <c r="E498" s="51" t="n"/>
      <c r="F498" s="51" t="n"/>
      <c r="G498" s="51" t="n"/>
      <c r="H498" s="51" t="n"/>
      <c r="I498" s="51" t="n"/>
      <c r="J498" s="51" t="n"/>
      <c r="K498" s="51" t="n"/>
      <c r="L498" s="51" t="n"/>
      <c r="M498" s="51" t="n"/>
      <c r="N498" s="51" t="n"/>
      <c r="S498" s="51" t="n"/>
      <c r="T498" s="51" t="n"/>
      <c r="U498" s="51" t="n"/>
      <c r="V498" s="51" t="n"/>
      <c r="W498" s="51" t="n"/>
    </row>
    <row r="499">
      <c r="B499" s="51" t="n"/>
      <c r="C499" s="51" t="n"/>
      <c r="D499" s="51" t="n"/>
      <c r="E499" s="51" t="n"/>
      <c r="F499" s="51" t="n"/>
      <c r="G499" s="51" t="n"/>
      <c r="H499" s="51" t="n"/>
      <c r="I499" s="51" t="n"/>
      <c r="J499" s="51" t="n"/>
      <c r="K499" s="51" t="n"/>
      <c r="L499" s="51" t="n"/>
      <c r="M499" s="51" t="n"/>
      <c r="N499" s="51" t="n"/>
      <c r="S499" s="51" t="n"/>
      <c r="T499" s="51" t="n"/>
      <c r="U499" s="51" t="n"/>
      <c r="V499" s="51" t="n"/>
      <c r="W499" s="51" t="n"/>
    </row>
    <row r="500">
      <c r="B500" s="51" t="n"/>
      <c r="C500" s="51" t="n"/>
      <c r="D500" s="51" t="n"/>
      <c r="E500" s="51" t="n"/>
      <c r="F500" s="51" t="n"/>
      <c r="G500" s="51" t="n"/>
      <c r="H500" s="51" t="n"/>
      <c r="I500" s="51" t="n"/>
      <c r="J500" s="51" t="n"/>
      <c r="K500" s="51" t="n"/>
      <c r="L500" s="51" t="n"/>
      <c r="M500" s="51" t="n"/>
      <c r="N500" s="51" t="n"/>
      <c r="S500" s="51" t="n"/>
      <c r="T500" s="51" t="n"/>
      <c r="U500" s="51" t="n"/>
      <c r="V500" s="51" t="n"/>
      <c r="W500" s="51" t="n"/>
    </row>
    <row r="501">
      <c r="B501" s="51" t="n"/>
      <c r="C501" s="51" t="n"/>
      <c r="D501" s="51" t="n"/>
      <c r="E501" s="51" t="n"/>
      <c r="F501" s="51" t="n"/>
      <c r="G501" s="51" t="n"/>
      <c r="H501" s="51" t="n"/>
      <c r="I501" s="51" t="n"/>
      <c r="J501" s="51" t="n"/>
      <c r="K501" s="51" t="n"/>
      <c r="L501" s="51" t="n"/>
      <c r="M501" s="51" t="n"/>
      <c r="N501" s="51" t="n"/>
      <c r="S501" s="51" t="n"/>
      <c r="T501" s="51" t="n"/>
      <c r="U501" s="51" t="n"/>
      <c r="V501" s="51" t="n"/>
      <c r="W501" s="51" t="n"/>
    </row>
    <row r="502">
      <c r="B502" s="51" t="n"/>
      <c r="C502" s="51" t="n"/>
      <c r="D502" s="51" t="n"/>
      <c r="E502" s="51" t="n"/>
      <c r="F502" s="51" t="n"/>
      <c r="G502" s="51" t="n"/>
      <c r="H502" s="51" t="n"/>
      <c r="I502" s="51" t="n"/>
      <c r="J502" s="51" t="n"/>
      <c r="K502" s="51" t="n"/>
      <c r="L502" s="51" t="n"/>
      <c r="M502" s="51" t="n"/>
      <c r="N502" s="51" t="n"/>
      <c r="S502" s="51" t="n"/>
      <c r="T502" s="51" t="n"/>
      <c r="U502" s="51" t="n"/>
      <c r="V502" s="51" t="n"/>
      <c r="W502" s="51" t="n"/>
    </row>
    <row r="503">
      <c r="B503" s="51" t="n"/>
      <c r="C503" s="51" t="n"/>
      <c r="D503" s="51" t="n"/>
      <c r="E503" s="51" t="n"/>
      <c r="F503" s="51" t="n"/>
      <c r="G503" s="51" t="n"/>
      <c r="H503" s="51" t="n"/>
      <c r="I503" s="51" t="n"/>
      <c r="J503" s="51" t="n"/>
      <c r="K503" s="51" t="n"/>
      <c r="L503" s="51" t="n"/>
      <c r="M503" s="51" t="n"/>
      <c r="N503" s="51" t="n"/>
      <c r="S503" s="51" t="n"/>
      <c r="T503" s="51" t="n"/>
      <c r="U503" s="51" t="n"/>
      <c r="V503" s="51" t="n"/>
      <c r="W503" s="51" t="n"/>
    </row>
    <row r="504">
      <c r="B504" s="51" t="n"/>
      <c r="C504" s="51" t="n"/>
      <c r="D504" s="51" t="n"/>
      <c r="E504" s="51" t="n"/>
      <c r="F504" s="51" t="n"/>
      <c r="G504" s="51" t="n"/>
      <c r="H504" s="51" t="n"/>
      <c r="I504" s="51" t="n"/>
      <c r="J504" s="51" t="n"/>
      <c r="K504" s="51" t="n"/>
      <c r="L504" s="51" t="n"/>
      <c r="M504" s="51" t="n"/>
      <c r="N504" s="51" t="n"/>
      <c r="S504" s="51" t="n"/>
      <c r="T504" s="51" t="n"/>
      <c r="U504" s="51" t="n"/>
      <c r="V504" s="51" t="n"/>
      <c r="W504" s="51" t="n"/>
    </row>
    <row r="505">
      <c r="B505" s="51" t="n"/>
      <c r="C505" s="51" t="n"/>
      <c r="D505" s="51" t="n"/>
      <c r="E505" s="51" t="n"/>
      <c r="F505" s="51" t="n"/>
      <c r="G505" s="51" t="n"/>
      <c r="H505" s="51" t="n"/>
      <c r="I505" s="51" t="n"/>
      <c r="J505" s="51" t="n"/>
      <c r="K505" s="51" t="n"/>
      <c r="L505" s="51" t="n"/>
      <c r="M505" s="51" t="n"/>
      <c r="N505" s="51" t="n"/>
      <c r="S505" s="51" t="n"/>
      <c r="T505" s="51" t="n"/>
      <c r="U505" s="51" t="n"/>
      <c r="V505" s="51" t="n"/>
      <c r="W505" s="51" t="n"/>
    </row>
    <row r="506">
      <c r="B506" s="51" t="n"/>
      <c r="C506" s="51" t="n"/>
      <c r="D506" s="51" t="n"/>
      <c r="E506" s="51" t="n"/>
      <c r="F506" s="51" t="n"/>
      <c r="G506" s="51" t="n"/>
      <c r="H506" s="51" t="n"/>
      <c r="I506" s="51" t="n"/>
      <c r="J506" s="51" t="n"/>
      <c r="K506" s="51" t="n"/>
      <c r="L506" s="51" t="n"/>
      <c r="M506" s="51" t="n"/>
      <c r="N506" s="51" t="n"/>
      <c r="S506" s="51" t="n"/>
      <c r="T506" s="51" t="n"/>
      <c r="U506" s="51" t="n"/>
      <c r="V506" s="51" t="n"/>
      <c r="W506" s="51" t="n"/>
    </row>
    <row r="507">
      <c r="B507" s="51" t="n"/>
      <c r="C507" s="51" t="n"/>
      <c r="D507" s="51" t="n"/>
      <c r="E507" s="51" t="n"/>
      <c r="F507" s="51" t="n"/>
      <c r="G507" s="51" t="n"/>
      <c r="H507" s="51" t="n"/>
      <c r="I507" s="51" t="n"/>
      <c r="J507" s="51" t="n"/>
      <c r="K507" s="51" t="n"/>
      <c r="L507" s="51" t="n"/>
      <c r="M507" s="51" t="n"/>
      <c r="N507" s="51" t="n"/>
      <c r="S507" s="51" t="n"/>
      <c r="T507" s="51" t="n"/>
      <c r="U507" s="51" t="n"/>
      <c r="V507" s="51" t="n"/>
      <c r="W507" s="51" t="n"/>
    </row>
    <row r="508">
      <c r="B508" s="51" t="n"/>
      <c r="C508" s="51" t="n"/>
      <c r="D508" s="51" t="n"/>
      <c r="E508" s="51" t="n"/>
      <c r="F508" s="51" t="n"/>
      <c r="G508" s="51" t="n"/>
      <c r="H508" s="51" t="n"/>
      <c r="I508" s="51" t="n"/>
      <c r="J508" s="51" t="n"/>
      <c r="K508" s="51" t="n"/>
      <c r="L508" s="51" t="n"/>
      <c r="M508" s="51" t="n"/>
      <c r="N508" s="51" t="n"/>
      <c r="S508" s="51" t="n"/>
      <c r="T508" s="51" t="n"/>
      <c r="U508" s="51" t="n"/>
      <c r="V508" s="51" t="n"/>
      <c r="W508" s="51" t="n"/>
    </row>
    <row r="509">
      <c r="B509" s="51" t="n"/>
      <c r="C509" s="51" t="n"/>
      <c r="D509" s="51" t="n"/>
      <c r="E509" s="51" t="n"/>
      <c r="F509" s="51" t="n"/>
      <c r="G509" s="51" t="n"/>
      <c r="H509" s="51" t="n"/>
      <c r="I509" s="51" t="n"/>
      <c r="J509" s="51" t="n"/>
      <c r="K509" s="51" t="n"/>
      <c r="L509" s="51" t="n"/>
      <c r="M509" s="51" t="n"/>
      <c r="N509" s="51" t="n"/>
      <c r="S509" s="51" t="n"/>
      <c r="T509" s="51" t="n"/>
      <c r="U509" s="51" t="n"/>
      <c r="V509" s="51" t="n"/>
      <c r="W509" s="51" t="n"/>
    </row>
    <row r="510">
      <c r="B510" s="51" t="n"/>
      <c r="C510" s="51" t="n"/>
      <c r="D510" s="51" t="n"/>
      <c r="E510" s="51" t="n"/>
      <c r="F510" s="51" t="n"/>
      <c r="G510" s="51" t="n"/>
      <c r="H510" s="51" t="n"/>
      <c r="I510" s="51" t="n"/>
      <c r="J510" s="51" t="n"/>
      <c r="K510" s="51" t="n"/>
      <c r="L510" s="51" t="n"/>
      <c r="M510" s="51" t="n"/>
      <c r="N510" s="51" t="n"/>
      <c r="S510" s="51" t="n"/>
      <c r="T510" s="51" t="n"/>
      <c r="U510" s="51" t="n"/>
      <c r="V510" s="51" t="n"/>
      <c r="W510" s="51" t="n"/>
    </row>
    <row r="511">
      <c r="B511" s="51" t="n"/>
      <c r="C511" s="51" t="n"/>
      <c r="D511" s="51" t="n"/>
      <c r="E511" s="51" t="n"/>
      <c r="F511" s="51" t="n"/>
      <c r="G511" s="51" t="n"/>
      <c r="H511" s="51" t="n"/>
      <c r="I511" s="51" t="n"/>
      <c r="J511" s="51" t="n"/>
      <c r="K511" s="51" t="n"/>
      <c r="L511" s="51" t="n"/>
      <c r="M511" s="51" t="n"/>
      <c r="N511" s="51" t="n"/>
      <c r="S511" s="51" t="n"/>
      <c r="T511" s="51" t="n"/>
      <c r="U511" s="51" t="n"/>
      <c r="V511" s="51" t="n"/>
      <c r="W511" s="51" t="n"/>
    </row>
    <row r="512">
      <c r="B512" s="51" t="n"/>
      <c r="C512" s="51" t="n"/>
      <c r="D512" s="51" t="n"/>
      <c r="E512" s="51" t="n"/>
      <c r="F512" s="51" t="n"/>
      <c r="G512" s="51" t="n"/>
      <c r="H512" s="51" t="n"/>
      <c r="I512" s="51" t="n"/>
      <c r="J512" s="51" t="n"/>
      <c r="K512" s="51" t="n"/>
      <c r="L512" s="51" t="n"/>
      <c r="M512" s="51" t="n"/>
      <c r="N512" s="51" t="n"/>
      <c r="S512" s="51" t="n"/>
      <c r="T512" s="51" t="n"/>
      <c r="U512" s="51" t="n"/>
      <c r="V512" s="51" t="n"/>
      <c r="W512" s="51" t="n"/>
    </row>
    <row r="513">
      <c r="B513" s="51" t="n"/>
      <c r="C513" s="51" t="n"/>
      <c r="D513" s="51" t="n"/>
      <c r="E513" s="51" t="n"/>
      <c r="F513" s="51" t="n"/>
      <c r="G513" s="51" t="n"/>
      <c r="H513" s="51" t="n"/>
      <c r="I513" s="51" t="n"/>
      <c r="J513" s="51" t="n"/>
      <c r="K513" s="51" t="n"/>
      <c r="L513" s="51" t="n"/>
      <c r="M513" s="51" t="n"/>
      <c r="N513" s="51" t="n"/>
      <c r="S513" s="51" t="n"/>
      <c r="T513" s="51" t="n"/>
      <c r="U513" s="51" t="n"/>
      <c r="V513" s="51" t="n"/>
      <c r="W513" s="51" t="n"/>
    </row>
    <row r="514">
      <c r="B514" s="51" t="n"/>
      <c r="C514" s="51" t="n"/>
      <c r="D514" s="51" t="n"/>
      <c r="E514" s="51" t="n"/>
      <c r="F514" s="51" t="n"/>
      <c r="G514" s="51" t="n"/>
      <c r="H514" s="51" t="n"/>
      <c r="I514" s="51" t="n"/>
      <c r="J514" s="51" t="n"/>
      <c r="K514" s="51" t="n"/>
      <c r="L514" s="51" t="n"/>
      <c r="M514" s="51" t="n"/>
      <c r="N514" s="51" t="n"/>
      <c r="S514" s="51" t="n"/>
      <c r="T514" s="51" t="n"/>
      <c r="U514" s="51" t="n"/>
      <c r="V514" s="51" t="n"/>
      <c r="W514" s="51" t="n"/>
    </row>
    <row r="515">
      <c r="B515" s="51" t="n"/>
      <c r="C515" s="51" t="n"/>
      <c r="D515" s="51" t="n"/>
      <c r="E515" s="51" t="n"/>
      <c r="F515" s="51" t="n"/>
      <c r="G515" s="51" t="n"/>
      <c r="H515" s="51" t="n"/>
      <c r="I515" s="51" t="n"/>
      <c r="J515" s="51" t="n"/>
      <c r="K515" s="51" t="n"/>
      <c r="L515" s="51" t="n"/>
      <c r="M515" s="51" t="n"/>
      <c r="N515" s="51" t="n"/>
      <c r="S515" s="51" t="n"/>
      <c r="T515" s="51" t="n"/>
      <c r="U515" s="51" t="n"/>
      <c r="V515" s="51" t="n"/>
      <c r="W515" s="51" t="n"/>
    </row>
    <row r="516">
      <c r="B516" s="51" t="n"/>
      <c r="C516" s="51" t="n"/>
      <c r="D516" s="51" t="n"/>
      <c r="E516" s="51" t="n"/>
      <c r="F516" s="51" t="n"/>
      <c r="G516" s="51" t="n"/>
      <c r="H516" s="51" t="n"/>
      <c r="I516" s="51" t="n"/>
      <c r="J516" s="51" t="n"/>
      <c r="K516" s="51" t="n"/>
      <c r="L516" s="51" t="n"/>
      <c r="M516" s="51" t="n"/>
      <c r="N516" s="51" t="n"/>
      <c r="S516" s="51" t="n"/>
      <c r="T516" s="51" t="n"/>
      <c r="U516" s="51" t="n"/>
      <c r="V516" s="51" t="n"/>
      <c r="W516" s="51" t="n"/>
    </row>
    <row r="517">
      <c r="B517" s="51" t="n"/>
      <c r="C517" s="51" t="n"/>
      <c r="D517" s="51" t="n"/>
      <c r="E517" s="51" t="n"/>
      <c r="F517" s="51" t="n"/>
      <c r="G517" s="51" t="n"/>
      <c r="H517" s="51" t="n"/>
      <c r="I517" s="51" t="n"/>
      <c r="J517" s="51" t="n"/>
      <c r="K517" s="51" t="n"/>
      <c r="L517" s="51" t="n"/>
      <c r="M517" s="51" t="n"/>
      <c r="N517" s="51" t="n"/>
      <c r="S517" s="51" t="n"/>
      <c r="T517" s="51" t="n"/>
      <c r="U517" s="51" t="n"/>
      <c r="V517" s="51" t="n"/>
      <c r="W517" s="51" t="n"/>
    </row>
  </sheetData>
  <mergeCells count="7">
    <mergeCell ref="B3:W3"/>
    <mergeCell ref="B5:W5"/>
    <mergeCell ref="B10:C10"/>
    <mergeCell ref="B8:W8"/>
    <mergeCell ref="B4:W4"/>
    <mergeCell ref="B7:W7"/>
    <mergeCell ref="B6:W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AND(LEN($B17&amp;$C17&amp;$D17&amp;$E17&amp;$F17&amp;$G17&amp;$H17&amp;$I17&amp;$J17&amp;$K17&amp;$L17&amp;$M17&amp;$N17&amp;$O17&amp;$P17&amp;$Q17&amp;$R17&amp;$S17&amp;$T17&amp;$U17&amp;$V17&amp;$W17)&gt;0,B17="")</formula>
    </cfRule>
  </conditionalFormatting>
  <conditionalFormatting sqref="C17:C517">
    <cfRule type="expression" priority="3" dxfId="6">
      <formula>AND(LEN($B17&amp;$C17&amp;$D17&amp;$E17&amp;$F17&amp;$G17&amp;$H17&amp;$I17&amp;$J17&amp;$K17&amp;$L17&amp;$M17&amp;$N17&amp;$O17&amp;$P17&amp;$Q17&amp;$R17&amp;$S17&amp;$T17&amp;$U17&amp;$V17&amp;$W17)&gt;0,C17="")</formula>
    </cfRule>
  </conditionalFormatting>
  <conditionalFormatting sqref="H17:H517">
    <cfRule type="expression" priority="4" dxfId="6">
      <formula>AND(LEN($B17&amp;$C17&amp;$D17&amp;$E17&amp;$F17&amp;$G17&amp;$H17&amp;$I17&amp;$J17&amp;$K17&amp;$L17&amp;$M17&amp;$N17&amp;$O17&amp;$P17&amp;$Q17&amp;$R17&amp;$S17&amp;$T17&amp;$U17&amp;$V17&amp;$W17)&gt;0,H17="")</formula>
    </cfRule>
  </conditionalFormatting>
  <conditionalFormatting sqref="I17:I517">
    <cfRule type="expression" priority="5" dxfId="6">
      <formula>AND(LEN($B17&amp;$C17&amp;$D17&amp;$E17&amp;$F17&amp;$G17&amp;$H17&amp;$I17&amp;$J17&amp;$K17&amp;$L17&amp;$M17&amp;$N17&amp;$O17&amp;$P17&amp;$Q17&amp;$R17&amp;$S17&amp;$T17&amp;$U17&amp;$V17&amp;$W17)&gt;0,I17="")</formula>
    </cfRule>
  </conditionalFormatting>
  <conditionalFormatting sqref="K17:K517">
    <cfRule type="expression" priority="6" dxfId="6">
      <formula>AND(LEN($B17&amp;$C17&amp;$D17&amp;$E17&amp;$F17&amp;$G17&amp;$H17&amp;$I17&amp;$J17&amp;$K17&amp;$L17&amp;$M17&amp;$N17&amp;$O17&amp;$P17&amp;$Q17&amp;$R17&amp;$S17&amp;$T17&amp;$U17&amp;$V17&amp;$W17)&gt;0,K17="")</formula>
    </cfRule>
  </conditionalFormatting>
  <conditionalFormatting sqref="M17:M517">
    <cfRule type="expression" priority="7" dxfId="6">
      <formula>AND(LEN($B17&amp;$C17&amp;$D17&amp;$E17&amp;$F17&amp;$G17&amp;$H17&amp;$I17&amp;$J17&amp;$K17&amp;$L17&amp;$M17&amp;$N17&amp;$O17&amp;$P17&amp;$Q17&amp;$R17&amp;$S17&amp;$T17&amp;$U17&amp;$V17&amp;$W17)&gt;0,M17="")</formula>
    </cfRule>
  </conditionalFormatting>
  <conditionalFormatting sqref="P17:P517">
    <cfRule type="expression" priority="8" dxfId="6">
      <formula>AND(LEN($B17&amp;$C17&amp;$D17&amp;$E17&amp;$F17&amp;$G17&amp;$H17&amp;$I17&amp;$J17&amp;$K17&amp;$L17&amp;$M17&amp;$N17&amp;$O17&amp;$P17&amp;$Q17&amp;$R17&amp;$S17&amp;$T17&amp;$U17&amp;$V17&amp;$W17)&gt;0,P17="")</formula>
    </cfRule>
  </conditionalFormatting>
  <conditionalFormatting sqref="Q17:Q517">
    <cfRule type="expression" priority="9" dxfId="6">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PM-01, column Cover type code. Enter it there first, or keep it if it is a code BIBS already holds." promptTitle="Parent cover type" prompt="No. Only for a subtype (one level below a cover type) Allowed: A code of PM-01 Product catalogue, column Cover type code" type="list" errorStyle="warning">
      <formula1>=CODES_PM_01_COVER_TYPE_CODE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PM-09 Lists and parameters'!A1"/>
    <hyperlink ref="G14" location="'PM-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L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2.27272727272727" customWidth="1" min="3" max="3"/>
    <col width="16" customWidth="1" min="4" max="4"/>
    <col width="36" customWidth="1" min="5" max="5"/>
    <col width="15" customWidth="1" min="6" max="6"/>
    <col width="21" customWidth="1" min="7" max="7"/>
    <col width="20" customWidth="1" min="8" max="8"/>
    <col width="15.90909090909091" customWidth="1" min="9" max="9"/>
    <col width="19" customWidth="1" min="10" max="10"/>
    <col width="19" customWidth="1" min="11" max="11"/>
    <col width="18" customWidth="1" min="12" max="12"/>
  </cols>
  <sheetData>
    <row r="1" ht="26" customHeight="1">
      <c r="A1" s="27" t="inlineStr">
        <is>
          <t>UA-01 Users and roles load</t>
        </is>
      </c>
      <c r="L1" s="28" t="inlineStr">
        <is>
          <t>Step 10 of 31</t>
        </is>
      </c>
    </row>
    <row r="2">
      <c r="A2" s="29" t="inlineStr">
        <is>
          <t>← Back to Start here</t>
        </is>
      </c>
      <c r="B2" s="30" t="inlineStr">
        <is>
          <t>Step 10 of 31. Fill in one row per record below the column headers; the guide above each column says what to enter.</t>
        </is>
      </c>
      <c r="L2" s="31" t="inlineStr">
        <is>
          <t>Ask a question →</t>
        </is>
      </c>
    </row>
    <row r="3" outlineLevel="1" ht="15.5" customHeight="1">
      <c r="A3" s="32" t="inlineStr">
        <is>
          <t>Purpose</t>
        </is>
      </c>
      <c r="B3" s="33" t="inlineStr">
        <is>
          <t>Every BIBS user at go-live with the user data and the group profiles, in the columns of the Bulk Request template</t>
        </is>
      </c>
    </row>
    <row r="4" outlineLevel="1" ht="15.5" customHeight="1">
      <c r="A4" s="32" t="inlineStr">
        <is>
          <t>Provided by</t>
        </is>
      </c>
      <c r="B4" s="33" t="inlineStr">
        <is>
          <t>Business Administration, with the unit heads who name their users</t>
        </is>
      </c>
    </row>
    <row r="5" outlineLevel="1" ht="15.5" customHeight="1">
      <c r="A5" s="32" t="inlineStr">
        <is>
          <t>Due</t>
        </is>
      </c>
      <c r="B5" s="34" t="inlineStr">
        <is>
          <t>1-Nov-2027 – Production values before the dress rehearsal</t>
        </is>
      </c>
    </row>
    <row r="6" outlineLevel="1" ht="15.5" customHeight="1">
      <c r="A6" s="32" t="inlineStr">
        <is>
          <t>How it is loaded</t>
        </is>
      </c>
      <c r="B6" s="33" t="inlineStr">
        <is>
          <t>Bulk Request (SCR-UA-09): the file of this template is uploaded as a bulk batch, checked row by row and approved by an approver like single requests; users are out of the data migration scope (DMQ30)</t>
        </is>
      </c>
    </row>
    <row r="7" outlineLevel="1" ht="15.5" customHeight="1">
      <c r="A7" s="32" t="inlineStr">
        <is>
          <t>Source</t>
        </is>
      </c>
      <c r="B7" s="33" t="inlineStr">
        <is>
          <t>The users of the legacy systems and the unit rosters; the HR list of employees for the full names and e-mails</t>
        </is>
      </c>
    </row>
    <row r="8" outlineLevel="1" ht="26" customHeight="1">
      <c r="A8" s="32" t="inlineStr">
        <is>
          <t>Depends on</t>
        </is>
      </c>
      <c r="B8" s="55" t="inlineStr">
        <is>
          <t>UA-06 Lists of values →</t>
        </is>
      </c>
      <c r="D8" s="55" t="inlineStr">
        <is>
          <t>UA-02 Role-to-permission matrix →</t>
        </is>
      </c>
    </row>
    <row r="9" ht="26" customHeight="1">
      <c r="A9" s="36" t="inlineStr">
        <is>
          <t>Progress</t>
        </is>
      </c>
      <c r="B9" s="37" t="inlineStr">
        <is>
          <t>Rows entered</t>
        </is>
      </c>
      <c r="C9" s="38">
        <f>SUMPRODUCT(((ROW($B$17:$B$517)&gt;17)+($B$17&lt;&gt;"ENROL")&gt;0)*(LEN($B$17:$B$517&amp;$C$17:$C$517&amp;$D$17:$D$517&amp;$E$17:$E$517&amp;$F$17:$F$517&amp;$G$17:$G$517&amp;$H$17:$H$517&amp;$I$17:$I$517&amp;$J$17:$J$517&amp;$K$17:$K$517&amp;$L$17:$L$517)&gt;0))</f>
        <v/>
      </c>
      <c r="D9" s="37" t="inlineStr">
        <is>
          <t>Mandatory cells missing</t>
        </is>
      </c>
      <c r="E9" s="38">
        <f>SUMPRODUCT(((ROW($B$17:$B$517)&gt;17)+($B$17&lt;&gt;"ENROL")&gt;0)*(LEN($B$17:$B$517&amp;$C$17:$C$517&amp;$D$17:$D$517&amp;$E$17:$E$517&amp;$F$17:$F$517&amp;$G$17:$G$517&amp;$H$17:$H$517&amp;$I$17:$I$517&amp;$J$17:$J$517&amp;$K$17:$K$517&amp;$L$17:$L$517)&gt;0)*(($B$17:$B$517="")+($C$17:$C$517="")+($L$17:$L$517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c r="L11" s="42" t="n"/>
    </row>
    <row r="12" ht="17" customHeight="1">
      <c r="A12" s="43" t="inlineStr">
        <is>
          <t>Mandatory</t>
        </is>
      </c>
      <c r="B12" s="44" t="inlineStr">
        <is>
          <t>Yes</t>
        </is>
      </c>
      <c r="C12" s="44" t="inlineStr">
        <is>
          <t>Yes</t>
        </is>
      </c>
      <c r="D12" s="45" t="inlineStr">
        <is>
          <t>Conditional: ENROL</t>
        </is>
      </c>
      <c r="E12" s="45" t="inlineStr">
        <is>
          <t>No</t>
        </is>
      </c>
      <c r="F12" s="45" t="inlineStr">
        <is>
          <t>No</t>
        </is>
      </c>
      <c r="G12" s="45" t="inlineStr">
        <is>
          <t>No</t>
        </is>
      </c>
      <c r="H12" s="45" t="inlineStr">
        <is>
          <t>No</t>
        </is>
      </c>
      <c r="I12" s="45" t="inlineStr">
        <is>
          <t>No</t>
        </is>
      </c>
      <c r="J12" s="45" t="inlineStr">
        <is>
          <t>Conditional: ENROL</t>
        </is>
      </c>
      <c r="K12" s="45" t="inlineStr">
        <is>
          <t>No</t>
        </is>
      </c>
      <c r="L12" s="44" t="inlineStr">
        <is>
          <t>Yes</t>
        </is>
      </c>
    </row>
    <row r="13" ht="30" customHeight="1">
      <c r="A13" s="43" t="inlineStr">
        <is>
          <t>Format</t>
        </is>
      </c>
      <c r="B13" s="45" t="inlineStr">
        <is>
          <t>ENROL, MODIFY, DEACTIVATE or REACTIVATE</t>
        </is>
      </c>
      <c r="C13" s="45" t="inlineStr">
        <is>
          <t>A letter and nine digits (BDOI format a999999999)</t>
        </is>
      </c>
      <c r="D13" s="45" t="inlineStr">
        <is>
          <t>Up to 120 characters</t>
        </is>
      </c>
      <c r="E13" s="45" t="inlineStr">
        <is>
          <t>Company e-mail address</t>
        </is>
      </c>
      <c r="F13" s="45" t="inlineStr">
        <is>
          <t>Windows log-on name; unique</t>
        </is>
      </c>
      <c r="G13" s="45" t="inlineStr">
        <is>
          <t>Branch code</t>
        </is>
      </c>
      <c r="H13" s="45" t="inlineStr">
        <is>
          <t>Code of the list Business unit group (CI-06)</t>
        </is>
      </c>
      <c r="I13" s="45" t="inlineStr">
        <is>
          <t>Code of the list User level (CI-06)</t>
        </is>
      </c>
      <c r="J13" s="45" t="inlineStr">
        <is>
          <t>Profile codes of CI-02 separated by ';'</t>
        </is>
      </c>
      <c r="K13" s="45" t="inlineStr">
        <is>
          <t>yyyy-MM-dd; blank = on approval</t>
        </is>
      </c>
      <c r="L13" s="45" t="inlineStr">
        <is>
          <t>Up to 1,000 characters</t>
        </is>
      </c>
    </row>
    <row r="14" ht="56" customHeight="1">
      <c r="A14" s="43" t="inlineStr">
        <is>
          <t>Allowed values</t>
        </is>
      </c>
      <c r="B14" s="53" t="inlineStr">
        <is>
          <t>ENROL, MODIFY, DEACTIVATE, REACTIVATE (list Bulk request action)</t>
        </is>
      </c>
      <c r="C14" s="45" t="inlineStr">
        <is>
          <t>Free entry, up to 10 characters</t>
        </is>
      </c>
      <c r="D14" s="45" t="inlineStr">
        <is>
          <t>Free entry, up to 120 characters</t>
        </is>
      </c>
      <c r="E14" s="45" t="inlineStr">
        <is>
          <t>Free entry</t>
        </is>
      </c>
      <c r="F14" s="45" t="inlineStr">
        <is>
          <t>Free entry</t>
        </is>
      </c>
      <c r="G14" s="45" t="inlineStr">
        <is>
          <t>Free entry</t>
        </is>
      </c>
      <c r="H14" s="53" t="inlineStr">
        <is>
          <t>Codes of UA-06 Lists of values, column Code (one or more)</t>
        </is>
      </c>
      <c r="I14" s="53" t="inlineStr">
        <is>
          <t>Codes of UA-06 Lists of values, column Code (one or more)</t>
        </is>
      </c>
      <c r="J14" s="53" t="inlineStr">
        <is>
          <t>Codes of UA-02 Role-to-permission matrix, column Group profile code (one or more)</t>
        </is>
      </c>
      <c r="K14" s="45" t="inlineStr">
        <is>
          <t>Free entry</t>
        </is>
      </c>
      <c r="L14" s="45" t="inlineStr">
        <is>
          <t>Free entry, up to 1000 characters</t>
        </is>
      </c>
    </row>
    <row r="15" ht="56" customHeight="1">
      <c r="A15" s="43" t="inlineStr">
        <is>
          <t>What to enter</t>
        </is>
      </c>
      <c r="B15" s="45" t="inlineStr">
        <is>
          <t>ENROL for the go-live load</t>
        </is>
      </c>
      <c r="C15" s="45" t="inlineStr">
        <is>
          <t>The BIBS user ID; unique</t>
        </is>
      </c>
      <c r="D15" s="45" t="inlineStr">
        <is>
          <t>Name shown on screens and reports</t>
        </is>
      </c>
      <c r="E15" s="45" t="inlineStr">
        <is>
          <t>Receives the access-changed notices and the reset links</t>
        </is>
      </c>
      <c r="F15" s="45" t="inlineStr">
        <is>
          <t>Used for the BDO directory sign-in when it is enabled</t>
        </is>
      </c>
      <c r="G15" s="45" t="inlineStr">
        <is>
          <t>Home branch of the user</t>
        </is>
      </c>
      <c r="H15" s="45" t="inlineStr">
        <is>
          <t>Business unit group</t>
        </is>
      </c>
      <c r="I15" s="45" t="inlineStr">
        <is>
          <t>User level</t>
        </is>
      </c>
      <c r="J15" s="45" t="inlineStr">
        <is>
          <t>The group profiles of the user</t>
        </is>
      </c>
      <c r="K15" s="45" t="inlineStr">
        <is>
          <t>Date the change applies</t>
        </is>
      </c>
      <c r="L15" s="45" t="inlineStr">
        <is>
          <t>Justification of the line</t>
        </is>
      </c>
    </row>
    <row r="16" ht="30" customHeight="1">
      <c r="A16" s="46" t="inlineStr">
        <is>
          <t>Row</t>
        </is>
      </c>
      <c r="B16" s="47" t="inlineStr">
        <is>
          <t>Action *</t>
        </is>
      </c>
      <c r="C16" s="47" t="inlineStr">
        <is>
          <t>User ID *</t>
        </is>
      </c>
      <c r="D16" s="47" t="inlineStr">
        <is>
          <t>Full Name</t>
        </is>
      </c>
      <c r="E16" s="47" t="inlineStr">
        <is>
          <t>E-mail</t>
        </is>
      </c>
      <c r="F16" s="47" t="inlineStr">
        <is>
          <t>Windows ID</t>
        </is>
      </c>
      <c r="G16" s="47" t="inlineStr">
        <is>
          <t>Home Branch Code</t>
        </is>
      </c>
      <c r="H16" s="47" t="inlineStr">
        <is>
          <t>Business Unit</t>
        </is>
      </c>
      <c r="I16" s="47" t="inlineStr">
        <is>
          <t>User Level</t>
        </is>
      </c>
      <c r="J16" s="47" t="inlineStr">
        <is>
          <t>Group Profiles</t>
        </is>
      </c>
      <c r="K16" s="47" t="inlineStr">
        <is>
          <t>Effective Date</t>
        </is>
      </c>
      <c r="L16" s="47" t="inlineStr">
        <is>
          <t>Remarks *</t>
        </is>
      </c>
    </row>
    <row r="17" ht="18" customHeight="1">
      <c r="A17" s="48" t="inlineStr">
        <is>
          <t>Example – overwrite or delete</t>
        </is>
      </c>
      <c r="B17" s="49" t="inlineStr">
        <is>
          <t>ENROL</t>
        </is>
      </c>
      <c r="C17" s="49" t="inlineStr">
        <is>
          <t>a013000201</t>
        </is>
      </c>
      <c r="D17" s="49" t="inlineStr">
        <is>
          <t>Andrea Mercado</t>
        </is>
      </c>
      <c r="E17" s="49" t="inlineStr">
        <is>
          <t>andrea.mercado@brokerverse-seed.ph</t>
        </is>
      </c>
      <c r="F17" s="49" t="inlineStr">
        <is>
          <t>AMERCADO</t>
        </is>
      </c>
      <c r="G17" s="49" t="inlineStr">
        <is>
          <t>HO</t>
        </is>
      </c>
      <c r="H17" s="49" t="n"/>
      <c r="I17" s="49" t="n"/>
      <c r="J17" s="49" t="inlineStr">
        <is>
          <t>MKT_AO</t>
        </is>
      </c>
      <c r="K17" s="49" t="n"/>
      <c r="L17" s="49" t="inlineStr">
        <is>
          <t>Joined Marketing</t>
        </is>
      </c>
    </row>
    <row r="18">
      <c r="B18" s="51" t="n"/>
      <c r="C18" s="51" t="n"/>
      <c r="D18" s="51" t="n"/>
      <c r="E18" s="51" t="n"/>
      <c r="F18" s="51" t="n"/>
      <c r="G18" s="51" t="n"/>
      <c r="H18" s="51" t="n"/>
      <c r="I18" s="51" t="n"/>
      <c r="J18" s="51" t="n"/>
      <c r="K18" s="51" t="n"/>
      <c r="L18" s="51" t="n"/>
    </row>
    <row r="19">
      <c r="B19" s="51" t="n"/>
      <c r="C19" s="51" t="n"/>
      <c r="D19" s="51" t="n"/>
      <c r="E19" s="51" t="n"/>
      <c r="F19" s="51" t="n"/>
      <c r="G19" s="51" t="n"/>
      <c r="H19" s="51" t="n"/>
      <c r="I19" s="51" t="n"/>
      <c r="J19" s="51" t="n"/>
      <c r="K19" s="51" t="n"/>
      <c r="L19" s="51" t="n"/>
    </row>
    <row r="20">
      <c r="B20" s="51" t="n"/>
      <c r="C20" s="51" t="n"/>
      <c r="D20" s="51" t="n"/>
      <c r="E20" s="51" t="n"/>
      <c r="F20" s="51" t="n"/>
      <c r="G20" s="51" t="n"/>
      <c r="H20" s="51" t="n"/>
      <c r="I20" s="51" t="n"/>
      <c r="J20" s="51" t="n"/>
      <c r="K20" s="51" t="n"/>
      <c r="L20" s="51" t="n"/>
    </row>
    <row r="21">
      <c r="B21" s="51" t="n"/>
      <c r="C21" s="51" t="n"/>
      <c r="D21" s="51" t="n"/>
      <c r="E21" s="51" t="n"/>
      <c r="F21" s="51" t="n"/>
      <c r="G21" s="51" t="n"/>
      <c r="H21" s="51" t="n"/>
      <c r="I21" s="51" t="n"/>
      <c r="J21" s="51" t="n"/>
      <c r="K21" s="51" t="n"/>
      <c r="L21" s="51" t="n"/>
    </row>
    <row r="22">
      <c r="B22" s="51" t="n"/>
      <c r="C22" s="51" t="n"/>
      <c r="D22" s="51" t="n"/>
      <c r="E22" s="51" t="n"/>
      <c r="F22" s="51" t="n"/>
      <c r="G22" s="51" t="n"/>
      <c r="H22" s="51" t="n"/>
      <c r="I22" s="51" t="n"/>
      <c r="J22" s="51" t="n"/>
      <c r="K22" s="51" t="n"/>
      <c r="L22" s="51" t="n"/>
    </row>
    <row r="23">
      <c r="B23" s="51" t="n"/>
      <c r="C23" s="51" t="n"/>
      <c r="D23" s="51" t="n"/>
      <c r="E23" s="51" t="n"/>
      <c r="F23" s="51" t="n"/>
      <c r="G23" s="51" t="n"/>
      <c r="H23" s="51" t="n"/>
      <c r="I23" s="51" t="n"/>
      <c r="J23" s="51" t="n"/>
      <c r="K23" s="51" t="n"/>
      <c r="L23" s="51" t="n"/>
    </row>
    <row r="24">
      <c r="B24" s="51" t="n"/>
      <c r="C24" s="51" t="n"/>
      <c r="D24" s="51" t="n"/>
      <c r="E24" s="51" t="n"/>
      <c r="F24" s="51" t="n"/>
      <c r="G24" s="51" t="n"/>
      <c r="H24" s="51" t="n"/>
      <c r="I24" s="51" t="n"/>
      <c r="J24" s="51" t="n"/>
      <c r="K24" s="51" t="n"/>
      <c r="L24" s="51" t="n"/>
    </row>
    <row r="25">
      <c r="B25" s="51" t="n"/>
      <c r="C25" s="51" t="n"/>
      <c r="D25" s="51" t="n"/>
      <c r="E25" s="51" t="n"/>
      <c r="F25" s="51" t="n"/>
      <c r="G25" s="51" t="n"/>
      <c r="H25" s="51" t="n"/>
      <c r="I25" s="51" t="n"/>
      <c r="J25" s="51" t="n"/>
      <c r="K25" s="51" t="n"/>
      <c r="L25" s="51" t="n"/>
    </row>
    <row r="26">
      <c r="B26" s="51" t="n"/>
      <c r="C26" s="51" t="n"/>
      <c r="D26" s="51" t="n"/>
      <c r="E26" s="51" t="n"/>
      <c r="F26" s="51" t="n"/>
      <c r="G26" s="51" t="n"/>
      <c r="H26" s="51" t="n"/>
      <c r="I26" s="51" t="n"/>
      <c r="J26" s="51" t="n"/>
      <c r="K26" s="51" t="n"/>
      <c r="L26" s="51" t="n"/>
    </row>
    <row r="27">
      <c r="B27" s="51" t="n"/>
      <c r="C27" s="51" t="n"/>
      <c r="D27" s="51" t="n"/>
      <c r="E27" s="51" t="n"/>
      <c r="F27" s="51" t="n"/>
      <c r="G27" s="51" t="n"/>
      <c r="H27" s="51" t="n"/>
      <c r="I27" s="51" t="n"/>
      <c r="J27" s="51" t="n"/>
      <c r="K27" s="51" t="n"/>
      <c r="L27" s="51" t="n"/>
    </row>
    <row r="28">
      <c r="B28" s="51" t="n"/>
      <c r="C28" s="51" t="n"/>
      <c r="D28" s="51" t="n"/>
      <c r="E28" s="51" t="n"/>
      <c r="F28" s="51" t="n"/>
      <c r="G28" s="51" t="n"/>
      <c r="H28" s="51" t="n"/>
      <c r="I28" s="51" t="n"/>
      <c r="J28" s="51" t="n"/>
      <c r="K28" s="51" t="n"/>
      <c r="L28" s="51" t="n"/>
    </row>
    <row r="29">
      <c r="B29" s="51" t="n"/>
      <c r="C29" s="51" t="n"/>
      <c r="D29" s="51" t="n"/>
      <c r="E29" s="51" t="n"/>
      <c r="F29" s="51" t="n"/>
      <c r="G29" s="51" t="n"/>
      <c r="H29" s="51" t="n"/>
      <c r="I29" s="51" t="n"/>
      <c r="J29" s="51" t="n"/>
      <c r="K29" s="51" t="n"/>
      <c r="L29" s="51" t="n"/>
    </row>
    <row r="30">
      <c r="B30" s="51" t="n"/>
      <c r="C30" s="51" t="n"/>
      <c r="D30" s="51" t="n"/>
      <c r="E30" s="51" t="n"/>
      <c r="F30" s="51" t="n"/>
      <c r="G30" s="51" t="n"/>
      <c r="H30" s="51" t="n"/>
      <c r="I30" s="51" t="n"/>
      <c r="J30" s="51" t="n"/>
      <c r="K30" s="51" t="n"/>
      <c r="L30" s="51" t="n"/>
    </row>
    <row r="31">
      <c r="B31" s="51" t="n"/>
      <c r="C31" s="51" t="n"/>
      <c r="D31" s="51" t="n"/>
      <c r="E31" s="51" t="n"/>
      <c r="F31" s="51" t="n"/>
      <c r="G31" s="51" t="n"/>
      <c r="H31" s="51" t="n"/>
      <c r="I31" s="51" t="n"/>
      <c r="J31" s="51" t="n"/>
      <c r="K31" s="51" t="n"/>
      <c r="L31" s="51" t="n"/>
    </row>
    <row r="32">
      <c r="B32" s="51" t="n"/>
      <c r="C32" s="51" t="n"/>
      <c r="D32" s="51" t="n"/>
      <c r="E32" s="51" t="n"/>
      <c r="F32" s="51" t="n"/>
      <c r="G32" s="51" t="n"/>
      <c r="H32" s="51" t="n"/>
      <c r="I32" s="51" t="n"/>
      <c r="J32" s="51" t="n"/>
      <c r="K32" s="51" t="n"/>
      <c r="L32" s="51" t="n"/>
    </row>
    <row r="33">
      <c r="B33" s="51" t="n"/>
      <c r="C33" s="51" t="n"/>
      <c r="D33" s="51" t="n"/>
      <c r="E33" s="51" t="n"/>
      <c r="F33" s="51" t="n"/>
      <c r="G33" s="51" t="n"/>
      <c r="H33" s="51" t="n"/>
      <c r="I33" s="51" t="n"/>
      <c r="J33" s="51" t="n"/>
      <c r="K33" s="51" t="n"/>
      <c r="L33" s="51" t="n"/>
    </row>
    <row r="34">
      <c r="B34" s="51" t="n"/>
      <c r="C34" s="51" t="n"/>
      <c r="D34" s="51" t="n"/>
      <c r="E34" s="51" t="n"/>
      <c r="F34" s="51" t="n"/>
      <c r="G34" s="51" t="n"/>
      <c r="H34" s="51" t="n"/>
      <c r="I34" s="51" t="n"/>
      <c r="J34" s="51" t="n"/>
      <c r="K34" s="51" t="n"/>
      <c r="L34" s="51" t="n"/>
    </row>
    <row r="35">
      <c r="B35" s="51" t="n"/>
      <c r="C35" s="51" t="n"/>
      <c r="D35" s="51" t="n"/>
      <c r="E35" s="51" t="n"/>
      <c r="F35" s="51" t="n"/>
      <c r="G35" s="51" t="n"/>
      <c r="H35" s="51" t="n"/>
      <c r="I35" s="51" t="n"/>
      <c r="J35" s="51" t="n"/>
      <c r="K35" s="51" t="n"/>
      <c r="L35" s="51" t="n"/>
    </row>
    <row r="36">
      <c r="B36" s="51" t="n"/>
      <c r="C36" s="51" t="n"/>
      <c r="D36" s="51" t="n"/>
      <c r="E36" s="51" t="n"/>
      <c r="F36" s="51" t="n"/>
      <c r="G36" s="51" t="n"/>
      <c r="H36" s="51" t="n"/>
      <c r="I36" s="51" t="n"/>
      <c r="J36" s="51" t="n"/>
      <c r="K36" s="51" t="n"/>
      <c r="L36" s="51" t="n"/>
    </row>
    <row r="37">
      <c r="B37" s="51" t="n"/>
      <c r="C37" s="51" t="n"/>
      <c r="D37" s="51" t="n"/>
      <c r="E37" s="51" t="n"/>
      <c r="F37" s="51" t="n"/>
      <c r="G37" s="51" t="n"/>
      <c r="H37" s="51" t="n"/>
      <c r="I37" s="51" t="n"/>
      <c r="J37" s="51" t="n"/>
      <c r="K37" s="51" t="n"/>
      <c r="L37" s="51" t="n"/>
    </row>
    <row r="38">
      <c r="B38" s="51" t="n"/>
      <c r="C38" s="51" t="n"/>
      <c r="D38" s="51" t="n"/>
      <c r="E38" s="51" t="n"/>
      <c r="F38" s="51" t="n"/>
      <c r="G38" s="51" t="n"/>
      <c r="H38" s="51" t="n"/>
      <c r="I38" s="51" t="n"/>
      <c r="J38" s="51" t="n"/>
      <c r="K38" s="51" t="n"/>
      <c r="L38" s="51" t="n"/>
    </row>
    <row r="39">
      <c r="B39" s="51" t="n"/>
      <c r="C39" s="51" t="n"/>
      <c r="D39" s="51" t="n"/>
      <c r="E39" s="51" t="n"/>
      <c r="F39" s="51" t="n"/>
      <c r="G39" s="51" t="n"/>
      <c r="H39" s="51" t="n"/>
      <c r="I39" s="51" t="n"/>
      <c r="J39" s="51" t="n"/>
      <c r="K39" s="51" t="n"/>
      <c r="L39" s="51" t="n"/>
    </row>
    <row r="40">
      <c r="B40" s="51" t="n"/>
      <c r="C40" s="51" t="n"/>
      <c r="D40" s="51" t="n"/>
      <c r="E40" s="51" t="n"/>
      <c r="F40" s="51" t="n"/>
      <c r="G40" s="51" t="n"/>
      <c r="H40" s="51" t="n"/>
      <c r="I40" s="51" t="n"/>
      <c r="J40" s="51" t="n"/>
      <c r="K40" s="51" t="n"/>
      <c r="L40" s="51" t="n"/>
    </row>
    <row r="41">
      <c r="B41" s="51" t="n"/>
      <c r="C41" s="51" t="n"/>
      <c r="D41" s="51" t="n"/>
      <c r="E41" s="51" t="n"/>
      <c r="F41" s="51" t="n"/>
      <c r="G41" s="51" t="n"/>
      <c r="H41" s="51" t="n"/>
      <c r="I41" s="51" t="n"/>
      <c r="J41" s="51" t="n"/>
      <c r="K41" s="51" t="n"/>
      <c r="L41" s="51" t="n"/>
    </row>
    <row r="42">
      <c r="B42" s="51" t="n"/>
      <c r="C42" s="51" t="n"/>
      <c r="D42" s="51" t="n"/>
      <c r="E42" s="51" t="n"/>
      <c r="F42" s="51" t="n"/>
      <c r="G42" s="51" t="n"/>
      <c r="H42" s="51" t="n"/>
      <c r="I42" s="51" t="n"/>
      <c r="J42" s="51" t="n"/>
      <c r="K42" s="51" t="n"/>
      <c r="L42" s="51" t="n"/>
    </row>
    <row r="43">
      <c r="B43" s="51" t="n"/>
      <c r="C43" s="51" t="n"/>
      <c r="D43" s="51" t="n"/>
      <c r="E43" s="51" t="n"/>
      <c r="F43" s="51" t="n"/>
      <c r="G43" s="51" t="n"/>
      <c r="H43" s="51" t="n"/>
      <c r="I43" s="51" t="n"/>
      <c r="J43" s="51" t="n"/>
      <c r="K43" s="51" t="n"/>
      <c r="L43" s="51" t="n"/>
    </row>
    <row r="44">
      <c r="B44" s="51" t="n"/>
      <c r="C44" s="51" t="n"/>
      <c r="D44" s="51" t="n"/>
      <c r="E44" s="51" t="n"/>
      <c r="F44" s="51" t="n"/>
      <c r="G44" s="51" t="n"/>
      <c r="H44" s="51" t="n"/>
      <c r="I44" s="51" t="n"/>
      <c r="J44" s="51" t="n"/>
      <c r="K44" s="51" t="n"/>
      <c r="L44" s="51" t="n"/>
    </row>
    <row r="45">
      <c r="B45" s="51" t="n"/>
      <c r="C45" s="51" t="n"/>
      <c r="D45" s="51" t="n"/>
      <c r="E45" s="51" t="n"/>
      <c r="F45" s="51" t="n"/>
      <c r="G45" s="51" t="n"/>
      <c r="H45" s="51" t="n"/>
      <c r="I45" s="51" t="n"/>
      <c r="J45" s="51" t="n"/>
      <c r="K45" s="51" t="n"/>
      <c r="L45" s="51" t="n"/>
    </row>
    <row r="46">
      <c r="B46" s="51" t="n"/>
      <c r="C46" s="51" t="n"/>
      <c r="D46" s="51" t="n"/>
      <c r="E46" s="51" t="n"/>
      <c r="F46" s="51" t="n"/>
      <c r="G46" s="51" t="n"/>
      <c r="H46" s="51" t="n"/>
      <c r="I46" s="51" t="n"/>
      <c r="J46" s="51" t="n"/>
      <c r="K46" s="51" t="n"/>
      <c r="L46" s="51" t="n"/>
    </row>
    <row r="47">
      <c r="B47" s="51" t="n"/>
      <c r="C47" s="51" t="n"/>
      <c r="D47" s="51" t="n"/>
      <c r="E47" s="51" t="n"/>
      <c r="F47" s="51" t="n"/>
      <c r="G47" s="51" t="n"/>
      <c r="H47" s="51" t="n"/>
      <c r="I47" s="51" t="n"/>
      <c r="J47" s="51" t="n"/>
      <c r="K47" s="51" t="n"/>
      <c r="L47" s="51" t="n"/>
    </row>
    <row r="48">
      <c r="B48" s="51" t="n"/>
      <c r="C48" s="51" t="n"/>
      <c r="D48" s="51" t="n"/>
      <c r="E48" s="51" t="n"/>
      <c r="F48" s="51" t="n"/>
      <c r="G48" s="51" t="n"/>
      <c r="H48" s="51" t="n"/>
      <c r="I48" s="51" t="n"/>
      <c r="J48" s="51" t="n"/>
      <c r="K48" s="51" t="n"/>
      <c r="L48" s="51" t="n"/>
    </row>
    <row r="49">
      <c r="B49" s="51" t="n"/>
      <c r="C49" s="51" t="n"/>
      <c r="D49" s="51" t="n"/>
      <c r="E49" s="51" t="n"/>
      <c r="F49" s="51" t="n"/>
      <c r="G49" s="51" t="n"/>
      <c r="H49" s="51" t="n"/>
      <c r="I49" s="51" t="n"/>
      <c r="J49" s="51" t="n"/>
      <c r="K49" s="51" t="n"/>
      <c r="L49" s="51" t="n"/>
    </row>
    <row r="50">
      <c r="B50" s="51" t="n"/>
      <c r="C50" s="51" t="n"/>
      <c r="D50" s="51" t="n"/>
      <c r="E50" s="51" t="n"/>
      <c r="F50" s="51" t="n"/>
      <c r="G50" s="51" t="n"/>
      <c r="H50" s="51" t="n"/>
      <c r="I50" s="51" t="n"/>
      <c r="J50" s="51" t="n"/>
      <c r="K50" s="51" t="n"/>
      <c r="L50" s="51" t="n"/>
    </row>
    <row r="51">
      <c r="B51" s="51" t="n"/>
      <c r="C51" s="51" t="n"/>
      <c r="D51" s="51" t="n"/>
      <c r="E51" s="51" t="n"/>
      <c r="F51" s="51" t="n"/>
      <c r="G51" s="51" t="n"/>
      <c r="H51" s="51" t="n"/>
      <c r="I51" s="51" t="n"/>
      <c r="J51" s="51" t="n"/>
      <c r="K51" s="51" t="n"/>
      <c r="L51" s="51" t="n"/>
    </row>
    <row r="52">
      <c r="B52" s="51" t="n"/>
      <c r="C52" s="51" t="n"/>
      <c r="D52" s="51" t="n"/>
      <c r="E52" s="51" t="n"/>
      <c r="F52" s="51" t="n"/>
      <c r="G52" s="51" t="n"/>
      <c r="H52" s="51" t="n"/>
      <c r="I52" s="51" t="n"/>
      <c r="J52" s="51" t="n"/>
      <c r="K52" s="51" t="n"/>
      <c r="L52" s="51" t="n"/>
    </row>
    <row r="53">
      <c r="B53" s="51" t="n"/>
      <c r="C53" s="51" t="n"/>
      <c r="D53" s="51" t="n"/>
      <c r="E53" s="51" t="n"/>
      <c r="F53" s="51" t="n"/>
      <c r="G53" s="51" t="n"/>
      <c r="H53" s="51" t="n"/>
      <c r="I53" s="51" t="n"/>
      <c r="J53" s="51" t="n"/>
      <c r="K53" s="51" t="n"/>
      <c r="L53" s="51" t="n"/>
    </row>
    <row r="54">
      <c r="B54" s="51" t="n"/>
      <c r="C54" s="51" t="n"/>
      <c r="D54" s="51" t="n"/>
      <c r="E54" s="51" t="n"/>
      <c r="F54" s="51" t="n"/>
      <c r="G54" s="51" t="n"/>
      <c r="H54" s="51" t="n"/>
      <c r="I54" s="51" t="n"/>
      <c r="J54" s="51" t="n"/>
      <c r="K54" s="51" t="n"/>
      <c r="L54" s="51" t="n"/>
    </row>
    <row r="55">
      <c r="B55" s="51" t="n"/>
      <c r="C55" s="51" t="n"/>
      <c r="D55" s="51" t="n"/>
      <c r="E55" s="51" t="n"/>
      <c r="F55" s="51" t="n"/>
      <c r="G55" s="51" t="n"/>
      <c r="H55" s="51" t="n"/>
      <c r="I55" s="51" t="n"/>
      <c r="J55" s="51" t="n"/>
      <c r="K55" s="51" t="n"/>
      <c r="L55" s="51" t="n"/>
    </row>
    <row r="56">
      <c r="B56" s="51" t="n"/>
      <c r="C56" s="51" t="n"/>
      <c r="D56" s="51" t="n"/>
      <c r="E56" s="51" t="n"/>
      <c r="F56" s="51" t="n"/>
      <c r="G56" s="51" t="n"/>
      <c r="H56" s="51" t="n"/>
      <c r="I56" s="51" t="n"/>
      <c r="J56" s="51" t="n"/>
      <c r="K56" s="51" t="n"/>
      <c r="L56" s="51" t="n"/>
    </row>
    <row r="57">
      <c r="B57" s="51" t="n"/>
      <c r="C57" s="51" t="n"/>
      <c r="D57" s="51" t="n"/>
      <c r="E57" s="51" t="n"/>
      <c r="F57" s="51" t="n"/>
      <c r="G57" s="51" t="n"/>
      <c r="H57" s="51" t="n"/>
      <c r="I57" s="51" t="n"/>
      <c r="J57" s="51" t="n"/>
      <c r="K57" s="51" t="n"/>
      <c r="L57" s="51" t="n"/>
    </row>
    <row r="58">
      <c r="B58" s="51" t="n"/>
      <c r="C58" s="51" t="n"/>
      <c r="D58" s="51" t="n"/>
      <c r="E58" s="51" t="n"/>
      <c r="F58" s="51" t="n"/>
      <c r="G58" s="51" t="n"/>
      <c r="H58" s="51" t="n"/>
      <c r="I58" s="51" t="n"/>
      <c r="J58" s="51" t="n"/>
      <c r="K58" s="51" t="n"/>
      <c r="L58" s="51" t="n"/>
    </row>
    <row r="59">
      <c r="B59" s="51" t="n"/>
      <c r="C59" s="51" t="n"/>
      <c r="D59" s="51" t="n"/>
      <c r="E59" s="51" t="n"/>
      <c r="F59" s="51" t="n"/>
      <c r="G59" s="51" t="n"/>
      <c r="H59" s="51" t="n"/>
      <c r="I59" s="51" t="n"/>
      <c r="J59" s="51" t="n"/>
      <c r="K59" s="51" t="n"/>
      <c r="L59" s="51" t="n"/>
    </row>
    <row r="60">
      <c r="B60" s="51" t="n"/>
      <c r="C60" s="51" t="n"/>
      <c r="D60" s="51" t="n"/>
      <c r="E60" s="51" t="n"/>
      <c r="F60" s="51" t="n"/>
      <c r="G60" s="51" t="n"/>
      <c r="H60" s="51" t="n"/>
      <c r="I60" s="51" t="n"/>
      <c r="J60" s="51" t="n"/>
      <c r="K60" s="51" t="n"/>
      <c r="L60" s="51" t="n"/>
    </row>
    <row r="61">
      <c r="B61" s="51" t="n"/>
      <c r="C61" s="51" t="n"/>
      <c r="D61" s="51" t="n"/>
      <c r="E61" s="51" t="n"/>
      <c r="F61" s="51" t="n"/>
      <c r="G61" s="51" t="n"/>
      <c r="H61" s="51" t="n"/>
      <c r="I61" s="51" t="n"/>
      <c r="J61" s="51" t="n"/>
      <c r="K61" s="51" t="n"/>
      <c r="L61" s="51" t="n"/>
    </row>
    <row r="62">
      <c r="B62" s="51" t="n"/>
      <c r="C62" s="51" t="n"/>
      <c r="D62" s="51" t="n"/>
      <c r="E62" s="51" t="n"/>
      <c r="F62" s="51" t="n"/>
      <c r="G62" s="51" t="n"/>
      <c r="H62" s="51" t="n"/>
      <c r="I62" s="51" t="n"/>
      <c r="J62" s="51" t="n"/>
      <c r="K62" s="51" t="n"/>
      <c r="L62" s="51" t="n"/>
    </row>
    <row r="63">
      <c r="B63" s="51" t="n"/>
      <c r="C63" s="51" t="n"/>
      <c r="D63" s="51" t="n"/>
      <c r="E63" s="51" t="n"/>
      <c r="F63" s="51" t="n"/>
      <c r="G63" s="51" t="n"/>
      <c r="H63" s="51" t="n"/>
      <c r="I63" s="51" t="n"/>
      <c r="J63" s="51" t="n"/>
      <c r="K63" s="51" t="n"/>
      <c r="L63" s="51" t="n"/>
    </row>
    <row r="64">
      <c r="B64" s="51" t="n"/>
      <c r="C64" s="51" t="n"/>
      <c r="D64" s="51" t="n"/>
      <c r="E64" s="51" t="n"/>
      <c r="F64" s="51" t="n"/>
      <c r="G64" s="51" t="n"/>
      <c r="H64" s="51" t="n"/>
      <c r="I64" s="51" t="n"/>
      <c r="J64" s="51" t="n"/>
      <c r="K64" s="51" t="n"/>
      <c r="L64" s="51" t="n"/>
    </row>
    <row r="65">
      <c r="B65" s="51" t="n"/>
      <c r="C65" s="51" t="n"/>
      <c r="D65" s="51" t="n"/>
      <c r="E65" s="51" t="n"/>
      <c r="F65" s="51" t="n"/>
      <c r="G65" s="51" t="n"/>
      <c r="H65" s="51" t="n"/>
      <c r="I65" s="51" t="n"/>
      <c r="J65" s="51" t="n"/>
      <c r="K65" s="51" t="n"/>
      <c r="L65" s="51" t="n"/>
    </row>
    <row r="66">
      <c r="B66" s="51" t="n"/>
      <c r="C66" s="51" t="n"/>
      <c r="D66" s="51" t="n"/>
      <c r="E66" s="51" t="n"/>
      <c r="F66" s="51" t="n"/>
      <c r="G66" s="51" t="n"/>
      <c r="H66" s="51" t="n"/>
      <c r="I66" s="51" t="n"/>
      <c r="J66" s="51" t="n"/>
      <c r="K66" s="51" t="n"/>
      <c r="L66" s="51" t="n"/>
    </row>
    <row r="67">
      <c r="B67" s="51" t="n"/>
      <c r="C67" s="51" t="n"/>
      <c r="D67" s="51" t="n"/>
      <c r="E67" s="51" t="n"/>
      <c r="F67" s="51" t="n"/>
      <c r="G67" s="51" t="n"/>
      <c r="H67" s="51" t="n"/>
      <c r="I67" s="51" t="n"/>
      <c r="J67" s="51" t="n"/>
      <c r="K67" s="51" t="n"/>
      <c r="L67" s="51" t="n"/>
    </row>
    <row r="68">
      <c r="B68" s="51" t="n"/>
      <c r="C68" s="51" t="n"/>
      <c r="D68" s="51" t="n"/>
      <c r="E68" s="51" t="n"/>
      <c r="F68" s="51" t="n"/>
      <c r="G68" s="51" t="n"/>
      <c r="H68" s="51" t="n"/>
      <c r="I68" s="51" t="n"/>
      <c r="J68" s="51" t="n"/>
      <c r="K68" s="51" t="n"/>
      <c r="L68" s="51" t="n"/>
    </row>
    <row r="69">
      <c r="B69" s="51" t="n"/>
      <c r="C69" s="51" t="n"/>
      <c r="D69" s="51" t="n"/>
      <c r="E69" s="51" t="n"/>
      <c r="F69" s="51" t="n"/>
      <c r="G69" s="51" t="n"/>
      <c r="H69" s="51" t="n"/>
      <c r="I69" s="51" t="n"/>
      <c r="J69" s="51" t="n"/>
      <c r="K69" s="51" t="n"/>
      <c r="L69" s="51" t="n"/>
    </row>
    <row r="70">
      <c r="B70" s="51" t="n"/>
      <c r="C70" s="51" t="n"/>
      <c r="D70" s="51" t="n"/>
      <c r="E70" s="51" t="n"/>
      <c r="F70" s="51" t="n"/>
      <c r="G70" s="51" t="n"/>
      <c r="H70" s="51" t="n"/>
      <c r="I70" s="51" t="n"/>
      <c r="J70" s="51" t="n"/>
      <c r="K70" s="51" t="n"/>
      <c r="L70" s="51" t="n"/>
    </row>
    <row r="71">
      <c r="B71" s="51" t="n"/>
      <c r="C71" s="51" t="n"/>
      <c r="D71" s="51" t="n"/>
      <c r="E71" s="51" t="n"/>
      <c r="F71" s="51" t="n"/>
      <c r="G71" s="51" t="n"/>
      <c r="H71" s="51" t="n"/>
      <c r="I71" s="51" t="n"/>
      <c r="J71" s="51" t="n"/>
      <c r="K71" s="51" t="n"/>
      <c r="L71" s="51" t="n"/>
    </row>
    <row r="72">
      <c r="B72" s="51" t="n"/>
      <c r="C72" s="51" t="n"/>
      <c r="D72" s="51" t="n"/>
      <c r="E72" s="51" t="n"/>
      <c r="F72" s="51" t="n"/>
      <c r="G72" s="51" t="n"/>
      <c r="H72" s="51" t="n"/>
      <c r="I72" s="51" t="n"/>
      <c r="J72" s="51" t="n"/>
      <c r="K72" s="51" t="n"/>
      <c r="L72" s="51" t="n"/>
    </row>
    <row r="73">
      <c r="B73" s="51" t="n"/>
      <c r="C73" s="51" t="n"/>
      <c r="D73" s="51" t="n"/>
      <c r="E73" s="51" t="n"/>
      <c r="F73" s="51" t="n"/>
      <c r="G73" s="51" t="n"/>
      <c r="H73" s="51" t="n"/>
      <c r="I73" s="51" t="n"/>
      <c r="J73" s="51" t="n"/>
      <c r="K73" s="51" t="n"/>
      <c r="L73" s="51" t="n"/>
    </row>
    <row r="74">
      <c r="B74" s="51" t="n"/>
      <c r="C74" s="51" t="n"/>
      <c r="D74" s="51" t="n"/>
      <c r="E74" s="51" t="n"/>
      <c r="F74" s="51" t="n"/>
      <c r="G74" s="51" t="n"/>
      <c r="H74" s="51" t="n"/>
      <c r="I74" s="51" t="n"/>
      <c r="J74" s="51" t="n"/>
      <c r="K74" s="51" t="n"/>
      <c r="L74" s="51" t="n"/>
    </row>
    <row r="75">
      <c r="B75" s="51" t="n"/>
      <c r="C75" s="51" t="n"/>
      <c r="D75" s="51" t="n"/>
      <c r="E75" s="51" t="n"/>
      <c r="F75" s="51" t="n"/>
      <c r="G75" s="51" t="n"/>
      <c r="H75" s="51" t="n"/>
      <c r="I75" s="51" t="n"/>
      <c r="J75" s="51" t="n"/>
      <c r="K75" s="51" t="n"/>
      <c r="L75" s="51" t="n"/>
    </row>
    <row r="76">
      <c r="B76" s="51" t="n"/>
      <c r="C76" s="51" t="n"/>
      <c r="D76" s="51" t="n"/>
      <c r="E76" s="51" t="n"/>
      <c r="F76" s="51" t="n"/>
      <c r="G76" s="51" t="n"/>
      <c r="H76" s="51" t="n"/>
      <c r="I76" s="51" t="n"/>
      <c r="J76" s="51" t="n"/>
      <c r="K76" s="51" t="n"/>
      <c r="L76" s="51" t="n"/>
    </row>
    <row r="77">
      <c r="B77" s="51" t="n"/>
      <c r="C77" s="51" t="n"/>
      <c r="D77" s="51" t="n"/>
      <c r="E77" s="51" t="n"/>
      <c r="F77" s="51" t="n"/>
      <c r="G77" s="51" t="n"/>
      <c r="H77" s="51" t="n"/>
      <c r="I77" s="51" t="n"/>
      <c r="J77" s="51" t="n"/>
      <c r="K77" s="51" t="n"/>
      <c r="L77" s="51" t="n"/>
    </row>
    <row r="78">
      <c r="B78" s="51" t="n"/>
      <c r="C78" s="51" t="n"/>
      <c r="D78" s="51" t="n"/>
      <c r="E78" s="51" t="n"/>
      <c r="F78" s="51" t="n"/>
      <c r="G78" s="51" t="n"/>
      <c r="H78" s="51" t="n"/>
      <c r="I78" s="51" t="n"/>
      <c r="J78" s="51" t="n"/>
      <c r="K78" s="51" t="n"/>
      <c r="L78" s="51" t="n"/>
    </row>
    <row r="79">
      <c r="B79" s="51" t="n"/>
      <c r="C79" s="51" t="n"/>
      <c r="D79" s="51" t="n"/>
      <c r="E79" s="51" t="n"/>
      <c r="F79" s="51" t="n"/>
      <c r="G79" s="51" t="n"/>
      <c r="H79" s="51" t="n"/>
      <c r="I79" s="51" t="n"/>
      <c r="J79" s="51" t="n"/>
      <c r="K79" s="51" t="n"/>
      <c r="L79" s="51" t="n"/>
    </row>
    <row r="80">
      <c r="B80" s="51" t="n"/>
      <c r="C80" s="51" t="n"/>
      <c r="D80" s="51" t="n"/>
      <c r="E80" s="51" t="n"/>
      <c r="F80" s="51" t="n"/>
      <c r="G80" s="51" t="n"/>
      <c r="H80" s="51" t="n"/>
      <c r="I80" s="51" t="n"/>
      <c r="J80" s="51" t="n"/>
      <c r="K80" s="51" t="n"/>
      <c r="L80" s="51" t="n"/>
    </row>
    <row r="81">
      <c r="B81" s="51" t="n"/>
      <c r="C81" s="51" t="n"/>
      <c r="D81" s="51" t="n"/>
      <c r="E81" s="51" t="n"/>
      <c r="F81" s="51" t="n"/>
      <c r="G81" s="51" t="n"/>
      <c r="H81" s="51" t="n"/>
      <c r="I81" s="51" t="n"/>
      <c r="J81" s="51" t="n"/>
      <c r="K81" s="51" t="n"/>
      <c r="L81" s="51" t="n"/>
    </row>
    <row r="82">
      <c r="B82" s="51" t="n"/>
      <c r="C82" s="51" t="n"/>
      <c r="D82" s="51" t="n"/>
      <c r="E82" s="51" t="n"/>
      <c r="F82" s="51" t="n"/>
      <c r="G82" s="51" t="n"/>
      <c r="H82" s="51" t="n"/>
      <c r="I82" s="51" t="n"/>
      <c r="J82" s="51" t="n"/>
      <c r="K82" s="51" t="n"/>
      <c r="L82" s="51" t="n"/>
    </row>
    <row r="83">
      <c r="B83" s="51" t="n"/>
      <c r="C83" s="51" t="n"/>
      <c r="D83" s="51" t="n"/>
      <c r="E83" s="51" t="n"/>
      <c r="F83" s="51" t="n"/>
      <c r="G83" s="51" t="n"/>
      <c r="H83" s="51" t="n"/>
      <c r="I83" s="51" t="n"/>
      <c r="J83" s="51" t="n"/>
      <c r="K83" s="51" t="n"/>
      <c r="L83" s="51" t="n"/>
    </row>
    <row r="84">
      <c r="B84" s="51" t="n"/>
      <c r="C84" s="51" t="n"/>
      <c r="D84" s="51" t="n"/>
      <c r="E84" s="51" t="n"/>
      <c r="F84" s="51" t="n"/>
      <c r="G84" s="51" t="n"/>
      <c r="H84" s="51" t="n"/>
      <c r="I84" s="51" t="n"/>
      <c r="J84" s="51" t="n"/>
      <c r="K84" s="51" t="n"/>
      <c r="L84" s="51" t="n"/>
    </row>
    <row r="85">
      <c r="B85" s="51" t="n"/>
      <c r="C85" s="51" t="n"/>
      <c r="D85" s="51" t="n"/>
      <c r="E85" s="51" t="n"/>
      <c r="F85" s="51" t="n"/>
      <c r="G85" s="51" t="n"/>
      <c r="H85" s="51" t="n"/>
      <c r="I85" s="51" t="n"/>
      <c r="J85" s="51" t="n"/>
      <c r="K85" s="51" t="n"/>
      <c r="L85" s="51" t="n"/>
    </row>
    <row r="86">
      <c r="B86" s="51" t="n"/>
      <c r="C86" s="51" t="n"/>
      <c r="D86" s="51" t="n"/>
      <c r="E86" s="51" t="n"/>
      <c r="F86" s="51" t="n"/>
      <c r="G86" s="51" t="n"/>
      <c r="H86" s="51" t="n"/>
      <c r="I86" s="51" t="n"/>
      <c r="J86" s="51" t="n"/>
      <c r="K86" s="51" t="n"/>
      <c r="L86" s="51" t="n"/>
    </row>
    <row r="87">
      <c r="B87" s="51" t="n"/>
      <c r="C87" s="51" t="n"/>
      <c r="D87" s="51" t="n"/>
      <c r="E87" s="51" t="n"/>
      <c r="F87" s="51" t="n"/>
      <c r="G87" s="51" t="n"/>
      <c r="H87" s="51" t="n"/>
      <c r="I87" s="51" t="n"/>
      <c r="J87" s="51" t="n"/>
      <c r="K87" s="51" t="n"/>
      <c r="L87" s="51" t="n"/>
    </row>
    <row r="88">
      <c r="B88" s="51" t="n"/>
      <c r="C88" s="51" t="n"/>
      <c r="D88" s="51" t="n"/>
      <c r="E88" s="51" t="n"/>
      <c r="F88" s="51" t="n"/>
      <c r="G88" s="51" t="n"/>
      <c r="H88" s="51" t="n"/>
      <c r="I88" s="51" t="n"/>
      <c r="J88" s="51" t="n"/>
      <c r="K88" s="51" t="n"/>
      <c r="L88" s="51" t="n"/>
    </row>
    <row r="89">
      <c r="B89" s="51" t="n"/>
      <c r="C89" s="51" t="n"/>
      <c r="D89" s="51" t="n"/>
      <c r="E89" s="51" t="n"/>
      <c r="F89" s="51" t="n"/>
      <c r="G89" s="51" t="n"/>
      <c r="H89" s="51" t="n"/>
      <c r="I89" s="51" t="n"/>
      <c r="J89" s="51" t="n"/>
      <c r="K89" s="51" t="n"/>
      <c r="L89" s="51" t="n"/>
    </row>
    <row r="90">
      <c r="B90" s="51" t="n"/>
      <c r="C90" s="51" t="n"/>
      <c r="D90" s="51" t="n"/>
      <c r="E90" s="51" t="n"/>
      <c r="F90" s="51" t="n"/>
      <c r="G90" s="51" t="n"/>
      <c r="H90" s="51" t="n"/>
      <c r="I90" s="51" t="n"/>
      <c r="J90" s="51" t="n"/>
      <c r="K90" s="51" t="n"/>
      <c r="L90" s="51" t="n"/>
    </row>
    <row r="91">
      <c r="B91" s="51" t="n"/>
      <c r="C91" s="51" t="n"/>
      <c r="D91" s="51" t="n"/>
      <c r="E91" s="51" t="n"/>
      <c r="F91" s="51" t="n"/>
      <c r="G91" s="51" t="n"/>
      <c r="H91" s="51" t="n"/>
      <c r="I91" s="51" t="n"/>
      <c r="J91" s="51" t="n"/>
      <c r="K91" s="51" t="n"/>
      <c r="L91" s="51" t="n"/>
    </row>
    <row r="92">
      <c r="B92" s="51" t="n"/>
      <c r="C92" s="51" t="n"/>
      <c r="D92" s="51" t="n"/>
      <c r="E92" s="51" t="n"/>
      <c r="F92" s="51" t="n"/>
      <c r="G92" s="51" t="n"/>
      <c r="H92" s="51" t="n"/>
      <c r="I92" s="51" t="n"/>
      <c r="J92" s="51" t="n"/>
      <c r="K92" s="51" t="n"/>
      <c r="L92" s="51" t="n"/>
    </row>
    <row r="93">
      <c r="B93" s="51" t="n"/>
      <c r="C93" s="51" t="n"/>
      <c r="D93" s="51" t="n"/>
      <c r="E93" s="51" t="n"/>
      <c r="F93" s="51" t="n"/>
      <c r="G93" s="51" t="n"/>
      <c r="H93" s="51" t="n"/>
      <c r="I93" s="51" t="n"/>
      <c r="J93" s="51" t="n"/>
      <c r="K93" s="51" t="n"/>
      <c r="L93" s="51" t="n"/>
    </row>
    <row r="94">
      <c r="B94" s="51" t="n"/>
      <c r="C94" s="51" t="n"/>
      <c r="D94" s="51" t="n"/>
      <c r="E94" s="51" t="n"/>
      <c r="F94" s="51" t="n"/>
      <c r="G94" s="51" t="n"/>
      <c r="H94" s="51" t="n"/>
      <c r="I94" s="51" t="n"/>
      <c r="J94" s="51" t="n"/>
      <c r="K94" s="51" t="n"/>
      <c r="L94" s="51" t="n"/>
    </row>
    <row r="95">
      <c r="B95" s="51" t="n"/>
      <c r="C95" s="51" t="n"/>
      <c r="D95" s="51" t="n"/>
      <c r="E95" s="51" t="n"/>
      <c r="F95" s="51" t="n"/>
      <c r="G95" s="51" t="n"/>
      <c r="H95" s="51" t="n"/>
      <c r="I95" s="51" t="n"/>
      <c r="J95" s="51" t="n"/>
      <c r="K95" s="51" t="n"/>
      <c r="L95" s="51" t="n"/>
    </row>
    <row r="96">
      <c r="B96" s="51" t="n"/>
      <c r="C96" s="51" t="n"/>
      <c r="D96" s="51" t="n"/>
      <c r="E96" s="51" t="n"/>
      <c r="F96" s="51" t="n"/>
      <c r="G96" s="51" t="n"/>
      <c r="H96" s="51" t="n"/>
      <c r="I96" s="51" t="n"/>
      <c r="J96" s="51" t="n"/>
      <c r="K96" s="51" t="n"/>
      <c r="L96" s="51" t="n"/>
    </row>
    <row r="97">
      <c r="B97" s="51" t="n"/>
      <c r="C97" s="51" t="n"/>
      <c r="D97" s="51" t="n"/>
      <c r="E97" s="51" t="n"/>
      <c r="F97" s="51" t="n"/>
      <c r="G97" s="51" t="n"/>
      <c r="H97" s="51" t="n"/>
      <c r="I97" s="51" t="n"/>
      <c r="J97" s="51" t="n"/>
      <c r="K97" s="51" t="n"/>
      <c r="L97" s="51" t="n"/>
    </row>
    <row r="98">
      <c r="B98" s="51" t="n"/>
      <c r="C98" s="51" t="n"/>
      <c r="D98" s="51" t="n"/>
      <c r="E98" s="51" t="n"/>
      <c r="F98" s="51" t="n"/>
      <c r="G98" s="51" t="n"/>
      <c r="H98" s="51" t="n"/>
      <c r="I98" s="51" t="n"/>
      <c r="J98" s="51" t="n"/>
      <c r="K98" s="51" t="n"/>
      <c r="L98" s="51" t="n"/>
    </row>
    <row r="99">
      <c r="B99" s="51" t="n"/>
      <c r="C99" s="51" t="n"/>
      <c r="D99" s="51" t="n"/>
      <c r="E99" s="51" t="n"/>
      <c r="F99" s="51" t="n"/>
      <c r="G99" s="51" t="n"/>
      <c r="H99" s="51" t="n"/>
      <c r="I99" s="51" t="n"/>
      <c r="J99" s="51" t="n"/>
      <c r="K99" s="51" t="n"/>
      <c r="L99" s="51" t="n"/>
    </row>
    <row r="100">
      <c r="B100" s="51" t="n"/>
      <c r="C100" s="51" t="n"/>
      <c r="D100" s="51" t="n"/>
      <c r="E100" s="51" t="n"/>
      <c r="F100" s="51" t="n"/>
      <c r="G100" s="51" t="n"/>
      <c r="H100" s="51" t="n"/>
      <c r="I100" s="51" t="n"/>
      <c r="J100" s="51" t="n"/>
      <c r="K100" s="51" t="n"/>
      <c r="L100" s="51" t="n"/>
    </row>
    <row r="101">
      <c r="B101" s="51" t="n"/>
      <c r="C101" s="51" t="n"/>
      <c r="D101" s="51" t="n"/>
      <c r="E101" s="51" t="n"/>
      <c r="F101" s="51" t="n"/>
      <c r="G101" s="51" t="n"/>
      <c r="H101" s="51" t="n"/>
      <c r="I101" s="51" t="n"/>
      <c r="J101" s="51" t="n"/>
      <c r="K101" s="51" t="n"/>
      <c r="L101" s="51" t="n"/>
    </row>
    <row r="102">
      <c r="B102" s="51" t="n"/>
      <c r="C102" s="51" t="n"/>
      <c r="D102" s="51" t="n"/>
      <c r="E102" s="51" t="n"/>
      <c r="F102" s="51" t="n"/>
      <c r="G102" s="51" t="n"/>
      <c r="H102" s="51" t="n"/>
      <c r="I102" s="51" t="n"/>
      <c r="J102" s="51" t="n"/>
      <c r="K102" s="51" t="n"/>
      <c r="L102" s="51" t="n"/>
    </row>
    <row r="103">
      <c r="B103" s="51" t="n"/>
      <c r="C103" s="51" t="n"/>
      <c r="D103" s="51" t="n"/>
      <c r="E103" s="51" t="n"/>
      <c r="F103" s="51" t="n"/>
      <c r="G103" s="51" t="n"/>
      <c r="H103" s="51" t="n"/>
      <c r="I103" s="51" t="n"/>
      <c r="J103" s="51" t="n"/>
      <c r="K103" s="51" t="n"/>
      <c r="L103" s="51" t="n"/>
    </row>
    <row r="104">
      <c r="B104" s="51" t="n"/>
      <c r="C104" s="51" t="n"/>
      <c r="D104" s="51" t="n"/>
      <c r="E104" s="51" t="n"/>
      <c r="F104" s="51" t="n"/>
      <c r="G104" s="51" t="n"/>
      <c r="H104" s="51" t="n"/>
      <c r="I104" s="51" t="n"/>
      <c r="J104" s="51" t="n"/>
      <c r="K104" s="51" t="n"/>
      <c r="L104" s="51" t="n"/>
    </row>
    <row r="105">
      <c r="B105" s="51" t="n"/>
      <c r="C105" s="51" t="n"/>
      <c r="D105" s="51" t="n"/>
      <c r="E105" s="51" t="n"/>
      <c r="F105" s="51" t="n"/>
      <c r="G105" s="51" t="n"/>
      <c r="H105" s="51" t="n"/>
      <c r="I105" s="51" t="n"/>
      <c r="J105" s="51" t="n"/>
      <c r="K105" s="51" t="n"/>
      <c r="L105" s="51" t="n"/>
    </row>
    <row r="106">
      <c r="B106" s="51" t="n"/>
      <c r="C106" s="51" t="n"/>
      <c r="D106" s="51" t="n"/>
      <c r="E106" s="51" t="n"/>
      <c r="F106" s="51" t="n"/>
      <c r="G106" s="51" t="n"/>
      <c r="H106" s="51" t="n"/>
      <c r="I106" s="51" t="n"/>
      <c r="J106" s="51" t="n"/>
      <c r="K106" s="51" t="n"/>
      <c r="L106" s="51" t="n"/>
    </row>
    <row r="107">
      <c r="B107" s="51" t="n"/>
      <c r="C107" s="51" t="n"/>
      <c r="D107" s="51" t="n"/>
      <c r="E107" s="51" t="n"/>
      <c r="F107" s="51" t="n"/>
      <c r="G107" s="51" t="n"/>
      <c r="H107" s="51" t="n"/>
      <c r="I107" s="51" t="n"/>
      <c r="J107" s="51" t="n"/>
      <c r="K107" s="51" t="n"/>
      <c r="L107" s="51" t="n"/>
    </row>
    <row r="108">
      <c r="B108" s="51" t="n"/>
      <c r="C108" s="51" t="n"/>
      <c r="D108" s="51" t="n"/>
      <c r="E108" s="51" t="n"/>
      <c r="F108" s="51" t="n"/>
      <c r="G108" s="51" t="n"/>
      <c r="H108" s="51" t="n"/>
      <c r="I108" s="51" t="n"/>
      <c r="J108" s="51" t="n"/>
      <c r="K108" s="51" t="n"/>
      <c r="L108" s="51" t="n"/>
    </row>
    <row r="109">
      <c r="B109" s="51" t="n"/>
      <c r="C109" s="51" t="n"/>
      <c r="D109" s="51" t="n"/>
      <c r="E109" s="51" t="n"/>
      <c r="F109" s="51" t="n"/>
      <c r="G109" s="51" t="n"/>
      <c r="H109" s="51" t="n"/>
      <c r="I109" s="51" t="n"/>
      <c r="J109" s="51" t="n"/>
      <c r="K109" s="51" t="n"/>
      <c r="L109" s="51" t="n"/>
    </row>
    <row r="110">
      <c r="B110" s="51" t="n"/>
      <c r="C110" s="51" t="n"/>
      <c r="D110" s="51" t="n"/>
      <c r="E110" s="51" t="n"/>
      <c r="F110" s="51" t="n"/>
      <c r="G110" s="51" t="n"/>
      <c r="H110" s="51" t="n"/>
      <c r="I110" s="51" t="n"/>
      <c r="J110" s="51" t="n"/>
      <c r="K110" s="51" t="n"/>
      <c r="L110" s="51" t="n"/>
    </row>
    <row r="111">
      <c r="B111" s="51" t="n"/>
      <c r="C111" s="51" t="n"/>
      <c r="D111" s="51" t="n"/>
      <c r="E111" s="51" t="n"/>
      <c r="F111" s="51" t="n"/>
      <c r="G111" s="51" t="n"/>
      <c r="H111" s="51" t="n"/>
      <c r="I111" s="51" t="n"/>
      <c r="J111" s="51" t="n"/>
      <c r="K111" s="51" t="n"/>
      <c r="L111" s="51" t="n"/>
    </row>
    <row r="112">
      <c r="B112" s="51" t="n"/>
      <c r="C112" s="51" t="n"/>
      <c r="D112" s="51" t="n"/>
      <c r="E112" s="51" t="n"/>
      <c r="F112" s="51" t="n"/>
      <c r="G112" s="51" t="n"/>
      <c r="H112" s="51" t="n"/>
      <c r="I112" s="51" t="n"/>
      <c r="J112" s="51" t="n"/>
      <c r="K112" s="51" t="n"/>
      <c r="L112" s="51" t="n"/>
    </row>
    <row r="113">
      <c r="B113" s="51" t="n"/>
      <c r="C113" s="51" t="n"/>
      <c r="D113" s="51" t="n"/>
      <c r="E113" s="51" t="n"/>
      <c r="F113" s="51" t="n"/>
      <c r="G113" s="51" t="n"/>
      <c r="H113" s="51" t="n"/>
      <c r="I113" s="51" t="n"/>
      <c r="J113" s="51" t="n"/>
      <c r="K113" s="51" t="n"/>
      <c r="L113" s="51" t="n"/>
    </row>
    <row r="114">
      <c r="B114" s="51" t="n"/>
      <c r="C114" s="51" t="n"/>
      <c r="D114" s="51" t="n"/>
      <c r="E114" s="51" t="n"/>
      <c r="F114" s="51" t="n"/>
      <c r="G114" s="51" t="n"/>
      <c r="H114" s="51" t="n"/>
      <c r="I114" s="51" t="n"/>
      <c r="J114" s="51" t="n"/>
      <c r="K114" s="51" t="n"/>
      <c r="L114" s="51" t="n"/>
    </row>
    <row r="115">
      <c r="B115" s="51" t="n"/>
      <c r="C115" s="51" t="n"/>
      <c r="D115" s="51" t="n"/>
      <c r="E115" s="51" t="n"/>
      <c r="F115" s="51" t="n"/>
      <c r="G115" s="51" t="n"/>
      <c r="H115" s="51" t="n"/>
      <c r="I115" s="51" t="n"/>
      <c r="J115" s="51" t="n"/>
      <c r="K115" s="51" t="n"/>
      <c r="L115" s="51" t="n"/>
    </row>
    <row r="116">
      <c r="B116" s="51" t="n"/>
      <c r="C116" s="51" t="n"/>
      <c r="D116" s="51" t="n"/>
      <c r="E116" s="51" t="n"/>
      <c r="F116" s="51" t="n"/>
      <c r="G116" s="51" t="n"/>
      <c r="H116" s="51" t="n"/>
      <c r="I116" s="51" t="n"/>
      <c r="J116" s="51" t="n"/>
      <c r="K116" s="51" t="n"/>
      <c r="L116" s="51" t="n"/>
    </row>
    <row r="117">
      <c r="B117" s="51" t="n"/>
      <c r="C117" s="51" t="n"/>
      <c r="D117" s="51" t="n"/>
      <c r="E117" s="51" t="n"/>
      <c r="F117" s="51" t="n"/>
      <c r="G117" s="51" t="n"/>
      <c r="H117" s="51" t="n"/>
      <c r="I117" s="51" t="n"/>
      <c r="J117" s="51" t="n"/>
      <c r="K117" s="51" t="n"/>
      <c r="L117" s="51" t="n"/>
    </row>
    <row r="118">
      <c r="B118" s="51" t="n"/>
      <c r="C118" s="51" t="n"/>
      <c r="D118" s="51" t="n"/>
      <c r="E118" s="51" t="n"/>
      <c r="F118" s="51" t="n"/>
      <c r="G118" s="51" t="n"/>
      <c r="H118" s="51" t="n"/>
      <c r="I118" s="51" t="n"/>
      <c r="J118" s="51" t="n"/>
      <c r="K118" s="51" t="n"/>
      <c r="L118" s="51" t="n"/>
    </row>
    <row r="119">
      <c r="B119" s="51" t="n"/>
      <c r="C119" s="51" t="n"/>
      <c r="D119" s="51" t="n"/>
      <c r="E119" s="51" t="n"/>
      <c r="F119" s="51" t="n"/>
      <c r="G119" s="51" t="n"/>
      <c r="H119" s="51" t="n"/>
      <c r="I119" s="51" t="n"/>
      <c r="J119" s="51" t="n"/>
      <c r="K119" s="51" t="n"/>
      <c r="L119" s="51" t="n"/>
    </row>
    <row r="120">
      <c r="B120" s="51" t="n"/>
      <c r="C120" s="51" t="n"/>
      <c r="D120" s="51" t="n"/>
      <c r="E120" s="51" t="n"/>
      <c r="F120" s="51" t="n"/>
      <c r="G120" s="51" t="n"/>
      <c r="H120" s="51" t="n"/>
      <c r="I120" s="51" t="n"/>
      <c r="J120" s="51" t="n"/>
      <c r="K120" s="51" t="n"/>
      <c r="L120" s="51" t="n"/>
    </row>
    <row r="121">
      <c r="B121" s="51" t="n"/>
      <c r="C121" s="51" t="n"/>
      <c r="D121" s="51" t="n"/>
      <c r="E121" s="51" t="n"/>
      <c r="F121" s="51" t="n"/>
      <c r="G121" s="51" t="n"/>
      <c r="H121" s="51" t="n"/>
      <c r="I121" s="51" t="n"/>
      <c r="J121" s="51" t="n"/>
      <c r="K121" s="51" t="n"/>
      <c r="L121" s="51" t="n"/>
    </row>
    <row r="122">
      <c r="B122" s="51" t="n"/>
      <c r="C122" s="51" t="n"/>
      <c r="D122" s="51" t="n"/>
      <c r="E122" s="51" t="n"/>
      <c r="F122" s="51" t="n"/>
      <c r="G122" s="51" t="n"/>
      <c r="H122" s="51" t="n"/>
      <c r="I122" s="51" t="n"/>
      <c r="J122" s="51" t="n"/>
      <c r="K122" s="51" t="n"/>
      <c r="L122" s="51" t="n"/>
    </row>
    <row r="123">
      <c r="B123" s="51" t="n"/>
      <c r="C123" s="51" t="n"/>
      <c r="D123" s="51" t="n"/>
      <c r="E123" s="51" t="n"/>
      <c r="F123" s="51" t="n"/>
      <c r="G123" s="51" t="n"/>
      <c r="H123" s="51" t="n"/>
      <c r="I123" s="51" t="n"/>
      <c r="J123" s="51" t="n"/>
      <c r="K123" s="51" t="n"/>
      <c r="L123" s="51" t="n"/>
    </row>
    <row r="124">
      <c r="B124" s="51" t="n"/>
      <c r="C124" s="51" t="n"/>
      <c r="D124" s="51" t="n"/>
      <c r="E124" s="51" t="n"/>
      <c r="F124" s="51" t="n"/>
      <c r="G124" s="51" t="n"/>
      <c r="H124" s="51" t="n"/>
      <c r="I124" s="51" t="n"/>
      <c r="J124" s="51" t="n"/>
      <c r="K124" s="51" t="n"/>
      <c r="L124" s="51" t="n"/>
    </row>
    <row r="125">
      <c r="B125" s="51" t="n"/>
      <c r="C125" s="51" t="n"/>
      <c r="D125" s="51" t="n"/>
      <c r="E125" s="51" t="n"/>
      <c r="F125" s="51" t="n"/>
      <c r="G125" s="51" t="n"/>
      <c r="H125" s="51" t="n"/>
      <c r="I125" s="51" t="n"/>
      <c r="J125" s="51" t="n"/>
      <c r="K125" s="51" t="n"/>
      <c r="L125" s="51" t="n"/>
    </row>
    <row r="126">
      <c r="B126" s="51" t="n"/>
      <c r="C126" s="51" t="n"/>
      <c r="D126" s="51" t="n"/>
      <c r="E126" s="51" t="n"/>
      <c r="F126" s="51" t="n"/>
      <c r="G126" s="51" t="n"/>
      <c r="H126" s="51" t="n"/>
      <c r="I126" s="51" t="n"/>
      <c r="J126" s="51" t="n"/>
      <c r="K126" s="51" t="n"/>
      <c r="L126" s="51" t="n"/>
    </row>
    <row r="127">
      <c r="B127" s="51" t="n"/>
      <c r="C127" s="51" t="n"/>
      <c r="D127" s="51" t="n"/>
      <c r="E127" s="51" t="n"/>
      <c r="F127" s="51" t="n"/>
      <c r="G127" s="51" t="n"/>
      <c r="H127" s="51" t="n"/>
      <c r="I127" s="51" t="n"/>
      <c r="J127" s="51" t="n"/>
      <c r="K127" s="51" t="n"/>
      <c r="L127" s="51" t="n"/>
    </row>
    <row r="128">
      <c r="B128" s="51" t="n"/>
      <c r="C128" s="51" t="n"/>
      <c r="D128" s="51" t="n"/>
      <c r="E128" s="51" t="n"/>
      <c r="F128" s="51" t="n"/>
      <c r="G128" s="51" t="n"/>
      <c r="H128" s="51" t="n"/>
      <c r="I128" s="51" t="n"/>
      <c r="J128" s="51" t="n"/>
      <c r="K128" s="51" t="n"/>
      <c r="L128" s="51" t="n"/>
    </row>
    <row r="129">
      <c r="B129" s="51" t="n"/>
      <c r="C129" s="51" t="n"/>
      <c r="D129" s="51" t="n"/>
      <c r="E129" s="51" t="n"/>
      <c r="F129" s="51" t="n"/>
      <c r="G129" s="51" t="n"/>
      <c r="H129" s="51" t="n"/>
      <c r="I129" s="51" t="n"/>
      <c r="J129" s="51" t="n"/>
      <c r="K129" s="51" t="n"/>
      <c r="L129" s="51" t="n"/>
    </row>
    <row r="130">
      <c r="B130" s="51" t="n"/>
      <c r="C130" s="51" t="n"/>
      <c r="D130" s="51" t="n"/>
      <c r="E130" s="51" t="n"/>
      <c r="F130" s="51" t="n"/>
      <c r="G130" s="51" t="n"/>
      <c r="H130" s="51" t="n"/>
      <c r="I130" s="51" t="n"/>
      <c r="J130" s="51" t="n"/>
      <c r="K130" s="51" t="n"/>
      <c r="L130" s="51" t="n"/>
    </row>
    <row r="131">
      <c r="B131" s="51" t="n"/>
      <c r="C131" s="51" t="n"/>
      <c r="D131" s="51" t="n"/>
      <c r="E131" s="51" t="n"/>
      <c r="F131" s="51" t="n"/>
      <c r="G131" s="51" t="n"/>
      <c r="H131" s="51" t="n"/>
      <c r="I131" s="51" t="n"/>
      <c r="J131" s="51" t="n"/>
      <c r="K131" s="51" t="n"/>
      <c r="L131" s="51" t="n"/>
    </row>
    <row r="132">
      <c r="B132" s="51" t="n"/>
      <c r="C132" s="51" t="n"/>
      <c r="D132" s="51" t="n"/>
      <c r="E132" s="51" t="n"/>
      <c r="F132" s="51" t="n"/>
      <c r="G132" s="51" t="n"/>
      <c r="H132" s="51" t="n"/>
      <c r="I132" s="51" t="n"/>
      <c r="J132" s="51" t="n"/>
      <c r="K132" s="51" t="n"/>
      <c r="L132" s="51" t="n"/>
    </row>
    <row r="133">
      <c r="B133" s="51" t="n"/>
      <c r="C133" s="51" t="n"/>
      <c r="D133" s="51" t="n"/>
      <c r="E133" s="51" t="n"/>
      <c r="F133" s="51" t="n"/>
      <c r="G133" s="51" t="n"/>
      <c r="H133" s="51" t="n"/>
      <c r="I133" s="51" t="n"/>
      <c r="J133" s="51" t="n"/>
      <c r="K133" s="51" t="n"/>
      <c r="L133" s="51" t="n"/>
    </row>
    <row r="134">
      <c r="B134" s="51" t="n"/>
      <c r="C134" s="51" t="n"/>
      <c r="D134" s="51" t="n"/>
      <c r="E134" s="51" t="n"/>
      <c r="F134" s="51" t="n"/>
      <c r="G134" s="51" t="n"/>
      <c r="H134" s="51" t="n"/>
      <c r="I134" s="51" t="n"/>
      <c r="J134" s="51" t="n"/>
      <c r="K134" s="51" t="n"/>
      <c r="L134" s="51" t="n"/>
    </row>
    <row r="135">
      <c r="B135" s="51" t="n"/>
      <c r="C135" s="51" t="n"/>
      <c r="D135" s="51" t="n"/>
      <c r="E135" s="51" t="n"/>
      <c r="F135" s="51" t="n"/>
      <c r="G135" s="51" t="n"/>
      <c r="H135" s="51" t="n"/>
      <c r="I135" s="51" t="n"/>
      <c r="J135" s="51" t="n"/>
      <c r="K135" s="51" t="n"/>
      <c r="L135" s="51" t="n"/>
    </row>
    <row r="136">
      <c r="B136" s="51" t="n"/>
      <c r="C136" s="51" t="n"/>
      <c r="D136" s="51" t="n"/>
      <c r="E136" s="51" t="n"/>
      <c r="F136" s="51" t="n"/>
      <c r="G136" s="51" t="n"/>
      <c r="H136" s="51" t="n"/>
      <c r="I136" s="51" t="n"/>
      <c r="J136" s="51" t="n"/>
      <c r="K136" s="51" t="n"/>
      <c r="L136" s="51" t="n"/>
    </row>
    <row r="137">
      <c r="B137" s="51" t="n"/>
      <c r="C137" s="51" t="n"/>
      <c r="D137" s="51" t="n"/>
      <c r="E137" s="51" t="n"/>
      <c r="F137" s="51" t="n"/>
      <c r="G137" s="51" t="n"/>
      <c r="H137" s="51" t="n"/>
      <c r="I137" s="51" t="n"/>
      <c r="J137" s="51" t="n"/>
      <c r="K137" s="51" t="n"/>
      <c r="L137" s="51" t="n"/>
    </row>
    <row r="138">
      <c r="B138" s="51" t="n"/>
      <c r="C138" s="51" t="n"/>
      <c r="D138" s="51" t="n"/>
      <c r="E138" s="51" t="n"/>
      <c r="F138" s="51" t="n"/>
      <c r="G138" s="51" t="n"/>
      <c r="H138" s="51" t="n"/>
      <c r="I138" s="51" t="n"/>
      <c r="J138" s="51" t="n"/>
      <c r="K138" s="51" t="n"/>
      <c r="L138" s="51" t="n"/>
    </row>
    <row r="139">
      <c r="B139" s="51" t="n"/>
      <c r="C139" s="51" t="n"/>
      <c r="D139" s="51" t="n"/>
      <c r="E139" s="51" t="n"/>
      <c r="F139" s="51" t="n"/>
      <c r="G139" s="51" t="n"/>
      <c r="H139" s="51" t="n"/>
      <c r="I139" s="51" t="n"/>
      <c r="J139" s="51" t="n"/>
      <c r="K139" s="51" t="n"/>
      <c r="L139" s="51" t="n"/>
    </row>
    <row r="140">
      <c r="B140" s="51" t="n"/>
      <c r="C140" s="51" t="n"/>
      <c r="D140" s="51" t="n"/>
      <c r="E140" s="51" t="n"/>
      <c r="F140" s="51" t="n"/>
      <c r="G140" s="51" t="n"/>
      <c r="H140" s="51" t="n"/>
      <c r="I140" s="51" t="n"/>
      <c r="J140" s="51" t="n"/>
      <c r="K140" s="51" t="n"/>
      <c r="L140" s="51" t="n"/>
    </row>
    <row r="141">
      <c r="B141" s="51" t="n"/>
      <c r="C141" s="51" t="n"/>
      <c r="D141" s="51" t="n"/>
      <c r="E141" s="51" t="n"/>
      <c r="F141" s="51" t="n"/>
      <c r="G141" s="51" t="n"/>
      <c r="H141" s="51" t="n"/>
      <c r="I141" s="51" t="n"/>
      <c r="J141" s="51" t="n"/>
      <c r="K141" s="51" t="n"/>
      <c r="L141" s="51" t="n"/>
    </row>
    <row r="142">
      <c r="B142" s="51" t="n"/>
      <c r="C142" s="51" t="n"/>
      <c r="D142" s="51" t="n"/>
      <c r="E142" s="51" t="n"/>
      <c r="F142" s="51" t="n"/>
      <c r="G142" s="51" t="n"/>
      <c r="H142" s="51" t="n"/>
      <c r="I142" s="51" t="n"/>
      <c r="J142" s="51" t="n"/>
      <c r="K142" s="51" t="n"/>
      <c r="L142" s="51" t="n"/>
    </row>
    <row r="143">
      <c r="B143" s="51" t="n"/>
      <c r="C143" s="51" t="n"/>
      <c r="D143" s="51" t="n"/>
      <c r="E143" s="51" t="n"/>
      <c r="F143" s="51" t="n"/>
      <c r="G143" s="51" t="n"/>
      <c r="H143" s="51" t="n"/>
      <c r="I143" s="51" t="n"/>
      <c r="J143" s="51" t="n"/>
      <c r="K143" s="51" t="n"/>
      <c r="L143" s="51" t="n"/>
    </row>
    <row r="144">
      <c r="B144" s="51" t="n"/>
      <c r="C144" s="51" t="n"/>
      <c r="D144" s="51" t="n"/>
      <c r="E144" s="51" t="n"/>
      <c r="F144" s="51" t="n"/>
      <c r="G144" s="51" t="n"/>
      <c r="H144" s="51" t="n"/>
      <c r="I144" s="51" t="n"/>
      <c r="J144" s="51" t="n"/>
      <c r="K144" s="51" t="n"/>
      <c r="L144" s="51" t="n"/>
    </row>
    <row r="145">
      <c r="B145" s="51" t="n"/>
      <c r="C145" s="51" t="n"/>
      <c r="D145" s="51" t="n"/>
      <c r="E145" s="51" t="n"/>
      <c r="F145" s="51" t="n"/>
      <c r="G145" s="51" t="n"/>
      <c r="H145" s="51" t="n"/>
      <c r="I145" s="51" t="n"/>
      <c r="J145" s="51" t="n"/>
      <c r="K145" s="51" t="n"/>
      <c r="L145" s="51" t="n"/>
    </row>
    <row r="146">
      <c r="B146" s="51" t="n"/>
      <c r="C146" s="51" t="n"/>
      <c r="D146" s="51" t="n"/>
      <c r="E146" s="51" t="n"/>
      <c r="F146" s="51" t="n"/>
      <c r="G146" s="51" t="n"/>
      <c r="H146" s="51" t="n"/>
      <c r="I146" s="51" t="n"/>
      <c r="J146" s="51" t="n"/>
      <c r="K146" s="51" t="n"/>
      <c r="L146" s="51" t="n"/>
    </row>
    <row r="147">
      <c r="B147" s="51" t="n"/>
      <c r="C147" s="51" t="n"/>
      <c r="D147" s="51" t="n"/>
      <c r="E147" s="51" t="n"/>
      <c r="F147" s="51" t="n"/>
      <c r="G147" s="51" t="n"/>
      <c r="H147" s="51" t="n"/>
      <c r="I147" s="51" t="n"/>
      <c r="J147" s="51" t="n"/>
      <c r="K147" s="51" t="n"/>
      <c r="L147" s="51" t="n"/>
    </row>
    <row r="148">
      <c r="B148" s="51" t="n"/>
      <c r="C148" s="51" t="n"/>
      <c r="D148" s="51" t="n"/>
      <c r="E148" s="51" t="n"/>
      <c r="F148" s="51" t="n"/>
      <c r="G148" s="51" t="n"/>
      <c r="H148" s="51" t="n"/>
      <c r="I148" s="51" t="n"/>
      <c r="J148" s="51" t="n"/>
      <c r="K148" s="51" t="n"/>
      <c r="L148" s="51" t="n"/>
    </row>
    <row r="149">
      <c r="B149" s="51" t="n"/>
      <c r="C149" s="51" t="n"/>
      <c r="D149" s="51" t="n"/>
      <c r="E149" s="51" t="n"/>
      <c r="F149" s="51" t="n"/>
      <c r="G149" s="51" t="n"/>
      <c r="H149" s="51" t="n"/>
      <c r="I149" s="51" t="n"/>
      <c r="J149" s="51" t="n"/>
      <c r="K149" s="51" t="n"/>
      <c r="L149" s="51" t="n"/>
    </row>
    <row r="150">
      <c r="B150" s="51" t="n"/>
      <c r="C150" s="51" t="n"/>
      <c r="D150" s="51" t="n"/>
      <c r="E150" s="51" t="n"/>
      <c r="F150" s="51" t="n"/>
      <c r="G150" s="51" t="n"/>
      <c r="H150" s="51" t="n"/>
      <c r="I150" s="51" t="n"/>
      <c r="J150" s="51" t="n"/>
      <c r="K150" s="51" t="n"/>
      <c r="L150" s="51" t="n"/>
    </row>
    <row r="151">
      <c r="B151" s="51" t="n"/>
      <c r="C151" s="51" t="n"/>
      <c r="D151" s="51" t="n"/>
      <c r="E151" s="51" t="n"/>
      <c r="F151" s="51" t="n"/>
      <c r="G151" s="51" t="n"/>
      <c r="H151" s="51" t="n"/>
      <c r="I151" s="51" t="n"/>
      <c r="J151" s="51" t="n"/>
      <c r="K151" s="51" t="n"/>
      <c r="L151" s="51" t="n"/>
    </row>
    <row r="152">
      <c r="B152" s="51" t="n"/>
      <c r="C152" s="51" t="n"/>
      <c r="D152" s="51" t="n"/>
      <c r="E152" s="51" t="n"/>
      <c r="F152" s="51" t="n"/>
      <c r="G152" s="51" t="n"/>
      <c r="H152" s="51" t="n"/>
      <c r="I152" s="51" t="n"/>
      <c r="J152" s="51" t="n"/>
      <c r="K152" s="51" t="n"/>
      <c r="L152" s="51" t="n"/>
    </row>
    <row r="153">
      <c r="B153" s="51" t="n"/>
      <c r="C153" s="51" t="n"/>
      <c r="D153" s="51" t="n"/>
      <c r="E153" s="51" t="n"/>
      <c r="F153" s="51" t="n"/>
      <c r="G153" s="51" t="n"/>
      <c r="H153" s="51" t="n"/>
      <c r="I153" s="51" t="n"/>
      <c r="J153" s="51" t="n"/>
      <c r="K153" s="51" t="n"/>
      <c r="L153" s="51" t="n"/>
    </row>
    <row r="154">
      <c r="B154" s="51" t="n"/>
      <c r="C154" s="51" t="n"/>
      <c r="D154" s="51" t="n"/>
      <c r="E154" s="51" t="n"/>
      <c r="F154" s="51" t="n"/>
      <c r="G154" s="51" t="n"/>
      <c r="H154" s="51" t="n"/>
      <c r="I154" s="51" t="n"/>
      <c r="J154" s="51" t="n"/>
      <c r="K154" s="51" t="n"/>
      <c r="L154" s="51" t="n"/>
    </row>
    <row r="155">
      <c r="B155" s="51" t="n"/>
      <c r="C155" s="51" t="n"/>
      <c r="D155" s="51" t="n"/>
      <c r="E155" s="51" t="n"/>
      <c r="F155" s="51" t="n"/>
      <c r="G155" s="51" t="n"/>
      <c r="H155" s="51" t="n"/>
      <c r="I155" s="51" t="n"/>
      <c r="J155" s="51" t="n"/>
      <c r="K155" s="51" t="n"/>
      <c r="L155" s="51" t="n"/>
    </row>
    <row r="156">
      <c r="B156" s="51" t="n"/>
      <c r="C156" s="51" t="n"/>
      <c r="D156" s="51" t="n"/>
      <c r="E156" s="51" t="n"/>
      <c r="F156" s="51" t="n"/>
      <c r="G156" s="51" t="n"/>
      <c r="H156" s="51" t="n"/>
      <c r="I156" s="51" t="n"/>
      <c r="J156" s="51" t="n"/>
      <c r="K156" s="51" t="n"/>
      <c r="L156" s="51" t="n"/>
    </row>
    <row r="157">
      <c r="B157" s="51" t="n"/>
      <c r="C157" s="51" t="n"/>
      <c r="D157" s="51" t="n"/>
      <c r="E157" s="51" t="n"/>
      <c r="F157" s="51" t="n"/>
      <c r="G157" s="51" t="n"/>
      <c r="H157" s="51" t="n"/>
      <c r="I157" s="51" t="n"/>
      <c r="J157" s="51" t="n"/>
      <c r="K157" s="51" t="n"/>
      <c r="L157" s="51" t="n"/>
    </row>
    <row r="158">
      <c r="B158" s="51" t="n"/>
      <c r="C158" s="51" t="n"/>
      <c r="D158" s="51" t="n"/>
      <c r="E158" s="51" t="n"/>
      <c r="F158" s="51" t="n"/>
      <c r="G158" s="51" t="n"/>
      <c r="H158" s="51" t="n"/>
      <c r="I158" s="51" t="n"/>
      <c r="J158" s="51" t="n"/>
      <c r="K158" s="51" t="n"/>
      <c r="L158" s="51" t="n"/>
    </row>
    <row r="159">
      <c r="B159" s="51" t="n"/>
      <c r="C159" s="51" t="n"/>
      <c r="D159" s="51" t="n"/>
      <c r="E159" s="51" t="n"/>
      <c r="F159" s="51" t="n"/>
      <c r="G159" s="51" t="n"/>
      <c r="H159" s="51" t="n"/>
      <c r="I159" s="51" t="n"/>
      <c r="J159" s="51" t="n"/>
      <c r="K159" s="51" t="n"/>
      <c r="L159" s="51" t="n"/>
    </row>
    <row r="160">
      <c r="B160" s="51" t="n"/>
      <c r="C160" s="51" t="n"/>
      <c r="D160" s="51" t="n"/>
      <c r="E160" s="51" t="n"/>
      <c r="F160" s="51" t="n"/>
      <c r="G160" s="51" t="n"/>
      <c r="H160" s="51" t="n"/>
      <c r="I160" s="51" t="n"/>
      <c r="J160" s="51" t="n"/>
      <c r="K160" s="51" t="n"/>
      <c r="L160" s="51" t="n"/>
    </row>
    <row r="161">
      <c r="B161" s="51" t="n"/>
      <c r="C161" s="51" t="n"/>
      <c r="D161" s="51" t="n"/>
      <c r="E161" s="51" t="n"/>
      <c r="F161" s="51" t="n"/>
      <c r="G161" s="51" t="n"/>
      <c r="H161" s="51" t="n"/>
      <c r="I161" s="51" t="n"/>
      <c r="J161" s="51" t="n"/>
      <c r="K161" s="51" t="n"/>
      <c r="L161" s="51" t="n"/>
    </row>
    <row r="162">
      <c r="B162" s="51" t="n"/>
      <c r="C162" s="51" t="n"/>
      <c r="D162" s="51" t="n"/>
      <c r="E162" s="51" t="n"/>
      <c r="F162" s="51" t="n"/>
      <c r="G162" s="51" t="n"/>
      <c r="H162" s="51" t="n"/>
      <c r="I162" s="51" t="n"/>
      <c r="J162" s="51" t="n"/>
      <c r="K162" s="51" t="n"/>
      <c r="L162" s="51" t="n"/>
    </row>
    <row r="163">
      <c r="B163" s="51" t="n"/>
      <c r="C163" s="51" t="n"/>
      <c r="D163" s="51" t="n"/>
      <c r="E163" s="51" t="n"/>
      <c r="F163" s="51" t="n"/>
      <c r="G163" s="51" t="n"/>
      <c r="H163" s="51" t="n"/>
      <c r="I163" s="51" t="n"/>
      <c r="J163" s="51" t="n"/>
      <c r="K163" s="51" t="n"/>
      <c r="L163" s="51" t="n"/>
    </row>
    <row r="164">
      <c r="B164" s="51" t="n"/>
      <c r="C164" s="51" t="n"/>
      <c r="D164" s="51" t="n"/>
      <c r="E164" s="51" t="n"/>
      <c r="F164" s="51" t="n"/>
      <c r="G164" s="51" t="n"/>
      <c r="H164" s="51" t="n"/>
      <c r="I164" s="51" t="n"/>
      <c r="J164" s="51" t="n"/>
      <c r="K164" s="51" t="n"/>
      <c r="L164" s="51" t="n"/>
    </row>
    <row r="165">
      <c r="B165" s="51" t="n"/>
      <c r="C165" s="51" t="n"/>
      <c r="D165" s="51" t="n"/>
      <c r="E165" s="51" t="n"/>
      <c r="F165" s="51" t="n"/>
      <c r="G165" s="51" t="n"/>
      <c r="H165" s="51" t="n"/>
      <c r="I165" s="51" t="n"/>
      <c r="J165" s="51" t="n"/>
      <c r="K165" s="51" t="n"/>
      <c r="L165" s="51" t="n"/>
    </row>
    <row r="166">
      <c r="B166" s="51" t="n"/>
      <c r="C166" s="51" t="n"/>
      <c r="D166" s="51" t="n"/>
      <c r="E166" s="51" t="n"/>
      <c r="F166" s="51" t="n"/>
      <c r="G166" s="51" t="n"/>
      <c r="H166" s="51" t="n"/>
      <c r="I166" s="51" t="n"/>
      <c r="J166" s="51" t="n"/>
      <c r="K166" s="51" t="n"/>
      <c r="L166" s="51" t="n"/>
    </row>
    <row r="167">
      <c r="B167" s="51" t="n"/>
      <c r="C167" s="51" t="n"/>
      <c r="D167" s="51" t="n"/>
      <c r="E167" s="51" t="n"/>
      <c r="F167" s="51" t="n"/>
      <c r="G167" s="51" t="n"/>
      <c r="H167" s="51" t="n"/>
      <c r="I167" s="51" t="n"/>
      <c r="J167" s="51" t="n"/>
      <c r="K167" s="51" t="n"/>
      <c r="L167" s="51" t="n"/>
    </row>
    <row r="168">
      <c r="B168" s="51" t="n"/>
      <c r="C168" s="51" t="n"/>
      <c r="D168" s="51" t="n"/>
      <c r="E168" s="51" t="n"/>
      <c r="F168" s="51" t="n"/>
      <c r="G168" s="51" t="n"/>
      <c r="H168" s="51" t="n"/>
      <c r="I168" s="51" t="n"/>
      <c r="J168" s="51" t="n"/>
      <c r="K168" s="51" t="n"/>
      <c r="L168" s="51" t="n"/>
    </row>
    <row r="169">
      <c r="B169" s="51" t="n"/>
      <c r="C169" s="51" t="n"/>
      <c r="D169" s="51" t="n"/>
      <c r="E169" s="51" t="n"/>
      <c r="F169" s="51" t="n"/>
      <c r="G169" s="51" t="n"/>
      <c r="H169" s="51" t="n"/>
      <c r="I169" s="51" t="n"/>
      <c r="J169" s="51" t="n"/>
      <c r="K169" s="51" t="n"/>
      <c r="L169" s="51" t="n"/>
    </row>
    <row r="170">
      <c r="B170" s="51" t="n"/>
      <c r="C170" s="51" t="n"/>
      <c r="D170" s="51" t="n"/>
      <c r="E170" s="51" t="n"/>
      <c r="F170" s="51" t="n"/>
      <c r="G170" s="51" t="n"/>
      <c r="H170" s="51" t="n"/>
      <c r="I170" s="51" t="n"/>
      <c r="J170" s="51" t="n"/>
      <c r="K170" s="51" t="n"/>
      <c r="L170" s="51" t="n"/>
    </row>
    <row r="171">
      <c r="B171" s="51" t="n"/>
      <c r="C171" s="51" t="n"/>
      <c r="D171" s="51" t="n"/>
      <c r="E171" s="51" t="n"/>
      <c r="F171" s="51" t="n"/>
      <c r="G171" s="51" t="n"/>
      <c r="H171" s="51" t="n"/>
      <c r="I171" s="51" t="n"/>
      <c r="J171" s="51" t="n"/>
      <c r="K171" s="51" t="n"/>
      <c r="L171" s="51" t="n"/>
    </row>
    <row r="172">
      <c r="B172" s="51" t="n"/>
      <c r="C172" s="51" t="n"/>
      <c r="D172" s="51" t="n"/>
      <c r="E172" s="51" t="n"/>
      <c r="F172" s="51" t="n"/>
      <c r="G172" s="51" t="n"/>
      <c r="H172" s="51" t="n"/>
      <c r="I172" s="51" t="n"/>
      <c r="J172" s="51" t="n"/>
      <c r="K172" s="51" t="n"/>
      <c r="L172" s="51" t="n"/>
    </row>
    <row r="173">
      <c r="B173" s="51" t="n"/>
      <c r="C173" s="51" t="n"/>
      <c r="D173" s="51" t="n"/>
      <c r="E173" s="51" t="n"/>
      <c r="F173" s="51" t="n"/>
      <c r="G173" s="51" t="n"/>
      <c r="H173" s="51" t="n"/>
      <c r="I173" s="51" t="n"/>
      <c r="J173" s="51" t="n"/>
      <c r="K173" s="51" t="n"/>
      <c r="L173" s="51" t="n"/>
    </row>
    <row r="174">
      <c r="B174" s="51" t="n"/>
      <c r="C174" s="51" t="n"/>
      <c r="D174" s="51" t="n"/>
      <c r="E174" s="51" t="n"/>
      <c r="F174" s="51" t="n"/>
      <c r="G174" s="51" t="n"/>
      <c r="H174" s="51" t="n"/>
      <c r="I174" s="51" t="n"/>
      <c r="J174" s="51" t="n"/>
      <c r="K174" s="51" t="n"/>
      <c r="L174" s="51" t="n"/>
    </row>
    <row r="175">
      <c r="B175" s="51" t="n"/>
      <c r="C175" s="51" t="n"/>
      <c r="D175" s="51" t="n"/>
      <c r="E175" s="51" t="n"/>
      <c r="F175" s="51" t="n"/>
      <c r="G175" s="51" t="n"/>
      <c r="H175" s="51" t="n"/>
      <c r="I175" s="51" t="n"/>
      <c r="J175" s="51" t="n"/>
      <c r="K175" s="51" t="n"/>
      <c r="L175" s="51" t="n"/>
    </row>
    <row r="176">
      <c r="B176" s="51" t="n"/>
      <c r="C176" s="51" t="n"/>
      <c r="D176" s="51" t="n"/>
      <c r="E176" s="51" t="n"/>
      <c r="F176" s="51" t="n"/>
      <c r="G176" s="51" t="n"/>
      <c r="H176" s="51" t="n"/>
      <c r="I176" s="51" t="n"/>
      <c r="J176" s="51" t="n"/>
      <c r="K176" s="51" t="n"/>
      <c r="L176" s="51" t="n"/>
    </row>
    <row r="177">
      <c r="B177" s="51" t="n"/>
      <c r="C177" s="51" t="n"/>
      <c r="D177" s="51" t="n"/>
      <c r="E177" s="51" t="n"/>
      <c r="F177" s="51" t="n"/>
      <c r="G177" s="51" t="n"/>
      <c r="H177" s="51" t="n"/>
      <c r="I177" s="51" t="n"/>
      <c r="J177" s="51" t="n"/>
      <c r="K177" s="51" t="n"/>
      <c r="L177" s="51" t="n"/>
    </row>
    <row r="178">
      <c r="B178" s="51" t="n"/>
      <c r="C178" s="51" t="n"/>
      <c r="D178" s="51" t="n"/>
      <c r="E178" s="51" t="n"/>
      <c r="F178" s="51" t="n"/>
      <c r="G178" s="51" t="n"/>
      <c r="H178" s="51" t="n"/>
      <c r="I178" s="51" t="n"/>
      <c r="J178" s="51" t="n"/>
      <c r="K178" s="51" t="n"/>
      <c r="L178" s="51" t="n"/>
    </row>
    <row r="179">
      <c r="B179" s="51" t="n"/>
      <c r="C179" s="51" t="n"/>
      <c r="D179" s="51" t="n"/>
      <c r="E179" s="51" t="n"/>
      <c r="F179" s="51" t="n"/>
      <c r="G179" s="51" t="n"/>
      <c r="H179" s="51" t="n"/>
      <c r="I179" s="51" t="n"/>
      <c r="J179" s="51" t="n"/>
      <c r="K179" s="51" t="n"/>
      <c r="L179" s="51" t="n"/>
    </row>
    <row r="180">
      <c r="B180" s="51" t="n"/>
      <c r="C180" s="51" t="n"/>
      <c r="D180" s="51" t="n"/>
      <c r="E180" s="51" t="n"/>
      <c r="F180" s="51" t="n"/>
      <c r="G180" s="51" t="n"/>
      <c r="H180" s="51" t="n"/>
      <c r="I180" s="51" t="n"/>
      <c r="J180" s="51" t="n"/>
      <c r="K180" s="51" t="n"/>
      <c r="L180" s="51" t="n"/>
    </row>
    <row r="181">
      <c r="B181" s="51" t="n"/>
      <c r="C181" s="51" t="n"/>
      <c r="D181" s="51" t="n"/>
      <c r="E181" s="51" t="n"/>
      <c r="F181" s="51" t="n"/>
      <c r="G181" s="51" t="n"/>
      <c r="H181" s="51" t="n"/>
      <c r="I181" s="51" t="n"/>
      <c r="J181" s="51" t="n"/>
      <c r="K181" s="51" t="n"/>
      <c r="L181" s="51" t="n"/>
    </row>
    <row r="182">
      <c r="B182" s="51" t="n"/>
      <c r="C182" s="51" t="n"/>
      <c r="D182" s="51" t="n"/>
      <c r="E182" s="51" t="n"/>
      <c r="F182" s="51" t="n"/>
      <c r="G182" s="51" t="n"/>
      <c r="H182" s="51" t="n"/>
      <c r="I182" s="51" t="n"/>
      <c r="J182" s="51" t="n"/>
      <c r="K182" s="51" t="n"/>
      <c r="L182" s="51" t="n"/>
    </row>
    <row r="183">
      <c r="B183" s="51" t="n"/>
      <c r="C183" s="51" t="n"/>
      <c r="D183" s="51" t="n"/>
      <c r="E183" s="51" t="n"/>
      <c r="F183" s="51" t="n"/>
      <c r="G183" s="51" t="n"/>
      <c r="H183" s="51" t="n"/>
      <c r="I183" s="51" t="n"/>
      <c r="J183" s="51" t="n"/>
      <c r="K183" s="51" t="n"/>
      <c r="L183" s="51" t="n"/>
    </row>
    <row r="184">
      <c r="B184" s="51" t="n"/>
      <c r="C184" s="51" t="n"/>
      <c r="D184" s="51" t="n"/>
      <c r="E184" s="51" t="n"/>
      <c r="F184" s="51" t="n"/>
      <c r="G184" s="51" t="n"/>
      <c r="H184" s="51" t="n"/>
      <c r="I184" s="51" t="n"/>
      <c r="J184" s="51" t="n"/>
      <c r="K184" s="51" t="n"/>
      <c r="L184" s="51" t="n"/>
    </row>
    <row r="185">
      <c r="B185" s="51" t="n"/>
      <c r="C185" s="51" t="n"/>
      <c r="D185" s="51" t="n"/>
      <c r="E185" s="51" t="n"/>
      <c r="F185" s="51" t="n"/>
      <c r="G185" s="51" t="n"/>
      <c r="H185" s="51" t="n"/>
      <c r="I185" s="51" t="n"/>
      <c r="J185" s="51" t="n"/>
      <c r="K185" s="51" t="n"/>
      <c r="L185" s="51" t="n"/>
    </row>
    <row r="186">
      <c r="B186" s="51" t="n"/>
      <c r="C186" s="51" t="n"/>
      <c r="D186" s="51" t="n"/>
      <c r="E186" s="51" t="n"/>
      <c r="F186" s="51" t="n"/>
      <c r="G186" s="51" t="n"/>
      <c r="H186" s="51" t="n"/>
      <c r="I186" s="51" t="n"/>
      <c r="J186" s="51" t="n"/>
      <c r="K186" s="51" t="n"/>
      <c r="L186" s="51" t="n"/>
    </row>
    <row r="187">
      <c r="B187" s="51" t="n"/>
      <c r="C187" s="51" t="n"/>
      <c r="D187" s="51" t="n"/>
      <c r="E187" s="51" t="n"/>
      <c r="F187" s="51" t="n"/>
      <c r="G187" s="51" t="n"/>
      <c r="H187" s="51" t="n"/>
      <c r="I187" s="51" t="n"/>
      <c r="J187" s="51" t="n"/>
      <c r="K187" s="51" t="n"/>
      <c r="L187" s="51" t="n"/>
    </row>
    <row r="188">
      <c r="B188" s="51" t="n"/>
      <c r="C188" s="51" t="n"/>
      <c r="D188" s="51" t="n"/>
      <c r="E188" s="51" t="n"/>
      <c r="F188" s="51" t="n"/>
      <c r="G188" s="51" t="n"/>
      <c r="H188" s="51" t="n"/>
      <c r="I188" s="51" t="n"/>
      <c r="J188" s="51" t="n"/>
      <c r="K188" s="51" t="n"/>
      <c r="L188" s="51" t="n"/>
    </row>
    <row r="189">
      <c r="B189" s="51" t="n"/>
      <c r="C189" s="51" t="n"/>
      <c r="D189" s="51" t="n"/>
      <c r="E189" s="51" t="n"/>
      <c r="F189" s="51" t="n"/>
      <c r="G189" s="51" t="n"/>
      <c r="H189" s="51" t="n"/>
      <c r="I189" s="51" t="n"/>
      <c r="J189" s="51" t="n"/>
      <c r="K189" s="51" t="n"/>
      <c r="L189" s="51" t="n"/>
    </row>
    <row r="190">
      <c r="B190" s="51" t="n"/>
      <c r="C190" s="51" t="n"/>
      <c r="D190" s="51" t="n"/>
      <c r="E190" s="51" t="n"/>
      <c r="F190" s="51" t="n"/>
      <c r="G190" s="51" t="n"/>
      <c r="H190" s="51" t="n"/>
      <c r="I190" s="51" t="n"/>
      <c r="J190" s="51" t="n"/>
      <c r="K190" s="51" t="n"/>
      <c r="L190" s="51" t="n"/>
    </row>
    <row r="191">
      <c r="B191" s="51" t="n"/>
      <c r="C191" s="51" t="n"/>
      <c r="D191" s="51" t="n"/>
      <c r="E191" s="51" t="n"/>
      <c r="F191" s="51" t="n"/>
      <c r="G191" s="51" t="n"/>
      <c r="H191" s="51" t="n"/>
      <c r="I191" s="51" t="n"/>
      <c r="J191" s="51" t="n"/>
      <c r="K191" s="51" t="n"/>
      <c r="L191" s="51" t="n"/>
    </row>
    <row r="192">
      <c r="B192" s="51" t="n"/>
      <c r="C192" s="51" t="n"/>
      <c r="D192" s="51" t="n"/>
      <c r="E192" s="51" t="n"/>
      <c r="F192" s="51" t="n"/>
      <c r="G192" s="51" t="n"/>
      <c r="H192" s="51" t="n"/>
      <c r="I192" s="51" t="n"/>
      <c r="J192" s="51" t="n"/>
      <c r="K192" s="51" t="n"/>
      <c r="L192" s="51" t="n"/>
    </row>
    <row r="193">
      <c r="B193" s="51" t="n"/>
      <c r="C193" s="51" t="n"/>
      <c r="D193" s="51" t="n"/>
      <c r="E193" s="51" t="n"/>
      <c r="F193" s="51" t="n"/>
      <c r="G193" s="51" t="n"/>
      <c r="H193" s="51" t="n"/>
      <c r="I193" s="51" t="n"/>
      <c r="J193" s="51" t="n"/>
      <c r="K193" s="51" t="n"/>
      <c r="L193" s="51" t="n"/>
    </row>
    <row r="194">
      <c r="B194" s="51" t="n"/>
      <c r="C194" s="51" t="n"/>
      <c r="D194" s="51" t="n"/>
      <c r="E194" s="51" t="n"/>
      <c r="F194" s="51" t="n"/>
      <c r="G194" s="51" t="n"/>
      <c r="H194" s="51" t="n"/>
      <c r="I194" s="51" t="n"/>
      <c r="J194" s="51" t="n"/>
      <c r="K194" s="51" t="n"/>
      <c r="L194" s="51" t="n"/>
    </row>
    <row r="195">
      <c r="B195" s="51" t="n"/>
      <c r="C195" s="51" t="n"/>
      <c r="D195" s="51" t="n"/>
      <c r="E195" s="51" t="n"/>
      <c r="F195" s="51" t="n"/>
      <c r="G195" s="51" t="n"/>
      <c r="H195" s="51" t="n"/>
      <c r="I195" s="51" t="n"/>
      <c r="J195" s="51" t="n"/>
      <c r="K195" s="51" t="n"/>
      <c r="L195" s="51" t="n"/>
    </row>
    <row r="196">
      <c r="B196" s="51" t="n"/>
      <c r="C196" s="51" t="n"/>
      <c r="D196" s="51" t="n"/>
      <c r="E196" s="51" t="n"/>
      <c r="F196" s="51" t="n"/>
      <c r="G196" s="51" t="n"/>
      <c r="H196" s="51" t="n"/>
      <c r="I196" s="51" t="n"/>
      <c r="J196" s="51" t="n"/>
      <c r="K196" s="51" t="n"/>
      <c r="L196" s="51" t="n"/>
    </row>
    <row r="197">
      <c r="B197" s="51" t="n"/>
      <c r="C197" s="51" t="n"/>
      <c r="D197" s="51" t="n"/>
      <c r="E197" s="51" t="n"/>
      <c r="F197" s="51" t="n"/>
      <c r="G197" s="51" t="n"/>
      <c r="H197" s="51" t="n"/>
      <c r="I197" s="51" t="n"/>
      <c r="J197" s="51" t="n"/>
      <c r="K197" s="51" t="n"/>
      <c r="L197" s="51" t="n"/>
    </row>
    <row r="198">
      <c r="B198" s="51" t="n"/>
      <c r="C198" s="51" t="n"/>
      <c r="D198" s="51" t="n"/>
      <c r="E198" s="51" t="n"/>
      <c r="F198" s="51" t="n"/>
      <c r="G198" s="51" t="n"/>
      <c r="H198" s="51" t="n"/>
      <c r="I198" s="51" t="n"/>
      <c r="J198" s="51" t="n"/>
      <c r="K198" s="51" t="n"/>
      <c r="L198" s="51" t="n"/>
    </row>
    <row r="199">
      <c r="B199" s="51" t="n"/>
      <c r="C199" s="51" t="n"/>
      <c r="D199" s="51" t="n"/>
      <c r="E199" s="51" t="n"/>
      <c r="F199" s="51" t="n"/>
      <c r="G199" s="51" t="n"/>
      <c r="H199" s="51" t="n"/>
      <c r="I199" s="51" t="n"/>
      <c r="J199" s="51" t="n"/>
      <c r="K199" s="51" t="n"/>
      <c r="L199" s="51" t="n"/>
    </row>
    <row r="200">
      <c r="B200" s="51" t="n"/>
      <c r="C200" s="51" t="n"/>
      <c r="D200" s="51" t="n"/>
      <c r="E200" s="51" t="n"/>
      <c r="F200" s="51" t="n"/>
      <c r="G200" s="51" t="n"/>
      <c r="H200" s="51" t="n"/>
      <c r="I200" s="51" t="n"/>
      <c r="J200" s="51" t="n"/>
      <c r="K200" s="51" t="n"/>
      <c r="L200" s="51" t="n"/>
    </row>
    <row r="201">
      <c r="B201" s="51" t="n"/>
      <c r="C201" s="51" t="n"/>
      <c r="D201" s="51" t="n"/>
      <c r="E201" s="51" t="n"/>
      <c r="F201" s="51" t="n"/>
      <c r="G201" s="51" t="n"/>
      <c r="H201" s="51" t="n"/>
      <c r="I201" s="51" t="n"/>
      <c r="J201" s="51" t="n"/>
      <c r="K201" s="51" t="n"/>
      <c r="L201" s="51" t="n"/>
    </row>
    <row r="202">
      <c r="B202" s="51" t="n"/>
      <c r="C202" s="51" t="n"/>
      <c r="D202" s="51" t="n"/>
      <c r="E202" s="51" t="n"/>
      <c r="F202" s="51" t="n"/>
      <c r="G202" s="51" t="n"/>
      <c r="H202" s="51" t="n"/>
      <c r="I202" s="51" t="n"/>
      <c r="J202" s="51" t="n"/>
      <c r="K202" s="51" t="n"/>
      <c r="L202" s="51" t="n"/>
    </row>
    <row r="203">
      <c r="B203" s="51" t="n"/>
      <c r="C203" s="51" t="n"/>
      <c r="D203" s="51" t="n"/>
      <c r="E203" s="51" t="n"/>
      <c r="F203" s="51" t="n"/>
      <c r="G203" s="51" t="n"/>
      <c r="H203" s="51" t="n"/>
      <c r="I203" s="51" t="n"/>
      <c r="J203" s="51" t="n"/>
      <c r="K203" s="51" t="n"/>
      <c r="L203" s="51" t="n"/>
    </row>
    <row r="204">
      <c r="B204" s="51" t="n"/>
      <c r="C204" s="51" t="n"/>
      <c r="D204" s="51" t="n"/>
      <c r="E204" s="51" t="n"/>
      <c r="F204" s="51" t="n"/>
      <c r="G204" s="51" t="n"/>
      <c r="H204" s="51" t="n"/>
      <c r="I204" s="51" t="n"/>
      <c r="J204" s="51" t="n"/>
      <c r="K204" s="51" t="n"/>
      <c r="L204" s="51" t="n"/>
    </row>
    <row r="205">
      <c r="B205" s="51" t="n"/>
      <c r="C205" s="51" t="n"/>
      <c r="D205" s="51" t="n"/>
      <c r="E205" s="51" t="n"/>
      <c r="F205" s="51" t="n"/>
      <c r="G205" s="51" t="n"/>
      <c r="H205" s="51" t="n"/>
      <c r="I205" s="51" t="n"/>
      <c r="J205" s="51" t="n"/>
      <c r="K205" s="51" t="n"/>
      <c r="L205" s="51" t="n"/>
    </row>
    <row r="206">
      <c r="B206" s="51" t="n"/>
      <c r="C206" s="51" t="n"/>
      <c r="D206" s="51" t="n"/>
      <c r="E206" s="51" t="n"/>
      <c r="F206" s="51" t="n"/>
      <c r="G206" s="51" t="n"/>
      <c r="H206" s="51" t="n"/>
      <c r="I206" s="51" t="n"/>
      <c r="J206" s="51" t="n"/>
      <c r="K206" s="51" t="n"/>
      <c r="L206" s="51" t="n"/>
    </row>
    <row r="207">
      <c r="B207" s="51" t="n"/>
      <c r="C207" s="51" t="n"/>
      <c r="D207" s="51" t="n"/>
      <c r="E207" s="51" t="n"/>
      <c r="F207" s="51" t="n"/>
      <c r="G207" s="51" t="n"/>
      <c r="H207" s="51" t="n"/>
      <c r="I207" s="51" t="n"/>
      <c r="J207" s="51" t="n"/>
      <c r="K207" s="51" t="n"/>
      <c r="L207" s="51" t="n"/>
    </row>
    <row r="208">
      <c r="B208" s="51" t="n"/>
      <c r="C208" s="51" t="n"/>
      <c r="D208" s="51" t="n"/>
      <c r="E208" s="51" t="n"/>
      <c r="F208" s="51" t="n"/>
      <c r="G208" s="51" t="n"/>
      <c r="H208" s="51" t="n"/>
      <c r="I208" s="51" t="n"/>
      <c r="J208" s="51" t="n"/>
      <c r="K208" s="51" t="n"/>
      <c r="L208" s="51" t="n"/>
    </row>
    <row r="209">
      <c r="B209" s="51" t="n"/>
      <c r="C209" s="51" t="n"/>
      <c r="D209" s="51" t="n"/>
      <c r="E209" s="51" t="n"/>
      <c r="F209" s="51" t="n"/>
      <c r="G209" s="51" t="n"/>
      <c r="H209" s="51" t="n"/>
      <c r="I209" s="51" t="n"/>
      <c r="J209" s="51" t="n"/>
      <c r="K209" s="51" t="n"/>
      <c r="L209" s="51" t="n"/>
    </row>
    <row r="210">
      <c r="B210" s="51" t="n"/>
      <c r="C210" s="51" t="n"/>
      <c r="D210" s="51" t="n"/>
      <c r="E210" s="51" t="n"/>
      <c r="F210" s="51" t="n"/>
      <c r="G210" s="51" t="n"/>
      <c r="H210" s="51" t="n"/>
      <c r="I210" s="51" t="n"/>
      <c r="J210" s="51" t="n"/>
      <c r="K210" s="51" t="n"/>
      <c r="L210" s="51" t="n"/>
    </row>
    <row r="211">
      <c r="B211" s="51" t="n"/>
      <c r="C211" s="51" t="n"/>
      <c r="D211" s="51" t="n"/>
      <c r="E211" s="51" t="n"/>
      <c r="F211" s="51" t="n"/>
      <c r="G211" s="51" t="n"/>
      <c r="H211" s="51" t="n"/>
      <c r="I211" s="51" t="n"/>
      <c r="J211" s="51" t="n"/>
      <c r="K211" s="51" t="n"/>
      <c r="L211" s="51" t="n"/>
    </row>
    <row r="212">
      <c r="B212" s="51" t="n"/>
      <c r="C212" s="51" t="n"/>
      <c r="D212" s="51" t="n"/>
      <c r="E212" s="51" t="n"/>
      <c r="F212" s="51" t="n"/>
      <c r="G212" s="51" t="n"/>
      <c r="H212" s="51" t="n"/>
      <c r="I212" s="51" t="n"/>
      <c r="J212" s="51" t="n"/>
      <c r="K212" s="51" t="n"/>
      <c r="L212" s="51" t="n"/>
    </row>
    <row r="213">
      <c r="B213" s="51" t="n"/>
      <c r="C213" s="51" t="n"/>
      <c r="D213" s="51" t="n"/>
      <c r="E213" s="51" t="n"/>
      <c r="F213" s="51" t="n"/>
      <c r="G213" s="51" t="n"/>
      <c r="H213" s="51" t="n"/>
      <c r="I213" s="51" t="n"/>
      <c r="J213" s="51" t="n"/>
      <c r="K213" s="51" t="n"/>
      <c r="L213" s="51" t="n"/>
    </row>
    <row r="214">
      <c r="B214" s="51" t="n"/>
      <c r="C214" s="51" t="n"/>
      <c r="D214" s="51" t="n"/>
      <c r="E214" s="51" t="n"/>
      <c r="F214" s="51" t="n"/>
      <c r="G214" s="51" t="n"/>
      <c r="H214" s="51" t="n"/>
      <c r="I214" s="51" t="n"/>
      <c r="J214" s="51" t="n"/>
      <c r="K214" s="51" t="n"/>
      <c r="L214" s="51" t="n"/>
    </row>
    <row r="215">
      <c r="B215" s="51" t="n"/>
      <c r="C215" s="51" t="n"/>
      <c r="D215" s="51" t="n"/>
      <c r="E215" s="51" t="n"/>
      <c r="F215" s="51" t="n"/>
      <c r="G215" s="51" t="n"/>
      <c r="H215" s="51" t="n"/>
      <c r="I215" s="51" t="n"/>
      <c r="J215" s="51" t="n"/>
      <c r="K215" s="51" t="n"/>
      <c r="L215" s="51" t="n"/>
    </row>
    <row r="216">
      <c r="B216" s="51" t="n"/>
      <c r="C216" s="51" t="n"/>
      <c r="D216" s="51" t="n"/>
      <c r="E216" s="51" t="n"/>
      <c r="F216" s="51" t="n"/>
      <c r="G216" s="51" t="n"/>
      <c r="H216" s="51" t="n"/>
      <c r="I216" s="51" t="n"/>
      <c r="J216" s="51" t="n"/>
      <c r="K216" s="51" t="n"/>
      <c r="L216" s="51" t="n"/>
    </row>
    <row r="217">
      <c r="B217" s="51" t="n"/>
      <c r="C217" s="51" t="n"/>
      <c r="D217" s="51" t="n"/>
      <c r="E217" s="51" t="n"/>
      <c r="F217" s="51" t="n"/>
      <c r="G217" s="51" t="n"/>
      <c r="H217" s="51" t="n"/>
      <c r="I217" s="51" t="n"/>
      <c r="J217" s="51" t="n"/>
      <c r="K217" s="51" t="n"/>
      <c r="L217" s="51" t="n"/>
    </row>
    <row r="218">
      <c r="B218" s="51" t="n"/>
      <c r="C218" s="51" t="n"/>
      <c r="D218" s="51" t="n"/>
      <c r="E218" s="51" t="n"/>
      <c r="F218" s="51" t="n"/>
      <c r="G218" s="51" t="n"/>
      <c r="H218" s="51" t="n"/>
      <c r="I218" s="51" t="n"/>
      <c r="J218" s="51" t="n"/>
      <c r="K218" s="51" t="n"/>
      <c r="L218" s="51" t="n"/>
    </row>
    <row r="219">
      <c r="B219" s="51" t="n"/>
      <c r="C219" s="51" t="n"/>
      <c r="D219" s="51" t="n"/>
      <c r="E219" s="51" t="n"/>
      <c r="F219" s="51" t="n"/>
      <c r="G219" s="51" t="n"/>
      <c r="H219" s="51" t="n"/>
      <c r="I219" s="51" t="n"/>
      <c r="J219" s="51" t="n"/>
      <c r="K219" s="51" t="n"/>
      <c r="L219" s="51" t="n"/>
    </row>
    <row r="220">
      <c r="B220" s="51" t="n"/>
      <c r="C220" s="51" t="n"/>
      <c r="D220" s="51" t="n"/>
      <c r="E220" s="51" t="n"/>
      <c r="F220" s="51" t="n"/>
      <c r="G220" s="51" t="n"/>
      <c r="H220" s="51" t="n"/>
      <c r="I220" s="51" t="n"/>
      <c r="J220" s="51" t="n"/>
      <c r="K220" s="51" t="n"/>
      <c r="L220" s="51" t="n"/>
    </row>
    <row r="221">
      <c r="B221" s="51" t="n"/>
      <c r="C221" s="51" t="n"/>
      <c r="D221" s="51" t="n"/>
      <c r="E221" s="51" t="n"/>
      <c r="F221" s="51" t="n"/>
      <c r="G221" s="51" t="n"/>
      <c r="H221" s="51" t="n"/>
      <c r="I221" s="51" t="n"/>
      <c r="J221" s="51" t="n"/>
      <c r="K221" s="51" t="n"/>
      <c r="L221" s="51" t="n"/>
    </row>
    <row r="222">
      <c r="B222" s="51" t="n"/>
      <c r="C222" s="51" t="n"/>
      <c r="D222" s="51" t="n"/>
      <c r="E222" s="51" t="n"/>
      <c r="F222" s="51" t="n"/>
      <c r="G222" s="51" t="n"/>
      <c r="H222" s="51" t="n"/>
      <c r="I222" s="51" t="n"/>
      <c r="J222" s="51" t="n"/>
      <c r="K222" s="51" t="n"/>
      <c r="L222" s="51" t="n"/>
    </row>
    <row r="223">
      <c r="B223" s="51" t="n"/>
      <c r="C223" s="51" t="n"/>
      <c r="D223" s="51" t="n"/>
      <c r="E223" s="51" t="n"/>
      <c r="F223" s="51" t="n"/>
      <c r="G223" s="51" t="n"/>
      <c r="H223" s="51" t="n"/>
      <c r="I223" s="51" t="n"/>
      <c r="J223" s="51" t="n"/>
      <c r="K223" s="51" t="n"/>
      <c r="L223" s="51" t="n"/>
    </row>
    <row r="224">
      <c r="B224" s="51" t="n"/>
      <c r="C224" s="51" t="n"/>
      <c r="D224" s="51" t="n"/>
      <c r="E224" s="51" t="n"/>
      <c r="F224" s="51" t="n"/>
      <c r="G224" s="51" t="n"/>
      <c r="H224" s="51" t="n"/>
      <c r="I224" s="51" t="n"/>
      <c r="J224" s="51" t="n"/>
      <c r="K224" s="51" t="n"/>
      <c r="L224" s="51" t="n"/>
    </row>
    <row r="225">
      <c r="B225" s="51" t="n"/>
      <c r="C225" s="51" t="n"/>
      <c r="D225" s="51" t="n"/>
      <c r="E225" s="51" t="n"/>
      <c r="F225" s="51" t="n"/>
      <c r="G225" s="51" t="n"/>
      <c r="H225" s="51" t="n"/>
      <c r="I225" s="51" t="n"/>
      <c r="J225" s="51" t="n"/>
      <c r="K225" s="51" t="n"/>
      <c r="L225" s="51" t="n"/>
    </row>
    <row r="226">
      <c r="B226" s="51" t="n"/>
      <c r="C226" s="51" t="n"/>
      <c r="D226" s="51" t="n"/>
      <c r="E226" s="51" t="n"/>
      <c r="F226" s="51" t="n"/>
      <c r="G226" s="51" t="n"/>
      <c r="H226" s="51" t="n"/>
      <c r="I226" s="51" t="n"/>
      <c r="J226" s="51" t="n"/>
      <c r="K226" s="51" t="n"/>
      <c r="L226" s="51" t="n"/>
    </row>
    <row r="227">
      <c r="B227" s="51" t="n"/>
      <c r="C227" s="51" t="n"/>
      <c r="D227" s="51" t="n"/>
      <c r="E227" s="51" t="n"/>
      <c r="F227" s="51" t="n"/>
      <c r="G227" s="51" t="n"/>
      <c r="H227" s="51" t="n"/>
      <c r="I227" s="51" t="n"/>
      <c r="J227" s="51" t="n"/>
      <c r="K227" s="51" t="n"/>
      <c r="L227" s="51" t="n"/>
    </row>
    <row r="228">
      <c r="B228" s="51" t="n"/>
      <c r="C228" s="51" t="n"/>
      <c r="D228" s="51" t="n"/>
      <c r="E228" s="51" t="n"/>
      <c r="F228" s="51" t="n"/>
      <c r="G228" s="51" t="n"/>
      <c r="H228" s="51" t="n"/>
      <c r="I228" s="51" t="n"/>
      <c r="J228" s="51" t="n"/>
      <c r="K228" s="51" t="n"/>
      <c r="L228" s="51" t="n"/>
    </row>
    <row r="229">
      <c r="B229" s="51" t="n"/>
      <c r="C229" s="51" t="n"/>
      <c r="D229" s="51" t="n"/>
      <c r="E229" s="51" t="n"/>
      <c r="F229" s="51" t="n"/>
      <c r="G229" s="51" t="n"/>
      <c r="H229" s="51" t="n"/>
      <c r="I229" s="51" t="n"/>
      <c r="J229" s="51" t="n"/>
      <c r="K229" s="51" t="n"/>
      <c r="L229" s="51" t="n"/>
    </row>
    <row r="230">
      <c r="B230" s="51" t="n"/>
      <c r="C230" s="51" t="n"/>
      <c r="D230" s="51" t="n"/>
      <c r="E230" s="51" t="n"/>
      <c r="F230" s="51" t="n"/>
      <c r="G230" s="51" t="n"/>
      <c r="H230" s="51" t="n"/>
      <c r="I230" s="51" t="n"/>
      <c r="J230" s="51" t="n"/>
      <c r="K230" s="51" t="n"/>
      <c r="L230" s="51" t="n"/>
    </row>
    <row r="231">
      <c r="B231" s="51" t="n"/>
      <c r="C231" s="51" t="n"/>
      <c r="D231" s="51" t="n"/>
      <c r="E231" s="51" t="n"/>
      <c r="F231" s="51" t="n"/>
      <c r="G231" s="51" t="n"/>
      <c r="H231" s="51" t="n"/>
      <c r="I231" s="51" t="n"/>
      <c r="J231" s="51" t="n"/>
      <c r="K231" s="51" t="n"/>
      <c r="L231" s="51" t="n"/>
    </row>
    <row r="232">
      <c r="B232" s="51" t="n"/>
      <c r="C232" s="51" t="n"/>
      <c r="D232" s="51" t="n"/>
      <c r="E232" s="51" t="n"/>
      <c r="F232" s="51" t="n"/>
      <c r="G232" s="51" t="n"/>
      <c r="H232" s="51" t="n"/>
      <c r="I232" s="51" t="n"/>
      <c r="J232" s="51" t="n"/>
      <c r="K232" s="51" t="n"/>
      <c r="L232" s="51" t="n"/>
    </row>
    <row r="233">
      <c r="B233" s="51" t="n"/>
      <c r="C233" s="51" t="n"/>
      <c r="D233" s="51" t="n"/>
      <c r="E233" s="51" t="n"/>
      <c r="F233" s="51" t="n"/>
      <c r="G233" s="51" t="n"/>
      <c r="H233" s="51" t="n"/>
      <c r="I233" s="51" t="n"/>
      <c r="J233" s="51" t="n"/>
      <c r="K233" s="51" t="n"/>
      <c r="L233" s="51" t="n"/>
    </row>
    <row r="234">
      <c r="B234" s="51" t="n"/>
      <c r="C234" s="51" t="n"/>
      <c r="D234" s="51" t="n"/>
      <c r="E234" s="51" t="n"/>
      <c r="F234" s="51" t="n"/>
      <c r="G234" s="51" t="n"/>
      <c r="H234" s="51" t="n"/>
      <c r="I234" s="51" t="n"/>
      <c r="J234" s="51" t="n"/>
      <c r="K234" s="51" t="n"/>
      <c r="L234" s="51" t="n"/>
    </row>
    <row r="235">
      <c r="B235" s="51" t="n"/>
      <c r="C235" s="51" t="n"/>
      <c r="D235" s="51" t="n"/>
      <c r="E235" s="51" t="n"/>
      <c r="F235" s="51" t="n"/>
      <c r="G235" s="51" t="n"/>
      <c r="H235" s="51" t="n"/>
      <c r="I235" s="51" t="n"/>
      <c r="J235" s="51" t="n"/>
      <c r="K235" s="51" t="n"/>
      <c r="L235" s="51" t="n"/>
    </row>
    <row r="236">
      <c r="B236" s="51" t="n"/>
      <c r="C236" s="51" t="n"/>
      <c r="D236" s="51" t="n"/>
      <c r="E236" s="51" t="n"/>
      <c r="F236" s="51" t="n"/>
      <c r="G236" s="51" t="n"/>
      <c r="H236" s="51" t="n"/>
      <c r="I236" s="51" t="n"/>
      <c r="J236" s="51" t="n"/>
      <c r="K236" s="51" t="n"/>
      <c r="L236" s="51" t="n"/>
    </row>
    <row r="237">
      <c r="B237" s="51" t="n"/>
      <c r="C237" s="51" t="n"/>
      <c r="D237" s="51" t="n"/>
      <c r="E237" s="51" t="n"/>
      <c r="F237" s="51" t="n"/>
      <c r="G237" s="51" t="n"/>
      <c r="H237" s="51" t="n"/>
      <c r="I237" s="51" t="n"/>
      <c r="J237" s="51" t="n"/>
      <c r="K237" s="51" t="n"/>
      <c r="L237" s="51" t="n"/>
    </row>
    <row r="238">
      <c r="B238" s="51" t="n"/>
      <c r="C238" s="51" t="n"/>
      <c r="D238" s="51" t="n"/>
      <c r="E238" s="51" t="n"/>
      <c r="F238" s="51" t="n"/>
      <c r="G238" s="51" t="n"/>
      <c r="H238" s="51" t="n"/>
      <c r="I238" s="51" t="n"/>
      <c r="J238" s="51" t="n"/>
      <c r="K238" s="51" t="n"/>
      <c r="L238" s="51" t="n"/>
    </row>
    <row r="239">
      <c r="B239" s="51" t="n"/>
      <c r="C239" s="51" t="n"/>
      <c r="D239" s="51" t="n"/>
      <c r="E239" s="51" t="n"/>
      <c r="F239" s="51" t="n"/>
      <c r="G239" s="51" t="n"/>
      <c r="H239" s="51" t="n"/>
      <c r="I239" s="51" t="n"/>
      <c r="J239" s="51" t="n"/>
      <c r="K239" s="51" t="n"/>
      <c r="L239" s="51" t="n"/>
    </row>
    <row r="240">
      <c r="B240" s="51" t="n"/>
      <c r="C240" s="51" t="n"/>
      <c r="D240" s="51" t="n"/>
      <c r="E240" s="51" t="n"/>
      <c r="F240" s="51" t="n"/>
      <c r="G240" s="51" t="n"/>
      <c r="H240" s="51" t="n"/>
      <c r="I240" s="51" t="n"/>
      <c r="J240" s="51" t="n"/>
      <c r="K240" s="51" t="n"/>
      <c r="L240" s="51" t="n"/>
    </row>
    <row r="241">
      <c r="B241" s="51" t="n"/>
      <c r="C241" s="51" t="n"/>
      <c r="D241" s="51" t="n"/>
      <c r="E241" s="51" t="n"/>
      <c r="F241" s="51" t="n"/>
      <c r="G241" s="51" t="n"/>
      <c r="H241" s="51" t="n"/>
      <c r="I241" s="51" t="n"/>
      <c r="J241" s="51" t="n"/>
      <c r="K241" s="51" t="n"/>
      <c r="L241" s="51" t="n"/>
    </row>
    <row r="242">
      <c r="B242" s="51" t="n"/>
      <c r="C242" s="51" t="n"/>
      <c r="D242" s="51" t="n"/>
      <c r="E242" s="51" t="n"/>
      <c r="F242" s="51" t="n"/>
      <c r="G242" s="51" t="n"/>
      <c r="H242" s="51" t="n"/>
      <c r="I242" s="51" t="n"/>
      <c r="J242" s="51" t="n"/>
      <c r="K242" s="51" t="n"/>
      <c r="L242" s="51" t="n"/>
    </row>
    <row r="243">
      <c r="B243" s="51" t="n"/>
      <c r="C243" s="51" t="n"/>
      <c r="D243" s="51" t="n"/>
      <c r="E243" s="51" t="n"/>
      <c r="F243" s="51" t="n"/>
      <c r="G243" s="51" t="n"/>
      <c r="H243" s="51" t="n"/>
      <c r="I243" s="51" t="n"/>
      <c r="J243" s="51" t="n"/>
      <c r="K243" s="51" t="n"/>
      <c r="L243" s="51" t="n"/>
    </row>
    <row r="244">
      <c r="B244" s="51" t="n"/>
      <c r="C244" s="51" t="n"/>
      <c r="D244" s="51" t="n"/>
      <c r="E244" s="51" t="n"/>
      <c r="F244" s="51" t="n"/>
      <c r="G244" s="51" t="n"/>
      <c r="H244" s="51" t="n"/>
      <c r="I244" s="51" t="n"/>
      <c r="J244" s="51" t="n"/>
      <c r="K244" s="51" t="n"/>
      <c r="L244" s="51" t="n"/>
    </row>
    <row r="245">
      <c r="B245" s="51" t="n"/>
      <c r="C245" s="51" t="n"/>
      <c r="D245" s="51" t="n"/>
      <c r="E245" s="51" t="n"/>
      <c r="F245" s="51" t="n"/>
      <c r="G245" s="51" t="n"/>
      <c r="H245" s="51" t="n"/>
      <c r="I245" s="51" t="n"/>
      <c r="J245" s="51" t="n"/>
      <c r="K245" s="51" t="n"/>
      <c r="L245" s="51" t="n"/>
    </row>
    <row r="246">
      <c r="B246" s="51" t="n"/>
      <c r="C246" s="51" t="n"/>
      <c r="D246" s="51" t="n"/>
      <c r="E246" s="51" t="n"/>
      <c r="F246" s="51" t="n"/>
      <c r="G246" s="51" t="n"/>
      <c r="H246" s="51" t="n"/>
      <c r="I246" s="51" t="n"/>
      <c r="J246" s="51" t="n"/>
      <c r="K246" s="51" t="n"/>
      <c r="L246" s="51" t="n"/>
    </row>
    <row r="247">
      <c r="B247" s="51" t="n"/>
      <c r="C247" s="51" t="n"/>
      <c r="D247" s="51" t="n"/>
      <c r="E247" s="51" t="n"/>
      <c r="F247" s="51" t="n"/>
      <c r="G247" s="51" t="n"/>
      <c r="H247" s="51" t="n"/>
      <c r="I247" s="51" t="n"/>
      <c r="J247" s="51" t="n"/>
      <c r="K247" s="51" t="n"/>
      <c r="L247" s="51" t="n"/>
    </row>
    <row r="248">
      <c r="B248" s="51" t="n"/>
      <c r="C248" s="51" t="n"/>
      <c r="D248" s="51" t="n"/>
      <c r="E248" s="51" t="n"/>
      <c r="F248" s="51" t="n"/>
      <c r="G248" s="51" t="n"/>
      <c r="H248" s="51" t="n"/>
      <c r="I248" s="51" t="n"/>
      <c r="J248" s="51" t="n"/>
      <c r="K248" s="51" t="n"/>
      <c r="L248" s="51" t="n"/>
    </row>
    <row r="249">
      <c r="B249" s="51" t="n"/>
      <c r="C249" s="51" t="n"/>
      <c r="D249" s="51" t="n"/>
      <c r="E249" s="51" t="n"/>
      <c r="F249" s="51" t="n"/>
      <c r="G249" s="51" t="n"/>
      <c r="H249" s="51" t="n"/>
      <c r="I249" s="51" t="n"/>
      <c r="J249" s="51" t="n"/>
      <c r="K249" s="51" t="n"/>
      <c r="L249" s="51" t="n"/>
    </row>
    <row r="250">
      <c r="B250" s="51" t="n"/>
      <c r="C250" s="51" t="n"/>
      <c r="D250" s="51" t="n"/>
      <c r="E250" s="51" t="n"/>
      <c r="F250" s="51" t="n"/>
      <c r="G250" s="51" t="n"/>
      <c r="H250" s="51" t="n"/>
      <c r="I250" s="51" t="n"/>
      <c r="J250" s="51" t="n"/>
      <c r="K250" s="51" t="n"/>
      <c r="L250" s="51" t="n"/>
    </row>
    <row r="251">
      <c r="B251" s="51" t="n"/>
      <c r="C251" s="51" t="n"/>
      <c r="D251" s="51" t="n"/>
      <c r="E251" s="51" t="n"/>
      <c r="F251" s="51" t="n"/>
      <c r="G251" s="51" t="n"/>
      <c r="H251" s="51" t="n"/>
      <c r="I251" s="51" t="n"/>
      <c r="J251" s="51" t="n"/>
      <c r="K251" s="51" t="n"/>
      <c r="L251" s="51" t="n"/>
    </row>
    <row r="252">
      <c r="B252" s="51" t="n"/>
      <c r="C252" s="51" t="n"/>
      <c r="D252" s="51" t="n"/>
      <c r="E252" s="51" t="n"/>
      <c r="F252" s="51" t="n"/>
      <c r="G252" s="51" t="n"/>
      <c r="H252" s="51" t="n"/>
      <c r="I252" s="51" t="n"/>
      <c r="J252" s="51" t="n"/>
      <c r="K252" s="51" t="n"/>
      <c r="L252" s="51" t="n"/>
    </row>
    <row r="253">
      <c r="B253" s="51" t="n"/>
      <c r="C253" s="51" t="n"/>
      <c r="D253" s="51" t="n"/>
      <c r="E253" s="51" t="n"/>
      <c r="F253" s="51" t="n"/>
      <c r="G253" s="51" t="n"/>
      <c r="H253" s="51" t="n"/>
      <c r="I253" s="51" t="n"/>
      <c r="J253" s="51" t="n"/>
      <c r="K253" s="51" t="n"/>
      <c r="L253" s="51" t="n"/>
    </row>
    <row r="254">
      <c r="B254" s="51" t="n"/>
      <c r="C254" s="51" t="n"/>
      <c r="D254" s="51" t="n"/>
      <c r="E254" s="51" t="n"/>
      <c r="F254" s="51" t="n"/>
      <c r="G254" s="51" t="n"/>
      <c r="H254" s="51" t="n"/>
      <c r="I254" s="51" t="n"/>
      <c r="J254" s="51" t="n"/>
      <c r="K254" s="51" t="n"/>
      <c r="L254" s="51" t="n"/>
    </row>
    <row r="255">
      <c r="B255" s="51" t="n"/>
      <c r="C255" s="51" t="n"/>
      <c r="D255" s="51" t="n"/>
      <c r="E255" s="51" t="n"/>
      <c r="F255" s="51" t="n"/>
      <c r="G255" s="51" t="n"/>
      <c r="H255" s="51" t="n"/>
      <c r="I255" s="51" t="n"/>
      <c r="J255" s="51" t="n"/>
      <c r="K255" s="51" t="n"/>
      <c r="L255" s="51" t="n"/>
    </row>
    <row r="256">
      <c r="B256" s="51" t="n"/>
      <c r="C256" s="51" t="n"/>
      <c r="D256" s="51" t="n"/>
      <c r="E256" s="51" t="n"/>
      <c r="F256" s="51" t="n"/>
      <c r="G256" s="51" t="n"/>
      <c r="H256" s="51" t="n"/>
      <c r="I256" s="51" t="n"/>
      <c r="J256" s="51" t="n"/>
      <c r="K256" s="51" t="n"/>
      <c r="L256" s="51" t="n"/>
    </row>
    <row r="257">
      <c r="B257" s="51" t="n"/>
      <c r="C257" s="51" t="n"/>
      <c r="D257" s="51" t="n"/>
      <c r="E257" s="51" t="n"/>
      <c r="F257" s="51" t="n"/>
      <c r="G257" s="51" t="n"/>
      <c r="H257" s="51" t="n"/>
      <c r="I257" s="51" t="n"/>
      <c r="J257" s="51" t="n"/>
      <c r="K257" s="51" t="n"/>
      <c r="L257" s="51" t="n"/>
    </row>
    <row r="258">
      <c r="B258" s="51" t="n"/>
      <c r="C258" s="51" t="n"/>
      <c r="D258" s="51" t="n"/>
      <c r="E258" s="51" t="n"/>
      <c r="F258" s="51" t="n"/>
      <c r="G258" s="51" t="n"/>
      <c r="H258" s="51" t="n"/>
      <c r="I258" s="51" t="n"/>
      <c r="J258" s="51" t="n"/>
      <c r="K258" s="51" t="n"/>
      <c r="L258" s="51" t="n"/>
    </row>
    <row r="259">
      <c r="B259" s="51" t="n"/>
      <c r="C259" s="51" t="n"/>
      <c r="D259" s="51" t="n"/>
      <c r="E259" s="51" t="n"/>
      <c r="F259" s="51" t="n"/>
      <c r="G259" s="51" t="n"/>
      <c r="H259" s="51" t="n"/>
      <c r="I259" s="51" t="n"/>
      <c r="J259" s="51" t="n"/>
      <c r="K259" s="51" t="n"/>
      <c r="L259" s="51" t="n"/>
    </row>
    <row r="260">
      <c r="B260" s="51" t="n"/>
      <c r="C260" s="51" t="n"/>
      <c r="D260" s="51" t="n"/>
      <c r="E260" s="51" t="n"/>
      <c r="F260" s="51" t="n"/>
      <c r="G260" s="51" t="n"/>
      <c r="H260" s="51" t="n"/>
      <c r="I260" s="51" t="n"/>
      <c r="J260" s="51" t="n"/>
      <c r="K260" s="51" t="n"/>
      <c r="L260" s="51" t="n"/>
    </row>
    <row r="261">
      <c r="B261" s="51" t="n"/>
      <c r="C261" s="51" t="n"/>
      <c r="D261" s="51" t="n"/>
      <c r="E261" s="51" t="n"/>
      <c r="F261" s="51" t="n"/>
      <c r="G261" s="51" t="n"/>
      <c r="H261" s="51" t="n"/>
      <c r="I261" s="51" t="n"/>
      <c r="J261" s="51" t="n"/>
      <c r="K261" s="51" t="n"/>
      <c r="L261" s="51" t="n"/>
    </row>
    <row r="262">
      <c r="B262" s="51" t="n"/>
      <c r="C262" s="51" t="n"/>
      <c r="D262" s="51" t="n"/>
      <c r="E262" s="51" t="n"/>
      <c r="F262" s="51" t="n"/>
      <c r="G262" s="51" t="n"/>
      <c r="H262" s="51" t="n"/>
      <c r="I262" s="51" t="n"/>
      <c r="J262" s="51" t="n"/>
      <c r="K262" s="51" t="n"/>
      <c r="L262" s="51" t="n"/>
    </row>
    <row r="263">
      <c r="B263" s="51" t="n"/>
      <c r="C263" s="51" t="n"/>
      <c r="D263" s="51" t="n"/>
      <c r="E263" s="51" t="n"/>
      <c r="F263" s="51" t="n"/>
      <c r="G263" s="51" t="n"/>
      <c r="H263" s="51" t="n"/>
      <c r="I263" s="51" t="n"/>
      <c r="J263" s="51" t="n"/>
      <c r="K263" s="51" t="n"/>
      <c r="L263" s="51" t="n"/>
    </row>
    <row r="264">
      <c r="B264" s="51" t="n"/>
      <c r="C264" s="51" t="n"/>
      <c r="D264" s="51" t="n"/>
      <c r="E264" s="51" t="n"/>
      <c r="F264" s="51" t="n"/>
      <c r="G264" s="51" t="n"/>
      <c r="H264" s="51" t="n"/>
      <c r="I264" s="51" t="n"/>
      <c r="J264" s="51" t="n"/>
      <c r="K264" s="51" t="n"/>
      <c r="L264" s="51" t="n"/>
    </row>
    <row r="265">
      <c r="B265" s="51" t="n"/>
      <c r="C265" s="51" t="n"/>
      <c r="D265" s="51" t="n"/>
      <c r="E265" s="51" t="n"/>
      <c r="F265" s="51" t="n"/>
      <c r="G265" s="51" t="n"/>
      <c r="H265" s="51" t="n"/>
      <c r="I265" s="51" t="n"/>
      <c r="J265" s="51" t="n"/>
      <c r="K265" s="51" t="n"/>
      <c r="L265" s="51" t="n"/>
    </row>
    <row r="266">
      <c r="B266" s="51" t="n"/>
      <c r="C266" s="51" t="n"/>
      <c r="D266" s="51" t="n"/>
      <c r="E266" s="51" t="n"/>
      <c r="F266" s="51" t="n"/>
      <c r="G266" s="51" t="n"/>
      <c r="H266" s="51" t="n"/>
      <c r="I266" s="51" t="n"/>
      <c r="J266" s="51" t="n"/>
      <c r="K266" s="51" t="n"/>
      <c r="L266" s="51" t="n"/>
    </row>
    <row r="267">
      <c r="B267" s="51" t="n"/>
      <c r="C267" s="51" t="n"/>
      <c r="D267" s="51" t="n"/>
      <c r="E267" s="51" t="n"/>
      <c r="F267" s="51" t="n"/>
      <c r="G267" s="51" t="n"/>
      <c r="H267" s="51" t="n"/>
      <c r="I267" s="51" t="n"/>
      <c r="J267" s="51" t="n"/>
      <c r="K267" s="51" t="n"/>
      <c r="L267" s="51" t="n"/>
    </row>
    <row r="268">
      <c r="B268" s="51" t="n"/>
      <c r="C268" s="51" t="n"/>
      <c r="D268" s="51" t="n"/>
      <c r="E268" s="51" t="n"/>
      <c r="F268" s="51" t="n"/>
      <c r="G268" s="51" t="n"/>
      <c r="H268" s="51" t="n"/>
      <c r="I268" s="51" t="n"/>
      <c r="J268" s="51" t="n"/>
      <c r="K268" s="51" t="n"/>
      <c r="L268" s="51" t="n"/>
    </row>
    <row r="269">
      <c r="B269" s="51" t="n"/>
      <c r="C269" s="51" t="n"/>
      <c r="D269" s="51" t="n"/>
      <c r="E269" s="51" t="n"/>
      <c r="F269" s="51" t="n"/>
      <c r="G269" s="51" t="n"/>
      <c r="H269" s="51" t="n"/>
      <c r="I269" s="51" t="n"/>
      <c r="J269" s="51" t="n"/>
      <c r="K269" s="51" t="n"/>
      <c r="L269" s="51" t="n"/>
    </row>
    <row r="270">
      <c r="B270" s="51" t="n"/>
      <c r="C270" s="51" t="n"/>
      <c r="D270" s="51" t="n"/>
      <c r="E270" s="51" t="n"/>
      <c r="F270" s="51" t="n"/>
      <c r="G270" s="51" t="n"/>
      <c r="H270" s="51" t="n"/>
      <c r="I270" s="51" t="n"/>
      <c r="J270" s="51" t="n"/>
      <c r="K270" s="51" t="n"/>
      <c r="L270" s="51" t="n"/>
    </row>
    <row r="271">
      <c r="B271" s="51" t="n"/>
      <c r="C271" s="51" t="n"/>
      <c r="D271" s="51" t="n"/>
      <c r="E271" s="51" t="n"/>
      <c r="F271" s="51" t="n"/>
      <c r="G271" s="51" t="n"/>
      <c r="H271" s="51" t="n"/>
      <c r="I271" s="51" t="n"/>
      <c r="J271" s="51" t="n"/>
      <c r="K271" s="51" t="n"/>
      <c r="L271" s="51" t="n"/>
    </row>
    <row r="272">
      <c r="B272" s="51" t="n"/>
      <c r="C272" s="51" t="n"/>
      <c r="D272" s="51" t="n"/>
      <c r="E272" s="51" t="n"/>
      <c r="F272" s="51" t="n"/>
      <c r="G272" s="51" t="n"/>
      <c r="H272" s="51" t="n"/>
      <c r="I272" s="51" t="n"/>
      <c r="J272" s="51" t="n"/>
      <c r="K272" s="51" t="n"/>
      <c r="L272" s="51" t="n"/>
    </row>
    <row r="273">
      <c r="B273" s="51" t="n"/>
      <c r="C273" s="51" t="n"/>
      <c r="D273" s="51" t="n"/>
      <c r="E273" s="51" t="n"/>
      <c r="F273" s="51" t="n"/>
      <c r="G273" s="51" t="n"/>
      <c r="H273" s="51" t="n"/>
      <c r="I273" s="51" t="n"/>
      <c r="J273" s="51" t="n"/>
      <c r="K273" s="51" t="n"/>
      <c r="L273" s="51" t="n"/>
    </row>
    <row r="274">
      <c r="B274" s="51" t="n"/>
      <c r="C274" s="51" t="n"/>
      <c r="D274" s="51" t="n"/>
      <c r="E274" s="51" t="n"/>
      <c r="F274" s="51" t="n"/>
      <c r="G274" s="51" t="n"/>
      <c r="H274" s="51" t="n"/>
      <c r="I274" s="51" t="n"/>
      <c r="J274" s="51" t="n"/>
      <c r="K274" s="51" t="n"/>
      <c r="L274" s="51" t="n"/>
    </row>
    <row r="275">
      <c r="B275" s="51" t="n"/>
      <c r="C275" s="51" t="n"/>
      <c r="D275" s="51" t="n"/>
      <c r="E275" s="51" t="n"/>
      <c r="F275" s="51" t="n"/>
      <c r="G275" s="51" t="n"/>
      <c r="H275" s="51" t="n"/>
      <c r="I275" s="51" t="n"/>
      <c r="J275" s="51" t="n"/>
      <c r="K275" s="51" t="n"/>
      <c r="L275" s="51" t="n"/>
    </row>
    <row r="276">
      <c r="B276" s="51" t="n"/>
      <c r="C276" s="51" t="n"/>
      <c r="D276" s="51" t="n"/>
      <c r="E276" s="51" t="n"/>
      <c r="F276" s="51" t="n"/>
      <c r="G276" s="51" t="n"/>
      <c r="H276" s="51" t="n"/>
      <c r="I276" s="51" t="n"/>
      <c r="J276" s="51" t="n"/>
      <c r="K276" s="51" t="n"/>
      <c r="L276" s="51" t="n"/>
    </row>
    <row r="277">
      <c r="B277" s="51" t="n"/>
      <c r="C277" s="51" t="n"/>
      <c r="D277" s="51" t="n"/>
      <c r="E277" s="51" t="n"/>
      <c r="F277" s="51" t="n"/>
      <c r="G277" s="51" t="n"/>
      <c r="H277" s="51" t="n"/>
      <c r="I277" s="51" t="n"/>
      <c r="J277" s="51" t="n"/>
      <c r="K277" s="51" t="n"/>
      <c r="L277" s="51" t="n"/>
    </row>
    <row r="278">
      <c r="B278" s="51" t="n"/>
      <c r="C278" s="51" t="n"/>
      <c r="D278" s="51" t="n"/>
      <c r="E278" s="51" t="n"/>
      <c r="F278" s="51" t="n"/>
      <c r="G278" s="51" t="n"/>
      <c r="H278" s="51" t="n"/>
      <c r="I278" s="51" t="n"/>
      <c r="J278" s="51" t="n"/>
      <c r="K278" s="51" t="n"/>
      <c r="L278" s="51" t="n"/>
    </row>
    <row r="279">
      <c r="B279" s="51" t="n"/>
      <c r="C279" s="51" t="n"/>
      <c r="D279" s="51" t="n"/>
      <c r="E279" s="51" t="n"/>
      <c r="F279" s="51" t="n"/>
      <c r="G279" s="51" t="n"/>
      <c r="H279" s="51" t="n"/>
      <c r="I279" s="51" t="n"/>
      <c r="J279" s="51" t="n"/>
      <c r="K279" s="51" t="n"/>
      <c r="L279" s="51" t="n"/>
    </row>
    <row r="280">
      <c r="B280" s="51" t="n"/>
      <c r="C280" s="51" t="n"/>
      <c r="D280" s="51" t="n"/>
      <c r="E280" s="51" t="n"/>
      <c r="F280" s="51" t="n"/>
      <c r="G280" s="51" t="n"/>
      <c r="H280" s="51" t="n"/>
      <c r="I280" s="51" t="n"/>
      <c r="J280" s="51" t="n"/>
      <c r="K280" s="51" t="n"/>
      <c r="L280" s="51" t="n"/>
    </row>
    <row r="281">
      <c r="B281" s="51" t="n"/>
      <c r="C281" s="51" t="n"/>
      <c r="D281" s="51" t="n"/>
      <c r="E281" s="51" t="n"/>
      <c r="F281" s="51" t="n"/>
      <c r="G281" s="51" t="n"/>
      <c r="H281" s="51" t="n"/>
      <c r="I281" s="51" t="n"/>
      <c r="J281" s="51" t="n"/>
      <c r="K281" s="51" t="n"/>
      <c r="L281" s="51" t="n"/>
    </row>
    <row r="282">
      <c r="B282" s="51" t="n"/>
      <c r="C282" s="51" t="n"/>
      <c r="D282" s="51" t="n"/>
      <c r="E282" s="51" t="n"/>
      <c r="F282" s="51" t="n"/>
      <c r="G282" s="51" t="n"/>
      <c r="H282" s="51" t="n"/>
      <c r="I282" s="51" t="n"/>
      <c r="J282" s="51" t="n"/>
      <c r="K282" s="51" t="n"/>
      <c r="L282" s="51" t="n"/>
    </row>
    <row r="283">
      <c r="B283" s="51" t="n"/>
      <c r="C283" s="51" t="n"/>
      <c r="D283" s="51" t="n"/>
      <c r="E283" s="51" t="n"/>
      <c r="F283" s="51" t="n"/>
      <c r="G283" s="51" t="n"/>
      <c r="H283" s="51" t="n"/>
      <c r="I283" s="51" t="n"/>
      <c r="J283" s="51" t="n"/>
      <c r="K283" s="51" t="n"/>
      <c r="L283" s="51" t="n"/>
    </row>
    <row r="284">
      <c r="B284" s="51" t="n"/>
      <c r="C284" s="51" t="n"/>
      <c r="D284" s="51" t="n"/>
      <c r="E284" s="51" t="n"/>
      <c r="F284" s="51" t="n"/>
      <c r="G284" s="51" t="n"/>
      <c r="H284" s="51" t="n"/>
      <c r="I284" s="51" t="n"/>
      <c r="J284" s="51" t="n"/>
      <c r="K284" s="51" t="n"/>
      <c r="L284" s="51" t="n"/>
    </row>
    <row r="285">
      <c r="B285" s="51" t="n"/>
      <c r="C285" s="51" t="n"/>
      <c r="D285" s="51" t="n"/>
      <c r="E285" s="51" t="n"/>
      <c r="F285" s="51" t="n"/>
      <c r="G285" s="51" t="n"/>
      <c r="H285" s="51" t="n"/>
      <c r="I285" s="51" t="n"/>
      <c r="J285" s="51" t="n"/>
      <c r="K285" s="51" t="n"/>
      <c r="L285" s="51" t="n"/>
    </row>
    <row r="286">
      <c r="B286" s="51" t="n"/>
      <c r="C286" s="51" t="n"/>
      <c r="D286" s="51" t="n"/>
      <c r="E286" s="51" t="n"/>
      <c r="F286" s="51" t="n"/>
      <c r="G286" s="51" t="n"/>
      <c r="H286" s="51" t="n"/>
      <c r="I286" s="51" t="n"/>
      <c r="J286" s="51" t="n"/>
      <c r="K286" s="51" t="n"/>
      <c r="L286" s="51" t="n"/>
    </row>
    <row r="287">
      <c r="B287" s="51" t="n"/>
      <c r="C287" s="51" t="n"/>
      <c r="D287" s="51" t="n"/>
      <c r="E287" s="51" t="n"/>
      <c r="F287" s="51" t="n"/>
      <c r="G287" s="51" t="n"/>
      <c r="H287" s="51" t="n"/>
      <c r="I287" s="51" t="n"/>
      <c r="J287" s="51" t="n"/>
      <c r="K287" s="51" t="n"/>
      <c r="L287" s="51" t="n"/>
    </row>
    <row r="288">
      <c r="B288" s="51" t="n"/>
      <c r="C288" s="51" t="n"/>
      <c r="D288" s="51" t="n"/>
      <c r="E288" s="51" t="n"/>
      <c r="F288" s="51" t="n"/>
      <c r="G288" s="51" t="n"/>
      <c r="H288" s="51" t="n"/>
      <c r="I288" s="51" t="n"/>
      <c r="J288" s="51" t="n"/>
      <c r="K288" s="51" t="n"/>
      <c r="L288" s="51" t="n"/>
    </row>
    <row r="289">
      <c r="B289" s="51" t="n"/>
      <c r="C289" s="51" t="n"/>
      <c r="D289" s="51" t="n"/>
      <c r="E289" s="51" t="n"/>
      <c r="F289" s="51" t="n"/>
      <c r="G289" s="51" t="n"/>
      <c r="H289" s="51" t="n"/>
      <c r="I289" s="51" t="n"/>
      <c r="J289" s="51" t="n"/>
      <c r="K289" s="51" t="n"/>
      <c r="L289" s="51" t="n"/>
    </row>
    <row r="290">
      <c r="B290" s="51" t="n"/>
      <c r="C290" s="51" t="n"/>
      <c r="D290" s="51" t="n"/>
      <c r="E290" s="51" t="n"/>
      <c r="F290" s="51" t="n"/>
      <c r="G290" s="51" t="n"/>
      <c r="H290" s="51" t="n"/>
      <c r="I290" s="51" t="n"/>
      <c r="J290" s="51" t="n"/>
      <c r="K290" s="51" t="n"/>
      <c r="L290" s="51" t="n"/>
    </row>
    <row r="291">
      <c r="B291" s="51" t="n"/>
      <c r="C291" s="51" t="n"/>
      <c r="D291" s="51" t="n"/>
      <c r="E291" s="51" t="n"/>
      <c r="F291" s="51" t="n"/>
      <c r="G291" s="51" t="n"/>
      <c r="H291" s="51" t="n"/>
      <c r="I291" s="51" t="n"/>
      <c r="J291" s="51" t="n"/>
      <c r="K291" s="51" t="n"/>
      <c r="L291" s="51" t="n"/>
    </row>
    <row r="292">
      <c r="B292" s="51" t="n"/>
      <c r="C292" s="51" t="n"/>
      <c r="D292" s="51" t="n"/>
      <c r="E292" s="51" t="n"/>
      <c r="F292" s="51" t="n"/>
      <c r="G292" s="51" t="n"/>
      <c r="H292" s="51" t="n"/>
      <c r="I292" s="51" t="n"/>
      <c r="J292" s="51" t="n"/>
      <c r="K292" s="51" t="n"/>
      <c r="L292" s="51" t="n"/>
    </row>
    <row r="293">
      <c r="B293" s="51" t="n"/>
      <c r="C293" s="51" t="n"/>
      <c r="D293" s="51" t="n"/>
      <c r="E293" s="51" t="n"/>
      <c r="F293" s="51" t="n"/>
      <c r="G293" s="51" t="n"/>
      <c r="H293" s="51" t="n"/>
      <c r="I293" s="51" t="n"/>
      <c r="J293" s="51" t="n"/>
      <c r="K293" s="51" t="n"/>
      <c r="L293" s="51" t="n"/>
    </row>
    <row r="294">
      <c r="B294" s="51" t="n"/>
      <c r="C294" s="51" t="n"/>
      <c r="D294" s="51" t="n"/>
      <c r="E294" s="51" t="n"/>
      <c r="F294" s="51" t="n"/>
      <c r="G294" s="51" t="n"/>
      <c r="H294" s="51" t="n"/>
      <c r="I294" s="51" t="n"/>
      <c r="J294" s="51" t="n"/>
      <c r="K294" s="51" t="n"/>
      <c r="L294" s="51" t="n"/>
    </row>
    <row r="295">
      <c r="B295" s="51" t="n"/>
      <c r="C295" s="51" t="n"/>
      <c r="D295" s="51" t="n"/>
      <c r="E295" s="51" t="n"/>
      <c r="F295" s="51" t="n"/>
      <c r="G295" s="51" t="n"/>
      <c r="H295" s="51" t="n"/>
      <c r="I295" s="51" t="n"/>
      <c r="J295" s="51" t="n"/>
      <c r="K295" s="51" t="n"/>
      <c r="L295" s="51" t="n"/>
    </row>
    <row r="296">
      <c r="B296" s="51" t="n"/>
      <c r="C296" s="51" t="n"/>
      <c r="D296" s="51" t="n"/>
      <c r="E296" s="51" t="n"/>
      <c r="F296" s="51" t="n"/>
      <c r="G296" s="51" t="n"/>
      <c r="H296" s="51" t="n"/>
      <c r="I296" s="51" t="n"/>
      <c r="J296" s="51" t="n"/>
      <c r="K296" s="51" t="n"/>
      <c r="L296" s="51" t="n"/>
    </row>
    <row r="297">
      <c r="B297" s="51" t="n"/>
      <c r="C297" s="51" t="n"/>
      <c r="D297" s="51" t="n"/>
      <c r="E297" s="51" t="n"/>
      <c r="F297" s="51" t="n"/>
      <c r="G297" s="51" t="n"/>
      <c r="H297" s="51" t="n"/>
      <c r="I297" s="51" t="n"/>
      <c r="J297" s="51" t="n"/>
      <c r="K297" s="51" t="n"/>
      <c r="L297" s="51" t="n"/>
    </row>
    <row r="298">
      <c r="B298" s="51" t="n"/>
      <c r="C298" s="51" t="n"/>
      <c r="D298" s="51" t="n"/>
      <c r="E298" s="51" t="n"/>
      <c r="F298" s="51" t="n"/>
      <c r="G298" s="51" t="n"/>
      <c r="H298" s="51" t="n"/>
      <c r="I298" s="51" t="n"/>
      <c r="J298" s="51" t="n"/>
      <c r="K298" s="51" t="n"/>
      <c r="L298" s="51" t="n"/>
    </row>
    <row r="299">
      <c r="B299" s="51" t="n"/>
      <c r="C299" s="51" t="n"/>
      <c r="D299" s="51" t="n"/>
      <c r="E299" s="51" t="n"/>
      <c r="F299" s="51" t="n"/>
      <c r="G299" s="51" t="n"/>
      <c r="H299" s="51" t="n"/>
      <c r="I299" s="51" t="n"/>
      <c r="J299" s="51" t="n"/>
      <c r="K299" s="51" t="n"/>
      <c r="L299" s="51" t="n"/>
    </row>
    <row r="300">
      <c r="B300" s="51" t="n"/>
      <c r="C300" s="51" t="n"/>
      <c r="D300" s="51" t="n"/>
      <c r="E300" s="51" t="n"/>
      <c r="F300" s="51" t="n"/>
      <c r="G300" s="51" t="n"/>
      <c r="H300" s="51" t="n"/>
      <c r="I300" s="51" t="n"/>
      <c r="J300" s="51" t="n"/>
      <c r="K300" s="51" t="n"/>
      <c r="L300" s="51" t="n"/>
    </row>
    <row r="301">
      <c r="B301" s="51" t="n"/>
      <c r="C301" s="51" t="n"/>
      <c r="D301" s="51" t="n"/>
      <c r="E301" s="51" t="n"/>
      <c r="F301" s="51" t="n"/>
      <c r="G301" s="51" t="n"/>
      <c r="H301" s="51" t="n"/>
      <c r="I301" s="51" t="n"/>
      <c r="J301" s="51" t="n"/>
      <c r="K301" s="51" t="n"/>
      <c r="L301" s="51" t="n"/>
    </row>
    <row r="302">
      <c r="B302" s="51" t="n"/>
      <c r="C302" s="51" t="n"/>
      <c r="D302" s="51" t="n"/>
      <c r="E302" s="51" t="n"/>
      <c r="F302" s="51" t="n"/>
      <c r="G302" s="51" t="n"/>
      <c r="H302" s="51" t="n"/>
      <c r="I302" s="51" t="n"/>
      <c r="J302" s="51" t="n"/>
      <c r="K302" s="51" t="n"/>
      <c r="L302" s="51" t="n"/>
    </row>
    <row r="303">
      <c r="B303" s="51" t="n"/>
      <c r="C303" s="51" t="n"/>
      <c r="D303" s="51" t="n"/>
      <c r="E303" s="51" t="n"/>
      <c r="F303" s="51" t="n"/>
      <c r="G303" s="51" t="n"/>
      <c r="H303" s="51" t="n"/>
      <c r="I303" s="51" t="n"/>
      <c r="J303" s="51" t="n"/>
      <c r="K303" s="51" t="n"/>
      <c r="L303" s="51" t="n"/>
    </row>
    <row r="304">
      <c r="B304" s="51" t="n"/>
      <c r="C304" s="51" t="n"/>
      <c r="D304" s="51" t="n"/>
      <c r="E304" s="51" t="n"/>
      <c r="F304" s="51" t="n"/>
      <c r="G304" s="51" t="n"/>
      <c r="H304" s="51" t="n"/>
      <c r="I304" s="51" t="n"/>
      <c r="J304" s="51" t="n"/>
      <c r="K304" s="51" t="n"/>
      <c r="L304" s="51" t="n"/>
    </row>
    <row r="305">
      <c r="B305" s="51" t="n"/>
      <c r="C305" s="51" t="n"/>
      <c r="D305" s="51" t="n"/>
      <c r="E305" s="51" t="n"/>
      <c r="F305" s="51" t="n"/>
      <c r="G305" s="51" t="n"/>
      <c r="H305" s="51" t="n"/>
      <c r="I305" s="51" t="n"/>
      <c r="J305" s="51" t="n"/>
      <c r="K305" s="51" t="n"/>
      <c r="L305" s="51" t="n"/>
    </row>
    <row r="306">
      <c r="B306" s="51" t="n"/>
      <c r="C306" s="51" t="n"/>
      <c r="D306" s="51" t="n"/>
      <c r="E306" s="51" t="n"/>
      <c r="F306" s="51" t="n"/>
      <c r="G306" s="51" t="n"/>
      <c r="H306" s="51" t="n"/>
      <c r="I306" s="51" t="n"/>
      <c r="J306" s="51" t="n"/>
      <c r="K306" s="51" t="n"/>
      <c r="L306" s="51" t="n"/>
    </row>
    <row r="307">
      <c r="B307" s="51" t="n"/>
      <c r="C307" s="51" t="n"/>
      <c r="D307" s="51" t="n"/>
      <c r="E307" s="51" t="n"/>
      <c r="F307" s="51" t="n"/>
      <c r="G307" s="51" t="n"/>
      <c r="H307" s="51" t="n"/>
      <c r="I307" s="51" t="n"/>
      <c r="J307" s="51" t="n"/>
      <c r="K307" s="51" t="n"/>
      <c r="L307" s="51" t="n"/>
    </row>
    <row r="308">
      <c r="B308" s="51" t="n"/>
      <c r="C308" s="51" t="n"/>
      <c r="D308" s="51" t="n"/>
      <c r="E308" s="51" t="n"/>
      <c r="F308" s="51" t="n"/>
      <c r="G308" s="51" t="n"/>
      <c r="H308" s="51" t="n"/>
      <c r="I308" s="51" t="n"/>
      <c r="J308" s="51" t="n"/>
      <c r="K308" s="51" t="n"/>
      <c r="L308" s="51" t="n"/>
    </row>
    <row r="309">
      <c r="B309" s="51" t="n"/>
      <c r="C309" s="51" t="n"/>
      <c r="D309" s="51" t="n"/>
      <c r="E309" s="51" t="n"/>
      <c r="F309" s="51" t="n"/>
      <c r="G309" s="51" t="n"/>
      <c r="H309" s="51" t="n"/>
      <c r="I309" s="51" t="n"/>
      <c r="J309" s="51" t="n"/>
      <c r="K309" s="51" t="n"/>
      <c r="L309" s="51" t="n"/>
    </row>
    <row r="310">
      <c r="B310" s="51" t="n"/>
      <c r="C310" s="51" t="n"/>
      <c r="D310" s="51" t="n"/>
      <c r="E310" s="51" t="n"/>
      <c r="F310" s="51" t="n"/>
      <c r="G310" s="51" t="n"/>
      <c r="H310" s="51" t="n"/>
      <c r="I310" s="51" t="n"/>
      <c r="J310" s="51" t="n"/>
      <c r="K310" s="51" t="n"/>
      <c r="L310" s="51" t="n"/>
    </row>
    <row r="311">
      <c r="B311" s="51" t="n"/>
      <c r="C311" s="51" t="n"/>
      <c r="D311" s="51" t="n"/>
      <c r="E311" s="51" t="n"/>
      <c r="F311" s="51" t="n"/>
      <c r="G311" s="51" t="n"/>
      <c r="H311" s="51" t="n"/>
      <c r="I311" s="51" t="n"/>
      <c r="J311" s="51" t="n"/>
      <c r="K311" s="51" t="n"/>
      <c r="L311" s="51" t="n"/>
    </row>
    <row r="312">
      <c r="B312" s="51" t="n"/>
      <c r="C312" s="51" t="n"/>
      <c r="D312" s="51" t="n"/>
      <c r="E312" s="51" t="n"/>
      <c r="F312" s="51" t="n"/>
      <c r="G312" s="51" t="n"/>
      <c r="H312" s="51" t="n"/>
      <c r="I312" s="51" t="n"/>
      <c r="J312" s="51" t="n"/>
      <c r="K312" s="51" t="n"/>
      <c r="L312" s="51" t="n"/>
    </row>
    <row r="313">
      <c r="B313" s="51" t="n"/>
      <c r="C313" s="51" t="n"/>
      <c r="D313" s="51" t="n"/>
      <c r="E313" s="51" t="n"/>
      <c r="F313" s="51" t="n"/>
      <c r="G313" s="51" t="n"/>
      <c r="H313" s="51" t="n"/>
      <c r="I313" s="51" t="n"/>
      <c r="J313" s="51" t="n"/>
      <c r="K313" s="51" t="n"/>
      <c r="L313" s="51" t="n"/>
    </row>
    <row r="314">
      <c r="B314" s="51" t="n"/>
      <c r="C314" s="51" t="n"/>
      <c r="D314" s="51" t="n"/>
      <c r="E314" s="51" t="n"/>
      <c r="F314" s="51" t="n"/>
      <c r="G314" s="51" t="n"/>
      <c r="H314" s="51" t="n"/>
      <c r="I314" s="51" t="n"/>
      <c r="J314" s="51" t="n"/>
      <c r="K314" s="51" t="n"/>
      <c r="L314" s="51" t="n"/>
    </row>
    <row r="315">
      <c r="B315" s="51" t="n"/>
      <c r="C315" s="51" t="n"/>
      <c r="D315" s="51" t="n"/>
      <c r="E315" s="51" t="n"/>
      <c r="F315" s="51" t="n"/>
      <c r="G315" s="51" t="n"/>
      <c r="H315" s="51" t="n"/>
      <c r="I315" s="51" t="n"/>
      <c r="J315" s="51" t="n"/>
      <c r="K315" s="51" t="n"/>
      <c r="L315" s="51" t="n"/>
    </row>
    <row r="316">
      <c r="B316" s="51" t="n"/>
      <c r="C316" s="51" t="n"/>
      <c r="D316" s="51" t="n"/>
      <c r="E316" s="51" t="n"/>
      <c r="F316" s="51" t="n"/>
      <c r="G316" s="51" t="n"/>
      <c r="H316" s="51" t="n"/>
      <c r="I316" s="51" t="n"/>
      <c r="J316" s="51" t="n"/>
      <c r="K316" s="51" t="n"/>
      <c r="L316" s="51" t="n"/>
    </row>
    <row r="317">
      <c r="B317" s="51" t="n"/>
      <c r="C317" s="51" t="n"/>
      <c r="D317" s="51" t="n"/>
      <c r="E317" s="51" t="n"/>
      <c r="F317" s="51" t="n"/>
      <c r="G317" s="51" t="n"/>
      <c r="H317" s="51" t="n"/>
      <c r="I317" s="51" t="n"/>
      <c r="J317" s="51" t="n"/>
      <c r="K317" s="51" t="n"/>
      <c r="L317" s="51" t="n"/>
    </row>
    <row r="318">
      <c r="B318" s="51" t="n"/>
      <c r="C318" s="51" t="n"/>
      <c r="D318" s="51" t="n"/>
      <c r="E318" s="51" t="n"/>
      <c r="F318" s="51" t="n"/>
      <c r="G318" s="51" t="n"/>
      <c r="H318" s="51" t="n"/>
      <c r="I318" s="51" t="n"/>
      <c r="J318" s="51" t="n"/>
      <c r="K318" s="51" t="n"/>
      <c r="L318" s="51" t="n"/>
    </row>
    <row r="319">
      <c r="B319" s="51" t="n"/>
      <c r="C319" s="51" t="n"/>
      <c r="D319" s="51" t="n"/>
      <c r="E319" s="51" t="n"/>
      <c r="F319" s="51" t="n"/>
      <c r="G319" s="51" t="n"/>
      <c r="H319" s="51" t="n"/>
      <c r="I319" s="51" t="n"/>
      <c r="J319" s="51" t="n"/>
      <c r="K319" s="51" t="n"/>
      <c r="L319" s="51" t="n"/>
    </row>
    <row r="320">
      <c r="B320" s="51" t="n"/>
      <c r="C320" s="51" t="n"/>
      <c r="D320" s="51" t="n"/>
      <c r="E320" s="51" t="n"/>
      <c r="F320" s="51" t="n"/>
      <c r="G320" s="51" t="n"/>
      <c r="H320" s="51" t="n"/>
      <c r="I320" s="51" t="n"/>
      <c r="J320" s="51" t="n"/>
      <c r="K320" s="51" t="n"/>
      <c r="L320" s="51" t="n"/>
    </row>
    <row r="321">
      <c r="B321" s="51" t="n"/>
      <c r="C321" s="51" t="n"/>
      <c r="D321" s="51" t="n"/>
      <c r="E321" s="51" t="n"/>
      <c r="F321" s="51" t="n"/>
      <c r="G321" s="51" t="n"/>
      <c r="H321" s="51" t="n"/>
      <c r="I321" s="51" t="n"/>
      <c r="J321" s="51" t="n"/>
      <c r="K321" s="51" t="n"/>
      <c r="L321" s="51" t="n"/>
    </row>
    <row r="322">
      <c r="B322" s="51" t="n"/>
      <c r="C322" s="51" t="n"/>
      <c r="D322" s="51" t="n"/>
      <c r="E322" s="51" t="n"/>
      <c r="F322" s="51" t="n"/>
      <c r="G322" s="51" t="n"/>
      <c r="H322" s="51" t="n"/>
      <c r="I322" s="51" t="n"/>
      <c r="J322" s="51" t="n"/>
      <c r="K322" s="51" t="n"/>
      <c r="L322" s="51" t="n"/>
    </row>
    <row r="323">
      <c r="B323" s="51" t="n"/>
      <c r="C323" s="51" t="n"/>
      <c r="D323" s="51" t="n"/>
      <c r="E323" s="51" t="n"/>
      <c r="F323" s="51" t="n"/>
      <c r="G323" s="51" t="n"/>
      <c r="H323" s="51" t="n"/>
      <c r="I323" s="51" t="n"/>
      <c r="J323" s="51" t="n"/>
      <c r="K323" s="51" t="n"/>
      <c r="L323" s="51" t="n"/>
    </row>
    <row r="324">
      <c r="B324" s="51" t="n"/>
      <c r="C324" s="51" t="n"/>
      <c r="D324" s="51" t="n"/>
      <c r="E324" s="51" t="n"/>
      <c r="F324" s="51" t="n"/>
      <c r="G324" s="51" t="n"/>
      <c r="H324" s="51" t="n"/>
      <c r="I324" s="51" t="n"/>
      <c r="J324" s="51" t="n"/>
      <c r="K324" s="51" t="n"/>
      <c r="L324" s="51" t="n"/>
    </row>
    <row r="325">
      <c r="B325" s="51" t="n"/>
      <c r="C325" s="51" t="n"/>
      <c r="D325" s="51" t="n"/>
      <c r="E325" s="51" t="n"/>
      <c r="F325" s="51" t="n"/>
      <c r="G325" s="51" t="n"/>
      <c r="H325" s="51" t="n"/>
      <c r="I325" s="51" t="n"/>
      <c r="J325" s="51" t="n"/>
      <c r="K325" s="51" t="n"/>
      <c r="L325" s="51" t="n"/>
    </row>
    <row r="326">
      <c r="B326" s="51" t="n"/>
      <c r="C326" s="51" t="n"/>
      <c r="D326" s="51" t="n"/>
      <c r="E326" s="51" t="n"/>
      <c r="F326" s="51" t="n"/>
      <c r="G326" s="51" t="n"/>
      <c r="H326" s="51" t="n"/>
      <c r="I326" s="51" t="n"/>
      <c r="J326" s="51" t="n"/>
      <c r="K326" s="51" t="n"/>
      <c r="L326" s="51" t="n"/>
    </row>
    <row r="327">
      <c r="B327" s="51" t="n"/>
      <c r="C327" s="51" t="n"/>
      <c r="D327" s="51" t="n"/>
      <c r="E327" s="51" t="n"/>
      <c r="F327" s="51" t="n"/>
      <c r="G327" s="51" t="n"/>
      <c r="H327" s="51" t="n"/>
      <c r="I327" s="51" t="n"/>
      <c r="J327" s="51" t="n"/>
      <c r="K327" s="51" t="n"/>
      <c r="L327" s="51" t="n"/>
    </row>
    <row r="328">
      <c r="B328" s="51" t="n"/>
      <c r="C328" s="51" t="n"/>
      <c r="D328" s="51" t="n"/>
      <c r="E328" s="51" t="n"/>
      <c r="F328" s="51" t="n"/>
      <c r="G328" s="51" t="n"/>
      <c r="H328" s="51" t="n"/>
      <c r="I328" s="51" t="n"/>
      <c r="J328" s="51" t="n"/>
      <c r="K328" s="51" t="n"/>
      <c r="L328" s="51" t="n"/>
    </row>
    <row r="329">
      <c r="B329" s="51" t="n"/>
      <c r="C329" s="51" t="n"/>
      <c r="D329" s="51" t="n"/>
      <c r="E329" s="51" t="n"/>
      <c r="F329" s="51" t="n"/>
      <c r="G329" s="51" t="n"/>
      <c r="H329" s="51" t="n"/>
      <c r="I329" s="51" t="n"/>
      <c r="J329" s="51" t="n"/>
      <c r="K329" s="51" t="n"/>
      <c r="L329" s="51" t="n"/>
    </row>
    <row r="330">
      <c r="B330" s="51" t="n"/>
      <c r="C330" s="51" t="n"/>
      <c r="D330" s="51" t="n"/>
      <c r="E330" s="51" t="n"/>
      <c r="F330" s="51" t="n"/>
      <c r="G330" s="51" t="n"/>
      <c r="H330" s="51" t="n"/>
      <c r="I330" s="51" t="n"/>
      <c r="J330" s="51" t="n"/>
      <c r="K330" s="51" t="n"/>
      <c r="L330" s="51" t="n"/>
    </row>
    <row r="331">
      <c r="B331" s="51" t="n"/>
      <c r="C331" s="51" t="n"/>
      <c r="D331" s="51" t="n"/>
      <c r="E331" s="51" t="n"/>
      <c r="F331" s="51" t="n"/>
      <c r="G331" s="51" t="n"/>
      <c r="H331" s="51" t="n"/>
      <c r="I331" s="51" t="n"/>
      <c r="J331" s="51" t="n"/>
      <c r="K331" s="51" t="n"/>
      <c r="L331" s="51" t="n"/>
    </row>
    <row r="332">
      <c r="B332" s="51" t="n"/>
      <c r="C332" s="51" t="n"/>
      <c r="D332" s="51" t="n"/>
      <c r="E332" s="51" t="n"/>
      <c r="F332" s="51" t="n"/>
      <c r="G332" s="51" t="n"/>
      <c r="H332" s="51" t="n"/>
      <c r="I332" s="51" t="n"/>
      <c r="J332" s="51" t="n"/>
      <c r="K332" s="51" t="n"/>
      <c r="L332" s="51" t="n"/>
    </row>
    <row r="333">
      <c r="B333" s="51" t="n"/>
      <c r="C333" s="51" t="n"/>
      <c r="D333" s="51" t="n"/>
      <c r="E333" s="51" t="n"/>
      <c r="F333" s="51" t="n"/>
      <c r="G333" s="51" t="n"/>
      <c r="H333" s="51" t="n"/>
      <c r="I333" s="51" t="n"/>
      <c r="J333" s="51" t="n"/>
      <c r="K333" s="51" t="n"/>
      <c r="L333" s="51" t="n"/>
    </row>
    <row r="334">
      <c r="B334" s="51" t="n"/>
      <c r="C334" s="51" t="n"/>
      <c r="D334" s="51" t="n"/>
      <c r="E334" s="51" t="n"/>
      <c r="F334" s="51" t="n"/>
      <c r="G334" s="51" t="n"/>
      <c r="H334" s="51" t="n"/>
      <c r="I334" s="51" t="n"/>
      <c r="J334" s="51" t="n"/>
      <c r="K334" s="51" t="n"/>
      <c r="L334" s="51" t="n"/>
    </row>
    <row r="335">
      <c r="B335" s="51" t="n"/>
      <c r="C335" s="51" t="n"/>
      <c r="D335" s="51" t="n"/>
      <c r="E335" s="51" t="n"/>
      <c r="F335" s="51" t="n"/>
      <c r="G335" s="51" t="n"/>
      <c r="H335" s="51" t="n"/>
      <c r="I335" s="51" t="n"/>
      <c r="J335" s="51" t="n"/>
      <c r="K335" s="51" t="n"/>
      <c r="L335" s="51" t="n"/>
    </row>
    <row r="336">
      <c r="B336" s="51" t="n"/>
      <c r="C336" s="51" t="n"/>
      <c r="D336" s="51" t="n"/>
      <c r="E336" s="51" t="n"/>
      <c r="F336" s="51" t="n"/>
      <c r="G336" s="51" t="n"/>
      <c r="H336" s="51" t="n"/>
      <c r="I336" s="51" t="n"/>
      <c r="J336" s="51" t="n"/>
      <c r="K336" s="51" t="n"/>
      <c r="L336" s="51" t="n"/>
    </row>
    <row r="337">
      <c r="B337" s="51" t="n"/>
      <c r="C337" s="51" t="n"/>
      <c r="D337" s="51" t="n"/>
      <c r="E337" s="51" t="n"/>
      <c r="F337" s="51" t="n"/>
      <c r="G337" s="51" t="n"/>
      <c r="H337" s="51" t="n"/>
      <c r="I337" s="51" t="n"/>
      <c r="J337" s="51" t="n"/>
      <c r="K337" s="51" t="n"/>
      <c r="L337" s="51" t="n"/>
    </row>
    <row r="338">
      <c r="B338" s="51" t="n"/>
      <c r="C338" s="51" t="n"/>
      <c r="D338" s="51" t="n"/>
      <c r="E338" s="51" t="n"/>
      <c r="F338" s="51" t="n"/>
      <c r="G338" s="51" t="n"/>
      <c r="H338" s="51" t="n"/>
      <c r="I338" s="51" t="n"/>
      <c r="J338" s="51" t="n"/>
      <c r="K338" s="51" t="n"/>
      <c r="L338" s="51" t="n"/>
    </row>
    <row r="339">
      <c r="B339" s="51" t="n"/>
      <c r="C339" s="51" t="n"/>
      <c r="D339" s="51" t="n"/>
      <c r="E339" s="51" t="n"/>
      <c r="F339" s="51" t="n"/>
      <c r="G339" s="51" t="n"/>
      <c r="H339" s="51" t="n"/>
      <c r="I339" s="51" t="n"/>
      <c r="J339" s="51" t="n"/>
      <c r="K339" s="51" t="n"/>
      <c r="L339" s="51" t="n"/>
    </row>
    <row r="340">
      <c r="B340" s="51" t="n"/>
      <c r="C340" s="51" t="n"/>
      <c r="D340" s="51" t="n"/>
      <c r="E340" s="51" t="n"/>
      <c r="F340" s="51" t="n"/>
      <c r="G340" s="51" t="n"/>
      <c r="H340" s="51" t="n"/>
      <c r="I340" s="51" t="n"/>
      <c r="J340" s="51" t="n"/>
      <c r="K340" s="51" t="n"/>
      <c r="L340" s="51" t="n"/>
    </row>
    <row r="341">
      <c r="B341" s="51" t="n"/>
      <c r="C341" s="51" t="n"/>
      <c r="D341" s="51" t="n"/>
      <c r="E341" s="51" t="n"/>
      <c r="F341" s="51" t="n"/>
      <c r="G341" s="51" t="n"/>
      <c r="H341" s="51" t="n"/>
      <c r="I341" s="51" t="n"/>
      <c r="J341" s="51" t="n"/>
      <c r="K341" s="51" t="n"/>
      <c r="L341" s="51" t="n"/>
    </row>
    <row r="342">
      <c r="B342" s="51" t="n"/>
      <c r="C342" s="51" t="n"/>
      <c r="D342" s="51" t="n"/>
      <c r="E342" s="51" t="n"/>
      <c r="F342" s="51" t="n"/>
      <c r="G342" s="51" t="n"/>
      <c r="H342" s="51" t="n"/>
      <c r="I342" s="51" t="n"/>
      <c r="J342" s="51" t="n"/>
      <c r="K342" s="51" t="n"/>
      <c r="L342" s="51" t="n"/>
    </row>
    <row r="343">
      <c r="B343" s="51" t="n"/>
      <c r="C343" s="51" t="n"/>
      <c r="D343" s="51" t="n"/>
      <c r="E343" s="51" t="n"/>
      <c r="F343" s="51" t="n"/>
      <c r="G343" s="51" t="n"/>
      <c r="H343" s="51" t="n"/>
      <c r="I343" s="51" t="n"/>
      <c r="J343" s="51" t="n"/>
      <c r="K343" s="51" t="n"/>
      <c r="L343" s="51" t="n"/>
    </row>
    <row r="344">
      <c r="B344" s="51" t="n"/>
      <c r="C344" s="51" t="n"/>
      <c r="D344" s="51" t="n"/>
      <c r="E344" s="51" t="n"/>
      <c r="F344" s="51" t="n"/>
      <c r="G344" s="51" t="n"/>
      <c r="H344" s="51" t="n"/>
      <c r="I344" s="51" t="n"/>
      <c r="J344" s="51" t="n"/>
      <c r="K344" s="51" t="n"/>
      <c r="L344" s="51" t="n"/>
    </row>
    <row r="345">
      <c r="B345" s="51" t="n"/>
      <c r="C345" s="51" t="n"/>
      <c r="D345" s="51" t="n"/>
      <c r="E345" s="51" t="n"/>
      <c r="F345" s="51" t="n"/>
      <c r="G345" s="51" t="n"/>
      <c r="H345" s="51" t="n"/>
      <c r="I345" s="51" t="n"/>
      <c r="J345" s="51" t="n"/>
      <c r="K345" s="51" t="n"/>
      <c r="L345" s="51" t="n"/>
    </row>
    <row r="346">
      <c r="B346" s="51" t="n"/>
      <c r="C346" s="51" t="n"/>
      <c r="D346" s="51" t="n"/>
      <c r="E346" s="51" t="n"/>
      <c r="F346" s="51" t="n"/>
      <c r="G346" s="51" t="n"/>
      <c r="H346" s="51" t="n"/>
      <c r="I346" s="51" t="n"/>
      <c r="J346" s="51" t="n"/>
      <c r="K346" s="51" t="n"/>
      <c r="L346" s="51" t="n"/>
    </row>
    <row r="347">
      <c r="B347" s="51" t="n"/>
      <c r="C347" s="51" t="n"/>
      <c r="D347" s="51" t="n"/>
      <c r="E347" s="51" t="n"/>
      <c r="F347" s="51" t="n"/>
      <c r="G347" s="51" t="n"/>
      <c r="H347" s="51" t="n"/>
      <c r="I347" s="51" t="n"/>
      <c r="J347" s="51" t="n"/>
      <c r="K347" s="51" t="n"/>
      <c r="L347" s="51" t="n"/>
    </row>
    <row r="348">
      <c r="B348" s="51" t="n"/>
      <c r="C348" s="51" t="n"/>
      <c r="D348" s="51" t="n"/>
      <c r="E348" s="51" t="n"/>
      <c r="F348" s="51" t="n"/>
      <c r="G348" s="51" t="n"/>
      <c r="H348" s="51" t="n"/>
      <c r="I348" s="51" t="n"/>
      <c r="J348" s="51" t="n"/>
      <c r="K348" s="51" t="n"/>
      <c r="L348" s="51" t="n"/>
    </row>
    <row r="349">
      <c r="B349" s="51" t="n"/>
      <c r="C349" s="51" t="n"/>
      <c r="D349" s="51" t="n"/>
      <c r="E349" s="51" t="n"/>
      <c r="F349" s="51" t="n"/>
      <c r="G349" s="51" t="n"/>
      <c r="H349" s="51" t="n"/>
      <c r="I349" s="51" t="n"/>
      <c r="J349" s="51" t="n"/>
      <c r="K349" s="51" t="n"/>
      <c r="L349" s="51" t="n"/>
    </row>
    <row r="350">
      <c r="B350" s="51" t="n"/>
      <c r="C350" s="51" t="n"/>
      <c r="D350" s="51" t="n"/>
      <c r="E350" s="51" t="n"/>
      <c r="F350" s="51" t="n"/>
      <c r="G350" s="51" t="n"/>
      <c r="H350" s="51" t="n"/>
      <c r="I350" s="51" t="n"/>
      <c r="J350" s="51" t="n"/>
      <c r="K350" s="51" t="n"/>
      <c r="L350" s="51" t="n"/>
    </row>
    <row r="351">
      <c r="B351" s="51" t="n"/>
      <c r="C351" s="51" t="n"/>
      <c r="D351" s="51" t="n"/>
      <c r="E351" s="51" t="n"/>
      <c r="F351" s="51" t="n"/>
      <c r="G351" s="51" t="n"/>
      <c r="H351" s="51" t="n"/>
      <c r="I351" s="51" t="n"/>
      <c r="J351" s="51" t="n"/>
      <c r="K351" s="51" t="n"/>
      <c r="L351" s="51" t="n"/>
    </row>
    <row r="352">
      <c r="B352" s="51" t="n"/>
      <c r="C352" s="51" t="n"/>
      <c r="D352" s="51" t="n"/>
      <c r="E352" s="51" t="n"/>
      <c r="F352" s="51" t="n"/>
      <c r="G352" s="51" t="n"/>
      <c r="H352" s="51" t="n"/>
      <c r="I352" s="51" t="n"/>
      <c r="J352" s="51" t="n"/>
      <c r="K352" s="51" t="n"/>
      <c r="L352" s="51" t="n"/>
    </row>
    <row r="353">
      <c r="B353" s="51" t="n"/>
      <c r="C353" s="51" t="n"/>
      <c r="D353" s="51" t="n"/>
      <c r="E353" s="51" t="n"/>
      <c r="F353" s="51" t="n"/>
      <c r="G353" s="51" t="n"/>
      <c r="H353" s="51" t="n"/>
      <c r="I353" s="51" t="n"/>
      <c r="J353" s="51" t="n"/>
      <c r="K353" s="51" t="n"/>
      <c r="L353" s="51" t="n"/>
    </row>
    <row r="354">
      <c r="B354" s="51" t="n"/>
      <c r="C354" s="51" t="n"/>
      <c r="D354" s="51" t="n"/>
      <c r="E354" s="51" t="n"/>
      <c r="F354" s="51" t="n"/>
      <c r="G354" s="51" t="n"/>
      <c r="H354" s="51" t="n"/>
      <c r="I354" s="51" t="n"/>
      <c r="J354" s="51" t="n"/>
      <c r="K354" s="51" t="n"/>
      <c r="L354" s="51" t="n"/>
    </row>
    <row r="355">
      <c r="B355" s="51" t="n"/>
      <c r="C355" s="51" t="n"/>
      <c r="D355" s="51" t="n"/>
      <c r="E355" s="51" t="n"/>
      <c r="F355" s="51" t="n"/>
      <c r="G355" s="51" t="n"/>
      <c r="H355" s="51" t="n"/>
      <c r="I355" s="51" t="n"/>
      <c r="J355" s="51" t="n"/>
      <c r="K355" s="51" t="n"/>
      <c r="L355" s="51" t="n"/>
    </row>
    <row r="356">
      <c r="B356" s="51" t="n"/>
      <c r="C356" s="51" t="n"/>
      <c r="D356" s="51" t="n"/>
      <c r="E356" s="51" t="n"/>
      <c r="F356" s="51" t="n"/>
      <c r="G356" s="51" t="n"/>
      <c r="H356" s="51" t="n"/>
      <c r="I356" s="51" t="n"/>
      <c r="J356" s="51" t="n"/>
      <c r="K356" s="51" t="n"/>
      <c r="L356" s="51" t="n"/>
    </row>
    <row r="357">
      <c r="B357" s="51" t="n"/>
      <c r="C357" s="51" t="n"/>
      <c r="D357" s="51" t="n"/>
      <c r="E357" s="51" t="n"/>
      <c r="F357" s="51" t="n"/>
      <c r="G357" s="51" t="n"/>
      <c r="H357" s="51" t="n"/>
      <c r="I357" s="51" t="n"/>
      <c r="J357" s="51" t="n"/>
      <c r="K357" s="51" t="n"/>
      <c r="L357" s="51" t="n"/>
    </row>
    <row r="358">
      <c r="B358" s="51" t="n"/>
      <c r="C358" s="51" t="n"/>
      <c r="D358" s="51" t="n"/>
      <c r="E358" s="51" t="n"/>
      <c r="F358" s="51" t="n"/>
      <c r="G358" s="51" t="n"/>
      <c r="H358" s="51" t="n"/>
      <c r="I358" s="51" t="n"/>
      <c r="J358" s="51" t="n"/>
      <c r="K358" s="51" t="n"/>
      <c r="L358" s="51" t="n"/>
    </row>
    <row r="359">
      <c r="B359" s="51" t="n"/>
      <c r="C359" s="51" t="n"/>
      <c r="D359" s="51" t="n"/>
      <c r="E359" s="51" t="n"/>
      <c r="F359" s="51" t="n"/>
      <c r="G359" s="51" t="n"/>
      <c r="H359" s="51" t="n"/>
      <c r="I359" s="51" t="n"/>
      <c r="J359" s="51" t="n"/>
      <c r="K359" s="51" t="n"/>
      <c r="L359" s="51" t="n"/>
    </row>
    <row r="360">
      <c r="B360" s="51" t="n"/>
      <c r="C360" s="51" t="n"/>
      <c r="D360" s="51" t="n"/>
      <c r="E360" s="51" t="n"/>
      <c r="F360" s="51" t="n"/>
      <c r="G360" s="51" t="n"/>
      <c r="H360" s="51" t="n"/>
      <c r="I360" s="51" t="n"/>
      <c r="J360" s="51" t="n"/>
      <c r="K360" s="51" t="n"/>
      <c r="L360" s="51" t="n"/>
    </row>
    <row r="361">
      <c r="B361" s="51" t="n"/>
      <c r="C361" s="51" t="n"/>
      <c r="D361" s="51" t="n"/>
      <c r="E361" s="51" t="n"/>
      <c r="F361" s="51" t="n"/>
      <c r="G361" s="51" t="n"/>
      <c r="H361" s="51" t="n"/>
      <c r="I361" s="51" t="n"/>
      <c r="J361" s="51" t="n"/>
      <c r="K361" s="51" t="n"/>
      <c r="L361" s="51" t="n"/>
    </row>
    <row r="362">
      <c r="B362" s="51" t="n"/>
      <c r="C362" s="51" t="n"/>
      <c r="D362" s="51" t="n"/>
      <c r="E362" s="51" t="n"/>
      <c r="F362" s="51" t="n"/>
      <c r="G362" s="51" t="n"/>
      <c r="H362" s="51" t="n"/>
      <c r="I362" s="51" t="n"/>
      <c r="J362" s="51" t="n"/>
      <c r="K362" s="51" t="n"/>
      <c r="L362" s="51" t="n"/>
    </row>
    <row r="363">
      <c r="B363" s="51" t="n"/>
      <c r="C363" s="51" t="n"/>
      <c r="D363" s="51" t="n"/>
      <c r="E363" s="51" t="n"/>
      <c r="F363" s="51" t="n"/>
      <c r="G363" s="51" t="n"/>
      <c r="H363" s="51" t="n"/>
      <c r="I363" s="51" t="n"/>
      <c r="J363" s="51" t="n"/>
      <c r="K363" s="51" t="n"/>
      <c r="L363" s="51" t="n"/>
    </row>
    <row r="364">
      <c r="B364" s="51" t="n"/>
      <c r="C364" s="51" t="n"/>
      <c r="D364" s="51" t="n"/>
      <c r="E364" s="51" t="n"/>
      <c r="F364" s="51" t="n"/>
      <c r="G364" s="51" t="n"/>
      <c r="H364" s="51" t="n"/>
      <c r="I364" s="51" t="n"/>
      <c r="J364" s="51" t="n"/>
      <c r="K364" s="51" t="n"/>
      <c r="L364" s="51" t="n"/>
    </row>
    <row r="365">
      <c r="B365" s="51" t="n"/>
      <c r="C365" s="51" t="n"/>
      <c r="D365" s="51" t="n"/>
      <c r="E365" s="51" t="n"/>
      <c r="F365" s="51" t="n"/>
      <c r="G365" s="51" t="n"/>
      <c r="H365" s="51" t="n"/>
      <c r="I365" s="51" t="n"/>
      <c r="J365" s="51" t="n"/>
      <c r="K365" s="51" t="n"/>
      <c r="L365" s="51" t="n"/>
    </row>
    <row r="366">
      <c r="B366" s="51" t="n"/>
      <c r="C366" s="51" t="n"/>
      <c r="D366" s="51" t="n"/>
      <c r="E366" s="51" t="n"/>
      <c r="F366" s="51" t="n"/>
      <c r="G366" s="51" t="n"/>
      <c r="H366" s="51" t="n"/>
      <c r="I366" s="51" t="n"/>
      <c r="J366" s="51" t="n"/>
      <c r="K366" s="51" t="n"/>
      <c r="L366" s="51" t="n"/>
    </row>
    <row r="367">
      <c r="B367" s="51" t="n"/>
      <c r="C367" s="51" t="n"/>
      <c r="D367" s="51" t="n"/>
      <c r="E367" s="51" t="n"/>
      <c r="F367" s="51" t="n"/>
      <c r="G367" s="51" t="n"/>
      <c r="H367" s="51" t="n"/>
      <c r="I367" s="51" t="n"/>
      <c r="J367" s="51" t="n"/>
      <c r="K367" s="51" t="n"/>
      <c r="L367" s="51" t="n"/>
    </row>
    <row r="368">
      <c r="B368" s="51" t="n"/>
      <c r="C368" s="51" t="n"/>
      <c r="D368" s="51" t="n"/>
      <c r="E368" s="51" t="n"/>
      <c r="F368" s="51" t="n"/>
      <c r="G368" s="51" t="n"/>
      <c r="H368" s="51" t="n"/>
      <c r="I368" s="51" t="n"/>
      <c r="J368" s="51" t="n"/>
      <c r="K368" s="51" t="n"/>
      <c r="L368" s="51" t="n"/>
    </row>
    <row r="369">
      <c r="B369" s="51" t="n"/>
      <c r="C369" s="51" t="n"/>
      <c r="D369" s="51" t="n"/>
      <c r="E369" s="51" t="n"/>
      <c r="F369" s="51" t="n"/>
      <c r="G369" s="51" t="n"/>
      <c r="H369" s="51" t="n"/>
      <c r="I369" s="51" t="n"/>
      <c r="J369" s="51" t="n"/>
      <c r="K369" s="51" t="n"/>
      <c r="L369" s="51" t="n"/>
    </row>
    <row r="370">
      <c r="B370" s="51" t="n"/>
      <c r="C370" s="51" t="n"/>
      <c r="D370" s="51" t="n"/>
      <c r="E370" s="51" t="n"/>
      <c r="F370" s="51" t="n"/>
      <c r="G370" s="51" t="n"/>
      <c r="H370" s="51" t="n"/>
      <c r="I370" s="51" t="n"/>
      <c r="J370" s="51" t="n"/>
      <c r="K370" s="51" t="n"/>
      <c r="L370" s="51" t="n"/>
    </row>
    <row r="371">
      <c r="B371" s="51" t="n"/>
      <c r="C371" s="51" t="n"/>
      <c r="D371" s="51" t="n"/>
      <c r="E371" s="51" t="n"/>
      <c r="F371" s="51" t="n"/>
      <c r="G371" s="51" t="n"/>
      <c r="H371" s="51" t="n"/>
      <c r="I371" s="51" t="n"/>
      <c r="J371" s="51" t="n"/>
      <c r="K371" s="51" t="n"/>
      <c r="L371" s="51" t="n"/>
    </row>
    <row r="372">
      <c r="B372" s="51" t="n"/>
      <c r="C372" s="51" t="n"/>
      <c r="D372" s="51" t="n"/>
      <c r="E372" s="51" t="n"/>
      <c r="F372" s="51" t="n"/>
      <c r="G372" s="51" t="n"/>
      <c r="H372" s="51" t="n"/>
      <c r="I372" s="51" t="n"/>
      <c r="J372" s="51" t="n"/>
      <c r="K372" s="51" t="n"/>
      <c r="L372" s="51" t="n"/>
    </row>
    <row r="373">
      <c r="B373" s="51" t="n"/>
      <c r="C373" s="51" t="n"/>
      <c r="D373" s="51" t="n"/>
      <c r="E373" s="51" t="n"/>
      <c r="F373" s="51" t="n"/>
      <c r="G373" s="51" t="n"/>
      <c r="H373" s="51" t="n"/>
      <c r="I373" s="51" t="n"/>
      <c r="J373" s="51" t="n"/>
      <c r="K373" s="51" t="n"/>
      <c r="L373" s="51" t="n"/>
    </row>
    <row r="374">
      <c r="B374" s="51" t="n"/>
      <c r="C374" s="51" t="n"/>
      <c r="D374" s="51" t="n"/>
      <c r="E374" s="51" t="n"/>
      <c r="F374" s="51" t="n"/>
      <c r="G374" s="51" t="n"/>
      <c r="H374" s="51" t="n"/>
      <c r="I374" s="51" t="n"/>
      <c r="J374" s="51" t="n"/>
      <c r="K374" s="51" t="n"/>
      <c r="L374" s="51" t="n"/>
    </row>
    <row r="375">
      <c r="B375" s="51" t="n"/>
      <c r="C375" s="51" t="n"/>
      <c r="D375" s="51" t="n"/>
      <c r="E375" s="51" t="n"/>
      <c r="F375" s="51" t="n"/>
      <c r="G375" s="51" t="n"/>
      <c r="H375" s="51" t="n"/>
      <c r="I375" s="51" t="n"/>
      <c r="J375" s="51" t="n"/>
      <c r="K375" s="51" t="n"/>
      <c r="L375" s="51" t="n"/>
    </row>
    <row r="376">
      <c r="B376" s="51" t="n"/>
      <c r="C376" s="51" t="n"/>
      <c r="D376" s="51" t="n"/>
      <c r="E376" s="51" t="n"/>
      <c r="F376" s="51" t="n"/>
      <c r="G376" s="51" t="n"/>
      <c r="H376" s="51" t="n"/>
      <c r="I376" s="51" t="n"/>
      <c r="J376" s="51" t="n"/>
      <c r="K376" s="51" t="n"/>
      <c r="L376" s="51" t="n"/>
    </row>
    <row r="377">
      <c r="B377" s="51" t="n"/>
      <c r="C377" s="51" t="n"/>
      <c r="D377" s="51" t="n"/>
      <c r="E377" s="51" t="n"/>
      <c r="F377" s="51" t="n"/>
      <c r="G377" s="51" t="n"/>
      <c r="H377" s="51" t="n"/>
      <c r="I377" s="51" t="n"/>
      <c r="J377" s="51" t="n"/>
      <c r="K377" s="51" t="n"/>
      <c r="L377" s="51" t="n"/>
    </row>
    <row r="378">
      <c r="B378" s="51" t="n"/>
      <c r="C378" s="51" t="n"/>
      <c r="D378" s="51" t="n"/>
      <c r="E378" s="51" t="n"/>
      <c r="F378" s="51" t="n"/>
      <c r="G378" s="51" t="n"/>
      <c r="H378" s="51" t="n"/>
      <c r="I378" s="51" t="n"/>
      <c r="J378" s="51" t="n"/>
      <c r="K378" s="51" t="n"/>
      <c r="L378" s="51" t="n"/>
    </row>
    <row r="379">
      <c r="B379" s="51" t="n"/>
      <c r="C379" s="51" t="n"/>
      <c r="D379" s="51" t="n"/>
      <c r="E379" s="51" t="n"/>
      <c r="F379" s="51" t="n"/>
      <c r="G379" s="51" t="n"/>
      <c r="H379" s="51" t="n"/>
      <c r="I379" s="51" t="n"/>
      <c r="J379" s="51" t="n"/>
      <c r="K379" s="51" t="n"/>
      <c r="L379" s="51" t="n"/>
    </row>
    <row r="380">
      <c r="B380" s="51" t="n"/>
      <c r="C380" s="51" t="n"/>
      <c r="D380" s="51" t="n"/>
      <c r="E380" s="51" t="n"/>
      <c r="F380" s="51" t="n"/>
      <c r="G380" s="51" t="n"/>
      <c r="H380" s="51" t="n"/>
      <c r="I380" s="51" t="n"/>
      <c r="J380" s="51" t="n"/>
      <c r="K380" s="51" t="n"/>
      <c r="L380" s="51" t="n"/>
    </row>
    <row r="381">
      <c r="B381" s="51" t="n"/>
      <c r="C381" s="51" t="n"/>
      <c r="D381" s="51" t="n"/>
      <c r="E381" s="51" t="n"/>
      <c r="F381" s="51" t="n"/>
      <c r="G381" s="51" t="n"/>
      <c r="H381" s="51" t="n"/>
      <c r="I381" s="51" t="n"/>
      <c r="J381" s="51" t="n"/>
      <c r="K381" s="51" t="n"/>
      <c r="L381" s="51" t="n"/>
    </row>
    <row r="382">
      <c r="B382" s="51" t="n"/>
      <c r="C382" s="51" t="n"/>
      <c r="D382" s="51" t="n"/>
      <c r="E382" s="51" t="n"/>
      <c r="F382" s="51" t="n"/>
      <c r="G382" s="51" t="n"/>
      <c r="H382" s="51" t="n"/>
      <c r="I382" s="51" t="n"/>
      <c r="J382" s="51" t="n"/>
      <c r="K382" s="51" t="n"/>
      <c r="L382" s="51" t="n"/>
    </row>
    <row r="383">
      <c r="B383" s="51" t="n"/>
      <c r="C383" s="51" t="n"/>
      <c r="D383" s="51" t="n"/>
      <c r="E383" s="51" t="n"/>
      <c r="F383" s="51" t="n"/>
      <c r="G383" s="51" t="n"/>
      <c r="H383" s="51" t="n"/>
      <c r="I383" s="51" t="n"/>
      <c r="J383" s="51" t="n"/>
      <c r="K383" s="51" t="n"/>
      <c r="L383" s="51" t="n"/>
    </row>
    <row r="384">
      <c r="B384" s="51" t="n"/>
      <c r="C384" s="51" t="n"/>
      <c r="D384" s="51" t="n"/>
      <c r="E384" s="51" t="n"/>
      <c r="F384" s="51" t="n"/>
      <c r="G384" s="51" t="n"/>
      <c r="H384" s="51" t="n"/>
      <c r="I384" s="51" t="n"/>
      <c r="J384" s="51" t="n"/>
      <c r="K384" s="51" t="n"/>
      <c r="L384" s="51" t="n"/>
    </row>
    <row r="385">
      <c r="B385" s="51" t="n"/>
      <c r="C385" s="51" t="n"/>
      <c r="D385" s="51" t="n"/>
      <c r="E385" s="51" t="n"/>
      <c r="F385" s="51" t="n"/>
      <c r="G385" s="51" t="n"/>
      <c r="H385" s="51" t="n"/>
      <c r="I385" s="51" t="n"/>
      <c r="J385" s="51" t="n"/>
      <c r="K385" s="51" t="n"/>
      <c r="L385" s="51" t="n"/>
    </row>
    <row r="386">
      <c r="B386" s="51" t="n"/>
      <c r="C386" s="51" t="n"/>
      <c r="D386" s="51" t="n"/>
      <c r="E386" s="51" t="n"/>
      <c r="F386" s="51" t="n"/>
      <c r="G386" s="51" t="n"/>
      <c r="H386" s="51" t="n"/>
      <c r="I386" s="51" t="n"/>
      <c r="J386" s="51" t="n"/>
      <c r="K386" s="51" t="n"/>
      <c r="L386" s="51" t="n"/>
    </row>
    <row r="387">
      <c r="B387" s="51" t="n"/>
      <c r="C387" s="51" t="n"/>
      <c r="D387" s="51" t="n"/>
      <c r="E387" s="51" t="n"/>
      <c r="F387" s="51" t="n"/>
      <c r="G387" s="51" t="n"/>
      <c r="H387" s="51" t="n"/>
      <c r="I387" s="51" t="n"/>
      <c r="J387" s="51" t="n"/>
      <c r="K387" s="51" t="n"/>
      <c r="L387" s="51" t="n"/>
    </row>
    <row r="388">
      <c r="B388" s="51" t="n"/>
      <c r="C388" s="51" t="n"/>
      <c r="D388" s="51" t="n"/>
      <c r="E388" s="51" t="n"/>
      <c r="F388" s="51" t="n"/>
      <c r="G388" s="51" t="n"/>
      <c r="H388" s="51" t="n"/>
      <c r="I388" s="51" t="n"/>
      <c r="J388" s="51" t="n"/>
      <c r="K388" s="51" t="n"/>
      <c r="L388" s="51" t="n"/>
    </row>
    <row r="389">
      <c r="B389" s="51" t="n"/>
      <c r="C389" s="51" t="n"/>
      <c r="D389" s="51" t="n"/>
      <c r="E389" s="51" t="n"/>
      <c r="F389" s="51" t="n"/>
      <c r="G389" s="51" t="n"/>
      <c r="H389" s="51" t="n"/>
      <c r="I389" s="51" t="n"/>
      <c r="J389" s="51" t="n"/>
      <c r="K389" s="51" t="n"/>
      <c r="L389" s="51" t="n"/>
    </row>
    <row r="390">
      <c r="B390" s="51" t="n"/>
      <c r="C390" s="51" t="n"/>
      <c r="D390" s="51" t="n"/>
      <c r="E390" s="51" t="n"/>
      <c r="F390" s="51" t="n"/>
      <c r="G390" s="51" t="n"/>
      <c r="H390" s="51" t="n"/>
      <c r="I390" s="51" t="n"/>
      <c r="J390" s="51" t="n"/>
      <c r="K390" s="51" t="n"/>
      <c r="L390" s="51" t="n"/>
    </row>
    <row r="391">
      <c r="B391" s="51" t="n"/>
      <c r="C391" s="51" t="n"/>
      <c r="D391" s="51" t="n"/>
      <c r="E391" s="51" t="n"/>
      <c r="F391" s="51" t="n"/>
      <c r="G391" s="51" t="n"/>
      <c r="H391" s="51" t="n"/>
      <c r="I391" s="51" t="n"/>
      <c r="J391" s="51" t="n"/>
      <c r="K391" s="51" t="n"/>
      <c r="L391" s="51" t="n"/>
    </row>
    <row r="392">
      <c r="B392" s="51" t="n"/>
      <c r="C392" s="51" t="n"/>
      <c r="D392" s="51" t="n"/>
      <c r="E392" s="51" t="n"/>
      <c r="F392" s="51" t="n"/>
      <c r="G392" s="51" t="n"/>
      <c r="H392" s="51" t="n"/>
      <c r="I392" s="51" t="n"/>
      <c r="J392" s="51" t="n"/>
      <c r="K392" s="51" t="n"/>
      <c r="L392" s="51" t="n"/>
    </row>
    <row r="393">
      <c r="B393" s="51" t="n"/>
      <c r="C393" s="51" t="n"/>
      <c r="D393" s="51" t="n"/>
      <c r="E393" s="51" t="n"/>
      <c r="F393" s="51" t="n"/>
      <c r="G393" s="51" t="n"/>
      <c r="H393" s="51" t="n"/>
      <c r="I393" s="51" t="n"/>
      <c r="J393" s="51" t="n"/>
      <c r="K393" s="51" t="n"/>
      <c r="L393" s="51" t="n"/>
    </row>
    <row r="394">
      <c r="B394" s="51" t="n"/>
      <c r="C394" s="51" t="n"/>
      <c r="D394" s="51" t="n"/>
      <c r="E394" s="51" t="n"/>
      <c r="F394" s="51" t="n"/>
      <c r="G394" s="51" t="n"/>
      <c r="H394" s="51" t="n"/>
      <c r="I394" s="51" t="n"/>
      <c r="J394" s="51" t="n"/>
      <c r="K394" s="51" t="n"/>
      <c r="L394" s="51" t="n"/>
    </row>
    <row r="395">
      <c r="B395" s="51" t="n"/>
      <c r="C395" s="51" t="n"/>
      <c r="D395" s="51" t="n"/>
      <c r="E395" s="51" t="n"/>
      <c r="F395" s="51" t="n"/>
      <c r="G395" s="51" t="n"/>
      <c r="H395" s="51" t="n"/>
      <c r="I395" s="51" t="n"/>
      <c r="J395" s="51" t="n"/>
      <c r="K395" s="51" t="n"/>
      <c r="L395" s="51" t="n"/>
    </row>
    <row r="396">
      <c r="B396" s="51" t="n"/>
      <c r="C396" s="51" t="n"/>
      <c r="D396" s="51" t="n"/>
      <c r="E396" s="51" t="n"/>
      <c r="F396" s="51" t="n"/>
      <c r="G396" s="51" t="n"/>
      <c r="H396" s="51" t="n"/>
      <c r="I396" s="51" t="n"/>
      <c r="J396" s="51" t="n"/>
      <c r="K396" s="51" t="n"/>
      <c r="L396" s="51" t="n"/>
    </row>
    <row r="397">
      <c r="B397" s="51" t="n"/>
      <c r="C397" s="51" t="n"/>
      <c r="D397" s="51" t="n"/>
      <c r="E397" s="51" t="n"/>
      <c r="F397" s="51" t="n"/>
      <c r="G397" s="51" t="n"/>
      <c r="H397" s="51" t="n"/>
      <c r="I397" s="51" t="n"/>
      <c r="J397" s="51" t="n"/>
      <c r="K397" s="51" t="n"/>
      <c r="L397" s="51" t="n"/>
    </row>
    <row r="398">
      <c r="B398" s="51" t="n"/>
      <c r="C398" s="51" t="n"/>
      <c r="D398" s="51" t="n"/>
      <c r="E398" s="51" t="n"/>
      <c r="F398" s="51" t="n"/>
      <c r="G398" s="51" t="n"/>
      <c r="H398" s="51" t="n"/>
      <c r="I398" s="51" t="n"/>
      <c r="J398" s="51" t="n"/>
      <c r="K398" s="51" t="n"/>
      <c r="L398" s="51" t="n"/>
    </row>
    <row r="399">
      <c r="B399" s="51" t="n"/>
      <c r="C399" s="51" t="n"/>
      <c r="D399" s="51" t="n"/>
      <c r="E399" s="51" t="n"/>
      <c r="F399" s="51" t="n"/>
      <c r="G399" s="51" t="n"/>
      <c r="H399" s="51" t="n"/>
      <c r="I399" s="51" t="n"/>
      <c r="J399" s="51" t="n"/>
      <c r="K399" s="51" t="n"/>
      <c r="L399" s="51" t="n"/>
    </row>
    <row r="400">
      <c r="B400" s="51" t="n"/>
      <c r="C400" s="51" t="n"/>
      <c r="D400" s="51" t="n"/>
      <c r="E400" s="51" t="n"/>
      <c r="F400" s="51" t="n"/>
      <c r="G400" s="51" t="n"/>
      <c r="H400" s="51" t="n"/>
      <c r="I400" s="51" t="n"/>
      <c r="J400" s="51" t="n"/>
      <c r="K400" s="51" t="n"/>
      <c r="L400" s="51" t="n"/>
    </row>
    <row r="401">
      <c r="B401" s="51" t="n"/>
      <c r="C401" s="51" t="n"/>
      <c r="D401" s="51" t="n"/>
      <c r="E401" s="51" t="n"/>
      <c r="F401" s="51" t="n"/>
      <c r="G401" s="51" t="n"/>
      <c r="H401" s="51" t="n"/>
      <c r="I401" s="51" t="n"/>
      <c r="J401" s="51" t="n"/>
      <c r="K401" s="51" t="n"/>
      <c r="L401" s="51" t="n"/>
    </row>
    <row r="402">
      <c r="B402" s="51" t="n"/>
      <c r="C402" s="51" t="n"/>
      <c r="D402" s="51" t="n"/>
      <c r="E402" s="51" t="n"/>
      <c r="F402" s="51" t="n"/>
      <c r="G402" s="51" t="n"/>
      <c r="H402" s="51" t="n"/>
      <c r="I402" s="51" t="n"/>
      <c r="J402" s="51" t="n"/>
      <c r="K402" s="51" t="n"/>
      <c r="L402" s="51" t="n"/>
    </row>
    <row r="403">
      <c r="B403" s="51" t="n"/>
      <c r="C403" s="51" t="n"/>
      <c r="D403" s="51" t="n"/>
      <c r="E403" s="51" t="n"/>
      <c r="F403" s="51" t="n"/>
      <c r="G403" s="51" t="n"/>
      <c r="H403" s="51" t="n"/>
      <c r="I403" s="51" t="n"/>
      <c r="J403" s="51" t="n"/>
      <c r="K403" s="51" t="n"/>
      <c r="L403" s="51" t="n"/>
    </row>
    <row r="404">
      <c r="B404" s="51" t="n"/>
      <c r="C404" s="51" t="n"/>
      <c r="D404" s="51" t="n"/>
      <c r="E404" s="51" t="n"/>
      <c r="F404" s="51" t="n"/>
      <c r="G404" s="51" t="n"/>
      <c r="H404" s="51" t="n"/>
      <c r="I404" s="51" t="n"/>
      <c r="J404" s="51" t="n"/>
      <c r="K404" s="51" t="n"/>
      <c r="L404" s="51" t="n"/>
    </row>
    <row r="405">
      <c r="B405" s="51" t="n"/>
      <c r="C405" s="51" t="n"/>
      <c r="D405" s="51" t="n"/>
      <c r="E405" s="51" t="n"/>
      <c r="F405" s="51" t="n"/>
      <c r="G405" s="51" t="n"/>
      <c r="H405" s="51" t="n"/>
      <c r="I405" s="51" t="n"/>
      <c r="J405" s="51" t="n"/>
      <c r="K405" s="51" t="n"/>
      <c r="L405" s="51" t="n"/>
    </row>
    <row r="406">
      <c r="B406" s="51" t="n"/>
      <c r="C406" s="51" t="n"/>
      <c r="D406" s="51" t="n"/>
      <c r="E406" s="51" t="n"/>
      <c r="F406" s="51" t="n"/>
      <c r="G406" s="51" t="n"/>
      <c r="H406" s="51" t="n"/>
      <c r="I406" s="51" t="n"/>
      <c r="J406" s="51" t="n"/>
      <c r="K406" s="51" t="n"/>
      <c r="L406" s="51" t="n"/>
    </row>
    <row r="407">
      <c r="B407" s="51" t="n"/>
      <c r="C407" s="51" t="n"/>
      <c r="D407" s="51" t="n"/>
      <c r="E407" s="51" t="n"/>
      <c r="F407" s="51" t="n"/>
      <c r="G407" s="51" t="n"/>
      <c r="H407" s="51" t="n"/>
      <c r="I407" s="51" t="n"/>
      <c r="J407" s="51" t="n"/>
      <c r="K407" s="51" t="n"/>
      <c r="L407" s="51" t="n"/>
    </row>
    <row r="408">
      <c r="B408" s="51" t="n"/>
      <c r="C408" s="51" t="n"/>
      <c r="D408" s="51" t="n"/>
      <c r="E408" s="51" t="n"/>
      <c r="F408" s="51" t="n"/>
      <c r="G408" s="51" t="n"/>
      <c r="H408" s="51" t="n"/>
      <c r="I408" s="51" t="n"/>
      <c r="J408" s="51" t="n"/>
      <c r="K408" s="51" t="n"/>
      <c r="L408" s="51" t="n"/>
    </row>
    <row r="409">
      <c r="B409" s="51" t="n"/>
      <c r="C409" s="51" t="n"/>
      <c r="D409" s="51" t="n"/>
      <c r="E409" s="51" t="n"/>
      <c r="F409" s="51" t="n"/>
      <c r="G409" s="51" t="n"/>
      <c r="H409" s="51" t="n"/>
      <c r="I409" s="51" t="n"/>
      <c r="J409" s="51" t="n"/>
      <c r="K409" s="51" t="n"/>
      <c r="L409" s="51" t="n"/>
    </row>
    <row r="410">
      <c r="B410" s="51" t="n"/>
      <c r="C410" s="51" t="n"/>
      <c r="D410" s="51" t="n"/>
      <c r="E410" s="51" t="n"/>
      <c r="F410" s="51" t="n"/>
      <c r="G410" s="51" t="n"/>
      <c r="H410" s="51" t="n"/>
      <c r="I410" s="51" t="n"/>
      <c r="J410" s="51" t="n"/>
      <c r="K410" s="51" t="n"/>
      <c r="L410" s="51" t="n"/>
    </row>
    <row r="411">
      <c r="B411" s="51" t="n"/>
      <c r="C411" s="51" t="n"/>
      <c r="D411" s="51" t="n"/>
      <c r="E411" s="51" t="n"/>
      <c r="F411" s="51" t="n"/>
      <c r="G411" s="51" t="n"/>
      <c r="H411" s="51" t="n"/>
      <c r="I411" s="51" t="n"/>
      <c r="J411" s="51" t="n"/>
      <c r="K411" s="51" t="n"/>
      <c r="L411" s="51" t="n"/>
    </row>
    <row r="412">
      <c r="B412" s="51" t="n"/>
      <c r="C412" s="51" t="n"/>
      <c r="D412" s="51" t="n"/>
      <c r="E412" s="51" t="n"/>
      <c r="F412" s="51" t="n"/>
      <c r="G412" s="51" t="n"/>
      <c r="H412" s="51" t="n"/>
      <c r="I412" s="51" t="n"/>
      <c r="J412" s="51" t="n"/>
      <c r="K412" s="51" t="n"/>
      <c r="L412" s="51" t="n"/>
    </row>
    <row r="413">
      <c r="B413" s="51" t="n"/>
      <c r="C413" s="51" t="n"/>
      <c r="D413" s="51" t="n"/>
      <c r="E413" s="51" t="n"/>
      <c r="F413" s="51" t="n"/>
      <c r="G413" s="51" t="n"/>
      <c r="H413" s="51" t="n"/>
      <c r="I413" s="51" t="n"/>
      <c r="J413" s="51" t="n"/>
      <c r="K413" s="51" t="n"/>
      <c r="L413" s="51" t="n"/>
    </row>
    <row r="414">
      <c r="B414" s="51" t="n"/>
      <c r="C414" s="51" t="n"/>
      <c r="D414" s="51" t="n"/>
      <c r="E414" s="51" t="n"/>
      <c r="F414" s="51" t="n"/>
      <c r="G414" s="51" t="n"/>
      <c r="H414" s="51" t="n"/>
      <c r="I414" s="51" t="n"/>
      <c r="J414" s="51" t="n"/>
      <c r="K414" s="51" t="n"/>
      <c r="L414" s="51" t="n"/>
    </row>
    <row r="415">
      <c r="B415" s="51" t="n"/>
      <c r="C415" s="51" t="n"/>
      <c r="D415" s="51" t="n"/>
      <c r="E415" s="51" t="n"/>
      <c r="F415" s="51" t="n"/>
      <c r="G415" s="51" t="n"/>
      <c r="H415" s="51" t="n"/>
      <c r="I415" s="51" t="n"/>
      <c r="J415" s="51" t="n"/>
      <c r="K415" s="51" t="n"/>
      <c r="L415" s="51" t="n"/>
    </row>
    <row r="416">
      <c r="B416" s="51" t="n"/>
      <c r="C416" s="51" t="n"/>
      <c r="D416" s="51" t="n"/>
      <c r="E416" s="51" t="n"/>
      <c r="F416" s="51" t="n"/>
      <c r="G416" s="51" t="n"/>
      <c r="H416" s="51" t="n"/>
      <c r="I416" s="51" t="n"/>
      <c r="J416" s="51" t="n"/>
      <c r="K416" s="51" t="n"/>
      <c r="L416" s="51" t="n"/>
    </row>
    <row r="417">
      <c r="B417" s="51" t="n"/>
      <c r="C417" s="51" t="n"/>
      <c r="D417" s="51" t="n"/>
      <c r="E417" s="51" t="n"/>
      <c r="F417" s="51" t="n"/>
      <c r="G417" s="51" t="n"/>
      <c r="H417" s="51" t="n"/>
      <c r="I417" s="51" t="n"/>
      <c r="J417" s="51" t="n"/>
      <c r="K417" s="51" t="n"/>
      <c r="L417" s="51" t="n"/>
    </row>
    <row r="418">
      <c r="B418" s="51" t="n"/>
      <c r="C418" s="51" t="n"/>
      <c r="D418" s="51" t="n"/>
      <c r="E418" s="51" t="n"/>
      <c r="F418" s="51" t="n"/>
      <c r="G418" s="51" t="n"/>
      <c r="H418" s="51" t="n"/>
      <c r="I418" s="51" t="n"/>
      <c r="J418" s="51" t="n"/>
      <c r="K418" s="51" t="n"/>
      <c r="L418" s="51" t="n"/>
    </row>
    <row r="419">
      <c r="B419" s="51" t="n"/>
      <c r="C419" s="51" t="n"/>
      <c r="D419" s="51" t="n"/>
      <c r="E419" s="51" t="n"/>
      <c r="F419" s="51" t="n"/>
      <c r="G419" s="51" t="n"/>
      <c r="H419" s="51" t="n"/>
      <c r="I419" s="51" t="n"/>
      <c r="J419" s="51" t="n"/>
      <c r="K419" s="51" t="n"/>
      <c r="L419" s="51" t="n"/>
    </row>
    <row r="420">
      <c r="B420" s="51" t="n"/>
      <c r="C420" s="51" t="n"/>
      <c r="D420" s="51" t="n"/>
      <c r="E420" s="51" t="n"/>
      <c r="F420" s="51" t="n"/>
      <c r="G420" s="51" t="n"/>
      <c r="H420" s="51" t="n"/>
      <c r="I420" s="51" t="n"/>
      <c r="J420" s="51" t="n"/>
      <c r="K420" s="51" t="n"/>
      <c r="L420" s="51" t="n"/>
    </row>
    <row r="421">
      <c r="B421" s="51" t="n"/>
      <c r="C421" s="51" t="n"/>
      <c r="D421" s="51" t="n"/>
      <c r="E421" s="51" t="n"/>
      <c r="F421" s="51" t="n"/>
      <c r="G421" s="51" t="n"/>
      <c r="H421" s="51" t="n"/>
      <c r="I421" s="51" t="n"/>
      <c r="J421" s="51" t="n"/>
      <c r="K421" s="51" t="n"/>
      <c r="L421" s="51" t="n"/>
    </row>
    <row r="422">
      <c r="B422" s="51" t="n"/>
      <c r="C422" s="51" t="n"/>
      <c r="D422" s="51" t="n"/>
      <c r="E422" s="51" t="n"/>
      <c r="F422" s="51" t="n"/>
      <c r="G422" s="51" t="n"/>
      <c r="H422" s="51" t="n"/>
      <c r="I422" s="51" t="n"/>
      <c r="J422" s="51" t="n"/>
      <c r="K422" s="51" t="n"/>
      <c r="L422" s="51" t="n"/>
    </row>
    <row r="423">
      <c r="B423" s="51" t="n"/>
      <c r="C423" s="51" t="n"/>
      <c r="D423" s="51" t="n"/>
      <c r="E423" s="51" t="n"/>
      <c r="F423" s="51" t="n"/>
      <c r="G423" s="51" t="n"/>
      <c r="H423" s="51" t="n"/>
      <c r="I423" s="51" t="n"/>
      <c r="J423" s="51" t="n"/>
      <c r="K423" s="51" t="n"/>
      <c r="L423" s="51" t="n"/>
    </row>
    <row r="424">
      <c r="B424" s="51" t="n"/>
      <c r="C424" s="51" t="n"/>
      <c r="D424" s="51" t="n"/>
      <c r="E424" s="51" t="n"/>
      <c r="F424" s="51" t="n"/>
      <c r="G424" s="51" t="n"/>
      <c r="H424" s="51" t="n"/>
      <c r="I424" s="51" t="n"/>
      <c r="J424" s="51" t="n"/>
      <c r="K424" s="51" t="n"/>
      <c r="L424" s="51" t="n"/>
    </row>
    <row r="425">
      <c r="B425" s="51" t="n"/>
      <c r="C425" s="51" t="n"/>
      <c r="D425" s="51" t="n"/>
      <c r="E425" s="51" t="n"/>
      <c r="F425" s="51" t="n"/>
      <c r="G425" s="51" t="n"/>
      <c r="H425" s="51" t="n"/>
      <c r="I425" s="51" t="n"/>
      <c r="J425" s="51" t="n"/>
      <c r="K425" s="51" t="n"/>
      <c r="L425" s="51" t="n"/>
    </row>
    <row r="426">
      <c r="B426" s="51" t="n"/>
      <c r="C426" s="51" t="n"/>
      <c r="D426" s="51" t="n"/>
      <c r="E426" s="51" t="n"/>
      <c r="F426" s="51" t="n"/>
      <c r="G426" s="51" t="n"/>
      <c r="H426" s="51" t="n"/>
      <c r="I426" s="51" t="n"/>
      <c r="J426" s="51" t="n"/>
      <c r="K426" s="51" t="n"/>
      <c r="L426" s="51" t="n"/>
    </row>
    <row r="427">
      <c r="B427" s="51" t="n"/>
      <c r="C427" s="51" t="n"/>
      <c r="D427" s="51" t="n"/>
      <c r="E427" s="51" t="n"/>
      <c r="F427" s="51" t="n"/>
      <c r="G427" s="51" t="n"/>
      <c r="H427" s="51" t="n"/>
      <c r="I427" s="51" t="n"/>
      <c r="J427" s="51" t="n"/>
      <c r="K427" s="51" t="n"/>
      <c r="L427" s="51" t="n"/>
    </row>
    <row r="428">
      <c r="B428" s="51" t="n"/>
      <c r="C428" s="51" t="n"/>
      <c r="D428" s="51" t="n"/>
      <c r="E428" s="51" t="n"/>
      <c r="F428" s="51" t="n"/>
      <c r="G428" s="51" t="n"/>
      <c r="H428" s="51" t="n"/>
      <c r="I428" s="51" t="n"/>
      <c r="J428" s="51" t="n"/>
      <c r="K428" s="51" t="n"/>
      <c r="L428" s="51" t="n"/>
    </row>
    <row r="429">
      <c r="B429" s="51" t="n"/>
      <c r="C429" s="51" t="n"/>
      <c r="D429" s="51" t="n"/>
      <c r="E429" s="51" t="n"/>
      <c r="F429" s="51" t="n"/>
      <c r="G429" s="51" t="n"/>
      <c r="H429" s="51" t="n"/>
      <c r="I429" s="51" t="n"/>
      <c r="J429" s="51" t="n"/>
      <c r="K429" s="51" t="n"/>
      <c r="L429" s="51" t="n"/>
    </row>
    <row r="430">
      <c r="B430" s="51" t="n"/>
      <c r="C430" s="51" t="n"/>
      <c r="D430" s="51" t="n"/>
      <c r="E430" s="51" t="n"/>
      <c r="F430" s="51" t="n"/>
      <c r="G430" s="51" t="n"/>
      <c r="H430" s="51" t="n"/>
      <c r="I430" s="51" t="n"/>
      <c r="J430" s="51" t="n"/>
      <c r="K430" s="51" t="n"/>
      <c r="L430" s="51" t="n"/>
    </row>
    <row r="431">
      <c r="B431" s="51" t="n"/>
      <c r="C431" s="51" t="n"/>
      <c r="D431" s="51" t="n"/>
      <c r="E431" s="51" t="n"/>
      <c r="F431" s="51" t="n"/>
      <c r="G431" s="51" t="n"/>
      <c r="H431" s="51" t="n"/>
      <c r="I431" s="51" t="n"/>
      <c r="J431" s="51" t="n"/>
      <c r="K431" s="51" t="n"/>
      <c r="L431" s="51" t="n"/>
    </row>
    <row r="432">
      <c r="B432" s="51" t="n"/>
      <c r="C432" s="51" t="n"/>
      <c r="D432" s="51" t="n"/>
      <c r="E432" s="51" t="n"/>
      <c r="F432" s="51" t="n"/>
      <c r="G432" s="51" t="n"/>
      <c r="H432" s="51" t="n"/>
      <c r="I432" s="51" t="n"/>
      <c r="J432" s="51" t="n"/>
      <c r="K432" s="51" t="n"/>
      <c r="L432" s="51" t="n"/>
    </row>
    <row r="433">
      <c r="B433" s="51" t="n"/>
      <c r="C433" s="51" t="n"/>
      <c r="D433" s="51" t="n"/>
      <c r="E433" s="51" t="n"/>
      <c r="F433" s="51" t="n"/>
      <c r="G433" s="51" t="n"/>
      <c r="H433" s="51" t="n"/>
      <c r="I433" s="51" t="n"/>
      <c r="J433" s="51" t="n"/>
      <c r="K433" s="51" t="n"/>
      <c r="L433" s="51" t="n"/>
    </row>
    <row r="434">
      <c r="B434" s="51" t="n"/>
      <c r="C434" s="51" t="n"/>
      <c r="D434" s="51" t="n"/>
      <c r="E434" s="51" t="n"/>
      <c r="F434" s="51" t="n"/>
      <c r="G434" s="51" t="n"/>
      <c r="H434" s="51" t="n"/>
      <c r="I434" s="51" t="n"/>
      <c r="J434" s="51" t="n"/>
      <c r="K434" s="51" t="n"/>
      <c r="L434" s="51" t="n"/>
    </row>
    <row r="435">
      <c r="B435" s="51" t="n"/>
      <c r="C435" s="51" t="n"/>
      <c r="D435" s="51" t="n"/>
      <c r="E435" s="51" t="n"/>
      <c r="F435" s="51" t="n"/>
      <c r="G435" s="51" t="n"/>
      <c r="H435" s="51" t="n"/>
      <c r="I435" s="51" t="n"/>
      <c r="J435" s="51" t="n"/>
      <c r="K435" s="51" t="n"/>
      <c r="L435" s="51" t="n"/>
    </row>
    <row r="436">
      <c r="B436" s="51" t="n"/>
      <c r="C436" s="51" t="n"/>
      <c r="D436" s="51" t="n"/>
      <c r="E436" s="51" t="n"/>
      <c r="F436" s="51" t="n"/>
      <c r="G436" s="51" t="n"/>
      <c r="H436" s="51" t="n"/>
      <c r="I436" s="51" t="n"/>
      <c r="J436" s="51" t="n"/>
      <c r="K436" s="51" t="n"/>
      <c r="L436" s="51" t="n"/>
    </row>
    <row r="437">
      <c r="B437" s="51" t="n"/>
      <c r="C437" s="51" t="n"/>
      <c r="D437" s="51" t="n"/>
      <c r="E437" s="51" t="n"/>
      <c r="F437" s="51" t="n"/>
      <c r="G437" s="51" t="n"/>
      <c r="H437" s="51" t="n"/>
      <c r="I437" s="51" t="n"/>
      <c r="J437" s="51" t="n"/>
      <c r="K437" s="51" t="n"/>
      <c r="L437" s="51" t="n"/>
    </row>
    <row r="438">
      <c r="B438" s="51" t="n"/>
      <c r="C438" s="51" t="n"/>
      <c r="D438" s="51" t="n"/>
      <c r="E438" s="51" t="n"/>
      <c r="F438" s="51" t="n"/>
      <c r="G438" s="51" t="n"/>
      <c r="H438" s="51" t="n"/>
      <c r="I438" s="51" t="n"/>
      <c r="J438" s="51" t="n"/>
      <c r="K438" s="51" t="n"/>
      <c r="L438" s="51" t="n"/>
    </row>
    <row r="439">
      <c r="B439" s="51" t="n"/>
      <c r="C439" s="51" t="n"/>
      <c r="D439" s="51" t="n"/>
      <c r="E439" s="51" t="n"/>
      <c r="F439" s="51" t="n"/>
      <c r="G439" s="51" t="n"/>
      <c r="H439" s="51" t="n"/>
      <c r="I439" s="51" t="n"/>
      <c r="J439" s="51" t="n"/>
      <c r="K439" s="51" t="n"/>
      <c r="L439" s="51" t="n"/>
    </row>
    <row r="440">
      <c r="B440" s="51" t="n"/>
      <c r="C440" s="51" t="n"/>
      <c r="D440" s="51" t="n"/>
      <c r="E440" s="51" t="n"/>
      <c r="F440" s="51" t="n"/>
      <c r="G440" s="51" t="n"/>
      <c r="H440" s="51" t="n"/>
      <c r="I440" s="51" t="n"/>
      <c r="J440" s="51" t="n"/>
      <c r="K440" s="51" t="n"/>
      <c r="L440" s="51" t="n"/>
    </row>
    <row r="441">
      <c r="B441" s="51" t="n"/>
      <c r="C441" s="51" t="n"/>
      <c r="D441" s="51" t="n"/>
      <c r="E441" s="51" t="n"/>
      <c r="F441" s="51" t="n"/>
      <c r="G441" s="51" t="n"/>
      <c r="H441" s="51" t="n"/>
      <c r="I441" s="51" t="n"/>
      <c r="J441" s="51" t="n"/>
      <c r="K441" s="51" t="n"/>
      <c r="L441" s="51" t="n"/>
    </row>
    <row r="442">
      <c r="B442" s="51" t="n"/>
      <c r="C442" s="51" t="n"/>
      <c r="D442" s="51" t="n"/>
      <c r="E442" s="51" t="n"/>
      <c r="F442" s="51" t="n"/>
      <c r="G442" s="51" t="n"/>
      <c r="H442" s="51" t="n"/>
      <c r="I442" s="51" t="n"/>
      <c r="J442" s="51" t="n"/>
      <c r="K442" s="51" t="n"/>
      <c r="L442" s="51" t="n"/>
    </row>
    <row r="443">
      <c r="B443" s="51" t="n"/>
      <c r="C443" s="51" t="n"/>
      <c r="D443" s="51" t="n"/>
      <c r="E443" s="51" t="n"/>
      <c r="F443" s="51" t="n"/>
      <c r="G443" s="51" t="n"/>
      <c r="H443" s="51" t="n"/>
      <c r="I443" s="51" t="n"/>
      <c r="J443" s="51" t="n"/>
      <c r="K443" s="51" t="n"/>
      <c r="L443" s="51" t="n"/>
    </row>
    <row r="444">
      <c r="B444" s="51" t="n"/>
      <c r="C444" s="51" t="n"/>
      <c r="D444" s="51" t="n"/>
      <c r="E444" s="51" t="n"/>
      <c r="F444" s="51" t="n"/>
      <c r="G444" s="51" t="n"/>
      <c r="H444" s="51" t="n"/>
      <c r="I444" s="51" t="n"/>
      <c r="J444" s="51" t="n"/>
      <c r="K444" s="51" t="n"/>
      <c r="L444" s="51" t="n"/>
    </row>
    <row r="445">
      <c r="B445" s="51" t="n"/>
      <c r="C445" s="51" t="n"/>
      <c r="D445" s="51" t="n"/>
      <c r="E445" s="51" t="n"/>
      <c r="F445" s="51" t="n"/>
      <c r="G445" s="51" t="n"/>
      <c r="H445" s="51" t="n"/>
      <c r="I445" s="51" t="n"/>
      <c r="J445" s="51" t="n"/>
      <c r="K445" s="51" t="n"/>
      <c r="L445" s="51" t="n"/>
    </row>
    <row r="446">
      <c r="B446" s="51" t="n"/>
      <c r="C446" s="51" t="n"/>
      <c r="D446" s="51" t="n"/>
      <c r="E446" s="51" t="n"/>
      <c r="F446" s="51" t="n"/>
      <c r="G446" s="51" t="n"/>
      <c r="H446" s="51" t="n"/>
      <c r="I446" s="51" t="n"/>
      <c r="J446" s="51" t="n"/>
      <c r="K446" s="51" t="n"/>
      <c r="L446" s="51" t="n"/>
    </row>
    <row r="447">
      <c r="B447" s="51" t="n"/>
      <c r="C447" s="51" t="n"/>
      <c r="D447" s="51" t="n"/>
      <c r="E447" s="51" t="n"/>
      <c r="F447" s="51" t="n"/>
      <c r="G447" s="51" t="n"/>
      <c r="H447" s="51" t="n"/>
      <c r="I447" s="51" t="n"/>
      <c r="J447" s="51" t="n"/>
      <c r="K447" s="51" t="n"/>
      <c r="L447" s="51" t="n"/>
    </row>
    <row r="448">
      <c r="B448" s="51" t="n"/>
      <c r="C448" s="51" t="n"/>
      <c r="D448" s="51" t="n"/>
      <c r="E448" s="51" t="n"/>
      <c r="F448" s="51" t="n"/>
      <c r="G448" s="51" t="n"/>
      <c r="H448" s="51" t="n"/>
      <c r="I448" s="51" t="n"/>
      <c r="J448" s="51" t="n"/>
      <c r="K448" s="51" t="n"/>
      <c r="L448" s="51" t="n"/>
    </row>
    <row r="449">
      <c r="B449" s="51" t="n"/>
      <c r="C449" s="51" t="n"/>
      <c r="D449" s="51" t="n"/>
      <c r="E449" s="51" t="n"/>
      <c r="F449" s="51" t="n"/>
      <c r="G449" s="51" t="n"/>
      <c r="H449" s="51" t="n"/>
      <c r="I449" s="51" t="n"/>
      <c r="J449" s="51" t="n"/>
      <c r="K449" s="51" t="n"/>
      <c r="L449" s="51" t="n"/>
    </row>
    <row r="450">
      <c r="B450" s="51" t="n"/>
      <c r="C450" s="51" t="n"/>
      <c r="D450" s="51" t="n"/>
      <c r="E450" s="51" t="n"/>
      <c r="F450" s="51" t="n"/>
      <c r="G450" s="51" t="n"/>
      <c r="H450" s="51" t="n"/>
      <c r="I450" s="51" t="n"/>
      <c r="J450" s="51" t="n"/>
      <c r="K450" s="51" t="n"/>
      <c r="L450" s="51" t="n"/>
    </row>
    <row r="451">
      <c r="B451" s="51" t="n"/>
      <c r="C451" s="51" t="n"/>
      <c r="D451" s="51" t="n"/>
      <c r="E451" s="51" t="n"/>
      <c r="F451" s="51" t="n"/>
      <c r="G451" s="51" t="n"/>
      <c r="H451" s="51" t="n"/>
      <c r="I451" s="51" t="n"/>
      <c r="J451" s="51" t="n"/>
      <c r="K451" s="51" t="n"/>
      <c r="L451" s="51" t="n"/>
    </row>
    <row r="452">
      <c r="B452" s="51" t="n"/>
      <c r="C452" s="51" t="n"/>
      <c r="D452" s="51" t="n"/>
      <c r="E452" s="51" t="n"/>
      <c r="F452" s="51" t="n"/>
      <c r="G452" s="51" t="n"/>
      <c r="H452" s="51" t="n"/>
      <c r="I452" s="51" t="n"/>
      <c r="J452" s="51" t="n"/>
      <c r="K452" s="51" t="n"/>
      <c r="L452" s="51" t="n"/>
    </row>
    <row r="453">
      <c r="B453" s="51" t="n"/>
      <c r="C453" s="51" t="n"/>
      <c r="D453" s="51" t="n"/>
      <c r="E453" s="51" t="n"/>
      <c r="F453" s="51" t="n"/>
      <c r="G453" s="51" t="n"/>
      <c r="H453" s="51" t="n"/>
      <c r="I453" s="51" t="n"/>
      <c r="J453" s="51" t="n"/>
      <c r="K453" s="51" t="n"/>
      <c r="L453" s="51" t="n"/>
    </row>
    <row r="454">
      <c r="B454" s="51" t="n"/>
      <c r="C454" s="51" t="n"/>
      <c r="D454" s="51" t="n"/>
      <c r="E454" s="51" t="n"/>
      <c r="F454" s="51" t="n"/>
      <c r="G454" s="51" t="n"/>
      <c r="H454" s="51" t="n"/>
      <c r="I454" s="51" t="n"/>
      <c r="J454" s="51" t="n"/>
      <c r="K454" s="51" t="n"/>
      <c r="L454" s="51" t="n"/>
    </row>
    <row r="455">
      <c r="B455" s="51" t="n"/>
      <c r="C455" s="51" t="n"/>
      <c r="D455" s="51" t="n"/>
      <c r="E455" s="51" t="n"/>
      <c r="F455" s="51" t="n"/>
      <c r="G455" s="51" t="n"/>
      <c r="H455" s="51" t="n"/>
      <c r="I455" s="51" t="n"/>
      <c r="J455" s="51" t="n"/>
      <c r="K455" s="51" t="n"/>
      <c r="L455" s="51" t="n"/>
    </row>
    <row r="456">
      <c r="B456" s="51" t="n"/>
      <c r="C456" s="51" t="n"/>
      <c r="D456" s="51" t="n"/>
      <c r="E456" s="51" t="n"/>
      <c r="F456" s="51" t="n"/>
      <c r="G456" s="51" t="n"/>
      <c r="H456" s="51" t="n"/>
      <c r="I456" s="51" t="n"/>
      <c r="J456" s="51" t="n"/>
      <c r="K456" s="51" t="n"/>
      <c r="L456" s="51" t="n"/>
    </row>
    <row r="457">
      <c r="B457" s="51" t="n"/>
      <c r="C457" s="51" t="n"/>
      <c r="D457" s="51" t="n"/>
      <c r="E457" s="51" t="n"/>
      <c r="F457" s="51" t="n"/>
      <c r="G457" s="51" t="n"/>
      <c r="H457" s="51" t="n"/>
      <c r="I457" s="51" t="n"/>
      <c r="J457" s="51" t="n"/>
      <c r="K457" s="51" t="n"/>
      <c r="L457" s="51" t="n"/>
    </row>
    <row r="458">
      <c r="B458" s="51" t="n"/>
      <c r="C458" s="51" t="n"/>
      <c r="D458" s="51" t="n"/>
      <c r="E458" s="51" t="n"/>
      <c r="F458" s="51" t="n"/>
      <c r="G458" s="51" t="n"/>
      <c r="H458" s="51" t="n"/>
      <c r="I458" s="51" t="n"/>
      <c r="J458" s="51" t="n"/>
      <c r="K458" s="51" t="n"/>
      <c r="L458" s="51" t="n"/>
    </row>
    <row r="459">
      <c r="B459" s="51" t="n"/>
      <c r="C459" s="51" t="n"/>
      <c r="D459" s="51" t="n"/>
      <c r="E459" s="51" t="n"/>
      <c r="F459" s="51" t="n"/>
      <c r="G459" s="51" t="n"/>
      <c r="H459" s="51" t="n"/>
      <c r="I459" s="51" t="n"/>
      <c r="J459" s="51" t="n"/>
      <c r="K459" s="51" t="n"/>
      <c r="L459" s="51" t="n"/>
    </row>
    <row r="460">
      <c r="B460" s="51" t="n"/>
      <c r="C460" s="51" t="n"/>
      <c r="D460" s="51" t="n"/>
      <c r="E460" s="51" t="n"/>
      <c r="F460" s="51" t="n"/>
      <c r="G460" s="51" t="n"/>
      <c r="H460" s="51" t="n"/>
      <c r="I460" s="51" t="n"/>
      <c r="J460" s="51" t="n"/>
      <c r="K460" s="51" t="n"/>
      <c r="L460" s="51" t="n"/>
    </row>
    <row r="461">
      <c r="B461" s="51" t="n"/>
      <c r="C461" s="51" t="n"/>
      <c r="D461" s="51" t="n"/>
      <c r="E461" s="51" t="n"/>
      <c r="F461" s="51" t="n"/>
      <c r="G461" s="51" t="n"/>
      <c r="H461" s="51" t="n"/>
      <c r="I461" s="51" t="n"/>
      <c r="J461" s="51" t="n"/>
      <c r="K461" s="51" t="n"/>
      <c r="L461" s="51" t="n"/>
    </row>
    <row r="462">
      <c r="B462" s="51" t="n"/>
      <c r="C462" s="51" t="n"/>
      <c r="D462" s="51" t="n"/>
      <c r="E462" s="51" t="n"/>
      <c r="F462" s="51" t="n"/>
      <c r="G462" s="51" t="n"/>
      <c r="H462" s="51" t="n"/>
      <c r="I462" s="51" t="n"/>
      <c r="J462" s="51" t="n"/>
      <c r="K462" s="51" t="n"/>
      <c r="L462" s="51" t="n"/>
    </row>
    <row r="463">
      <c r="B463" s="51" t="n"/>
      <c r="C463" s="51" t="n"/>
      <c r="D463" s="51" t="n"/>
      <c r="E463" s="51" t="n"/>
      <c r="F463" s="51" t="n"/>
      <c r="G463" s="51" t="n"/>
      <c r="H463" s="51" t="n"/>
      <c r="I463" s="51" t="n"/>
      <c r="J463" s="51" t="n"/>
      <c r="K463" s="51" t="n"/>
      <c r="L463" s="51" t="n"/>
    </row>
    <row r="464">
      <c r="B464" s="51" t="n"/>
      <c r="C464" s="51" t="n"/>
      <c r="D464" s="51" t="n"/>
      <c r="E464" s="51" t="n"/>
      <c r="F464" s="51" t="n"/>
      <c r="G464" s="51" t="n"/>
      <c r="H464" s="51" t="n"/>
      <c r="I464" s="51" t="n"/>
      <c r="J464" s="51" t="n"/>
      <c r="K464" s="51" t="n"/>
      <c r="L464" s="51" t="n"/>
    </row>
    <row r="465">
      <c r="B465" s="51" t="n"/>
      <c r="C465" s="51" t="n"/>
      <c r="D465" s="51" t="n"/>
      <c r="E465" s="51" t="n"/>
      <c r="F465" s="51" t="n"/>
      <c r="G465" s="51" t="n"/>
      <c r="H465" s="51" t="n"/>
      <c r="I465" s="51" t="n"/>
      <c r="J465" s="51" t="n"/>
      <c r="K465" s="51" t="n"/>
      <c r="L465" s="51" t="n"/>
    </row>
    <row r="466">
      <c r="B466" s="51" t="n"/>
      <c r="C466" s="51" t="n"/>
      <c r="D466" s="51" t="n"/>
      <c r="E466" s="51" t="n"/>
      <c r="F466" s="51" t="n"/>
      <c r="G466" s="51" t="n"/>
      <c r="H466" s="51" t="n"/>
      <c r="I466" s="51" t="n"/>
      <c r="J466" s="51" t="n"/>
      <c r="K466" s="51" t="n"/>
      <c r="L466" s="51" t="n"/>
    </row>
    <row r="467">
      <c r="B467" s="51" t="n"/>
      <c r="C467" s="51" t="n"/>
      <c r="D467" s="51" t="n"/>
      <c r="E467" s="51" t="n"/>
      <c r="F467" s="51" t="n"/>
      <c r="G467" s="51" t="n"/>
      <c r="H467" s="51" t="n"/>
      <c r="I467" s="51" t="n"/>
      <c r="J467" s="51" t="n"/>
      <c r="K467" s="51" t="n"/>
      <c r="L467" s="51" t="n"/>
    </row>
    <row r="468">
      <c r="B468" s="51" t="n"/>
      <c r="C468" s="51" t="n"/>
      <c r="D468" s="51" t="n"/>
      <c r="E468" s="51" t="n"/>
      <c r="F468" s="51" t="n"/>
      <c r="G468" s="51" t="n"/>
      <c r="H468" s="51" t="n"/>
      <c r="I468" s="51" t="n"/>
      <c r="J468" s="51" t="n"/>
      <c r="K468" s="51" t="n"/>
      <c r="L468" s="51" t="n"/>
    </row>
    <row r="469">
      <c r="B469" s="51" t="n"/>
      <c r="C469" s="51" t="n"/>
      <c r="D469" s="51" t="n"/>
      <c r="E469" s="51" t="n"/>
      <c r="F469" s="51" t="n"/>
      <c r="G469" s="51" t="n"/>
      <c r="H469" s="51" t="n"/>
      <c r="I469" s="51" t="n"/>
      <c r="J469" s="51" t="n"/>
      <c r="K469" s="51" t="n"/>
      <c r="L469" s="51" t="n"/>
    </row>
    <row r="470">
      <c r="B470" s="51" t="n"/>
      <c r="C470" s="51" t="n"/>
      <c r="D470" s="51" t="n"/>
      <c r="E470" s="51" t="n"/>
      <c r="F470" s="51" t="n"/>
      <c r="G470" s="51" t="n"/>
      <c r="H470" s="51" t="n"/>
      <c r="I470" s="51" t="n"/>
      <c r="J470" s="51" t="n"/>
      <c r="K470" s="51" t="n"/>
      <c r="L470" s="51" t="n"/>
    </row>
    <row r="471">
      <c r="B471" s="51" t="n"/>
      <c r="C471" s="51" t="n"/>
      <c r="D471" s="51" t="n"/>
      <c r="E471" s="51" t="n"/>
      <c r="F471" s="51" t="n"/>
      <c r="G471" s="51" t="n"/>
      <c r="H471" s="51" t="n"/>
      <c r="I471" s="51" t="n"/>
      <c r="J471" s="51" t="n"/>
      <c r="K471" s="51" t="n"/>
      <c r="L471" s="51" t="n"/>
    </row>
    <row r="472">
      <c r="B472" s="51" t="n"/>
      <c r="C472" s="51" t="n"/>
      <c r="D472" s="51" t="n"/>
      <c r="E472" s="51" t="n"/>
      <c r="F472" s="51" t="n"/>
      <c r="G472" s="51" t="n"/>
      <c r="H472" s="51" t="n"/>
      <c r="I472" s="51" t="n"/>
      <c r="J472" s="51" t="n"/>
      <c r="K472" s="51" t="n"/>
      <c r="L472" s="51" t="n"/>
    </row>
    <row r="473">
      <c r="B473" s="51" t="n"/>
      <c r="C473" s="51" t="n"/>
      <c r="D473" s="51" t="n"/>
      <c r="E473" s="51" t="n"/>
      <c r="F473" s="51" t="n"/>
      <c r="G473" s="51" t="n"/>
      <c r="H473" s="51" t="n"/>
      <c r="I473" s="51" t="n"/>
      <c r="J473" s="51" t="n"/>
      <c r="K473" s="51" t="n"/>
      <c r="L473" s="51" t="n"/>
    </row>
    <row r="474">
      <c r="B474" s="51" t="n"/>
      <c r="C474" s="51" t="n"/>
      <c r="D474" s="51" t="n"/>
      <c r="E474" s="51" t="n"/>
      <c r="F474" s="51" t="n"/>
      <c r="G474" s="51" t="n"/>
      <c r="H474" s="51" t="n"/>
      <c r="I474" s="51" t="n"/>
      <c r="J474" s="51" t="n"/>
      <c r="K474" s="51" t="n"/>
      <c r="L474" s="51" t="n"/>
    </row>
    <row r="475">
      <c r="B475" s="51" t="n"/>
      <c r="C475" s="51" t="n"/>
      <c r="D475" s="51" t="n"/>
      <c r="E475" s="51" t="n"/>
      <c r="F475" s="51" t="n"/>
      <c r="G475" s="51" t="n"/>
      <c r="H475" s="51" t="n"/>
      <c r="I475" s="51" t="n"/>
      <c r="J475" s="51" t="n"/>
      <c r="K475" s="51" t="n"/>
      <c r="L475" s="51" t="n"/>
    </row>
    <row r="476">
      <c r="B476" s="51" t="n"/>
      <c r="C476" s="51" t="n"/>
      <c r="D476" s="51" t="n"/>
      <c r="E476" s="51" t="n"/>
      <c r="F476" s="51" t="n"/>
      <c r="G476" s="51" t="n"/>
      <c r="H476" s="51" t="n"/>
      <c r="I476" s="51" t="n"/>
      <c r="J476" s="51" t="n"/>
      <c r="K476" s="51" t="n"/>
      <c r="L476" s="51" t="n"/>
    </row>
    <row r="477">
      <c r="B477" s="51" t="n"/>
      <c r="C477" s="51" t="n"/>
      <c r="D477" s="51" t="n"/>
      <c r="E477" s="51" t="n"/>
      <c r="F477" s="51" t="n"/>
      <c r="G477" s="51" t="n"/>
      <c r="H477" s="51" t="n"/>
      <c r="I477" s="51" t="n"/>
      <c r="J477" s="51" t="n"/>
      <c r="K477" s="51" t="n"/>
      <c r="L477" s="51" t="n"/>
    </row>
    <row r="478">
      <c r="B478" s="51" t="n"/>
      <c r="C478" s="51" t="n"/>
      <c r="D478" s="51" t="n"/>
      <c r="E478" s="51" t="n"/>
      <c r="F478" s="51" t="n"/>
      <c r="G478" s="51" t="n"/>
      <c r="H478" s="51" t="n"/>
      <c r="I478" s="51" t="n"/>
      <c r="J478" s="51" t="n"/>
      <c r="K478" s="51" t="n"/>
      <c r="L478" s="51" t="n"/>
    </row>
    <row r="479">
      <c r="B479" s="51" t="n"/>
      <c r="C479" s="51" t="n"/>
      <c r="D479" s="51" t="n"/>
      <c r="E479" s="51" t="n"/>
      <c r="F479" s="51" t="n"/>
      <c r="G479" s="51" t="n"/>
      <c r="H479" s="51" t="n"/>
      <c r="I479" s="51" t="n"/>
      <c r="J479" s="51" t="n"/>
      <c r="K479" s="51" t="n"/>
      <c r="L479" s="51" t="n"/>
    </row>
    <row r="480">
      <c r="B480" s="51" t="n"/>
      <c r="C480" s="51" t="n"/>
      <c r="D480" s="51" t="n"/>
      <c r="E480" s="51" t="n"/>
      <c r="F480" s="51" t="n"/>
      <c r="G480" s="51" t="n"/>
      <c r="H480" s="51" t="n"/>
      <c r="I480" s="51" t="n"/>
      <c r="J480" s="51" t="n"/>
      <c r="K480" s="51" t="n"/>
      <c r="L480" s="51" t="n"/>
    </row>
    <row r="481">
      <c r="B481" s="51" t="n"/>
      <c r="C481" s="51" t="n"/>
      <c r="D481" s="51" t="n"/>
      <c r="E481" s="51" t="n"/>
      <c r="F481" s="51" t="n"/>
      <c r="G481" s="51" t="n"/>
      <c r="H481" s="51" t="n"/>
      <c r="I481" s="51" t="n"/>
      <c r="J481" s="51" t="n"/>
      <c r="K481" s="51" t="n"/>
      <c r="L481" s="51" t="n"/>
    </row>
    <row r="482">
      <c r="B482" s="51" t="n"/>
      <c r="C482" s="51" t="n"/>
      <c r="D482" s="51" t="n"/>
      <c r="E482" s="51" t="n"/>
      <c r="F482" s="51" t="n"/>
      <c r="G482" s="51" t="n"/>
      <c r="H482" s="51" t="n"/>
      <c r="I482" s="51" t="n"/>
      <c r="J482" s="51" t="n"/>
      <c r="K482" s="51" t="n"/>
      <c r="L482" s="51" t="n"/>
    </row>
    <row r="483">
      <c r="B483" s="51" t="n"/>
      <c r="C483" s="51" t="n"/>
      <c r="D483" s="51" t="n"/>
      <c r="E483" s="51" t="n"/>
      <c r="F483" s="51" t="n"/>
      <c r="G483" s="51" t="n"/>
      <c r="H483" s="51" t="n"/>
      <c r="I483" s="51" t="n"/>
      <c r="J483" s="51" t="n"/>
      <c r="K483" s="51" t="n"/>
      <c r="L483" s="51" t="n"/>
    </row>
    <row r="484">
      <c r="B484" s="51" t="n"/>
      <c r="C484" s="51" t="n"/>
      <c r="D484" s="51" t="n"/>
      <c r="E484" s="51" t="n"/>
      <c r="F484" s="51" t="n"/>
      <c r="G484" s="51" t="n"/>
      <c r="H484" s="51" t="n"/>
      <c r="I484" s="51" t="n"/>
      <c r="J484" s="51" t="n"/>
      <c r="K484" s="51" t="n"/>
      <c r="L484" s="51" t="n"/>
    </row>
    <row r="485">
      <c r="B485" s="51" t="n"/>
      <c r="C485" s="51" t="n"/>
      <c r="D485" s="51" t="n"/>
      <c r="E485" s="51" t="n"/>
      <c r="F485" s="51" t="n"/>
      <c r="G485" s="51" t="n"/>
      <c r="H485" s="51" t="n"/>
      <c r="I485" s="51" t="n"/>
      <c r="J485" s="51" t="n"/>
      <c r="K485" s="51" t="n"/>
      <c r="L485" s="51" t="n"/>
    </row>
    <row r="486">
      <c r="B486" s="51" t="n"/>
      <c r="C486" s="51" t="n"/>
      <c r="D486" s="51" t="n"/>
      <c r="E486" s="51" t="n"/>
      <c r="F486" s="51" t="n"/>
      <c r="G486" s="51" t="n"/>
      <c r="H486" s="51" t="n"/>
      <c r="I486" s="51" t="n"/>
      <c r="J486" s="51" t="n"/>
      <c r="K486" s="51" t="n"/>
      <c r="L486" s="51" t="n"/>
    </row>
    <row r="487">
      <c r="B487" s="51" t="n"/>
      <c r="C487" s="51" t="n"/>
      <c r="D487" s="51" t="n"/>
      <c r="E487" s="51" t="n"/>
      <c r="F487" s="51" t="n"/>
      <c r="G487" s="51" t="n"/>
      <c r="H487" s="51" t="n"/>
      <c r="I487" s="51" t="n"/>
      <c r="J487" s="51" t="n"/>
      <c r="K487" s="51" t="n"/>
      <c r="L487" s="51" t="n"/>
    </row>
    <row r="488">
      <c r="B488" s="51" t="n"/>
      <c r="C488" s="51" t="n"/>
      <c r="D488" s="51" t="n"/>
      <c r="E488" s="51" t="n"/>
      <c r="F488" s="51" t="n"/>
      <c r="G488" s="51" t="n"/>
      <c r="H488" s="51" t="n"/>
      <c r="I488" s="51" t="n"/>
      <c r="J488" s="51" t="n"/>
      <c r="K488" s="51" t="n"/>
      <c r="L488" s="51" t="n"/>
    </row>
    <row r="489">
      <c r="B489" s="51" t="n"/>
      <c r="C489" s="51" t="n"/>
      <c r="D489" s="51" t="n"/>
      <c r="E489" s="51" t="n"/>
      <c r="F489" s="51" t="n"/>
      <c r="G489" s="51" t="n"/>
      <c r="H489" s="51" t="n"/>
      <c r="I489" s="51" t="n"/>
      <c r="J489" s="51" t="n"/>
      <c r="K489" s="51" t="n"/>
      <c r="L489" s="51" t="n"/>
    </row>
    <row r="490">
      <c r="B490" s="51" t="n"/>
      <c r="C490" s="51" t="n"/>
      <c r="D490" s="51" t="n"/>
      <c r="E490" s="51" t="n"/>
      <c r="F490" s="51" t="n"/>
      <c r="G490" s="51" t="n"/>
      <c r="H490" s="51" t="n"/>
      <c r="I490" s="51" t="n"/>
      <c r="J490" s="51" t="n"/>
      <c r="K490" s="51" t="n"/>
      <c r="L490" s="51" t="n"/>
    </row>
    <row r="491">
      <c r="B491" s="51" t="n"/>
      <c r="C491" s="51" t="n"/>
      <c r="D491" s="51" t="n"/>
      <c r="E491" s="51" t="n"/>
      <c r="F491" s="51" t="n"/>
      <c r="G491" s="51" t="n"/>
      <c r="H491" s="51" t="n"/>
      <c r="I491" s="51" t="n"/>
      <c r="J491" s="51" t="n"/>
      <c r="K491" s="51" t="n"/>
      <c r="L491" s="51" t="n"/>
    </row>
    <row r="492">
      <c r="B492" s="51" t="n"/>
      <c r="C492" s="51" t="n"/>
      <c r="D492" s="51" t="n"/>
      <c r="E492" s="51" t="n"/>
      <c r="F492" s="51" t="n"/>
      <c r="G492" s="51" t="n"/>
      <c r="H492" s="51" t="n"/>
      <c r="I492" s="51" t="n"/>
      <c r="J492" s="51" t="n"/>
      <c r="K492" s="51" t="n"/>
      <c r="L492" s="51" t="n"/>
    </row>
    <row r="493">
      <c r="B493" s="51" t="n"/>
      <c r="C493" s="51" t="n"/>
      <c r="D493" s="51" t="n"/>
      <c r="E493" s="51" t="n"/>
      <c r="F493" s="51" t="n"/>
      <c r="G493" s="51" t="n"/>
      <c r="H493" s="51" t="n"/>
      <c r="I493" s="51" t="n"/>
      <c r="J493" s="51" t="n"/>
      <c r="K493" s="51" t="n"/>
      <c r="L493" s="51" t="n"/>
    </row>
    <row r="494">
      <c r="B494" s="51" t="n"/>
      <c r="C494" s="51" t="n"/>
      <c r="D494" s="51" t="n"/>
      <c r="E494" s="51" t="n"/>
      <c r="F494" s="51" t="n"/>
      <c r="G494" s="51" t="n"/>
      <c r="H494" s="51" t="n"/>
      <c r="I494" s="51" t="n"/>
      <c r="J494" s="51" t="n"/>
      <c r="K494" s="51" t="n"/>
      <c r="L494" s="51" t="n"/>
    </row>
    <row r="495">
      <c r="B495" s="51" t="n"/>
      <c r="C495" s="51" t="n"/>
      <c r="D495" s="51" t="n"/>
      <c r="E495" s="51" t="n"/>
      <c r="F495" s="51" t="n"/>
      <c r="G495" s="51" t="n"/>
      <c r="H495" s="51" t="n"/>
      <c r="I495" s="51" t="n"/>
      <c r="J495" s="51" t="n"/>
      <c r="K495" s="51" t="n"/>
      <c r="L495" s="51" t="n"/>
    </row>
    <row r="496">
      <c r="B496" s="51" t="n"/>
      <c r="C496" s="51" t="n"/>
      <c r="D496" s="51" t="n"/>
      <c r="E496" s="51" t="n"/>
      <c r="F496" s="51" t="n"/>
      <c r="G496" s="51" t="n"/>
      <c r="H496" s="51" t="n"/>
      <c r="I496" s="51" t="n"/>
      <c r="J496" s="51" t="n"/>
      <c r="K496" s="51" t="n"/>
      <c r="L496" s="51" t="n"/>
    </row>
    <row r="497">
      <c r="B497" s="51" t="n"/>
      <c r="C497" s="51" t="n"/>
      <c r="D497" s="51" t="n"/>
      <c r="E497" s="51" t="n"/>
      <c r="F497" s="51" t="n"/>
      <c r="G497" s="51" t="n"/>
      <c r="H497" s="51" t="n"/>
      <c r="I497" s="51" t="n"/>
      <c r="J497" s="51" t="n"/>
      <c r="K497" s="51" t="n"/>
      <c r="L497" s="51" t="n"/>
    </row>
    <row r="498">
      <c r="B498" s="51" t="n"/>
      <c r="C498" s="51" t="n"/>
      <c r="D498" s="51" t="n"/>
      <c r="E498" s="51" t="n"/>
      <c r="F498" s="51" t="n"/>
      <c r="G498" s="51" t="n"/>
      <c r="H498" s="51" t="n"/>
      <c r="I498" s="51" t="n"/>
      <c r="J498" s="51" t="n"/>
      <c r="K498" s="51" t="n"/>
      <c r="L498" s="51" t="n"/>
    </row>
    <row r="499">
      <c r="B499" s="51" t="n"/>
      <c r="C499" s="51" t="n"/>
      <c r="D499" s="51" t="n"/>
      <c r="E499" s="51" t="n"/>
      <c r="F499" s="51" t="n"/>
      <c r="G499" s="51" t="n"/>
      <c r="H499" s="51" t="n"/>
      <c r="I499" s="51" t="n"/>
      <c r="J499" s="51" t="n"/>
      <c r="K499" s="51" t="n"/>
      <c r="L499" s="51" t="n"/>
    </row>
    <row r="500">
      <c r="B500" s="51" t="n"/>
      <c r="C500" s="51" t="n"/>
      <c r="D500" s="51" t="n"/>
      <c r="E500" s="51" t="n"/>
      <c r="F500" s="51" t="n"/>
      <c r="G500" s="51" t="n"/>
      <c r="H500" s="51" t="n"/>
      <c r="I500" s="51" t="n"/>
      <c r="J500" s="51" t="n"/>
      <c r="K500" s="51" t="n"/>
      <c r="L500" s="51" t="n"/>
    </row>
    <row r="501">
      <c r="B501" s="51" t="n"/>
      <c r="C501" s="51" t="n"/>
      <c r="D501" s="51" t="n"/>
      <c r="E501" s="51" t="n"/>
      <c r="F501" s="51" t="n"/>
      <c r="G501" s="51" t="n"/>
      <c r="H501" s="51" t="n"/>
      <c r="I501" s="51" t="n"/>
      <c r="J501" s="51" t="n"/>
      <c r="K501" s="51" t="n"/>
      <c r="L501" s="51" t="n"/>
    </row>
    <row r="502">
      <c r="B502" s="51" t="n"/>
      <c r="C502" s="51" t="n"/>
      <c r="D502" s="51" t="n"/>
      <c r="E502" s="51" t="n"/>
      <c r="F502" s="51" t="n"/>
      <c r="G502" s="51" t="n"/>
      <c r="H502" s="51" t="n"/>
      <c r="I502" s="51" t="n"/>
      <c r="J502" s="51" t="n"/>
      <c r="K502" s="51" t="n"/>
      <c r="L502" s="51" t="n"/>
    </row>
    <row r="503">
      <c r="B503" s="51" t="n"/>
      <c r="C503" s="51" t="n"/>
      <c r="D503" s="51" t="n"/>
      <c r="E503" s="51" t="n"/>
      <c r="F503" s="51" t="n"/>
      <c r="G503" s="51" t="n"/>
      <c r="H503" s="51" t="n"/>
      <c r="I503" s="51" t="n"/>
      <c r="J503" s="51" t="n"/>
      <c r="K503" s="51" t="n"/>
      <c r="L503" s="51" t="n"/>
    </row>
    <row r="504">
      <c r="B504" s="51" t="n"/>
      <c r="C504" s="51" t="n"/>
      <c r="D504" s="51" t="n"/>
      <c r="E504" s="51" t="n"/>
      <c r="F504" s="51" t="n"/>
      <c r="G504" s="51" t="n"/>
      <c r="H504" s="51" t="n"/>
      <c r="I504" s="51" t="n"/>
      <c r="J504" s="51" t="n"/>
      <c r="K504" s="51" t="n"/>
      <c r="L504" s="51" t="n"/>
    </row>
    <row r="505">
      <c r="B505" s="51" t="n"/>
      <c r="C505" s="51" t="n"/>
      <c r="D505" s="51" t="n"/>
      <c r="E505" s="51" t="n"/>
      <c r="F505" s="51" t="n"/>
      <c r="G505" s="51" t="n"/>
      <c r="H505" s="51" t="n"/>
      <c r="I505" s="51" t="n"/>
      <c r="J505" s="51" t="n"/>
      <c r="K505" s="51" t="n"/>
      <c r="L505" s="51" t="n"/>
    </row>
    <row r="506">
      <c r="B506" s="51" t="n"/>
      <c r="C506" s="51" t="n"/>
      <c r="D506" s="51" t="n"/>
      <c r="E506" s="51" t="n"/>
      <c r="F506" s="51" t="n"/>
      <c r="G506" s="51" t="n"/>
      <c r="H506" s="51" t="n"/>
      <c r="I506" s="51" t="n"/>
      <c r="J506" s="51" t="n"/>
      <c r="K506" s="51" t="n"/>
      <c r="L506" s="51" t="n"/>
    </row>
    <row r="507">
      <c r="B507" s="51" t="n"/>
      <c r="C507" s="51" t="n"/>
      <c r="D507" s="51" t="n"/>
      <c r="E507" s="51" t="n"/>
      <c r="F507" s="51" t="n"/>
      <c r="G507" s="51" t="n"/>
      <c r="H507" s="51" t="n"/>
      <c r="I507" s="51" t="n"/>
      <c r="J507" s="51" t="n"/>
      <c r="K507" s="51" t="n"/>
      <c r="L507" s="51" t="n"/>
    </row>
    <row r="508">
      <c r="B508" s="51" t="n"/>
      <c r="C508" s="51" t="n"/>
      <c r="D508" s="51" t="n"/>
      <c r="E508" s="51" t="n"/>
      <c r="F508" s="51" t="n"/>
      <c r="G508" s="51" t="n"/>
      <c r="H508" s="51" t="n"/>
      <c r="I508" s="51" t="n"/>
      <c r="J508" s="51" t="n"/>
      <c r="K508" s="51" t="n"/>
      <c r="L508" s="51" t="n"/>
    </row>
    <row r="509">
      <c r="B509" s="51" t="n"/>
      <c r="C509" s="51" t="n"/>
      <c r="D509" s="51" t="n"/>
      <c r="E509" s="51" t="n"/>
      <c r="F509" s="51" t="n"/>
      <c r="G509" s="51" t="n"/>
      <c r="H509" s="51" t="n"/>
      <c r="I509" s="51" t="n"/>
      <c r="J509" s="51" t="n"/>
      <c r="K509" s="51" t="n"/>
      <c r="L509" s="51" t="n"/>
    </row>
    <row r="510">
      <c r="B510" s="51" t="n"/>
      <c r="C510" s="51" t="n"/>
      <c r="D510" s="51" t="n"/>
      <c r="E510" s="51" t="n"/>
      <c r="F510" s="51" t="n"/>
      <c r="G510" s="51" t="n"/>
      <c r="H510" s="51" t="n"/>
      <c r="I510" s="51" t="n"/>
      <c r="J510" s="51" t="n"/>
      <c r="K510" s="51" t="n"/>
      <c r="L510" s="51" t="n"/>
    </row>
    <row r="511">
      <c r="B511" s="51" t="n"/>
      <c r="C511" s="51" t="n"/>
      <c r="D511" s="51" t="n"/>
      <c r="E511" s="51" t="n"/>
      <c r="F511" s="51" t="n"/>
      <c r="G511" s="51" t="n"/>
      <c r="H511" s="51" t="n"/>
      <c r="I511" s="51" t="n"/>
      <c r="J511" s="51" t="n"/>
      <c r="K511" s="51" t="n"/>
      <c r="L511" s="51" t="n"/>
    </row>
    <row r="512">
      <c r="B512" s="51" t="n"/>
      <c r="C512" s="51" t="n"/>
      <c r="D512" s="51" t="n"/>
      <c r="E512" s="51" t="n"/>
      <c r="F512" s="51" t="n"/>
      <c r="G512" s="51" t="n"/>
      <c r="H512" s="51" t="n"/>
      <c r="I512" s="51" t="n"/>
      <c r="J512" s="51" t="n"/>
      <c r="K512" s="51" t="n"/>
      <c r="L512" s="51" t="n"/>
    </row>
    <row r="513">
      <c r="B513" s="51" t="n"/>
      <c r="C513" s="51" t="n"/>
      <c r="D513" s="51" t="n"/>
      <c r="E513" s="51" t="n"/>
      <c r="F513" s="51" t="n"/>
      <c r="G513" s="51" t="n"/>
      <c r="H513" s="51" t="n"/>
      <c r="I513" s="51" t="n"/>
      <c r="J513" s="51" t="n"/>
      <c r="K513" s="51" t="n"/>
      <c r="L513" s="51" t="n"/>
    </row>
    <row r="514">
      <c r="B514" s="51" t="n"/>
      <c r="C514" s="51" t="n"/>
      <c r="D514" s="51" t="n"/>
      <c r="E514" s="51" t="n"/>
      <c r="F514" s="51" t="n"/>
      <c r="G514" s="51" t="n"/>
      <c r="H514" s="51" t="n"/>
      <c r="I514" s="51" t="n"/>
      <c r="J514" s="51" t="n"/>
      <c r="K514" s="51" t="n"/>
      <c r="L514" s="51" t="n"/>
    </row>
    <row r="515">
      <c r="B515" s="51" t="n"/>
      <c r="C515" s="51" t="n"/>
      <c r="D515" s="51" t="n"/>
      <c r="E515" s="51" t="n"/>
      <c r="F515" s="51" t="n"/>
      <c r="G515" s="51" t="n"/>
      <c r="H515" s="51" t="n"/>
      <c r="I515" s="51" t="n"/>
      <c r="J515" s="51" t="n"/>
      <c r="K515" s="51" t="n"/>
      <c r="L515" s="51" t="n"/>
    </row>
    <row r="516">
      <c r="B516" s="51" t="n"/>
      <c r="C516" s="51" t="n"/>
      <c r="D516" s="51" t="n"/>
      <c r="E516" s="51" t="n"/>
      <c r="F516" s="51" t="n"/>
      <c r="G516" s="51" t="n"/>
      <c r="H516" s="51" t="n"/>
      <c r="I516" s="51" t="n"/>
      <c r="J516" s="51" t="n"/>
      <c r="K516" s="51" t="n"/>
      <c r="L516" s="51" t="n"/>
    </row>
    <row r="517">
      <c r="B517" s="51" t="n"/>
      <c r="C517" s="51" t="n"/>
      <c r="D517" s="51" t="n"/>
      <c r="E517" s="51" t="n"/>
      <c r="F517" s="51" t="n"/>
      <c r="G517" s="51" t="n"/>
      <c r="H517" s="51" t="n"/>
      <c r="I517" s="51" t="n"/>
      <c r="J517" s="51" t="n"/>
      <c r="K517" s="51" t="n"/>
      <c r="L517" s="51" t="n"/>
    </row>
  </sheetData>
  <mergeCells count="8">
    <mergeCell ref="B4:L4"/>
    <mergeCell ref="B6:L6"/>
    <mergeCell ref="B7:L7"/>
    <mergeCell ref="B10:C10"/>
    <mergeCell ref="B3:L3"/>
    <mergeCell ref="B5:L5"/>
    <mergeCell ref="D8:L8"/>
    <mergeCell ref="B8:C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AND(LEN($B17&amp;$C17&amp;$D17&amp;$E17&amp;$F17&amp;$G17&amp;$H17&amp;$I17&amp;$J17&amp;$K17&amp;$L17)&gt;0,B17="")</formula>
    </cfRule>
  </conditionalFormatting>
  <conditionalFormatting sqref="C17:C517">
    <cfRule type="expression" priority="3" dxfId="6">
      <formula>AND(LEN($B17&amp;$C17&amp;$D17&amp;$E17&amp;$F17&amp;$G17&amp;$H17&amp;$I17&amp;$J17&amp;$K17&amp;$L17)&gt;0,C17="")</formula>
    </cfRule>
  </conditionalFormatting>
  <conditionalFormatting sqref="L17:L517">
    <cfRule type="expression" priority="4" dxfId="6">
      <formula>AND(LEN($B17&amp;$C17&amp;$D17&amp;$E17&amp;$F17&amp;$G17&amp;$H17&amp;$I17&amp;$J17&amp;$K17&amp;$L17)&gt;0,L17="")</formula>
    </cfRule>
  </conditionalFormatting>
  <dataValidations count="12">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Action" error="Choose a value of the list Bulk request action (sheet Reference lists)." promptTitle="Action" prompt="Yes. ENROL for the go-live load Allowed: ENROL, MODIFY, DEACTIVATE, REACTIVATE (list Bulk request action)" type="list" errorStyle="stop">
      <formula1>=LIST_UA_ACTION</formula1>
    </dataValidation>
    <dataValidation sqref="C17:C517" showDropDown="0" showInputMessage="1" showErrorMessage="1" allowBlank="1" errorTitle="User ID" error="At most 10 characters." promptTitle="User ID" prompt="Yes. The BIBS user ID; unique Allowed: Free entry, up to 10 characters" type="textLength" operator="lessThanOrEqual">
      <formula1>10</formula1>
    </dataValidation>
    <dataValidation sqref="D17:D517" showDropDown="0" showInputMessage="1" showErrorMessage="1" allowBlank="1" errorTitle="Full Name" error="At most 120 characters." promptTitle="Full Name" prompt="Conditional: ENROL. Name shown on screens and reports Allowed: Free entry, up to 120 characters" type="textLength" operator="lessThanOrEqual">
      <formula1>120</formula1>
    </dataValidation>
    <dataValidation sqref="E17:E517" showDropDown="0" showInputMessage="1" showErrorMessage="0" allowBlank="1" promptTitle="E-mail" prompt="No. Receives the access-changed notices and the reset links"/>
    <dataValidation sqref="F17:F517" showDropDown="0" showInputMessage="1" showErrorMessage="0" allowBlank="1" promptTitle="Windows ID" prompt="No. Used for the BDO directory sign-in when it is enabled"/>
    <dataValidation sqref="G17:G517" showDropDown="0" showInputMessage="1" showErrorMessage="0" allowBlank="1" promptTitle="Home Branch Code" prompt="No. Home branch of the user"/>
    <dataValidation sqref="H17:H517" showDropDown="0" showInputMessage="1" showErrorMessage="0" allowBlank="1" promptTitle="Business Unit" prompt="No. Business unit group Allowed: Codes of UA-06 Lists of values, column Code (one or more)"/>
    <dataValidation sqref="I17:I517" showDropDown="0" showInputMessage="1" showErrorMessage="0" allowBlank="1" promptTitle="User Level" prompt="No. User level Allowed: Codes of UA-06 Lists of values, column Code (one or more)"/>
    <dataValidation sqref="J17:J517" showDropDown="0" showInputMessage="1" showErrorMessage="0" allowBlank="1" promptTitle="Group Profiles" prompt="Conditional: ENROL. The group profiles of the user Allowed: Codes of UA-02 Role-to-permission matrix, column Group profile code (one or more)"/>
    <dataValidation sqref="K17:K517" showDropDown="0" showInputMessage="1" showErrorMessage="0" allowBlank="1" promptTitle="Effective Date" prompt="No. Date the change applies"/>
    <dataValidation sqref="L17:L517" showDropDown="0" showInputMessage="1" showErrorMessage="1" allowBlank="1" errorTitle="Remarks" error="At most 1000 characters." promptTitle="Remarks" prompt="Yes. Justification of the line Allowed: Free entry, up to 1000 characters" type="textLength" operator="lessThanOrEqual">
      <formula1>1000</formula1>
    </dataValidation>
  </dataValidations>
  <hyperlinks>
    <hyperlink ref="A2" location="'Start here'!A1"/>
    <hyperlink ref="L2" location="'Questions and comments'!A1"/>
    <hyperlink ref="B8" location="'UA-06 Lists of values'!A1"/>
    <hyperlink ref="D8" location="'UA-02 Role matrix'!A1"/>
    <hyperlink ref="B14" location="'Reference lists'!A140"/>
    <hyperlink ref="H14" location="'UA-06 Lists of values'!C16"/>
    <hyperlink ref="I14" location="'UA-06 Lists of values'!C16"/>
    <hyperlink ref="J14" location="'UA-02 Role matrix'!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3" customWidth="1" min="3" max="3"/>
    <col width="16" customWidth="1" min="4" max="4"/>
    <col width="12" customWidth="1" min="5" max="5"/>
    <col width="12" customWidth="1" min="6" max="6"/>
    <col width="12" customWidth="1" min="7" max="7"/>
  </cols>
  <sheetData>
    <row r="1" ht="26" customHeight="1">
      <c r="A1" s="27" t="inlineStr">
        <is>
          <t>D0-03 Holiday calendar</t>
        </is>
      </c>
      <c r="G1" s="28" t="inlineStr">
        <is>
          <t>Step 11 of 31</t>
        </is>
      </c>
    </row>
    <row r="2">
      <c r="A2" s="29" t="inlineStr">
        <is>
          <t>← Back to Start here</t>
        </is>
      </c>
      <c r="B2" s="30" t="inlineStr">
        <is>
          <t>Step 11 of 31. Fill in one row per record below the column headers; the guide above each column says what to enter.</t>
        </is>
      </c>
      <c r="G2" s="31" t="inlineStr">
        <is>
          <t>Ask a question →</t>
        </is>
      </c>
    </row>
    <row r="3" outlineLevel="1" ht="15.5" customHeight="1">
      <c r="A3" s="32" t="inlineStr">
        <is>
          <t>Purpose</t>
        </is>
      </c>
      <c r="B3" s="33" t="inlineStr">
        <is>
          <t>Public and company holidays of 2027 and 2028</t>
        </is>
      </c>
    </row>
    <row r="4" outlineLevel="1" ht="15.5" customHeight="1">
      <c r="A4" s="32" t="inlineStr">
        <is>
          <t>Provided by</t>
        </is>
      </c>
      <c r="B4" s="33" t="inlineStr">
        <is>
          <t>Head, Comptrollership; Human Resources</t>
        </is>
      </c>
    </row>
    <row r="5" outlineLevel="1" ht="15.5" customHeight="1">
      <c r="A5" s="32" t="inlineStr">
        <is>
          <t>Due</t>
        </is>
      </c>
      <c r="B5" s="34" t="inlineStr">
        <is>
          <t>4-Jan-2027 – Platform set-up for Drop 1 SIT</t>
        </is>
      </c>
    </row>
    <row r="6" outlineLevel="1" ht="28" customHeight="1">
      <c r="A6" s="32" t="inlineStr">
        <is>
          <t>How it is loaded</t>
        </is>
      </c>
      <c r="B6" s="33" t="inlineStr">
        <is>
          <t>Holiday Calendar (Setup &amp; Administration); 2028 before the dress rehearsal, later years each December</t>
        </is>
      </c>
    </row>
    <row r="7" outlineLevel="1" ht="15.5" customHeight="1">
      <c r="A7" s="32" t="inlineStr">
        <is>
          <t>Source</t>
        </is>
      </c>
      <c r="B7" s="33" t="inlineStr">
        <is>
          <t>Proclamations of the national holidays; BDOI company holidays</t>
        </is>
      </c>
    </row>
    <row r="8" outlineLevel="1" ht="15" customHeight="1">
      <c r="A8" s="32" t="inlineStr">
        <is>
          <t>Depends on</t>
        </is>
      </c>
      <c r="B8" s="55" t="inlineStr">
        <is>
          <t>D0-02 Branches →</t>
        </is>
      </c>
    </row>
    <row r="9" ht="26" customHeight="1">
      <c r="A9" s="36" t="inlineStr">
        <is>
          <t>Progress</t>
        </is>
      </c>
      <c r="B9" s="37" t="inlineStr">
        <is>
          <t>Rows entered</t>
        </is>
      </c>
      <c r="C9" s="38">
        <f>SUMPRODUCT(((ROW($D$17:$D$517)&gt;17)+($D$17&lt;&gt;"New Year's Day")&gt;0)*(LEN($B$17:$B$517&amp;$C$17:$C$517&amp;$D$17:$D$517)&gt;0))</f>
        <v/>
      </c>
      <c r="D9" s="37" t="inlineStr">
        <is>
          <t>Mandatory cells missing</t>
        </is>
      </c>
      <c r="E9" s="38">
        <f>SUMPRODUCT(((ROW($D$17:$D$517)&gt;17)+($D$17&lt;&gt;"New Year's Day")&gt;0)*(LEN($B$17:$B$517&amp;$C$17:$C$517&amp;$D$17:$D$517)&gt;0)*(($C$17:$C$517="")+($D$17:$D$517="")))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5" t="inlineStr">
        <is>
          <t>No</t>
        </is>
      </c>
      <c r="C12" s="44" t="inlineStr">
        <is>
          <t>Yes</t>
        </is>
      </c>
      <c r="D12" s="44" t="inlineStr">
        <is>
          <t>Yes</t>
        </is>
      </c>
    </row>
    <row r="13" ht="30" customHeight="1">
      <c r="A13" s="43" t="inlineStr">
        <is>
          <t>Format</t>
        </is>
      </c>
      <c r="B13" s="45" t="inlineStr">
        <is>
          <t>Code of D0-02; blank = every branch</t>
        </is>
      </c>
      <c r="C13" s="45" t="inlineStr">
        <is>
          <t>dd-MMM-yyyy</t>
        </is>
      </c>
      <c r="D13" s="45" t="inlineStr">
        <is>
          <t>Up to 120 characters</t>
        </is>
      </c>
    </row>
    <row r="14" ht="43" customHeight="1">
      <c r="A14" s="43" t="inlineStr">
        <is>
          <t>Allowed values</t>
        </is>
      </c>
      <c r="B14" s="53" t="inlineStr">
        <is>
          <t>A code of D0-02 Branches, column Branch code</t>
        </is>
      </c>
      <c r="C14" s="45" t="inlineStr">
        <is>
          <t>A date, for example 15-Jan-2028</t>
        </is>
      </c>
      <c r="D14" s="45" t="inlineStr">
        <is>
          <t>Free entry, up to 120 characters</t>
        </is>
      </c>
    </row>
    <row r="15" ht="30" customHeight="1">
      <c r="A15" s="43" t="inlineStr">
        <is>
          <t>What to enter</t>
        </is>
      </c>
      <c r="B15" s="45" t="inlineStr">
        <is>
          <t>Branch the holiday applies to</t>
        </is>
      </c>
      <c r="C15" s="45" t="inlineStr">
        <is>
          <t>Date of the holiday</t>
        </is>
      </c>
      <c r="D15" s="45" t="inlineStr">
        <is>
          <t>Name of the holiday</t>
        </is>
      </c>
    </row>
    <row r="16" ht="30" customHeight="1">
      <c r="A16" s="46" t="inlineStr">
        <is>
          <t>Row</t>
        </is>
      </c>
      <c r="B16" s="47" t="inlineStr">
        <is>
          <t>Branch code</t>
        </is>
      </c>
      <c r="C16" s="47" t="inlineStr">
        <is>
          <t>Date *</t>
        </is>
      </c>
      <c r="D16" s="47" t="inlineStr">
        <is>
          <t>Description *</t>
        </is>
      </c>
    </row>
    <row r="17" ht="18" customHeight="1">
      <c r="A17" s="48" t="inlineStr">
        <is>
          <t>Example – overwrite or delete</t>
        </is>
      </c>
      <c r="B17" s="49" t="n"/>
      <c r="C17" s="50" t="n">
        <v>46753</v>
      </c>
      <c r="D17" s="49" t="inlineStr">
        <is>
          <t>New Year's Day</t>
        </is>
      </c>
    </row>
    <row r="18">
      <c r="B18" s="51" t="n"/>
      <c r="C18" s="52" t="n"/>
      <c r="D18" s="51" t="n"/>
    </row>
    <row r="19">
      <c r="B19" s="51" t="n"/>
      <c r="C19" s="52" t="n"/>
      <c r="D19" s="51" t="n"/>
    </row>
    <row r="20">
      <c r="B20" s="51" t="n"/>
      <c r="C20" s="52" t="n"/>
      <c r="D20" s="51" t="n"/>
    </row>
    <row r="21">
      <c r="B21" s="51" t="n"/>
      <c r="C21" s="52" t="n"/>
      <c r="D21" s="51" t="n"/>
    </row>
    <row r="22">
      <c r="B22" s="51" t="n"/>
      <c r="C22" s="52" t="n"/>
      <c r="D22" s="51" t="n"/>
    </row>
    <row r="23">
      <c r="B23" s="51" t="n"/>
      <c r="C23" s="52" t="n"/>
      <c r="D23" s="51" t="n"/>
    </row>
    <row r="24">
      <c r="B24" s="51" t="n"/>
      <c r="C24" s="52" t="n"/>
      <c r="D24" s="51" t="n"/>
    </row>
    <row r="25">
      <c r="B25" s="51" t="n"/>
      <c r="C25" s="52" t="n"/>
      <c r="D25" s="51" t="n"/>
    </row>
    <row r="26">
      <c r="B26" s="51" t="n"/>
      <c r="C26" s="52" t="n"/>
      <c r="D26" s="51" t="n"/>
    </row>
    <row r="27">
      <c r="B27" s="51" t="n"/>
      <c r="C27" s="52" t="n"/>
      <c r="D27" s="51" t="n"/>
    </row>
    <row r="28">
      <c r="B28" s="51" t="n"/>
      <c r="C28" s="52" t="n"/>
      <c r="D28" s="51" t="n"/>
    </row>
    <row r="29">
      <c r="B29" s="51" t="n"/>
      <c r="C29" s="52" t="n"/>
      <c r="D29" s="51" t="n"/>
    </row>
    <row r="30">
      <c r="B30" s="51" t="n"/>
      <c r="C30" s="52" t="n"/>
      <c r="D30" s="51" t="n"/>
    </row>
    <row r="31">
      <c r="B31" s="51" t="n"/>
      <c r="C31" s="52" t="n"/>
      <c r="D31" s="51" t="n"/>
    </row>
    <row r="32">
      <c r="B32" s="51" t="n"/>
      <c r="C32" s="52" t="n"/>
      <c r="D32" s="51" t="n"/>
    </row>
    <row r="33">
      <c r="B33" s="51" t="n"/>
      <c r="C33" s="52" t="n"/>
      <c r="D33" s="51" t="n"/>
    </row>
    <row r="34">
      <c r="B34" s="51" t="n"/>
      <c r="C34" s="52" t="n"/>
      <c r="D34" s="51" t="n"/>
    </row>
    <row r="35">
      <c r="B35" s="51" t="n"/>
      <c r="C35" s="52" t="n"/>
      <c r="D35" s="51" t="n"/>
    </row>
    <row r="36">
      <c r="B36" s="51" t="n"/>
      <c r="C36" s="52" t="n"/>
      <c r="D36" s="51" t="n"/>
    </row>
    <row r="37">
      <c r="B37" s="51" t="n"/>
      <c r="C37" s="52" t="n"/>
      <c r="D37" s="51" t="n"/>
    </row>
    <row r="38">
      <c r="B38" s="51" t="n"/>
      <c r="C38" s="52" t="n"/>
      <c r="D38" s="51" t="n"/>
    </row>
    <row r="39">
      <c r="B39" s="51" t="n"/>
      <c r="C39" s="52" t="n"/>
      <c r="D39" s="51" t="n"/>
    </row>
    <row r="40">
      <c r="B40" s="51" t="n"/>
      <c r="C40" s="52" t="n"/>
      <c r="D40" s="51" t="n"/>
    </row>
    <row r="41">
      <c r="B41" s="51" t="n"/>
      <c r="C41" s="52" t="n"/>
      <c r="D41" s="51" t="n"/>
    </row>
    <row r="42">
      <c r="B42" s="51" t="n"/>
      <c r="C42" s="52" t="n"/>
      <c r="D42" s="51" t="n"/>
    </row>
    <row r="43">
      <c r="B43" s="51" t="n"/>
      <c r="C43" s="52" t="n"/>
      <c r="D43" s="51" t="n"/>
    </row>
    <row r="44">
      <c r="B44" s="51" t="n"/>
      <c r="C44" s="52" t="n"/>
      <c r="D44" s="51" t="n"/>
    </row>
    <row r="45">
      <c r="B45" s="51" t="n"/>
      <c r="C45" s="52" t="n"/>
      <c r="D45" s="51" t="n"/>
    </row>
    <row r="46">
      <c r="B46" s="51" t="n"/>
      <c r="C46" s="52" t="n"/>
      <c r="D46" s="51" t="n"/>
    </row>
    <row r="47">
      <c r="B47" s="51" t="n"/>
      <c r="C47" s="52" t="n"/>
      <c r="D47" s="51" t="n"/>
    </row>
    <row r="48">
      <c r="B48" s="51" t="n"/>
      <c r="C48" s="52" t="n"/>
      <c r="D48" s="51" t="n"/>
    </row>
    <row r="49">
      <c r="B49" s="51" t="n"/>
      <c r="C49" s="52" t="n"/>
      <c r="D49" s="51" t="n"/>
    </row>
    <row r="50">
      <c r="B50" s="51" t="n"/>
      <c r="C50" s="52" t="n"/>
      <c r="D50" s="51" t="n"/>
    </row>
    <row r="51">
      <c r="B51" s="51" t="n"/>
      <c r="C51" s="52" t="n"/>
      <c r="D51" s="51" t="n"/>
    </row>
    <row r="52">
      <c r="B52" s="51" t="n"/>
      <c r="C52" s="52" t="n"/>
      <c r="D52" s="51" t="n"/>
    </row>
    <row r="53">
      <c r="B53" s="51" t="n"/>
      <c r="C53" s="52" t="n"/>
      <c r="D53" s="51" t="n"/>
    </row>
    <row r="54">
      <c r="B54" s="51" t="n"/>
      <c r="C54" s="52" t="n"/>
      <c r="D54" s="51" t="n"/>
    </row>
    <row r="55">
      <c r="B55" s="51" t="n"/>
      <c r="C55" s="52" t="n"/>
      <c r="D55" s="51" t="n"/>
    </row>
    <row r="56">
      <c r="B56" s="51" t="n"/>
      <c r="C56" s="52" t="n"/>
      <c r="D56" s="51" t="n"/>
    </row>
    <row r="57">
      <c r="B57" s="51" t="n"/>
      <c r="C57" s="52" t="n"/>
      <c r="D57" s="51" t="n"/>
    </row>
    <row r="58">
      <c r="B58" s="51" t="n"/>
      <c r="C58" s="52" t="n"/>
      <c r="D58" s="51" t="n"/>
    </row>
    <row r="59">
      <c r="B59" s="51" t="n"/>
      <c r="C59" s="52" t="n"/>
      <c r="D59" s="51" t="n"/>
    </row>
    <row r="60">
      <c r="B60" s="51" t="n"/>
      <c r="C60" s="52" t="n"/>
      <c r="D60" s="51" t="n"/>
    </row>
    <row r="61">
      <c r="B61" s="51" t="n"/>
      <c r="C61" s="52" t="n"/>
      <c r="D61" s="51" t="n"/>
    </row>
    <row r="62">
      <c r="B62" s="51" t="n"/>
      <c r="C62" s="52" t="n"/>
      <c r="D62" s="51" t="n"/>
    </row>
    <row r="63">
      <c r="B63" s="51" t="n"/>
      <c r="C63" s="52" t="n"/>
      <c r="D63" s="51" t="n"/>
    </row>
    <row r="64">
      <c r="B64" s="51" t="n"/>
      <c r="C64" s="52" t="n"/>
      <c r="D64" s="51" t="n"/>
    </row>
    <row r="65">
      <c r="B65" s="51" t="n"/>
      <c r="C65" s="52" t="n"/>
      <c r="D65" s="51" t="n"/>
    </row>
    <row r="66">
      <c r="B66" s="51" t="n"/>
      <c r="C66" s="52" t="n"/>
      <c r="D66" s="51" t="n"/>
    </row>
    <row r="67">
      <c r="B67" s="51" t="n"/>
      <c r="C67" s="52" t="n"/>
      <c r="D67" s="51" t="n"/>
    </row>
    <row r="68">
      <c r="B68" s="51" t="n"/>
      <c r="C68" s="52" t="n"/>
      <c r="D68" s="51" t="n"/>
    </row>
    <row r="69">
      <c r="B69" s="51" t="n"/>
      <c r="C69" s="52" t="n"/>
      <c r="D69" s="51" t="n"/>
    </row>
    <row r="70">
      <c r="B70" s="51" t="n"/>
      <c r="C70" s="52" t="n"/>
      <c r="D70" s="51" t="n"/>
    </row>
    <row r="71">
      <c r="B71" s="51" t="n"/>
      <c r="C71" s="52" t="n"/>
      <c r="D71" s="51" t="n"/>
    </row>
    <row r="72">
      <c r="B72" s="51" t="n"/>
      <c r="C72" s="52" t="n"/>
      <c r="D72" s="51" t="n"/>
    </row>
    <row r="73">
      <c r="B73" s="51" t="n"/>
      <c r="C73" s="52" t="n"/>
      <c r="D73" s="51" t="n"/>
    </row>
    <row r="74">
      <c r="B74" s="51" t="n"/>
      <c r="C74" s="52" t="n"/>
      <c r="D74" s="51" t="n"/>
    </row>
    <row r="75">
      <c r="B75" s="51" t="n"/>
      <c r="C75" s="52" t="n"/>
      <c r="D75" s="51" t="n"/>
    </row>
    <row r="76">
      <c r="B76" s="51" t="n"/>
      <c r="C76" s="52" t="n"/>
      <c r="D76" s="51" t="n"/>
    </row>
    <row r="77">
      <c r="B77" s="51" t="n"/>
      <c r="C77" s="52" t="n"/>
      <c r="D77" s="51" t="n"/>
    </row>
    <row r="78">
      <c r="B78" s="51" t="n"/>
      <c r="C78" s="52" t="n"/>
      <c r="D78" s="51" t="n"/>
    </row>
    <row r="79">
      <c r="B79" s="51" t="n"/>
      <c r="C79" s="52" t="n"/>
      <c r="D79" s="51" t="n"/>
    </row>
    <row r="80">
      <c r="B80" s="51" t="n"/>
      <c r="C80" s="52" t="n"/>
      <c r="D80" s="51" t="n"/>
    </row>
    <row r="81">
      <c r="B81" s="51" t="n"/>
      <c r="C81" s="52" t="n"/>
      <c r="D81" s="51" t="n"/>
    </row>
    <row r="82">
      <c r="B82" s="51" t="n"/>
      <c r="C82" s="52" t="n"/>
      <c r="D82" s="51" t="n"/>
    </row>
    <row r="83">
      <c r="B83" s="51" t="n"/>
      <c r="C83" s="52" t="n"/>
      <c r="D83" s="51" t="n"/>
    </row>
    <row r="84">
      <c r="B84" s="51" t="n"/>
      <c r="C84" s="52" t="n"/>
      <c r="D84" s="51" t="n"/>
    </row>
    <row r="85">
      <c r="B85" s="51" t="n"/>
      <c r="C85" s="52" t="n"/>
      <c r="D85" s="51" t="n"/>
    </row>
    <row r="86">
      <c r="B86" s="51" t="n"/>
      <c r="C86" s="52" t="n"/>
      <c r="D86" s="51" t="n"/>
    </row>
    <row r="87">
      <c r="B87" s="51" t="n"/>
      <c r="C87" s="52" t="n"/>
      <c r="D87" s="51" t="n"/>
    </row>
    <row r="88">
      <c r="B88" s="51" t="n"/>
      <c r="C88" s="52" t="n"/>
      <c r="D88" s="51" t="n"/>
    </row>
    <row r="89">
      <c r="B89" s="51" t="n"/>
      <c r="C89" s="52" t="n"/>
      <c r="D89" s="51" t="n"/>
    </row>
    <row r="90">
      <c r="B90" s="51" t="n"/>
      <c r="C90" s="52" t="n"/>
      <c r="D90" s="51" t="n"/>
    </row>
    <row r="91">
      <c r="B91" s="51" t="n"/>
      <c r="C91" s="52" t="n"/>
      <c r="D91" s="51" t="n"/>
    </row>
    <row r="92">
      <c r="B92" s="51" t="n"/>
      <c r="C92" s="52" t="n"/>
      <c r="D92" s="51" t="n"/>
    </row>
    <row r="93">
      <c r="B93" s="51" t="n"/>
      <c r="C93" s="52" t="n"/>
      <c r="D93" s="51" t="n"/>
    </row>
    <row r="94">
      <c r="B94" s="51" t="n"/>
      <c r="C94" s="52" t="n"/>
      <c r="D94" s="51" t="n"/>
    </row>
    <row r="95">
      <c r="B95" s="51" t="n"/>
      <c r="C95" s="52" t="n"/>
      <c r="D95" s="51" t="n"/>
    </row>
    <row r="96">
      <c r="B96" s="51" t="n"/>
      <c r="C96" s="52" t="n"/>
      <c r="D96" s="51" t="n"/>
    </row>
    <row r="97">
      <c r="B97" s="51" t="n"/>
      <c r="C97" s="52" t="n"/>
      <c r="D97" s="51" t="n"/>
    </row>
    <row r="98">
      <c r="B98" s="51" t="n"/>
      <c r="C98" s="52" t="n"/>
      <c r="D98" s="51" t="n"/>
    </row>
    <row r="99">
      <c r="B99" s="51" t="n"/>
      <c r="C99" s="52" t="n"/>
      <c r="D99" s="51" t="n"/>
    </row>
    <row r="100">
      <c r="B100" s="51" t="n"/>
      <c r="C100" s="52" t="n"/>
      <c r="D100" s="51" t="n"/>
    </row>
    <row r="101">
      <c r="B101" s="51" t="n"/>
      <c r="C101" s="52" t="n"/>
      <c r="D101" s="51" t="n"/>
    </row>
    <row r="102">
      <c r="B102" s="51" t="n"/>
      <c r="C102" s="52" t="n"/>
      <c r="D102" s="51" t="n"/>
    </row>
    <row r="103">
      <c r="B103" s="51" t="n"/>
      <c r="C103" s="52" t="n"/>
      <c r="D103" s="51" t="n"/>
    </row>
    <row r="104">
      <c r="B104" s="51" t="n"/>
      <c r="C104" s="52" t="n"/>
      <c r="D104" s="51" t="n"/>
    </row>
    <row r="105">
      <c r="B105" s="51" t="n"/>
      <c r="C105" s="52" t="n"/>
      <c r="D105" s="51" t="n"/>
    </row>
    <row r="106">
      <c r="B106" s="51" t="n"/>
      <c r="C106" s="52" t="n"/>
      <c r="D106" s="51" t="n"/>
    </row>
    <row r="107">
      <c r="B107" s="51" t="n"/>
      <c r="C107" s="52" t="n"/>
      <c r="D107" s="51" t="n"/>
    </row>
    <row r="108">
      <c r="B108" s="51" t="n"/>
      <c r="C108" s="52" t="n"/>
      <c r="D108" s="51" t="n"/>
    </row>
    <row r="109">
      <c r="B109" s="51" t="n"/>
      <c r="C109" s="52" t="n"/>
      <c r="D109" s="51" t="n"/>
    </row>
    <row r="110">
      <c r="B110" s="51" t="n"/>
      <c r="C110" s="52" t="n"/>
      <c r="D110" s="51" t="n"/>
    </row>
    <row r="111">
      <c r="B111" s="51" t="n"/>
      <c r="C111" s="52" t="n"/>
      <c r="D111" s="51" t="n"/>
    </row>
    <row r="112">
      <c r="B112" s="51" t="n"/>
      <c r="C112" s="52" t="n"/>
      <c r="D112" s="51" t="n"/>
    </row>
    <row r="113">
      <c r="B113" s="51" t="n"/>
      <c r="C113" s="52" t="n"/>
      <c r="D113" s="51" t="n"/>
    </row>
    <row r="114">
      <c r="B114" s="51" t="n"/>
      <c r="C114" s="52" t="n"/>
      <c r="D114" s="51" t="n"/>
    </row>
    <row r="115">
      <c r="B115" s="51" t="n"/>
      <c r="C115" s="52" t="n"/>
      <c r="D115" s="51" t="n"/>
    </row>
    <row r="116">
      <c r="B116" s="51" t="n"/>
      <c r="C116" s="52" t="n"/>
      <c r="D116" s="51" t="n"/>
    </row>
    <row r="117">
      <c r="B117" s="51" t="n"/>
      <c r="C117" s="52" t="n"/>
      <c r="D117" s="51" t="n"/>
    </row>
    <row r="118">
      <c r="B118" s="51" t="n"/>
      <c r="C118" s="52" t="n"/>
      <c r="D118" s="51" t="n"/>
    </row>
    <row r="119">
      <c r="B119" s="51" t="n"/>
      <c r="C119" s="52" t="n"/>
      <c r="D119" s="51" t="n"/>
    </row>
    <row r="120">
      <c r="B120" s="51" t="n"/>
      <c r="C120" s="52" t="n"/>
      <c r="D120" s="51" t="n"/>
    </row>
    <row r="121">
      <c r="B121" s="51" t="n"/>
      <c r="C121" s="52" t="n"/>
      <c r="D121" s="51" t="n"/>
    </row>
    <row r="122">
      <c r="B122" s="51" t="n"/>
      <c r="C122" s="52" t="n"/>
      <c r="D122" s="51" t="n"/>
    </row>
    <row r="123">
      <c r="B123" s="51" t="n"/>
      <c r="C123" s="52" t="n"/>
      <c r="D123" s="51" t="n"/>
    </row>
    <row r="124">
      <c r="B124" s="51" t="n"/>
      <c r="C124" s="52" t="n"/>
      <c r="D124" s="51" t="n"/>
    </row>
    <row r="125">
      <c r="B125" s="51" t="n"/>
      <c r="C125" s="52" t="n"/>
      <c r="D125" s="51" t="n"/>
    </row>
    <row r="126">
      <c r="B126" s="51" t="n"/>
      <c r="C126" s="52" t="n"/>
      <c r="D126" s="51" t="n"/>
    </row>
    <row r="127">
      <c r="B127" s="51" t="n"/>
      <c r="C127" s="52" t="n"/>
      <c r="D127" s="51" t="n"/>
    </row>
    <row r="128">
      <c r="B128" s="51" t="n"/>
      <c r="C128" s="52" t="n"/>
      <c r="D128" s="51" t="n"/>
    </row>
    <row r="129">
      <c r="B129" s="51" t="n"/>
      <c r="C129" s="52" t="n"/>
      <c r="D129" s="51" t="n"/>
    </row>
    <row r="130">
      <c r="B130" s="51" t="n"/>
      <c r="C130" s="52" t="n"/>
      <c r="D130" s="51" t="n"/>
    </row>
    <row r="131">
      <c r="B131" s="51" t="n"/>
      <c r="C131" s="52" t="n"/>
      <c r="D131" s="51" t="n"/>
    </row>
    <row r="132">
      <c r="B132" s="51" t="n"/>
      <c r="C132" s="52" t="n"/>
      <c r="D132" s="51" t="n"/>
    </row>
    <row r="133">
      <c r="B133" s="51" t="n"/>
      <c r="C133" s="52" t="n"/>
      <c r="D133" s="51" t="n"/>
    </row>
    <row r="134">
      <c r="B134" s="51" t="n"/>
      <c r="C134" s="52" t="n"/>
      <c r="D134" s="51" t="n"/>
    </row>
    <row r="135">
      <c r="B135" s="51" t="n"/>
      <c r="C135" s="52" t="n"/>
      <c r="D135" s="51" t="n"/>
    </row>
    <row r="136">
      <c r="B136" s="51" t="n"/>
      <c r="C136" s="52" t="n"/>
      <c r="D136" s="51" t="n"/>
    </row>
    <row r="137">
      <c r="B137" s="51" t="n"/>
      <c r="C137" s="52" t="n"/>
      <c r="D137" s="51" t="n"/>
    </row>
    <row r="138">
      <c r="B138" s="51" t="n"/>
      <c r="C138" s="52" t="n"/>
      <c r="D138" s="51" t="n"/>
    </row>
    <row r="139">
      <c r="B139" s="51" t="n"/>
      <c r="C139" s="52" t="n"/>
      <c r="D139" s="51" t="n"/>
    </row>
    <row r="140">
      <c r="B140" s="51" t="n"/>
      <c r="C140" s="52" t="n"/>
      <c r="D140" s="51" t="n"/>
    </row>
    <row r="141">
      <c r="B141" s="51" t="n"/>
      <c r="C141" s="52" t="n"/>
      <c r="D141" s="51" t="n"/>
    </row>
    <row r="142">
      <c r="B142" s="51" t="n"/>
      <c r="C142" s="52" t="n"/>
      <c r="D142" s="51" t="n"/>
    </row>
    <row r="143">
      <c r="B143" s="51" t="n"/>
      <c r="C143" s="52" t="n"/>
      <c r="D143" s="51" t="n"/>
    </row>
    <row r="144">
      <c r="B144" s="51" t="n"/>
      <c r="C144" s="52" t="n"/>
      <c r="D144" s="51" t="n"/>
    </row>
    <row r="145">
      <c r="B145" s="51" t="n"/>
      <c r="C145" s="52" t="n"/>
      <c r="D145" s="51" t="n"/>
    </row>
    <row r="146">
      <c r="B146" s="51" t="n"/>
      <c r="C146" s="52" t="n"/>
      <c r="D146" s="51" t="n"/>
    </row>
    <row r="147">
      <c r="B147" s="51" t="n"/>
      <c r="C147" s="52" t="n"/>
      <c r="D147" s="51" t="n"/>
    </row>
    <row r="148">
      <c r="B148" s="51" t="n"/>
      <c r="C148" s="52" t="n"/>
      <c r="D148" s="51" t="n"/>
    </row>
    <row r="149">
      <c r="B149" s="51" t="n"/>
      <c r="C149" s="52" t="n"/>
      <c r="D149" s="51" t="n"/>
    </row>
    <row r="150">
      <c r="B150" s="51" t="n"/>
      <c r="C150" s="52" t="n"/>
      <c r="D150" s="51" t="n"/>
    </row>
    <row r="151">
      <c r="B151" s="51" t="n"/>
      <c r="C151" s="52" t="n"/>
      <c r="D151" s="51" t="n"/>
    </row>
    <row r="152">
      <c r="B152" s="51" t="n"/>
      <c r="C152" s="52" t="n"/>
      <c r="D152" s="51" t="n"/>
    </row>
    <row r="153">
      <c r="B153" s="51" t="n"/>
      <c r="C153" s="52" t="n"/>
      <c r="D153" s="51" t="n"/>
    </row>
    <row r="154">
      <c r="B154" s="51" t="n"/>
      <c r="C154" s="52" t="n"/>
      <c r="D154" s="51" t="n"/>
    </row>
    <row r="155">
      <c r="B155" s="51" t="n"/>
      <c r="C155" s="52" t="n"/>
      <c r="D155" s="51" t="n"/>
    </row>
    <row r="156">
      <c r="B156" s="51" t="n"/>
      <c r="C156" s="52" t="n"/>
      <c r="D156" s="51" t="n"/>
    </row>
    <row r="157">
      <c r="B157" s="51" t="n"/>
      <c r="C157" s="52" t="n"/>
      <c r="D157" s="51" t="n"/>
    </row>
    <row r="158">
      <c r="B158" s="51" t="n"/>
      <c r="C158" s="52" t="n"/>
      <c r="D158" s="51" t="n"/>
    </row>
    <row r="159">
      <c r="B159" s="51" t="n"/>
      <c r="C159" s="52" t="n"/>
      <c r="D159" s="51" t="n"/>
    </row>
    <row r="160">
      <c r="B160" s="51" t="n"/>
      <c r="C160" s="52" t="n"/>
      <c r="D160" s="51" t="n"/>
    </row>
    <row r="161">
      <c r="B161" s="51" t="n"/>
      <c r="C161" s="52" t="n"/>
      <c r="D161" s="51" t="n"/>
    </row>
    <row r="162">
      <c r="B162" s="51" t="n"/>
      <c r="C162" s="52" t="n"/>
      <c r="D162" s="51" t="n"/>
    </row>
    <row r="163">
      <c r="B163" s="51" t="n"/>
      <c r="C163" s="52" t="n"/>
      <c r="D163" s="51" t="n"/>
    </row>
    <row r="164">
      <c r="B164" s="51" t="n"/>
      <c r="C164" s="52" t="n"/>
      <c r="D164" s="51" t="n"/>
    </row>
    <row r="165">
      <c r="B165" s="51" t="n"/>
      <c r="C165" s="52" t="n"/>
      <c r="D165" s="51" t="n"/>
    </row>
    <row r="166">
      <c r="B166" s="51" t="n"/>
      <c r="C166" s="52" t="n"/>
      <c r="D166" s="51" t="n"/>
    </row>
    <row r="167">
      <c r="B167" s="51" t="n"/>
      <c r="C167" s="52" t="n"/>
      <c r="D167" s="51" t="n"/>
    </row>
    <row r="168">
      <c r="B168" s="51" t="n"/>
      <c r="C168" s="52" t="n"/>
      <c r="D168" s="51" t="n"/>
    </row>
    <row r="169">
      <c r="B169" s="51" t="n"/>
      <c r="C169" s="52" t="n"/>
      <c r="D169" s="51" t="n"/>
    </row>
    <row r="170">
      <c r="B170" s="51" t="n"/>
      <c r="C170" s="52" t="n"/>
      <c r="D170" s="51" t="n"/>
    </row>
    <row r="171">
      <c r="B171" s="51" t="n"/>
      <c r="C171" s="52" t="n"/>
      <c r="D171" s="51" t="n"/>
    </row>
    <row r="172">
      <c r="B172" s="51" t="n"/>
      <c r="C172" s="52" t="n"/>
      <c r="D172" s="51" t="n"/>
    </row>
    <row r="173">
      <c r="B173" s="51" t="n"/>
      <c r="C173" s="52" t="n"/>
      <c r="D173" s="51" t="n"/>
    </row>
    <row r="174">
      <c r="B174" s="51" t="n"/>
      <c r="C174" s="52" t="n"/>
      <c r="D174" s="51" t="n"/>
    </row>
    <row r="175">
      <c r="B175" s="51" t="n"/>
      <c r="C175" s="52" t="n"/>
      <c r="D175" s="51" t="n"/>
    </row>
    <row r="176">
      <c r="B176" s="51" t="n"/>
      <c r="C176" s="52" t="n"/>
      <c r="D176" s="51" t="n"/>
    </row>
    <row r="177">
      <c r="B177" s="51" t="n"/>
      <c r="C177" s="52" t="n"/>
      <c r="D177" s="51" t="n"/>
    </row>
    <row r="178">
      <c r="B178" s="51" t="n"/>
      <c r="C178" s="52" t="n"/>
      <c r="D178" s="51" t="n"/>
    </row>
    <row r="179">
      <c r="B179" s="51" t="n"/>
      <c r="C179" s="52" t="n"/>
      <c r="D179" s="51" t="n"/>
    </row>
    <row r="180">
      <c r="B180" s="51" t="n"/>
      <c r="C180" s="52" t="n"/>
      <c r="D180" s="51" t="n"/>
    </row>
    <row r="181">
      <c r="B181" s="51" t="n"/>
      <c r="C181" s="52" t="n"/>
      <c r="D181" s="51" t="n"/>
    </row>
    <row r="182">
      <c r="B182" s="51" t="n"/>
      <c r="C182" s="52" t="n"/>
      <c r="D182" s="51" t="n"/>
    </row>
    <row r="183">
      <c r="B183" s="51" t="n"/>
      <c r="C183" s="52" t="n"/>
      <c r="D183" s="51" t="n"/>
    </row>
    <row r="184">
      <c r="B184" s="51" t="n"/>
      <c r="C184" s="52" t="n"/>
      <c r="D184" s="51" t="n"/>
    </row>
    <row r="185">
      <c r="B185" s="51" t="n"/>
      <c r="C185" s="52" t="n"/>
      <c r="D185" s="51" t="n"/>
    </row>
    <row r="186">
      <c r="B186" s="51" t="n"/>
      <c r="C186" s="52" t="n"/>
      <c r="D186" s="51" t="n"/>
    </row>
    <row r="187">
      <c r="B187" s="51" t="n"/>
      <c r="C187" s="52" t="n"/>
      <c r="D187" s="51" t="n"/>
    </row>
    <row r="188">
      <c r="B188" s="51" t="n"/>
      <c r="C188" s="52" t="n"/>
      <c r="D188" s="51" t="n"/>
    </row>
    <row r="189">
      <c r="B189" s="51" t="n"/>
      <c r="C189" s="52" t="n"/>
      <c r="D189" s="51" t="n"/>
    </row>
    <row r="190">
      <c r="B190" s="51" t="n"/>
      <c r="C190" s="52" t="n"/>
      <c r="D190" s="51" t="n"/>
    </row>
    <row r="191">
      <c r="B191" s="51" t="n"/>
      <c r="C191" s="52" t="n"/>
      <c r="D191" s="51" t="n"/>
    </row>
    <row r="192">
      <c r="B192" s="51" t="n"/>
      <c r="C192" s="52" t="n"/>
      <c r="D192" s="51" t="n"/>
    </row>
    <row r="193">
      <c r="B193" s="51" t="n"/>
      <c r="C193" s="52" t="n"/>
      <c r="D193" s="51" t="n"/>
    </row>
    <row r="194">
      <c r="B194" s="51" t="n"/>
      <c r="C194" s="52" t="n"/>
      <c r="D194" s="51" t="n"/>
    </row>
    <row r="195">
      <c r="B195" s="51" t="n"/>
      <c r="C195" s="52" t="n"/>
      <c r="D195" s="51" t="n"/>
    </row>
    <row r="196">
      <c r="B196" s="51" t="n"/>
      <c r="C196" s="52" t="n"/>
      <c r="D196" s="51" t="n"/>
    </row>
    <row r="197">
      <c r="B197" s="51" t="n"/>
      <c r="C197" s="52" t="n"/>
      <c r="D197" s="51" t="n"/>
    </row>
    <row r="198">
      <c r="B198" s="51" t="n"/>
      <c r="C198" s="52" t="n"/>
      <c r="D198" s="51" t="n"/>
    </row>
    <row r="199">
      <c r="B199" s="51" t="n"/>
      <c r="C199" s="52" t="n"/>
      <c r="D199" s="51" t="n"/>
    </row>
    <row r="200">
      <c r="B200" s="51" t="n"/>
      <c r="C200" s="52" t="n"/>
      <c r="D200" s="51" t="n"/>
    </row>
    <row r="201">
      <c r="B201" s="51" t="n"/>
      <c r="C201" s="52" t="n"/>
      <c r="D201" s="51" t="n"/>
    </row>
    <row r="202">
      <c r="B202" s="51" t="n"/>
      <c r="C202" s="52" t="n"/>
      <c r="D202" s="51" t="n"/>
    </row>
    <row r="203">
      <c r="B203" s="51" t="n"/>
      <c r="C203" s="52" t="n"/>
      <c r="D203" s="51" t="n"/>
    </row>
    <row r="204">
      <c r="B204" s="51" t="n"/>
      <c r="C204" s="52" t="n"/>
      <c r="D204" s="51" t="n"/>
    </row>
    <row r="205">
      <c r="B205" s="51" t="n"/>
      <c r="C205" s="52" t="n"/>
      <c r="D205" s="51" t="n"/>
    </row>
    <row r="206">
      <c r="B206" s="51" t="n"/>
      <c r="C206" s="52" t="n"/>
      <c r="D206" s="51" t="n"/>
    </row>
    <row r="207">
      <c r="B207" s="51" t="n"/>
      <c r="C207" s="52" t="n"/>
      <c r="D207" s="51" t="n"/>
    </row>
    <row r="208">
      <c r="B208" s="51" t="n"/>
      <c r="C208" s="52" t="n"/>
      <c r="D208" s="51" t="n"/>
    </row>
    <row r="209">
      <c r="B209" s="51" t="n"/>
      <c r="C209" s="52" t="n"/>
      <c r="D209" s="51" t="n"/>
    </row>
    <row r="210">
      <c r="B210" s="51" t="n"/>
      <c r="C210" s="52" t="n"/>
      <c r="D210" s="51" t="n"/>
    </row>
    <row r="211">
      <c r="B211" s="51" t="n"/>
      <c r="C211" s="52" t="n"/>
      <c r="D211" s="51" t="n"/>
    </row>
    <row r="212">
      <c r="B212" s="51" t="n"/>
      <c r="C212" s="52" t="n"/>
      <c r="D212" s="51" t="n"/>
    </row>
    <row r="213">
      <c r="B213" s="51" t="n"/>
      <c r="C213" s="52" t="n"/>
      <c r="D213" s="51" t="n"/>
    </row>
    <row r="214">
      <c r="B214" s="51" t="n"/>
      <c r="C214" s="52" t="n"/>
      <c r="D214" s="51" t="n"/>
    </row>
    <row r="215">
      <c r="B215" s="51" t="n"/>
      <c r="C215" s="52" t="n"/>
      <c r="D215" s="51" t="n"/>
    </row>
    <row r="216">
      <c r="B216" s="51" t="n"/>
      <c r="C216" s="52" t="n"/>
      <c r="D216" s="51" t="n"/>
    </row>
    <row r="217">
      <c r="B217" s="51" t="n"/>
      <c r="C217" s="52" t="n"/>
      <c r="D217" s="51" t="n"/>
    </row>
    <row r="218">
      <c r="B218" s="51" t="n"/>
      <c r="C218" s="52" t="n"/>
      <c r="D218" s="51" t="n"/>
    </row>
    <row r="219">
      <c r="B219" s="51" t="n"/>
      <c r="C219" s="52" t="n"/>
      <c r="D219" s="51" t="n"/>
    </row>
    <row r="220">
      <c r="B220" s="51" t="n"/>
      <c r="C220" s="52" t="n"/>
      <c r="D220" s="51" t="n"/>
    </row>
    <row r="221">
      <c r="B221" s="51" t="n"/>
      <c r="C221" s="52" t="n"/>
      <c r="D221" s="51" t="n"/>
    </row>
    <row r="222">
      <c r="B222" s="51" t="n"/>
      <c r="C222" s="52" t="n"/>
      <c r="D222" s="51" t="n"/>
    </row>
    <row r="223">
      <c r="B223" s="51" t="n"/>
      <c r="C223" s="52" t="n"/>
      <c r="D223" s="51" t="n"/>
    </row>
    <row r="224">
      <c r="B224" s="51" t="n"/>
      <c r="C224" s="52" t="n"/>
      <c r="D224" s="51" t="n"/>
    </row>
    <row r="225">
      <c r="B225" s="51" t="n"/>
      <c r="C225" s="52" t="n"/>
      <c r="D225" s="51" t="n"/>
    </row>
    <row r="226">
      <c r="B226" s="51" t="n"/>
      <c r="C226" s="52" t="n"/>
      <c r="D226" s="51" t="n"/>
    </row>
    <row r="227">
      <c r="B227" s="51" t="n"/>
      <c r="C227" s="52" t="n"/>
      <c r="D227" s="51" t="n"/>
    </row>
    <row r="228">
      <c r="B228" s="51" t="n"/>
      <c r="C228" s="52" t="n"/>
      <c r="D228" s="51" t="n"/>
    </row>
    <row r="229">
      <c r="B229" s="51" t="n"/>
      <c r="C229" s="52" t="n"/>
      <c r="D229" s="51" t="n"/>
    </row>
    <row r="230">
      <c r="B230" s="51" t="n"/>
      <c r="C230" s="52" t="n"/>
      <c r="D230" s="51" t="n"/>
    </row>
    <row r="231">
      <c r="B231" s="51" t="n"/>
      <c r="C231" s="52" t="n"/>
      <c r="D231" s="51" t="n"/>
    </row>
    <row r="232">
      <c r="B232" s="51" t="n"/>
      <c r="C232" s="52" t="n"/>
      <c r="D232" s="51" t="n"/>
    </row>
    <row r="233">
      <c r="B233" s="51" t="n"/>
      <c r="C233" s="52" t="n"/>
      <c r="D233" s="51" t="n"/>
    </row>
    <row r="234">
      <c r="B234" s="51" t="n"/>
      <c r="C234" s="52" t="n"/>
      <c r="D234" s="51" t="n"/>
    </row>
    <row r="235">
      <c r="B235" s="51" t="n"/>
      <c r="C235" s="52" t="n"/>
      <c r="D235" s="51" t="n"/>
    </row>
    <row r="236">
      <c r="B236" s="51" t="n"/>
      <c r="C236" s="52" t="n"/>
      <c r="D236" s="51" t="n"/>
    </row>
    <row r="237">
      <c r="B237" s="51" t="n"/>
      <c r="C237" s="52" t="n"/>
      <c r="D237" s="51" t="n"/>
    </row>
    <row r="238">
      <c r="B238" s="51" t="n"/>
      <c r="C238" s="52" t="n"/>
      <c r="D238" s="51" t="n"/>
    </row>
    <row r="239">
      <c r="B239" s="51" t="n"/>
      <c r="C239" s="52" t="n"/>
      <c r="D239" s="51" t="n"/>
    </row>
    <row r="240">
      <c r="B240" s="51" t="n"/>
      <c r="C240" s="52" t="n"/>
      <c r="D240" s="51" t="n"/>
    </row>
    <row r="241">
      <c r="B241" s="51" t="n"/>
      <c r="C241" s="52" t="n"/>
      <c r="D241" s="51" t="n"/>
    </row>
    <row r="242">
      <c r="B242" s="51" t="n"/>
      <c r="C242" s="52" t="n"/>
      <c r="D242" s="51" t="n"/>
    </row>
    <row r="243">
      <c r="B243" s="51" t="n"/>
      <c r="C243" s="52" t="n"/>
      <c r="D243" s="51" t="n"/>
    </row>
    <row r="244">
      <c r="B244" s="51" t="n"/>
      <c r="C244" s="52" t="n"/>
      <c r="D244" s="51" t="n"/>
    </row>
    <row r="245">
      <c r="B245" s="51" t="n"/>
      <c r="C245" s="52" t="n"/>
      <c r="D245" s="51" t="n"/>
    </row>
    <row r="246">
      <c r="B246" s="51" t="n"/>
      <c r="C246" s="52" t="n"/>
      <c r="D246" s="51" t="n"/>
    </row>
    <row r="247">
      <c r="B247" s="51" t="n"/>
      <c r="C247" s="52" t="n"/>
      <c r="D247" s="51" t="n"/>
    </row>
    <row r="248">
      <c r="B248" s="51" t="n"/>
      <c r="C248" s="52" t="n"/>
      <c r="D248" s="51" t="n"/>
    </row>
    <row r="249">
      <c r="B249" s="51" t="n"/>
      <c r="C249" s="52" t="n"/>
      <c r="D249" s="51" t="n"/>
    </row>
    <row r="250">
      <c r="B250" s="51" t="n"/>
      <c r="C250" s="52" t="n"/>
      <c r="D250" s="51" t="n"/>
    </row>
    <row r="251">
      <c r="B251" s="51" t="n"/>
      <c r="C251" s="52" t="n"/>
      <c r="D251" s="51" t="n"/>
    </row>
    <row r="252">
      <c r="B252" s="51" t="n"/>
      <c r="C252" s="52" t="n"/>
      <c r="D252" s="51" t="n"/>
    </row>
    <row r="253">
      <c r="B253" s="51" t="n"/>
      <c r="C253" s="52" t="n"/>
      <c r="D253" s="51" t="n"/>
    </row>
    <row r="254">
      <c r="B254" s="51" t="n"/>
      <c r="C254" s="52" t="n"/>
      <c r="D254" s="51" t="n"/>
    </row>
    <row r="255">
      <c r="B255" s="51" t="n"/>
      <c r="C255" s="52" t="n"/>
      <c r="D255" s="51" t="n"/>
    </row>
    <row r="256">
      <c r="B256" s="51" t="n"/>
      <c r="C256" s="52" t="n"/>
      <c r="D256" s="51" t="n"/>
    </row>
    <row r="257">
      <c r="B257" s="51" t="n"/>
      <c r="C257" s="52" t="n"/>
      <c r="D257" s="51" t="n"/>
    </row>
    <row r="258">
      <c r="B258" s="51" t="n"/>
      <c r="C258" s="52" t="n"/>
      <c r="D258" s="51" t="n"/>
    </row>
    <row r="259">
      <c r="B259" s="51" t="n"/>
      <c r="C259" s="52" t="n"/>
      <c r="D259" s="51" t="n"/>
    </row>
    <row r="260">
      <c r="B260" s="51" t="n"/>
      <c r="C260" s="52" t="n"/>
      <c r="D260" s="51" t="n"/>
    </row>
    <row r="261">
      <c r="B261" s="51" t="n"/>
      <c r="C261" s="52" t="n"/>
      <c r="D261" s="51" t="n"/>
    </row>
    <row r="262">
      <c r="B262" s="51" t="n"/>
      <c r="C262" s="52" t="n"/>
      <c r="D262" s="51" t="n"/>
    </row>
    <row r="263">
      <c r="B263" s="51" t="n"/>
      <c r="C263" s="52" t="n"/>
      <c r="D263" s="51" t="n"/>
    </row>
    <row r="264">
      <c r="B264" s="51" t="n"/>
      <c r="C264" s="52" t="n"/>
      <c r="D264" s="51" t="n"/>
    </row>
    <row r="265">
      <c r="B265" s="51" t="n"/>
      <c r="C265" s="52" t="n"/>
      <c r="D265" s="51" t="n"/>
    </row>
    <row r="266">
      <c r="B266" s="51" t="n"/>
      <c r="C266" s="52" t="n"/>
      <c r="D266" s="51" t="n"/>
    </row>
    <row r="267">
      <c r="B267" s="51" t="n"/>
      <c r="C267" s="52" t="n"/>
      <c r="D267" s="51" t="n"/>
    </row>
    <row r="268">
      <c r="B268" s="51" t="n"/>
      <c r="C268" s="52" t="n"/>
      <c r="D268" s="51" t="n"/>
    </row>
    <row r="269">
      <c r="B269" s="51" t="n"/>
      <c r="C269" s="52" t="n"/>
      <c r="D269" s="51" t="n"/>
    </row>
    <row r="270">
      <c r="B270" s="51" t="n"/>
      <c r="C270" s="52" t="n"/>
      <c r="D270" s="51" t="n"/>
    </row>
    <row r="271">
      <c r="B271" s="51" t="n"/>
      <c r="C271" s="52" t="n"/>
      <c r="D271" s="51" t="n"/>
    </row>
    <row r="272">
      <c r="B272" s="51" t="n"/>
      <c r="C272" s="52" t="n"/>
      <c r="D272" s="51" t="n"/>
    </row>
    <row r="273">
      <c r="B273" s="51" t="n"/>
      <c r="C273" s="52" t="n"/>
      <c r="D273" s="51" t="n"/>
    </row>
    <row r="274">
      <c r="B274" s="51" t="n"/>
      <c r="C274" s="52" t="n"/>
      <c r="D274" s="51" t="n"/>
    </row>
    <row r="275">
      <c r="B275" s="51" t="n"/>
      <c r="C275" s="52" t="n"/>
      <c r="D275" s="51" t="n"/>
    </row>
    <row r="276">
      <c r="B276" s="51" t="n"/>
      <c r="C276" s="52" t="n"/>
      <c r="D276" s="51" t="n"/>
    </row>
    <row r="277">
      <c r="B277" s="51" t="n"/>
      <c r="C277" s="52" t="n"/>
      <c r="D277" s="51" t="n"/>
    </row>
    <row r="278">
      <c r="B278" s="51" t="n"/>
      <c r="C278" s="52" t="n"/>
      <c r="D278" s="51" t="n"/>
    </row>
    <row r="279">
      <c r="B279" s="51" t="n"/>
      <c r="C279" s="52" t="n"/>
      <c r="D279" s="51" t="n"/>
    </row>
    <row r="280">
      <c r="B280" s="51" t="n"/>
      <c r="C280" s="52" t="n"/>
      <c r="D280" s="51" t="n"/>
    </row>
    <row r="281">
      <c r="B281" s="51" t="n"/>
      <c r="C281" s="52" t="n"/>
      <c r="D281" s="51" t="n"/>
    </row>
    <row r="282">
      <c r="B282" s="51" t="n"/>
      <c r="C282" s="52" t="n"/>
      <c r="D282" s="51" t="n"/>
    </row>
    <row r="283">
      <c r="B283" s="51" t="n"/>
      <c r="C283" s="52" t="n"/>
      <c r="D283" s="51" t="n"/>
    </row>
    <row r="284">
      <c r="B284" s="51" t="n"/>
      <c r="C284" s="52" t="n"/>
      <c r="D284" s="51" t="n"/>
    </row>
    <row r="285">
      <c r="B285" s="51" t="n"/>
      <c r="C285" s="52" t="n"/>
      <c r="D285" s="51" t="n"/>
    </row>
    <row r="286">
      <c r="B286" s="51" t="n"/>
      <c r="C286" s="52" t="n"/>
      <c r="D286" s="51" t="n"/>
    </row>
    <row r="287">
      <c r="B287" s="51" t="n"/>
      <c r="C287" s="52" t="n"/>
      <c r="D287" s="51" t="n"/>
    </row>
    <row r="288">
      <c r="B288" s="51" t="n"/>
      <c r="C288" s="52" t="n"/>
      <c r="D288" s="51" t="n"/>
    </row>
    <row r="289">
      <c r="B289" s="51" t="n"/>
      <c r="C289" s="52" t="n"/>
      <c r="D289" s="51" t="n"/>
    </row>
    <row r="290">
      <c r="B290" s="51" t="n"/>
      <c r="C290" s="52" t="n"/>
      <c r="D290" s="51" t="n"/>
    </row>
    <row r="291">
      <c r="B291" s="51" t="n"/>
      <c r="C291" s="52" t="n"/>
      <c r="D291" s="51" t="n"/>
    </row>
    <row r="292">
      <c r="B292" s="51" t="n"/>
      <c r="C292" s="52" t="n"/>
      <c r="D292" s="51" t="n"/>
    </row>
    <row r="293">
      <c r="B293" s="51" t="n"/>
      <c r="C293" s="52" t="n"/>
      <c r="D293" s="51" t="n"/>
    </row>
    <row r="294">
      <c r="B294" s="51" t="n"/>
      <c r="C294" s="52" t="n"/>
      <c r="D294" s="51" t="n"/>
    </row>
    <row r="295">
      <c r="B295" s="51" t="n"/>
      <c r="C295" s="52" t="n"/>
      <c r="D295" s="51" t="n"/>
    </row>
    <row r="296">
      <c r="B296" s="51" t="n"/>
      <c r="C296" s="52" t="n"/>
      <c r="D296" s="51" t="n"/>
    </row>
    <row r="297">
      <c r="B297" s="51" t="n"/>
      <c r="C297" s="52" t="n"/>
      <c r="D297" s="51" t="n"/>
    </row>
    <row r="298">
      <c r="B298" s="51" t="n"/>
      <c r="C298" s="52" t="n"/>
      <c r="D298" s="51" t="n"/>
    </row>
    <row r="299">
      <c r="B299" s="51" t="n"/>
      <c r="C299" s="52" t="n"/>
      <c r="D299" s="51" t="n"/>
    </row>
    <row r="300">
      <c r="B300" s="51" t="n"/>
      <c r="C300" s="52" t="n"/>
      <c r="D300" s="51" t="n"/>
    </row>
    <row r="301">
      <c r="B301" s="51" t="n"/>
      <c r="C301" s="52" t="n"/>
      <c r="D301" s="51" t="n"/>
    </row>
    <row r="302">
      <c r="B302" s="51" t="n"/>
      <c r="C302" s="52" t="n"/>
      <c r="D302" s="51" t="n"/>
    </row>
    <row r="303">
      <c r="B303" s="51" t="n"/>
      <c r="C303" s="52" t="n"/>
      <c r="D303" s="51" t="n"/>
    </row>
    <row r="304">
      <c r="B304" s="51" t="n"/>
      <c r="C304" s="52" t="n"/>
      <c r="D304" s="51" t="n"/>
    </row>
    <row r="305">
      <c r="B305" s="51" t="n"/>
      <c r="C305" s="52" t="n"/>
      <c r="D305" s="51" t="n"/>
    </row>
    <row r="306">
      <c r="B306" s="51" t="n"/>
      <c r="C306" s="52" t="n"/>
      <c r="D306" s="51" t="n"/>
    </row>
    <row r="307">
      <c r="B307" s="51" t="n"/>
      <c r="C307" s="52" t="n"/>
      <c r="D307" s="51" t="n"/>
    </row>
    <row r="308">
      <c r="B308" s="51" t="n"/>
      <c r="C308" s="52" t="n"/>
      <c r="D308" s="51" t="n"/>
    </row>
    <row r="309">
      <c r="B309" s="51" t="n"/>
      <c r="C309" s="52" t="n"/>
      <c r="D309" s="51" t="n"/>
    </row>
    <row r="310">
      <c r="B310" s="51" t="n"/>
      <c r="C310" s="52" t="n"/>
      <c r="D310" s="51" t="n"/>
    </row>
    <row r="311">
      <c r="B311" s="51" t="n"/>
      <c r="C311" s="52" t="n"/>
      <c r="D311" s="51" t="n"/>
    </row>
    <row r="312">
      <c r="B312" s="51" t="n"/>
      <c r="C312" s="52" t="n"/>
      <c r="D312" s="51" t="n"/>
    </row>
    <row r="313">
      <c r="B313" s="51" t="n"/>
      <c r="C313" s="52" t="n"/>
      <c r="D313" s="51" t="n"/>
    </row>
    <row r="314">
      <c r="B314" s="51" t="n"/>
      <c r="C314" s="52" t="n"/>
      <c r="D314" s="51" t="n"/>
    </row>
    <row r="315">
      <c r="B315" s="51" t="n"/>
      <c r="C315" s="52" t="n"/>
      <c r="D315" s="51" t="n"/>
    </row>
    <row r="316">
      <c r="B316" s="51" t="n"/>
      <c r="C316" s="52" t="n"/>
      <c r="D316" s="51" t="n"/>
    </row>
    <row r="317">
      <c r="B317" s="51" t="n"/>
      <c r="C317" s="52" t="n"/>
      <c r="D317" s="51" t="n"/>
    </row>
    <row r="318">
      <c r="B318" s="51" t="n"/>
      <c r="C318" s="52" t="n"/>
      <c r="D318" s="51" t="n"/>
    </row>
    <row r="319">
      <c r="B319" s="51" t="n"/>
      <c r="C319" s="52" t="n"/>
      <c r="D319" s="51" t="n"/>
    </row>
    <row r="320">
      <c r="B320" s="51" t="n"/>
      <c r="C320" s="52" t="n"/>
      <c r="D320" s="51" t="n"/>
    </row>
    <row r="321">
      <c r="B321" s="51" t="n"/>
      <c r="C321" s="52" t="n"/>
      <c r="D321" s="51" t="n"/>
    </row>
    <row r="322">
      <c r="B322" s="51" t="n"/>
      <c r="C322" s="52" t="n"/>
      <c r="D322" s="51" t="n"/>
    </row>
    <row r="323">
      <c r="B323" s="51" t="n"/>
      <c r="C323" s="52" t="n"/>
      <c r="D323" s="51" t="n"/>
    </row>
    <row r="324">
      <c r="B324" s="51" t="n"/>
      <c r="C324" s="52" t="n"/>
      <c r="D324" s="51" t="n"/>
    </row>
    <row r="325">
      <c r="B325" s="51" t="n"/>
      <c r="C325" s="52" t="n"/>
      <c r="D325" s="51" t="n"/>
    </row>
    <row r="326">
      <c r="B326" s="51" t="n"/>
      <c r="C326" s="52" t="n"/>
      <c r="D326" s="51" t="n"/>
    </row>
    <row r="327">
      <c r="B327" s="51" t="n"/>
      <c r="C327" s="52" t="n"/>
      <c r="D327" s="51" t="n"/>
    </row>
    <row r="328">
      <c r="B328" s="51" t="n"/>
      <c r="C328" s="52" t="n"/>
      <c r="D328" s="51" t="n"/>
    </row>
    <row r="329">
      <c r="B329" s="51" t="n"/>
      <c r="C329" s="52" t="n"/>
      <c r="D329" s="51" t="n"/>
    </row>
    <row r="330">
      <c r="B330" s="51" t="n"/>
      <c r="C330" s="52" t="n"/>
      <c r="D330" s="51" t="n"/>
    </row>
    <row r="331">
      <c r="B331" s="51" t="n"/>
      <c r="C331" s="52" t="n"/>
      <c r="D331" s="51" t="n"/>
    </row>
    <row r="332">
      <c r="B332" s="51" t="n"/>
      <c r="C332" s="52" t="n"/>
      <c r="D332" s="51" t="n"/>
    </row>
    <row r="333">
      <c r="B333" s="51" t="n"/>
      <c r="C333" s="52" t="n"/>
      <c r="D333" s="51" t="n"/>
    </row>
    <row r="334">
      <c r="B334" s="51" t="n"/>
      <c r="C334" s="52" t="n"/>
      <c r="D334" s="51" t="n"/>
    </row>
    <row r="335">
      <c r="B335" s="51" t="n"/>
      <c r="C335" s="52" t="n"/>
      <c r="D335" s="51" t="n"/>
    </row>
    <row r="336">
      <c r="B336" s="51" t="n"/>
      <c r="C336" s="52" t="n"/>
      <c r="D336" s="51" t="n"/>
    </row>
    <row r="337">
      <c r="B337" s="51" t="n"/>
      <c r="C337" s="52" t="n"/>
      <c r="D337" s="51" t="n"/>
    </row>
    <row r="338">
      <c r="B338" s="51" t="n"/>
      <c r="C338" s="52" t="n"/>
      <c r="D338" s="51" t="n"/>
    </row>
    <row r="339">
      <c r="B339" s="51" t="n"/>
      <c r="C339" s="52" t="n"/>
      <c r="D339" s="51" t="n"/>
    </row>
    <row r="340">
      <c r="B340" s="51" t="n"/>
      <c r="C340" s="52" t="n"/>
      <c r="D340" s="51" t="n"/>
    </row>
    <row r="341">
      <c r="B341" s="51" t="n"/>
      <c r="C341" s="52" t="n"/>
      <c r="D341" s="51" t="n"/>
    </row>
    <row r="342">
      <c r="B342" s="51" t="n"/>
      <c r="C342" s="52" t="n"/>
      <c r="D342" s="51" t="n"/>
    </row>
    <row r="343">
      <c r="B343" s="51" t="n"/>
      <c r="C343" s="52" t="n"/>
      <c r="D343" s="51" t="n"/>
    </row>
    <row r="344">
      <c r="B344" s="51" t="n"/>
      <c r="C344" s="52" t="n"/>
      <c r="D344" s="51" t="n"/>
    </row>
    <row r="345">
      <c r="B345" s="51" t="n"/>
      <c r="C345" s="52" t="n"/>
      <c r="D345" s="51" t="n"/>
    </row>
    <row r="346">
      <c r="B346" s="51" t="n"/>
      <c r="C346" s="52" t="n"/>
      <c r="D346" s="51" t="n"/>
    </row>
    <row r="347">
      <c r="B347" s="51" t="n"/>
      <c r="C347" s="52" t="n"/>
      <c r="D347" s="51" t="n"/>
    </row>
    <row r="348">
      <c r="B348" s="51" t="n"/>
      <c r="C348" s="52" t="n"/>
      <c r="D348" s="51" t="n"/>
    </row>
    <row r="349">
      <c r="B349" s="51" t="n"/>
      <c r="C349" s="52" t="n"/>
      <c r="D349" s="51" t="n"/>
    </row>
    <row r="350">
      <c r="B350" s="51" t="n"/>
      <c r="C350" s="52" t="n"/>
      <c r="D350" s="51" t="n"/>
    </row>
    <row r="351">
      <c r="B351" s="51" t="n"/>
      <c r="C351" s="52" t="n"/>
      <c r="D351" s="51" t="n"/>
    </row>
    <row r="352">
      <c r="B352" s="51" t="n"/>
      <c r="C352" s="52" t="n"/>
      <c r="D352" s="51" t="n"/>
    </row>
    <row r="353">
      <c r="B353" s="51" t="n"/>
      <c r="C353" s="52" t="n"/>
      <c r="D353" s="51" t="n"/>
    </row>
    <row r="354">
      <c r="B354" s="51" t="n"/>
      <c r="C354" s="52" t="n"/>
      <c r="D354" s="51" t="n"/>
    </row>
    <row r="355">
      <c r="B355" s="51" t="n"/>
      <c r="C355" s="52" t="n"/>
      <c r="D355" s="51" t="n"/>
    </row>
    <row r="356">
      <c r="B356" s="51" t="n"/>
      <c r="C356" s="52" t="n"/>
      <c r="D356" s="51" t="n"/>
    </row>
    <row r="357">
      <c r="B357" s="51" t="n"/>
      <c r="C357" s="52" t="n"/>
      <c r="D357" s="51" t="n"/>
    </row>
    <row r="358">
      <c r="B358" s="51" t="n"/>
      <c r="C358" s="52" t="n"/>
      <c r="D358" s="51" t="n"/>
    </row>
    <row r="359">
      <c r="B359" s="51" t="n"/>
      <c r="C359" s="52" t="n"/>
      <c r="D359" s="51" t="n"/>
    </row>
    <row r="360">
      <c r="B360" s="51" t="n"/>
      <c r="C360" s="52" t="n"/>
      <c r="D360" s="51" t="n"/>
    </row>
    <row r="361">
      <c r="B361" s="51" t="n"/>
      <c r="C361" s="52" t="n"/>
      <c r="D361" s="51" t="n"/>
    </row>
    <row r="362">
      <c r="B362" s="51" t="n"/>
      <c r="C362" s="52" t="n"/>
      <c r="D362" s="51" t="n"/>
    </row>
    <row r="363">
      <c r="B363" s="51" t="n"/>
      <c r="C363" s="52" t="n"/>
      <c r="D363" s="51" t="n"/>
    </row>
    <row r="364">
      <c r="B364" s="51" t="n"/>
      <c r="C364" s="52" t="n"/>
      <c r="D364" s="51" t="n"/>
    </row>
    <row r="365">
      <c r="B365" s="51" t="n"/>
      <c r="C365" s="52" t="n"/>
      <c r="D365" s="51" t="n"/>
    </row>
    <row r="366">
      <c r="B366" s="51" t="n"/>
      <c r="C366" s="52" t="n"/>
      <c r="D366" s="51" t="n"/>
    </row>
    <row r="367">
      <c r="B367" s="51" t="n"/>
      <c r="C367" s="52" t="n"/>
      <c r="D367" s="51" t="n"/>
    </row>
    <row r="368">
      <c r="B368" s="51" t="n"/>
      <c r="C368" s="52" t="n"/>
      <c r="D368" s="51" t="n"/>
    </row>
    <row r="369">
      <c r="B369" s="51" t="n"/>
      <c r="C369" s="52" t="n"/>
      <c r="D369" s="51" t="n"/>
    </row>
    <row r="370">
      <c r="B370" s="51" t="n"/>
      <c r="C370" s="52" t="n"/>
      <c r="D370" s="51" t="n"/>
    </row>
    <row r="371">
      <c r="B371" s="51" t="n"/>
      <c r="C371" s="52" t="n"/>
      <c r="D371" s="51" t="n"/>
    </row>
    <row r="372">
      <c r="B372" s="51" t="n"/>
      <c r="C372" s="52" t="n"/>
      <c r="D372" s="51" t="n"/>
    </row>
    <row r="373">
      <c r="B373" s="51" t="n"/>
      <c r="C373" s="52" t="n"/>
      <c r="D373" s="51" t="n"/>
    </row>
    <row r="374">
      <c r="B374" s="51" t="n"/>
      <c r="C374" s="52" t="n"/>
      <c r="D374" s="51" t="n"/>
    </row>
    <row r="375">
      <c r="B375" s="51" t="n"/>
      <c r="C375" s="52" t="n"/>
      <c r="D375" s="51" t="n"/>
    </row>
    <row r="376">
      <c r="B376" s="51" t="n"/>
      <c r="C376" s="52" t="n"/>
      <c r="D376" s="51" t="n"/>
    </row>
    <row r="377">
      <c r="B377" s="51" t="n"/>
      <c r="C377" s="52" t="n"/>
      <c r="D377" s="51" t="n"/>
    </row>
    <row r="378">
      <c r="B378" s="51" t="n"/>
      <c r="C378" s="52" t="n"/>
      <c r="D378" s="51" t="n"/>
    </row>
    <row r="379">
      <c r="B379" s="51" t="n"/>
      <c r="C379" s="52" t="n"/>
      <c r="D379" s="51" t="n"/>
    </row>
    <row r="380">
      <c r="B380" s="51" t="n"/>
      <c r="C380" s="52" t="n"/>
      <c r="D380" s="51" t="n"/>
    </row>
    <row r="381">
      <c r="B381" s="51" t="n"/>
      <c r="C381" s="52" t="n"/>
      <c r="D381" s="51" t="n"/>
    </row>
    <row r="382">
      <c r="B382" s="51" t="n"/>
      <c r="C382" s="52" t="n"/>
      <c r="D382" s="51" t="n"/>
    </row>
    <row r="383">
      <c r="B383" s="51" t="n"/>
      <c r="C383" s="52" t="n"/>
      <c r="D383" s="51" t="n"/>
    </row>
    <row r="384">
      <c r="B384" s="51" t="n"/>
      <c r="C384" s="52" t="n"/>
      <c r="D384" s="51" t="n"/>
    </row>
    <row r="385">
      <c r="B385" s="51" t="n"/>
      <c r="C385" s="52" t="n"/>
      <c r="D385" s="51" t="n"/>
    </row>
    <row r="386">
      <c r="B386" s="51" t="n"/>
      <c r="C386" s="52" t="n"/>
      <c r="D386" s="51" t="n"/>
    </row>
    <row r="387">
      <c r="B387" s="51" t="n"/>
      <c r="C387" s="52" t="n"/>
      <c r="D387" s="51" t="n"/>
    </row>
    <row r="388">
      <c r="B388" s="51" t="n"/>
      <c r="C388" s="52" t="n"/>
      <c r="D388" s="51" t="n"/>
    </row>
    <row r="389">
      <c r="B389" s="51" t="n"/>
      <c r="C389" s="52" t="n"/>
      <c r="D389" s="51" t="n"/>
    </row>
    <row r="390">
      <c r="B390" s="51" t="n"/>
      <c r="C390" s="52" t="n"/>
      <c r="D390" s="51" t="n"/>
    </row>
    <row r="391">
      <c r="B391" s="51" t="n"/>
      <c r="C391" s="52" t="n"/>
      <c r="D391" s="51" t="n"/>
    </row>
    <row r="392">
      <c r="B392" s="51" t="n"/>
      <c r="C392" s="52" t="n"/>
      <c r="D392" s="51" t="n"/>
    </row>
    <row r="393">
      <c r="B393" s="51" t="n"/>
      <c r="C393" s="52" t="n"/>
      <c r="D393" s="51" t="n"/>
    </row>
    <row r="394">
      <c r="B394" s="51" t="n"/>
      <c r="C394" s="52" t="n"/>
      <c r="D394" s="51" t="n"/>
    </row>
    <row r="395">
      <c r="B395" s="51" t="n"/>
      <c r="C395" s="52" t="n"/>
      <c r="D395" s="51" t="n"/>
    </row>
    <row r="396">
      <c r="B396" s="51" t="n"/>
      <c r="C396" s="52" t="n"/>
      <c r="D396" s="51" t="n"/>
    </row>
    <row r="397">
      <c r="B397" s="51" t="n"/>
      <c r="C397" s="52" t="n"/>
      <c r="D397" s="51" t="n"/>
    </row>
    <row r="398">
      <c r="B398" s="51" t="n"/>
      <c r="C398" s="52" t="n"/>
      <c r="D398" s="51" t="n"/>
    </row>
    <row r="399">
      <c r="B399" s="51" t="n"/>
      <c r="C399" s="52" t="n"/>
      <c r="D399" s="51" t="n"/>
    </row>
    <row r="400">
      <c r="B400" s="51" t="n"/>
      <c r="C400" s="52" t="n"/>
      <c r="D400" s="51" t="n"/>
    </row>
    <row r="401">
      <c r="B401" s="51" t="n"/>
      <c r="C401" s="52" t="n"/>
      <c r="D401" s="51" t="n"/>
    </row>
    <row r="402">
      <c r="B402" s="51" t="n"/>
      <c r="C402" s="52" t="n"/>
      <c r="D402" s="51" t="n"/>
    </row>
    <row r="403">
      <c r="B403" s="51" t="n"/>
      <c r="C403" s="52" t="n"/>
      <c r="D403" s="51" t="n"/>
    </row>
    <row r="404">
      <c r="B404" s="51" t="n"/>
      <c r="C404" s="52" t="n"/>
      <c r="D404" s="51" t="n"/>
    </row>
    <row r="405">
      <c r="B405" s="51" t="n"/>
      <c r="C405" s="52" t="n"/>
      <c r="D405" s="51" t="n"/>
    </row>
    <row r="406">
      <c r="B406" s="51" t="n"/>
      <c r="C406" s="52" t="n"/>
      <c r="D406" s="51" t="n"/>
    </row>
    <row r="407">
      <c r="B407" s="51" t="n"/>
      <c r="C407" s="52" t="n"/>
      <c r="D407" s="51" t="n"/>
    </row>
    <row r="408">
      <c r="B408" s="51" t="n"/>
      <c r="C408" s="52" t="n"/>
      <c r="D408" s="51" t="n"/>
    </row>
    <row r="409">
      <c r="B409" s="51" t="n"/>
      <c r="C409" s="52" t="n"/>
      <c r="D409" s="51" t="n"/>
    </row>
    <row r="410">
      <c r="B410" s="51" t="n"/>
      <c r="C410" s="52" t="n"/>
      <c r="D410" s="51" t="n"/>
    </row>
    <row r="411">
      <c r="B411" s="51" t="n"/>
      <c r="C411" s="52" t="n"/>
      <c r="D411" s="51" t="n"/>
    </row>
    <row r="412">
      <c r="B412" s="51" t="n"/>
      <c r="C412" s="52" t="n"/>
      <c r="D412" s="51" t="n"/>
    </row>
    <row r="413">
      <c r="B413" s="51" t="n"/>
      <c r="C413" s="52" t="n"/>
      <c r="D413" s="51" t="n"/>
    </row>
    <row r="414">
      <c r="B414" s="51" t="n"/>
      <c r="C414" s="52" t="n"/>
      <c r="D414" s="51" t="n"/>
    </row>
    <row r="415">
      <c r="B415" s="51" t="n"/>
      <c r="C415" s="52" t="n"/>
      <c r="D415" s="51" t="n"/>
    </row>
    <row r="416">
      <c r="B416" s="51" t="n"/>
      <c r="C416" s="52" t="n"/>
      <c r="D416" s="51" t="n"/>
    </row>
    <row r="417">
      <c r="B417" s="51" t="n"/>
      <c r="C417" s="52" t="n"/>
      <c r="D417" s="51" t="n"/>
    </row>
    <row r="418">
      <c r="B418" s="51" t="n"/>
      <c r="C418" s="52" t="n"/>
      <c r="D418" s="51" t="n"/>
    </row>
    <row r="419">
      <c r="B419" s="51" t="n"/>
      <c r="C419" s="52" t="n"/>
      <c r="D419" s="51" t="n"/>
    </row>
    <row r="420">
      <c r="B420" s="51" t="n"/>
      <c r="C420" s="52" t="n"/>
      <c r="D420" s="51" t="n"/>
    </row>
    <row r="421">
      <c r="B421" s="51" t="n"/>
      <c r="C421" s="52" t="n"/>
      <c r="D421" s="51" t="n"/>
    </row>
    <row r="422">
      <c r="B422" s="51" t="n"/>
      <c r="C422" s="52" t="n"/>
      <c r="D422" s="51" t="n"/>
    </row>
    <row r="423">
      <c r="B423" s="51" t="n"/>
      <c r="C423" s="52" t="n"/>
      <c r="D423" s="51" t="n"/>
    </row>
    <row r="424">
      <c r="B424" s="51" t="n"/>
      <c r="C424" s="52" t="n"/>
      <c r="D424" s="51" t="n"/>
    </row>
    <row r="425">
      <c r="B425" s="51" t="n"/>
      <c r="C425" s="52" t="n"/>
      <c r="D425" s="51" t="n"/>
    </row>
    <row r="426">
      <c r="B426" s="51" t="n"/>
      <c r="C426" s="52" t="n"/>
      <c r="D426" s="51" t="n"/>
    </row>
    <row r="427">
      <c r="B427" s="51" t="n"/>
      <c r="C427" s="52" t="n"/>
      <c r="D427" s="51" t="n"/>
    </row>
    <row r="428">
      <c r="B428" s="51" t="n"/>
      <c r="C428" s="52" t="n"/>
      <c r="D428" s="51" t="n"/>
    </row>
    <row r="429">
      <c r="B429" s="51" t="n"/>
      <c r="C429" s="52" t="n"/>
      <c r="D429" s="51" t="n"/>
    </row>
    <row r="430">
      <c r="B430" s="51" t="n"/>
      <c r="C430" s="52" t="n"/>
      <c r="D430" s="51" t="n"/>
    </row>
    <row r="431">
      <c r="B431" s="51" t="n"/>
      <c r="C431" s="52" t="n"/>
      <c r="D431" s="51" t="n"/>
    </row>
    <row r="432">
      <c r="B432" s="51" t="n"/>
      <c r="C432" s="52" t="n"/>
      <c r="D432" s="51" t="n"/>
    </row>
    <row r="433">
      <c r="B433" s="51" t="n"/>
      <c r="C433" s="52" t="n"/>
      <c r="D433" s="51" t="n"/>
    </row>
    <row r="434">
      <c r="B434" s="51" t="n"/>
      <c r="C434" s="52" t="n"/>
      <c r="D434" s="51" t="n"/>
    </row>
    <row r="435">
      <c r="B435" s="51" t="n"/>
      <c r="C435" s="52" t="n"/>
      <c r="D435" s="51" t="n"/>
    </row>
    <row r="436">
      <c r="B436" s="51" t="n"/>
      <c r="C436" s="52" t="n"/>
      <c r="D436" s="51" t="n"/>
    </row>
    <row r="437">
      <c r="B437" s="51" t="n"/>
      <c r="C437" s="52" t="n"/>
      <c r="D437" s="51" t="n"/>
    </row>
    <row r="438">
      <c r="B438" s="51" t="n"/>
      <c r="C438" s="52" t="n"/>
      <c r="D438" s="51" t="n"/>
    </row>
    <row r="439">
      <c r="B439" s="51" t="n"/>
      <c r="C439" s="52" t="n"/>
      <c r="D439" s="51" t="n"/>
    </row>
    <row r="440">
      <c r="B440" s="51" t="n"/>
      <c r="C440" s="52" t="n"/>
      <c r="D440" s="51" t="n"/>
    </row>
    <row r="441">
      <c r="B441" s="51" t="n"/>
      <c r="C441" s="52" t="n"/>
      <c r="D441" s="51" t="n"/>
    </row>
    <row r="442">
      <c r="B442" s="51" t="n"/>
      <c r="C442" s="52" t="n"/>
      <c r="D442" s="51" t="n"/>
    </row>
    <row r="443">
      <c r="B443" s="51" t="n"/>
      <c r="C443" s="52" t="n"/>
      <c r="D443" s="51" t="n"/>
    </row>
    <row r="444">
      <c r="B444" s="51" t="n"/>
      <c r="C444" s="52" t="n"/>
      <c r="D444" s="51" t="n"/>
    </row>
    <row r="445">
      <c r="B445" s="51" t="n"/>
      <c r="C445" s="52" t="n"/>
      <c r="D445" s="51" t="n"/>
    </row>
    <row r="446">
      <c r="B446" s="51" t="n"/>
      <c r="C446" s="52" t="n"/>
      <c r="D446" s="51" t="n"/>
    </row>
    <row r="447">
      <c r="B447" s="51" t="n"/>
      <c r="C447" s="52" t="n"/>
      <c r="D447" s="51" t="n"/>
    </row>
    <row r="448">
      <c r="B448" s="51" t="n"/>
      <c r="C448" s="52" t="n"/>
      <c r="D448" s="51" t="n"/>
    </row>
    <row r="449">
      <c r="B449" s="51" t="n"/>
      <c r="C449" s="52" t="n"/>
      <c r="D449" s="51" t="n"/>
    </row>
    <row r="450">
      <c r="B450" s="51" t="n"/>
      <c r="C450" s="52" t="n"/>
      <c r="D450" s="51" t="n"/>
    </row>
    <row r="451">
      <c r="B451" s="51" t="n"/>
      <c r="C451" s="52" t="n"/>
      <c r="D451" s="51" t="n"/>
    </row>
    <row r="452">
      <c r="B452" s="51" t="n"/>
      <c r="C452" s="52" t="n"/>
      <c r="D452" s="51" t="n"/>
    </row>
    <row r="453">
      <c r="B453" s="51" t="n"/>
      <c r="C453" s="52" t="n"/>
      <c r="D453" s="51" t="n"/>
    </row>
    <row r="454">
      <c r="B454" s="51" t="n"/>
      <c r="C454" s="52" t="n"/>
      <c r="D454" s="51" t="n"/>
    </row>
    <row r="455">
      <c r="B455" s="51" t="n"/>
      <c r="C455" s="52" t="n"/>
      <c r="D455" s="51" t="n"/>
    </row>
    <row r="456">
      <c r="B456" s="51" t="n"/>
      <c r="C456" s="52" t="n"/>
      <c r="D456" s="51" t="n"/>
    </row>
    <row r="457">
      <c r="B457" s="51" t="n"/>
      <c r="C457" s="52" t="n"/>
      <c r="D457" s="51" t="n"/>
    </row>
    <row r="458">
      <c r="B458" s="51" t="n"/>
      <c r="C458" s="52" t="n"/>
      <c r="D458" s="51" t="n"/>
    </row>
    <row r="459">
      <c r="B459" s="51" t="n"/>
      <c r="C459" s="52" t="n"/>
      <c r="D459" s="51" t="n"/>
    </row>
    <row r="460">
      <c r="B460" s="51" t="n"/>
      <c r="C460" s="52" t="n"/>
      <c r="D460" s="51" t="n"/>
    </row>
    <row r="461">
      <c r="B461" s="51" t="n"/>
      <c r="C461" s="52" t="n"/>
      <c r="D461" s="51" t="n"/>
    </row>
    <row r="462">
      <c r="B462" s="51" t="n"/>
      <c r="C462" s="52" t="n"/>
      <c r="D462" s="51" t="n"/>
    </row>
    <row r="463">
      <c r="B463" s="51" t="n"/>
      <c r="C463" s="52" t="n"/>
      <c r="D463" s="51" t="n"/>
    </row>
    <row r="464">
      <c r="B464" s="51" t="n"/>
      <c r="C464" s="52" t="n"/>
      <c r="D464" s="51" t="n"/>
    </row>
    <row r="465">
      <c r="B465" s="51" t="n"/>
      <c r="C465" s="52" t="n"/>
      <c r="D465" s="51" t="n"/>
    </row>
    <row r="466">
      <c r="B466" s="51" t="n"/>
      <c r="C466" s="52" t="n"/>
      <c r="D466" s="51" t="n"/>
    </row>
    <row r="467">
      <c r="B467" s="51" t="n"/>
      <c r="C467" s="52" t="n"/>
      <c r="D467" s="51" t="n"/>
    </row>
    <row r="468">
      <c r="B468" s="51" t="n"/>
      <c r="C468" s="52" t="n"/>
      <c r="D468" s="51" t="n"/>
    </row>
    <row r="469">
      <c r="B469" s="51" t="n"/>
      <c r="C469" s="52" t="n"/>
      <c r="D469" s="51" t="n"/>
    </row>
    <row r="470">
      <c r="B470" s="51" t="n"/>
      <c r="C470" s="52" t="n"/>
      <c r="D470" s="51" t="n"/>
    </row>
    <row r="471">
      <c r="B471" s="51" t="n"/>
      <c r="C471" s="52" t="n"/>
      <c r="D471" s="51" t="n"/>
    </row>
    <row r="472">
      <c r="B472" s="51" t="n"/>
      <c r="C472" s="52" t="n"/>
      <c r="D472" s="51" t="n"/>
    </row>
    <row r="473">
      <c r="B473" s="51" t="n"/>
      <c r="C473" s="52" t="n"/>
      <c r="D473" s="51" t="n"/>
    </row>
    <row r="474">
      <c r="B474" s="51" t="n"/>
      <c r="C474" s="52" t="n"/>
      <c r="D474" s="51" t="n"/>
    </row>
    <row r="475">
      <c r="B475" s="51" t="n"/>
      <c r="C475" s="52" t="n"/>
      <c r="D475" s="51" t="n"/>
    </row>
    <row r="476">
      <c r="B476" s="51" t="n"/>
      <c r="C476" s="52" t="n"/>
      <c r="D476" s="51" t="n"/>
    </row>
    <row r="477">
      <c r="B477" s="51" t="n"/>
      <c r="C477" s="52" t="n"/>
      <c r="D477" s="51" t="n"/>
    </row>
    <row r="478">
      <c r="B478" s="51" t="n"/>
      <c r="C478" s="52" t="n"/>
      <c r="D478" s="51" t="n"/>
    </row>
    <row r="479">
      <c r="B479" s="51" t="n"/>
      <c r="C479" s="52" t="n"/>
      <c r="D479" s="51" t="n"/>
    </row>
    <row r="480">
      <c r="B480" s="51" t="n"/>
      <c r="C480" s="52" t="n"/>
      <c r="D480" s="51" t="n"/>
    </row>
    <row r="481">
      <c r="B481" s="51" t="n"/>
      <c r="C481" s="52" t="n"/>
      <c r="D481" s="51" t="n"/>
    </row>
    <row r="482">
      <c r="B482" s="51" t="n"/>
      <c r="C482" s="52" t="n"/>
      <c r="D482" s="51" t="n"/>
    </row>
    <row r="483">
      <c r="B483" s="51" t="n"/>
      <c r="C483" s="52" t="n"/>
      <c r="D483" s="51" t="n"/>
    </row>
    <row r="484">
      <c r="B484" s="51" t="n"/>
      <c r="C484" s="52" t="n"/>
      <c r="D484" s="51" t="n"/>
    </row>
    <row r="485">
      <c r="B485" s="51" t="n"/>
      <c r="C485" s="52" t="n"/>
      <c r="D485" s="51" t="n"/>
    </row>
    <row r="486">
      <c r="B486" s="51" t="n"/>
      <c r="C486" s="52" t="n"/>
      <c r="D486" s="51" t="n"/>
    </row>
    <row r="487">
      <c r="B487" s="51" t="n"/>
      <c r="C487" s="52" t="n"/>
      <c r="D487" s="51" t="n"/>
    </row>
    <row r="488">
      <c r="B488" s="51" t="n"/>
      <c r="C488" s="52" t="n"/>
      <c r="D488" s="51" t="n"/>
    </row>
    <row r="489">
      <c r="B489" s="51" t="n"/>
      <c r="C489" s="52" t="n"/>
      <c r="D489" s="51" t="n"/>
    </row>
    <row r="490">
      <c r="B490" s="51" t="n"/>
      <c r="C490" s="52" t="n"/>
      <c r="D490" s="51" t="n"/>
    </row>
    <row r="491">
      <c r="B491" s="51" t="n"/>
      <c r="C491" s="52" t="n"/>
      <c r="D491" s="51" t="n"/>
    </row>
    <row r="492">
      <c r="B492" s="51" t="n"/>
      <c r="C492" s="52" t="n"/>
      <c r="D492" s="51" t="n"/>
    </row>
    <row r="493">
      <c r="B493" s="51" t="n"/>
      <c r="C493" s="52" t="n"/>
      <c r="D493" s="51" t="n"/>
    </row>
    <row r="494">
      <c r="B494" s="51" t="n"/>
      <c r="C494" s="52" t="n"/>
      <c r="D494" s="51" t="n"/>
    </row>
    <row r="495">
      <c r="B495" s="51" t="n"/>
      <c r="C495" s="52" t="n"/>
      <c r="D495" s="51" t="n"/>
    </row>
    <row r="496">
      <c r="B496" s="51" t="n"/>
      <c r="C496" s="52" t="n"/>
      <c r="D496" s="51" t="n"/>
    </row>
    <row r="497">
      <c r="B497" s="51" t="n"/>
      <c r="C497" s="52" t="n"/>
      <c r="D497" s="51" t="n"/>
    </row>
    <row r="498">
      <c r="B498" s="51" t="n"/>
      <c r="C498" s="52" t="n"/>
      <c r="D498" s="51" t="n"/>
    </row>
    <row r="499">
      <c r="B499" s="51" t="n"/>
      <c r="C499" s="52" t="n"/>
      <c r="D499" s="51" t="n"/>
    </row>
    <row r="500">
      <c r="B500" s="51" t="n"/>
      <c r="C500" s="52" t="n"/>
      <c r="D500" s="51" t="n"/>
    </row>
    <row r="501">
      <c r="B501" s="51" t="n"/>
      <c r="C501" s="52" t="n"/>
      <c r="D501" s="51" t="n"/>
    </row>
    <row r="502">
      <c r="B502" s="51" t="n"/>
      <c r="C502" s="52" t="n"/>
      <c r="D502" s="51" t="n"/>
    </row>
    <row r="503">
      <c r="B503" s="51" t="n"/>
      <c r="C503" s="52" t="n"/>
      <c r="D503" s="51" t="n"/>
    </row>
    <row r="504">
      <c r="B504" s="51" t="n"/>
      <c r="C504" s="52" t="n"/>
      <c r="D504" s="51" t="n"/>
    </row>
    <row r="505">
      <c r="B505" s="51" t="n"/>
      <c r="C505" s="52" t="n"/>
      <c r="D505" s="51" t="n"/>
    </row>
    <row r="506">
      <c r="B506" s="51" t="n"/>
      <c r="C506" s="52" t="n"/>
      <c r="D506" s="51" t="n"/>
    </row>
    <row r="507">
      <c r="B507" s="51" t="n"/>
      <c r="C507" s="52" t="n"/>
      <c r="D507" s="51" t="n"/>
    </row>
    <row r="508">
      <c r="B508" s="51" t="n"/>
      <c r="C508" s="52" t="n"/>
      <c r="D508" s="51" t="n"/>
    </row>
    <row r="509">
      <c r="B509" s="51" t="n"/>
      <c r="C509" s="52" t="n"/>
      <c r="D509" s="51" t="n"/>
    </row>
    <row r="510">
      <c r="B510" s="51" t="n"/>
      <c r="C510" s="52" t="n"/>
      <c r="D510" s="51" t="n"/>
    </row>
    <row r="511">
      <c r="B511" s="51" t="n"/>
      <c r="C511" s="52" t="n"/>
      <c r="D511" s="51" t="n"/>
    </row>
    <row r="512">
      <c r="B512" s="51" t="n"/>
      <c r="C512" s="52" t="n"/>
      <c r="D512" s="51" t="n"/>
    </row>
    <row r="513">
      <c r="B513" s="51" t="n"/>
      <c r="C513" s="52" t="n"/>
      <c r="D513" s="51" t="n"/>
    </row>
    <row r="514">
      <c r="B514" s="51" t="n"/>
      <c r="C514" s="52" t="n"/>
      <c r="D514" s="51" t="n"/>
    </row>
    <row r="515">
      <c r="B515" s="51" t="n"/>
      <c r="C515" s="52" t="n"/>
      <c r="D515" s="51" t="n"/>
    </row>
    <row r="516">
      <c r="B516" s="51" t="n"/>
      <c r="C516" s="52" t="n"/>
      <c r="D516" s="51" t="n"/>
    </row>
    <row r="517">
      <c r="B517" s="51" t="n"/>
      <c r="C517" s="52" t="n"/>
      <c r="D517" s="51"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C17:C517">
    <cfRule type="expression" priority="2" dxfId="6">
      <formula>AND(LEN($B17&amp;$C17&amp;$D17)&gt;0,C17="")</formula>
    </cfRule>
  </conditionalFormatting>
  <conditionalFormatting sqref="D17:D517">
    <cfRule type="expression" priority="3" dxfId="6">
      <formula>AND(LEN($B17&amp;$C17&amp;$D17)&gt;0,D17="")</formula>
    </cfRule>
  </conditionalFormatting>
  <dataValidations count="4">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No. Branch the holiday applies to Allowed: A code of D0-02 Branches, column Branch code" type="list" errorStyle="warning">
      <formula1>=CODES_D0_02_BRANCH_CODE</formula1>
    </dataValidation>
    <dataValidation sqref="C17:C517" showDropDown="0" showInputMessage="1" showErrorMessage="1" allowBlank="1" errorTitle="Date" error="Enter a date, for example 15-Jan-2028." promptTitle="Date" prompt="Yes. Date of the holiday Allowed: A date, for example 15-Jan-2028" type="date" operator="greaterThan">
      <formula1>DATE(1900,1,1)</formula1>
    </dataValidation>
    <dataValidation sqref="D17:D517" showDropDown="0" showInputMessage="1" showErrorMessage="1" allowBlank="1" errorTitle="Description" error="At most 120 characters." promptTitle="Description" prompt="Yes. Name of the holiday Allowed: Free entry, up to 120 characters" type="textLength" operator="lessThanOrEqual">
      <formula1>120</formula1>
    </dataValidation>
  </dataValidations>
  <hyperlinks>
    <hyperlink ref="A2" location="'Start here'!A1"/>
    <hyperlink ref="G2" location="'Questions and comments'!A1"/>
    <hyperlink ref="B8" location="'D0-02 Branches'!A1"/>
    <hyperlink ref="B14" location="'D0-02 Branches'!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0" customWidth="1" min="3" max="3"/>
    <col width="12" customWidth="1" min="4" max="4"/>
    <col width="28" customWidth="1" min="5" max="5"/>
    <col width="28" customWidth="1" min="6" max="6"/>
    <col width="27.27272727272727" customWidth="1" min="7" max="7"/>
    <col width="21" customWidth="1" min="8" max="8"/>
  </cols>
  <sheetData>
    <row r="1" ht="26" customHeight="1">
      <c r="A1" s="27" t="inlineStr">
        <is>
          <t>UA-04 Separation-of-duties rules</t>
        </is>
      </c>
      <c r="H1" s="28" t="inlineStr">
        <is>
          <t>Step 12 of 31</t>
        </is>
      </c>
    </row>
    <row r="2">
      <c r="A2" s="29" t="inlineStr">
        <is>
          <t>← Back to Start here</t>
        </is>
      </c>
      <c r="B2" s="30" t="inlineStr">
        <is>
          <t>Step 12 of 31. Fill in one row per record below the column headers; the guide above each column says what to enter.</t>
        </is>
      </c>
      <c r="H2" s="31" t="inlineStr">
        <is>
          <t>Ask a question →</t>
        </is>
      </c>
    </row>
    <row r="3" outlineLevel="1" ht="15.5" customHeight="1">
      <c r="A3" s="32" t="inlineStr">
        <is>
          <t>Purpose</t>
        </is>
      </c>
      <c r="B3" s="33" t="inlineStr">
        <is>
          <t>The rules BIBS enforces, for confirmation, and the combinations of profiles or permissions that BDOI Information Security does not allow one user to hold</t>
        </is>
      </c>
    </row>
    <row r="4" outlineLevel="1" ht="15.5" customHeight="1">
      <c r="A4" s="32" t="inlineStr">
        <is>
          <t>Provided by</t>
        </is>
      </c>
      <c r="B4" s="33" t="inlineStr">
        <is>
          <t>BDOI Information Security</t>
        </is>
      </c>
    </row>
    <row r="5" outlineLevel="1" ht="15.5" customHeight="1">
      <c r="A5" s="32" t="inlineStr">
        <is>
          <t>Due</t>
        </is>
      </c>
      <c r="B5" s="34" t="inlineStr">
        <is>
          <t>16-Jul-2027 – Values for UAT</t>
        </is>
      </c>
    </row>
    <row r="6" outlineLevel="1" ht="28" customHeight="1">
      <c r="A6" s="32" t="inlineStr">
        <is>
          <t>How it is loaded</t>
        </is>
      </c>
      <c r="B6" s="33" t="inlineStr">
        <is>
          <t>The rules marked Enforced are fixed in BIBS; the privileged profiles are set by the privilege level of CI-02. Each combination of two profiles is entered on Separation of Duties (SCR-UA-19) by the Business Administrator and authorised by Information Security; BIBS then refuses every request and bulk line that breaks it. A combination of permissions is reviewed with the reports</t>
        </is>
      </c>
    </row>
    <row r="7" outlineLevel="1" ht="15.5" customHeight="1">
      <c r="A7" s="32" t="inlineStr">
        <is>
          <t>Source</t>
        </is>
      </c>
      <c r="B7" s="33" t="inlineStr">
        <is>
          <t>BDOI information security policy; the separation-of-duties rules of FRS chapter 13</t>
        </is>
      </c>
    </row>
    <row r="8" outlineLevel="1" ht="26" customHeight="1">
      <c r="A8" s="32" t="inlineStr">
        <is>
          <t>Depends on</t>
        </is>
      </c>
      <c r="B8" s="55" t="inlineStr">
        <is>
          <t>UA-02 Role-to-permission matrix →</t>
        </is>
      </c>
    </row>
    <row r="9" ht="26" customHeight="1">
      <c r="A9" s="36" t="inlineStr">
        <is>
          <t>Progress</t>
        </is>
      </c>
      <c r="B9" s="37" t="inlineStr">
        <is>
          <t>Rows entered</t>
        </is>
      </c>
      <c r="C9" s="38">
        <f>SUMPRODUCT(((ROW($B$17:$B$517)&gt;17)+($B$17&lt;&gt;"SOD-01")&gt;0)*(LEN($B$17:$B$517&amp;$C$17:$C$517&amp;$D$17:$D$517&amp;$E$17:$E$517&amp;$F$17:$F$517&amp;$G$17:$G$517&amp;$H$17:$H$517)&gt;0))</f>
        <v/>
      </c>
      <c r="D9" s="37" t="inlineStr">
        <is>
          <t>Mandatory cells missing</t>
        </is>
      </c>
      <c r="E9" s="38">
        <f>SUMPRODUCT(((ROW($B$17:$B$517)&gt;17)+($B$17&lt;&gt;"SOD-01")&gt;0)*(LEN($B$17:$B$517&amp;$C$17:$C$517&amp;$D$17:$D$517&amp;$E$17:$E$517&amp;$F$17:$F$517&amp;$G$17:$G$517&amp;$H$17:$H$517)&gt;0)*(($B$17:$B$517="")+($C$17:$C$517="")+($D$17:$D$517="")+($G$17:$G$517="")))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row>
    <row r="12" ht="30" customHeight="1">
      <c r="A12" s="43" t="inlineStr">
        <is>
          <t>Mandatory</t>
        </is>
      </c>
      <c r="B12" s="44" t="inlineStr">
        <is>
          <t>Yes</t>
        </is>
      </c>
      <c r="C12" s="44" t="inlineStr">
        <is>
          <t>Yes</t>
        </is>
      </c>
      <c r="D12" s="44" t="inlineStr">
        <is>
          <t>Yes</t>
        </is>
      </c>
      <c r="E12" s="45" t="inlineStr">
        <is>
          <t>Conditional: combination rule</t>
        </is>
      </c>
      <c r="F12" s="45" t="inlineStr">
        <is>
          <t>Conditional: combination rule</t>
        </is>
      </c>
      <c r="G12" s="44" t="inlineStr">
        <is>
          <t>Yes</t>
        </is>
      </c>
      <c r="H12" s="45" t="inlineStr">
        <is>
          <t>Conditional: Detect by review</t>
        </is>
      </c>
    </row>
    <row r="13" ht="43" customHeight="1">
      <c r="A13" s="43" t="inlineStr">
        <is>
          <t>Format</t>
        </is>
      </c>
      <c r="B13" s="45" t="inlineStr">
        <is>
          <t>SOD-nn</t>
        </is>
      </c>
      <c r="C13" s="45" t="inlineStr">
        <is>
          <t>Text</t>
        </is>
      </c>
      <c r="D13" s="45" t="inlineStr">
        <is>
          <t>Enforced, To confirm, New</t>
        </is>
      </c>
      <c r="E13" s="45" t="inlineStr">
        <is>
          <t>Profile or permission of CI-02</t>
        </is>
      </c>
      <c r="F13" s="45" t="inlineStr">
        <is>
          <t>Profile or permission of CI-02</t>
        </is>
      </c>
      <c r="G13" s="45" t="inlineStr">
        <is>
          <t>Prevent (a rule of Separation of Duties, for two profiles), Detect by review, Second approval</t>
        </is>
      </c>
      <c r="H13" s="45" t="inlineStr">
        <is>
          <t>Monthly, Quarterly</t>
        </is>
      </c>
    </row>
    <row r="14" ht="69" customHeight="1">
      <c r="A14" s="43" t="inlineStr">
        <is>
          <t>Allowed values</t>
        </is>
      </c>
      <c r="B14" s="45" t="inlineStr">
        <is>
          <t>Free entry</t>
        </is>
      </c>
      <c r="C14" s="45" t="inlineStr">
        <is>
          <t>Free entry</t>
        </is>
      </c>
      <c r="D14" s="53" t="inlineStr">
        <is>
          <t>Enforced, To confirm, New (list Separation-of-duties rule status)</t>
        </is>
      </c>
      <c r="E14" s="53" t="inlineStr">
        <is>
          <t>Codes of UA-02 Role-to-permission matrix, column Group profile code (one or more)</t>
        </is>
      </c>
      <c r="F14" s="53" t="inlineStr">
        <is>
          <t>Codes of UA-02 Role-to-permission matrix, column Group profile code (one or more)</t>
        </is>
      </c>
      <c r="G14" s="53" t="inlineStr">
        <is>
          <t>Prevent, Detect by review, Second approval (list Separation-of-duties control)</t>
        </is>
      </c>
      <c r="H14" s="53" t="inlineStr">
        <is>
          <t>Monthly, Quarterly (list Review frequency)</t>
        </is>
      </c>
    </row>
    <row r="15" ht="43" customHeight="1">
      <c r="A15" s="43" t="inlineStr">
        <is>
          <t>What to enter</t>
        </is>
      </c>
      <c r="B15" s="45" t="inlineStr">
        <is>
          <t>Identifier of the rule</t>
        </is>
      </c>
      <c r="C15" s="45" t="inlineStr">
        <is>
          <t>The rule</t>
        </is>
      </c>
      <c r="D15" s="45" t="inlineStr">
        <is>
          <t>Enforced = a fixed rule of BIBS</t>
        </is>
      </c>
      <c r="E15" s="45" t="inlineStr">
        <is>
          <t>First profile or permission of a combination</t>
        </is>
      </c>
      <c r="F15" s="45" t="inlineStr">
        <is>
          <t>Profile or permission that may not be held with A</t>
        </is>
      </c>
      <c r="G15" s="45" t="inlineStr">
        <is>
          <t>How the rule is controlled</t>
        </is>
      </c>
      <c r="H15" s="45" t="inlineStr">
        <is>
          <t>How often the reports are reviewed</t>
        </is>
      </c>
    </row>
    <row r="16" ht="30" customHeight="1">
      <c r="A16" s="46" t="inlineStr">
        <is>
          <t>Row</t>
        </is>
      </c>
      <c r="B16" s="47" t="inlineStr">
        <is>
          <t>Rule ID *</t>
        </is>
      </c>
      <c r="C16" s="47" t="inlineStr">
        <is>
          <t>Rule *</t>
        </is>
      </c>
      <c r="D16" s="47" t="inlineStr">
        <is>
          <t>Status *</t>
        </is>
      </c>
      <c r="E16" s="47" t="inlineStr">
        <is>
          <t>Profile or permission A</t>
        </is>
      </c>
      <c r="F16" s="47" t="inlineStr">
        <is>
          <t>Profile or permission B</t>
        </is>
      </c>
      <c r="G16" s="47" t="inlineStr">
        <is>
          <t>Control *</t>
        </is>
      </c>
      <c r="H16" s="47" t="inlineStr">
        <is>
          <t>Review frequency</t>
        </is>
      </c>
    </row>
    <row r="17" ht="30" customHeight="1">
      <c r="A17" s="48" t="inlineStr">
        <is>
          <t>Example – overwrite or delete</t>
        </is>
      </c>
      <c r="B17" s="49" t="inlineStr">
        <is>
          <t>SOD-01</t>
        </is>
      </c>
      <c r="C17" s="49" t="inlineStr">
        <is>
          <t>The requester never decides his own request</t>
        </is>
      </c>
      <c r="D17" s="49" t="inlineStr">
        <is>
          <t>Enforced</t>
        </is>
      </c>
      <c r="E17" s="49" t="inlineStr">
        <is>
          <t>User Access Requestor</t>
        </is>
      </c>
      <c r="F17" s="49" t="inlineStr">
        <is>
          <t>User Access Approver</t>
        </is>
      </c>
      <c r="G17" s="49" t="inlineStr">
        <is>
          <t>Prevent</t>
        </is>
      </c>
      <c r="H17" s="49" t="inlineStr">
        <is>
          <t>Quarterly</t>
        </is>
      </c>
    </row>
    <row r="18">
      <c r="B18" s="51" t="n"/>
      <c r="C18" s="51" t="n"/>
      <c r="D18" s="51" t="n"/>
      <c r="E18" s="51" t="n"/>
      <c r="F18" s="51" t="n"/>
      <c r="G18" s="51" t="n"/>
      <c r="H18" s="51" t="n"/>
    </row>
    <row r="19">
      <c r="B19" s="51" t="n"/>
      <c r="C19" s="51" t="n"/>
      <c r="D19" s="51" t="n"/>
      <c r="E19" s="51" t="n"/>
      <c r="F19" s="51" t="n"/>
      <c r="G19" s="51" t="n"/>
      <c r="H19" s="51" t="n"/>
    </row>
    <row r="20">
      <c r="B20" s="51" t="n"/>
      <c r="C20" s="51" t="n"/>
      <c r="D20" s="51" t="n"/>
      <c r="E20" s="51" t="n"/>
      <c r="F20" s="51" t="n"/>
      <c r="G20" s="51" t="n"/>
      <c r="H20" s="51" t="n"/>
    </row>
    <row r="21">
      <c r="B21" s="51" t="n"/>
      <c r="C21" s="51" t="n"/>
      <c r="D21" s="51" t="n"/>
      <c r="E21" s="51" t="n"/>
      <c r="F21" s="51" t="n"/>
      <c r="G21" s="51" t="n"/>
      <c r="H21" s="51" t="n"/>
    </row>
    <row r="22">
      <c r="B22" s="51" t="n"/>
      <c r="C22" s="51" t="n"/>
      <c r="D22" s="51" t="n"/>
      <c r="E22" s="51" t="n"/>
      <c r="F22" s="51" t="n"/>
      <c r="G22" s="51" t="n"/>
      <c r="H22" s="51" t="n"/>
    </row>
    <row r="23">
      <c r="B23" s="51" t="n"/>
      <c r="C23" s="51" t="n"/>
      <c r="D23" s="51" t="n"/>
      <c r="E23" s="51" t="n"/>
      <c r="F23" s="51" t="n"/>
      <c r="G23" s="51" t="n"/>
      <c r="H23" s="51" t="n"/>
    </row>
    <row r="24">
      <c r="B24" s="51" t="n"/>
      <c r="C24" s="51" t="n"/>
      <c r="D24" s="51" t="n"/>
      <c r="E24" s="51" t="n"/>
      <c r="F24" s="51" t="n"/>
      <c r="G24" s="51" t="n"/>
      <c r="H24" s="51" t="n"/>
    </row>
    <row r="25">
      <c r="B25" s="51" t="n"/>
      <c r="C25" s="51" t="n"/>
      <c r="D25" s="51" t="n"/>
      <c r="E25" s="51" t="n"/>
      <c r="F25" s="51" t="n"/>
      <c r="G25" s="51" t="n"/>
      <c r="H25" s="51" t="n"/>
    </row>
    <row r="26">
      <c r="B26" s="51" t="n"/>
      <c r="C26" s="51" t="n"/>
      <c r="D26" s="51" t="n"/>
      <c r="E26" s="51" t="n"/>
      <c r="F26" s="51" t="n"/>
      <c r="G26" s="51" t="n"/>
      <c r="H26" s="51" t="n"/>
    </row>
    <row r="27">
      <c r="B27" s="51" t="n"/>
      <c r="C27" s="51" t="n"/>
      <c r="D27" s="51" t="n"/>
      <c r="E27" s="51" t="n"/>
      <c r="F27" s="51" t="n"/>
      <c r="G27" s="51" t="n"/>
      <c r="H27" s="51" t="n"/>
    </row>
    <row r="28">
      <c r="B28" s="51" t="n"/>
      <c r="C28" s="51" t="n"/>
      <c r="D28" s="51" t="n"/>
      <c r="E28" s="51" t="n"/>
      <c r="F28" s="51" t="n"/>
      <c r="G28" s="51" t="n"/>
      <c r="H28" s="51" t="n"/>
    </row>
    <row r="29">
      <c r="B29" s="51" t="n"/>
      <c r="C29" s="51" t="n"/>
      <c r="D29" s="51" t="n"/>
      <c r="E29" s="51" t="n"/>
      <c r="F29" s="51" t="n"/>
      <c r="G29" s="51" t="n"/>
      <c r="H29" s="51" t="n"/>
    </row>
    <row r="30">
      <c r="B30" s="51" t="n"/>
      <c r="C30" s="51" t="n"/>
      <c r="D30" s="51" t="n"/>
      <c r="E30" s="51" t="n"/>
      <c r="F30" s="51" t="n"/>
      <c r="G30" s="51" t="n"/>
      <c r="H30" s="51" t="n"/>
    </row>
    <row r="31">
      <c r="B31" s="51" t="n"/>
      <c r="C31" s="51" t="n"/>
      <c r="D31" s="51" t="n"/>
      <c r="E31" s="51" t="n"/>
      <c r="F31" s="51" t="n"/>
      <c r="G31" s="51" t="n"/>
      <c r="H31" s="51" t="n"/>
    </row>
    <row r="32">
      <c r="B32" s="51" t="n"/>
      <c r="C32" s="51" t="n"/>
      <c r="D32" s="51" t="n"/>
      <c r="E32" s="51" t="n"/>
      <c r="F32" s="51" t="n"/>
      <c r="G32" s="51" t="n"/>
      <c r="H32" s="51" t="n"/>
    </row>
    <row r="33">
      <c r="B33" s="51" t="n"/>
      <c r="C33" s="51" t="n"/>
      <c r="D33" s="51" t="n"/>
      <c r="E33" s="51" t="n"/>
      <c r="F33" s="51" t="n"/>
      <c r="G33" s="51" t="n"/>
      <c r="H33" s="51" t="n"/>
    </row>
    <row r="34">
      <c r="B34" s="51" t="n"/>
      <c r="C34" s="51" t="n"/>
      <c r="D34" s="51" t="n"/>
      <c r="E34" s="51" t="n"/>
      <c r="F34" s="51" t="n"/>
      <c r="G34" s="51" t="n"/>
      <c r="H34" s="51" t="n"/>
    </row>
    <row r="35">
      <c r="B35" s="51" t="n"/>
      <c r="C35" s="51" t="n"/>
      <c r="D35" s="51" t="n"/>
      <c r="E35" s="51" t="n"/>
      <c r="F35" s="51" t="n"/>
      <c r="G35" s="51" t="n"/>
      <c r="H35" s="51" t="n"/>
    </row>
    <row r="36">
      <c r="B36" s="51" t="n"/>
      <c r="C36" s="51" t="n"/>
      <c r="D36" s="51" t="n"/>
      <c r="E36" s="51" t="n"/>
      <c r="F36" s="51" t="n"/>
      <c r="G36" s="51" t="n"/>
      <c r="H36" s="51" t="n"/>
    </row>
    <row r="37">
      <c r="B37" s="51" t="n"/>
      <c r="C37" s="51" t="n"/>
      <c r="D37" s="51" t="n"/>
      <c r="E37" s="51" t="n"/>
      <c r="F37" s="51" t="n"/>
      <c r="G37" s="51" t="n"/>
      <c r="H37" s="51" t="n"/>
    </row>
    <row r="38">
      <c r="B38" s="51" t="n"/>
      <c r="C38" s="51" t="n"/>
      <c r="D38" s="51" t="n"/>
      <c r="E38" s="51" t="n"/>
      <c r="F38" s="51" t="n"/>
      <c r="G38" s="51" t="n"/>
      <c r="H38" s="51" t="n"/>
    </row>
    <row r="39">
      <c r="B39" s="51" t="n"/>
      <c r="C39" s="51" t="n"/>
      <c r="D39" s="51" t="n"/>
      <c r="E39" s="51" t="n"/>
      <c r="F39" s="51" t="n"/>
      <c r="G39" s="51" t="n"/>
      <c r="H39" s="51" t="n"/>
    </row>
    <row r="40">
      <c r="B40" s="51" t="n"/>
      <c r="C40" s="51" t="n"/>
      <c r="D40" s="51" t="n"/>
      <c r="E40" s="51" t="n"/>
      <c r="F40" s="51" t="n"/>
      <c r="G40" s="51" t="n"/>
      <c r="H40" s="51" t="n"/>
    </row>
    <row r="41">
      <c r="B41" s="51" t="n"/>
      <c r="C41" s="51" t="n"/>
      <c r="D41" s="51" t="n"/>
      <c r="E41" s="51" t="n"/>
      <c r="F41" s="51" t="n"/>
      <c r="G41" s="51" t="n"/>
      <c r="H41" s="51" t="n"/>
    </row>
    <row r="42">
      <c r="B42" s="51" t="n"/>
      <c r="C42" s="51" t="n"/>
      <c r="D42" s="51" t="n"/>
      <c r="E42" s="51" t="n"/>
      <c r="F42" s="51" t="n"/>
      <c r="G42" s="51" t="n"/>
      <c r="H42" s="51" t="n"/>
    </row>
    <row r="43">
      <c r="B43" s="51" t="n"/>
      <c r="C43" s="51" t="n"/>
      <c r="D43" s="51" t="n"/>
      <c r="E43" s="51" t="n"/>
      <c r="F43" s="51" t="n"/>
      <c r="G43" s="51" t="n"/>
      <c r="H43" s="51" t="n"/>
    </row>
    <row r="44">
      <c r="B44" s="51" t="n"/>
      <c r="C44" s="51" t="n"/>
      <c r="D44" s="51" t="n"/>
      <c r="E44" s="51" t="n"/>
      <c r="F44" s="51" t="n"/>
      <c r="G44" s="51" t="n"/>
      <c r="H44" s="51" t="n"/>
    </row>
    <row r="45">
      <c r="B45" s="51" t="n"/>
      <c r="C45" s="51" t="n"/>
      <c r="D45" s="51" t="n"/>
      <c r="E45" s="51" t="n"/>
      <c r="F45" s="51" t="n"/>
      <c r="G45" s="51" t="n"/>
      <c r="H45" s="51" t="n"/>
    </row>
    <row r="46">
      <c r="B46" s="51" t="n"/>
      <c r="C46" s="51" t="n"/>
      <c r="D46" s="51" t="n"/>
      <c r="E46" s="51" t="n"/>
      <c r="F46" s="51" t="n"/>
      <c r="G46" s="51" t="n"/>
      <c r="H46" s="51" t="n"/>
    </row>
    <row r="47">
      <c r="B47" s="51" t="n"/>
      <c r="C47" s="51" t="n"/>
      <c r="D47" s="51" t="n"/>
      <c r="E47" s="51" t="n"/>
      <c r="F47" s="51" t="n"/>
      <c r="G47" s="51" t="n"/>
      <c r="H47" s="51" t="n"/>
    </row>
    <row r="48">
      <c r="B48" s="51" t="n"/>
      <c r="C48" s="51" t="n"/>
      <c r="D48" s="51" t="n"/>
      <c r="E48" s="51" t="n"/>
      <c r="F48" s="51" t="n"/>
      <c r="G48" s="51" t="n"/>
      <c r="H48" s="51" t="n"/>
    </row>
    <row r="49">
      <c r="B49" s="51" t="n"/>
      <c r="C49" s="51" t="n"/>
      <c r="D49" s="51" t="n"/>
      <c r="E49" s="51" t="n"/>
      <c r="F49" s="51" t="n"/>
      <c r="G49" s="51" t="n"/>
      <c r="H49" s="51" t="n"/>
    </row>
    <row r="50">
      <c r="B50" s="51" t="n"/>
      <c r="C50" s="51" t="n"/>
      <c r="D50" s="51" t="n"/>
      <c r="E50" s="51" t="n"/>
      <c r="F50" s="51" t="n"/>
      <c r="G50" s="51" t="n"/>
      <c r="H50" s="51" t="n"/>
    </row>
    <row r="51">
      <c r="B51" s="51" t="n"/>
      <c r="C51" s="51" t="n"/>
      <c r="D51" s="51" t="n"/>
      <c r="E51" s="51" t="n"/>
      <c r="F51" s="51" t="n"/>
      <c r="G51" s="51" t="n"/>
      <c r="H51" s="51" t="n"/>
    </row>
    <row r="52">
      <c r="B52" s="51" t="n"/>
      <c r="C52" s="51" t="n"/>
      <c r="D52" s="51" t="n"/>
      <c r="E52" s="51" t="n"/>
      <c r="F52" s="51" t="n"/>
      <c r="G52" s="51" t="n"/>
      <c r="H52" s="51" t="n"/>
    </row>
    <row r="53">
      <c r="B53" s="51" t="n"/>
      <c r="C53" s="51" t="n"/>
      <c r="D53" s="51" t="n"/>
      <c r="E53" s="51" t="n"/>
      <c r="F53" s="51" t="n"/>
      <c r="G53" s="51" t="n"/>
      <c r="H53" s="51" t="n"/>
    </row>
    <row r="54">
      <c r="B54" s="51" t="n"/>
      <c r="C54" s="51" t="n"/>
      <c r="D54" s="51" t="n"/>
      <c r="E54" s="51" t="n"/>
      <c r="F54" s="51" t="n"/>
      <c r="G54" s="51" t="n"/>
      <c r="H54" s="51" t="n"/>
    </row>
    <row r="55">
      <c r="B55" s="51" t="n"/>
      <c r="C55" s="51" t="n"/>
      <c r="D55" s="51" t="n"/>
      <c r="E55" s="51" t="n"/>
      <c r="F55" s="51" t="n"/>
      <c r="G55" s="51" t="n"/>
      <c r="H55" s="51" t="n"/>
    </row>
    <row r="56">
      <c r="B56" s="51" t="n"/>
      <c r="C56" s="51" t="n"/>
      <c r="D56" s="51" t="n"/>
      <c r="E56" s="51" t="n"/>
      <c r="F56" s="51" t="n"/>
      <c r="G56" s="51" t="n"/>
      <c r="H56" s="51" t="n"/>
    </row>
    <row r="57">
      <c r="B57" s="51" t="n"/>
      <c r="C57" s="51" t="n"/>
      <c r="D57" s="51" t="n"/>
      <c r="E57" s="51" t="n"/>
      <c r="F57" s="51" t="n"/>
      <c r="G57" s="51" t="n"/>
      <c r="H57" s="51" t="n"/>
    </row>
    <row r="58">
      <c r="B58" s="51" t="n"/>
      <c r="C58" s="51" t="n"/>
      <c r="D58" s="51" t="n"/>
      <c r="E58" s="51" t="n"/>
      <c r="F58" s="51" t="n"/>
      <c r="G58" s="51" t="n"/>
      <c r="H58" s="51" t="n"/>
    </row>
    <row r="59">
      <c r="B59" s="51" t="n"/>
      <c r="C59" s="51" t="n"/>
      <c r="D59" s="51" t="n"/>
      <c r="E59" s="51" t="n"/>
      <c r="F59" s="51" t="n"/>
      <c r="G59" s="51" t="n"/>
      <c r="H59" s="51" t="n"/>
    </row>
    <row r="60">
      <c r="B60" s="51" t="n"/>
      <c r="C60" s="51" t="n"/>
      <c r="D60" s="51" t="n"/>
      <c r="E60" s="51" t="n"/>
      <c r="F60" s="51" t="n"/>
      <c r="G60" s="51" t="n"/>
      <c r="H60" s="51" t="n"/>
    </row>
    <row r="61">
      <c r="B61" s="51" t="n"/>
      <c r="C61" s="51" t="n"/>
      <c r="D61" s="51" t="n"/>
      <c r="E61" s="51" t="n"/>
      <c r="F61" s="51" t="n"/>
      <c r="G61" s="51" t="n"/>
      <c r="H61" s="51" t="n"/>
    </row>
    <row r="62">
      <c r="B62" s="51" t="n"/>
      <c r="C62" s="51" t="n"/>
      <c r="D62" s="51" t="n"/>
      <c r="E62" s="51" t="n"/>
      <c r="F62" s="51" t="n"/>
      <c r="G62" s="51" t="n"/>
      <c r="H62" s="51" t="n"/>
    </row>
    <row r="63">
      <c r="B63" s="51" t="n"/>
      <c r="C63" s="51" t="n"/>
      <c r="D63" s="51" t="n"/>
      <c r="E63" s="51" t="n"/>
      <c r="F63" s="51" t="n"/>
      <c r="G63" s="51" t="n"/>
      <c r="H63" s="51" t="n"/>
    </row>
    <row r="64">
      <c r="B64" s="51" t="n"/>
      <c r="C64" s="51" t="n"/>
      <c r="D64" s="51" t="n"/>
      <c r="E64" s="51" t="n"/>
      <c r="F64" s="51" t="n"/>
      <c r="G64" s="51" t="n"/>
      <c r="H64" s="51" t="n"/>
    </row>
    <row r="65">
      <c r="B65" s="51" t="n"/>
      <c r="C65" s="51" t="n"/>
      <c r="D65" s="51" t="n"/>
      <c r="E65" s="51" t="n"/>
      <c r="F65" s="51" t="n"/>
      <c r="G65" s="51" t="n"/>
      <c r="H65" s="51" t="n"/>
    </row>
    <row r="66">
      <c r="B66" s="51" t="n"/>
      <c r="C66" s="51" t="n"/>
      <c r="D66" s="51" t="n"/>
      <c r="E66" s="51" t="n"/>
      <c r="F66" s="51" t="n"/>
      <c r="G66" s="51" t="n"/>
      <c r="H66" s="51" t="n"/>
    </row>
    <row r="67">
      <c r="B67" s="51" t="n"/>
      <c r="C67" s="51" t="n"/>
      <c r="D67" s="51" t="n"/>
      <c r="E67" s="51" t="n"/>
      <c r="F67" s="51" t="n"/>
      <c r="G67" s="51" t="n"/>
      <c r="H67" s="51" t="n"/>
    </row>
    <row r="68">
      <c r="B68" s="51" t="n"/>
      <c r="C68" s="51" t="n"/>
      <c r="D68" s="51" t="n"/>
      <c r="E68" s="51" t="n"/>
      <c r="F68" s="51" t="n"/>
      <c r="G68" s="51" t="n"/>
      <c r="H68" s="51" t="n"/>
    </row>
    <row r="69">
      <c r="B69" s="51" t="n"/>
      <c r="C69" s="51" t="n"/>
      <c r="D69" s="51" t="n"/>
      <c r="E69" s="51" t="n"/>
      <c r="F69" s="51" t="n"/>
      <c r="G69" s="51" t="n"/>
      <c r="H69" s="51" t="n"/>
    </row>
    <row r="70">
      <c r="B70" s="51" t="n"/>
      <c r="C70" s="51" t="n"/>
      <c r="D70" s="51" t="n"/>
      <c r="E70" s="51" t="n"/>
      <c r="F70" s="51" t="n"/>
      <c r="G70" s="51" t="n"/>
      <c r="H70" s="51" t="n"/>
    </row>
    <row r="71">
      <c r="B71" s="51" t="n"/>
      <c r="C71" s="51" t="n"/>
      <c r="D71" s="51" t="n"/>
      <c r="E71" s="51" t="n"/>
      <c r="F71" s="51" t="n"/>
      <c r="G71" s="51" t="n"/>
      <c r="H71" s="51" t="n"/>
    </row>
    <row r="72">
      <c r="B72" s="51" t="n"/>
      <c r="C72" s="51" t="n"/>
      <c r="D72" s="51" t="n"/>
      <c r="E72" s="51" t="n"/>
      <c r="F72" s="51" t="n"/>
      <c r="G72" s="51" t="n"/>
      <c r="H72" s="51" t="n"/>
    </row>
    <row r="73">
      <c r="B73" s="51" t="n"/>
      <c r="C73" s="51" t="n"/>
      <c r="D73" s="51" t="n"/>
      <c r="E73" s="51" t="n"/>
      <c r="F73" s="51" t="n"/>
      <c r="G73" s="51" t="n"/>
      <c r="H73" s="51" t="n"/>
    </row>
    <row r="74">
      <c r="B74" s="51" t="n"/>
      <c r="C74" s="51" t="n"/>
      <c r="D74" s="51" t="n"/>
      <c r="E74" s="51" t="n"/>
      <c r="F74" s="51" t="n"/>
      <c r="G74" s="51" t="n"/>
      <c r="H74" s="51" t="n"/>
    </row>
    <row r="75">
      <c r="B75" s="51" t="n"/>
      <c r="C75" s="51" t="n"/>
      <c r="D75" s="51" t="n"/>
      <c r="E75" s="51" t="n"/>
      <c r="F75" s="51" t="n"/>
      <c r="G75" s="51" t="n"/>
      <c r="H75" s="51" t="n"/>
    </row>
    <row r="76">
      <c r="B76" s="51" t="n"/>
      <c r="C76" s="51" t="n"/>
      <c r="D76" s="51" t="n"/>
      <c r="E76" s="51" t="n"/>
      <c r="F76" s="51" t="n"/>
      <c r="G76" s="51" t="n"/>
      <c r="H76" s="51" t="n"/>
    </row>
    <row r="77">
      <c r="B77" s="51" t="n"/>
      <c r="C77" s="51" t="n"/>
      <c r="D77" s="51" t="n"/>
      <c r="E77" s="51" t="n"/>
      <c r="F77" s="51" t="n"/>
      <c r="G77" s="51" t="n"/>
      <c r="H77" s="51" t="n"/>
    </row>
    <row r="78">
      <c r="B78" s="51" t="n"/>
      <c r="C78" s="51" t="n"/>
      <c r="D78" s="51" t="n"/>
      <c r="E78" s="51" t="n"/>
      <c r="F78" s="51" t="n"/>
      <c r="G78" s="51" t="n"/>
      <c r="H78" s="51" t="n"/>
    </row>
    <row r="79">
      <c r="B79" s="51" t="n"/>
      <c r="C79" s="51" t="n"/>
      <c r="D79" s="51" t="n"/>
      <c r="E79" s="51" t="n"/>
      <c r="F79" s="51" t="n"/>
      <c r="G79" s="51" t="n"/>
      <c r="H79" s="51" t="n"/>
    </row>
    <row r="80">
      <c r="B80" s="51" t="n"/>
      <c r="C80" s="51" t="n"/>
      <c r="D80" s="51" t="n"/>
      <c r="E80" s="51" t="n"/>
      <c r="F80" s="51" t="n"/>
      <c r="G80" s="51" t="n"/>
      <c r="H80" s="51" t="n"/>
    </row>
    <row r="81">
      <c r="B81" s="51" t="n"/>
      <c r="C81" s="51" t="n"/>
      <c r="D81" s="51" t="n"/>
      <c r="E81" s="51" t="n"/>
      <c r="F81" s="51" t="n"/>
      <c r="G81" s="51" t="n"/>
      <c r="H81" s="51" t="n"/>
    </row>
    <row r="82">
      <c r="B82" s="51" t="n"/>
      <c r="C82" s="51" t="n"/>
      <c r="D82" s="51" t="n"/>
      <c r="E82" s="51" t="n"/>
      <c r="F82" s="51" t="n"/>
      <c r="G82" s="51" t="n"/>
      <c r="H82" s="51" t="n"/>
    </row>
    <row r="83">
      <c r="B83" s="51" t="n"/>
      <c r="C83" s="51" t="n"/>
      <c r="D83" s="51" t="n"/>
      <c r="E83" s="51" t="n"/>
      <c r="F83" s="51" t="n"/>
      <c r="G83" s="51" t="n"/>
      <c r="H83" s="51" t="n"/>
    </row>
    <row r="84">
      <c r="B84" s="51" t="n"/>
      <c r="C84" s="51" t="n"/>
      <c r="D84" s="51" t="n"/>
      <c r="E84" s="51" t="n"/>
      <c r="F84" s="51" t="n"/>
      <c r="G84" s="51" t="n"/>
      <c r="H84" s="51" t="n"/>
    </row>
    <row r="85">
      <c r="B85" s="51" t="n"/>
      <c r="C85" s="51" t="n"/>
      <c r="D85" s="51" t="n"/>
      <c r="E85" s="51" t="n"/>
      <c r="F85" s="51" t="n"/>
      <c r="G85" s="51" t="n"/>
      <c r="H85" s="51" t="n"/>
    </row>
    <row r="86">
      <c r="B86" s="51" t="n"/>
      <c r="C86" s="51" t="n"/>
      <c r="D86" s="51" t="n"/>
      <c r="E86" s="51" t="n"/>
      <c r="F86" s="51" t="n"/>
      <c r="G86" s="51" t="n"/>
      <c r="H86" s="51" t="n"/>
    </row>
    <row r="87">
      <c r="B87" s="51" t="n"/>
      <c r="C87" s="51" t="n"/>
      <c r="D87" s="51" t="n"/>
      <c r="E87" s="51" t="n"/>
      <c r="F87" s="51" t="n"/>
      <c r="G87" s="51" t="n"/>
      <c r="H87" s="51" t="n"/>
    </row>
    <row r="88">
      <c r="B88" s="51" t="n"/>
      <c r="C88" s="51" t="n"/>
      <c r="D88" s="51" t="n"/>
      <c r="E88" s="51" t="n"/>
      <c r="F88" s="51" t="n"/>
      <c r="G88" s="51" t="n"/>
      <c r="H88" s="51" t="n"/>
    </row>
    <row r="89">
      <c r="B89" s="51" t="n"/>
      <c r="C89" s="51" t="n"/>
      <c r="D89" s="51" t="n"/>
      <c r="E89" s="51" t="n"/>
      <c r="F89" s="51" t="n"/>
      <c r="G89" s="51" t="n"/>
      <c r="H89" s="51" t="n"/>
    </row>
    <row r="90">
      <c r="B90" s="51" t="n"/>
      <c r="C90" s="51" t="n"/>
      <c r="D90" s="51" t="n"/>
      <c r="E90" s="51" t="n"/>
      <c r="F90" s="51" t="n"/>
      <c r="G90" s="51" t="n"/>
      <c r="H90" s="51" t="n"/>
    </row>
    <row r="91">
      <c r="B91" s="51" t="n"/>
      <c r="C91" s="51" t="n"/>
      <c r="D91" s="51" t="n"/>
      <c r="E91" s="51" t="n"/>
      <c r="F91" s="51" t="n"/>
      <c r="G91" s="51" t="n"/>
      <c r="H91" s="51" t="n"/>
    </row>
    <row r="92">
      <c r="B92" s="51" t="n"/>
      <c r="C92" s="51" t="n"/>
      <c r="D92" s="51" t="n"/>
      <c r="E92" s="51" t="n"/>
      <c r="F92" s="51" t="n"/>
      <c r="G92" s="51" t="n"/>
      <c r="H92" s="51" t="n"/>
    </row>
    <row r="93">
      <c r="B93" s="51" t="n"/>
      <c r="C93" s="51" t="n"/>
      <c r="D93" s="51" t="n"/>
      <c r="E93" s="51" t="n"/>
      <c r="F93" s="51" t="n"/>
      <c r="G93" s="51" t="n"/>
      <c r="H93" s="51" t="n"/>
    </row>
    <row r="94">
      <c r="B94" s="51" t="n"/>
      <c r="C94" s="51" t="n"/>
      <c r="D94" s="51" t="n"/>
      <c r="E94" s="51" t="n"/>
      <c r="F94" s="51" t="n"/>
      <c r="G94" s="51" t="n"/>
      <c r="H94" s="51" t="n"/>
    </row>
    <row r="95">
      <c r="B95" s="51" t="n"/>
      <c r="C95" s="51" t="n"/>
      <c r="D95" s="51" t="n"/>
      <c r="E95" s="51" t="n"/>
      <c r="F95" s="51" t="n"/>
      <c r="G95" s="51" t="n"/>
      <c r="H95" s="51" t="n"/>
    </row>
    <row r="96">
      <c r="B96" s="51" t="n"/>
      <c r="C96" s="51" t="n"/>
      <c r="D96" s="51" t="n"/>
      <c r="E96" s="51" t="n"/>
      <c r="F96" s="51" t="n"/>
      <c r="G96" s="51" t="n"/>
      <c r="H96" s="51" t="n"/>
    </row>
    <row r="97">
      <c r="B97" s="51" t="n"/>
      <c r="C97" s="51" t="n"/>
      <c r="D97" s="51" t="n"/>
      <c r="E97" s="51" t="n"/>
      <c r="F97" s="51" t="n"/>
      <c r="G97" s="51" t="n"/>
      <c r="H97" s="51" t="n"/>
    </row>
    <row r="98">
      <c r="B98" s="51" t="n"/>
      <c r="C98" s="51" t="n"/>
      <c r="D98" s="51" t="n"/>
      <c r="E98" s="51" t="n"/>
      <c r="F98" s="51" t="n"/>
      <c r="G98" s="51" t="n"/>
      <c r="H98" s="51" t="n"/>
    </row>
    <row r="99">
      <c r="B99" s="51" t="n"/>
      <c r="C99" s="51" t="n"/>
      <c r="D99" s="51" t="n"/>
      <c r="E99" s="51" t="n"/>
      <c r="F99" s="51" t="n"/>
      <c r="G99" s="51" t="n"/>
      <c r="H99" s="51" t="n"/>
    </row>
    <row r="100">
      <c r="B100" s="51" t="n"/>
      <c r="C100" s="51" t="n"/>
      <c r="D100" s="51" t="n"/>
      <c r="E100" s="51" t="n"/>
      <c r="F100" s="51" t="n"/>
      <c r="G100" s="51" t="n"/>
      <c r="H100" s="51" t="n"/>
    </row>
    <row r="101">
      <c r="B101" s="51" t="n"/>
      <c r="C101" s="51" t="n"/>
      <c r="D101" s="51" t="n"/>
      <c r="E101" s="51" t="n"/>
      <c r="F101" s="51" t="n"/>
      <c r="G101" s="51" t="n"/>
      <c r="H101" s="51" t="n"/>
    </row>
    <row r="102">
      <c r="B102" s="51" t="n"/>
      <c r="C102" s="51" t="n"/>
      <c r="D102" s="51" t="n"/>
      <c r="E102" s="51" t="n"/>
      <c r="F102" s="51" t="n"/>
      <c r="G102" s="51" t="n"/>
      <c r="H102" s="51" t="n"/>
    </row>
    <row r="103">
      <c r="B103" s="51" t="n"/>
      <c r="C103" s="51" t="n"/>
      <c r="D103" s="51" t="n"/>
      <c r="E103" s="51" t="n"/>
      <c r="F103" s="51" t="n"/>
      <c r="G103" s="51" t="n"/>
      <c r="H103" s="51" t="n"/>
    </row>
    <row r="104">
      <c r="B104" s="51" t="n"/>
      <c r="C104" s="51" t="n"/>
      <c r="D104" s="51" t="n"/>
      <c r="E104" s="51" t="n"/>
      <c r="F104" s="51" t="n"/>
      <c r="G104" s="51" t="n"/>
      <c r="H104" s="51" t="n"/>
    </row>
    <row r="105">
      <c r="B105" s="51" t="n"/>
      <c r="C105" s="51" t="n"/>
      <c r="D105" s="51" t="n"/>
      <c r="E105" s="51" t="n"/>
      <c r="F105" s="51" t="n"/>
      <c r="G105" s="51" t="n"/>
      <c r="H105" s="51" t="n"/>
    </row>
    <row r="106">
      <c r="B106" s="51" t="n"/>
      <c r="C106" s="51" t="n"/>
      <c r="D106" s="51" t="n"/>
      <c r="E106" s="51" t="n"/>
      <c r="F106" s="51" t="n"/>
      <c r="G106" s="51" t="n"/>
      <c r="H106" s="51" t="n"/>
    </row>
    <row r="107">
      <c r="B107" s="51" t="n"/>
      <c r="C107" s="51" t="n"/>
      <c r="D107" s="51" t="n"/>
      <c r="E107" s="51" t="n"/>
      <c r="F107" s="51" t="n"/>
      <c r="G107" s="51" t="n"/>
      <c r="H107" s="51" t="n"/>
    </row>
    <row r="108">
      <c r="B108" s="51" t="n"/>
      <c r="C108" s="51" t="n"/>
      <c r="D108" s="51" t="n"/>
      <c r="E108" s="51" t="n"/>
      <c r="F108" s="51" t="n"/>
      <c r="G108" s="51" t="n"/>
      <c r="H108" s="51" t="n"/>
    </row>
    <row r="109">
      <c r="B109" s="51" t="n"/>
      <c r="C109" s="51" t="n"/>
      <c r="D109" s="51" t="n"/>
      <c r="E109" s="51" t="n"/>
      <c r="F109" s="51" t="n"/>
      <c r="G109" s="51" t="n"/>
      <c r="H109" s="51" t="n"/>
    </row>
    <row r="110">
      <c r="B110" s="51" t="n"/>
      <c r="C110" s="51" t="n"/>
      <c r="D110" s="51" t="n"/>
      <c r="E110" s="51" t="n"/>
      <c r="F110" s="51" t="n"/>
      <c r="G110" s="51" t="n"/>
      <c r="H110" s="51" t="n"/>
    </row>
    <row r="111">
      <c r="B111" s="51" t="n"/>
      <c r="C111" s="51" t="n"/>
      <c r="D111" s="51" t="n"/>
      <c r="E111" s="51" t="n"/>
      <c r="F111" s="51" t="n"/>
      <c r="G111" s="51" t="n"/>
      <c r="H111" s="51" t="n"/>
    </row>
    <row r="112">
      <c r="B112" s="51" t="n"/>
      <c r="C112" s="51" t="n"/>
      <c r="D112" s="51" t="n"/>
      <c r="E112" s="51" t="n"/>
      <c r="F112" s="51" t="n"/>
      <c r="G112" s="51" t="n"/>
      <c r="H112" s="51" t="n"/>
    </row>
    <row r="113">
      <c r="B113" s="51" t="n"/>
      <c r="C113" s="51" t="n"/>
      <c r="D113" s="51" t="n"/>
      <c r="E113" s="51" t="n"/>
      <c r="F113" s="51" t="n"/>
      <c r="G113" s="51" t="n"/>
      <c r="H113" s="51" t="n"/>
    </row>
    <row r="114">
      <c r="B114" s="51" t="n"/>
      <c r="C114" s="51" t="n"/>
      <c r="D114" s="51" t="n"/>
      <c r="E114" s="51" t="n"/>
      <c r="F114" s="51" t="n"/>
      <c r="G114" s="51" t="n"/>
      <c r="H114" s="51" t="n"/>
    </row>
    <row r="115">
      <c r="B115" s="51" t="n"/>
      <c r="C115" s="51" t="n"/>
      <c r="D115" s="51" t="n"/>
      <c r="E115" s="51" t="n"/>
      <c r="F115" s="51" t="n"/>
      <c r="G115" s="51" t="n"/>
      <c r="H115" s="51" t="n"/>
    </row>
    <row r="116">
      <c r="B116" s="51" t="n"/>
      <c r="C116" s="51" t="n"/>
      <c r="D116" s="51" t="n"/>
      <c r="E116" s="51" t="n"/>
      <c r="F116" s="51" t="n"/>
      <c r="G116" s="51" t="n"/>
      <c r="H116" s="51" t="n"/>
    </row>
    <row r="117">
      <c r="B117" s="51" t="n"/>
      <c r="C117" s="51" t="n"/>
      <c r="D117" s="51" t="n"/>
      <c r="E117" s="51" t="n"/>
      <c r="F117" s="51" t="n"/>
      <c r="G117" s="51" t="n"/>
      <c r="H117" s="51" t="n"/>
    </row>
    <row r="118">
      <c r="B118" s="51" t="n"/>
      <c r="C118" s="51" t="n"/>
      <c r="D118" s="51" t="n"/>
      <c r="E118" s="51" t="n"/>
      <c r="F118" s="51" t="n"/>
      <c r="G118" s="51" t="n"/>
      <c r="H118" s="51" t="n"/>
    </row>
    <row r="119">
      <c r="B119" s="51" t="n"/>
      <c r="C119" s="51" t="n"/>
      <c r="D119" s="51" t="n"/>
      <c r="E119" s="51" t="n"/>
      <c r="F119" s="51" t="n"/>
      <c r="G119" s="51" t="n"/>
      <c r="H119" s="51" t="n"/>
    </row>
    <row r="120">
      <c r="B120" s="51" t="n"/>
      <c r="C120" s="51" t="n"/>
      <c r="D120" s="51" t="n"/>
      <c r="E120" s="51" t="n"/>
      <c r="F120" s="51" t="n"/>
      <c r="G120" s="51" t="n"/>
      <c r="H120" s="51" t="n"/>
    </row>
    <row r="121">
      <c r="B121" s="51" t="n"/>
      <c r="C121" s="51" t="n"/>
      <c r="D121" s="51" t="n"/>
      <c r="E121" s="51" t="n"/>
      <c r="F121" s="51" t="n"/>
      <c r="G121" s="51" t="n"/>
      <c r="H121" s="51" t="n"/>
    </row>
    <row r="122">
      <c r="B122" s="51" t="n"/>
      <c r="C122" s="51" t="n"/>
      <c r="D122" s="51" t="n"/>
      <c r="E122" s="51" t="n"/>
      <c r="F122" s="51" t="n"/>
      <c r="G122" s="51" t="n"/>
      <c r="H122" s="51" t="n"/>
    </row>
    <row r="123">
      <c r="B123" s="51" t="n"/>
      <c r="C123" s="51" t="n"/>
      <c r="D123" s="51" t="n"/>
      <c r="E123" s="51" t="n"/>
      <c r="F123" s="51" t="n"/>
      <c r="G123" s="51" t="n"/>
      <c r="H123" s="51" t="n"/>
    </row>
    <row r="124">
      <c r="B124" s="51" t="n"/>
      <c r="C124" s="51" t="n"/>
      <c r="D124" s="51" t="n"/>
      <c r="E124" s="51" t="n"/>
      <c r="F124" s="51" t="n"/>
      <c r="G124" s="51" t="n"/>
      <c r="H124" s="51" t="n"/>
    </row>
    <row r="125">
      <c r="B125" s="51" t="n"/>
      <c r="C125" s="51" t="n"/>
      <c r="D125" s="51" t="n"/>
      <c r="E125" s="51" t="n"/>
      <c r="F125" s="51" t="n"/>
      <c r="G125" s="51" t="n"/>
      <c r="H125" s="51" t="n"/>
    </row>
    <row r="126">
      <c r="B126" s="51" t="n"/>
      <c r="C126" s="51" t="n"/>
      <c r="D126" s="51" t="n"/>
      <c r="E126" s="51" t="n"/>
      <c r="F126" s="51" t="n"/>
      <c r="G126" s="51" t="n"/>
      <c r="H126" s="51" t="n"/>
    </row>
    <row r="127">
      <c r="B127" s="51" t="n"/>
      <c r="C127" s="51" t="n"/>
      <c r="D127" s="51" t="n"/>
      <c r="E127" s="51" t="n"/>
      <c r="F127" s="51" t="n"/>
      <c r="G127" s="51" t="n"/>
      <c r="H127" s="51" t="n"/>
    </row>
    <row r="128">
      <c r="B128" s="51" t="n"/>
      <c r="C128" s="51" t="n"/>
      <c r="D128" s="51" t="n"/>
      <c r="E128" s="51" t="n"/>
      <c r="F128" s="51" t="n"/>
      <c r="G128" s="51" t="n"/>
      <c r="H128" s="51" t="n"/>
    </row>
    <row r="129">
      <c r="B129" s="51" t="n"/>
      <c r="C129" s="51" t="n"/>
      <c r="D129" s="51" t="n"/>
      <c r="E129" s="51" t="n"/>
      <c r="F129" s="51" t="n"/>
      <c r="G129" s="51" t="n"/>
      <c r="H129" s="51" t="n"/>
    </row>
    <row r="130">
      <c r="B130" s="51" t="n"/>
      <c r="C130" s="51" t="n"/>
      <c r="D130" s="51" t="n"/>
      <c r="E130" s="51" t="n"/>
      <c r="F130" s="51" t="n"/>
      <c r="G130" s="51" t="n"/>
      <c r="H130" s="51" t="n"/>
    </row>
    <row r="131">
      <c r="B131" s="51" t="n"/>
      <c r="C131" s="51" t="n"/>
      <c r="D131" s="51" t="n"/>
      <c r="E131" s="51" t="n"/>
      <c r="F131" s="51" t="n"/>
      <c r="G131" s="51" t="n"/>
      <c r="H131" s="51" t="n"/>
    </row>
    <row r="132">
      <c r="B132" s="51" t="n"/>
      <c r="C132" s="51" t="n"/>
      <c r="D132" s="51" t="n"/>
      <c r="E132" s="51" t="n"/>
      <c r="F132" s="51" t="n"/>
      <c r="G132" s="51" t="n"/>
      <c r="H132" s="51" t="n"/>
    </row>
    <row r="133">
      <c r="B133" s="51" t="n"/>
      <c r="C133" s="51" t="n"/>
      <c r="D133" s="51" t="n"/>
      <c r="E133" s="51" t="n"/>
      <c r="F133" s="51" t="n"/>
      <c r="G133" s="51" t="n"/>
      <c r="H133" s="51" t="n"/>
    </row>
    <row r="134">
      <c r="B134" s="51" t="n"/>
      <c r="C134" s="51" t="n"/>
      <c r="D134" s="51" t="n"/>
      <c r="E134" s="51" t="n"/>
      <c r="F134" s="51" t="n"/>
      <c r="G134" s="51" t="n"/>
      <c r="H134" s="51" t="n"/>
    </row>
    <row r="135">
      <c r="B135" s="51" t="n"/>
      <c r="C135" s="51" t="n"/>
      <c r="D135" s="51" t="n"/>
      <c r="E135" s="51" t="n"/>
      <c r="F135" s="51" t="n"/>
      <c r="G135" s="51" t="n"/>
      <c r="H135" s="51" t="n"/>
    </row>
    <row r="136">
      <c r="B136" s="51" t="n"/>
      <c r="C136" s="51" t="n"/>
      <c r="D136" s="51" t="n"/>
      <c r="E136" s="51" t="n"/>
      <c r="F136" s="51" t="n"/>
      <c r="G136" s="51" t="n"/>
      <c r="H136" s="51" t="n"/>
    </row>
    <row r="137">
      <c r="B137" s="51" t="n"/>
      <c r="C137" s="51" t="n"/>
      <c r="D137" s="51" t="n"/>
      <c r="E137" s="51" t="n"/>
      <c r="F137" s="51" t="n"/>
      <c r="G137" s="51" t="n"/>
      <c r="H137" s="51" t="n"/>
    </row>
    <row r="138">
      <c r="B138" s="51" t="n"/>
      <c r="C138" s="51" t="n"/>
      <c r="D138" s="51" t="n"/>
      <c r="E138" s="51" t="n"/>
      <c r="F138" s="51" t="n"/>
      <c r="G138" s="51" t="n"/>
      <c r="H138" s="51" t="n"/>
    </row>
    <row r="139">
      <c r="B139" s="51" t="n"/>
      <c r="C139" s="51" t="n"/>
      <c r="D139" s="51" t="n"/>
      <c r="E139" s="51" t="n"/>
      <c r="F139" s="51" t="n"/>
      <c r="G139" s="51" t="n"/>
      <c r="H139" s="51" t="n"/>
    </row>
    <row r="140">
      <c r="B140" s="51" t="n"/>
      <c r="C140" s="51" t="n"/>
      <c r="D140" s="51" t="n"/>
      <c r="E140" s="51" t="n"/>
      <c r="F140" s="51" t="n"/>
      <c r="G140" s="51" t="n"/>
      <c r="H140" s="51" t="n"/>
    </row>
    <row r="141">
      <c r="B141" s="51" t="n"/>
      <c r="C141" s="51" t="n"/>
      <c r="D141" s="51" t="n"/>
      <c r="E141" s="51" t="n"/>
      <c r="F141" s="51" t="n"/>
      <c r="G141" s="51" t="n"/>
      <c r="H141" s="51" t="n"/>
    </row>
    <row r="142">
      <c r="B142" s="51" t="n"/>
      <c r="C142" s="51" t="n"/>
      <c r="D142" s="51" t="n"/>
      <c r="E142" s="51" t="n"/>
      <c r="F142" s="51" t="n"/>
      <c r="G142" s="51" t="n"/>
      <c r="H142" s="51" t="n"/>
    </row>
    <row r="143">
      <c r="B143" s="51" t="n"/>
      <c r="C143" s="51" t="n"/>
      <c r="D143" s="51" t="n"/>
      <c r="E143" s="51" t="n"/>
      <c r="F143" s="51" t="n"/>
      <c r="G143" s="51" t="n"/>
      <c r="H143" s="51" t="n"/>
    </row>
    <row r="144">
      <c r="B144" s="51" t="n"/>
      <c r="C144" s="51" t="n"/>
      <c r="D144" s="51" t="n"/>
      <c r="E144" s="51" t="n"/>
      <c r="F144" s="51" t="n"/>
      <c r="G144" s="51" t="n"/>
      <c r="H144" s="51" t="n"/>
    </row>
    <row r="145">
      <c r="B145" s="51" t="n"/>
      <c r="C145" s="51" t="n"/>
      <c r="D145" s="51" t="n"/>
      <c r="E145" s="51" t="n"/>
      <c r="F145" s="51" t="n"/>
      <c r="G145" s="51" t="n"/>
      <c r="H145" s="51" t="n"/>
    </row>
    <row r="146">
      <c r="B146" s="51" t="n"/>
      <c r="C146" s="51" t="n"/>
      <c r="D146" s="51" t="n"/>
      <c r="E146" s="51" t="n"/>
      <c r="F146" s="51" t="n"/>
      <c r="G146" s="51" t="n"/>
      <c r="H146" s="51" t="n"/>
    </row>
    <row r="147">
      <c r="B147" s="51" t="n"/>
      <c r="C147" s="51" t="n"/>
      <c r="D147" s="51" t="n"/>
      <c r="E147" s="51" t="n"/>
      <c r="F147" s="51" t="n"/>
      <c r="G147" s="51" t="n"/>
      <c r="H147" s="51" t="n"/>
    </row>
    <row r="148">
      <c r="B148" s="51" t="n"/>
      <c r="C148" s="51" t="n"/>
      <c r="D148" s="51" t="n"/>
      <c r="E148" s="51" t="n"/>
      <c r="F148" s="51" t="n"/>
      <c r="G148" s="51" t="n"/>
      <c r="H148" s="51" t="n"/>
    </row>
    <row r="149">
      <c r="B149" s="51" t="n"/>
      <c r="C149" s="51" t="n"/>
      <c r="D149" s="51" t="n"/>
      <c r="E149" s="51" t="n"/>
      <c r="F149" s="51" t="n"/>
      <c r="G149" s="51" t="n"/>
      <c r="H149" s="51" t="n"/>
    </row>
    <row r="150">
      <c r="B150" s="51" t="n"/>
      <c r="C150" s="51" t="n"/>
      <c r="D150" s="51" t="n"/>
      <c r="E150" s="51" t="n"/>
      <c r="F150" s="51" t="n"/>
      <c r="G150" s="51" t="n"/>
      <c r="H150" s="51" t="n"/>
    </row>
    <row r="151">
      <c r="B151" s="51" t="n"/>
      <c r="C151" s="51" t="n"/>
      <c r="D151" s="51" t="n"/>
      <c r="E151" s="51" t="n"/>
      <c r="F151" s="51" t="n"/>
      <c r="G151" s="51" t="n"/>
      <c r="H151" s="51" t="n"/>
    </row>
    <row r="152">
      <c r="B152" s="51" t="n"/>
      <c r="C152" s="51" t="n"/>
      <c r="D152" s="51" t="n"/>
      <c r="E152" s="51" t="n"/>
      <c r="F152" s="51" t="n"/>
      <c r="G152" s="51" t="n"/>
      <c r="H152" s="51" t="n"/>
    </row>
    <row r="153">
      <c r="B153" s="51" t="n"/>
      <c r="C153" s="51" t="n"/>
      <c r="D153" s="51" t="n"/>
      <c r="E153" s="51" t="n"/>
      <c r="F153" s="51" t="n"/>
      <c r="G153" s="51" t="n"/>
      <c r="H153" s="51" t="n"/>
    </row>
    <row r="154">
      <c r="B154" s="51" t="n"/>
      <c r="C154" s="51" t="n"/>
      <c r="D154" s="51" t="n"/>
      <c r="E154" s="51" t="n"/>
      <c r="F154" s="51" t="n"/>
      <c r="G154" s="51" t="n"/>
      <c r="H154" s="51" t="n"/>
    </row>
    <row r="155">
      <c r="B155" s="51" t="n"/>
      <c r="C155" s="51" t="n"/>
      <c r="D155" s="51" t="n"/>
      <c r="E155" s="51" t="n"/>
      <c r="F155" s="51" t="n"/>
      <c r="G155" s="51" t="n"/>
      <c r="H155" s="51" t="n"/>
    </row>
    <row r="156">
      <c r="B156" s="51" t="n"/>
      <c r="C156" s="51" t="n"/>
      <c r="D156" s="51" t="n"/>
      <c r="E156" s="51" t="n"/>
      <c r="F156" s="51" t="n"/>
      <c r="G156" s="51" t="n"/>
      <c r="H156" s="51" t="n"/>
    </row>
    <row r="157">
      <c r="B157" s="51" t="n"/>
      <c r="C157" s="51" t="n"/>
      <c r="D157" s="51" t="n"/>
      <c r="E157" s="51" t="n"/>
      <c r="F157" s="51" t="n"/>
      <c r="G157" s="51" t="n"/>
      <c r="H157" s="51" t="n"/>
    </row>
    <row r="158">
      <c r="B158" s="51" t="n"/>
      <c r="C158" s="51" t="n"/>
      <c r="D158" s="51" t="n"/>
      <c r="E158" s="51" t="n"/>
      <c r="F158" s="51" t="n"/>
      <c r="G158" s="51" t="n"/>
      <c r="H158" s="51" t="n"/>
    </row>
    <row r="159">
      <c r="B159" s="51" t="n"/>
      <c r="C159" s="51" t="n"/>
      <c r="D159" s="51" t="n"/>
      <c r="E159" s="51" t="n"/>
      <c r="F159" s="51" t="n"/>
      <c r="G159" s="51" t="n"/>
      <c r="H159" s="51" t="n"/>
    </row>
    <row r="160">
      <c r="B160" s="51" t="n"/>
      <c r="C160" s="51" t="n"/>
      <c r="D160" s="51" t="n"/>
      <c r="E160" s="51" t="n"/>
      <c r="F160" s="51" t="n"/>
      <c r="G160" s="51" t="n"/>
      <c r="H160" s="51" t="n"/>
    </row>
    <row r="161">
      <c r="B161" s="51" t="n"/>
      <c r="C161" s="51" t="n"/>
      <c r="D161" s="51" t="n"/>
      <c r="E161" s="51" t="n"/>
      <c r="F161" s="51" t="n"/>
      <c r="G161" s="51" t="n"/>
      <c r="H161" s="51" t="n"/>
    </row>
    <row r="162">
      <c r="B162" s="51" t="n"/>
      <c r="C162" s="51" t="n"/>
      <c r="D162" s="51" t="n"/>
      <c r="E162" s="51" t="n"/>
      <c r="F162" s="51" t="n"/>
      <c r="G162" s="51" t="n"/>
      <c r="H162" s="51" t="n"/>
    </row>
    <row r="163">
      <c r="B163" s="51" t="n"/>
      <c r="C163" s="51" t="n"/>
      <c r="D163" s="51" t="n"/>
      <c r="E163" s="51" t="n"/>
      <c r="F163" s="51" t="n"/>
      <c r="G163" s="51" t="n"/>
      <c r="H163" s="51" t="n"/>
    </row>
    <row r="164">
      <c r="B164" s="51" t="n"/>
      <c r="C164" s="51" t="n"/>
      <c r="D164" s="51" t="n"/>
      <c r="E164" s="51" t="n"/>
      <c r="F164" s="51" t="n"/>
      <c r="G164" s="51" t="n"/>
      <c r="H164" s="51" t="n"/>
    </row>
    <row r="165">
      <c r="B165" s="51" t="n"/>
      <c r="C165" s="51" t="n"/>
      <c r="D165" s="51" t="n"/>
      <c r="E165" s="51" t="n"/>
      <c r="F165" s="51" t="n"/>
      <c r="G165" s="51" t="n"/>
      <c r="H165" s="51" t="n"/>
    </row>
    <row r="166">
      <c r="B166" s="51" t="n"/>
      <c r="C166" s="51" t="n"/>
      <c r="D166" s="51" t="n"/>
      <c r="E166" s="51" t="n"/>
      <c r="F166" s="51" t="n"/>
      <c r="G166" s="51" t="n"/>
      <c r="H166" s="51" t="n"/>
    </row>
    <row r="167">
      <c r="B167" s="51" t="n"/>
      <c r="C167" s="51" t="n"/>
      <c r="D167" s="51" t="n"/>
      <c r="E167" s="51" t="n"/>
      <c r="F167" s="51" t="n"/>
      <c r="G167" s="51" t="n"/>
      <c r="H167" s="51" t="n"/>
    </row>
    <row r="168">
      <c r="B168" s="51" t="n"/>
      <c r="C168" s="51" t="n"/>
      <c r="D168" s="51" t="n"/>
      <c r="E168" s="51" t="n"/>
      <c r="F168" s="51" t="n"/>
      <c r="G168" s="51" t="n"/>
      <c r="H168" s="51" t="n"/>
    </row>
    <row r="169">
      <c r="B169" s="51" t="n"/>
      <c r="C169" s="51" t="n"/>
      <c r="D169" s="51" t="n"/>
      <c r="E169" s="51" t="n"/>
      <c r="F169" s="51" t="n"/>
      <c r="G169" s="51" t="n"/>
      <c r="H169" s="51" t="n"/>
    </row>
    <row r="170">
      <c r="B170" s="51" t="n"/>
      <c r="C170" s="51" t="n"/>
      <c r="D170" s="51" t="n"/>
      <c r="E170" s="51" t="n"/>
      <c r="F170" s="51" t="n"/>
      <c r="G170" s="51" t="n"/>
      <c r="H170" s="51" t="n"/>
    </row>
    <row r="171">
      <c r="B171" s="51" t="n"/>
      <c r="C171" s="51" t="n"/>
      <c r="D171" s="51" t="n"/>
      <c r="E171" s="51" t="n"/>
      <c r="F171" s="51" t="n"/>
      <c r="G171" s="51" t="n"/>
      <c r="H171" s="51" t="n"/>
    </row>
    <row r="172">
      <c r="B172" s="51" t="n"/>
      <c r="C172" s="51" t="n"/>
      <c r="D172" s="51" t="n"/>
      <c r="E172" s="51" t="n"/>
      <c r="F172" s="51" t="n"/>
      <c r="G172" s="51" t="n"/>
      <c r="H172" s="51" t="n"/>
    </row>
    <row r="173">
      <c r="B173" s="51" t="n"/>
      <c r="C173" s="51" t="n"/>
      <c r="D173" s="51" t="n"/>
      <c r="E173" s="51" t="n"/>
      <c r="F173" s="51" t="n"/>
      <c r="G173" s="51" t="n"/>
      <c r="H173" s="51" t="n"/>
    </row>
    <row r="174">
      <c r="B174" s="51" t="n"/>
      <c r="C174" s="51" t="n"/>
      <c r="D174" s="51" t="n"/>
      <c r="E174" s="51" t="n"/>
      <c r="F174" s="51" t="n"/>
      <c r="G174" s="51" t="n"/>
      <c r="H174" s="51" t="n"/>
    </row>
    <row r="175">
      <c r="B175" s="51" t="n"/>
      <c r="C175" s="51" t="n"/>
      <c r="D175" s="51" t="n"/>
      <c r="E175" s="51" t="n"/>
      <c r="F175" s="51" t="n"/>
      <c r="G175" s="51" t="n"/>
      <c r="H175" s="51" t="n"/>
    </row>
    <row r="176">
      <c r="B176" s="51" t="n"/>
      <c r="C176" s="51" t="n"/>
      <c r="D176" s="51" t="n"/>
      <c r="E176" s="51" t="n"/>
      <c r="F176" s="51" t="n"/>
      <c r="G176" s="51" t="n"/>
      <c r="H176" s="51" t="n"/>
    </row>
    <row r="177">
      <c r="B177" s="51" t="n"/>
      <c r="C177" s="51" t="n"/>
      <c r="D177" s="51" t="n"/>
      <c r="E177" s="51" t="n"/>
      <c r="F177" s="51" t="n"/>
      <c r="G177" s="51" t="n"/>
      <c r="H177" s="51" t="n"/>
    </row>
    <row r="178">
      <c r="B178" s="51" t="n"/>
      <c r="C178" s="51" t="n"/>
      <c r="D178" s="51" t="n"/>
      <c r="E178" s="51" t="n"/>
      <c r="F178" s="51" t="n"/>
      <c r="G178" s="51" t="n"/>
      <c r="H178" s="51" t="n"/>
    </row>
    <row r="179">
      <c r="B179" s="51" t="n"/>
      <c r="C179" s="51" t="n"/>
      <c r="D179" s="51" t="n"/>
      <c r="E179" s="51" t="n"/>
      <c r="F179" s="51" t="n"/>
      <c r="G179" s="51" t="n"/>
      <c r="H179" s="51" t="n"/>
    </row>
    <row r="180">
      <c r="B180" s="51" t="n"/>
      <c r="C180" s="51" t="n"/>
      <c r="D180" s="51" t="n"/>
      <c r="E180" s="51" t="n"/>
      <c r="F180" s="51" t="n"/>
      <c r="G180" s="51" t="n"/>
      <c r="H180" s="51" t="n"/>
    </row>
    <row r="181">
      <c r="B181" s="51" t="n"/>
      <c r="C181" s="51" t="n"/>
      <c r="D181" s="51" t="n"/>
      <c r="E181" s="51" t="n"/>
      <c r="F181" s="51" t="n"/>
      <c r="G181" s="51" t="n"/>
      <c r="H181" s="51" t="n"/>
    </row>
    <row r="182">
      <c r="B182" s="51" t="n"/>
      <c r="C182" s="51" t="n"/>
      <c r="D182" s="51" t="n"/>
      <c r="E182" s="51" t="n"/>
      <c r="F182" s="51" t="n"/>
      <c r="G182" s="51" t="n"/>
      <c r="H182" s="51" t="n"/>
    </row>
    <row r="183">
      <c r="B183" s="51" t="n"/>
      <c r="C183" s="51" t="n"/>
      <c r="D183" s="51" t="n"/>
      <c r="E183" s="51" t="n"/>
      <c r="F183" s="51" t="n"/>
      <c r="G183" s="51" t="n"/>
      <c r="H183" s="51" t="n"/>
    </row>
    <row r="184">
      <c r="B184" s="51" t="n"/>
      <c r="C184" s="51" t="n"/>
      <c r="D184" s="51" t="n"/>
      <c r="E184" s="51" t="n"/>
      <c r="F184" s="51" t="n"/>
      <c r="G184" s="51" t="n"/>
      <c r="H184" s="51" t="n"/>
    </row>
    <row r="185">
      <c r="B185" s="51" t="n"/>
      <c r="C185" s="51" t="n"/>
      <c r="D185" s="51" t="n"/>
      <c r="E185" s="51" t="n"/>
      <c r="F185" s="51" t="n"/>
      <c r="G185" s="51" t="n"/>
      <c r="H185" s="51" t="n"/>
    </row>
    <row r="186">
      <c r="B186" s="51" t="n"/>
      <c r="C186" s="51" t="n"/>
      <c r="D186" s="51" t="n"/>
      <c r="E186" s="51" t="n"/>
      <c r="F186" s="51" t="n"/>
      <c r="G186" s="51" t="n"/>
      <c r="H186" s="51" t="n"/>
    </row>
    <row r="187">
      <c r="B187" s="51" t="n"/>
      <c r="C187" s="51" t="n"/>
      <c r="D187" s="51" t="n"/>
      <c r="E187" s="51" t="n"/>
      <c r="F187" s="51" t="n"/>
      <c r="G187" s="51" t="n"/>
      <c r="H187" s="51" t="n"/>
    </row>
    <row r="188">
      <c r="B188" s="51" t="n"/>
      <c r="C188" s="51" t="n"/>
      <c r="D188" s="51" t="n"/>
      <c r="E188" s="51" t="n"/>
      <c r="F188" s="51" t="n"/>
      <c r="G188" s="51" t="n"/>
      <c r="H188" s="51" t="n"/>
    </row>
    <row r="189">
      <c r="B189" s="51" t="n"/>
      <c r="C189" s="51" t="n"/>
      <c r="D189" s="51" t="n"/>
      <c r="E189" s="51" t="n"/>
      <c r="F189" s="51" t="n"/>
      <c r="G189" s="51" t="n"/>
      <c r="H189" s="51" t="n"/>
    </row>
    <row r="190">
      <c r="B190" s="51" t="n"/>
      <c r="C190" s="51" t="n"/>
      <c r="D190" s="51" t="n"/>
      <c r="E190" s="51" t="n"/>
      <c r="F190" s="51" t="n"/>
      <c r="G190" s="51" t="n"/>
      <c r="H190" s="51" t="n"/>
    </row>
    <row r="191">
      <c r="B191" s="51" t="n"/>
      <c r="C191" s="51" t="n"/>
      <c r="D191" s="51" t="n"/>
      <c r="E191" s="51" t="n"/>
      <c r="F191" s="51" t="n"/>
      <c r="G191" s="51" t="n"/>
      <c r="H191" s="51" t="n"/>
    </row>
    <row r="192">
      <c r="B192" s="51" t="n"/>
      <c r="C192" s="51" t="n"/>
      <c r="D192" s="51" t="n"/>
      <c r="E192" s="51" t="n"/>
      <c r="F192" s="51" t="n"/>
      <c r="G192" s="51" t="n"/>
      <c r="H192" s="51" t="n"/>
    </row>
    <row r="193">
      <c r="B193" s="51" t="n"/>
      <c r="C193" s="51" t="n"/>
      <c r="D193" s="51" t="n"/>
      <c r="E193" s="51" t="n"/>
      <c r="F193" s="51" t="n"/>
      <c r="G193" s="51" t="n"/>
      <c r="H193" s="51" t="n"/>
    </row>
    <row r="194">
      <c r="B194" s="51" t="n"/>
      <c r="C194" s="51" t="n"/>
      <c r="D194" s="51" t="n"/>
      <c r="E194" s="51" t="n"/>
      <c r="F194" s="51" t="n"/>
      <c r="G194" s="51" t="n"/>
      <c r="H194" s="51" t="n"/>
    </row>
    <row r="195">
      <c r="B195" s="51" t="n"/>
      <c r="C195" s="51" t="n"/>
      <c r="D195" s="51" t="n"/>
      <c r="E195" s="51" t="n"/>
      <c r="F195" s="51" t="n"/>
      <c r="G195" s="51" t="n"/>
      <c r="H195" s="51" t="n"/>
    </row>
    <row r="196">
      <c r="B196" s="51" t="n"/>
      <c r="C196" s="51" t="n"/>
      <c r="D196" s="51" t="n"/>
      <c r="E196" s="51" t="n"/>
      <c r="F196" s="51" t="n"/>
      <c r="G196" s="51" t="n"/>
      <c r="H196" s="51" t="n"/>
    </row>
    <row r="197">
      <c r="B197" s="51" t="n"/>
      <c r="C197" s="51" t="n"/>
      <c r="D197" s="51" t="n"/>
      <c r="E197" s="51" t="n"/>
      <c r="F197" s="51" t="n"/>
      <c r="G197" s="51" t="n"/>
      <c r="H197" s="51" t="n"/>
    </row>
    <row r="198">
      <c r="B198" s="51" t="n"/>
      <c r="C198" s="51" t="n"/>
      <c r="D198" s="51" t="n"/>
      <c r="E198" s="51" t="n"/>
      <c r="F198" s="51" t="n"/>
      <c r="G198" s="51" t="n"/>
      <c r="H198" s="51" t="n"/>
    </row>
    <row r="199">
      <c r="B199" s="51" t="n"/>
      <c r="C199" s="51" t="n"/>
      <c r="D199" s="51" t="n"/>
      <c r="E199" s="51" t="n"/>
      <c r="F199" s="51" t="n"/>
      <c r="G199" s="51" t="n"/>
      <c r="H199" s="51" t="n"/>
    </row>
    <row r="200">
      <c r="B200" s="51" t="n"/>
      <c r="C200" s="51" t="n"/>
      <c r="D200" s="51" t="n"/>
      <c r="E200" s="51" t="n"/>
      <c r="F200" s="51" t="n"/>
      <c r="G200" s="51" t="n"/>
      <c r="H200" s="51" t="n"/>
    </row>
    <row r="201">
      <c r="B201" s="51" t="n"/>
      <c r="C201" s="51" t="n"/>
      <c r="D201" s="51" t="n"/>
      <c r="E201" s="51" t="n"/>
      <c r="F201" s="51" t="n"/>
      <c r="G201" s="51" t="n"/>
      <c r="H201" s="51" t="n"/>
    </row>
    <row r="202">
      <c r="B202" s="51" t="n"/>
      <c r="C202" s="51" t="n"/>
      <c r="D202" s="51" t="n"/>
      <c r="E202" s="51" t="n"/>
      <c r="F202" s="51" t="n"/>
      <c r="G202" s="51" t="n"/>
      <c r="H202" s="51" t="n"/>
    </row>
    <row r="203">
      <c r="B203" s="51" t="n"/>
      <c r="C203" s="51" t="n"/>
      <c r="D203" s="51" t="n"/>
      <c r="E203" s="51" t="n"/>
      <c r="F203" s="51" t="n"/>
      <c r="G203" s="51" t="n"/>
      <c r="H203" s="51" t="n"/>
    </row>
    <row r="204">
      <c r="B204" s="51" t="n"/>
      <c r="C204" s="51" t="n"/>
      <c r="D204" s="51" t="n"/>
      <c r="E204" s="51" t="n"/>
      <c r="F204" s="51" t="n"/>
      <c r="G204" s="51" t="n"/>
      <c r="H204" s="51" t="n"/>
    </row>
    <row r="205">
      <c r="B205" s="51" t="n"/>
      <c r="C205" s="51" t="n"/>
      <c r="D205" s="51" t="n"/>
      <c r="E205" s="51" t="n"/>
      <c r="F205" s="51" t="n"/>
      <c r="G205" s="51" t="n"/>
      <c r="H205" s="51" t="n"/>
    </row>
    <row r="206">
      <c r="B206" s="51" t="n"/>
      <c r="C206" s="51" t="n"/>
      <c r="D206" s="51" t="n"/>
      <c r="E206" s="51" t="n"/>
      <c r="F206" s="51" t="n"/>
      <c r="G206" s="51" t="n"/>
      <c r="H206" s="51" t="n"/>
    </row>
    <row r="207">
      <c r="B207" s="51" t="n"/>
      <c r="C207" s="51" t="n"/>
      <c r="D207" s="51" t="n"/>
      <c r="E207" s="51" t="n"/>
      <c r="F207" s="51" t="n"/>
      <c r="G207" s="51" t="n"/>
      <c r="H207" s="51" t="n"/>
    </row>
    <row r="208">
      <c r="B208" s="51" t="n"/>
      <c r="C208" s="51" t="n"/>
      <c r="D208" s="51" t="n"/>
      <c r="E208" s="51" t="n"/>
      <c r="F208" s="51" t="n"/>
      <c r="G208" s="51" t="n"/>
      <c r="H208" s="51" t="n"/>
    </row>
    <row r="209">
      <c r="B209" s="51" t="n"/>
      <c r="C209" s="51" t="n"/>
      <c r="D209" s="51" t="n"/>
      <c r="E209" s="51" t="n"/>
      <c r="F209" s="51" t="n"/>
      <c r="G209" s="51" t="n"/>
      <c r="H209" s="51" t="n"/>
    </row>
    <row r="210">
      <c r="B210" s="51" t="n"/>
      <c r="C210" s="51" t="n"/>
      <c r="D210" s="51" t="n"/>
      <c r="E210" s="51" t="n"/>
      <c r="F210" s="51" t="n"/>
      <c r="G210" s="51" t="n"/>
      <c r="H210" s="51" t="n"/>
    </row>
    <row r="211">
      <c r="B211" s="51" t="n"/>
      <c r="C211" s="51" t="n"/>
      <c r="D211" s="51" t="n"/>
      <c r="E211" s="51" t="n"/>
      <c r="F211" s="51" t="n"/>
      <c r="G211" s="51" t="n"/>
      <c r="H211" s="51" t="n"/>
    </row>
    <row r="212">
      <c r="B212" s="51" t="n"/>
      <c r="C212" s="51" t="n"/>
      <c r="D212" s="51" t="n"/>
      <c r="E212" s="51" t="n"/>
      <c r="F212" s="51" t="n"/>
      <c r="G212" s="51" t="n"/>
      <c r="H212" s="51" t="n"/>
    </row>
    <row r="213">
      <c r="B213" s="51" t="n"/>
      <c r="C213" s="51" t="n"/>
      <c r="D213" s="51" t="n"/>
      <c r="E213" s="51" t="n"/>
      <c r="F213" s="51" t="n"/>
      <c r="G213" s="51" t="n"/>
      <c r="H213" s="51" t="n"/>
    </row>
    <row r="214">
      <c r="B214" s="51" t="n"/>
      <c r="C214" s="51" t="n"/>
      <c r="D214" s="51" t="n"/>
      <c r="E214" s="51" t="n"/>
      <c r="F214" s="51" t="n"/>
      <c r="G214" s="51" t="n"/>
      <c r="H214" s="51" t="n"/>
    </row>
    <row r="215">
      <c r="B215" s="51" t="n"/>
      <c r="C215" s="51" t="n"/>
      <c r="D215" s="51" t="n"/>
      <c r="E215" s="51" t="n"/>
      <c r="F215" s="51" t="n"/>
      <c r="G215" s="51" t="n"/>
      <c r="H215" s="51" t="n"/>
    </row>
    <row r="216">
      <c r="B216" s="51" t="n"/>
      <c r="C216" s="51" t="n"/>
      <c r="D216" s="51" t="n"/>
      <c r="E216" s="51" t="n"/>
      <c r="F216" s="51" t="n"/>
      <c r="G216" s="51" t="n"/>
      <c r="H216" s="51" t="n"/>
    </row>
    <row r="217">
      <c r="B217" s="51" t="n"/>
      <c r="C217" s="51" t="n"/>
      <c r="D217" s="51" t="n"/>
      <c r="E217" s="51" t="n"/>
      <c r="F217" s="51" t="n"/>
      <c r="G217" s="51" t="n"/>
      <c r="H217" s="51" t="n"/>
    </row>
    <row r="218">
      <c r="B218" s="51" t="n"/>
      <c r="C218" s="51" t="n"/>
      <c r="D218" s="51" t="n"/>
      <c r="E218" s="51" t="n"/>
      <c r="F218" s="51" t="n"/>
      <c r="G218" s="51" t="n"/>
      <c r="H218" s="51" t="n"/>
    </row>
    <row r="219">
      <c r="B219" s="51" t="n"/>
      <c r="C219" s="51" t="n"/>
      <c r="D219" s="51" t="n"/>
      <c r="E219" s="51" t="n"/>
      <c r="F219" s="51" t="n"/>
      <c r="G219" s="51" t="n"/>
      <c r="H219" s="51" t="n"/>
    </row>
    <row r="220">
      <c r="B220" s="51" t="n"/>
      <c r="C220" s="51" t="n"/>
      <c r="D220" s="51" t="n"/>
      <c r="E220" s="51" t="n"/>
      <c r="F220" s="51" t="n"/>
      <c r="G220" s="51" t="n"/>
      <c r="H220" s="51" t="n"/>
    </row>
    <row r="221">
      <c r="B221" s="51" t="n"/>
      <c r="C221" s="51" t="n"/>
      <c r="D221" s="51" t="n"/>
      <c r="E221" s="51" t="n"/>
      <c r="F221" s="51" t="n"/>
      <c r="G221" s="51" t="n"/>
      <c r="H221" s="51" t="n"/>
    </row>
    <row r="222">
      <c r="B222" s="51" t="n"/>
      <c r="C222" s="51" t="n"/>
      <c r="D222" s="51" t="n"/>
      <c r="E222" s="51" t="n"/>
      <c r="F222" s="51" t="n"/>
      <c r="G222" s="51" t="n"/>
      <c r="H222" s="51" t="n"/>
    </row>
    <row r="223">
      <c r="B223" s="51" t="n"/>
      <c r="C223" s="51" t="n"/>
      <c r="D223" s="51" t="n"/>
      <c r="E223" s="51" t="n"/>
      <c r="F223" s="51" t="n"/>
      <c r="G223" s="51" t="n"/>
      <c r="H223" s="51" t="n"/>
    </row>
    <row r="224">
      <c r="B224" s="51" t="n"/>
      <c r="C224" s="51" t="n"/>
      <c r="D224" s="51" t="n"/>
      <c r="E224" s="51" t="n"/>
      <c r="F224" s="51" t="n"/>
      <c r="G224" s="51" t="n"/>
      <c r="H224" s="51" t="n"/>
    </row>
    <row r="225">
      <c r="B225" s="51" t="n"/>
      <c r="C225" s="51" t="n"/>
      <c r="D225" s="51" t="n"/>
      <c r="E225" s="51" t="n"/>
      <c r="F225" s="51" t="n"/>
      <c r="G225" s="51" t="n"/>
      <c r="H225" s="51" t="n"/>
    </row>
    <row r="226">
      <c r="B226" s="51" t="n"/>
      <c r="C226" s="51" t="n"/>
      <c r="D226" s="51" t="n"/>
      <c r="E226" s="51" t="n"/>
      <c r="F226" s="51" t="n"/>
      <c r="G226" s="51" t="n"/>
      <c r="H226" s="51" t="n"/>
    </row>
    <row r="227">
      <c r="B227" s="51" t="n"/>
      <c r="C227" s="51" t="n"/>
      <c r="D227" s="51" t="n"/>
      <c r="E227" s="51" t="n"/>
      <c r="F227" s="51" t="n"/>
      <c r="G227" s="51" t="n"/>
      <c r="H227" s="51" t="n"/>
    </row>
    <row r="228">
      <c r="B228" s="51" t="n"/>
      <c r="C228" s="51" t="n"/>
      <c r="D228" s="51" t="n"/>
      <c r="E228" s="51" t="n"/>
      <c r="F228" s="51" t="n"/>
      <c r="G228" s="51" t="n"/>
      <c r="H228" s="51" t="n"/>
    </row>
    <row r="229">
      <c r="B229" s="51" t="n"/>
      <c r="C229" s="51" t="n"/>
      <c r="D229" s="51" t="n"/>
      <c r="E229" s="51" t="n"/>
      <c r="F229" s="51" t="n"/>
      <c r="G229" s="51" t="n"/>
      <c r="H229" s="51" t="n"/>
    </row>
    <row r="230">
      <c r="B230" s="51" t="n"/>
      <c r="C230" s="51" t="n"/>
      <c r="D230" s="51" t="n"/>
      <c r="E230" s="51" t="n"/>
      <c r="F230" s="51" t="n"/>
      <c r="G230" s="51" t="n"/>
      <c r="H230" s="51" t="n"/>
    </row>
    <row r="231">
      <c r="B231" s="51" t="n"/>
      <c r="C231" s="51" t="n"/>
      <c r="D231" s="51" t="n"/>
      <c r="E231" s="51" t="n"/>
      <c r="F231" s="51" t="n"/>
      <c r="G231" s="51" t="n"/>
      <c r="H231" s="51" t="n"/>
    </row>
    <row r="232">
      <c r="B232" s="51" t="n"/>
      <c r="C232" s="51" t="n"/>
      <c r="D232" s="51" t="n"/>
      <c r="E232" s="51" t="n"/>
      <c r="F232" s="51" t="n"/>
      <c r="G232" s="51" t="n"/>
      <c r="H232" s="51" t="n"/>
    </row>
    <row r="233">
      <c r="B233" s="51" t="n"/>
      <c r="C233" s="51" t="n"/>
      <c r="D233" s="51" t="n"/>
      <c r="E233" s="51" t="n"/>
      <c r="F233" s="51" t="n"/>
      <c r="G233" s="51" t="n"/>
      <c r="H233" s="51" t="n"/>
    </row>
    <row r="234">
      <c r="B234" s="51" t="n"/>
      <c r="C234" s="51" t="n"/>
      <c r="D234" s="51" t="n"/>
      <c r="E234" s="51" t="n"/>
      <c r="F234" s="51" t="n"/>
      <c r="G234" s="51" t="n"/>
      <c r="H234" s="51" t="n"/>
    </row>
    <row r="235">
      <c r="B235" s="51" t="n"/>
      <c r="C235" s="51" t="n"/>
      <c r="D235" s="51" t="n"/>
      <c r="E235" s="51" t="n"/>
      <c r="F235" s="51" t="n"/>
      <c r="G235" s="51" t="n"/>
      <c r="H235" s="51" t="n"/>
    </row>
    <row r="236">
      <c r="B236" s="51" t="n"/>
      <c r="C236" s="51" t="n"/>
      <c r="D236" s="51" t="n"/>
      <c r="E236" s="51" t="n"/>
      <c r="F236" s="51" t="n"/>
      <c r="G236" s="51" t="n"/>
      <c r="H236" s="51" t="n"/>
    </row>
    <row r="237">
      <c r="B237" s="51" t="n"/>
      <c r="C237" s="51" t="n"/>
      <c r="D237" s="51" t="n"/>
      <c r="E237" s="51" t="n"/>
      <c r="F237" s="51" t="n"/>
      <c r="G237" s="51" t="n"/>
      <c r="H237" s="51" t="n"/>
    </row>
    <row r="238">
      <c r="B238" s="51" t="n"/>
      <c r="C238" s="51" t="n"/>
      <c r="D238" s="51" t="n"/>
      <c r="E238" s="51" t="n"/>
      <c r="F238" s="51" t="n"/>
      <c r="G238" s="51" t="n"/>
      <c r="H238" s="51" t="n"/>
    </row>
    <row r="239">
      <c r="B239" s="51" t="n"/>
      <c r="C239" s="51" t="n"/>
      <c r="D239" s="51" t="n"/>
      <c r="E239" s="51" t="n"/>
      <c r="F239" s="51" t="n"/>
      <c r="G239" s="51" t="n"/>
      <c r="H239" s="51" t="n"/>
    </row>
    <row r="240">
      <c r="B240" s="51" t="n"/>
      <c r="C240" s="51" t="n"/>
      <c r="D240" s="51" t="n"/>
      <c r="E240" s="51" t="n"/>
      <c r="F240" s="51" t="n"/>
      <c r="G240" s="51" t="n"/>
      <c r="H240" s="51" t="n"/>
    </row>
    <row r="241">
      <c r="B241" s="51" t="n"/>
      <c r="C241" s="51" t="n"/>
      <c r="D241" s="51" t="n"/>
      <c r="E241" s="51" t="n"/>
      <c r="F241" s="51" t="n"/>
      <c r="G241" s="51" t="n"/>
      <c r="H241" s="51" t="n"/>
    </row>
    <row r="242">
      <c r="B242" s="51" t="n"/>
      <c r="C242" s="51" t="n"/>
      <c r="D242" s="51" t="n"/>
      <c r="E242" s="51" t="n"/>
      <c r="F242" s="51" t="n"/>
      <c r="G242" s="51" t="n"/>
      <c r="H242" s="51" t="n"/>
    </row>
    <row r="243">
      <c r="B243" s="51" t="n"/>
      <c r="C243" s="51" t="n"/>
      <c r="D243" s="51" t="n"/>
      <c r="E243" s="51" t="n"/>
      <c r="F243" s="51" t="n"/>
      <c r="G243" s="51" t="n"/>
      <c r="H243" s="51" t="n"/>
    </row>
    <row r="244">
      <c r="B244" s="51" t="n"/>
      <c r="C244" s="51" t="n"/>
      <c r="D244" s="51" t="n"/>
      <c r="E244" s="51" t="n"/>
      <c r="F244" s="51" t="n"/>
      <c r="G244" s="51" t="n"/>
      <c r="H244" s="51" t="n"/>
    </row>
    <row r="245">
      <c r="B245" s="51" t="n"/>
      <c r="C245" s="51" t="n"/>
      <c r="D245" s="51" t="n"/>
      <c r="E245" s="51" t="n"/>
      <c r="F245" s="51" t="n"/>
      <c r="G245" s="51" t="n"/>
      <c r="H245" s="51" t="n"/>
    </row>
    <row r="246">
      <c r="B246" s="51" t="n"/>
      <c r="C246" s="51" t="n"/>
      <c r="D246" s="51" t="n"/>
      <c r="E246" s="51" t="n"/>
      <c r="F246" s="51" t="n"/>
      <c r="G246" s="51" t="n"/>
      <c r="H246" s="51" t="n"/>
    </row>
    <row r="247">
      <c r="B247" s="51" t="n"/>
      <c r="C247" s="51" t="n"/>
      <c r="D247" s="51" t="n"/>
      <c r="E247" s="51" t="n"/>
      <c r="F247" s="51" t="n"/>
      <c r="G247" s="51" t="n"/>
      <c r="H247" s="51" t="n"/>
    </row>
    <row r="248">
      <c r="B248" s="51" t="n"/>
      <c r="C248" s="51" t="n"/>
      <c r="D248" s="51" t="n"/>
      <c r="E248" s="51" t="n"/>
      <c r="F248" s="51" t="n"/>
      <c r="G248" s="51" t="n"/>
      <c r="H248" s="51" t="n"/>
    </row>
    <row r="249">
      <c r="B249" s="51" t="n"/>
      <c r="C249" s="51" t="n"/>
      <c r="D249" s="51" t="n"/>
      <c r="E249" s="51" t="n"/>
      <c r="F249" s="51" t="n"/>
      <c r="G249" s="51" t="n"/>
      <c r="H249" s="51" t="n"/>
    </row>
    <row r="250">
      <c r="B250" s="51" t="n"/>
      <c r="C250" s="51" t="n"/>
      <c r="D250" s="51" t="n"/>
      <c r="E250" s="51" t="n"/>
      <c r="F250" s="51" t="n"/>
      <c r="G250" s="51" t="n"/>
      <c r="H250" s="51" t="n"/>
    </row>
    <row r="251">
      <c r="B251" s="51" t="n"/>
      <c r="C251" s="51" t="n"/>
      <c r="D251" s="51" t="n"/>
      <c r="E251" s="51" t="n"/>
      <c r="F251" s="51" t="n"/>
      <c r="G251" s="51" t="n"/>
      <c r="H251" s="51" t="n"/>
    </row>
    <row r="252">
      <c r="B252" s="51" t="n"/>
      <c r="C252" s="51" t="n"/>
      <c r="D252" s="51" t="n"/>
      <c r="E252" s="51" t="n"/>
      <c r="F252" s="51" t="n"/>
      <c r="G252" s="51" t="n"/>
      <c r="H252" s="51" t="n"/>
    </row>
    <row r="253">
      <c r="B253" s="51" t="n"/>
      <c r="C253" s="51" t="n"/>
      <c r="D253" s="51" t="n"/>
      <c r="E253" s="51" t="n"/>
      <c r="F253" s="51" t="n"/>
      <c r="G253" s="51" t="n"/>
      <c r="H253" s="51" t="n"/>
    </row>
    <row r="254">
      <c r="B254" s="51" t="n"/>
      <c r="C254" s="51" t="n"/>
      <c r="D254" s="51" t="n"/>
      <c r="E254" s="51" t="n"/>
      <c r="F254" s="51" t="n"/>
      <c r="G254" s="51" t="n"/>
      <c r="H254" s="51" t="n"/>
    </row>
    <row r="255">
      <c r="B255" s="51" t="n"/>
      <c r="C255" s="51" t="n"/>
      <c r="D255" s="51" t="n"/>
      <c r="E255" s="51" t="n"/>
      <c r="F255" s="51" t="n"/>
      <c r="G255" s="51" t="n"/>
      <c r="H255" s="51" t="n"/>
    </row>
    <row r="256">
      <c r="B256" s="51" t="n"/>
      <c r="C256" s="51" t="n"/>
      <c r="D256" s="51" t="n"/>
      <c r="E256" s="51" t="n"/>
      <c r="F256" s="51" t="n"/>
      <c r="G256" s="51" t="n"/>
      <c r="H256" s="51" t="n"/>
    </row>
    <row r="257">
      <c r="B257" s="51" t="n"/>
      <c r="C257" s="51" t="n"/>
      <c r="D257" s="51" t="n"/>
      <c r="E257" s="51" t="n"/>
      <c r="F257" s="51" t="n"/>
      <c r="G257" s="51" t="n"/>
      <c r="H257" s="51" t="n"/>
    </row>
    <row r="258">
      <c r="B258" s="51" t="n"/>
      <c r="C258" s="51" t="n"/>
      <c r="D258" s="51" t="n"/>
      <c r="E258" s="51" t="n"/>
      <c r="F258" s="51" t="n"/>
      <c r="G258" s="51" t="n"/>
      <c r="H258" s="51" t="n"/>
    </row>
    <row r="259">
      <c r="B259" s="51" t="n"/>
      <c r="C259" s="51" t="n"/>
      <c r="D259" s="51" t="n"/>
      <c r="E259" s="51" t="n"/>
      <c r="F259" s="51" t="n"/>
      <c r="G259" s="51" t="n"/>
      <c r="H259" s="51" t="n"/>
    </row>
    <row r="260">
      <c r="B260" s="51" t="n"/>
      <c r="C260" s="51" t="n"/>
      <c r="D260" s="51" t="n"/>
      <c r="E260" s="51" t="n"/>
      <c r="F260" s="51" t="n"/>
      <c r="G260" s="51" t="n"/>
      <c r="H260" s="51" t="n"/>
    </row>
    <row r="261">
      <c r="B261" s="51" t="n"/>
      <c r="C261" s="51" t="n"/>
      <c r="D261" s="51" t="n"/>
      <c r="E261" s="51" t="n"/>
      <c r="F261" s="51" t="n"/>
      <c r="G261" s="51" t="n"/>
      <c r="H261" s="51" t="n"/>
    </row>
    <row r="262">
      <c r="B262" s="51" t="n"/>
      <c r="C262" s="51" t="n"/>
      <c r="D262" s="51" t="n"/>
      <c r="E262" s="51" t="n"/>
      <c r="F262" s="51" t="n"/>
      <c r="G262" s="51" t="n"/>
      <c r="H262" s="51" t="n"/>
    </row>
    <row r="263">
      <c r="B263" s="51" t="n"/>
      <c r="C263" s="51" t="n"/>
      <c r="D263" s="51" t="n"/>
      <c r="E263" s="51" t="n"/>
      <c r="F263" s="51" t="n"/>
      <c r="G263" s="51" t="n"/>
      <c r="H263" s="51" t="n"/>
    </row>
    <row r="264">
      <c r="B264" s="51" t="n"/>
      <c r="C264" s="51" t="n"/>
      <c r="D264" s="51" t="n"/>
      <c r="E264" s="51" t="n"/>
      <c r="F264" s="51" t="n"/>
      <c r="G264" s="51" t="n"/>
      <c r="H264" s="51" t="n"/>
    </row>
    <row r="265">
      <c r="B265" s="51" t="n"/>
      <c r="C265" s="51" t="n"/>
      <c r="D265" s="51" t="n"/>
      <c r="E265" s="51" t="n"/>
      <c r="F265" s="51" t="n"/>
      <c r="G265" s="51" t="n"/>
      <c r="H265" s="51" t="n"/>
    </row>
    <row r="266">
      <c r="B266" s="51" t="n"/>
      <c r="C266" s="51" t="n"/>
      <c r="D266" s="51" t="n"/>
      <c r="E266" s="51" t="n"/>
      <c r="F266" s="51" t="n"/>
      <c r="G266" s="51" t="n"/>
      <c r="H266" s="51" t="n"/>
    </row>
    <row r="267">
      <c r="B267" s="51" t="n"/>
      <c r="C267" s="51" t="n"/>
      <c r="D267" s="51" t="n"/>
      <c r="E267" s="51" t="n"/>
      <c r="F267" s="51" t="n"/>
      <c r="G267" s="51" t="n"/>
      <c r="H267" s="51" t="n"/>
    </row>
    <row r="268">
      <c r="B268" s="51" t="n"/>
      <c r="C268" s="51" t="n"/>
      <c r="D268" s="51" t="n"/>
      <c r="E268" s="51" t="n"/>
      <c r="F268" s="51" t="n"/>
      <c r="G268" s="51" t="n"/>
      <c r="H268" s="51" t="n"/>
    </row>
    <row r="269">
      <c r="B269" s="51" t="n"/>
      <c r="C269" s="51" t="n"/>
      <c r="D269" s="51" t="n"/>
      <c r="E269" s="51" t="n"/>
      <c r="F269" s="51" t="n"/>
      <c r="G269" s="51" t="n"/>
      <c r="H269" s="51" t="n"/>
    </row>
    <row r="270">
      <c r="B270" s="51" t="n"/>
      <c r="C270" s="51" t="n"/>
      <c r="D270" s="51" t="n"/>
      <c r="E270" s="51" t="n"/>
      <c r="F270" s="51" t="n"/>
      <c r="G270" s="51" t="n"/>
      <c r="H270" s="51" t="n"/>
    </row>
    <row r="271">
      <c r="B271" s="51" t="n"/>
      <c r="C271" s="51" t="n"/>
      <c r="D271" s="51" t="n"/>
      <c r="E271" s="51" t="n"/>
      <c r="F271" s="51" t="n"/>
      <c r="G271" s="51" t="n"/>
      <c r="H271" s="51" t="n"/>
    </row>
    <row r="272">
      <c r="B272" s="51" t="n"/>
      <c r="C272" s="51" t="n"/>
      <c r="D272" s="51" t="n"/>
      <c r="E272" s="51" t="n"/>
      <c r="F272" s="51" t="n"/>
      <c r="G272" s="51" t="n"/>
      <c r="H272" s="51" t="n"/>
    </row>
    <row r="273">
      <c r="B273" s="51" t="n"/>
      <c r="C273" s="51" t="n"/>
      <c r="D273" s="51" t="n"/>
      <c r="E273" s="51" t="n"/>
      <c r="F273" s="51" t="n"/>
      <c r="G273" s="51" t="n"/>
      <c r="H273" s="51" t="n"/>
    </row>
    <row r="274">
      <c r="B274" s="51" t="n"/>
      <c r="C274" s="51" t="n"/>
      <c r="D274" s="51" t="n"/>
      <c r="E274" s="51" t="n"/>
      <c r="F274" s="51" t="n"/>
      <c r="G274" s="51" t="n"/>
      <c r="H274" s="51" t="n"/>
    </row>
    <row r="275">
      <c r="B275" s="51" t="n"/>
      <c r="C275" s="51" t="n"/>
      <c r="D275" s="51" t="n"/>
      <c r="E275" s="51" t="n"/>
      <c r="F275" s="51" t="n"/>
      <c r="G275" s="51" t="n"/>
      <c r="H275" s="51" t="n"/>
    </row>
    <row r="276">
      <c r="B276" s="51" t="n"/>
      <c r="C276" s="51" t="n"/>
      <c r="D276" s="51" t="n"/>
      <c r="E276" s="51" t="n"/>
      <c r="F276" s="51" t="n"/>
      <c r="G276" s="51" t="n"/>
      <c r="H276" s="51" t="n"/>
    </row>
    <row r="277">
      <c r="B277" s="51" t="n"/>
      <c r="C277" s="51" t="n"/>
      <c r="D277" s="51" t="n"/>
      <c r="E277" s="51" t="n"/>
      <c r="F277" s="51" t="n"/>
      <c r="G277" s="51" t="n"/>
      <c r="H277" s="51" t="n"/>
    </row>
    <row r="278">
      <c r="B278" s="51" t="n"/>
      <c r="C278" s="51" t="n"/>
      <c r="D278" s="51" t="n"/>
      <c r="E278" s="51" t="n"/>
      <c r="F278" s="51" t="n"/>
      <c r="G278" s="51" t="n"/>
      <c r="H278" s="51" t="n"/>
    </row>
    <row r="279">
      <c r="B279" s="51" t="n"/>
      <c r="C279" s="51" t="n"/>
      <c r="D279" s="51" t="n"/>
      <c r="E279" s="51" t="n"/>
      <c r="F279" s="51" t="n"/>
      <c r="G279" s="51" t="n"/>
      <c r="H279" s="51" t="n"/>
    </row>
    <row r="280">
      <c r="B280" s="51" t="n"/>
      <c r="C280" s="51" t="n"/>
      <c r="D280" s="51" t="n"/>
      <c r="E280" s="51" t="n"/>
      <c r="F280" s="51" t="n"/>
      <c r="G280" s="51" t="n"/>
      <c r="H280" s="51" t="n"/>
    </row>
    <row r="281">
      <c r="B281" s="51" t="n"/>
      <c r="C281" s="51" t="n"/>
      <c r="D281" s="51" t="n"/>
      <c r="E281" s="51" t="n"/>
      <c r="F281" s="51" t="n"/>
      <c r="G281" s="51" t="n"/>
      <c r="H281" s="51" t="n"/>
    </row>
    <row r="282">
      <c r="B282" s="51" t="n"/>
      <c r="C282" s="51" t="n"/>
      <c r="D282" s="51" t="n"/>
      <c r="E282" s="51" t="n"/>
      <c r="F282" s="51" t="n"/>
      <c r="G282" s="51" t="n"/>
      <c r="H282" s="51" t="n"/>
    </row>
    <row r="283">
      <c r="B283" s="51" t="n"/>
      <c r="C283" s="51" t="n"/>
      <c r="D283" s="51" t="n"/>
      <c r="E283" s="51" t="n"/>
      <c r="F283" s="51" t="n"/>
      <c r="G283" s="51" t="n"/>
      <c r="H283" s="51" t="n"/>
    </row>
    <row r="284">
      <c r="B284" s="51" t="n"/>
      <c r="C284" s="51" t="n"/>
      <c r="D284" s="51" t="n"/>
      <c r="E284" s="51" t="n"/>
      <c r="F284" s="51" t="n"/>
      <c r="G284" s="51" t="n"/>
      <c r="H284" s="51" t="n"/>
    </row>
    <row r="285">
      <c r="B285" s="51" t="n"/>
      <c r="C285" s="51" t="n"/>
      <c r="D285" s="51" t="n"/>
      <c r="E285" s="51" t="n"/>
      <c r="F285" s="51" t="n"/>
      <c r="G285" s="51" t="n"/>
      <c r="H285" s="51" t="n"/>
    </row>
    <row r="286">
      <c r="B286" s="51" t="n"/>
      <c r="C286" s="51" t="n"/>
      <c r="D286" s="51" t="n"/>
      <c r="E286" s="51" t="n"/>
      <c r="F286" s="51" t="n"/>
      <c r="G286" s="51" t="n"/>
      <c r="H286" s="51" t="n"/>
    </row>
    <row r="287">
      <c r="B287" s="51" t="n"/>
      <c r="C287" s="51" t="n"/>
      <c r="D287" s="51" t="n"/>
      <c r="E287" s="51" t="n"/>
      <c r="F287" s="51" t="n"/>
      <c r="G287" s="51" t="n"/>
      <c r="H287" s="51" t="n"/>
    </row>
    <row r="288">
      <c r="B288" s="51" t="n"/>
      <c r="C288" s="51" t="n"/>
      <c r="D288" s="51" t="n"/>
      <c r="E288" s="51" t="n"/>
      <c r="F288" s="51" t="n"/>
      <c r="G288" s="51" t="n"/>
      <c r="H288" s="51" t="n"/>
    </row>
    <row r="289">
      <c r="B289" s="51" t="n"/>
      <c r="C289" s="51" t="n"/>
      <c r="D289" s="51" t="n"/>
      <c r="E289" s="51" t="n"/>
      <c r="F289" s="51" t="n"/>
      <c r="G289" s="51" t="n"/>
      <c r="H289" s="51" t="n"/>
    </row>
    <row r="290">
      <c r="B290" s="51" t="n"/>
      <c r="C290" s="51" t="n"/>
      <c r="D290" s="51" t="n"/>
      <c r="E290" s="51" t="n"/>
      <c r="F290" s="51" t="n"/>
      <c r="G290" s="51" t="n"/>
      <c r="H290" s="51" t="n"/>
    </row>
    <row r="291">
      <c r="B291" s="51" t="n"/>
      <c r="C291" s="51" t="n"/>
      <c r="D291" s="51" t="n"/>
      <c r="E291" s="51" t="n"/>
      <c r="F291" s="51" t="n"/>
      <c r="G291" s="51" t="n"/>
      <c r="H291" s="51" t="n"/>
    </row>
    <row r="292">
      <c r="B292" s="51" t="n"/>
      <c r="C292" s="51" t="n"/>
      <c r="D292" s="51" t="n"/>
      <c r="E292" s="51" t="n"/>
      <c r="F292" s="51" t="n"/>
      <c r="G292" s="51" t="n"/>
      <c r="H292" s="51" t="n"/>
    </row>
    <row r="293">
      <c r="B293" s="51" t="n"/>
      <c r="C293" s="51" t="n"/>
      <c r="D293" s="51" t="n"/>
      <c r="E293" s="51" t="n"/>
      <c r="F293" s="51" t="n"/>
      <c r="G293" s="51" t="n"/>
      <c r="H293" s="51" t="n"/>
    </row>
    <row r="294">
      <c r="B294" s="51" t="n"/>
      <c r="C294" s="51" t="n"/>
      <c r="D294" s="51" t="n"/>
      <c r="E294" s="51" t="n"/>
      <c r="F294" s="51" t="n"/>
      <c r="G294" s="51" t="n"/>
      <c r="H294" s="51" t="n"/>
    </row>
    <row r="295">
      <c r="B295" s="51" t="n"/>
      <c r="C295" s="51" t="n"/>
      <c r="D295" s="51" t="n"/>
      <c r="E295" s="51" t="n"/>
      <c r="F295" s="51" t="n"/>
      <c r="G295" s="51" t="n"/>
      <c r="H295" s="51" t="n"/>
    </row>
    <row r="296">
      <c r="B296" s="51" t="n"/>
      <c r="C296" s="51" t="n"/>
      <c r="D296" s="51" t="n"/>
      <c r="E296" s="51" t="n"/>
      <c r="F296" s="51" t="n"/>
      <c r="G296" s="51" t="n"/>
      <c r="H296" s="51" t="n"/>
    </row>
    <row r="297">
      <c r="B297" s="51" t="n"/>
      <c r="C297" s="51" t="n"/>
      <c r="D297" s="51" t="n"/>
      <c r="E297" s="51" t="n"/>
      <c r="F297" s="51" t="n"/>
      <c r="G297" s="51" t="n"/>
      <c r="H297" s="51" t="n"/>
    </row>
    <row r="298">
      <c r="B298" s="51" t="n"/>
      <c r="C298" s="51" t="n"/>
      <c r="D298" s="51" t="n"/>
      <c r="E298" s="51" t="n"/>
      <c r="F298" s="51" t="n"/>
      <c r="G298" s="51" t="n"/>
      <c r="H298" s="51" t="n"/>
    </row>
    <row r="299">
      <c r="B299" s="51" t="n"/>
      <c r="C299" s="51" t="n"/>
      <c r="D299" s="51" t="n"/>
      <c r="E299" s="51" t="n"/>
      <c r="F299" s="51" t="n"/>
      <c r="G299" s="51" t="n"/>
      <c r="H299" s="51" t="n"/>
    </row>
    <row r="300">
      <c r="B300" s="51" t="n"/>
      <c r="C300" s="51" t="n"/>
      <c r="D300" s="51" t="n"/>
      <c r="E300" s="51" t="n"/>
      <c r="F300" s="51" t="n"/>
      <c r="G300" s="51" t="n"/>
      <c r="H300" s="51" t="n"/>
    </row>
    <row r="301">
      <c r="B301" s="51" t="n"/>
      <c r="C301" s="51" t="n"/>
      <c r="D301" s="51" t="n"/>
      <c r="E301" s="51" t="n"/>
      <c r="F301" s="51" t="n"/>
      <c r="G301" s="51" t="n"/>
      <c r="H301" s="51" t="n"/>
    </row>
    <row r="302">
      <c r="B302" s="51" t="n"/>
      <c r="C302" s="51" t="n"/>
      <c r="D302" s="51" t="n"/>
      <c r="E302" s="51" t="n"/>
      <c r="F302" s="51" t="n"/>
      <c r="G302" s="51" t="n"/>
      <c r="H302" s="51" t="n"/>
    </row>
    <row r="303">
      <c r="B303" s="51" t="n"/>
      <c r="C303" s="51" t="n"/>
      <c r="D303" s="51" t="n"/>
      <c r="E303" s="51" t="n"/>
      <c r="F303" s="51" t="n"/>
      <c r="G303" s="51" t="n"/>
      <c r="H303" s="51" t="n"/>
    </row>
    <row r="304">
      <c r="B304" s="51" t="n"/>
      <c r="C304" s="51" t="n"/>
      <c r="D304" s="51" t="n"/>
      <c r="E304" s="51" t="n"/>
      <c r="F304" s="51" t="n"/>
      <c r="G304" s="51" t="n"/>
      <c r="H304" s="51" t="n"/>
    </row>
    <row r="305">
      <c r="B305" s="51" t="n"/>
      <c r="C305" s="51" t="n"/>
      <c r="D305" s="51" t="n"/>
      <c r="E305" s="51" t="n"/>
      <c r="F305" s="51" t="n"/>
      <c r="G305" s="51" t="n"/>
      <c r="H305" s="51" t="n"/>
    </row>
    <row r="306">
      <c r="B306" s="51" t="n"/>
      <c r="C306" s="51" t="n"/>
      <c r="D306" s="51" t="n"/>
      <c r="E306" s="51" t="n"/>
      <c r="F306" s="51" t="n"/>
      <c r="G306" s="51" t="n"/>
      <c r="H306" s="51" t="n"/>
    </row>
    <row r="307">
      <c r="B307" s="51" t="n"/>
      <c r="C307" s="51" t="n"/>
      <c r="D307" s="51" t="n"/>
      <c r="E307" s="51" t="n"/>
      <c r="F307" s="51" t="n"/>
      <c r="G307" s="51" t="n"/>
      <c r="H307" s="51" t="n"/>
    </row>
    <row r="308">
      <c r="B308" s="51" t="n"/>
      <c r="C308" s="51" t="n"/>
      <c r="D308" s="51" t="n"/>
      <c r="E308" s="51" t="n"/>
      <c r="F308" s="51" t="n"/>
      <c r="G308" s="51" t="n"/>
      <c r="H308" s="51" t="n"/>
    </row>
    <row r="309">
      <c r="B309" s="51" t="n"/>
      <c r="C309" s="51" t="n"/>
      <c r="D309" s="51" t="n"/>
      <c r="E309" s="51" t="n"/>
      <c r="F309" s="51" t="n"/>
      <c r="G309" s="51" t="n"/>
      <c r="H309" s="51" t="n"/>
    </row>
    <row r="310">
      <c r="B310" s="51" t="n"/>
      <c r="C310" s="51" t="n"/>
      <c r="D310" s="51" t="n"/>
      <c r="E310" s="51" t="n"/>
      <c r="F310" s="51" t="n"/>
      <c r="G310" s="51" t="n"/>
      <c r="H310" s="51" t="n"/>
    </row>
    <row r="311">
      <c r="B311" s="51" t="n"/>
      <c r="C311" s="51" t="n"/>
      <c r="D311" s="51" t="n"/>
      <c r="E311" s="51" t="n"/>
      <c r="F311" s="51" t="n"/>
      <c r="G311" s="51" t="n"/>
      <c r="H311" s="51" t="n"/>
    </row>
    <row r="312">
      <c r="B312" s="51" t="n"/>
      <c r="C312" s="51" t="n"/>
      <c r="D312" s="51" t="n"/>
      <c r="E312" s="51" t="n"/>
      <c r="F312" s="51" t="n"/>
      <c r="G312" s="51" t="n"/>
      <c r="H312" s="51" t="n"/>
    </row>
    <row r="313">
      <c r="B313" s="51" t="n"/>
      <c r="C313" s="51" t="n"/>
      <c r="D313" s="51" t="n"/>
      <c r="E313" s="51" t="n"/>
      <c r="F313" s="51" t="n"/>
      <c r="G313" s="51" t="n"/>
      <c r="H313" s="51" t="n"/>
    </row>
    <row r="314">
      <c r="B314" s="51" t="n"/>
      <c r="C314" s="51" t="n"/>
      <c r="D314" s="51" t="n"/>
      <c r="E314" s="51" t="n"/>
      <c r="F314" s="51" t="n"/>
      <c r="G314" s="51" t="n"/>
      <c r="H314" s="51" t="n"/>
    </row>
    <row r="315">
      <c r="B315" s="51" t="n"/>
      <c r="C315" s="51" t="n"/>
      <c r="D315" s="51" t="n"/>
      <c r="E315" s="51" t="n"/>
      <c r="F315" s="51" t="n"/>
      <c r="G315" s="51" t="n"/>
      <c r="H315" s="51" t="n"/>
    </row>
    <row r="316">
      <c r="B316" s="51" t="n"/>
      <c r="C316" s="51" t="n"/>
      <c r="D316" s="51" t="n"/>
      <c r="E316" s="51" t="n"/>
      <c r="F316" s="51" t="n"/>
      <c r="G316" s="51" t="n"/>
      <c r="H316" s="51" t="n"/>
    </row>
    <row r="317">
      <c r="B317" s="51" t="n"/>
      <c r="C317" s="51" t="n"/>
      <c r="D317" s="51" t="n"/>
      <c r="E317" s="51" t="n"/>
      <c r="F317" s="51" t="n"/>
      <c r="G317" s="51" t="n"/>
      <c r="H317" s="51" t="n"/>
    </row>
    <row r="318">
      <c r="B318" s="51" t="n"/>
      <c r="C318" s="51" t="n"/>
      <c r="D318" s="51" t="n"/>
      <c r="E318" s="51" t="n"/>
      <c r="F318" s="51" t="n"/>
      <c r="G318" s="51" t="n"/>
      <c r="H318" s="51" t="n"/>
    </row>
    <row r="319">
      <c r="B319" s="51" t="n"/>
      <c r="C319" s="51" t="n"/>
      <c r="D319" s="51" t="n"/>
      <c r="E319" s="51" t="n"/>
      <c r="F319" s="51" t="n"/>
      <c r="G319" s="51" t="n"/>
      <c r="H319" s="51" t="n"/>
    </row>
    <row r="320">
      <c r="B320" s="51" t="n"/>
      <c r="C320" s="51" t="n"/>
      <c r="D320" s="51" t="n"/>
      <c r="E320" s="51" t="n"/>
      <c r="F320" s="51" t="n"/>
      <c r="G320" s="51" t="n"/>
      <c r="H320" s="51" t="n"/>
    </row>
    <row r="321">
      <c r="B321" s="51" t="n"/>
      <c r="C321" s="51" t="n"/>
      <c r="D321" s="51" t="n"/>
      <c r="E321" s="51" t="n"/>
      <c r="F321" s="51" t="n"/>
      <c r="G321" s="51" t="n"/>
      <c r="H321" s="51" t="n"/>
    </row>
    <row r="322">
      <c r="B322" s="51" t="n"/>
      <c r="C322" s="51" t="n"/>
      <c r="D322" s="51" t="n"/>
      <c r="E322" s="51" t="n"/>
      <c r="F322" s="51" t="n"/>
      <c r="G322" s="51" t="n"/>
      <c r="H322" s="51" t="n"/>
    </row>
    <row r="323">
      <c r="B323" s="51" t="n"/>
      <c r="C323" s="51" t="n"/>
      <c r="D323" s="51" t="n"/>
      <c r="E323" s="51" t="n"/>
      <c r="F323" s="51" t="n"/>
      <c r="G323" s="51" t="n"/>
      <c r="H323" s="51" t="n"/>
    </row>
    <row r="324">
      <c r="B324" s="51" t="n"/>
      <c r="C324" s="51" t="n"/>
      <c r="D324" s="51" t="n"/>
      <c r="E324" s="51" t="n"/>
      <c r="F324" s="51" t="n"/>
      <c r="G324" s="51" t="n"/>
      <c r="H324" s="51" t="n"/>
    </row>
    <row r="325">
      <c r="B325" s="51" t="n"/>
      <c r="C325" s="51" t="n"/>
      <c r="D325" s="51" t="n"/>
      <c r="E325" s="51" t="n"/>
      <c r="F325" s="51" t="n"/>
      <c r="G325" s="51" t="n"/>
      <c r="H325" s="51" t="n"/>
    </row>
    <row r="326">
      <c r="B326" s="51" t="n"/>
      <c r="C326" s="51" t="n"/>
      <c r="D326" s="51" t="n"/>
      <c r="E326" s="51" t="n"/>
      <c r="F326" s="51" t="n"/>
      <c r="G326" s="51" t="n"/>
      <c r="H326" s="51" t="n"/>
    </row>
    <row r="327">
      <c r="B327" s="51" t="n"/>
      <c r="C327" s="51" t="n"/>
      <c r="D327" s="51" t="n"/>
      <c r="E327" s="51" t="n"/>
      <c r="F327" s="51" t="n"/>
      <c r="G327" s="51" t="n"/>
      <c r="H327" s="51" t="n"/>
    </row>
    <row r="328">
      <c r="B328" s="51" t="n"/>
      <c r="C328" s="51" t="n"/>
      <c r="D328" s="51" t="n"/>
      <c r="E328" s="51" t="n"/>
      <c r="F328" s="51" t="n"/>
      <c r="G328" s="51" t="n"/>
      <c r="H328" s="51" t="n"/>
    </row>
    <row r="329">
      <c r="B329" s="51" t="n"/>
      <c r="C329" s="51" t="n"/>
      <c r="D329" s="51" t="n"/>
      <c r="E329" s="51" t="n"/>
      <c r="F329" s="51" t="n"/>
      <c r="G329" s="51" t="n"/>
      <c r="H329" s="51" t="n"/>
    </row>
    <row r="330">
      <c r="B330" s="51" t="n"/>
      <c r="C330" s="51" t="n"/>
      <c r="D330" s="51" t="n"/>
      <c r="E330" s="51" t="n"/>
      <c r="F330" s="51" t="n"/>
      <c r="G330" s="51" t="n"/>
      <c r="H330" s="51" t="n"/>
    </row>
    <row r="331">
      <c r="B331" s="51" t="n"/>
      <c r="C331" s="51" t="n"/>
      <c r="D331" s="51" t="n"/>
      <c r="E331" s="51" t="n"/>
      <c r="F331" s="51" t="n"/>
      <c r="G331" s="51" t="n"/>
      <c r="H331" s="51" t="n"/>
    </row>
    <row r="332">
      <c r="B332" s="51" t="n"/>
      <c r="C332" s="51" t="n"/>
      <c r="D332" s="51" t="n"/>
      <c r="E332" s="51" t="n"/>
      <c r="F332" s="51" t="n"/>
      <c r="G332" s="51" t="n"/>
      <c r="H332" s="51" t="n"/>
    </row>
    <row r="333">
      <c r="B333" s="51" t="n"/>
      <c r="C333" s="51" t="n"/>
      <c r="D333" s="51" t="n"/>
      <c r="E333" s="51" t="n"/>
      <c r="F333" s="51" t="n"/>
      <c r="G333" s="51" t="n"/>
      <c r="H333" s="51" t="n"/>
    </row>
    <row r="334">
      <c r="B334" s="51" t="n"/>
      <c r="C334" s="51" t="n"/>
      <c r="D334" s="51" t="n"/>
      <c r="E334" s="51" t="n"/>
      <c r="F334" s="51" t="n"/>
      <c r="G334" s="51" t="n"/>
      <c r="H334" s="51" t="n"/>
    </row>
    <row r="335">
      <c r="B335" s="51" t="n"/>
      <c r="C335" s="51" t="n"/>
      <c r="D335" s="51" t="n"/>
      <c r="E335" s="51" t="n"/>
      <c r="F335" s="51" t="n"/>
      <c r="G335" s="51" t="n"/>
      <c r="H335" s="51" t="n"/>
    </row>
    <row r="336">
      <c r="B336" s="51" t="n"/>
      <c r="C336" s="51" t="n"/>
      <c r="D336" s="51" t="n"/>
      <c r="E336" s="51" t="n"/>
      <c r="F336" s="51" t="n"/>
      <c r="G336" s="51" t="n"/>
      <c r="H336" s="51" t="n"/>
    </row>
    <row r="337">
      <c r="B337" s="51" t="n"/>
      <c r="C337" s="51" t="n"/>
      <c r="D337" s="51" t="n"/>
      <c r="E337" s="51" t="n"/>
      <c r="F337" s="51" t="n"/>
      <c r="G337" s="51" t="n"/>
      <c r="H337" s="51" t="n"/>
    </row>
    <row r="338">
      <c r="B338" s="51" t="n"/>
      <c r="C338" s="51" t="n"/>
      <c r="D338" s="51" t="n"/>
      <c r="E338" s="51" t="n"/>
      <c r="F338" s="51" t="n"/>
      <c r="G338" s="51" t="n"/>
      <c r="H338" s="51" t="n"/>
    </row>
    <row r="339">
      <c r="B339" s="51" t="n"/>
      <c r="C339" s="51" t="n"/>
      <c r="D339" s="51" t="n"/>
      <c r="E339" s="51" t="n"/>
      <c r="F339" s="51" t="n"/>
      <c r="G339" s="51" t="n"/>
      <c r="H339" s="51" t="n"/>
    </row>
    <row r="340">
      <c r="B340" s="51" t="n"/>
      <c r="C340" s="51" t="n"/>
      <c r="D340" s="51" t="n"/>
      <c r="E340" s="51" t="n"/>
      <c r="F340" s="51" t="n"/>
      <c r="G340" s="51" t="n"/>
      <c r="H340" s="51" t="n"/>
    </row>
    <row r="341">
      <c r="B341" s="51" t="n"/>
      <c r="C341" s="51" t="n"/>
      <c r="D341" s="51" t="n"/>
      <c r="E341" s="51" t="n"/>
      <c r="F341" s="51" t="n"/>
      <c r="G341" s="51" t="n"/>
      <c r="H341" s="51" t="n"/>
    </row>
    <row r="342">
      <c r="B342" s="51" t="n"/>
      <c r="C342" s="51" t="n"/>
      <c r="D342" s="51" t="n"/>
      <c r="E342" s="51" t="n"/>
      <c r="F342" s="51" t="n"/>
      <c r="G342" s="51" t="n"/>
      <c r="H342" s="51" t="n"/>
    </row>
    <row r="343">
      <c r="B343" s="51" t="n"/>
      <c r="C343" s="51" t="n"/>
      <c r="D343" s="51" t="n"/>
      <c r="E343" s="51" t="n"/>
      <c r="F343" s="51" t="n"/>
      <c r="G343" s="51" t="n"/>
      <c r="H343" s="51" t="n"/>
    </row>
    <row r="344">
      <c r="B344" s="51" t="n"/>
      <c r="C344" s="51" t="n"/>
      <c r="D344" s="51" t="n"/>
      <c r="E344" s="51" t="n"/>
      <c r="F344" s="51" t="n"/>
      <c r="G344" s="51" t="n"/>
      <c r="H344" s="51" t="n"/>
    </row>
    <row r="345">
      <c r="B345" s="51" t="n"/>
      <c r="C345" s="51" t="n"/>
      <c r="D345" s="51" t="n"/>
      <c r="E345" s="51" t="n"/>
      <c r="F345" s="51" t="n"/>
      <c r="G345" s="51" t="n"/>
      <c r="H345" s="51" t="n"/>
    </row>
    <row r="346">
      <c r="B346" s="51" t="n"/>
      <c r="C346" s="51" t="n"/>
      <c r="D346" s="51" t="n"/>
      <c r="E346" s="51" t="n"/>
      <c r="F346" s="51" t="n"/>
      <c r="G346" s="51" t="n"/>
      <c r="H346" s="51" t="n"/>
    </row>
    <row r="347">
      <c r="B347" s="51" t="n"/>
      <c r="C347" s="51" t="n"/>
      <c r="D347" s="51" t="n"/>
      <c r="E347" s="51" t="n"/>
      <c r="F347" s="51" t="n"/>
      <c r="G347" s="51" t="n"/>
      <c r="H347" s="51" t="n"/>
    </row>
    <row r="348">
      <c r="B348" s="51" t="n"/>
      <c r="C348" s="51" t="n"/>
      <c r="D348" s="51" t="n"/>
      <c r="E348" s="51" t="n"/>
      <c r="F348" s="51" t="n"/>
      <c r="G348" s="51" t="n"/>
      <c r="H348" s="51" t="n"/>
    </row>
    <row r="349">
      <c r="B349" s="51" t="n"/>
      <c r="C349" s="51" t="n"/>
      <c r="D349" s="51" t="n"/>
      <c r="E349" s="51" t="n"/>
      <c r="F349" s="51" t="n"/>
      <c r="G349" s="51" t="n"/>
      <c r="H349" s="51" t="n"/>
    </row>
    <row r="350">
      <c r="B350" s="51" t="n"/>
      <c r="C350" s="51" t="n"/>
      <c r="D350" s="51" t="n"/>
      <c r="E350" s="51" t="n"/>
      <c r="F350" s="51" t="n"/>
      <c r="G350" s="51" t="n"/>
      <c r="H350" s="51" t="n"/>
    </row>
    <row r="351">
      <c r="B351" s="51" t="n"/>
      <c r="C351" s="51" t="n"/>
      <c r="D351" s="51" t="n"/>
      <c r="E351" s="51" t="n"/>
      <c r="F351" s="51" t="n"/>
      <c r="G351" s="51" t="n"/>
      <c r="H351" s="51" t="n"/>
    </row>
    <row r="352">
      <c r="B352" s="51" t="n"/>
      <c r="C352" s="51" t="n"/>
      <c r="D352" s="51" t="n"/>
      <c r="E352" s="51" t="n"/>
      <c r="F352" s="51" t="n"/>
      <c r="G352" s="51" t="n"/>
      <c r="H352" s="51" t="n"/>
    </row>
    <row r="353">
      <c r="B353" s="51" t="n"/>
      <c r="C353" s="51" t="n"/>
      <c r="D353" s="51" t="n"/>
      <c r="E353" s="51" t="n"/>
      <c r="F353" s="51" t="n"/>
      <c r="G353" s="51" t="n"/>
      <c r="H353" s="51" t="n"/>
    </row>
    <row r="354">
      <c r="B354" s="51" t="n"/>
      <c r="C354" s="51" t="n"/>
      <c r="D354" s="51" t="n"/>
      <c r="E354" s="51" t="n"/>
      <c r="F354" s="51" t="n"/>
      <c r="G354" s="51" t="n"/>
      <c r="H354" s="51" t="n"/>
    </row>
    <row r="355">
      <c r="B355" s="51" t="n"/>
      <c r="C355" s="51" t="n"/>
      <c r="D355" s="51" t="n"/>
      <c r="E355" s="51" t="n"/>
      <c r="F355" s="51" t="n"/>
      <c r="G355" s="51" t="n"/>
      <c r="H355" s="51" t="n"/>
    </row>
    <row r="356">
      <c r="B356" s="51" t="n"/>
      <c r="C356" s="51" t="n"/>
      <c r="D356" s="51" t="n"/>
      <c r="E356" s="51" t="n"/>
      <c r="F356" s="51" t="n"/>
      <c r="G356" s="51" t="n"/>
      <c r="H356" s="51" t="n"/>
    </row>
    <row r="357">
      <c r="B357" s="51" t="n"/>
      <c r="C357" s="51" t="n"/>
      <c r="D357" s="51" t="n"/>
      <c r="E357" s="51" t="n"/>
      <c r="F357" s="51" t="n"/>
      <c r="G357" s="51" t="n"/>
      <c r="H357" s="51" t="n"/>
    </row>
    <row r="358">
      <c r="B358" s="51" t="n"/>
      <c r="C358" s="51" t="n"/>
      <c r="D358" s="51" t="n"/>
      <c r="E358" s="51" t="n"/>
      <c r="F358" s="51" t="n"/>
      <c r="G358" s="51" t="n"/>
      <c r="H358" s="51" t="n"/>
    </row>
    <row r="359">
      <c r="B359" s="51" t="n"/>
      <c r="C359" s="51" t="n"/>
      <c r="D359" s="51" t="n"/>
      <c r="E359" s="51" t="n"/>
      <c r="F359" s="51" t="n"/>
      <c r="G359" s="51" t="n"/>
      <c r="H359" s="51" t="n"/>
    </row>
    <row r="360">
      <c r="B360" s="51" t="n"/>
      <c r="C360" s="51" t="n"/>
      <c r="D360" s="51" t="n"/>
      <c r="E360" s="51" t="n"/>
      <c r="F360" s="51" t="n"/>
      <c r="G360" s="51" t="n"/>
      <c r="H360" s="51" t="n"/>
    </row>
    <row r="361">
      <c r="B361" s="51" t="n"/>
      <c r="C361" s="51" t="n"/>
      <c r="D361" s="51" t="n"/>
      <c r="E361" s="51" t="n"/>
      <c r="F361" s="51" t="n"/>
      <c r="G361" s="51" t="n"/>
      <c r="H361" s="51" t="n"/>
    </row>
    <row r="362">
      <c r="B362" s="51" t="n"/>
      <c r="C362" s="51" t="n"/>
      <c r="D362" s="51" t="n"/>
      <c r="E362" s="51" t="n"/>
      <c r="F362" s="51" t="n"/>
      <c r="G362" s="51" t="n"/>
      <c r="H362" s="51" t="n"/>
    </row>
    <row r="363">
      <c r="B363" s="51" t="n"/>
      <c r="C363" s="51" t="n"/>
      <c r="D363" s="51" t="n"/>
      <c r="E363" s="51" t="n"/>
      <c r="F363" s="51" t="n"/>
      <c r="G363" s="51" t="n"/>
      <c r="H363" s="51" t="n"/>
    </row>
    <row r="364">
      <c r="B364" s="51" t="n"/>
      <c r="C364" s="51" t="n"/>
      <c r="D364" s="51" t="n"/>
      <c r="E364" s="51" t="n"/>
      <c r="F364" s="51" t="n"/>
      <c r="G364" s="51" t="n"/>
      <c r="H364" s="51" t="n"/>
    </row>
    <row r="365">
      <c r="B365" s="51" t="n"/>
      <c r="C365" s="51" t="n"/>
      <c r="D365" s="51" t="n"/>
      <c r="E365" s="51" t="n"/>
      <c r="F365" s="51" t="n"/>
      <c r="G365" s="51" t="n"/>
      <c r="H365" s="51" t="n"/>
    </row>
    <row r="366">
      <c r="B366" s="51" t="n"/>
      <c r="C366" s="51" t="n"/>
      <c r="D366" s="51" t="n"/>
      <c r="E366" s="51" t="n"/>
      <c r="F366" s="51" t="n"/>
      <c r="G366" s="51" t="n"/>
      <c r="H366" s="51" t="n"/>
    </row>
    <row r="367">
      <c r="B367" s="51" t="n"/>
      <c r="C367" s="51" t="n"/>
      <c r="D367" s="51" t="n"/>
      <c r="E367" s="51" t="n"/>
      <c r="F367" s="51" t="n"/>
      <c r="G367" s="51" t="n"/>
      <c r="H367" s="51" t="n"/>
    </row>
    <row r="368">
      <c r="B368" s="51" t="n"/>
      <c r="C368" s="51" t="n"/>
      <c r="D368" s="51" t="n"/>
      <c r="E368" s="51" t="n"/>
      <c r="F368" s="51" t="n"/>
      <c r="G368" s="51" t="n"/>
      <c r="H368" s="51" t="n"/>
    </row>
    <row r="369">
      <c r="B369" s="51" t="n"/>
      <c r="C369" s="51" t="n"/>
      <c r="D369" s="51" t="n"/>
      <c r="E369" s="51" t="n"/>
      <c r="F369" s="51" t="n"/>
      <c r="G369" s="51" t="n"/>
      <c r="H369" s="51" t="n"/>
    </row>
    <row r="370">
      <c r="B370" s="51" t="n"/>
      <c r="C370" s="51" t="n"/>
      <c r="D370" s="51" t="n"/>
      <c r="E370" s="51" t="n"/>
      <c r="F370" s="51" t="n"/>
      <c r="G370" s="51" t="n"/>
      <c r="H370" s="51" t="n"/>
    </row>
    <row r="371">
      <c r="B371" s="51" t="n"/>
      <c r="C371" s="51" t="n"/>
      <c r="D371" s="51" t="n"/>
      <c r="E371" s="51" t="n"/>
      <c r="F371" s="51" t="n"/>
      <c r="G371" s="51" t="n"/>
      <c r="H371" s="51" t="n"/>
    </row>
    <row r="372">
      <c r="B372" s="51" t="n"/>
      <c r="C372" s="51" t="n"/>
      <c r="D372" s="51" t="n"/>
      <c r="E372" s="51" t="n"/>
      <c r="F372" s="51" t="n"/>
      <c r="G372" s="51" t="n"/>
      <c r="H372" s="51" t="n"/>
    </row>
    <row r="373">
      <c r="B373" s="51" t="n"/>
      <c r="C373" s="51" t="n"/>
      <c r="D373" s="51" t="n"/>
      <c r="E373" s="51" t="n"/>
      <c r="F373" s="51" t="n"/>
      <c r="G373" s="51" t="n"/>
      <c r="H373" s="51" t="n"/>
    </row>
    <row r="374">
      <c r="B374" s="51" t="n"/>
      <c r="C374" s="51" t="n"/>
      <c r="D374" s="51" t="n"/>
      <c r="E374" s="51" t="n"/>
      <c r="F374" s="51" t="n"/>
      <c r="G374" s="51" t="n"/>
      <c r="H374" s="51" t="n"/>
    </row>
    <row r="375">
      <c r="B375" s="51" t="n"/>
      <c r="C375" s="51" t="n"/>
      <c r="D375" s="51" t="n"/>
      <c r="E375" s="51" t="n"/>
      <c r="F375" s="51" t="n"/>
      <c r="G375" s="51" t="n"/>
      <c r="H375" s="51" t="n"/>
    </row>
    <row r="376">
      <c r="B376" s="51" t="n"/>
      <c r="C376" s="51" t="n"/>
      <c r="D376" s="51" t="n"/>
      <c r="E376" s="51" t="n"/>
      <c r="F376" s="51" t="n"/>
      <c r="G376" s="51" t="n"/>
      <c r="H376" s="51" t="n"/>
    </row>
    <row r="377">
      <c r="B377" s="51" t="n"/>
      <c r="C377" s="51" t="n"/>
      <c r="D377" s="51" t="n"/>
      <c r="E377" s="51" t="n"/>
      <c r="F377" s="51" t="n"/>
      <c r="G377" s="51" t="n"/>
      <c r="H377" s="51" t="n"/>
    </row>
    <row r="378">
      <c r="B378" s="51" t="n"/>
      <c r="C378" s="51" t="n"/>
      <c r="D378" s="51" t="n"/>
      <c r="E378" s="51" t="n"/>
      <c r="F378" s="51" t="n"/>
      <c r="G378" s="51" t="n"/>
      <c r="H378" s="51" t="n"/>
    </row>
    <row r="379">
      <c r="B379" s="51" t="n"/>
      <c r="C379" s="51" t="n"/>
      <c r="D379" s="51" t="n"/>
      <c r="E379" s="51" t="n"/>
      <c r="F379" s="51" t="n"/>
      <c r="G379" s="51" t="n"/>
      <c r="H379" s="51" t="n"/>
    </row>
    <row r="380">
      <c r="B380" s="51" t="n"/>
      <c r="C380" s="51" t="n"/>
      <c r="D380" s="51" t="n"/>
      <c r="E380" s="51" t="n"/>
      <c r="F380" s="51" t="n"/>
      <c r="G380" s="51" t="n"/>
      <c r="H380" s="51" t="n"/>
    </row>
    <row r="381">
      <c r="B381" s="51" t="n"/>
      <c r="C381" s="51" t="n"/>
      <c r="D381" s="51" t="n"/>
      <c r="E381" s="51" t="n"/>
      <c r="F381" s="51" t="n"/>
      <c r="G381" s="51" t="n"/>
      <c r="H381" s="51" t="n"/>
    </row>
    <row r="382">
      <c r="B382" s="51" t="n"/>
      <c r="C382" s="51" t="n"/>
      <c r="D382" s="51" t="n"/>
      <c r="E382" s="51" t="n"/>
      <c r="F382" s="51" t="n"/>
      <c r="G382" s="51" t="n"/>
      <c r="H382" s="51" t="n"/>
    </row>
    <row r="383">
      <c r="B383" s="51" t="n"/>
      <c r="C383" s="51" t="n"/>
      <c r="D383" s="51" t="n"/>
      <c r="E383" s="51" t="n"/>
      <c r="F383" s="51" t="n"/>
      <c r="G383" s="51" t="n"/>
      <c r="H383" s="51" t="n"/>
    </row>
    <row r="384">
      <c r="B384" s="51" t="n"/>
      <c r="C384" s="51" t="n"/>
      <c r="D384" s="51" t="n"/>
      <c r="E384" s="51" t="n"/>
      <c r="F384" s="51" t="n"/>
      <c r="G384" s="51" t="n"/>
      <c r="H384" s="51" t="n"/>
    </row>
    <row r="385">
      <c r="B385" s="51" t="n"/>
      <c r="C385" s="51" t="n"/>
      <c r="D385" s="51" t="n"/>
      <c r="E385" s="51" t="n"/>
      <c r="F385" s="51" t="n"/>
      <c r="G385" s="51" t="n"/>
      <c r="H385" s="51" t="n"/>
    </row>
    <row r="386">
      <c r="B386" s="51" t="n"/>
      <c r="C386" s="51" t="n"/>
      <c r="D386" s="51" t="n"/>
      <c r="E386" s="51" t="n"/>
      <c r="F386" s="51" t="n"/>
      <c r="G386" s="51" t="n"/>
      <c r="H386" s="51" t="n"/>
    </row>
    <row r="387">
      <c r="B387" s="51" t="n"/>
      <c r="C387" s="51" t="n"/>
      <c r="D387" s="51" t="n"/>
      <c r="E387" s="51" t="n"/>
      <c r="F387" s="51" t="n"/>
      <c r="G387" s="51" t="n"/>
      <c r="H387" s="51" t="n"/>
    </row>
    <row r="388">
      <c r="B388" s="51" t="n"/>
      <c r="C388" s="51" t="n"/>
      <c r="D388" s="51" t="n"/>
      <c r="E388" s="51" t="n"/>
      <c r="F388" s="51" t="n"/>
      <c r="G388" s="51" t="n"/>
      <c r="H388" s="51" t="n"/>
    </row>
    <row r="389">
      <c r="B389" s="51" t="n"/>
      <c r="C389" s="51" t="n"/>
      <c r="D389" s="51" t="n"/>
      <c r="E389" s="51" t="n"/>
      <c r="F389" s="51" t="n"/>
      <c r="G389" s="51" t="n"/>
      <c r="H389" s="51" t="n"/>
    </row>
    <row r="390">
      <c r="B390" s="51" t="n"/>
      <c r="C390" s="51" t="n"/>
      <c r="D390" s="51" t="n"/>
      <c r="E390" s="51" t="n"/>
      <c r="F390" s="51" t="n"/>
      <c r="G390" s="51" t="n"/>
      <c r="H390" s="51" t="n"/>
    </row>
    <row r="391">
      <c r="B391" s="51" t="n"/>
      <c r="C391" s="51" t="n"/>
      <c r="D391" s="51" t="n"/>
      <c r="E391" s="51" t="n"/>
      <c r="F391" s="51" t="n"/>
      <c r="G391" s="51" t="n"/>
      <c r="H391" s="51" t="n"/>
    </row>
    <row r="392">
      <c r="B392" s="51" t="n"/>
      <c r="C392" s="51" t="n"/>
      <c r="D392" s="51" t="n"/>
      <c r="E392" s="51" t="n"/>
      <c r="F392" s="51" t="n"/>
      <c r="G392" s="51" t="n"/>
      <c r="H392" s="51" t="n"/>
    </row>
    <row r="393">
      <c r="B393" s="51" t="n"/>
      <c r="C393" s="51" t="n"/>
      <c r="D393" s="51" t="n"/>
      <c r="E393" s="51" t="n"/>
      <c r="F393" s="51" t="n"/>
      <c r="G393" s="51" t="n"/>
      <c r="H393" s="51" t="n"/>
    </row>
    <row r="394">
      <c r="B394" s="51" t="n"/>
      <c r="C394" s="51" t="n"/>
      <c r="D394" s="51" t="n"/>
      <c r="E394" s="51" t="n"/>
      <c r="F394" s="51" t="n"/>
      <c r="G394" s="51" t="n"/>
      <c r="H394" s="51" t="n"/>
    </row>
    <row r="395">
      <c r="B395" s="51" t="n"/>
      <c r="C395" s="51" t="n"/>
      <c r="D395" s="51" t="n"/>
      <c r="E395" s="51" t="n"/>
      <c r="F395" s="51" t="n"/>
      <c r="G395" s="51" t="n"/>
      <c r="H395" s="51" t="n"/>
    </row>
    <row r="396">
      <c r="B396" s="51" t="n"/>
      <c r="C396" s="51" t="n"/>
      <c r="D396" s="51" t="n"/>
      <c r="E396" s="51" t="n"/>
      <c r="F396" s="51" t="n"/>
      <c r="G396" s="51" t="n"/>
      <c r="H396" s="51" t="n"/>
    </row>
    <row r="397">
      <c r="B397" s="51" t="n"/>
      <c r="C397" s="51" t="n"/>
      <c r="D397" s="51" t="n"/>
      <c r="E397" s="51" t="n"/>
      <c r="F397" s="51" t="n"/>
      <c r="G397" s="51" t="n"/>
      <c r="H397" s="51" t="n"/>
    </row>
    <row r="398">
      <c r="B398" s="51" t="n"/>
      <c r="C398" s="51" t="n"/>
      <c r="D398" s="51" t="n"/>
      <c r="E398" s="51" t="n"/>
      <c r="F398" s="51" t="n"/>
      <c r="G398" s="51" t="n"/>
      <c r="H398" s="51" t="n"/>
    </row>
    <row r="399">
      <c r="B399" s="51" t="n"/>
      <c r="C399" s="51" t="n"/>
      <c r="D399" s="51" t="n"/>
      <c r="E399" s="51" t="n"/>
      <c r="F399" s="51" t="n"/>
      <c r="G399" s="51" t="n"/>
      <c r="H399" s="51" t="n"/>
    </row>
    <row r="400">
      <c r="B400" s="51" t="n"/>
      <c r="C400" s="51" t="n"/>
      <c r="D400" s="51" t="n"/>
      <c r="E400" s="51" t="n"/>
      <c r="F400" s="51" t="n"/>
      <c r="G400" s="51" t="n"/>
      <c r="H400" s="51" t="n"/>
    </row>
    <row r="401">
      <c r="B401" s="51" t="n"/>
      <c r="C401" s="51" t="n"/>
      <c r="D401" s="51" t="n"/>
      <c r="E401" s="51" t="n"/>
      <c r="F401" s="51" t="n"/>
      <c r="G401" s="51" t="n"/>
      <c r="H401" s="51" t="n"/>
    </row>
    <row r="402">
      <c r="B402" s="51" t="n"/>
      <c r="C402" s="51" t="n"/>
      <c r="D402" s="51" t="n"/>
      <c r="E402" s="51" t="n"/>
      <c r="F402" s="51" t="n"/>
      <c r="G402" s="51" t="n"/>
      <c r="H402" s="51" t="n"/>
    </row>
    <row r="403">
      <c r="B403" s="51" t="n"/>
      <c r="C403" s="51" t="n"/>
      <c r="D403" s="51" t="n"/>
      <c r="E403" s="51" t="n"/>
      <c r="F403" s="51" t="n"/>
      <c r="G403" s="51" t="n"/>
      <c r="H403" s="51" t="n"/>
    </row>
    <row r="404">
      <c r="B404" s="51" t="n"/>
      <c r="C404" s="51" t="n"/>
      <c r="D404" s="51" t="n"/>
      <c r="E404" s="51" t="n"/>
      <c r="F404" s="51" t="n"/>
      <c r="G404" s="51" t="n"/>
      <c r="H404" s="51" t="n"/>
    </row>
    <row r="405">
      <c r="B405" s="51" t="n"/>
      <c r="C405" s="51" t="n"/>
      <c r="D405" s="51" t="n"/>
      <c r="E405" s="51" t="n"/>
      <c r="F405" s="51" t="n"/>
      <c r="G405" s="51" t="n"/>
      <c r="H405" s="51" t="n"/>
    </row>
    <row r="406">
      <c r="B406" s="51" t="n"/>
      <c r="C406" s="51" t="n"/>
      <c r="D406" s="51" t="n"/>
      <c r="E406" s="51" t="n"/>
      <c r="F406" s="51" t="n"/>
      <c r="G406" s="51" t="n"/>
      <c r="H406" s="51" t="n"/>
    </row>
    <row r="407">
      <c r="B407" s="51" t="n"/>
      <c r="C407" s="51" t="n"/>
      <c r="D407" s="51" t="n"/>
      <c r="E407" s="51" t="n"/>
      <c r="F407" s="51" t="n"/>
      <c r="G407" s="51" t="n"/>
      <c r="H407" s="51" t="n"/>
    </row>
    <row r="408">
      <c r="B408" s="51" t="n"/>
      <c r="C408" s="51" t="n"/>
      <c r="D408" s="51" t="n"/>
      <c r="E408" s="51" t="n"/>
      <c r="F408" s="51" t="n"/>
      <c r="G408" s="51" t="n"/>
      <c r="H408" s="51" t="n"/>
    </row>
    <row r="409">
      <c r="B409" s="51" t="n"/>
      <c r="C409" s="51" t="n"/>
      <c r="D409" s="51" t="n"/>
      <c r="E409" s="51" t="n"/>
      <c r="F409" s="51" t="n"/>
      <c r="G409" s="51" t="n"/>
      <c r="H409" s="51" t="n"/>
    </row>
    <row r="410">
      <c r="B410" s="51" t="n"/>
      <c r="C410" s="51" t="n"/>
      <c r="D410" s="51" t="n"/>
      <c r="E410" s="51" t="n"/>
      <c r="F410" s="51" t="n"/>
      <c r="G410" s="51" t="n"/>
      <c r="H410" s="51" t="n"/>
    </row>
    <row r="411">
      <c r="B411" s="51" t="n"/>
      <c r="C411" s="51" t="n"/>
      <c r="D411" s="51" t="n"/>
      <c r="E411" s="51" t="n"/>
      <c r="F411" s="51" t="n"/>
      <c r="G411" s="51" t="n"/>
      <c r="H411" s="51" t="n"/>
    </row>
    <row r="412">
      <c r="B412" s="51" t="n"/>
      <c r="C412" s="51" t="n"/>
      <c r="D412" s="51" t="n"/>
      <c r="E412" s="51" t="n"/>
      <c r="F412" s="51" t="n"/>
      <c r="G412" s="51" t="n"/>
      <c r="H412" s="51" t="n"/>
    </row>
    <row r="413">
      <c r="B413" s="51" t="n"/>
      <c r="C413" s="51" t="n"/>
      <c r="D413" s="51" t="n"/>
      <c r="E413" s="51" t="n"/>
      <c r="F413" s="51" t="n"/>
      <c r="G413" s="51" t="n"/>
      <c r="H413" s="51" t="n"/>
    </row>
    <row r="414">
      <c r="B414" s="51" t="n"/>
      <c r="C414" s="51" t="n"/>
      <c r="D414" s="51" t="n"/>
      <c r="E414" s="51" t="n"/>
      <c r="F414" s="51" t="n"/>
      <c r="G414" s="51" t="n"/>
      <c r="H414" s="51" t="n"/>
    </row>
    <row r="415">
      <c r="B415" s="51" t="n"/>
      <c r="C415" s="51" t="n"/>
      <c r="D415" s="51" t="n"/>
      <c r="E415" s="51" t="n"/>
      <c r="F415" s="51" t="n"/>
      <c r="G415" s="51" t="n"/>
      <c r="H415" s="51" t="n"/>
    </row>
    <row r="416">
      <c r="B416" s="51" t="n"/>
      <c r="C416" s="51" t="n"/>
      <c r="D416" s="51" t="n"/>
      <c r="E416" s="51" t="n"/>
      <c r="F416" s="51" t="n"/>
      <c r="G416" s="51" t="n"/>
      <c r="H416" s="51" t="n"/>
    </row>
    <row r="417">
      <c r="B417" s="51" t="n"/>
      <c r="C417" s="51" t="n"/>
      <c r="D417" s="51" t="n"/>
      <c r="E417" s="51" t="n"/>
      <c r="F417" s="51" t="n"/>
      <c r="G417" s="51" t="n"/>
      <c r="H417" s="51" t="n"/>
    </row>
    <row r="418">
      <c r="B418" s="51" t="n"/>
      <c r="C418" s="51" t="n"/>
      <c r="D418" s="51" t="n"/>
      <c r="E418" s="51" t="n"/>
      <c r="F418" s="51" t="n"/>
      <c r="G418" s="51" t="n"/>
      <c r="H418" s="51" t="n"/>
    </row>
    <row r="419">
      <c r="B419" s="51" t="n"/>
      <c r="C419" s="51" t="n"/>
      <c r="D419" s="51" t="n"/>
      <c r="E419" s="51" t="n"/>
      <c r="F419" s="51" t="n"/>
      <c r="G419" s="51" t="n"/>
      <c r="H419" s="51" t="n"/>
    </row>
    <row r="420">
      <c r="B420" s="51" t="n"/>
      <c r="C420" s="51" t="n"/>
      <c r="D420" s="51" t="n"/>
      <c r="E420" s="51" t="n"/>
      <c r="F420" s="51" t="n"/>
      <c r="G420" s="51" t="n"/>
      <c r="H420" s="51" t="n"/>
    </row>
    <row r="421">
      <c r="B421" s="51" t="n"/>
      <c r="C421" s="51" t="n"/>
      <c r="D421" s="51" t="n"/>
      <c r="E421" s="51" t="n"/>
      <c r="F421" s="51" t="n"/>
      <c r="G421" s="51" t="n"/>
      <c r="H421" s="51" t="n"/>
    </row>
    <row r="422">
      <c r="B422" s="51" t="n"/>
      <c r="C422" s="51" t="n"/>
      <c r="D422" s="51" t="n"/>
      <c r="E422" s="51" t="n"/>
      <c r="F422" s="51" t="n"/>
      <c r="G422" s="51" t="n"/>
      <c r="H422" s="51" t="n"/>
    </row>
    <row r="423">
      <c r="B423" s="51" t="n"/>
      <c r="C423" s="51" t="n"/>
      <c r="D423" s="51" t="n"/>
      <c r="E423" s="51" t="n"/>
      <c r="F423" s="51" t="n"/>
      <c r="G423" s="51" t="n"/>
      <c r="H423" s="51" t="n"/>
    </row>
    <row r="424">
      <c r="B424" s="51" t="n"/>
      <c r="C424" s="51" t="n"/>
      <c r="D424" s="51" t="n"/>
      <c r="E424" s="51" t="n"/>
      <c r="F424" s="51" t="n"/>
      <c r="G424" s="51" t="n"/>
      <c r="H424" s="51" t="n"/>
    </row>
    <row r="425">
      <c r="B425" s="51" t="n"/>
      <c r="C425" s="51" t="n"/>
      <c r="D425" s="51" t="n"/>
      <c r="E425" s="51" t="n"/>
      <c r="F425" s="51" t="n"/>
      <c r="G425" s="51" t="n"/>
      <c r="H425" s="51" t="n"/>
    </row>
    <row r="426">
      <c r="B426" s="51" t="n"/>
      <c r="C426" s="51" t="n"/>
      <c r="D426" s="51" t="n"/>
      <c r="E426" s="51" t="n"/>
      <c r="F426" s="51" t="n"/>
      <c r="G426" s="51" t="n"/>
      <c r="H426" s="51" t="n"/>
    </row>
    <row r="427">
      <c r="B427" s="51" t="n"/>
      <c r="C427" s="51" t="n"/>
      <c r="D427" s="51" t="n"/>
      <c r="E427" s="51" t="n"/>
      <c r="F427" s="51" t="n"/>
      <c r="G427" s="51" t="n"/>
      <c r="H427" s="51" t="n"/>
    </row>
    <row r="428">
      <c r="B428" s="51" t="n"/>
      <c r="C428" s="51" t="n"/>
      <c r="D428" s="51" t="n"/>
      <c r="E428" s="51" t="n"/>
      <c r="F428" s="51" t="n"/>
      <c r="G428" s="51" t="n"/>
      <c r="H428" s="51" t="n"/>
    </row>
    <row r="429">
      <c r="B429" s="51" t="n"/>
      <c r="C429" s="51" t="n"/>
      <c r="D429" s="51" t="n"/>
      <c r="E429" s="51" t="n"/>
      <c r="F429" s="51" t="n"/>
      <c r="G429" s="51" t="n"/>
      <c r="H429" s="51" t="n"/>
    </row>
    <row r="430">
      <c r="B430" s="51" t="n"/>
      <c r="C430" s="51" t="n"/>
      <c r="D430" s="51" t="n"/>
      <c r="E430" s="51" t="n"/>
      <c r="F430" s="51" t="n"/>
      <c r="G430" s="51" t="n"/>
      <c r="H430" s="51" t="n"/>
    </row>
    <row r="431">
      <c r="B431" s="51" t="n"/>
      <c r="C431" s="51" t="n"/>
      <c r="D431" s="51" t="n"/>
      <c r="E431" s="51" t="n"/>
      <c r="F431" s="51" t="n"/>
      <c r="G431" s="51" t="n"/>
      <c r="H431" s="51" t="n"/>
    </row>
    <row r="432">
      <c r="B432" s="51" t="n"/>
      <c r="C432" s="51" t="n"/>
      <c r="D432" s="51" t="n"/>
      <c r="E432" s="51" t="n"/>
      <c r="F432" s="51" t="n"/>
      <c r="G432" s="51" t="n"/>
      <c r="H432" s="51" t="n"/>
    </row>
    <row r="433">
      <c r="B433" s="51" t="n"/>
      <c r="C433" s="51" t="n"/>
      <c r="D433" s="51" t="n"/>
      <c r="E433" s="51" t="n"/>
      <c r="F433" s="51" t="n"/>
      <c r="G433" s="51" t="n"/>
      <c r="H433" s="51" t="n"/>
    </row>
    <row r="434">
      <c r="B434" s="51" t="n"/>
      <c r="C434" s="51" t="n"/>
      <c r="D434" s="51" t="n"/>
      <c r="E434" s="51" t="n"/>
      <c r="F434" s="51" t="n"/>
      <c r="G434" s="51" t="n"/>
      <c r="H434" s="51" t="n"/>
    </row>
    <row r="435">
      <c r="B435" s="51" t="n"/>
      <c r="C435" s="51" t="n"/>
      <c r="D435" s="51" t="n"/>
      <c r="E435" s="51" t="n"/>
      <c r="F435" s="51" t="n"/>
      <c r="G435" s="51" t="n"/>
      <c r="H435" s="51" t="n"/>
    </row>
    <row r="436">
      <c r="B436" s="51" t="n"/>
      <c r="C436" s="51" t="n"/>
      <c r="D436" s="51" t="n"/>
      <c r="E436" s="51" t="n"/>
      <c r="F436" s="51" t="n"/>
      <c r="G436" s="51" t="n"/>
      <c r="H436" s="51" t="n"/>
    </row>
    <row r="437">
      <c r="B437" s="51" t="n"/>
      <c r="C437" s="51" t="n"/>
      <c r="D437" s="51" t="n"/>
      <c r="E437" s="51" t="n"/>
      <c r="F437" s="51" t="n"/>
      <c r="G437" s="51" t="n"/>
      <c r="H437" s="51" t="n"/>
    </row>
    <row r="438">
      <c r="B438" s="51" t="n"/>
      <c r="C438" s="51" t="n"/>
      <c r="D438" s="51" t="n"/>
      <c r="E438" s="51" t="n"/>
      <c r="F438" s="51" t="n"/>
      <c r="G438" s="51" t="n"/>
      <c r="H438" s="51" t="n"/>
    </row>
    <row r="439">
      <c r="B439" s="51" t="n"/>
      <c r="C439" s="51" t="n"/>
      <c r="D439" s="51" t="n"/>
      <c r="E439" s="51" t="n"/>
      <c r="F439" s="51" t="n"/>
      <c r="G439" s="51" t="n"/>
      <c r="H439" s="51" t="n"/>
    </row>
    <row r="440">
      <c r="B440" s="51" t="n"/>
      <c r="C440" s="51" t="n"/>
      <c r="D440" s="51" t="n"/>
      <c r="E440" s="51" t="n"/>
      <c r="F440" s="51" t="n"/>
      <c r="G440" s="51" t="n"/>
      <c r="H440" s="51" t="n"/>
    </row>
    <row r="441">
      <c r="B441" s="51" t="n"/>
      <c r="C441" s="51" t="n"/>
      <c r="D441" s="51" t="n"/>
      <c r="E441" s="51" t="n"/>
      <c r="F441" s="51" t="n"/>
      <c r="G441" s="51" t="n"/>
      <c r="H441" s="51" t="n"/>
    </row>
    <row r="442">
      <c r="B442" s="51" t="n"/>
      <c r="C442" s="51" t="n"/>
      <c r="D442" s="51" t="n"/>
      <c r="E442" s="51" t="n"/>
      <c r="F442" s="51" t="n"/>
      <c r="G442" s="51" t="n"/>
      <c r="H442" s="51" t="n"/>
    </row>
    <row r="443">
      <c r="B443" s="51" t="n"/>
      <c r="C443" s="51" t="n"/>
      <c r="D443" s="51" t="n"/>
      <c r="E443" s="51" t="n"/>
      <c r="F443" s="51" t="n"/>
      <c r="G443" s="51" t="n"/>
      <c r="H443" s="51" t="n"/>
    </row>
    <row r="444">
      <c r="B444" s="51" t="n"/>
      <c r="C444" s="51" t="n"/>
      <c r="D444" s="51" t="n"/>
      <c r="E444" s="51" t="n"/>
      <c r="F444" s="51" t="n"/>
      <c r="G444" s="51" t="n"/>
      <c r="H444" s="51" t="n"/>
    </row>
    <row r="445">
      <c r="B445" s="51" t="n"/>
      <c r="C445" s="51" t="n"/>
      <c r="D445" s="51" t="n"/>
      <c r="E445" s="51" t="n"/>
      <c r="F445" s="51" t="n"/>
      <c r="G445" s="51" t="n"/>
      <c r="H445" s="51" t="n"/>
    </row>
    <row r="446">
      <c r="B446" s="51" t="n"/>
      <c r="C446" s="51" t="n"/>
      <c r="D446" s="51" t="n"/>
      <c r="E446" s="51" t="n"/>
      <c r="F446" s="51" t="n"/>
      <c r="G446" s="51" t="n"/>
      <c r="H446" s="51" t="n"/>
    </row>
    <row r="447">
      <c r="B447" s="51" t="n"/>
      <c r="C447" s="51" t="n"/>
      <c r="D447" s="51" t="n"/>
      <c r="E447" s="51" t="n"/>
      <c r="F447" s="51" t="n"/>
      <c r="G447" s="51" t="n"/>
      <c r="H447" s="51" t="n"/>
    </row>
    <row r="448">
      <c r="B448" s="51" t="n"/>
      <c r="C448" s="51" t="n"/>
      <c r="D448" s="51" t="n"/>
      <c r="E448" s="51" t="n"/>
      <c r="F448" s="51" t="n"/>
      <c r="G448" s="51" t="n"/>
      <c r="H448" s="51" t="n"/>
    </row>
    <row r="449">
      <c r="B449" s="51" t="n"/>
      <c r="C449" s="51" t="n"/>
      <c r="D449" s="51" t="n"/>
      <c r="E449" s="51" t="n"/>
      <c r="F449" s="51" t="n"/>
      <c r="G449" s="51" t="n"/>
      <c r="H449" s="51" t="n"/>
    </row>
    <row r="450">
      <c r="B450" s="51" t="n"/>
      <c r="C450" s="51" t="n"/>
      <c r="D450" s="51" t="n"/>
      <c r="E450" s="51" t="n"/>
      <c r="F450" s="51" t="n"/>
      <c r="G450" s="51" t="n"/>
      <c r="H450" s="51" t="n"/>
    </row>
    <row r="451">
      <c r="B451" s="51" t="n"/>
      <c r="C451" s="51" t="n"/>
      <c r="D451" s="51" t="n"/>
      <c r="E451" s="51" t="n"/>
      <c r="F451" s="51" t="n"/>
      <c r="G451" s="51" t="n"/>
      <c r="H451" s="51" t="n"/>
    </row>
    <row r="452">
      <c r="B452" s="51" t="n"/>
      <c r="C452" s="51" t="n"/>
      <c r="D452" s="51" t="n"/>
      <c r="E452" s="51" t="n"/>
      <c r="F452" s="51" t="n"/>
      <c r="G452" s="51" t="n"/>
      <c r="H452" s="51" t="n"/>
    </row>
    <row r="453">
      <c r="B453" s="51" t="n"/>
      <c r="C453" s="51" t="n"/>
      <c r="D453" s="51" t="n"/>
      <c r="E453" s="51" t="n"/>
      <c r="F453" s="51" t="n"/>
      <c r="G453" s="51" t="n"/>
      <c r="H453" s="51" t="n"/>
    </row>
    <row r="454">
      <c r="B454" s="51" t="n"/>
      <c r="C454" s="51" t="n"/>
      <c r="D454" s="51" t="n"/>
      <c r="E454" s="51" t="n"/>
      <c r="F454" s="51" t="n"/>
      <c r="G454" s="51" t="n"/>
      <c r="H454" s="51" t="n"/>
    </row>
    <row r="455">
      <c r="B455" s="51" t="n"/>
      <c r="C455" s="51" t="n"/>
      <c r="D455" s="51" t="n"/>
      <c r="E455" s="51" t="n"/>
      <c r="F455" s="51" t="n"/>
      <c r="G455" s="51" t="n"/>
      <c r="H455" s="51" t="n"/>
    </row>
    <row r="456">
      <c r="B456" s="51" t="n"/>
      <c r="C456" s="51" t="n"/>
      <c r="D456" s="51" t="n"/>
      <c r="E456" s="51" t="n"/>
      <c r="F456" s="51" t="n"/>
      <c r="G456" s="51" t="n"/>
      <c r="H456" s="51" t="n"/>
    </row>
    <row r="457">
      <c r="B457" s="51" t="n"/>
      <c r="C457" s="51" t="n"/>
      <c r="D457" s="51" t="n"/>
      <c r="E457" s="51" t="n"/>
      <c r="F457" s="51" t="n"/>
      <c r="G457" s="51" t="n"/>
      <c r="H457" s="51" t="n"/>
    </row>
    <row r="458">
      <c r="B458" s="51" t="n"/>
      <c r="C458" s="51" t="n"/>
      <c r="D458" s="51" t="n"/>
      <c r="E458" s="51" t="n"/>
      <c r="F458" s="51" t="n"/>
      <c r="G458" s="51" t="n"/>
      <c r="H458" s="51" t="n"/>
    </row>
    <row r="459">
      <c r="B459" s="51" t="n"/>
      <c r="C459" s="51" t="n"/>
      <c r="D459" s="51" t="n"/>
      <c r="E459" s="51" t="n"/>
      <c r="F459" s="51" t="n"/>
      <c r="G459" s="51" t="n"/>
      <c r="H459" s="51" t="n"/>
    </row>
    <row r="460">
      <c r="B460" s="51" t="n"/>
      <c r="C460" s="51" t="n"/>
      <c r="D460" s="51" t="n"/>
      <c r="E460" s="51" t="n"/>
      <c r="F460" s="51" t="n"/>
      <c r="G460" s="51" t="n"/>
      <c r="H460" s="51" t="n"/>
    </row>
    <row r="461">
      <c r="B461" s="51" t="n"/>
      <c r="C461" s="51" t="n"/>
      <c r="D461" s="51" t="n"/>
      <c r="E461" s="51" t="n"/>
      <c r="F461" s="51" t="n"/>
      <c r="G461" s="51" t="n"/>
      <c r="H461" s="51" t="n"/>
    </row>
    <row r="462">
      <c r="B462" s="51" t="n"/>
      <c r="C462" s="51" t="n"/>
      <c r="D462" s="51" t="n"/>
      <c r="E462" s="51" t="n"/>
      <c r="F462" s="51" t="n"/>
      <c r="G462" s="51" t="n"/>
      <c r="H462" s="51" t="n"/>
    </row>
    <row r="463">
      <c r="B463" s="51" t="n"/>
      <c r="C463" s="51" t="n"/>
      <c r="D463" s="51" t="n"/>
      <c r="E463" s="51" t="n"/>
      <c r="F463" s="51" t="n"/>
      <c r="G463" s="51" t="n"/>
      <c r="H463" s="51" t="n"/>
    </row>
    <row r="464">
      <c r="B464" s="51" t="n"/>
      <c r="C464" s="51" t="n"/>
      <c r="D464" s="51" t="n"/>
      <c r="E464" s="51" t="n"/>
      <c r="F464" s="51" t="n"/>
      <c r="G464" s="51" t="n"/>
      <c r="H464" s="51" t="n"/>
    </row>
    <row r="465">
      <c r="B465" s="51" t="n"/>
      <c r="C465" s="51" t="n"/>
      <c r="D465" s="51" t="n"/>
      <c r="E465" s="51" t="n"/>
      <c r="F465" s="51" t="n"/>
      <c r="G465" s="51" t="n"/>
      <c r="H465" s="51" t="n"/>
    </row>
    <row r="466">
      <c r="B466" s="51" t="n"/>
      <c r="C466" s="51" t="n"/>
      <c r="D466" s="51" t="n"/>
      <c r="E466" s="51" t="n"/>
      <c r="F466" s="51" t="n"/>
      <c r="G466" s="51" t="n"/>
      <c r="H466" s="51" t="n"/>
    </row>
    <row r="467">
      <c r="B467" s="51" t="n"/>
      <c r="C467" s="51" t="n"/>
      <c r="D467" s="51" t="n"/>
      <c r="E467" s="51" t="n"/>
      <c r="F467" s="51" t="n"/>
      <c r="G467" s="51" t="n"/>
      <c r="H467" s="51" t="n"/>
    </row>
    <row r="468">
      <c r="B468" s="51" t="n"/>
      <c r="C468" s="51" t="n"/>
      <c r="D468" s="51" t="n"/>
      <c r="E468" s="51" t="n"/>
      <c r="F468" s="51" t="n"/>
      <c r="G468" s="51" t="n"/>
      <c r="H468" s="51" t="n"/>
    </row>
    <row r="469">
      <c r="B469" s="51" t="n"/>
      <c r="C469" s="51" t="n"/>
      <c r="D469" s="51" t="n"/>
      <c r="E469" s="51" t="n"/>
      <c r="F469" s="51" t="n"/>
      <c r="G469" s="51" t="n"/>
      <c r="H469" s="51" t="n"/>
    </row>
    <row r="470">
      <c r="B470" s="51" t="n"/>
      <c r="C470" s="51" t="n"/>
      <c r="D470" s="51" t="n"/>
      <c r="E470" s="51" t="n"/>
      <c r="F470" s="51" t="n"/>
      <c r="G470" s="51" t="n"/>
      <c r="H470" s="51" t="n"/>
    </row>
    <row r="471">
      <c r="B471" s="51" t="n"/>
      <c r="C471" s="51" t="n"/>
      <c r="D471" s="51" t="n"/>
      <c r="E471" s="51" t="n"/>
      <c r="F471" s="51" t="n"/>
      <c r="G471" s="51" t="n"/>
      <c r="H471" s="51" t="n"/>
    </row>
    <row r="472">
      <c r="B472" s="51" t="n"/>
      <c r="C472" s="51" t="n"/>
      <c r="D472" s="51" t="n"/>
      <c r="E472" s="51" t="n"/>
      <c r="F472" s="51" t="n"/>
      <c r="G472" s="51" t="n"/>
      <c r="H472" s="51" t="n"/>
    </row>
    <row r="473">
      <c r="B473" s="51" t="n"/>
      <c r="C473" s="51" t="n"/>
      <c r="D473" s="51" t="n"/>
      <c r="E473" s="51" t="n"/>
      <c r="F473" s="51" t="n"/>
      <c r="G473" s="51" t="n"/>
      <c r="H473" s="51" t="n"/>
    </row>
    <row r="474">
      <c r="B474" s="51" t="n"/>
      <c r="C474" s="51" t="n"/>
      <c r="D474" s="51" t="n"/>
      <c r="E474" s="51" t="n"/>
      <c r="F474" s="51" t="n"/>
      <c r="G474" s="51" t="n"/>
      <c r="H474" s="51" t="n"/>
    </row>
    <row r="475">
      <c r="B475" s="51" t="n"/>
      <c r="C475" s="51" t="n"/>
      <c r="D475" s="51" t="n"/>
      <c r="E475" s="51" t="n"/>
      <c r="F475" s="51" t="n"/>
      <c r="G475" s="51" t="n"/>
      <c r="H475" s="51" t="n"/>
    </row>
    <row r="476">
      <c r="B476" s="51" t="n"/>
      <c r="C476" s="51" t="n"/>
      <c r="D476" s="51" t="n"/>
      <c r="E476" s="51" t="n"/>
      <c r="F476" s="51" t="n"/>
      <c r="G476" s="51" t="n"/>
      <c r="H476" s="51" t="n"/>
    </row>
    <row r="477">
      <c r="B477" s="51" t="n"/>
      <c r="C477" s="51" t="n"/>
      <c r="D477" s="51" t="n"/>
      <c r="E477" s="51" t="n"/>
      <c r="F477" s="51" t="n"/>
      <c r="G477" s="51" t="n"/>
      <c r="H477" s="51" t="n"/>
    </row>
    <row r="478">
      <c r="B478" s="51" t="n"/>
      <c r="C478" s="51" t="n"/>
      <c r="D478" s="51" t="n"/>
      <c r="E478" s="51" t="n"/>
      <c r="F478" s="51" t="n"/>
      <c r="G478" s="51" t="n"/>
      <c r="H478" s="51" t="n"/>
    </row>
    <row r="479">
      <c r="B479" s="51" t="n"/>
      <c r="C479" s="51" t="n"/>
      <c r="D479" s="51" t="n"/>
      <c r="E479" s="51" t="n"/>
      <c r="F479" s="51" t="n"/>
      <c r="G479" s="51" t="n"/>
      <c r="H479" s="51" t="n"/>
    </row>
    <row r="480">
      <c r="B480" s="51" t="n"/>
      <c r="C480" s="51" t="n"/>
      <c r="D480" s="51" t="n"/>
      <c r="E480" s="51" t="n"/>
      <c r="F480" s="51" t="n"/>
      <c r="G480" s="51" t="n"/>
      <c r="H480" s="51" t="n"/>
    </row>
    <row r="481">
      <c r="B481" s="51" t="n"/>
      <c r="C481" s="51" t="n"/>
      <c r="D481" s="51" t="n"/>
      <c r="E481" s="51" t="n"/>
      <c r="F481" s="51" t="n"/>
      <c r="G481" s="51" t="n"/>
      <c r="H481" s="51" t="n"/>
    </row>
    <row r="482">
      <c r="B482" s="51" t="n"/>
      <c r="C482" s="51" t="n"/>
      <c r="D482" s="51" t="n"/>
      <c r="E482" s="51" t="n"/>
      <c r="F482" s="51" t="n"/>
      <c r="G482" s="51" t="n"/>
      <c r="H482" s="51" t="n"/>
    </row>
    <row r="483">
      <c r="B483" s="51" t="n"/>
      <c r="C483" s="51" t="n"/>
      <c r="D483" s="51" t="n"/>
      <c r="E483" s="51" t="n"/>
      <c r="F483" s="51" t="n"/>
      <c r="G483" s="51" t="n"/>
      <c r="H483" s="51" t="n"/>
    </row>
    <row r="484">
      <c r="B484" s="51" t="n"/>
      <c r="C484" s="51" t="n"/>
      <c r="D484" s="51" t="n"/>
      <c r="E484" s="51" t="n"/>
      <c r="F484" s="51" t="n"/>
      <c r="G484" s="51" t="n"/>
      <c r="H484" s="51" t="n"/>
    </row>
    <row r="485">
      <c r="B485" s="51" t="n"/>
      <c r="C485" s="51" t="n"/>
      <c r="D485" s="51" t="n"/>
      <c r="E485" s="51" t="n"/>
      <c r="F485" s="51" t="n"/>
      <c r="G485" s="51" t="n"/>
      <c r="H485" s="51" t="n"/>
    </row>
    <row r="486">
      <c r="B486" s="51" t="n"/>
      <c r="C486" s="51" t="n"/>
      <c r="D486" s="51" t="n"/>
      <c r="E486" s="51" t="n"/>
      <c r="F486" s="51" t="n"/>
      <c r="G486" s="51" t="n"/>
      <c r="H486" s="51" t="n"/>
    </row>
    <row r="487">
      <c r="B487" s="51" t="n"/>
      <c r="C487" s="51" t="n"/>
      <c r="D487" s="51" t="n"/>
      <c r="E487" s="51" t="n"/>
      <c r="F487" s="51" t="n"/>
      <c r="G487" s="51" t="n"/>
      <c r="H487" s="51" t="n"/>
    </row>
    <row r="488">
      <c r="B488" s="51" t="n"/>
      <c r="C488" s="51" t="n"/>
      <c r="D488" s="51" t="n"/>
      <c r="E488" s="51" t="n"/>
      <c r="F488" s="51" t="n"/>
      <c r="G488" s="51" t="n"/>
      <c r="H488" s="51" t="n"/>
    </row>
    <row r="489">
      <c r="B489" s="51" t="n"/>
      <c r="C489" s="51" t="n"/>
      <c r="D489" s="51" t="n"/>
      <c r="E489" s="51" t="n"/>
      <c r="F489" s="51" t="n"/>
      <c r="G489" s="51" t="n"/>
      <c r="H489" s="51" t="n"/>
    </row>
    <row r="490">
      <c r="B490" s="51" t="n"/>
      <c r="C490" s="51" t="n"/>
      <c r="D490" s="51" t="n"/>
      <c r="E490" s="51" t="n"/>
      <c r="F490" s="51" t="n"/>
      <c r="G490" s="51" t="n"/>
      <c r="H490" s="51" t="n"/>
    </row>
    <row r="491">
      <c r="B491" s="51" t="n"/>
      <c r="C491" s="51" t="n"/>
      <c r="D491" s="51" t="n"/>
      <c r="E491" s="51" t="n"/>
      <c r="F491" s="51" t="n"/>
      <c r="G491" s="51" t="n"/>
      <c r="H491" s="51" t="n"/>
    </row>
    <row r="492">
      <c r="B492" s="51" t="n"/>
      <c r="C492" s="51" t="n"/>
      <c r="D492" s="51" t="n"/>
      <c r="E492" s="51" t="n"/>
      <c r="F492" s="51" t="n"/>
      <c r="G492" s="51" t="n"/>
      <c r="H492" s="51" t="n"/>
    </row>
    <row r="493">
      <c r="B493" s="51" t="n"/>
      <c r="C493" s="51" t="n"/>
      <c r="D493" s="51" t="n"/>
      <c r="E493" s="51" t="n"/>
      <c r="F493" s="51" t="n"/>
      <c r="G493" s="51" t="n"/>
      <c r="H493" s="51" t="n"/>
    </row>
    <row r="494">
      <c r="B494" s="51" t="n"/>
      <c r="C494" s="51" t="n"/>
      <c r="D494" s="51" t="n"/>
      <c r="E494" s="51" t="n"/>
      <c r="F494" s="51" t="n"/>
      <c r="G494" s="51" t="n"/>
      <c r="H494" s="51" t="n"/>
    </row>
    <row r="495">
      <c r="B495" s="51" t="n"/>
      <c r="C495" s="51" t="n"/>
      <c r="D495" s="51" t="n"/>
      <c r="E495" s="51" t="n"/>
      <c r="F495" s="51" t="n"/>
      <c r="G495" s="51" t="n"/>
      <c r="H495" s="51" t="n"/>
    </row>
    <row r="496">
      <c r="B496" s="51" t="n"/>
      <c r="C496" s="51" t="n"/>
      <c r="D496" s="51" t="n"/>
      <c r="E496" s="51" t="n"/>
      <c r="F496" s="51" t="n"/>
      <c r="G496" s="51" t="n"/>
      <c r="H496" s="51" t="n"/>
    </row>
    <row r="497">
      <c r="B497" s="51" t="n"/>
      <c r="C497" s="51" t="n"/>
      <c r="D497" s="51" t="n"/>
      <c r="E497" s="51" t="n"/>
      <c r="F497" s="51" t="n"/>
      <c r="G497" s="51" t="n"/>
      <c r="H497" s="51" t="n"/>
    </row>
    <row r="498">
      <c r="B498" s="51" t="n"/>
      <c r="C498" s="51" t="n"/>
      <c r="D498" s="51" t="n"/>
      <c r="E498" s="51" t="n"/>
      <c r="F498" s="51" t="n"/>
      <c r="G498" s="51" t="n"/>
      <c r="H498" s="51" t="n"/>
    </row>
    <row r="499">
      <c r="B499" s="51" t="n"/>
      <c r="C499" s="51" t="n"/>
      <c r="D499" s="51" t="n"/>
      <c r="E499" s="51" t="n"/>
      <c r="F499" s="51" t="n"/>
      <c r="G499" s="51" t="n"/>
      <c r="H499" s="51" t="n"/>
    </row>
    <row r="500">
      <c r="B500" s="51" t="n"/>
      <c r="C500" s="51" t="n"/>
      <c r="D500" s="51" t="n"/>
      <c r="E500" s="51" t="n"/>
      <c r="F500" s="51" t="n"/>
      <c r="G500" s="51" t="n"/>
      <c r="H500" s="51" t="n"/>
    </row>
    <row r="501">
      <c r="B501" s="51" t="n"/>
      <c r="C501" s="51" t="n"/>
      <c r="D501" s="51" t="n"/>
      <c r="E501" s="51" t="n"/>
      <c r="F501" s="51" t="n"/>
      <c r="G501" s="51" t="n"/>
      <c r="H501" s="51" t="n"/>
    </row>
    <row r="502">
      <c r="B502" s="51" t="n"/>
      <c r="C502" s="51" t="n"/>
      <c r="D502" s="51" t="n"/>
      <c r="E502" s="51" t="n"/>
      <c r="F502" s="51" t="n"/>
      <c r="G502" s="51" t="n"/>
      <c r="H502" s="51" t="n"/>
    </row>
    <row r="503">
      <c r="B503" s="51" t="n"/>
      <c r="C503" s="51" t="n"/>
      <c r="D503" s="51" t="n"/>
      <c r="E503" s="51" t="n"/>
      <c r="F503" s="51" t="n"/>
      <c r="G503" s="51" t="n"/>
      <c r="H503" s="51" t="n"/>
    </row>
    <row r="504">
      <c r="B504" s="51" t="n"/>
      <c r="C504" s="51" t="n"/>
      <c r="D504" s="51" t="n"/>
      <c r="E504" s="51" t="n"/>
      <c r="F504" s="51" t="n"/>
      <c r="G504" s="51" t="n"/>
      <c r="H504" s="51" t="n"/>
    </row>
    <row r="505">
      <c r="B505" s="51" t="n"/>
      <c r="C505" s="51" t="n"/>
      <c r="D505" s="51" t="n"/>
      <c r="E505" s="51" t="n"/>
      <c r="F505" s="51" t="n"/>
      <c r="G505" s="51" t="n"/>
      <c r="H505" s="51" t="n"/>
    </row>
    <row r="506">
      <c r="B506" s="51" t="n"/>
      <c r="C506" s="51" t="n"/>
      <c r="D506" s="51" t="n"/>
      <c r="E506" s="51" t="n"/>
      <c r="F506" s="51" t="n"/>
      <c r="G506" s="51" t="n"/>
      <c r="H506" s="51" t="n"/>
    </row>
    <row r="507">
      <c r="B507" s="51" t="n"/>
      <c r="C507" s="51" t="n"/>
      <c r="D507" s="51" t="n"/>
      <c r="E507" s="51" t="n"/>
      <c r="F507" s="51" t="n"/>
      <c r="G507" s="51" t="n"/>
      <c r="H507" s="51" t="n"/>
    </row>
    <row r="508">
      <c r="B508" s="51" t="n"/>
      <c r="C508" s="51" t="n"/>
      <c r="D508" s="51" t="n"/>
      <c r="E508" s="51" t="n"/>
      <c r="F508" s="51" t="n"/>
      <c r="G508" s="51" t="n"/>
      <c r="H508" s="51" t="n"/>
    </row>
    <row r="509">
      <c r="B509" s="51" t="n"/>
      <c r="C509" s="51" t="n"/>
      <c r="D509" s="51" t="n"/>
      <c r="E509" s="51" t="n"/>
      <c r="F509" s="51" t="n"/>
      <c r="G509" s="51" t="n"/>
      <c r="H509" s="51" t="n"/>
    </row>
    <row r="510">
      <c r="B510" s="51" t="n"/>
      <c r="C510" s="51" t="n"/>
      <c r="D510" s="51" t="n"/>
      <c r="E510" s="51" t="n"/>
      <c r="F510" s="51" t="n"/>
      <c r="G510" s="51" t="n"/>
      <c r="H510" s="51" t="n"/>
    </row>
    <row r="511">
      <c r="B511" s="51" t="n"/>
      <c r="C511" s="51" t="n"/>
      <c r="D511" s="51" t="n"/>
      <c r="E511" s="51" t="n"/>
      <c r="F511" s="51" t="n"/>
      <c r="G511" s="51" t="n"/>
      <c r="H511" s="51" t="n"/>
    </row>
    <row r="512">
      <c r="B512" s="51" t="n"/>
      <c r="C512" s="51" t="n"/>
      <c r="D512" s="51" t="n"/>
      <c r="E512" s="51" t="n"/>
      <c r="F512" s="51" t="n"/>
      <c r="G512" s="51" t="n"/>
      <c r="H512" s="51" t="n"/>
    </row>
    <row r="513">
      <c r="B513" s="51" t="n"/>
      <c r="C513" s="51" t="n"/>
      <c r="D513" s="51" t="n"/>
      <c r="E513" s="51" t="n"/>
      <c r="F513" s="51" t="n"/>
      <c r="G513" s="51" t="n"/>
      <c r="H513" s="51" t="n"/>
    </row>
    <row r="514">
      <c r="B514" s="51" t="n"/>
      <c r="C514" s="51" t="n"/>
      <c r="D514" s="51" t="n"/>
      <c r="E514" s="51" t="n"/>
      <c r="F514" s="51" t="n"/>
      <c r="G514" s="51" t="n"/>
      <c r="H514" s="51" t="n"/>
    </row>
    <row r="515">
      <c r="B515" s="51" t="n"/>
      <c r="C515" s="51" t="n"/>
      <c r="D515" s="51" t="n"/>
      <c r="E515" s="51" t="n"/>
      <c r="F515" s="51" t="n"/>
      <c r="G515" s="51" t="n"/>
      <c r="H515" s="51" t="n"/>
    </row>
    <row r="516">
      <c r="B516" s="51" t="n"/>
      <c r="C516" s="51" t="n"/>
      <c r="D516" s="51" t="n"/>
      <c r="E516" s="51" t="n"/>
      <c r="F516" s="51" t="n"/>
      <c r="G516" s="51" t="n"/>
      <c r="H516" s="51" t="n"/>
    </row>
    <row r="517">
      <c r="B517" s="51" t="n"/>
      <c r="C517" s="51" t="n"/>
      <c r="D517" s="51" t="n"/>
      <c r="E517" s="51" t="n"/>
      <c r="F517" s="51" t="n"/>
      <c r="G517" s="51" t="n"/>
      <c r="H517" s="51"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C17:C517">
    <cfRule type="expression" priority="3" dxfId="6">
      <formula>AND(LEN($B17&amp;$C17&amp;$D17&amp;$E17&amp;$F17&amp;$G17&amp;$H17)&gt;0,C17="")</formula>
    </cfRule>
  </conditionalFormatting>
  <conditionalFormatting sqref="D17:D517">
    <cfRule type="expression" priority="4" dxfId="6">
      <formula>AND(LEN($B17&amp;$C17&amp;$D17&amp;$E17&amp;$F17&amp;$G17&amp;$H17)&gt;0,D17="")</formula>
    </cfRule>
  </conditionalFormatting>
  <conditionalFormatting sqref="G17:G517">
    <cfRule type="expression" priority="5" dxfId="6">
      <formula>AND(LEN($B17&amp;$C17&amp;$D17&amp;$E17&amp;$F17&amp;$G17&amp;$H17)&gt;0,G17="")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Rule ID" prompt="Yes. Identifier of the rule"/>
    <dataValidation sqref="C17:C517" showDropDown="0" showInputMessage="1" showErrorMessage="0" allowBlank="1" promptTitle="Rule" prompt="Yes. The rule"/>
    <dataValidation sqref="D17:D517" showDropDown="0" showInputMessage="1" showErrorMessage="1" allowBlank="1" errorTitle="Status" error="Choose a value of the list Separation-of-duties rule status (sheet Reference lists)." promptTitle="Status" prompt="Yes. Enforced = a fixed rule of BIBS Allowed: Enforced, To confirm, New (list Separation-of-duties rule status)" type="list" errorStyle="stop">
      <formula1>=LIST_SOD_STATUS</formula1>
    </dataValidation>
    <dataValidation sqref="E17:E517" showDropDown="0" showInputMessage="1" showErrorMessage="0" allowBlank="1" promptTitle="Profile or permission A" prompt="Conditional: combination rule. First profile or permission of a combination Allowed: Codes of UA-02 Role-to-permission matrix, column Group profile code (one or more)"/>
    <dataValidation sqref="F17:F517" showDropDown="0" showInputMessage="1" showErrorMessage="0" allowBlank="1" promptTitle="Profile or permission B" prompt="Conditional: combination rule. Profile or permission that may not be held with A Allowed: Codes of UA-02 Role-to-permission matrix, column Group profile code (one or more)"/>
    <dataValidation sqref="G17:G517" showDropDown="0" showInputMessage="1" showErrorMessage="1" allowBlank="1" errorTitle="Control" error="Choose a value of the list Separation-of-duties control (sheet Reference lists)." promptTitle="Control" prompt="Yes. How the rule is controlled Allowed: Prevent, Detect by review, Second approval (list Separation-of-duties control)" type="list" errorStyle="stop">
      <formula1>=LIST_SOD_CONTROL</formula1>
    </dataValidation>
    <dataValidation sqref="H17:H517" showDropDown="0" showInputMessage="1" showErrorMessage="1" allowBlank="1" errorTitle="Review frequency" error="Choose a value of the list Review frequency (sheet Reference lists)." promptTitle="Review frequency" prompt="Conditional: Detect by review. How often the reports are reviewed Allowed: Monthly, Quarterly (list Review frequency)" type="list" errorStyle="stop">
      <formula1>=LIST_REVIEW_FREQUENCY</formula1>
    </dataValidation>
  </dataValidations>
  <hyperlinks>
    <hyperlink ref="A2" location="'Start here'!A1"/>
    <hyperlink ref="H2" location="'Questions and comments'!A1"/>
    <hyperlink ref="B8" location="'UA-02 Role matrix'!A1"/>
    <hyperlink ref="D14" location="'Reference lists'!A156"/>
    <hyperlink ref="E14" location="'UA-02 Role matrix'!B16"/>
    <hyperlink ref="F14" location="'UA-02 Role matrix'!B16"/>
    <hyperlink ref="G14" location="'Reference lists'!A159"/>
    <hyperlink ref="H14" location="'Reference lists'!A162"/>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8" customWidth="1" min="3" max="3"/>
    <col width="19" customWidth="1" min="4" max="4"/>
    <col width="19" customWidth="1" min="5" max="5"/>
    <col width="13" customWidth="1" min="6" max="6"/>
    <col width="16.81818181818182" customWidth="1" min="7" max="7"/>
    <col width="25" customWidth="1" min="8" max="8"/>
    <col width="16" customWidth="1" min="9" max="9"/>
    <col width="32" customWidth="1" min="10" max="10"/>
  </cols>
  <sheetData>
    <row r="1" ht="26" customHeight="1">
      <c r="A1" s="27" t="inlineStr">
        <is>
          <t>D0-11 Company bank accounts</t>
        </is>
      </c>
      <c r="J1" s="28" t="inlineStr">
        <is>
          <t>Step 13 of 31</t>
        </is>
      </c>
    </row>
    <row r="2">
      <c r="A2" s="29" t="inlineStr">
        <is>
          <t>← Back to Start here</t>
        </is>
      </c>
      <c r="B2" s="30" t="inlineStr">
        <is>
          <t>Step 13 of 31. Fill in one row per record below the column headers; the guide above each column says what to enter.</t>
        </is>
      </c>
      <c r="J2" s="31" t="inlineStr">
        <is>
          <t>Ask a question →</t>
        </is>
      </c>
    </row>
    <row r="3" outlineLevel="1" ht="15.5" customHeight="1">
      <c r="A3" s="32" t="inlineStr">
        <is>
          <t>Purpose</t>
        </is>
      </c>
      <c r="B3" s="33" t="inlineStr">
        <is>
          <t>The bank accounts of BDOI used for collections and disbursements</t>
        </is>
      </c>
    </row>
    <row r="4" outlineLevel="1" ht="15.5" customHeight="1">
      <c r="A4" s="32" t="inlineStr">
        <is>
          <t>Provided by</t>
        </is>
      </c>
      <c r="B4" s="33" t="inlineStr">
        <is>
          <t>Head, Comptrollership; Treasury</t>
        </is>
      </c>
    </row>
    <row r="5" outlineLevel="1" ht="15.5" customHeight="1">
      <c r="A5" s="32" t="inlineStr">
        <is>
          <t>Due</t>
        </is>
      </c>
      <c r="B5" s="34" t="inlineStr">
        <is>
          <t>4-Jan-2027 – Platform set-up for Drop 1 SIT</t>
        </is>
      </c>
    </row>
    <row r="6" outlineLevel="1" ht="15.5" customHeight="1">
      <c r="A6" s="32" t="inlineStr">
        <is>
          <t>How it is loaded</t>
        </is>
      </c>
      <c r="B6" s="33" t="inlineStr">
        <is>
          <t>Bank Accounts and Checks (Disbursement), authorised by Comptrollership</t>
        </is>
      </c>
    </row>
    <row r="7" outlineLevel="1" ht="15.5" customHeight="1">
      <c r="A7" s="32" t="inlineStr">
        <is>
          <t>Source</t>
        </is>
      </c>
      <c r="B7" s="33" t="inlineStr">
        <is>
          <t>BDOI bank account list</t>
        </is>
      </c>
    </row>
    <row r="8" outlineLevel="1" ht="15" customHeight="1">
      <c r="A8" s="32" t="inlineStr">
        <is>
          <t>Depends on</t>
        </is>
      </c>
      <c r="B8" s="55" t="inlineStr">
        <is>
          <t>D0-06 Chart of accounts →</t>
        </is>
      </c>
      <c r="D8" s="55" t="inlineStr">
        <is>
          <t>D0-02 Branches →</t>
        </is>
      </c>
    </row>
    <row r="9" ht="26" customHeight="1">
      <c r="A9" s="36" t="inlineStr">
        <is>
          <t>Progress</t>
        </is>
      </c>
      <c r="B9" s="37" t="inlineStr">
        <is>
          <t>Rows entered</t>
        </is>
      </c>
      <c r="C9" s="38">
        <f>SUMPRODUCT(((ROW($B$17:$B$517)&gt;17)+($B$17&lt;&gt;"BDO-CA-001")&gt;0)*(LEN($B$17:$B$517&amp;$C$17:$C$517&amp;$D$17:$D$517&amp;$E$17:$E$517&amp;$F$17:$F$517&amp;$G$17:$G$517&amp;$H$17:$H$517&amp;$I$17:$I$517&amp;$J$17:$J$517)&gt;0))</f>
        <v/>
      </c>
      <c r="D9" s="37" t="inlineStr">
        <is>
          <t>Mandatory cells missing</t>
        </is>
      </c>
      <c r="E9" s="38">
        <f>SUMPRODUCT(((ROW($B$17:$B$517)&gt;17)+($B$17&lt;&gt;"BDO-CA-001")&gt;0)*(LEN($B$17:$B$517&amp;$C$17:$C$517&amp;$D$17:$D$517&amp;$E$17:$E$517&amp;$F$17:$F$517&amp;$G$17:$G$517&amp;$H$17:$H$517&amp;$I$17:$I$517&amp;$J$17:$J$517)&gt;0)*(($B$17:$B$517="")+($C$17:$C$517="")+($D$17:$D$517="")+($E$17:$E$517="")+($F$17:$F$517="")+($G$17:$G$517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17" customHeight="1">
      <c r="A12" s="43" t="inlineStr">
        <is>
          <t>Mandatory</t>
        </is>
      </c>
      <c r="B12" s="44" t="inlineStr">
        <is>
          <t>Yes</t>
        </is>
      </c>
      <c r="C12" s="44" t="inlineStr">
        <is>
          <t>Yes</t>
        </is>
      </c>
      <c r="D12" s="44" t="inlineStr">
        <is>
          <t>Yes</t>
        </is>
      </c>
      <c r="E12" s="44" t="inlineStr">
        <is>
          <t>Yes</t>
        </is>
      </c>
      <c r="F12" s="44" t="inlineStr">
        <is>
          <t>Yes</t>
        </is>
      </c>
      <c r="G12" s="44" t="inlineStr">
        <is>
          <t>Yes</t>
        </is>
      </c>
      <c r="H12" s="45" t="inlineStr">
        <is>
          <t>No</t>
        </is>
      </c>
      <c r="I12" s="45" t="inlineStr">
        <is>
          <t>No</t>
        </is>
      </c>
      <c r="J12" s="44" t="inlineStr">
        <is>
          <t>Yes</t>
        </is>
      </c>
    </row>
    <row r="13" ht="30" customHeight="1">
      <c r="A13" s="43" t="inlineStr">
        <is>
          <t>Format</t>
        </is>
      </c>
      <c r="B13" s="45" t="inlineStr">
        <is>
          <t>Up to 20 capitals</t>
        </is>
      </c>
      <c r="C13" s="45" t="inlineStr">
        <is>
          <t>Text</t>
        </is>
      </c>
      <c r="D13" s="45" t="inlineStr">
        <is>
          <t>Bank name</t>
        </is>
      </c>
      <c r="E13" s="45" t="inlineStr">
        <is>
          <t>As printed by the bank</t>
        </is>
      </c>
      <c r="F13" s="45" t="inlineStr">
        <is>
          <t>ISO 4217</t>
        </is>
      </c>
      <c r="G13" s="45" t="inlineStr">
        <is>
          <t>Account of D0-06 with a bank category</t>
        </is>
      </c>
      <c r="H13" s="45" t="inlineStr">
        <is>
          <t>Account of D0-06</t>
        </is>
      </c>
      <c r="I13" s="45" t="inlineStr">
        <is>
          <t>Code of D0-02</t>
        </is>
      </c>
      <c r="J13" s="45" t="inlineStr">
        <is>
          <t>Format of the bank advice</t>
        </is>
      </c>
    </row>
    <row r="14" ht="43" customHeight="1">
      <c r="A14" s="43" t="inlineStr">
        <is>
          <t>Allowed values</t>
        </is>
      </c>
      <c r="B14" s="45" t="inlineStr">
        <is>
          <t>Free entry, up to 20 characters</t>
        </is>
      </c>
      <c r="C14" s="45" t="inlineStr">
        <is>
          <t>Free entry</t>
        </is>
      </c>
      <c r="D14" s="45" t="inlineStr">
        <is>
          <t>Free entry</t>
        </is>
      </c>
      <c r="E14" s="45" t="inlineStr">
        <is>
          <t>Free entry</t>
        </is>
      </c>
      <c r="F14" s="45" t="inlineStr">
        <is>
          <t>Free entry, up to 3 characters</t>
        </is>
      </c>
      <c r="G14" s="53" t="inlineStr">
        <is>
          <t>A code of D0-06 Chart of accounts, column Account Code</t>
        </is>
      </c>
      <c r="H14" s="53" t="inlineStr">
        <is>
          <t>A code of D0-06 Chart of accounts, column Account Code</t>
        </is>
      </c>
      <c r="I14" s="53" t="inlineStr">
        <is>
          <t>A code of D0-02 Branches, column Branch code</t>
        </is>
      </c>
      <c r="J14" s="45" t="inlineStr">
        <is>
          <t>Free entry</t>
        </is>
      </c>
    </row>
    <row r="15" ht="30" customHeight="1">
      <c r="A15" s="43" t="inlineStr">
        <is>
          <t>What to enter</t>
        </is>
      </c>
      <c r="B15" s="45" t="inlineStr">
        <is>
          <t>Code of the account in BIBS</t>
        </is>
      </c>
      <c r="C15" s="45" t="inlineStr">
        <is>
          <t>Name shown on screens</t>
        </is>
      </c>
      <c r="D15" s="45" t="inlineStr">
        <is>
          <t>Bank of the account</t>
        </is>
      </c>
      <c r="E15" s="45" t="inlineStr">
        <is>
          <t>Account number</t>
        </is>
      </c>
      <c r="F15" s="45" t="inlineStr">
        <is>
          <t>Currency of the account</t>
        </is>
      </c>
      <c r="G15" s="45" t="inlineStr">
        <is>
          <t>Cash-in-bank account</t>
        </is>
      </c>
      <c r="H15" s="45" t="inlineStr">
        <is>
          <t>Account of issued post-dated checks</t>
        </is>
      </c>
      <c r="I15" s="45" t="inlineStr">
        <is>
          <t>Branch that uses the account</t>
        </is>
      </c>
      <c r="J15" s="45" t="inlineStr">
        <is>
          <t>Format of the notification to the payee</t>
        </is>
      </c>
    </row>
    <row r="16" ht="30" customHeight="1">
      <c r="A16" s="46" t="inlineStr">
        <is>
          <t>Row</t>
        </is>
      </c>
      <c r="B16" s="47" t="inlineStr">
        <is>
          <t>Bank account code *</t>
        </is>
      </c>
      <c r="C16" s="47" t="inlineStr">
        <is>
          <t>Name *</t>
        </is>
      </c>
      <c r="D16" s="47" t="inlineStr">
        <is>
          <t>Bank *</t>
        </is>
      </c>
      <c r="E16" s="47" t="inlineStr">
        <is>
          <t>Account number *</t>
        </is>
      </c>
      <c r="F16" s="47" t="inlineStr">
        <is>
          <t>Currency *</t>
        </is>
      </c>
      <c r="G16" s="47" t="inlineStr">
        <is>
          <t>GL account *</t>
        </is>
      </c>
      <c r="H16" s="47" t="inlineStr">
        <is>
          <t>PDC clearing account</t>
        </is>
      </c>
      <c r="I16" s="47" t="inlineStr">
        <is>
          <t>Branch code</t>
        </is>
      </c>
      <c r="J16" s="47" t="inlineStr">
        <is>
          <t>Payment notification format *</t>
        </is>
      </c>
    </row>
    <row r="17" ht="18" customHeight="1">
      <c r="A17" s="48" t="inlineStr">
        <is>
          <t>Example – overwrite or delete</t>
        </is>
      </c>
      <c r="B17" s="49" t="inlineStr">
        <is>
          <t>BDO-CA-001</t>
        </is>
      </c>
      <c r="C17" s="49" t="inlineStr">
        <is>
          <t>BDO Makati current account</t>
        </is>
      </c>
      <c r="D17" s="49" t="inlineStr">
        <is>
          <t>BDO Unibank, Inc.</t>
        </is>
      </c>
      <c r="E17" s="49" t="inlineStr">
        <is>
          <t>000123456789</t>
        </is>
      </c>
      <c r="F17" s="49" t="inlineStr">
        <is>
          <t>PHP</t>
        </is>
      </c>
      <c r="G17" s="49" t="inlineStr">
        <is>
          <t>1110.01</t>
        </is>
      </c>
      <c r="H17" s="49" t="inlineStr">
        <is>
          <t>2241</t>
        </is>
      </c>
      <c r="I17" s="49" t="inlineStr">
        <is>
          <t>HO</t>
        </is>
      </c>
      <c r="J17" s="49" t="inlineStr">
        <is>
          <t>EMAIL</t>
        </is>
      </c>
    </row>
    <row r="18">
      <c r="B18" s="51" t="n"/>
      <c r="C18" s="51" t="n"/>
      <c r="D18" s="51" t="n"/>
      <c r="E18" s="51" t="n"/>
      <c r="F18" s="51" t="n"/>
      <c r="G18" s="51" t="n"/>
      <c r="H18" s="51" t="n"/>
      <c r="I18" s="51" t="n"/>
      <c r="J18" s="51" t="n"/>
    </row>
    <row r="19">
      <c r="B19" s="51" t="n"/>
      <c r="C19" s="51" t="n"/>
      <c r="D19" s="51" t="n"/>
      <c r="E19" s="51" t="n"/>
      <c r="F19" s="51" t="n"/>
      <c r="G19" s="51" t="n"/>
      <c r="H19" s="51" t="n"/>
      <c r="I19" s="51" t="n"/>
      <c r="J19" s="51" t="n"/>
    </row>
    <row r="20">
      <c r="B20" s="51" t="n"/>
      <c r="C20" s="51" t="n"/>
      <c r="D20" s="51" t="n"/>
      <c r="E20" s="51" t="n"/>
      <c r="F20" s="51" t="n"/>
      <c r="G20" s="51" t="n"/>
      <c r="H20" s="51" t="n"/>
      <c r="I20" s="51" t="n"/>
      <c r="J20" s="51" t="n"/>
    </row>
    <row r="21">
      <c r="B21" s="51" t="n"/>
      <c r="C21" s="51" t="n"/>
      <c r="D21" s="51" t="n"/>
      <c r="E21" s="51" t="n"/>
      <c r="F21" s="51" t="n"/>
      <c r="G21" s="51" t="n"/>
      <c r="H21" s="51" t="n"/>
      <c r="I21" s="51" t="n"/>
      <c r="J21" s="51" t="n"/>
    </row>
    <row r="22">
      <c r="B22" s="51" t="n"/>
      <c r="C22" s="51" t="n"/>
      <c r="D22" s="51" t="n"/>
      <c r="E22" s="51" t="n"/>
      <c r="F22" s="51" t="n"/>
      <c r="G22" s="51" t="n"/>
      <c r="H22" s="51" t="n"/>
      <c r="I22" s="51" t="n"/>
      <c r="J22" s="51" t="n"/>
    </row>
    <row r="23">
      <c r="B23" s="51" t="n"/>
      <c r="C23" s="51" t="n"/>
      <c r="D23" s="51" t="n"/>
      <c r="E23" s="51" t="n"/>
      <c r="F23" s="51" t="n"/>
      <c r="G23" s="51" t="n"/>
      <c r="H23" s="51" t="n"/>
      <c r="I23" s="51" t="n"/>
      <c r="J23" s="51" t="n"/>
    </row>
    <row r="24">
      <c r="B24" s="51" t="n"/>
      <c r="C24" s="51" t="n"/>
      <c r="D24" s="51" t="n"/>
      <c r="E24" s="51" t="n"/>
      <c r="F24" s="51" t="n"/>
      <c r="G24" s="51" t="n"/>
      <c r="H24" s="51" t="n"/>
      <c r="I24" s="51" t="n"/>
      <c r="J24" s="51" t="n"/>
    </row>
    <row r="25">
      <c r="B25" s="51" t="n"/>
      <c r="C25" s="51" t="n"/>
      <c r="D25" s="51" t="n"/>
      <c r="E25" s="51" t="n"/>
      <c r="F25" s="51" t="n"/>
      <c r="G25" s="51" t="n"/>
      <c r="H25" s="51" t="n"/>
      <c r="I25" s="51" t="n"/>
      <c r="J25" s="51" t="n"/>
    </row>
    <row r="26">
      <c r="B26" s="51" t="n"/>
      <c r="C26" s="51" t="n"/>
      <c r="D26" s="51" t="n"/>
      <c r="E26" s="51" t="n"/>
      <c r="F26" s="51" t="n"/>
      <c r="G26" s="51" t="n"/>
      <c r="H26" s="51" t="n"/>
      <c r="I26" s="51" t="n"/>
      <c r="J26" s="51" t="n"/>
    </row>
    <row r="27">
      <c r="B27" s="51" t="n"/>
      <c r="C27" s="51" t="n"/>
      <c r="D27" s="51" t="n"/>
      <c r="E27" s="51" t="n"/>
      <c r="F27" s="51" t="n"/>
      <c r="G27" s="51" t="n"/>
      <c r="H27" s="51" t="n"/>
      <c r="I27" s="51" t="n"/>
      <c r="J27" s="51" t="n"/>
    </row>
    <row r="28">
      <c r="B28" s="51" t="n"/>
      <c r="C28" s="51" t="n"/>
      <c r="D28" s="51" t="n"/>
      <c r="E28" s="51" t="n"/>
      <c r="F28" s="51" t="n"/>
      <c r="G28" s="51" t="n"/>
      <c r="H28" s="51" t="n"/>
      <c r="I28" s="51" t="n"/>
      <c r="J28" s="51" t="n"/>
    </row>
    <row r="29">
      <c r="B29" s="51" t="n"/>
      <c r="C29" s="51" t="n"/>
      <c r="D29" s="51" t="n"/>
      <c r="E29" s="51" t="n"/>
      <c r="F29" s="51" t="n"/>
      <c r="G29" s="51" t="n"/>
      <c r="H29" s="51" t="n"/>
      <c r="I29" s="51" t="n"/>
      <c r="J29" s="51" t="n"/>
    </row>
    <row r="30">
      <c r="B30" s="51" t="n"/>
      <c r="C30" s="51" t="n"/>
      <c r="D30" s="51" t="n"/>
      <c r="E30" s="51" t="n"/>
      <c r="F30" s="51" t="n"/>
      <c r="G30" s="51" t="n"/>
      <c r="H30" s="51" t="n"/>
      <c r="I30" s="51" t="n"/>
      <c r="J30" s="51" t="n"/>
    </row>
    <row r="31">
      <c r="B31" s="51" t="n"/>
      <c r="C31" s="51" t="n"/>
      <c r="D31" s="51" t="n"/>
      <c r="E31" s="51" t="n"/>
      <c r="F31" s="51" t="n"/>
      <c r="G31" s="51" t="n"/>
      <c r="H31" s="51" t="n"/>
      <c r="I31" s="51" t="n"/>
      <c r="J31" s="51" t="n"/>
    </row>
    <row r="32">
      <c r="B32" s="51" t="n"/>
      <c r="C32" s="51" t="n"/>
      <c r="D32" s="51" t="n"/>
      <c r="E32" s="51" t="n"/>
      <c r="F32" s="51" t="n"/>
      <c r="G32" s="51" t="n"/>
      <c r="H32" s="51" t="n"/>
      <c r="I32" s="51" t="n"/>
      <c r="J32" s="51" t="n"/>
    </row>
    <row r="33">
      <c r="B33" s="51" t="n"/>
      <c r="C33" s="51" t="n"/>
      <c r="D33" s="51" t="n"/>
      <c r="E33" s="51" t="n"/>
      <c r="F33" s="51" t="n"/>
      <c r="G33" s="51" t="n"/>
      <c r="H33" s="51" t="n"/>
      <c r="I33" s="51" t="n"/>
      <c r="J33" s="51" t="n"/>
    </row>
    <row r="34">
      <c r="B34" s="51" t="n"/>
      <c r="C34" s="51" t="n"/>
      <c r="D34" s="51" t="n"/>
      <c r="E34" s="51" t="n"/>
      <c r="F34" s="51" t="n"/>
      <c r="G34" s="51" t="n"/>
      <c r="H34" s="51" t="n"/>
      <c r="I34" s="51" t="n"/>
      <c r="J34" s="51" t="n"/>
    </row>
    <row r="35">
      <c r="B35" s="51" t="n"/>
      <c r="C35" s="51" t="n"/>
      <c r="D35" s="51" t="n"/>
      <c r="E35" s="51" t="n"/>
      <c r="F35" s="51" t="n"/>
      <c r="G35" s="51" t="n"/>
      <c r="H35" s="51" t="n"/>
      <c r="I35" s="51" t="n"/>
      <c r="J35" s="51" t="n"/>
    </row>
    <row r="36">
      <c r="B36" s="51" t="n"/>
      <c r="C36" s="51" t="n"/>
      <c r="D36" s="51" t="n"/>
      <c r="E36" s="51" t="n"/>
      <c r="F36" s="51" t="n"/>
      <c r="G36" s="51" t="n"/>
      <c r="H36" s="51" t="n"/>
      <c r="I36" s="51" t="n"/>
      <c r="J36" s="51" t="n"/>
    </row>
    <row r="37">
      <c r="B37" s="51" t="n"/>
      <c r="C37" s="51" t="n"/>
      <c r="D37" s="51" t="n"/>
      <c r="E37" s="51" t="n"/>
      <c r="F37" s="51" t="n"/>
      <c r="G37" s="51" t="n"/>
      <c r="H37" s="51" t="n"/>
      <c r="I37" s="51" t="n"/>
      <c r="J37" s="51" t="n"/>
    </row>
    <row r="38">
      <c r="B38" s="51" t="n"/>
      <c r="C38" s="51" t="n"/>
      <c r="D38" s="51" t="n"/>
      <c r="E38" s="51" t="n"/>
      <c r="F38" s="51" t="n"/>
      <c r="G38" s="51" t="n"/>
      <c r="H38" s="51" t="n"/>
      <c r="I38" s="51" t="n"/>
      <c r="J38" s="51" t="n"/>
    </row>
    <row r="39">
      <c r="B39" s="51" t="n"/>
      <c r="C39" s="51" t="n"/>
      <c r="D39" s="51" t="n"/>
      <c r="E39" s="51" t="n"/>
      <c r="F39" s="51" t="n"/>
      <c r="G39" s="51" t="n"/>
      <c r="H39" s="51" t="n"/>
      <c r="I39" s="51" t="n"/>
      <c r="J39" s="51" t="n"/>
    </row>
    <row r="40">
      <c r="B40" s="51" t="n"/>
      <c r="C40" s="51" t="n"/>
      <c r="D40" s="51" t="n"/>
      <c r="E40" s="51" t="n"/>
      <c r="F40" s="51" t="n"/>
      <c r="G40" s="51" t="n"/>
      <c r="H40" s="51" t="n"/>
      <c r="I40" s="51" t="n"/>
      <c r="J40" s="51" t="n"/>
    </row>
    <row r="41">
      <c r="B41" s="51" t="n"/>
      <c r="C41" s="51" t="n"/>
      <c r="D41" s="51" t="n"/>
      <c r="E41" s="51" t="n"/>
      <c r="F41" s="51" t="n"/>
      <c r="G41" s="51" t="n"/>
      <c r="H41" s="51" t="n"/>
      <c r="I41" s="51" t="n"/>
      <c r="J41" s="51" t="n"/>
    </row>
    <row r="42">
      <c r="B42" s="51" t="n"/>
      <c r="C42" s="51" t="n"/>
      <c r="D42" s="51" t="n"/>
      <c r="E42" s="51" t="n"/>
      <c r="F42" s="51" t="n"/>
      <c r="G42" s="51" t="n"/>
      <c r="H42" s="51" t="n"/>
      <c r="I42" s="51" t="n"/>
      <c r="J42" s="51" t="n"/>
    </row>
    <row r="43">
      <c r="B43" s="51" t="n"/>
      <c r="C43" s="51" t="n"/>
      <c r="D43" s="51" t="n"/>
      <c r="E43" s="51" t="n"/>
      <c r="F43" s="51" t="n"/>
      <c r="G43" s="51" t="n"/>
      <c r="H43" s="51" t="n"/>
      <c r="I43" s="51" t="n"/>
      <c r="J43" s="51" t="n"/>
    </row>
    <row r="44">
      <c r="B44" s="51" t="n"/>
      <c r="C44" s="51" t="n"/>
      <c r="D44" s="51" t="n"/>
      <c r="E44" s="51" t="n"/>
      <c r="F44" s="51" t="n"/>
      <c r="G44" s="51" t="n"/>
      <c r="H44" s="51" t="n"/>
      <c r="I44" s="51" t="n"/>
      <c r="J44" s="51" t="n"/>
    </row>
    <row r="45">
      <c r="B45" s="51" t="n"/>
      <c r="C45" s="51" t="n"/>
      <c r="D45" s="51" t="n"/>
      <c r="E45" s="51" t="n"/>
      <c r="F45" s="51" t="n"/>
      <c r="G45" s="51" t="n"/>
      <c r="H45" s="51" t="n"/>
      <c r="I45" s="51" t="n"/>
      <c r="J45" s="51" t="n"/>
    </row>
    <row r="46">
      <c r="B46" s="51" t="n"/>
      <c r="C46" s="51" t="n"/>
      <c r="D46" s="51" t="n"/>
      <c r="E46" s="51" t="n"/>
      <c r="F46" s="51" t="n"/>
      <c r="G46" s="51" t="n"/>
      <c r="H46" s="51" t="n"/>
      <c r="I46" s="51" t="n"/>
      <c r="J46" s="51" t="n"/>
    </row>
    <row r="47">
      <c r="B47" s="51" t="n"/>
      <c r="C47" s="51" t="n"/>
      <c r="D47" s="51" t="n"/>
      <c r="E47" s="51" t="n"/>
      <c r="F47" s="51" t="n"/>
      <c r="G47" s="51" t="n"/>
      <c r="H47" s="51" t="n"/>
      <c r="I47" s="51" t="n"/>
      <c r="J47" s="51" t="n"/>
    </row>
    <row r="48">
      <c r="B48" s="51" t="n"/>
      <c r="C48" s="51" t="n"/>
      <c r="D48" s="51" t="n"/>
      <c r="E48" s="51" t="n"/>
      <c r="F48" s="51" t="n"/>
      <c r="G48" s="51" t="n"/>
      <c r="H48" s="51" t="n"/>
      <c r="I48" s="51" t="n"/>
      <c r="J48" s="51" t="n"/>
    </row>
    <row r="49">
      <c r="B49" s="51" t="n"/>
      <c r="C49" s="51" t="n"/>
      <c r="D49" s="51" t="n"/>
      <c r="E49" s="51" t="n"/>
      <c r="F49" s="51" t="n"/>
      <c r="G49" s="51" t="n"/>
      <c r="H49" s="51" t="n"/>
      <c r="I49" s="51" t="n"/>
      <c r="J49" s="51" t="n"/>
    </row>
    <row r="50">
      <c r="B50" s="51" t="n"/>
      <c r="C50" s="51" t="n"/>
      <c r="D50" s="51" t="n"/>
      <c r="E50" s="51" t="n"/>
      <c r="F50" s="51" t="n"/>
      <c r="G50" s="51" t="n"/>
      <c r="H50" s="51" t="n"/>
      <c r="I50" s="51" t="n"/>
      <c r="J50" s="51" t="n"/>
    </row>
    <row r="51">
      <c r="B51" s="51" t="n"/>
      <c r="C51" s="51" t="n"/>
      <c r="D51" s="51" t="n"/>
      <c r="E51" s="51" t="n"/>
      <c r="F51" s="51" t="n"/>
      <c r="G51" s="51" t="n"/>
      <c r="H51" s="51" t="n"/>
      <c r="I51" s="51" t="n"/>
      <c r="J51" s="51" t="n"/>
    </row>
    <row r="52">
      <c r="B52" s="51" t="n"/>
      <c r="C52" s="51" t="n"/>
      <c r="D52" s="51" t="n"/>
      <c r="E52" s="51" t="n"/>
      <c r="F52" s="51" t="n"/>
      <c r="G52" s="51" t="n"/>
      <c r="H52" s="51" t="n"/>
      <c r="I52" s="51" t="n"/>
      <c r="J52" s="51" t="n"/>
    </row>
    <row r="53">
      <c r="B53" s="51" t="n"/>
      <c r="C53" s="51" t="n"/>
      <c r="D53" s="51" t="n"/>
      <c r="E53" s="51" t="n"/>
      <c r="F53" s="51" t="n"/>
      <c r="G53" s="51" t="n"/>
      <c r="H53" s="51" t="n"/>
      <c r="I53" s="51" t="n"/>
      <c r="J53" s="51" t="n"/>
    </row>
    <row r="54">
      <c r="B54" s="51" t="n"/>
      <c r="C54" s="51" t="n"/>
      <c r="D54" s="51" t="n"/>
      <c r="E54" s="51" t="n"/>
      <c r="F54" s="51" t="n"/>
      <c r="G54" s="51" t="n"/>
      <c r="H54" s="51" t="n"/>
      <c r="I54" s="51" t="n"/>
      <c r="J54" s="51" t="n"/>
    </row>
    <row r="55">
      <c r="B55" s="51" t="n"/>
      <c r="C55" s="51" t="n"/>
      <c r="D55" s="51" t="n"/>
      <c r="E55" s="51" t="n"/>
      <c r="F55" s="51" t="n"/>
      <c r="G55" s="51" t="n"/>
      <c r="H55" s="51" t="n"/>
      <c r="I55" s="51" t="n"/>
      <c r="J55" s="51" t="n"/>
    </row>
    <row r="56">
      <c r="B56" s="51" t="n"/>
      <c r="C56" s="51" t="n"/>
      <c r="D56" s="51" t="n"/>
      <c r="E56" s="51" t="n"/>
      <c r="F56" s="51" t="n"/>
      <c r="G56" s="51" t="n"/>
      <c r="H56" s="51" t="n"/>
      <c r="I56" s="51" t="n"/>
      <c r="J56" s="51" t="n"/>
    </row>
    <row r="57">
      <c r="B57" s="51" t="n"/>
      <c r="C57" s="51" t="n"/>
      <c r="D57" s="51" t="n"/>
      <c r="E57" s="51" t="n"/>
      <c r="F57" s="51" t="n"/>
      <c r="G57" s="51" t="n"/>
      <c r="H57" s="51" t="n"/>
      <c r="I57" s="51" t="n"/>
      <c r="J57" s="51" t="n"/>
    </row>
    <row r="58">
      <c r="B58" s="51" t="n"/>
      <c r="C58" s="51" t="n"/>
      <c r="D58" s="51" t="n"/>
      <c r="E58" s="51" t="n"/>
      <c r="F58" s="51" t="n"/>
      <c r="G58" s="51" t="n"/>
      <c r="H58" s="51" t="n"/>
      <c r="I58" s="51" t="n"/>
      <c r="J58" s="51" t="n"/>
    </row>
    <row r="59">
      <c r="B59" s="51" t="n"/>
      <c r="C59" s="51" t="n"/>
      <c r="D59" s="51" t="n"/>
      <c r="E59" s="51" t="n"/>
      <c r="F59" s="51" t="n"/>
      <c r="G59" s="51" t="n"/>
      <c r="H59" s="51" t="n"/>
      <c r="I59" s="51" t="n"/>
      <c r="J59" s="51" t="n"/>
    </row>
    <row r="60">
      <c r="B60" s="51" t="n"/>
      <c r="C60" s="51" t="n"/>
      <c r="D60" s="51" t="n"/>
      <c r="E60" s="51" t="n"/>
      <c r="F60" s="51" t="n"/>
      <c r="G60" s="51" t="n"/>
      <c r="H60" s="51" t="n"/>
      <c r="I60" s="51" t="n"/>
      <c r="J60" s="51" t="n"/>
    </row>
    <row r="61">
      <c r="B61" s="51" t="n"/>
      <c r="C61" s="51" t="n"/>
      <c r="D61" s="51" t="n"/>
      <c r="E61" s="51" t="n"/>
      <c r="F61" s="51" t="n"/>
      <c r="G61" s="51" t="n"/>
      <c r="H61" s="51" t="n"/>
      <c r="I61" s="51" t="n"/>
      <c r="J61" s="51" t="n"/>
    </row>
    <row r="62">
      <c r="B62" s="51" t="n"/>
      <c r="C62" s="51" t="n"/>
      <c r="D62" s="51" t="n"/>
      <c r="E62" s="51" t="n"/>
      <c r="F62" s="51" t="n"/>
      <c r="G62" s="51" t="n"/>
      <c r="H62" s="51" t="n"/>
      <c r="I62" s="51" t="n"/>
      <c r="J62" s="51" t="n"/>
    </row>
    <row r="63">
      <c r="B63" s="51" t="n"/>
      <c r="C63" s="51" t="n"/>
      <c r="D63" s="51" t="n"/>
      <c r="E63" s="51" t="n"/>
      <c r="F63" s="51" t="n"/>
      <c r="G63" s="51" t="n"/>
      <c r="H63" s="51" t="n"/>
      <c r="I63" s="51" t="n"/>
      <c r="J63" s="51" t="n"/>
    </row>
    <row r="64">
      <c r="B64" s="51" t="n"/>
      <c r="C64" s="51" t="n"/>
      <c r="D64" s="51" t="n"/>
      <c r="E64" s="51" t="n"/>
      <c r="F64" s="51" t="n"/>
      <c r="G64" s="51" t="n"/>
      <c r="H64" s="51" t="n"/>
      <c r="I64" s="51" t="n"/>
      <c r="J64" s="51" t="n"/>
    </row>
    <row r="65">
      <c r="B65" s="51" t="n"/>
      <c r="C65" s="51" t="n"/>
      <c r="D65" s="51" t="n"/>
      <c r="E65" s="51" t="n"/>
      <c r="F65" s="51" t="n"/>
      <c r="G65" s="51" t="n"/>
      <c r="H65" s="51" t="n"/>
      <c r="I65" s="51" t="n"/>
      <c r="J65" s="51" t="n"/>
    </row>
    <row r="66">
      <c r="B66" s="51" t="n"/>
      <c r="C66" s="51" t="n"/>
      <c r="D66" s="51" t="n"/>
      <c r="E66" s="51" t="n"/>
      <c r="F66" s="51" t="n"/>
      <c r="G66" s="51" t="n"/>
      <c r="H66" s="51" t="n"/>
      <c r="I66" s="51" t="n"/>
      <c r="J66" s="51" t="n"/>
    </row>
    <row r="67">
      <c r="B67" s="51" t="n"/>
      <c r="C67" s="51" t="n"/>
      <c r="D67" s="51" t="n"/>
      <c r="E67" s="51" t="n"/>
      <c r="F67" s="51" t="n"/>
      <c r="G67" s="51" t="n"/>
      <c r="H67" s="51" t="n"/>
      <c r="I67" s="51" t="n"/>
      <c r="J67" s="51" t="n"/>
    </row>
    <row r="68">
      <c r="B68" s="51" t="n"/>
      <c r="C68" s="51" t="n"/>
      <c r="D68" s="51" t="n"/>
      <c r="E68" s="51" t="n"/>
      <c r="F68" s="51" t="n"/>
      <c r="G68" s="51" t="n"/>
      <c r="H68" s="51" t="n"/>
      <c r="I68" s="51" t="n"/>
      <c r="J68" s="51" t="n"/>
    </row>
    <row r="69">
      <c r="B69" s="51" t="n"/>
      <c r="C69" s="51" t="n"/>
      <c r="D69" s="51" t="n"/>
      <c r="E69" s="51" t="n"/>
      <c r="F69" s="51" t="n"/>
      <c r="G69" s="51" t="n"/>
      <c r="H69" s="51" t="n"/>
      <c r="I69" s="51" t="n"/>
      <c r="J69" s="51" t="n"/>
    </row>
    <row r="70">
      <c r="B70" s="51" t="n"/>
      <c r="C70" s="51" t="n"/>
      <c r="D70" s="51" t="n"/>
      <c r="E70" s="51" t="n"/>
      <c r="F70" s="51" t="n"/>
      <c r="G70" s="51" t="n"/>
      <c r="H70" s="51" t="n"/>
      <c r="I70" s="51" t="n"/>
      <c r="J70" s="51" t="n"/>
    </row>
    <row r="71">
      <c r="B71" s="51" t="n"/>
      <c r="C71" s="51" t="n"/>
      <c r="D71" s="51" t="n"/>
      <c r="E71" s="51" t="n"/>
      <c r="F71" s="51" t="n"/>
      <c r="G71" s="51" t="n"/>
      <c r="H71" s="51" t="n"/>
      <c r="I71" s="51" t="n"/>
      <c r="J71" s="51" t="n"/>
    </row>
    <row r="72">
      <c r="B72" s="51" t="n"/>
      <c r="C72" s="51" t="n"/>
      <c r="D72" s="51" t="n"/>
      <c r="E72" s="51" t="n"/>
      <c r="F72" s="51" t="n"/>
      <c r="G72" s="51" t="n"/>
      <c r="H72" s="51" t="n"/>
      <c r="I72" s="51" t="n"/>
      <c r="J72" s="51" t="n"/>
    </row>
    <row r="73">
      <c r="B73" s="51" t="n"/>
      <c r="C73" s="51" t="n"/>
      <c r="D73" s="51" t="n"/>
      <c r="E73" s="51" t="n"/>
      <c r="F73" s="51" t="n"/>
      <c r="G73" s="51" t="n"/>
      <c r="H73" s="51" t="n"/>
      <c r="I73" s="51" t="n"/>
      <c r="J73" s="51" t="n"/>
    </row>
    <row r="74">
      <c r="B74" s="51" t="n"/>
      <c r="C74" s="51" t="n"/>
      <c r="D74" s="51" t="n"/>
      <c r="E74" s="51" t="n"/>
      <c r="F74" s="51" t="n"/>
      <c r="G74" s="51" t="n"/>
      <c r="H74" s="51" t="n"/>
      <c r="I74" s="51" t="n"/>
      <c r="J74" s="51" t="n"/>
    </row>
    <row r="75">
      <c r="B75" s="51" t="n"/>
      <c r="C75" s="51" t="n"/>
      <c r="D75" s="51" t="n"/>
      <c r="E75" s="51" t="n"/>
      <c r="F75" s="51" t="n"/>
      <c r="G75" s="51" t="n"/>
      <c r="H75" s="51" t="n"/>
      <c r="I75" s="51" t="n"/>
      <c r="J75" s="51" t="n"/>
    </row>
    <row r="76">
      <c r="B76" s="51" t="n"/>
      <c r="C76" s="51" t="n"/>
      <c r="D76" s="51" t="n"/>
      <c r="E76" s="51" t="n"/>
      <c r="F76" s="51" t="n"/>
      <c r="G76" s="51" t="n"/>
      <c r="H76" s="51" t="n"/>
      <c r="I76" s="51" t="n"/>
      <c r="J76" s="51" t="n"/>
    </row>
    <row r="77">
      <c r="B77" s="51" t="n"/>
      <c r="C77" s="51" t="n"/>
      <c r="D77" s="51" t="n"/>
      <c r="E77" s="51" t="n"/>
      <c r="F77" s="51" t="n"/>
      <c r="G77" s="51" t="n"/>
      <c r="H77" s="51" t="n"/>
      <c r="I77" s="51" t="n"/>
      <c r="J77" s="51" t="n"/>
    </row>
    <row r="78">
      <c r="B78" s="51" t="n"/>
      <c r="C78" s="51" t="n"/>
      <c r="D78" s="51" t="n"/>
      <c r="E78" s="51" t="n"/>
      <c r="F78" s="51" t="n"/>
      <c r="G78" s="51" t="n"/>
      <c r="H78" s="51" t="n"/>
      <c r="I78" s="51" t="n"/>
      <c r="J78" s="51" t="n"/>
    </row>
    <row r="79">
      <c r="B79" s="51" t="n"/>
      <c r="C79" s="51" t="n"/>
      <c r="D79" s="51" t="n"/>
      <c r="E79" s="51" t="n"/>
      <c r="F79" s="51" t="n"/>
      <c r="G79" s="51" t="n"/>
      <c r="H79" s="51" t="n"/>
      <c r="I79" s="51" t="n"/>
      <c r="J79" s="51" t="n"/>
    </row>
    <row r="80">
      <c r="B80" s="51" t="n"/>
      <c r="C80" s="51" t="n"/>
      <c r="D80" s="51" t="n"/>
      <c r="E80" s="51" t="n"/>
      <c r="F80" s="51" t="n"/>
      <c r="G80" s="51" t="n"/>
      <c r="H80" s="51" t="n"/>
      <c r="I80" s="51" t="n"/>
      <c r="J80" s="51" t="n"/>
    </row>
    <row r="81">
      <c r="B81" s="51" t="n"/>
      <c r="C81" s="51" t="n"/>
      <c r="D81" s="51" t="n"/>
      <c r="E81" s="51" t="n"/>
      <c r="F81" s="51" t="n"/>
      <c r="G81" s="51" t="n"/>
      <c r="H81" s="51" t="n"/>
      <c r="I81" s="51" t="n"/>
      <c r="J81" s="51" t="n"/>
    </row>
    <row r="82">
      <c r="B82" s="51" t="n"/>
      <c r="C82" s="51" t="n"/>
      <c r="D82" s="51" t="n"/>
      <c r="E82" s="51" t="n"/>
      <c r="F82" s="51" t="n"/>
      <c r="G82" s="51" t="n"/>
      <c r="H82" s="51" t="n"/>
      <c r="I82" s="51" t="n"/>
      <c r="J82" s="51" t="n"/>
    </row>
    <row r="83">
      <c r="B83" s="51" t="n"/>
      <c r="C83" s="51" t="n"/>
      <c r="D83" s="51" t="n"/>
      <c r="E83" s="51" t="n"/>
      <c r="F83" s="51" t="n"/>
      <c r="G83" s="51" t="n"/>
      <c r="H83" s="51" t="n"/>
      <c r="I83" s="51" t="n"/>
      <c r="J83" s="51" t="n"/>
    </row>
    <row r="84">
      <c r="B84" s="51" t="n"/>
      <c r="C84" s="51" t="n"/>
      <c r="D84" s="51" t="n"/>
      <c r="E84" s="51" t="n"/>
      <c r="F84" s="51" t="n"/>
      <c r="G84" s="51" t="n"/>
      <c r="H84" s="51" t="n"/>
      <c r="I84" s="51" t="n"/>
      <c r="J84" s="51" t="n"/>
    </row>
    <row r="85">
      <c r="B85" s="51" t="n"/>
      <c r="C85" s="51" t="n"/>
      <c r="D85" s="51" t="n"/>
      <c r="E85" s="51" t="n"/>
      <c r="F85" s="51" t="n"/>
      <c r="G85" s="51" t="n"/>
      <c r="H85" s="51" t="n"/>
      <c r="I85" s="51" t="n"/>
      <c r="J85" s="51" t="n"/>
    </row>
    <row r="86">
      <c r="B86" s="51" t="n"/>
      <c r="C86" s="51" t="n"/>
      <c r="D86" s="51" t="n"/>
      <c r="E86" s="51" t="n"/>
      <c r="F86" s="51" t="n"/>
      <c r="G86" s="51" t="n"/>
      <c r="H86" s="51" t="n"/>
      <c r="I86" s="51" t="n"/>
      <c r="J86" s="51" t="n"/>
    </row>
    <row r="87">
      <c r="B87" s="51" t="n"/>
      <c r="C87" s="51" t="n"/>
      <c r="D87" s="51" t="n"/>
      <c r="E87" s="51" t="n"/>
      <c r="F87" s="51" t="n"/>
      <c r="G87" s="51" t="n"/>
      <c r="H87" s="51" t="n"/>
      <c r="I87" s="51" t="n"/>
      <c r="J87" s="51" t="n"/>
    </row>
    <row r="88">
      <c r="B88" s="51" t="n"/>
      <c r="C88" s="51" t="n"/>
      <c r="D88" s="51" t="n"/>
      <c r="E88" s="51" t="n"/>
      <c r="F88" s="51" t="n"/>
      <c r="G88" s="51" t="n"/>
      <c r="H88" s="51" t="n"/>
      <c r="I88" s="51" t="n"/>
      <c r="J88" s="51" t="n"/>
    </row>
    <row r="89">
      <c r="B89" s="51" t="n"/>
      <c r="C89" s="51" t="n"/>
      <c r="D89" s="51" t="n"/>
      <c r="E89" s="51" t="n"/>
      <c r="F89" s="51" t="n"/>
      <c r="G89" s="51" t="n"/>
      <c r="H89" s="51" t="n"/>
      <c r="I89" s="51" t="n"/>
      <c r="J89" s="51" t="n"/>
    </row>
    <row r="90">
      <c r="B90" s="51" t="n"/>
      <c r="C90" s="51" t="n"/>
      <c r="D90" s="51" t="n"/>
      <c r="E90" s="51" t="n"/>
      <c r="F90" s="51" t="n"/>
      <c r="G90" s="51" t="n"/>
      <c r="H90" s="51" t="n"/>
      <c r="I90" s="51" t="n"/>
      <c r="J90" s="51" t="n"/>
    </row>
    <row r="91">
      <c r="B91" s="51" t="n"/>
      <c r="C91" s="51" t="n"/>
      <c r="D91" s="51" t="n"/>
      <c r="E91" s="51" t="n"/>
      <c r="F91" s="51" t="n"/>
      <c r="G91" s="51" t="n"/>
      <c r="H91" s="51" t="n"/>
      <c r="I91" s="51" t="n"/>
      <c r="J91" s="51" t="n"/>
    </row>
    <row r="92">
      <c r="B92" s="51" t="n"/>
      <c r="C92" s="51" t="n"/>
      <c r="D92" s="51" t="n"/>
      <c r="E92" s="51" t="n"/>
      <c r="F92" s="51" t="n"/>
      <c r="G92" s="51" t="n"/>
      <c r="H92" s="51" t="n"/>
      <c r="I92" s="51" t="n"/>
      <c r="J92" s="51" t="n"/>
    </row>
    <row r="93">
      <c r="B93" s="51" t="n"/>
      <c r="C93" s="51" t="n"/>
      <c r="D93" s="51" t="n"/>
      <c r="E93" s="51" t="n"/>
      <c r="F93" s="51" t="n"/>
      <c r="G93" s="51" t="n"/>
      <c r="H93" s="51" t="n"/>
      <c r="I93" s="51" t="n"/>
      <c r="J93" s="51" t="n"/>
    </row>
    <row r="94">
      <c r="B94" s="51" t="n"/>
      <c r="C94" s="51" t="n"/>
      <c r="D94" s="51" t="n"/>
      <c r="E94" s="51" t="n"/>
      <c r="F94" s="51" t="n"/>
      <c r="G94" s="51" t="n"/>
      <c r="H94" s="51" t="n"/>
      <c r="I94" s="51" t="n"/>
      <c r="J94" s="51" t="n"/>
    </row>
    <row r="95">
      <c r="B95" s="51" t="n"/>
      <c r="C95" s="51" t="n"/>
      <c r="D95" s="51" t="n"/>
      <c r="E95" s="51" t="n"/>
      <c r="F95" s="51" t="n"/>
      <c r="G95" s="51" t="n"/>
      <c r="H95" s="51" t="n"/>
      <c r="I95" s="51" t="n"/>
      <c r="J95" s="51" t="n"/>
    </row>
    <row r="96">
      <c r="B96" s="51" t="n"/>
      <c r="C96" s="51" t="n"/>
      <c r="D96" s="51" t="n"/>
      <c r="E96" s="51" t="n"/>
      <c r="F96" s="51" t="n"/>
      <c r="G96" s="51" t="n"/>
      <c r="H96" s="51" t="n"/>
      <c r="I96" s="51" t="n"/>
      <c r="J96" s="51" t="n"/>
    </row>
    <row r="97">
      <c r="B97" s="51" t="n"/>
      <c r="C97" s="51" t="n"/>
      <c r="D97" s="51" t="n"/>
      <c r="E97" s="51" t="n"/>
      <c r="F97" s="51" t="n"/>
      <c r="G97" s="51" t="n"/>
      <c r="H97" s="51" t="n"/>
      <c r="I97" s="51" t="n"/>
      <c r="J97" s="51" t="n"/>
    </row>
    <row r="98">
      <c r="B98" s="51" t="n"/>
      <c r="C98" s="51" t="n"/>
      <c r="D98" s="51" t="n"/>
      <c r="E98" s="51" t="n"/>
      <c r="F98" s="51" t="n"/>
      <c r="G98" s="51" t="n"/>
      <c r="H98" s="51" t="n"/>
      <c r="I98" s="51" t="n"/>
      <c r="J98" s="51" t="n"/>
    </row>
    <row r="99">
      <c r="B99" s="51" t="n"/>
      <c r="C99" s="51" t="n"/>
      <c r="D99" s="51" t="n"/>
      <c r="E99" s="51" t="n"/>
      <c r="F99" s="51" t="n"/>
      <c r="G99" s="51" t="n"/>
      <c r="H99" s="51" t="n"/>
      <c r="I99" s="51" t="n"/>
      <c r="J99" s="51" t="n"/>
    </row>
    <row r="100">
      <c r="B100" s="51" t="n"/>
      <c r="C100" s="51" t="n"/>
      <c r="D100" s="51" t="n"/>
      <c r="E100" s="51" t="n"/>
      <c r="F100" s="51" t="n"/>
      <c r="G100" s="51" t="n"/>
      <c r="H100" s="51" t="n"/>
      <c r="I100" s="51" t="n"/>
      <c r="J100" s="51" t="n"/>
    </row>
    <row r="101">
      <c r="B101" s="51" t="n"/>
      <c r="C101" s="51" t="n"/>
      <c r="D101" s="51" t="n"/>
      <c r="E101" s="51" t="n"/>
      <c r="F101" s="51" t="n"/>
      <c r="G101" s="51" t="n"/>
      <c r="H101" s="51" t="n"/>
      <c r="I101" s="51" t="n"/>
      <c r="J101" s="51" t="n"/>
    </row>
    <row r="102">
      <c r="B102" s="51" t="n"/>
      <c r="C102" s="51" t="n"/>
      <c r="D102" s="51" t="n"/>
      <c r="E102" s="51" t="n"/>
      <c r="F102" s="51" t="n"/>
      <c r="G102" s="51" t="n"/>
      <c r="H102" s="51" t="n"/>
      <c r="I102" s="51" t="n"/>
      <c r="J102" s="51" t="n"/>
    </row>
    <row r="103">
      <c r="B103" s="51" t="n"/>
      <c r="C103" s="51" t="n"/>
      <c r="D103" s="51" t="n"/>
      <c r="E103" s="51" t="n"/>
      <c r="F103" s="51" t="n"/>
      <c r="G103" s="51" t="n"/>
      <c r="H103" s="51" t="n"/>
      <c r="I103" s="51" t="n"/>
      <c r="J103" s="51" t="n"/>
    </row>
    <row r="104">
      <c r="B104" s="51" t="n"/>
      <c r="C104" s="51" t="n"/>
      <c r="D104" s="51" t="n"/>
      <c r="E104" s="51" t="n"/>
      <c r="F104" s="51" t="n"/>
      <c r="G104" s="51" t="n"/>
      <c r="H104" s="51" t="n"/>
      <c r="I104" s="51" t="n"/>
      <c r="J104" s="51" t="n"/>
    </row>
    <row r="105">
      <c r="B105" s="51" t="n"/>
      <c r="C105" s="51" t="n"/>
      <c r="D105" s="51" t="n"/>
      <c r="E105" s="51" t="n"/>
      <c r="F105" s="51" t="n"/>
      <c r="G105" s="51" t="n"/>
      <c r="H105" s="51" t="n"/>
      <c r="I105" s="51" t="n"/>
      <c r="J105" s="51" t="n"/>
    </row>
    <row r="106">
      <c r="B106" s="51" t="n"/>
      <c r="C106" s="51" t="n"/>
      <c r="D106" s="51" t="n"/>
      <c r="E106" s="51" t="n"/>
      <c r="F106" s="51" t="n"/>
      <c r="G106" s="51" t="n"/>
      <c r="H106" s="51" t="n"/>
      <c r="I106" s="51" t="n"/>
      <c r="J106" s="51" t="n"/>
    </row>
    <row r="107">
      <c r="B107" s="51" t="n"/>
      <c r="C107" s="51" t="n"/>
      <c r="D107" s="51" t="n"/>
      <c r="E107" s="51" t="n"/>
      <c r="F107" s="51" t="n"/>
      <c r="G107" s="51" t="n"/>
      <c r="H107" s="51" t="n"/>
      <c r="I107" s="51" t="n"/>
      <c r="J107" s="51" t="n"/>
    </row>
    <row r="108">
      <c r="B108" s="51" t="n"/>
      <c r="C108" s="51" t="n"/>
      <c r="D108" s="51" t="n"/>
      <c r="E108" s="51" t="n"/>
      <c r="F108" s="51" t="n"/>
      <c r="G108" s="51" t="n"/>
      <c r="H108" s="51" t="n"/>
      <c r="I108" s="51" t="n"/>
      <c r="J108" s="51" t="n"/>
    </row>
    <row r="109">
      <c r="B109" s="51" t="n"/>
      <c r="C109" s="51" t="n"/>
      <c r="D109" s="51" t="n"/>
      <c r="E109" s="51" t="n"/>
      <c r="F109" s="51" t="n"/>
      <c r="G109" s="51" t="n"/>
      <c r="H109" s="51" t="n"/>
      <c r="I109" s="51" t="n"/>
      <c r="J109" s="51" t="n"/>
    </row>
    <row r="110">
      <c r="B110" s="51" t="n"/>
      <c r="C110" s="51" t="n"/>
      <c r="D110" s="51" t="n"/>
      <c r="E110" s="51" t="n"/>
      <c r="F110" s="51" t="n"/>
      <c r="G110" s="51" t="n"/>
      <c r="H110" s="51" t="n"/>
      <c r="I110" s="51" t="n"/>
      <c r="J110" s="51" t="n"/>
    </row>
    <row r="111">
      <c r="B111" s="51" t="n"/>
      <c r="C111" s="51" t="n"/>
      <c r="D111" s="51" t="n"/>
      <c r="E111" s="51" t="n"/>
      <c r="F111" s="51" t="n"/>
      <c r="G111" s="51" t="n"/>
      <c r="H111" s="51" t="n"/>
      <c r="I111" s="51" t="n"/>
      <c r="J111" s="51" t="n"/>
    </row>
    <row r="112">
      <c r="B112" s="51" t="n"/>
      <c r="C112" s="51" t="n"/>
      <c r="D112" s="51" t="n"/>
      <c r="E112" s="51" t="n"/>
      <c r="F112" s="51" t="n"/>
      <c r="G112" s="51" t="n"/>
      <c r="H112" s="51" t="n"/>
      <c r="I112" s="51" t="n"/>
      <c r="J112" s="51" t="n"/>
    </row>
    <row r="113">
      <c r="B113" s="51" t="n"/>
      <c r="C113" s="51" t="n"/>
      <c r="D113" s="51" t="n"/>
      <c r="E113" s="51" t="n"/>
      <c r="F113" s="51" t="n"/>
      <c r="G113" s="51" t="n"/>
      <c r="H113" s="51" t="n"/>
      <c r="I113" s="51" t="n"/>
      <c r="J113" s="51" t="n"/>
    </row>
    <row r="114">
      <c r="B114" s="51" t="n"/>
      <c r="C114" s="51" t="n"/>
      <c r="D114" s="51" t="n"/>
      <c r="E114" s="51" t="n"/>
      <c r="F114" s="51" t="n"/>
      <c r="G114" s="51" t="n"/>
      <c r="H114" s="51" t="n"/>
      <c r="I114" s="51" t="n"/>
      <c r="J114" s="51" t="n"/>
    </row>
    <row r="115">
      <c r="B115" s="51" t="n"/>
      <c r="C115" s="51" t="n"/>
      <c r="D115" s="51" t="n"/>
      <c r="E115" s="51" t="n"/>
      <c r="F115" s="51" t="n"/>
      <c r="G115" s="51" t="n"/>
      <c r="H115" s="51" t="n"/>
      <c r="I115" s="51" t="n"/>
      <c r="J115" s="51" t="n"/>
    </row>
    <row r="116">
      <c r="B116" s="51" t="n"/>
      <c r="C116" s="51" t="n"/>
      <c r="D116" s="51" t="n"/>
      <c r="E116" s="51" t="n"/>
      <c r="F116" s="51" t="n"/>
      <c r="G116" s="51" t="n"/>
      <c r="H116" s="51" t="n"/>
      <c r="I116" s="51" t="n"/>
      <c r="J116" s="51" t="n"/>
    </row>
    <row r="117">
      <c r="B117" s="51" t="n"/>
      <c r="C117" s="51" t="n"/>
      <c r="D117" s="51" t="n"/>
      <c r="E117" s="51" t="n"/>
      <c r="F117" s="51" t="n"/>
      <c r="G117" s="51" t="n"/>
      <c r="H117" s="51" t="n"/>
      <c r="I117" s="51" t="n"/>
      <c r="J117" s="51" t="n"/>
    </row>
    <row r="118">
      <c r="B118" s="51" t="n"/>
      <c r="C118" s="51" t="n"/>
      <c r="D118" s="51" t="n"/>
      <c r="E118" s="51" t="n"/>
      <c r="F118" s="51" t="n"/>
      <c r="G118" s="51" t="n"/>
      <c r="H118" s="51" t="n"/>
      <c r="I118" s="51" t="n"/>
      <c r="J118" s="51" t="n"/>
    </row>
    <row r="119">
      <c r="B119" s="51" t="n"/>
      <c r="C119" s="51" t="n"/>
      <c r="D119" s="51" t="n"/>
      <c r="E119" s="51" t="n"/>
      <c r="F119" s="51" t="n"/>
      <c r="G119" s="51" t="n"/>
      <c r="H119" s="51" t="n"/>
      <c r="I119" s="51" t="n"/>
      <c r="J119" s="51" t="n"/>
    </row>
    <row r="120">
      <c r="B120" s="51" t="n"/>
      <c r="C120" s="51" t="n"/>
      <c r="D120" s="51" t="n"/>
      <c r="E120" s="51" t="n"/>
      <c r="F120" s="51" t="n"/>
      <c r="G120" s="51" t="n"/>
      <c r="H120" s="51" t="n"/>
      <c r="I120" s="51" t="n"/>
      <c r="J120" s="51" t="n"/>
    </row>
    <row r="121">
      <c r="B121" s="51" t="n"/>
      <c r="C121" s="51" t="n"/>
      <c r="D121" s="51" t="n"/>
      <c r="E121" s="51" t="n"/>
      <c r="F121" s="51" t="n"/>
      <c r="G121" s="51" t="n"/>
      <c r="H121" s="51" t="n"/>
      <c r="I121" s="51" t="n"/>
      <c r="J121" s="51" t="n"/>
    </row>
    <row r="122">
      <c r="B122" s="51" t="n"/>
      <c r="C122" s="51" t="n"/>
      <c r="D122" s="51" t="n"/>
      <c r="E122" s="51" t="n"/>
      <c r="F122" s="51" t="n"/>
      <c r="G122" s="51" t="n"/>
      <c r="H122" s="51" t="n"/>
      <c r="I122" s="51" t="n"/>
      <c r="J122" s="51" t="n"/>
    </row>
    <row r="123">
      <c r="B123" s="51" t="n"/>
      <c r="C123" s="51" t="n"/>
      <c r="D123" s="51" t="n"/>
      <c r="E123" s="51" t="n"/>
      <c r="F123" s="51" t="n"/>
      <c r="G123" s="51" t="n"/>
      <c r="H123" s="51" t="n"/>
      <c r="I123" s="51" t="n"/>
      <c r="J123" s="51" t="n"/>
    </row>
    <row r="124">
      <c r="B124" s="51" t="n"/>
      <c r="C124" s="51" t="n"/>
      <c r="D124" s="51" t="n"/>
      <c r="E124" s="51" t="n"/>
      <c r="F124" s="51" t="n"/>
      <c r="G124" s="51" t="n"/>
      <c r="H124" s="51" t="n"/>
      <c r="I124" s="51" t="n"/>
      <c r="J124" s="51" t="n"/>
    </row>
    <row r="125">
      <c r="B125" s="51" t="n"/>
      <c r="C125" s="51" t="n"/>
      <c r="D125" s="51" t="n"/>
      <c r="E125" s="51" t="n"/>
      <c r="F125" s="51" t="n"/>
      <c r="G125" s="51" t="n"/>
      <c r="H125" s="51" t="n"/>
      <c r="I125" s="51" t="n"/>
      <c r="J125" s="51" t="n"/>
    </row>
    <row r="126">
      <c r="B126" s="51" t="n"/>
      <c r="C126" s="51" t="n"/>
      <c r="D126" s="51" t="n"/>
      <c r="E126" s="51" t="n"/>
      <c r="F126" s="51" t="n"/>
      <c r="G126" s="51" t="n"/>
      <c r="H126" s="51" t="n"/>
      <c r="I126" s="51" t="n"/>
      <c r="J126" s="51" t="n"/>
    </row>
    <row r="127">
      <c r="B127" s="51" t="n"/>
      <c r="C127" s="51" t="n"/>
      <c r="D127" s="51" t="n"/>
      <c r="E127" s="51" t="n"/>
      <c r="F127" s="51" t="n"/>
      <c r="G127" s="51" t="n"/>
      <c r="H127" s="51" t="n"/>
      <c r="I127" s="51" t="n"/>
      <c r="J127" s="51" t="n"/>
    </row>
    <row r="128">
      <c r="B128" s="51" t="n"/>
      <c r="C128" s="51" t="n"/>
      <c r="D128" s="51" t="n"/>
      <c r="E128" s="51" t="n"/>
      <c r="F128" s="51" t="n"/>
      <c r="G128" s="51" t="n"/>
      <c r="H128" s="51" t="n"/>
      <c r="I128" s="51" t="n"/>
      <c r="J128" s="51" t="n"/>
    </row>
    <row r="129">
      <c r="B129" s="51" t="n"/>
      <c r="C129" s="51" t="n"/>
      <c r="D129" s="51" t="n"/>
      <c r="E129" s="51" t="n"/>
      <c r="F129" s="51" t="n"/>
      <c r="G129" s="51" t="n"/>
      <c r="H129" s="51" t="n"/>
      <c r="I129" s="51" t="n"/>
      <c r="J129" s="51" t="n"/>
    </row>
    <row r="130">
      <c r="B130" s="51" t="n"/>
      <c r="C130" s="51" t="n"/>
      <c r="D130" s="51" t="n"/>
      <c r="E130" s="51" t="n"/>
      <c r="F130" s="51" t="n"/>
      <c r="G130" s="51" t="n"/>
      <c r="H130" s="51" t="n"/>
      <c r="I130" s="51" t="n"/>
      <c r="J130" s="51" t="n"/>
    </row>
    <row r="131">
      <c r="B131" s="51" t="n"/>
      <c r="C131" s="51" t="n"/>
      <c r="D131" s="51" t="n"/>
      <c r="E131" s="51" t="n"/>
      <c r="F131" s="51" t="n"/>
      <c r="G131" s="51" t="n"/>
      <c r="H131" s="51" t="n"/>
      <c r="I131" s="51" t="n"/>
      <c r="J131" s="51" t="n"/>
    </row>
    <row r="132">
      <c r="B132" s="51" t="n"/>
      <c r="C132" s="51" t="n"/>
      <c r="D132" s="51" t="n"/>
      <c r="E132" s="51" t="n"/>
      <c r="F132" s="51" t="n"/>
      <c r="G132" s="51" t="n"/>
      <c r="H132" s="51" t="n"/>
      <c r="I132" s="51" t="n"/>
      <c r="J132" s="51" t="n"/>
    </row>
    <row r="133">
      <c r="B133" s="51" t="n"/>
      <c r="C133" s="51" t="n"/>
      <c r="D133" s="51" t="n"/>
      <c r="E133" s="51" t="n"/>
      <c r="F133" s="51" t="n"/>
      <c r="G133" s="51" t="n"/>
      <c r="H133" s="51" t="n"/>
      <c r="I133" s="51" t="n"/>
      <c r="J133" s="51" t="n"/>
    </row>
    <row r="134">
      <c r="B134" s="51" t="n"/>
      <c r="C134" s="51" t="n"/>
      <c r="D134" s="51" t="n"/>
      <c r="E134" s="51" t="n"/>
      <c r="F134" s="51" t="n"/>
      <c r="G134" s="51" t="n"/>
      <c r="H134" s="51" t="n"/>
      <c r="I134" s="51" t="n"/>
      <c r="J134" s="51" t="n"/>
    </row>
    <row r="135">
      <c r="B135" s="51" t="n"/>
      <c r="C135" s="51" t="n"/>
      <c r="D135" s="51" t="n"/>
      <c r="E135" s="51" t="n"/>
      <c r="F135" s="51" t="n"/>
      <c r="G135" s="51" t="n"/>
      <c r="H135" s="51" t="n"/>
      <c r="I135" s="51" t="n"/>
      <c r="J135" s="51" t="n"/>
    </row>
    <row r="136">
      <c r="B136" s="51" t="n"/>
      <c r="C136" s="51" t="n"/>
      <c r="D136" s="51" t="n"/>
      <c r="E136" s="51" t="n"/>
      <c r="F136" s="51" t="n"/>
      <c r="G136" s="51" t="n"/>
      <c r="H136" s="51" t="n"/>
      <c r="I136" s="51" t="n"/>
      <c r="J136" s="51" t="n"/>
    </row>
    <row r="137">
      <c r="B137" s="51" t="n"/>
      <c r="C137" s="51" t="n"/>
      <c r="D137" s="51" t="n"/>
      <c r="E137" s="51" t="n"/>
      <c r="F137" s="51" t="n"/>
      <c r="G137" s="51" t="n"/>
      <c r="H137" s="51" t="n"/>
      <c r="I137" s="51" t="n"/>
      <c r="J137" s="51" t="n"/>
    </row>
    <row r="138">
      <c r="B138" s="51" t="n"/>
      <c r="C138" s="51" t="n"/>
      <c r="D138" s="51" t="n"/>
      <c r="E138" s="51" t="n"/>
      <c r="F138" s="51" t="n"/>
      <c r="G138" s="51" t="n"/>
      <c r="H138" s="51" t="n"/>
      <c r="I138" s="51" t="n"/>
      <c r="J138" s="51" t="n"/>
    </row>
    <row r="139">
      <c r="B139" s="51" t="n"/>
      <c r="C139" s="51" t="n"/>
      <c r="D139" s="51" t="n"/>
      <c r="E139" s="51" t="n"/>
      <c r="F139" s="51" t="n"/>
      <c r="G139" s="51" t="n"/>
      <c r="H139" s="51" t="n"/>
      <c r="I139" s="51" t="n"/>
      <c r="J139" s="51" t="n"/>
    </row>
    <row r="140">
      <c r="B140" s="51" t="n"/>
      <c r="C140" s="51" t="n"/>
      <c r="D140" s="51" t="n"/>
      <c r="E140" s="51" t="n"/>
      <c r="F140" s="51" t="n"/>
      <c r="G140" s="51" t="n"/>
      <c r="H140" s="51" t="n"/>
      <c r="I140" s="51" t="n"/>
      <c r="J140" s="51" t="n"/>
    </row>
    <row r="141">
      <c r="B141" s="51" t="n"/>
      <c r="C141" s="51" t="n"/>
      <c r="D141" s="51" t="n"/>
      <c r="E141" s="51" t="n"/>
      <c r="F141" s="51" t="n"/>
      <c r="G141" s="51" t="n"/>
      <c r="H141" s="51" t="n"/>
      <c r="I141" s="51" t="n"/>
      <c r="J141" s="51" t="n"/>
    </row>
    <row r="142">
      <c r="B142" s="51" t="n"/>
      <c r="C142" s="51" t="n"/>
      <c r="D142" s="51" t="n"/>
      <c r="E142" s="51" t="n"/>
      <c r="F142" s="51" t="n"/>
      <c r="G142" s="51" t="n"/>
      <c r="H142" s="51" t="n"/>
      <c r="I142" s="51" t="n"/>
      <c r="J142" s="51" t="n"/>
    </row>
    <row r="143">
      <c r="B143" s="51" t="n"/>
      <c r="C143" s="51" t="n"/>
      <c r="D143" s="51" t="n"/>
      <c r="E143" s="51" t="n"/>
      <c r="F143" s="51" t="n"/>
      <c r="G143" s="51" t="n"/>
      <c r="H143" s="51" t="n"/>
      <c r="I143" s="51" t="n"/>
      <c r="J143" s="51" t="n"/>
    </row>
    <row r="144">
      <c r="B144" s="51" t="n"/>
      <c r="C144" s="51" t="n"/>
      <c r="D144" s="51" t="n"/>
      <c r="E144" s="51" t="n"/>
      <c r="F144" s="51" t="n"/>
      <c r="G144" s="51" t="n"/>
      <c r="H144" s="51" t="n"/>
      <c r="I144" s="51" t="n"/>
      <c r="J144" s="51" t="n"/>
    </row>
    <row r="145">
      <c r="B145" s="51" t="n"/>
      <c r="C145" s="51" t="n"/>
      <c r="D145" s="51" t="n"/>
      <c r="E145" s="51" t="n"/>
      <c r="F145" s="51" t="n"/>
      <c r="G145" s="51" t="n"/>
      <c r="H145" s="51" t="n"/>
      <c r="I145" s="51" t="n"/>
      <c r="J145" s="51" t="n"/>
    </row>
    <row r="146">
      <c r="B146" s="51" t="n"/>
      <c r="C146" s="51" t="n"/>
      <c r="D146" s="51" t="n"/>
      <c r="E146" s="51" t="n"/>
      <c r="F146" s="51" t="n"/>
      <c r="G146" s="51" t="n"/>
      <c r="H146" s="51" t="n"/>
      <c r="I146" s="51" t="n"/>
      <c r="J146" s="51" t="n"/>
    </row>
    <row r="147">
      <c r="B147" s="51" t="n"/>
      <c r="C147" s="51" t="n"/>
      <c r="D147" s="51" t="n"/>
      <c r="E147" s="51" t="n"/>
      <c r="F147" s="51" t="n"/>
      <c r="G147" s="51" t="n"/>
      <c r="H147" s="51" t="n"/>
      <c r="I147" s="51" t="n"/>
      <c r="J147" s="51" t="n"/>
    </row>
    <row r="148">
      <c r="B148" s="51" t="n"/>
      <c r="C148" s="51" t="n"/>
      <c r="D148" s="51" t="n"/>
      <c r="E148" s="51" t="n"/>
      <c r="F148" s="51" t="n"/>
      <c r="G148" s="51" t="n"/>
      <c r="H148" s="51" t="n"/>
      <c r="I148" s="51" t="n"/>
      <c r="J148" s="51" t="n"/>
    </row>
    <row r="149">
      <c r="B149" s="51" t="n"/>
      <c r="C149" s="51" t="n"/>
      <c r="D149" s="51" t="n"/>
      <c r="E149" s="51" t="n"/>
      <c r="F149" s="51" t="n"/>
      <c r="G149" s="51" t="n"/>
      <c r="H149" s="51" t="n"/>
      <c r="I149" s="51" t="n"/>
      <c r="J149" s="51" t="n"/>
    </row>
    <row r="150">
      <c r="B150" s="51" t="n"/>
      <c r="C150" s="51" t="n"/>
      <c r="D150" s="51" t="n"/>
      <c r="E150" s="51" t="n"/>
      <c r="F150" s="51" t="n"/>
      <c r="G150" s="51" t="n"/>
      <c r="H150" s="51" t="n"/>
      <c r="I150" s="51" t="n"/>
      <c r="J150" s="51" t="n"/>
    </row>
    <row r="151">
      <c r="B151" s="51" t="n"/>
      <c r="C151" s="51" t="n"/>
      <c r="D151" s="51" t="n"/>
      <c r="E151" s="51" t="n"/>
      <c r="F151" s="51" t="n"/>
      <c r="G151" s="51" t="n"/>
      <c r="H151" s="51" t="n"/>
      <c r="I151" s="51" t="n"/>
      <c r="J151" s="51" t="n"/>
    </row>
    <row r="152">
      <c r="B152" s="51" t="n"/>
      <c r="C152" s="51" t="n"/>
      <c r="D152" s="51" t="n"/>
      <c r="E152" s="51" t="n"/>
      <c r="F152" s="51" t="n"/>
      <c r="G152" s="51" t="n"/>
      <c r="H152" s="51" t="n"/>
      <c r="I152" s="51" t="n"/>
      <c r="J152" s="51" t="n"/>
    </row>
    <row r="153">
      <c r="B153" s="51" t="n"/>
      <c r="C153" s="51" t="n"/>
      <c r="D153" s="51" t="n"/>
      <c r="E153" s="51" t="n"/>
      <c r="F153" s="51" t="n"/>
      <c r="G153" s="51" t="n"/>
      <c r="H153" s="51" t="n"/>
      <c r="I153" s="51" t="n"/>
      <c r="J153" s="51" t="n"/>
    </row>
    <row r="154">
      <c r="B154" s="51" t="n"/>
      <c r="C154" s="51" t="n"/>
      <c r="D154" s="51" t="n"/>
      <c r="E154" s="51" t="n"/>
      <c r="F154" s="51" t="n"/>
      <c r="G154" s="51" t="n"/>
      <c r="H154" s="51" t="n"/>
      <c r="I154" s="51" t="n"/>
      <c r="J154" s="51" t="n"/>
    </row>
    <row r="155">
      <c r="B155" s="51" t="n"/>
      <c r="C155" s="51" t="n"/>
      <c r="D155" s="51" t="n"/>
      <c r="E155" s="51" t="n"/>
      <c r="F155" s="51" t="n"/>
      <c r="G155" s="51" t="n"/>
      <c r="H155" s="51" t="n"/>
      <c r="I155" s="51" t="n"/>
      <c r="J155" s="51" t="n"/>
    </row>
    <row r="156">
      <c r="B156" s="51" t="n"/>
      <c r="C156" s="51" t="n"/>
      <c r="D156" s="51" t="n"/>
      <c r="E156" s="51" t="n"/>
      <c r="F156" s="51" t="n"/>
      <c r="G156" s="51" t="n"/>
      <c r="H156" s="51" t="n"/>
      <c r="I156" s="51" t="n"/>
      <c r="J156" s="51" t="n"/>
    </row>
    <row r="157">
      <c r="B157" s="51" t="n"/>
      <c r="C157" s="51" t="n"/>
      <c r="D157" s="51" t="n"/>
      <c r="E157" s="51" t="n"/>
      <c r="F157" s="51" t="n"/>
      <c r="G157" s="51" t="n"/>
      <c r="H157" s="51" t="n"/>
      <c r="I157" s="51" t="n"/>
      <c r="J157" s="51" t="n"/>
    </row>
    <row r="158">
      <c r="B158" s="51" t="n"/>
      <c r="C158" s="51" t="n"/>
      <c r="D158" s="51" t="n"/>
      <c r="E158" s="51" t="n"/>
      <c r="F158" s="51" t="n"/>
      <c r="G158" s="51" t="n"/>
      <c r="H158" s="51" t="n"/>
      <c r="I158" s="51" t="n"/>
      <c r="J158" s="51" t="n"/>
    </row>
    <row r="159">
      <c r="B159" s="51" t="n"/>
      <c r="C159" s="51" t="n"/>
      <c r="D159" s="51" t="n"/>
      <c r="E159" s="51" t="n"/>
      <c r="F159" s="51" t="n"/>
      <c r="G159" s="51" t="n"/>
      <c r="H159" s="51" t="n"/>
      <c r="I159" s="51" t="n"/>
      <c r="J159" s="51" t="n"/>
    </row>
    <row r="160">
      <c r="B160" s="51" t="n"/>
      <c r="C160" s="51" t="n"/>
      <c r="D160" s="51" t="n"/>
      <c r="E160" s="51" t="n"/>
      <c r="F160" s="51" t="n"/>
      <c r="G160" s="51" t="n"/>
      <c r="H160" s="51" t="n"/>
      <c r="I160" s="51" t="n"/>
      <c r="J160" s="51" t="n"/>
    </row>
    <row r="161">
      <c r="B161" s="51" t="n"/>
      <c r="C161" s="51" t="n"/>
      <c r="D161" s="51" t="n"/>
      <c r="E161" s="51" t="n"/>
      <c r="F161" s="51" t="n"/>
      <c r="G161" s="51" t="n"/>
      <c r="H161" s="51" t="n"/>
      <c r="I161" s="51" t="n"/>
      <c r="J161" s="51" t="n"/>
    </row>
    <row r="162">
      <c r="B162" s="51" t="n"/>
      <c r="C162" s="51" t="n"/>
      <c r="D162" s="51" t="n"/>
      <c r="E162" s="51" t="n"/>
      <c r="F162" s="51" t="n"/>
      <c r="G162" s="51" t="n"/>
      <c r="H162" s="51" t="n"/>
      <c r="I162" s="51" t="n"/>
      <c r="J162" s="51" t="n"/>
    </row>
    <row r="163">
      <c r="B163" s="51" t="n"/>
      <c r="C163" s="51" t="n"/>
      <c r="D163" s="51" t="n"/>
      <c r="E163" s="51" t="n"/>
      <c r="F163" s="51" t="n"/>
      <c r="G163" s="51" t="n"/>
      <c r="H163" s="51" t="n"/>
      <c r="I163" s="51" t="n"/>
      <c r="J163" s="51" t="n"/>
    </row>
    <row r="164">
      <c r="B164" s="51" t="n"/>
      <c r="C164" s="51" t="n"/>
      <c r="D164" s="51" t="n"/>
      <c r="E164" s="51" t="n"/>
      <c r="F164" s="51" t="n"/>
      <c r="G164" s="51" t="n"/>
      <c r="H164" s="51" t="n"/>
      <c r="I164" s="51" t="n"/>
      <c r="J164" s="51" t="n"/>
    </row>
    <row r="165">
      <c r="B165" s="51" t="n"/>
      <c r="C165" s="51" t="n"/>
      <c r="D165" s="51" t="n"/>
      <c r="E165" s="51" t="n"/>
      <c r="F165" s="51" t="n"/>
      <c r="G165" s="51" t="n"/>
      <c r="H165" s="51" t="n"/>
      <c r="I165" s="51" t="n"/>
      <c r="J165" s="51" t="n"/>
    </row>
    <row r="166">
      <c r="B166" s="51" t="n"/>
      <c r="C166" s="51" t="n"/>
      <c r="D166" s="51" t="n"/>
      <c r="E166" s="51" t="n"/>
      <c r="F166" s="51" t="n"/>
      <c r="G166" s="51" t="n"/>
      <c r="H166" s="51" t="n"/>
      <c r="I166" s="51" t="n"/>
      <c r="J166" s="51" t="n"/>
    </row>
    <row r="167">
      <c r="B167" s="51" t="n"/>
      <c r="C167" s="51" t="n"/>
      <c r="D167" s="51" t="n"/>
      <c r="E167" s="51" t="n"/>
      <c r="F167" s="51" t="n"/>
      <c r="G167" s="51" t="n"/>
      <c r="H167" s="51" t="n"/>
      <c r="I167" s="51" t="n"/>
      <c r="J167" s="51" t="n"/>
    </row>
    <row r="168">
      <c r="B168" s="51" t="n"/>
      <c r="C168" s="51" t="n"/>
      <c r="D168" s="51" t="n"/>
      <c r="E168" s="51" t="n"/>
      <c r="F168" s="51" t="n"/>
      <c r="G168" s="51" t="n"/>
      <c r="H168" s="51" t="n"/>
      <c r="I168" s="51" t="n"/>
      <c r="J168" s="51" t="n"/>
    </row>
    <row r="169">
      <c r="B169" s="51" t="n"/>
      <c r="C169" s="51" t="n"/>
      <c r="D169" s="51" t="n"/>
      <c r="E169" s="51" t="n"/>
      <c r="F169" s="51" t="n"/>
      <c r="G169" s="51" t="n"/>
      <c r="H169" s="51" t="n"/>
      <c r="I169" s="51" t="n"/>
      <c r="J169" s="51" t="n"/>
    </row>
    <row r="170">
      <c r="B170" s="51" t="n"/>
      <c r="C170" s="51" t="n"/>
      <c r="D170" s="51" t="n"/>
      <c r="E170" s="51" t="n"/>
      <c r="F170" s="51" t="n"/>
      <c r="G170" s="51" t="n"/>
      <c r="H170" s="51" t="n"/>
      <c r="I170" s="51" t="n"/>
      <c r="J170" s="51" t="n"/>
    </row>
    <row r="171">
      <c r="B171" s="51" t="n"/>
      <c r="C171" s="51" t="n"/>
      <c r="D171" s="51" t="n"/>
      <c r="E171" s="51" t="n"/>
      <c r="F171" s="51" t="n"/>
      <c r="G171" s="51" t="n"/>
      <c r="H171" s="51" t="n"/>
      <c r="I171" s="51" t="n"/>
      <c r="J171" s="51" t="n"/>
    </row>
    <row r="172">
      <c r="B172" s="51" t="n"/>
      <c r="C172" s="51" t="n"/>
      <c r="D172" s="51" t="n"/>
      <c r="E172" s="51" t="n"/>
      <c r="F172" s="51" t="n"/>
      <c r="G172" s="51" t="n"/>
      <c r="H172" s="51" t="n"/>
      <c r="I172" s="51" t="n"/>
      <c r="J172" s="51" t="n"/>
    </row>
    <row r="173">
      <c r="B173" s="51" t="n"/>
      <c r="C173" s="51" t="n"/>
      <c r="D173" s="51" t="n"/>
      <c r="E173" s="51" t="n"/>
      <c r="F173" s="51" t="n"/>
      <c r="G173" s="51" t="n"/>
      <c r="H173" s="51" t="n"/>
      <c r="I173" s="51" t="n"/>
      <c r="J173" s="51" t="n"/>
    </row>
    <row r="174">
      <c r="B174" s="51" t="n"/>
      <c r="C174" s="51" t="n"/>
      <c r="D174" s="51" t="n"/>
      <c r="E174" s="51" t="n"/>
      <c r="F174" s="51" t="n"/>
      <c r="G174" s="51" t="n"/>
      <c r="H174" s="51" t="n"/>
      <c r="I174" s="51" t="n"/>
      <c r="J174" s="51" t="n"/>
    </row>
    <row r="175">
      <c r="B175" s="51" t="n"/>
      <c r="C175" s="51" t="n"/>
      <c r="D175" s="51" t="n"/>
      <c r="E175" s="51" t="n"/>
      <c r="F175" s="51" t="n"/>
      <c r="G175" s="51" t="n"/>
      <c r="H175" s="51" t="n"/>
      <c r="I175" s="51" t="n"/>
      <c r="J175" s="51" t="n"/>
    </row>
    <row r="176">
      <c r="B176" s="51" t="n"/>
      <c r="C176" s="51" t="n"/>
      <c r="D176" s="51" t="n"/>
      <c r="E176" s="51" t="n"/>
      <c r="F176" s="51" t="n"/>
      <c r="G176" s="51" t="n"/>
      <c r="H176" s="51" t="n"/>
      <c r="I176" s="51" t="n"/>
      <c r="J176" s="51" t="n"/>
    </row>
    <row r="177">
      <c r="B177" s="51" t="n"/>
      <c r="C177" s="51" t="n"/>
      <c r="D177" s="51" t="n"/>
      <c r="E177" s="51" t="n"/>
      <c r="F177" s="51" t="n"/>
      <c r="G177" s="51" t="n"/>
      <c r="H177" s="51" t="n"/>
      <c r="I177" s="51" t="n"/>
      <c r="J177" s="51" t="n"/>
    </row>
    <row r="178">
      <c r="B178" s="51" t="n"/>
      <c r="C178" s="51" t="n"/>
      <c r="D178" s="51" t="n"/>
      <c r="E178" s="51" t="n"/>
      <c r="F178" s="51" t="n"/>
      <c r="G178" s="51" t="n"/>
      <c r="H178" s="51" t="n"/>
      <c r="I178" s="51" t="n"/>
      <c r="J178" s="51" t="n"/>
    </row>
    <row r="179">
      <c r="B179" s="51" t="n"/>
      <c r="C179" s="51" t="n"/>
      <c r="D179" s="51" t="n"/>
      <c r="E179" s="51" t="n"/>
      <c r="F179" s="51" t="n"/>
      <c r="G179" s="51" t="n"/>
      <c r="H179" s="51" t="n"/>
      <c r="I179" s="51" t="n"/>
      <c r="J179" s="51" t="n"/>
    </row>
    <row r="180">
      <c r="B180" s="51" t="n"/>
      <c r="C180" s="51" t="n"/>
      <c r="D180" s="51" t="n"/>
      <c r="E180" s="51" t="n"/>
      <c r="F180" s="51" t="n"/>
      <c r="G180" s="51" t="n"/>
      <c r="H180" s="51" t="n"/>
      <c r="I180" s="51" t="n"/>
      <c r="J180" s="51" t="n"/>
    </row>
    <row r="181">
      <c r="B181" s="51" t="n"/>
      <c r="C181" s="51" t="n"/>
      <c r="D181" s="51" t="n"/>
      <c r="E181" s="51" t="n"/>
      <c r="F181" s="51" t="n"/>
      <c r="G181" s="51" t="n"/>
      <c r="H181" s="51" t="n"/>
      <c r="I181" s="51" t="n"/>
      <c r="J181" s="51" t="n"/>
    </row>
    <row r="182">
      <c r="B182" s="51" t="n"/>
      <c r="C182" s="51" t="n"/>
      <c r="D182" s="51" t="n"/>
      <c r="E182" s="51" t="n"/>
      <c r="F182" s="51" t="n"/>
      <c r="G182" s="51" t="n"/>
      <c r="H182" s="51" t="n"/>
      <c r="I182" s="51" t="n"/>
      <c r="J182" s="51" t="n"/>
    </row>
    <row r="183">
      <c r="B183" s="51" t="n"/>
      <c r="C183" s="51" t="n"/>
      <c r="D183" s="51" t="n"/>
      <c r="E183" s="51" t="n"/>
      <c r="F183" s="51" t="n"/>
      <c r="G183" s="51" t="n"/>
      <c r="H183" s="51" t="n"/>
      <c r="I183" s="51" t="n"/>
      <c r="J183" s="51" t="n"/>
    </row>
    <row r="184">
      <c r="B184" s="51" t="n"/>
      <c r="C184" s="51" t="n"/>
      <c r="D184" s="51" t="n"/>
      <c r="E184" s="51" t="n"/>
      <c r="F184" s="51" t="n"/>
      <c r="G184" s="51" t="n"/>
      <c r="H184" s="51" t="n"/>
      <c r="I184" s="51" t="n"/>
      <c r="J184" s="51" t="n"/>
    </row>
    <row r="185">
      <c r="B185" s="51" t="n"/>
      <c r="C185" s="51" t="n"/>
      <c r="D185" s="51" t="n"/>
      <c r="E185" s="51" t="n"/>
      <c r="F185" s="51" t="n"/>
      <c r="G185" s="51" t="n"/>
      <c r="H185" s="51" t="n"/>
      <c r="I185" s="51" t="n"/>
      <c r="J185" s="51" t="n"/>
    </row>
    <row r="186">
      <c r="B186" s="51" t="n"/>
      <c r="C186" s="51" t="n"/>
      <c r="D186" s="51" t="n"/>
      <c r="E186" s="51" t="n"/>
      <c r="F186" s="51" t="n"/>
      <c r="G186" s="51" t="n"/>
      <c r="H186" s="51" t="n"/>
      <c r="I186" s="51" t="n"/>
      <c r="J186" s="51" t="n"/>
    </row>
    <row r="187">
      <c r="B187" s="51" t="n"/>
      <c r="C187" s="51" t="n"/>
      <c r="D187" s="51" t="n"/>
      <c r="E187" s="51" t="n"/>
      <c r="F187" s="51" t="n"/>
      <c r="G187" s="51" t="n"/>
      <c r="H187" s="51" t="n"/>
      <c r="I187" s="51" t="n"/>
      <c r="J187" s="51" t="n"/>
    </row>
    <row r="188">
      <c r="B188" s="51" t="n"/>
      <c r="C188" s="51" t="n"/>
      <c r="D188" s="51" t="n"/>
      <c r="E188" s="51" t="n"/>
      <c r="F188" s="51" t="n"/>
      <c r="G188" s="51" t="n"/>
      <c r="H188" s="51" t="n"/>
      <c r="I188" s="51" t="n"/>
      <c r="J188" s="51" t="n"/>
    </row>
    <row r="189">
      <c r="B189" s="51" t="n"/>
      <c r="C189" s="51" t="n"/>
      <c r="D189" s="51" t="n"/>
      <c r="E189" s="51" t="n"/>
      <c r="F189" s="51" t="n"/>
      <c r="G189" s="51" t="n"/>
      <c r="H189" s="51" t="n"/>
      <c r="I189" s="51" t="n"/>
      <c r="J189" s="51" t="n"/>
    </row>
    <row r="190">
      <c r="B190" s="51" t="n"/>
      <c r="C190" s="51" t="n"/>
      <c r="D190" s="51" t="n"/>
      <c r="E190" s="51" t="n"/>
      <c r="F190" s="51" t="n"/>
      <c r="G190" s="51" t="n"/>
      <c r="H190" s="51" t="n"/>
      <c r="I190" s="51" t="n"/>
      <c r="J190" s="51" t="n"/>
    </row>
    <row r="191">
      <c r="B191" s="51" t="n"/>
      <c r="C191" s="51" t="n"/>
      <c r="D191" s="51" t="n"/>
      <c r="E191" s="51" t="n"/>
      <c r="F191" s="51" t="n"/>
      <c r="G191" s="51" t="n"/>
      <c r="H191" s="51" t="n"/>
      <c r="I191" s="51" t="n"/>
      <c r="J191" s="51" t="n"/>
    </row>
    <row r="192">
      <c r="B192" s="51" t="n"/>
      <c r="C192" s="51" t="n"/>
      <c r="D192" s="51" t="n"/>
      <c r="E192" s="51" t="n"/>
      <c r="F192" s="51" t="n"/>
      <c r="G192" s="51" t="n"/>
      <c r="H192" s="51" t="n"/>
      <c r="I192" s="51" t="n"/>
      <c r="J192" s="51" t="n"/>
    </row>
    <row r="193">
      <c r="B193" s="51" t="n"/>
      <c r="C193" s="51" t="n"/>
      <c r="D193" s="51" t="n"/>
      <c r="E193" s="51" t="n"/>
      <c r="F193" s="51" t="n"/>
      <c r="G193" s="51" t="n"/>
      <c r="H193" s="51" t="n"/>
      <c r="I193" s="51" t="n"/>
      <c r="J193" s="51" t="n"/>
    </row>
    <row r="194">
      <c r="B194" s="51" t="n"/>
      <c r="C194" s="51" t="n"/>
      <c r="D194" s="51" t="n"/>
      <c r="E194" s="51" t="n"/>
      <c r="F194" s="51" t="n"/>
      <c r="G194" s="51" t="n"/>
      <c r="H194" s="51" t="n"/>
      <c r="I194" s="51" t="n"/>
      <c r="J194" s="51" t="n"/>
    </row>
    <row r="195">
      <c r="B195" s="51" t="n"/>
      <c r="C195" s="51" t="n"/>
      <c r="D195" s="51" t="n"/>
      <c r="E195" s="51" t="n"/>
      <c r="F195" s="51" t="n"/>
      <c r="G195" s="51" t="n"/>
      <c r="H195" s="51" t="n"/>
      <c r="I195" s="51" t="n"/>
      <c r="J195" s="51" t="n"/>
    </row>
    <row r="196">
      <c r="B196" s="51" t="n"/>
      <c r="C196" s="51" t="n"/>
      <c r="D196" s="51" t="n"/>
      <c r="E196" s="51" t="n"/>
      <c r="F196" s="51" t="n"/>
      <c r="G196" s="51" t="n"/>
      <c r="H196" s="51" t="n"/>
      <c r="I196" s="51" t="n"/>
      <c r="J196" s="51" t="n"/>
    </row>
    <row r="197">
      <c r="B197" s="51" t="n"/>
      <c r="C197" s="51" t="n"/>
      <c r="D197" s="51" t="n"/>
      <c r="E197" s="51" t="n"/>
      <c r="F197" s="51" t="n"/>
      <c r="G197" s="51" t="n"/>
      <c r="H197" s="51" t="n"/>
      <c r="I197" s="51" t="n"/>
      <c r="J197" s="51" t="n"/>
    </row>
    <row r="198">
      <c r="B198" s="51" t="n"/>
      <c r="C198" s="51" t="n"/>
      <c r="D198" s="51" t="n"/>
      <c r="E198" s="51" t="n"/>
      <c r="F198" s="51" t="n"/>
      <c r="G198" s="51" t="n"/>
      <c r="H198" s="51" t="n"/>
      <c r="I198" s="51" t="n"/>
      <c r="J198" s="51" t="n"/>
    </row>
    <row r="199">
      <c r="B199" s="51" t="n"/>
      <c r="C199" s="51" t="n"/>
      <c r="D199" s="51" t="n"/>
      <c r="E199" s="51" t="n"/>
      <c r="F199" s="51" t="n"/>
      <c r="G199" s="51" t="n"/>
      <c r="H199" s="51" t="n"/>
      <c r="I199" s="51" t="n"/>
      <c r="J199" s="51" t="n"/>
    </row>
    <row r="200">
      <c r="B200" s="51" t="n"/>
      <c r="C200" s="51" t="n"/>
      <c r="D200" s="51" t="n"/>
      <c r="E200" s="51" t="n"/>
      <c r="F200" s="51" t="n"/>
      <c r="G200" s="51" t="n"/>
      <c r="H200" s="51" t="n"/>
      <c r="I200" s="51" t="n"/>
      <c r="J200" s="51" t="n"/>
    </row>
    <row r="201">
      <c r="B201" s="51" t="n"/>
      <c r="C201" s="51" t="n"/>
      <c r="D201" s="51" t="n"/>
      <c r="E201" s="51" t="n"/>
      <c r="F201" s="51" t="n"/>
      <c r="G201" s="51" t="n"/>
      <c r="H201" s="51" t="n"/>
      <c r="I201" s="51" t="n"/>
      <c r="J201" s="51" t="n"/>
    </row>
    <row r="202">
      <c r="B202" s="51" t="n"/>
      <c r="C202" s="51" t="n"/>
      <c r="D202" s="51" t="n"/>
      <c r="E202" s="51" t="n"/>
      <c r="F202" s="51" t="n"/>
      <c r="G202" s="51" t="n"/>
      <c r="H202" s="51" t="n"/>
      <c r="I202" s="51" t="n"/>
      <c r="J202" s="51" t="n"/>
    </row>
    <row r="203">
      <c r="B203" s="51" t="n"/>
      <c r="C203" s="51" t="n"/>
      <c r="D203" s="51" t="n"/>
      <c r="E203" s="51" t="n"/>
      <c r="F203" s="51" t="n"/>
      <c r="G203" s="51" t="n"/>
      <c r="H203" s="51" t="n"/>
      <c r="I203" s="51" t="n"/>
      <c r="J203" s="51" t="n"/>
    </row>
    <row r="204">
      <c r="B204" s="51" t="n"/>
      <c r="C204" s="51" t="n"/>
      <c r="D204" s="51" t="n"/>
      <c r="E204" s="51" t="n"/>
      <c r="F204" s="51" t="n"/>
      <c r="G204" s="51" t="n"/>
      <c r="H204" s="51" t="n"/>
      <c r="I204" s="51" t="n"/>
      <c r="J204" s="51" t="n"/>
    </row>
    <row r="205">
      <c r="B205" s="51" t="n"/>
      <c r="C205" s="51" t="n"/>
      <c r="D205" s="51" t="n"/>
      <c r="E205" s="51" t="n"/>
      <c r="F205" s="51" t="n"/>
      <c r="G205" s="51" t="n"/>
      <c r="H205" s="51" t="n"/>
      <c r="I205" s="51" t="n"/>
      <c r="J205" s="51" t="n"/>
    </row>
    <row r="206">
      <c r="B206" s="51" t="n"/>
      <c r="C206" s="51" t="n"/>
      <c r="D206" s="51" t="n"/>
      <c r="E206" s="51" t="n"/>
      <c r="F206" s="51" t="n"/>
      <c r="G206" s="51" t="n"/>
      <c r="H206" s="51" t="n"/>
      <c r="I206" s="51" t="n"/>
      <c r="J206" s="51" t="n"/>
    </row>
    <row r="207">
      <c r="B207" s="51" t="n"/>
      <c r="C207" s="51" t="n"/>
      <c r="D207" s="51" t="n"/>
      <c r="E207" s="51" t="n"/>
      <c r="F207" s="51" t="n"/>
      <c r="G207" s="51" t="n"/>
      <c r="H207" s="51" t="n"/>
      <c r="I207" s="51" t="n"/>
      <c r="J207" s="51" t="n"/>
    </row>
    <row r="208">
      <c r="B208" s="51" t="n"/>
      <c r="C208" s="51" t="n"/>
      <c r="D208" s="51" t="n"/>
      <c r="E208" s="51" t="n"/>
      <c r="F208" s="51" t="n"/>
      <c r="G208" s="51" t="n"/>
      <c r="H208" s="51" t="n"/>
      <c r="I208" s="51" t="n"/>
      <c r="J208" s="51" t="n"/>
    </row>
    <row r="209">
      <c r="B209" s="51" t="n"/>
      <c r="C209" s="51" t="n"/>
      <c r="D209" s="51" t="n"/>
      <c r="E209" s="51" t="n"/>
      <c r="F209" s="51" t="n"/>
      <c r="G209" s="51" t="n"/>
      <c r="H209" s="51" t="n"/>
      <c r="I209" s="51" t="n"/>
      <c r="J209" s="51" t="n"/>
    </row>
    <row r="210">
      <c r="B210" s="51" t="n"/>
      <c r="C210" s="51" t="n"/>
      <c r="D210" s="51" t="n"/>
      <c r="E210" s="51" t="n"/>
      <c r="F210" s="51" t="n"/>
      <c r="G210" s="51" t="n"/>
      <c r="H210" s="51" t="n"/>
      <c r="I210" s="51" t="n"/>
      <c r="J210" s="51" t="n"/>
    </row>
    <row r="211">
      <c r="B211" s="51" t="n"/>
      <c r="C211" s="51" t="n"/>
      <c r="D211" s="51" t="n"/>
      <c r="E211" s="51" t="n"/>
      <c r="F211" s="51" t="n"/>
      <c r="G211" s="51" t="n"/>
      <c r="H211" s="51" t="n"/>
      <c r="I211" s="51" t="n"/>
      <c r="J211" s="51" t="n"/>
    </row>
    <row r="212">
      <c r="B212" s="51" t="n"/>
      <c r="C212" s="51" t="n"/>
      <c r="D212" s="51" t="n"/>
      <c r="E212" s="51" t="n"/>
      <c r="F212" s="51" t="n"/>
      <c r="G212" s="51" t="n"/>
      <c r="H212" s="51" t="n"/>
      <c r="I212" s="51" t="n"/>
      <c r="J212" s="51" t="n"/>
    </row>
    <row r="213">
      <c r="B213" s="51" t="n"/>
      <c r="C213" s="51" t="n"/>
      <c r="D213" s="51" t="n"/>
      <c r="E213" s="51" t="n"/>
      <c r="F213" s="51" t="n"/>
      <c r="G213" s="51" t="n"/>
      <c r="H213" s="51" t="n"/>
      <c r="I213" s="51" t="n"/>
      <c r="J213" s="51" t="n"/>
    </row>
    <row r="214">
      <c r="B214" s="51" t="n"/>
      <c r="C214" s="51" t="n"/>
      <c r="D214" s="51" t="n"/>
      <c r="E214" s="51" t="n"/>
      <c r="F214" s="51" t="n"/>
      <c r="G214" s="51" t="n"/>
      <c r="H214" s="51" t="n"/>
      <c r="I214" s="51" t="n"/>
      <c r="J214" s="51" t="n"/>
    </row>
    <row r="215">
      <c r="B215" s="51" t="n"/>
      <c r="C215" s="51" t="n"/>
      <c r="D215" s="51" t="n"/>
      <c r="E215" s="51" t="n"/>
      <c r="F215" s="51" t="n"/>
      <c r="G215" s="51" t="n"/>
      <c r="H215" s="51" t="n"/>
      <c r="I215" s="51" t="n"/>
      <c r="J215" s="51" t="n"/>
    </row>
    <row r="216">
      <c r="B216" s="51" t="n"/>
      <c r="C216" s="51" t="n"/>
      <c r="D216" s="51" t="n"/>
      <c r="E216" s="51" t="n"/>
      <c r="F216" s="51" t="n"/>
      <c r="G216" s="51" t="n"/>
      <c r="H216" s="51" t="n"/>
      <c r="I216" s="51" t="n"/>
      <c r="J216" s="51" t="n"/>
    </row>
    <row r="217">
      <c r="B217" s="51" t="n"/>
      <c r="C217" s="51" t="n"/>
      <c r="D217" s="51" t="n"/>
      <c r="E217" s="51" t="n"/>
      <c r="F217" s="51" t="n"/>
      <c r="G217" s="51" t="n"/>
      <c r="H217" s="51" t="n"/>
      <c r="I217" s="51" t="n"/>
      <c r="J217" s="51" t="n"/>
    </row>
    <row r="218">
      <c r="B218" s="51" t="n"/>
      <c r="C218" s="51" t="n"/>
      <c r="D218" s="51" t="n"/>
      <c r="E218" s="51" t="n"/>
      <c r="F218" s="51" t="n"/>
      <c r="G218" s="51" t="n"/>
      <c r="H218" s="51" t="n"/>
      <c r="I218" s="51" t="n"/>
      <c r="J218" s="51" t="n"/>
    </row>
    <row r="219">
      <c r="B219" s="51" t="n"/>
      <c r="C219" s="51" t="n"/>
      <c r="D219" s="51" t="n"/>
      <c r="E219" s="51" t="n"/>
      <c r="F219" s="51" t="n"/>
      <c r="G219" s="51" t="n"/>
      <c r="H219" s="51" t="n"/>
      <c r="I219" s="51" t="n"/>
      <c r="J219" s="51" t="n"/>
    </row>
    <row r="220">
      <c r="B220" s="51" t="n"/>
      <c r="C220" s="51" t="n"/>
      <c r="D220" s="51" t="n"/>
      <c r="E220" s="51" t="n"/>
      <c r="F220" s="51" t="n"/>
      <c r="G220" s="51" t="n"/>
      <c r="H220" s="51" t="n"/>
      <c r="I220" s="51" t="n"/>
      <c r="J220" s="51" t="n"/>
    </row>
    <row r="221">
      <c r="B221" s="51" t="n"/>
      <c r="C221" s="51" t="n"/>
      <c r="D221" s="51" t="n"/>
      <c r="E221" s="51" t="n"/>
      <c r="F221" s="51" t="n"/>
      <c r="G221" s="51" t="n"/>
      <c r="H221" s="51" t="n"/>
      <c r="I221" s="51" t="n"/>
      <c r="J221" s="51" t="n"/>
    </row>
    <row r="222">
      <c r="B222" s="51" t="n"/>
      <c r="C222" s="51" t="n"/>
      <c r="D222" s="51" t="n"/>
      <c r="E222" s="51" t="n"/>
      <c r="F222" s="51" t="n"/>
      <c r="G222" s="51" t="n"/>
      <c r="H222" s="51" t="n"/>
      <c r="I222" s="51" t="n"/>
      <c r="J222" s="51" t="n"/>
    </row>
    <row r="223">
      <c r="B223" s="51" t="n"/>
      <c r="C223" s="51" t="n"/>
      <c r="D223" s="51" t="n"/>
      <c r="E223" s="51" t="n"/>
      <c r="F223" s="51" t="n"/>
      <c r="G223" s="51" t="n"/>
      <c r="H223" s="51" t="n"/>
      <c r="I223" s="51" t="n"/>
      <c r="J223" s="51" t="n"/>
    </row>
    <row r="224">
      <c r="B224" s="51" t="n"/>
      <c r="C224" s="51" t="n"/>
      <c r="D224" s="51" t="n"/>
      <c r="E224" s="51" t="n"/>
      <c r="F224" s="51" t="n"/>
      <c r="G224" s="51" t="n"/>
      <c r="H224" s="51" t="n"/>
      <c r="I224" s="51" t="n"/>
      <c r="J224" s="51" t="n"/>
    </row>
    <row r="225">
      <c r="B225" s="51" t="n"/>
      <c r="C225" s="51" t="n"/>
      <c r="D225" s="51" t="n"/>
      <c r="E225" s="51" t="n"/>
      <c r="F225" s="51" t="n"/>
      <c r="G225" s="51" t="n"/>
      <c r="H225" s="51" t="n"/>
      <c r="I225" s="51" t="n"/>
      <c r="J225" s="51" t="n"/>
    </row>
    <row r="226">
      <c r="B226" s="51" t="n"/>
      <c r="C226" s="51" t="n"/>
      <c r="D226" s="51" t="n"/>
      <c r="E226" s="51" t="n"/>
      <c r="F226" s="51" t="n"/>
      <c r="G226" s="51" t="n"/>
      <c r="H226" s="51" t="n"/>
      <c r="I226" s="51" t="n"/>
      <c r="J226" s="51" t="n"/>
    </row>
    <row r="227">
      <c r="B227" s="51" t="n"/>
      <c r="C227" s="51" t="n"/>
      <c r="D227" s="51" t="n"/>
      <c r="E227" s="51" t="n"/>
      <c r="F227" s="51" t="n"/>
      <c r="G227" s="51" t="n"/>
      <c r="H227" s="51" t="n"/>
      <c r="I227" s="51" t="n"/>
      <c r="J227" s="51" t="n"/>
    </row>
    <row r="228">
      <c r="B228" s="51" t="n"/>
      <c r="C228" s="51" t="n"/>
      <c r="D228" s="51" t="n"/>
      <c r="E228" s="51" t="n"/>
      <c r="F228" s="51" t="n"/>
      <c r="G228" s="51" t="n"/>
      <c r="H228" s="51" t="n"/>
      <c r="I228" s="51" t="n"/>
      <c r="J228" s="51" t="n"/>
    </row>
    <row r="229">
      <c r="B229" s="51" t="n"/>
      <c r="C229" s="51" t="n"/>
      <c r="D229" s="51" t="n"/>
      <c r="E229" s="51" t="n"/>
      <c r="F229" s="51" t="n"/>
      <c r="G229" s="51" t="n"/>
      <c r="H229" s="51" t="n"/>
      <c r="I229" s="51" t="n"/>
      <c r="J229" s="51" t="n"/>
    </row>
    <row r="230">
      <c r="B230" s="51" t="n"/>
      <c r="C230" s="51" t="n"/>
      <c r="D230" s="51" t="n"/>
      <c r="E230" s="51" t="n"/>
      <c r="F230" s="51" t="n"/>
      <c r="G230" s="51" t="n"/>
      <c r="H230" s="51" t="n"/>
      <c r="I230" s="51" t="n"/>
      <c r="J230" s="51" t="n"/>
    </row>
    <row r="231">
      <c r="B231" s="51" t="n"/>
      <c r="C231" s="51" t="n"/>
      <c r="D231" s="51" t="n"/>
      <c r="E231" s="51" t="n"/>
      <c r="F231" s="51" t="n"/>
      <c r="G231" s="51" t="n"/>
      <c r="H231" s="51" t="n"/>
      <c r="I231" s="51" t="n"/>
      <c r="J231" s="51" t="n"/>
    </row>
    <row r="232">
      <c r="B232" s="51" t="n"/>
      <c r="C232" s="51" t="n"/>
      <c r="D232" s="51" t="n"/>
      <c r="E232" s="51" t="n"/>
      <c r="F232" s="51" t="n"/>
      <c r="G232" s="51" t="n"/>
      <c r="H232" s="51" t="n"/>
      <c r="I232" s="51" t="n"/>
      <c r="J232" s="51" t="n"/>
    </row>
    <row r="233">
      <c r="B233" s="51" t="n"/>
      <c r="C233" s="51" t="n"/>
      <c r="D233" s="51" t="n"/>
      <c r="E233" s="51" t="n"/>
      <c r="F233" s="51" t="n"/>
      <c r="G233" s="51" t="n"/>
      <c r="H233" s="51" t="n"/>
      <c r="I233" s="51" t="n"/>
      <c r="J233" s="51" t="n"/>
    </row>
    <row r="234">
      <c r="B234" s="51" t="n"/>
      <c r="C234" s="51" t="n"/>
      <c r="D234" s="51" t="n"/>
      <c r="E234" s="51" t="n"/>
      <c r="F234" s="51" t="n"/>
      <c r="G234" s="51" t="n"/>
      <c r="H234" s="51" t="n"/>
      <c r="I234" s="51" t="n"/>
      <c r="J234" s="51" t="n"/>
    </row>
    <row r="235">
      <c r="B235" s="51" t="n"/>
      <c r="C235" s="51" t="n"/>
      <c r="D235" s="51" t="n"/>
      <c r="E235" s="51" t="n"/>
      <c r="F235" s="51" t="n"/>
      <c r="G235" s="51" t="n"/>
      <c r="H235" s="51" t="n"/>
      <c r="I235" s="51" t="n"/>
      <c r="J235" s="51" t="n"/>
    </row>
    <row r="236">
      <c r="B236" s="51" t="n"/>
      <c r="C236" s="51" t="n"/>
      <c r="D236" s="51" t="n"/>
      <c r="E236" s="51" t="n"/>
      <c r="F236" s="51" t="n"/>
      <c r="G236" s="51" t="n"/>
      <c r="H236" s="51" t="n"/>
      <c r="I236" s="51" t="n"/>
      <c r="J236" s="51" t="n"/>
    </row>
    <row r="237">
      <c r="B237" s="51" t="n"/>
      <c r="C237" s="51" t="n"/>
      <c r="D237" s="51" t="n"/>
      <c r="E237" s="51" t="n"/>
      <c r="F237" s="51" t="n"/>
      <c r="G237" s="51" t="n"/>
      <c r="H237" s="51" t="n"/>
      <c r="I237" s="51" t="n"/>
      <c r="J237" s="51" t="n"/>
    </row>
    <row r="238">
      <c r="B238" s="51" t="n"/>
      <c r="C238" s="51" t="n"/>
      <c r="D238" s="51" t="n"/>
      <c r="E238" s="51" t="n"/>
      <c r="F238" s="51" t="n"/>
      <c r="G238" s="51" t="n"/>
      <c r="H238" s="51" t="n"/>
      <c r="I238" s="51" t="n"/>
      <c r="J238" s="51" t="n"/>
    </row>
    <row r="239">
      <c r="B239" s="51" t="n"/>
      <c r="C239" s="51" t="n"/>
      <c r="D239" s="51" t="n"/>
      <c r="E239" s="51" t="n"/>
      <c r="F239" s="51" t="n"/>
      <c r="G239" s="51" t="n"/>
      <c r="H239" s="51" t="n"/>
      <c r="I239" s="51" t="n"/>
      <c r="J239" s="51" t="n"/>
    </row>
    <row r="240">
      <c r="B240" s="51" t="n"/>
      <c r="C240" s="51" t="n"/>
      <c r="D240" s="51" t="n"/>
      <c r="E240" s="51" t="n"/>
      <c r="F240" s="51" t="n"/>
      <c r="G240" s="51" t="n"/>
      <c r="H240" s="51" t="n"/>
      <c r="I240" s="51" t="n"/>
      <c r="J240" s="51" t="n"/>
    </row>
    <row r="241">
      <c r="B241" s="51" t="n"/>
      <c r="C241" s="51" t="n"/>
      <c r="D241" s="51" t="n"/>
      <c r="E241" s="51" t="n"/>
      <c r="F241" s="51" t="n"/>
      <c r="G241" s="51" t="n"/>
      <c r="H241" s="51" t="n"/>
      <c r="I241" s="51" t="n"/>
      <c r="J241" s="51" t="n"/>
    </row>
    <row r="242">
      <c r="B242" s="51" t="n"/>
      <c r="C242" s="51" t="n"/>
      <c r="D242" s="51" t="n"/>
      <c r="E242" s="51" t="n"/>
      <c r="F242" s="51" t="n"/>
      <c r="G242" s="51" t="n"/>
      <c r="H242" s="51" t="n"/>
      <c r="I242" s="51" t="n"/>
      <c r="J242" s="51" t="n"/>
    </row>
    <row r="243">
      <c r="B243" s="51" t="n"/>
      <c r="C243" s="51" t="n"/>
      <c r="D243" s="51" t="n"/>
      <c r="E243" s="51" t="n"/>
      <c r="F243" s="51" t="n"/>
      <c r="G243" s="51" t="n"/>
      <c r="H243" s="51" t="n"/>
      <c r="I243" s="51" t="n"/>
      <c r="J243" s="51" t="n"/>
    </row>
    <row r="244">
      <c r="B244" s="51" t="n"/>
      <c r="C244" s="51" t="n"/>
      <c r="D244" s="51" t="n"/>
      <c r="E244" s="51" t="n"/>
      <c r="F244" s="51" t="n"/>
      <c r="G244" s="51" t="n"/>
      <c r="H244" s="51" t="n"/>
      <c r="I244" s="51" t="n"/>
      <c r="J244" s="51" t="n"/>
    </row>
    <row r="245">
      <c r="B245" s="51" t="n"/>
      <c r="C245" s="51" t="n"/>
      <c r="D245" s="51" t="n"/>
      <c r="E245" s="51" t="n"/>
      <c r="F245" s="51" t="n"/>
      <c r="G245" s="51" t="n"/>
      <c r="H245" s="51" t="n"/>
      <c r="I245" s="51" t="n"/>
      <c r="J245" s="51" t="n"/>
    </row>
    <row r="246">
      <c r="B246" s="51" t="n"/>
      <c r="C246" s="51" t="n"/>
      <c r="D246" s="51" t="n"/>
      <c r="E246" s="51" t="n"/>
      <c r="F246" s="51" t="n"/>
      <c r="G246" s="51" t="n"/>
      <c r="H246" s="51" t="n"/>
      <c r="I246" s="51" t="n"/>
      <c r="J246" s="51" t="n"/>
    </row>
    <row r="247">
      <c r="B247" s="51" t="n"/>
      <c r="C247" s="51" t="n"/>
      <c r="D247" s="51" t="n"/>
      <c r="E247" s="51" t="n"/>
      <c r="F247" s="51" t="n"/>
      <c r="G247" s="51" t="n"/>
      <c r="H247" s="51" t="n"/>
      <c r="I247" s="51" t="n"/>
      <c r="J247" s="51" t="n"/>
    </row>
    <row r="248">
      <c r="B248" s="51" t="n"/>
      <c r="C248" s="51" t="n"/>
      <c r="D248" s="51" t="n"/>
      <c r="E248" s="51" t="n"/>
      <c r="F248" s="51" t="n"/>
      <c r="G248" s="51" t="n"/>
      <c r="H248" s="51" t="n"/>
      <c r="I248" s="51" t="n"/>
      <c r="J248" s="51" t="n"/>
    </row>
    <row r="249">
      <c r="B249" s="51" t="n"/>
      <c r="C249" s="51" t="n"/>
      <c r="D249" s="51" t="n"/>
      <c r="E249" s="51" t="n"/>
      <c r="F249" s="51" t="n"/>
      <c r="G249" s="51" t="n"/>
      <c r="H249" s="51" t="n"/>
      <c r="I249" s="51" t="n"/>
      <c r="J249" s="51" t="n"/>
    </row>
    <row r="250">
      <c r="B250" s="51" t="n"/>
      <c r="C250" s="51" t="n"/>
      <c r="D250" s="51" t="n"/>
      <c r="E250" s="51" t="n"/>
      <c r="F250" s="51" t="n"/>
      <c r="G250" s="51" t="n"/>
      <c r="H250" s="51" t="n"/>
      <c r="I250" s="51" t="n"/>
      <c r="J250" s="51" t="n"/>
    </row>
    <row r="251">
      <c r="B251" s="51" t="n"/>
      <c r="C251" s="51" t="n"/>
      <c r="D251" s="51" t="n"/>
      <c r="E251" s="51" t="n"/>
      <c r="F251" s="51" t="n"/>
      <c r="G251" s="51" t="n"/>
      <c r="H251" s="51" t="n"/>
      <c r="I251" s="51" t="n"/>
      <c r="J251" s="51" t="n"/>
    </row>
    <row r="252">
      <c r="B252" s="51" t="n"/>
      <c r="C252" s="51" t="n"/>
      <c r="D252" s="51" t="n"/>
      <c r="E252" s="51" t="n"/>
      <c r="F252" s="51" t="n"/>
      <c r="G252" s="51" t="n"/>
      <c r="H252" s="51" t="n"/>
      <c r="I252" s="51" t="n"/>
      <c r="J252" s="51" t="n"/>
    </row>
    <row r="253">
      <c r="B253" s="51" t="n"/>
      <c r="C253" s="51" t="n"/>
      <c r="D253" s="51" t="n"/>
      <c r="E253" s="51" t="n"/>
      <c r="F253" s="51" t="n"/>
      <c r="G253" s="51" t="n"/>
      <c r="H253" s="51" t="n"/>
      <c r="I253" s="51" t="n"/>
      <c r="J253" s="51" t="n"/>
    </row>
    <row r="254">
      <c r="B254" s="51" t="n"/>
      <c r="C254" s="51" t="n"/>
      <c r="D254" s="51" t="n"/>
      <c r="E254" s="51" t="n"/>
      <c r="F254" s="51" t="n"/>
      <c r="G254" s="51" t="n"/>
      <c r="H254" s="51" t="n"/>
      <c r="I254" s="51" t="n"/>
      <c r="J254" s="51" t="n"/>
    </row>
    <row r="255">
      <c r="B255" s="51" t="n"/>
      <c r="C255" s="51" t="n"/>
      <c r="D255" s="51" t="n"/>
      <c r="E255" s="51" t="n"/>
      <c r="F255" s="51" t="n"/>
      <c r="G255" s="51" t="n"/>
      <c r="H255" s="51" t="n"/>
      <c r="I255" s="51" t="n"/>
      <c r="J255" s="51" t="n"/>
    </row>
    <row r="256">
      <c r="B256" s="51" t="n"/>
      <c r="C256" s="51" t="n"/>
      <c r="D256" s="51" t="n"/>
      <c r="E256" s="51" t="n"/>
      <c r="F256" s="51" t="n"/>
      <c r="G256" s="51" t="n"/>
      <c r="H256" s="51" t="n"/>
      <c r="I256" s="51" t="n"/>
      <c r="J256" s="51" t="n"/>
    </row>
    <row r="257">
      <c r="B257" s="51" t="n"/>
      <c r="C257" s="51" t="n"/>
      <c r="D257" s="51" t="n"/>
      <c r="E257" s="51" t="n"/>
      <c r="F257" s="51" t="n"/>
      <c r="G257" s="51" t="n"/>
      <c r="H257" s="51" t="n"/>
      <c r="I257" s="51" t="n"/>
      <c r="J257" s="51" t="n"/>
    </row>
    <row r="258">
      <c r="B258" s="51" t="n"/>
      <c r="C258" s="51" t="n"/>
      <c r="D258" s="51" t="n"/>
      <c r="E258" s="51" t="n"/>
      <c r="F258" s="51" t="n"/>
      <c r="G258" s="51" t="n"/>
      <c r="H258" s="51" t="n"/>
      <c r="I258" s="51" t="n"/>
      <c r="J258" s="51" t="n"/>
    </row>
    <row r="259">
      <c r="B259" s="51" t="n"/>
      <c r="C259" s="51" t="n"/>
      <c r="D259" s="51" t="n"/>
      <c r="E259" s="51" t="n"/>
      <c r="F259" s="51" t="n"/>
      <c r="G259" s="51" t="n"/>
      <c r="H259" s="51" t="n"/>
      <c r="I259" s="51" t="n"/>
      <c r="J259" s="51" t="n"/>
    </row>
    <row r="260">
      <c r="B260" s="51" t="n"/>
      <c r="C260" s="51" t="n"/>
      <c r="D260" s="51" t="n"/>
      <c r="E260" s="51" t="n"/>
      <c r="F260" s="51" t="n"/>
      <c r="G260" s="51" t="n"/>
      <c r="H260" s="51" t="n"/>
      <c r="I260" s="51" t="n"/>
      <c r="J260" s="51" t="n"/>
    </row>
    <row r="261">
      <c r="B261" s="51" t="n"/>
      <c r="C261" s="51" t="n"/>
      <c r="D261" s="51" t="n"/>
      <c r="E261" s="51" t="n"/>
      <c r="F261" s="51" t="n"/>
      <c r="G261" s="51" t="n"/>
      <c r="H261" s="51" t="n"/>
      <c r="I261" s="51" t="n"/>
      <c r="J261" s="51" t="n"/>
    </row>
    <row r="262">
      <c r="B262" s="51" t="n"/>
      <c r="C262" s="51" t="n"/>
      <c r="D262" s="51" t="n"/>
      <c r="E262" s="51" t="n"/>
      <c r="F262" s="51" t="n"/>
      <c r="G262" s="51" t="n"/>
      <c r="H262" s="51" t="n"/>
      <c r="I262" s="51" t="n"/>
      <c r="J262" s="51" t="n"/>
    </row>
    <row r="263">
      <c r="B263" s="51" t="n"/>
      <c r="C263" s="51" t="n"/>
      <c r="D263" s="51" t="n"/>
      <c r="E263" s="51" t="n"/>
      <c r="F263" s="51" t="n"/>
      <c r="G263" s="51" t="n"/>
      <c r="H263" s="51" t="n"/>
      <c r="I263" s="51" t="n"/>
      <c r="J263" s="51" t="n"/>
    </row>
    <row r="264">
      <c r="B264" s="51" t="n"/>
      <c r="C264" s="51" t="n"/>
      <c r="D264" s="51" t="n"/>
      <c r="E264" s="51" t="n"/>
      <c r="F264" s="51" t="n"/>
      <c r="G264" s="51" t="n"/>
      <c r="H264" s="51" t="n"/>
      <c r="I264" s="51" t="n"/>
      <c r="J264" s="51" t="n"/>
    </row>
    <row r="265">
      <c r="B265" s="51" t="n"/>
      <c r="C265" s="51" t="n"/>
      <c r="D265" s="51" t="n"/>
      <c r="E265" s="51" t="n"/>
      <c r="F265" s="51" t="n"/>
      <c r="G265" s="51" t="n"/>
      <c r="H265" s="51" t="n"/>
      <c r="I265" s="51" t="n"/>
      <c r="J265" s="51" t="n"/>
    </row>
    <row r="266">
      <c r="B266" s="51" t="n"/>
      <c r="C266" s="51" t="n"/>
      <c r="D266" s="51" t="n"/>
      <c r="E266" s="51" t="n"/>
      <c r="F266" s="51" t="n"/>
      <c r="G266" s="51" t="n"/>
      <c r="H266" s="51" t="n"/>
      <c r="I266" s="51" t="n"/>
      <c r="J266" s="51" t="n"/>
    </row>
    <row r="267">
      <c r="B267" s="51" t="n"/>
      <c r="C267" s="51" t="n"/>
      <c r="D267" s="51" t="n"/>
      <c r="E267" s="51" t="n"/>
      <c r="F267" s="51" t="n"/>
      <c r="G267" s="51" t="n"/>
      <c r="H267" s="51" t="n"/>
      <c r="I267" s="51" t="n"/>
      <c r="J267" s="51" t="n"/>
    </row>
    <row r="268">
      <c r="B268" s="51" t="n"/>
      <c r="C268" s="51" t="n"/>
      <c r="D268" s="51" t="n"/>
      <c r="E268" s="51" t="n"/>
      <c r="F268" s="51" t="n"/>
      <c r="G268" s="51" t="n"/>
      <c r="H268" s="51" t="n"/>
      <c r="I268" s="51" t="n"/>
      <c r="J268" s="51" t="n"/>
    </row>
    <row r="269">
      <c r="B269" s="51" t="n"/>
      <c r="C269" s="51" t="n"/>
      <c r="D269" s="51" t="n"/>
      <c r="E269" s="51" t="n"/>
      <c r="F269" s="51" t="n"/>
      <c r="G269" s="51" t="n"/>
      <c r="H269" s="51" t="n"/>
      <c r="I269" s="51" t="n"/>
      <c r="J269" s="51" t="n"/>
    </row>
    <row r="270">
      <c r="B270" s="51" t="n"/>
      <c r="C270" s="51" t="n"/>
      <c r="D270" s="51" t="n"/>
      <c r="E270" s="51" t="n"/>
      <c r="F270" s="51" t="n"/>
      <c r="G270" s="51" t="n"/>
      <c r="H270" s="51" t="n"/>
      <c r="I270" s="51" t="n"/>
      <c r="J270" s="51" t="n"/>
    </row>
    <row r="271">
      <c r="B271" s="51" t="n"/>
      <c r="C271" s="51" t="n"/>
      <c r="D271" s="51" t="n"/>
      <c r="E271" s="51" t="n"/>
      <c r="F271" s="51" t="n"/>
      <c r="G271" s="51" t="n"/>
      <c r="H271" s="51" t="n"/>
      <c r="I271" s="51" t="n"/>
      <c r="J271" s="51" t="n"/>
    </row>
    <row r="272">
      <c r="B272" s="51" t="n"/>
      <c r="C272" s="51" t="n"/>
      <c r="D272" s="51" t="n"/>
      <c r="E272" s="51" t="n"/>
      <c r="F272" s="51" t="n"/>
      <c r="G272" s="51" t="n"/>
      <c r="H272" s="51" t="n"/>
      <c r="I272" s="51" t="n"/>
      <c r="J272" s="51" t="n"/>
    </row>
    <row r="273">
      <c r="B273" s="51" t="n"/>
      <c r="C273" s="51" t="n"/>
      <c r="D273" s="51" t="n"/>
      <c r="E273" s="51" t="n"/>
      <c r="F273" s="51" t="n"/>
      <c r="G273" s="51" t="n"/>
      <c r="H273" s="51" t="n"/>
      <c r="I273" s="51" t="n"/>
      <c r="J273" s="51" t="n"/>
    </row>
    <row r="274">
      <c r="B274" s="51" t="n"/>
      <c r="C274" s="51" t="n"/>
      <c r="D274" s="51" t="n"/>
      <c r="E274" s="51" t="n"/>
      <c r="F274" s="51" t="n"/>
      <c r="G274" s="51" t="n"/>
      <c r="H274" s="51" t="n"/>
      <c r="I274" s="51" t="n"/>
      <c r="J274" s="51" t="n"/>
    </row>
    <row r="275">
      <c r="B275" s="51" t="n"/>
      <c r="C275" s="51" t="n"/>
      <c r="D275" s="51" t="n"/>
      <c r="E275" s="51" t="n"/>
      <c r="F275" s="51" t="n"/>
      <c r="G275" s="51" t="n"/>
      <c r="H275" s="51" t="n"/>
      <c r="I275" s="51" t="n"/>
      <c r="J275" s="51" t="n"/>
    </row>
    <row r="276">
      <c r="B276" s="51" t="n"/>
      <c r="C276" s="51" t="n"/>
      <c r="D276" s="51" t="n"/>
      <c r="E276" s="51" t="n"/>
      <c r="F276" s="51" t="n"/>
      <c r="G276" s="51" t="n"/>
      <c r="H276" s="51" t="n"/>
      <c r="I276" s="51" t="n"/>
      <c r="J276" s="51" t="n"/>
    </row>
    <row r="277">
      <c r="B277" s="51" t="n"/>
      <c r="C277" s="51" t="n"/>
      <c r="D277" s="51" t="n"/>
      <c r="E277" s="51" t="n"/>
      <c r="F277" s="51" t="n"/>
      <c r="G277" s="51" t="n"/>
      <c r="H277" s="51" t="n"/>
      <c r="I277" s="51" t="n"/>
      <c r="J277" s="51" t="n"/>
    </row>
    <row r="278">
      <c r="B278" s="51" t="n"/>
      <c r="C278" s="51" t="n"/>
      <c r="D278" s="51" t="n"/>
      <c r="E278" s="51" t="n"/>
      <c r="F278" s="51" t="n"/>
      <c r="G278" s="51" t="n"/>
      <c r="H278" s="51" t="n"/>
      <c r="I278" s="51" t="n"/>
      <c r="J278" s="51" t="n"/>
    </row>
    <row r="279">
      <c r="B279" s="51" t="n"/>
      <c r="C279" s="51" t="n"/>
      <c r="D279" s="51" t="n"/>
      <c r="E279" s="51" t="n"/>
      <c r="F279" s="51" t="n"/>
      <c r="G279" s="51" t="n"/>
      <c r="H279" s="51" t="n"/>
      <c r="I279" s="51" t="n"/>
      <c r="J279" s="51" t="n"/>
    </row>
    <row r="280">
      <c r="B280" s="51" t="n"/>
      <c r="C280" s="51" t="n"/>
      <c r="D280" s="51" t="n"/>
      <c r="E280" s="51" t="n"/>
      <c r="F280" s="51" t="n"/>
      <c r="G280" s="51" t="n"/>
      <c r="H280" s="51" t="n"/>
      <c r="I280" s="51" t="n"/>
      <c r="J280" s="51" t="n"/>
    </row>
    <row r="281">
      <c r="B281" s="51" t="n"/>
      <c r="C281" s="51" t="n"/>
      <c r="D281" s="51" t="n"/>
      <c r="E281" s="51" t="n"/>
      <c r="F281" s="51" t="n"/>
      <c r="G281" s="51" t="n"/>
      <c r="H281" s="51" t="n"/>
      <c r="I281" s="51" t="n"/>
      <c r="J281" s="51" t="n"/>
    </row>
    <row r="282">
      <c r="B282" s="51" t="n"/>
      <c r="C282" s="51" t="n"/>
      <c r="D282" s="51" t="n"/>
      <c r="E282" s="51" t="n"/>
      <c r="F282" s="51" t="n"/>
      <c r="G282" s="51" t="n"/>
      <c r="H282" s="51" t="n"/>
      <c r="I282" s="51" t="n"/>
      <c r="J282" s="51" t="n"/>
    </row>
    <row r="283">
      <c r="B283" s="51" t="n"/>
      <c r="C283" s="51" t="n"/>
      <c r="D283" s="51" t="n"/>
      <c r="E283" s="51" t="n"/>
      <c r="F283" s="51" t="n"/>
      <c r="G283" s="51" t="n"/>
      <c r="H283" s="51" t="n"/>
      <c r="I283" s="51" t="n"/>
      <c r="J283" s="51" t="n"/>
    </row>
    <row r="284">
      <c r="B284" s="51" t="n"/>
      <c r="C284" s="51" t="n"/>
      <c r="D284" s="51" t="n"/>
      <c r="E284" s="51" t="n"/>
      <c r="F284" s="51" t="n"/>
      <c r="G284" s="51" t="n"/>
      <c r="H284" s="51" t="n"/>
      <c r="I284" s="51" t="n"/>
      <c r="J284" s="51" t="n"/>
    </row>
    <row r="285">
      <c r="B285" s="51" t="n"/>
      <c r="C285" s="51" t="n"/>
      <c r="D285" s="51" t="n"/>
      <c r="E285" s="51" t="n"/>
      <c r="F285" s="51" t="n"/>
      <c r="G285" s="51" t="n"/>
      <c r="H285" s="51" t="n"/>
      <c r="I285" s="51" t="n"/>
      <c r="J285" s="51" t="n"/>
    </row>
    <row r="286">
      <c r="B286" s="51" t="n"/>
      <c r="C286" s="51" t="n"/>
      <c r="D286" s="51" t="n"/>
      <c r="E286" s="51" t="n"/>
      <c r="F286" s="51" t="n"/>
      <c r="G286" s="51" t="n"/>
      <c r="H286" s="51" t="n"/>
      <c r="I286" s="51" t="n"/>
      <c r="J286" s="51" t="n"/>
    </row>
    <row r="287">
      <c r="B287" s="51" t="n"/>
      <c r="C287" s="51" t="n"/>
      <c r="D287" s="51" t="n"/>
      <c r="E287" s="51" t="n"/>
      <c r="F287" s="51" t="n"/>
      <c r="G287" s="51" t="n"/>
      <c r="H287" s="51" t="n"/>
      <c r="I287" s="51" t="n"/>
      <c r="J287" s="51" t="n"/>
    </row>
    <row r="288">
      <c r="B288" s="51" t="n"/>
      <c r="C288" s="51" t="n"/>
      <c r="D288" s="51" t="n"/>
      <c r="E288" s="51" t="n"/>
      <c r="F288" s="51" t="n"/>
      <c r="G288" s="51" t="n"/>
      <c r="H288" s="51" t="n"/>
      <c r="I288" s="51" t="n"/>
      <c r="J288" s="51" t="n"/>
    </row>
    <row r="289">
      <c r="B289" s="51" t="n"/>
      <c r="C289" s="51" t="n"/>
      <c r="D289" s="51" t="n"/>
      <c r="E289" s="51" t="n"/>
      <c r="F289" s="51" t="n"/>
      <c r="G289" s="51" t="n"/>
      <c r="H289" s="51" t="n"/>
      <c r="I289" s="51" t="n"/>
      <c r="J289" s="51" t="n"/>
    </row>
    <row r="290">
      <c r="B290" s="51" t="n"/>
      <c r="C290" s="51" t="n"/>
      <c r="D290" s="51" t="n"/>
      <c r="E290" s="51" t="n"/>
      <c r="F290" s="51" t="n"/>
      <c r="G290" s="51" t="n"/>
      <c r="H290" s="51" t="n"/>
      <c r="I290" s="51" t="n"/>
      <c r="J290" s="51" t="n"/>
    </row>
    <row r="291">
      <c r="B291" s="51" t="n"/>
      <c r="C291" s="51" t="n"/>
      <c r="D291" s="51" t="n"/>
      <c r="E291" s="51" t="n"/>
      <c r="F291" s="51" t="n"/>
      <c r="G291" s="51" t="n"/>
      <c r="H291" s="51" t="n"/>
      <c r="I291" s="51" t="n"/>
      <c r="J291" s="51" t="n"/>
    </row>
    <row r="292">
      <c r="B292" s="51" t="n"/>
      <c r="C292" s="51" t="n"/>
      <c r="D292" s="51" t="n"/>
      <c r="E292" s="51" t="n"/>
      <c r="F292" s="51" t="n"/>
      <c r="G292" s="51" t="n"/>
      <c r="H292" s="51" t="n"/>
      <c r="I292" s="51" t="n"/>
      <c r="J292" s="51" t="n"/>
    </row>
    <row r="293">
      <c r="B293" s="51" t="n"/>
      <c r="C293" s="51" t="n"/>
      <c r="D293" s="51" t="n"/>
      <c r="E293" s="51" t="n"/>
      <c r="F293" s="51" t="n"/>
      <c r="G293" s="51" t="n"/>
      <c r="H293" s="51" t="n"/>
      <c r="I293" s="51" t="n"/>
      <c r="J293" s="51" t="n"/>
    </row>
    <row r="294">
      <c r="B294" s="51" t="n"/>
      <c r="C294" s="51" t="n"/>
      <c r="D294" s="51" t="n"/>
      <c r="E294" s="51" t="n"/>
      <c r="F294" s="51" t="n"/>
      <c r="G294" s="51" t="n"/>
      <c r="H294" s="51" t="n"/>
      <c r="I294" s="51" t="n"/>
      <c r="J294" s="51" t="n"/>
    </row>
    <row r="295">
      <c r="B295" s="51" t="n"/>
      <c r="C295" s="51" t="n"/>
      <c r="D295" s="51" t="n"/>
      <c r="E295" s="51" t="n"/>
      <c r="F295" s="51" t="n"/>
      <c r="G295" s="51" t="n"/>
      <c r="H295" s="51" t="n"/>
      <c r="I295" s="51" t="n"/>
      <c r="J295" s="51" t="n"/>
    </row>
    <row r="296">
      <c r="B296" s="51" t="n"/>
      <c r="C296" s="51" t="n"/>
      <c r="D296" s="51" t="n"/>
      <c r="E296" s="51" t="n"/>
      <c r="F296" s="51" t="n"/>
      <c r="G296" s="51" t="n"/>
      <c r="H296" s="51" t="n"/>
      <c r="I296" s="51" t="n"/>
      <c r="J296" s="51" t="n"/>
    </row>
    <row r="297">
      <c r="B297" s="51" t="n"/>
      <c r="C297" s="51" t="n"/>
      <c r="D297" s="51" t="n"/>
      <c r="E297" s="51" t="n"/>
      <c r="F297" s="51" t="n"/>
      <c r="G297" s="51" t="n"/>
      <c r="H297" s="51" t="n"/>
      <c r="I297" s="51" t="n"/>
      <c r="J297" s="51" t="n"/>
    </row>
    <row r="298">
      <c r="B298" s="51" t="n"/>
      <c r="C298" s="51" t="n"/>
      <c r="D298" s="51" t="n"/>
      <c r="E298" s="51" t="n"/>
      <c r="F298" s="51" t="n"/>
      <c r="G298" s="51" t="n"/>
      <c r="H298" s="51" t="n"/>
      <c r="I298" s="51" t="n"/>
      <c r="J298" s="51" t="n"/>
    </row>
    <row r="299">
      <c r="B299" s="51" t="n"/>
      <c r="C299" s="51" t="n"/>
      <c r="D299" s="51" t="n"/>
      <c r="E299" s="51" t="n"/>
      <c r="F299" s="51" t="n"/>
      <c r="G299" s="51" t="n"/>
      <c r="H299" s="51" t="n"/>
      <c r="I299" s="51" t="n"/>
      <c r="J299" s="51" t="n"/>
    </row>
    <row r="300">
      <c r="B300" s="51" t="n"/>
      <c r="C300" s="51" t="n"/>
      <c r="D300" s="51" t="n"/>
      <c r="E300" s="51" t="n"/>
      <c r="F300" s="51" t="n"/>
      <c r="G300" s="51" t="n"/>
      <c r="H300" s="51" t="n"/>
      <c r="I300" s="51" t="n"/>
      <c r="J300" s="51" t="n"/>
    </row>
    <row r="301">
      <c r="B301" s="51" t="n"/>
      <c r="C301" s="51" t="n"/>
      <c r="D301" s="51" t="n"/>
      <c r="E301" s="51" t="n"/>
      <c r="F301" s="51" t="n"/>
      <c r="G301" s="51" t="n"/>
      <c r="H301" s="51" t="n"/>
      <c r="I301" s="51" t="n"/>
      <c r="J301" s="51" t="n"/>
    </row>
    <row r="302">
      <c r="B302" s="51" t="n"/>
      <c r="C302" s="51" t="n"/>
      <c r="D302" s="51" t="n"/>
      <c r="E302" s="51" t="n"/>
      <c r="F302" s="51" t="n"/>
      <c r="G302" s="51" t="n"/>
      <c r="H302" s="51" t="n"/>
      <c r="I302" s="51" t="n"/>
      <c r="J302" s="51" t="n"/>
    </row>
    <row r="303">
      <c r="B303" s="51" t="n"/>
      <c r="C303" s="51" t="n"/>
      <c r="D303" s="51" t="n"/>
      <c r="E303" s="51" t="n"/>
      <c r="F303" s="51" t="n"/>
      <c r="G303" s="51" t="n"/>
      <c r="H303" s="51" t="n"/>
      <c r="I303" s="51" t="n"/>
      <c r="J303" s="51" t="n"/>
    </row>
    <row r="304">
      <c r="B304" s="51" t="n"/>
      <c r="C304" s="51" t="n"/>
      <c r="D304" s="51" t="n"/>
      <c r="E304" s="51" t="n"/>
      <c r="F304" s="51" t="n"/>
      <c r="G304" s="51" t="n"/>
      <c r="H304" s="51" t="n"/>
      <c r="I304" s="51" t="n"/>
      <c r="J304" s="51" t="n"/>
    </row>
    <row r="305">
      <c r="B305" s="51" t="n"/>
      <c r="C305" s="51" t="n"/>
      <c r="D305" s="51" t="n"/>
      <c r="E305" s="51" t="n"/>
      <c r="F305" s="51" t="n"/>
      <c r="G305" s="51" t="n"/>
      <c r="H305" s="51" t="n"/>
      <c r="I305" s="51" t="n"/>
      <c r="J305" s="51" t="n"/>
    </row>
    <row r="306">
      <c r="B306" s="51" t="n"/>
      <c r="C306" s="51" t="n"/>
      <c r="D306" s="51" t="n"/>
      <c r="E306" s="51" t="n"/>
      <c r="F306" s="51" t="n"/>
      <c r="G306" s="51" t="n"/>
      <c r="H306" s="51" t="n"/>
      <c r="I306" s="51" t="n"/>
      <c r="J306" s="51" t="n"/>
    </row>
    <row r="307">
      <c r="B307" s="51" t="n"/>
      <c r="C307" s="51" t="n"/>
      <c r="D307" s="51" t="n"/>
      <c r="E307" s="51" t="n"/>
      <c r="F307" s="51" t="n"/>
      <c r="G307" s="51" t="n"/>
      <c r="H307" s="51" t="n"/>
      <c r="I307" s="51" t="n"/>
      <c r="J307" s="51" t="n"/>
    </row>
    <row r="308">
      <c r="B308" s="51" t="n"/>
      <c r="C308" s="51" t="n"/>
      <c r="D308" s="51" t="n"/>
      <c r="E308" s="51" t="n"/>
      <c r="F308" s="51" t="n"/>
      <c r="G308" s="51" t="n"/>
      <c r="H308" s="51" t="n"/>
      <c r="I308" s="51" t="n"/>
      <c r="J308" s="51" t="n"/>
    </row>
    <row r="309">
      <c r="B309" s="51" t="n"/>
      <c r="C309" s="51" t="n"/>
      <c r="D309" s="51" t="n"/>
      <c r="E309" s="51" t="n"/>
      <c r="F309" s="51" t="n"/>
      <c r="G309" s="51" t="n"/>
      <c r="H309" s="51" t="n"/>
      <c r="I309" s="51" t="n"/>
      <c r="J309" s="51" t="n"/>
    </row>
    <row r="310">
      <c r="B310" s="51" t="n"/>
      <c r="C310" s="51" t="n"/>
      <c r="D310" s="51" t="n"/>
      <c r="E310" s="51" t="n"/>
      <c r="F310" s="51" t="n"/>
      <c r="G310" s="51" t="n"/>
      <c r="H310" s="51" t="n"/>
      <c r="I310" s="51" t="n"/>
      <c r="J310" s="51" t="n"/>
    </row>
    <row r="311">
      <c r="B311" s="51" t="n"/>
      <c r="C311" s="51" t="n"/>
      <c r="D311" s="51" t="n"/>
      <c r="E311" s="51" t="n"/>
      <c r="F311" s="51" t="n"/>
      <c r="G311" s="51" t="n"/>
      <c r="H311" s="51" t="n"/>
      <c r="I311" s="51" t="n"/>
      <c r="J311" s="51" t="n"/>
    </row>
    <row r="312">
      <c r="B312" s="51" t="n"/>
      <c r="C312" s="51" t="n"/>
      <c r="D312" s="51" t="n"/>
      <c r="E312" s="51" t="n"/>
      <c r="F312" s="51" t="n"/>
      <c r="G312" s="51" t="n"/>
      <c r="H312" s="51" t="n"/>
      <c r="I312" s="51" t="n"/>
      <c r="J312" s="51" t="n"/>
    </row>
    <row r="313">
      <c r="B313" s="51" t="n"/>
      <c r="C313" s="51" t="n"/>
      <c r="D313" s="51" t="n"/>
      <c r="E313" s="51" t="n"/>
      <c r="F313" s="51" t="n"/>
      <c r="G313" s="51" t="n"/>
      <c r="H313" s="51" t="n"/>
      <c r="I313" s="51" t="n"/>
      <c r="J313" s="51" t="n"/>
    </row>
    <row r="314">
      <c r="B314" s="51" t="n"/>
      <c r="C314" s="51" t="n"/>
      <c r="D314" s="51" t="n"/>
      <c r="E314" s="51" t="n"/>
      <c r="F314" s="51" t="n"/>
      <c r="G314" s="51" t="n"/>
      <c r="H314" s="51" t="n"/>
      <c r="I314" s="51" t="n"/>
      <c r="J314" s="51" t="n"/>
    </row>
    <row r="315">
      <c r="B315" s="51" t="n"/>
      <c r="C315" s="51" t="n"/>
      <c r="D315" s="51" t="n"/>
      <c r="E315" s="51" t="n"/>
      <c r="F315" s="51" t="n"/>
      <c r="G315" s="51" t="n"/>
      <c r="H315" s="51" t="n"/>
      <c r="I315" s="51" t="n"/>
      <c r="J315" s="51" t="n"/>
    </row>
    <row r="316">
      <c r="B316" s="51" t="n"/>
      <c r="C316" s="51" t="n"/>
      <c r="D316" s="51" t="n"/>
      <c r="E316" s="51" t="n"/>
      <c r="F316" s="51" t="n"/>
      <c r="G316" s="51" t="n"/>
      <c r="H316" s="51" t="n"/>
      <c r="I316" s="51" t="n"/>
      <c r="J316" s="51" t="n"/>
    </row>
    <row r="317">
      <c r="B317" s="51" t="n"/>
      <c r="C317" s="51" t="n"/>
      <c r="D317" s="51" t="n"/>
      <c r="E317" s="51" t="n"/>
      <c r="F317" s="51" t="n"/>
      <c r="G317" s="51" t="n"/>
      <c r="H317" s="51" t="n"/>
      <c r="I317" s="51" t="n"/>
      <c r="J317" s="51" t="n"/>
    </row>
    <row r="318">
      <c r="B318" s="51" t="n"/>
      <c r="C318" s="51" t="n"/>
      <c r="D318" s="51" t="n"/>
      <c r="E318" s="51" t="n"/>
      <c r="F318" s="51" t="n"/>
      <c r="G318" s="51" t="n"/>
      <c r="H318" s="51" t="n"/>
      <c r="I318" s="51" t="n"/>
      <c r="J318" s="51" t="n"/>
    </row>
    <row r="319">
      <c r="B319" s="51" t="n"/>
      <c r="C319" s="51" t="n"/>
      <c r="D319" s="51" t="n"/>
      <c r="E319" s="51" t="n"/>
      <c r="F319" s="51" t="n"/>
      <c r="G319" s="51" t="n"/>
      <c r="H319" s="51" t="n"/>
      <c r="I319" s="51" t="n"/>
      <c r="J319" s="51" t="n"/>
    </row>
    <row r="320">
      <c r="B320" s="51" t="n"/>
      <c r="C320" s="51" t="n"/>
      <c r="D320" s="51" t="n"/>
      <c r="E320" s="51" t="n"/>
      <c r="F320" s="51" t="n"/>
      <c r="G320" s="51" t="n"/>
      <c r="H320" s="51" t="n"/>
      <c r="I320" s="51" t="n"/>
      <c r="J320" s="51" t="n"/>
    </row>
    <row r="321">
      <c r="B321" s="51" t="n"/>
      <c r="C321" s="51" t="n"/>
      <c r="D321" s="51" t="n"/>
      <c r="E321" s="51" t="n"/>
      <c r="F321" s="51" t="n"/>
      <c r="G321" s="51" t="n"/>
      <c r="H321" s="51" t="n"/>
      <c r="I321" s="51" t="n"/>
      <c r="J321" s="51" t="n"/>
    </row>
    <row r="322">
      <c r="B322" s="51" t="n"/>
      <c r="C322" s="51" t="n"/>
      <c r="D322" s="51" t="n"/>
      <c r="E322" s="51" t="n"/>
      <c r="F322" s="51" t="n"/>
      <c r="G322" s="51" t="n"/>
      <c r="H322" s="51" t="n"/>
      <c r="I322" s="51" t="n"/>
      <c r="J322" s="51" t="n"/>
    </row>
    <row r="323">
      <c r="B323" s="51" t="n"/>
      <c r="C323" s="51" t="n"/>
      <c r="D323" s="51" t="n"/>
      <c r="E323" s="51" t="n"/>
      <c r="F323" s="51" t="n"/>
      <c r="G323" s="51" t="n"/>
      <c r="H323" s="51" t="n"/>
      <c r="I323" s="51" t="n"/>
      <c r="J323" s="51" t="n"/>
    </row>
    <row r="324">
      <c r="B324" s="51" t="n"/>
      <c r="C324" s="51" t="n"/>
      <c r="D324" s="51" t="n"/>
      <c r="E324" s="51" t="n"/>
      <c r="F324" s="51" t="n"/>
      <c r="G324" s="51" t="n"/>
      <c r="H324" s="51" t="n"/>
      <c r="I324" s="51" t="n"/>
      <c r="J324" s="51" t="n"/>
    </row>
    <row r="325">
      <c r="B325" s="51" t="n"/>
      <c r="C325" s="51" t="n"/>
      <c r="D325" s="51" t="n"/>
      <c r="E325" s="51" t="n"/>
      <c r="F325" s="51" t="n"/>
      <c r="G325" s="51" t="n"/>
      <c r="H325" s="51" t="n"/>
      <c r="I325" s="51" t="n"/>
      <c r="J325" s="51" t="n"/>
    </row>
    <row r="326">
      <c r="B326" s="51" t="n"/>
      <c r="C326" s="51" t="n"/>
      <c r="D326" s="51" t="n"/>
      <c r="E326" s="51" t="n"/>
      <c r="F326" s="51" t="n"/>
      <c r="G326" s="51" t="n"/>
      <c r="H326" s="51" t="n"/>
      <c r="I326" s="51" t="n"/>
      <c r="J326" s="51" t="n"/>
    </row>
    <row r="327">
      <c r="B327" s="51" t="n"/>
      <c r="C327" s="51" t="n"/>
      <c r="D327" s="51" t="n"/>
      <c r="E327" s="51" t="n"/>
      <c r="F327" s="51" t="n"/>
      <c r="G327" s="51" t="n"/>
      <c r="H327" s="51" t="n"/>
      <c r="I327" s="51" t="n"/>
      <c r="J327" s="51" t="n"/>
    </row>
    <row r="328">
      <c r="B328" s="51" t="n"/>
      <c r="C328" s="51" t="n"/>
      <c r="D328" s="51" t="n"/>
      <c r="E328" s="51" t="n"/>
      <c r="F328" s="51" t="n"/>
      <c r="G328" s="51" t="n"/>
      <c r="H328" s="51" t="n"/>
      <c r="I328" s="51" t="n"/>
      <c r="J328" s="51" t="n"/>
    </row>
    <row r="329">
      <c r="B329" s="51" t="n"/>
      <c r="C329" s="51" t="n"/>
      <c r="D329" s="51" t="n"/>
      <c r="E329" s="51" t="n"/>
      <c r="F329" s="51" t="n"/>
      <c r="G329" s="51" t="n"/>
      <c r="H329" s="51" t="n"/>
      <c r="I329" s="51" t="n"/>
      <c r="J329" s="51" t="n"/>
    </row>
    <row r="330">
      <c r="B330" s="51" t="n"/>
      <c r="C330" s="51" t="n"/>
      <c r="D330" s="51" t="n"/>
      <c r="E330" s="51" t="n"/>
      <c r="F330" s="51" t="n"/>
      <c r="G330" s="51" t="n"/>
      <c r="H330" s="51" t="n"/>
      <c r="I330" s="51" t="n"/>
      <c r="J330" s="51" t="n"/>
    </row>
    <row r="331">
      <c r="B331" s="51" t="n"/>
      <c r="C331" s="51" t="n"/>
      <c r="D331" s="51" t="n"/>
      <c r="E331" s="51" t="n"/>
      <c r="F331" s="51" t="n"/>
      <c r="G331" s="51" t="n"/>
      <c r="H331" s="51" t="n"/>
      <c r="I331" s="51" t="n"/>
      <c r="J331" s="51" t="n"/>
    </row>
    <row r="332">
      <c r="B332" s="51" t="n"/>
      <c r="C332" s="51" t="n"/>
      <c r="D332" s="51" t="n"/>
      <c r="E332" s="51" t="n"/>
      <c r="F332" s="51" t="n"/>
      <c r="G332" s="51" t="n"/>
      <c r="H332" s="51" t="n"/>
      <c r="I332" s="51" t="n"/>
      <c r="J332" s="51" t="n"/>
    </row>
    <row r="333">
      <c r="B333" s="51" t="n"/>
      <c r="C333" s="51" t="n"/>
      <c r="D333" s="51" t="n"/>
      <c r="E333" s="51" t="n"/>
      <c r="F333" s="51" t="n"/>
      <c r="G333" s="51" t="n"/>
      <c r="H333" s="51" t="n"/>
      <c r="I333" s="51" t="n"/>
      <c r="J333" s="51" t="n"/>
    </row>
    <row r="334">
      <c r="B334" s="51" t="n"/>
      <c r="C334" s="51" t="n"/>
      <c r="D334" s="51" t="n"/>
      <c r="E334" s="51" t="n"/>
      <c r="F334" s="51" t="n"/>
      <c r="G334" s="51" t="n"/>
      <c r="H334" s="51" t="n"/>
      <c r="I334" s="51" t="n"/>
      <c r="J334" s="51" t="n"/>
    </row>
    <row r="335">
      <c r="B335" s="51" t="n"/>
      <c r="C335" s="51" t="n"/>
      <c r="D335" s="51" t="n"/>
      <c r="E335" s="51" t="n"/>
      <c r="F335" s="51" t="n"/>
      <c r="G335" s="51" t="n"/>
      <c r="H335" s="51" t="n"/>
      <c r="I335" s="51" t="n"/>
      <c r="J335" s="51" t="n"/>
    </row>
    <row r="336">
      <c r="B336" s="51" t="n"/>
      <c r="C336" s="51" t="n"/>
      <c r="D336" s="51" t="n"/>
      <c r="E336" s="51" t="n"/>
      <c r="F336" s="51" t="n"/>
      <c r="G336" s="51" t="n"/>
      <c r="H336" s="51" t="n"/>
      <c r="I336" s="51" t="n"/>
      <c r="J336" s="51" t="n"/>
    </row>
    <row r="337">
      <c r="B337" s="51" t="n"/>
      <c r="C337" s="51" t="n"/>
      <c r="D337" s="51" t="n"/>
      <c r="E337" s="51" t="n"/>
      <c r="F337" s="51" t="n"/>
      <c r="G337" s="51" t="n"/>
      <c r="H337" s="51" t="n"/>
      <c r="I337" s="51" t="n"/>
      <c r="J337" s="51" t="n"/>
    </row>
    <row r="338">
      <c r="B338" s="51" t="n"/>
      <c r="C338" s="51" t="n"/>
      <c r="D338" s="51" t="n"/>
      <c r="E338" s="51" t="n"/>
      <c r="F338" s="51" t="n"/>
      <c r="G338" s="51" t="n"/>
      <c r="H338" s="51" t="n"/>
      <c r="I338" s="51" t="n"/>
      <c r="J338" s="51" t="n"/>
    </row>
    <row r="339">
      <c r="B339" s="51" t="n"/>
      <c r="C339" s="51" t="n"/>
      <c r="D339" s="51" t="n"/>
      <c r="E339" s="51" t="n"/>
      <c r="F339" s="51" t="n"/>
      <c r="G339" s="51" t="n"/>
      <c r="H339" s="51" t="n"/>
      <c r="I339" s="51" t="n"/>
      <c r="J339" s="51" t="n"/>
    </row>
    <row r="340">
      <c r="B340" s="51" t="n"/>
      <c r="C340" s="51" t="n"/>
      <c r="D340" s="51" t="n"/>
      <c r="E340" s="51" t="n"/>
      <c r="F340" s="51" t="n"/>
      <c r="G340" s="51" t="n"/>
      <c r="H340" s="51" t="n"/>
      <c r="I340" s="51" t="n"/>
      <c r="J340" s="51" t="n"/>
    </row>
    <row r="341">
      <c r="B341" s="51" t="n"/>
      <c r="C341" s="51" t="n"/>
      <c r="D341" s="51" t="n"/>
      <c r="E341" s="51" t="n"/>
      <c r="F341" s="51" t="n"/>
      <c r="G341" s="51" t="n"/>
      <c r="H341" s="51" t="n"/>
      <c r="I341" s="51" t="n"/>
      <c r="J341" s="51" t="n"/>
    </row>
    <row r="342">
      <c r="B342" s="51" t="n"/>
      <c r="C342" s="51" t="n"/>
      <c r="D342" s="51" t="n"/>
      <c r="E342" s="51" t="n"/>
      <c r="F342" s="51" t="n"/>
      <c r="G342" s="51" t="n"/>
      <c r="H342" s="51" t="n"/>
      <c r="I342" s="51" t="n"/>
      <c r="J342" s="51" t="n"/>
    </row>
    <row r="343">
      <c r="B343" s="51" t="n"/>
      <c r="C343" s="51" t="n"/>
      <c r="D343" s="51" t="n"/>
      <c r="E343" s="51" t="n"/>
      <c r="F343" s="51" t="n"/>
      <c r="G343" s="51" t="n"/>
      <c r="H343" s="51" t="n"/>
      <c r="I343" s="51" t="n"/>
      <c r="J343" s="51" t="n"/>
    </row>
    <row r="344">
      <c r="B344" s="51" t="n"/>
      <c r="C344" s="51" t="n"/>
      <c r="D344" s="51" t="n"/>
      <c r="E344" s="51" t="n"/>
      <c r="F344" s="51" t="n"/>
      <c r="G344" s="51" t="n"/>
      <c r="H344" s="51" t="n"/>
      <c r="I344" s="51" t="n"/>
      <c r="J344" s="51" t="n"/>
    </row>
    <row r="345">
      <c r="B345" s="51" t="n"/>
      <c r="C345" s="51" t="n"/>
      <c r="D345" s="51" t="n"/>
      <c r="E345" s="51" t="n"/>
      <c r="F345" s="51" t="n"/>
      <c r="G345" s="51" t="n"/>
      <c r="H345" s="51" t="n"/>
      <c r="I345" s="51" t="n"/>
      <c r="J345" s="51" t="n"/>
    </row>
    <row r="346">
      <c r="B346" s="51" t="n"/>
      <c r="C346" s="51" t="n"/>
      <c r="D346" s="51" t="n"/>
      <c r="E346" s="51" t="n"/>
      <c r="F346" s="51" t="n"/>
      <c r="G346" s="51" t="n"/>
      <c r="H346" s="51" t="n"/>
      <c r="I346" s="51" t="n"/>
      <c r="J346" s="51" t="n"/>
    </row>
    <row r="347">
      <c r="B347" s="51" t="n"/>
      <c r="C347" s="51" t="n"/>
      <c r="D347" s="51" t="n"/>
      <c r="E347" s="51" t="n"/>
      <c r="F347" s="51" t="n"/>
      <c r="G347" s="51" t="n"/>
      <c r="H347" s="51" t="n"/>
      <c r="I347" s="51" t="n"/>
      <c r="J347" s="51" t="n"/>
    </row>
    <row r="348">
      <c r="B348" s="51" t="n"/>
      <c r="C348" s="51" t="n"/>
      <c r="D348" s="51" t="n"/>
      <c r="E348" s="51" t="n"/>
      <c r="F348" s="51" t="n"/>
      <c r="G348" s="51" t="n"/>
      <c r="H348" s="51" t="n"/>
      <c r="I348" s="51" t="n"/>
      <c r="J348" s="51" t="n"/>
    </row>
    <row r="349">
      <c r="B349" s="51" t="n"/>
      <c r="C349" s="51" t="n"/>
      <c r="D349" s="51" t="n"/>
      <c r="E349" s="51" t="n"/>
      <c r="F349" s="51" t="n"/>
      <c r="G349" s="51" t="n"/>
      <c r="H349" s="51" t="n"/>
      <c r="I349" s="51" t="n"/>
      <c r="J349" s="51" t="n"/>
    </row>
    <row r="350">
      <c r="B350" s="51" t="n"/>
      <c r="C350" s="51" t="n"/>
      <c r="D350" s="51" t="n"/>
      <c r="E350" s="51" t="n"/>
      <c r="F350" s="51" t="n"/>
      <c r="G350" s="51" t="n"/>
      <c r="H350" s="51" t="n"/>
      <c r="I350" s="51" t="n"/>
      <c r="J350" s="51" t="n"/>
    </row>
    <row r="351">
      <c r="B351" s="51" t="n"/>
      <c r="C351" s="51" t="n"/>
      <c r="D351" s="51" t="n"/>
      <c r="E351" s="51" t="n"/>
      <c r="F351" s="51" t="n"/>
      <c r="G351" s="51" t="n"/>
      <c r="H351" s="51" t="n"/>
      <c r="I351" s="51" t="n"/>
      <c r="J351" s="51" t="n"/>
    </row>
    <row r="352">
      <c r="B352" s="51" t="n"/>
      <c r="C352" s="51" t="n"/>
      <c r="D352" s="51" t="n"/>
      <c r="E352" s="51" t="n"/>
      <c r="F352" s="51" t="n"/>
      <c r="G352" s="51" t="n"/>
      <c r="H352" s="51" t="n"/>
      <c r="I352" s="51" t="n"/>
      <c r="J352" s="51" t="n"/>
    </row>
    <row r="353">
      <c r="B353" s="51" t="n"/>
      <c r="C353" s="51" t="n"/>
      <c r="D353" s="51" t="n"/>
      <c r="E353" s="51" t="n"/>
      <c r="F353" s="51" t="n"/>
      <c r="G353" s="51" t="n"/>
      <c r="H353" s="51" t="n"/>
      <c r="I353" s="51" t="n"/>
      <c r="J353" s="51" t="n"/>
    </row>
    <row r="354">
      <c r="B354" s="51" t="n"/>
      <c r="C354" s="51" t="n"/>
      <c r="D354" s="51" t="n"/>
      <c r="E354" s="51" t="n"/>
      <c r="F354" s="51" t="n"/>
      <c r="G354" s="51" t="n"/>
      <c r="H354" s="51" t="n"/>
      <c r="I354" s="51" t="n"/>
      <c r="J354" s="51" t="n"/>
    </row>
    <row r="355">
      <c r="B355" s="51" t="n"/>
      <c r="C355" s="51" t="n"/>
      <c r="D355" s="51" t="n"/>
      <c r="E355" s="51" t="n"/>
      <c r="F355" s="51" t="n"/>
      <c r="G355" s="51" t="n"/>
      <c r="H355" s="51" t="n"/>
      <c r="I355" s="51" t="n"/>
      <c r="J355" s="51" t="n"/>
    </row>
    <row r="356">
      <c r="B356" s="51" t="n"/>
      <c r="C356" s="51" t="n"/>
      <c r="D356" s="51" t="n"/>
      <c r="E356" s="51" t="n"/>
      <c r="F356" s="51" t="n"/>
      <c r="G356" s="51" t="n"/>
      <c r="H356" s="51" t="n"/>
      <c r="I356" s="51" t="n"/>
      <c r="J356" s="51" t="n"/>
    </row>
    <row r="357">
      <c r="B357" s="51" t="n"/>
      <c r="C357" s="51" t="n"/>
      <c r="D357" s="51" t="n"/>
      <c r="E357" s="51" t="n"/>
      <c r="F357" s="51" t="n"/>
      <c r="G357" s="51" t="n"/>
      <c r="H357" s="51" t="n"/>
      <c r="I357" s="51" t="n"/>
      <c r="J357" s="51" t="n"/>
    </row>
    <row r="358">
      <c r="B358" s="51" t="n"/>
      <c r="C358" s="51" t="n"/>
      <c r="D358" s="51" t="n"/>
      <c r="E358" s="51" t="n"/>
      <c r="F358" s="51" t="n"/>
      <c r="G358" s="51" t="n"/>
      <c r="H358" s="51" t="n"/>
      <c r="I358" s="51" t="n"/>
      <c r="J358" s="51" t="n"/>
    </row>
    <row r="359">
      <c r="B359" s="51" t="n"/>
      <c r="C359" s="51" t="n"/>
      <c r="D359" s="51" t="n"/>
      <c r="E359" s="51" t="n"/>
      <c r="F359" s="51" t="n"/>
      <c r="G359" s="51" t="n"/>
      <c r="H359" s="51" t="n"/>
      <c r="I359" s="51" t="n"/>
      <c r="J359" s="51" t="n"/>
    </row>
    <row r="360">
      <c r="B360" s="51" t="n"/>
      <c r="C360" s="51" t="n"/>
      <c r="D360" s="51" t="n"/>
      <c r="E360" s="51" t="n"/>
      <c r="F360" s="51" t="n"/>
      <c r="G360" s="51" t="n"/>
      <c r="H360" s="51" t="n"/>
      <c r="I360" s="51" t="n"/>
      <c r="J360" s="51" t="n"/>
    </row>
    <row r="361">
      <c r="B361" s="51" t="n"/>
      <c r="C361" s="51" t="n"/>
      <c r="D361" s="51" t="n"/>
      <c r="E361" s="51" t="n"/>
      <c r="F361" s="51" t="n"/>
      <c r="G361" s="51" t="n"/>
      <c r="H361" s="51" t="n"/>
      <c r="I361" s="51" t="n"/>
      <c r="J361" s="51" t="n"/>
    </row>
    <row r="362">
      <c r="B362" s="51" t="n"/>
      <c r="C362" s="51" t="n"/>
      <c r="D362" s="51" t="n"/>
      <c r="E362" s="51" t="n"/>
      <c r="F362" s="51" t="n"/>
      <c r="G362" s="51" t="n"/>
      <c r="H362" s="51" t="n"/>
      <c r="I362" s="51" t="n"/>
      <c r="J362" s="51" t="n"/>
    </row>
    <row r="363">
      <c r="B363" s="51" t="n"/>
      <c r="C363" s="51" t="n"/>
      <c r="D363" s="51" t="n"/>
      <c r="E363" s="51" t="n"/>
      <c r="F363" s="51" t="n"/>
      <c r="G363" s="51" t="n"/>
      <c r="H363" s="51" t="n"/>
      <c r="I363" s="51" t="n"/>
      <c r="J363" s="51" t="n"/>
    </row>
    <row r="364">
      <c r="B364" s="51" t="n"/>
      <c r="C364" s="51" t="n"/>
      <c r="D364" s="51" t="n"/>
      <c r="E364" s="51" t="n"/>
      <c r="F364" s="51" t="n"/>
      <c r="G364" s="51" t="n"/>
      <c r="H364" s="51" t="n"/>
      <c r="I364" s="51" t="n"/>
      <c r="J364" s="51" t="n"/>
    </row>
    <row r="365">
      <c r="B365" s="51" t="n"/>
      <c r="C365" s="51" t="n"/>
      <c r="D365" s="51" t="n"/>
      <c r="E365" s="51" t="n"/>
      <c r="F365" s="51" t="n"/>
      <c r="G365" s="51" t="n"/>
      <c r="H365" s="51" t="n"/>
      <c r="I365" s="51" t="n"/>
      <c r="J365" s="51" t="n"/>
    </row>
    <row r="366">
      <c r="B366" s="51" t="n"/>
      <c r="C366" s="51" t="n"/>
      <c r="D366" s="51" t="n"/>
      <c r="E366" s="51" t="n"/>
      <c r="F366" s="51" t="n"/>
      <c r="G366" s="51" t="n"/>
      <c r="H366" s="51" t="n"/>
      <c r="I366" s="51" t="n"/>
      <c r="J366" s="51" t="n"/>
    </row>
    <row r="367">
      <c r="B367" s="51" t="n"/>
      <c r="C367" s="51" t="n"/>
      <c r="D367" s="51" t="n"/>
      <c r="E367" s="51" t="n"/>
      <c r="F367" s="51" t="n"/>
      <c r="G367" s="51" t="n"/>
      <c r="H367" s="51" t="n"/>
      <c r="I367" s="51" t="n"/>
      <c r="J367" s="51" t="n"/>
    </row>
    <row r="368">
      <c r="B368" s="51" t="n"/>
      <c r="C368" s="51" t="n"/>
      <c r="D368" s="51" t="n"/>
      <c r="E368" s="51" t="n"/>
      <c r="F368" s="51" t="n"/>
      <c r="G368" s="51" t="n"/>
      <c r="H368" s="51" t="n"/>
      <c r="I368" s="51" t="n"/>
      <c r="J368" s="51" t="n"/>
    </row>
    <row r="369">
      <c r="B369" s="51" t="n"/>
      <c r="C369" s="51" t="n"/>
      <c r="D369" s="51" t="n"/>
      <c r="E369" s="51" t="n"/>
      <c r="F369" s="51" t="n"/>
      <c r="G369" s="51" t="n"/>
      <c r="H369" s="51" t="n"/>
      <c r="I369" s="51" t="n"/>
      <c r="J369" s="51" t="n"/>
    </row>
    <row r="370">
      <c r="B370" s="51" t="n"/>
      <c r="C370" s="51" t="n"/>
      <c r="D370" s="51" t="n"/>
      <c r="E370" s="51" t="n"/>
      <c r="F370" s="51" t="n"/>
      <c r="G370" s="51" t="n"/>
      <c r="H370" s="51" t="n"/>
      <c r="I370" s="51" t="n"/>
      <c r="J370" s="51" t="n"/>
    </row>
    <row r="371">
      <c r="B371" s="51" t="n"/>
      <c r="C371" s="51" t="n"/>
      <c r="D371" s="51" t="n"/>
      <c r="E371" s="51" t="n"/>
      <c r="F371" s="51" t="n"/>
      <c r="G371" s="51" t="n"/>
      <c r="H371" s="51" t="n"/>
      <c r="I371" s="51" t="n"/>
      <c r="J371" s="51" t="n"/>
    </row>
    <row r="372">
      <c r="B372" s="51" t="n"/>
      <c r="C372" s="51" t="n"/>
      <c r="D372" s="51" t="n"/>
      <c r="E372" s="51" t="n"/>
      <c r="F372" s="51" t="n"/>
      <c r="G372" s="51" t="n"/>
      <c r="H372" s="51" t="n"/>
      <c r="I372" s="51" t="n"/>
      <c r="J372" s="51" t="n"/>
    </row>
    <row r="373">
      <c r="B373" s="51" t="n"/>
      <c r="C373" s="51" t="n"/>
      <c r="D373" s="51" t="n"/>
      <c r="E373" s="51" t="n"/>
      <c r="F373" s="51" t="n"/>
      <c r="G373" s="51" t="n"/>
      <c r="H373" s="51" t="n"/>
      <c r="I373" s="51" t="n"/>
      <c r="J373" s="51" t="n"/>
    </row>
    <row r="374">
      <c r="B374" s="51" t="n"/>
      <c r="C374" s="51" t="n"/>
      <c r="D374" s="51" t="n"/>
      <c r="E374" s="51" t="n"/>
      <c r="F374" s="51" t="n"/>
      <c r="G374" s="51" t="n"/>
      <c r="H374" s="51" t="n"/>
      <c r="I374" s="51" t="n"/>
      <c r="J374" s="51" t="n"/>
    </row>
    <row r="375">
      <c r="B375" s="51" t="n"/>
      <c r="C375" s="51" t="n"/>
      <c r="D375" s="51" t="n"/>
      <c r="E375" s="51" t="n"/>
      <c r="F375" s="51" t="n"/>
      <c r="G375" s="51" t="n"/>
      <c r="H375" s="51" t="n"/>
      <c r="I375" s="51" t="n"/>
      <c r="J375" s="51" t="n"/>
    </row>
    <row r="376">
      <c r="B376" s="51" t="n"/>
      <c r="C376" s="51" t="n"/>
      <c r="D376" s="51" t="n"/>
      <c r="E376" s="51" t="n"/>
      <c r="F376" s="51" t="n"/>
      <c r="G376" s="51" t="n"/>
      <c r="H376" s="51" t="n"/>
      <c r="I376" s="51" t="n"/>
      <c r="J376" s="51" t="n"/>
    </row>
    <row r="377">
      <c r="B377" s="51" t="n"/>
      <c r="C377" s="51" t="n"/>
      <c r="D377" s="51" t="n"/>
      <c r="E377" s="51" t="n"/>
      <c r="F377" s="51" t="n"/>
      <c r="G377" s="51" t="n"/>
      <c r="H377" s="51" t="n"/>
      <c r="I377" s="51" t="n"/>
      <c r="J377" s="51" t="n"/>
    </row>
    <row r="378">
      <c r="B378" s="51" t="n"/>
      <c r="C378" s="51" t="n"/>
      <c r="D378" s="51" t="n"/>
      <c r="E378" s="51" t="n"/>
      <c r="F378" s="51" t="n"/>
      <c r="G378" s="51" t="n"/>
      <c r="H378" s="51" t="n"/>
      <c r="I378" s="51" t="n"/>
      <c r="J378" s="51" t="n"/>
    </row>
    <row r="379">
      <c r="B379" s="51" t="n"/>
      <c r="C379" s="51" t="n"/>
      <c r="D379" s="51" t="n"/>
      <c r="E379" s="51" t="n"/>
      <c r="F379" s="51" t="n"/>
      <c r="G379" s="51" t="n"/>
      <c r="H379" s="51" t="n"/>
      <c r="I379" s="51" t="n"/>
      <c r="J379" s="51" t="n"/>
    </row>
    <row r="380">
      <c r="B380" s="51" t="n"/>
      <c r="C380" s="51" t="n"/>
      <c r="D380" s="51" t="n"/>
      <c r="E380" s="51" t="n"/>
      <c r="F380" s="51" t="n"/>
      <c r="G380" s="51" t="n"/>
      <c r="H380" s="51" t="n"/>
      <c r="I380" s="51" t="n"/>
      <c r="J380" s="51" t="n"/>
    </row>
    <row r="381">
      <c r="B381" s="51" t="n"/>
      <c r="C381" s="51" t="n"/>
      <c r="D381" s="51" t="n"/>
      <c r="E381" s="51" t="n"/>
      <c r="F381" s="51" t="n"/>
      <c r="G381" s="51" t="n"/>
      <c r="H381" s="51" t="n"/>
      <c r="I381" s="51" t="n"/>
      <c r="J381" s="51" t="n"/>
    </row>
    <row r="382">
      <c r="B382" s="51" t="n"/>
      <c r="C382" s="51" t="n"/>
      <c r="D382" s="51" t="n"/>
      <c r="E382" s="51" t="n"/>
      <c r="F382" s="51" t="n"/>
      <c r="G382" s="51" t="n"/>
      <c r="H382" s="51" t="n"/>
      <c r="I382" s="51" t="n"/>
      <c r="J382" s="51" t="n"/>
    </row>
    <row r="383">
      <c r="B383" s="51" t="n"/>
      <c r="C383" s="51" t="n"/>
      <c r="D383" s="51" t="n"/>
      <c r="E383" s="51" t="n"/>
      <c r="F383" s="51" t="n"/>
      <c r="G383" s="51" t="n"/>
      <c r="H383" s="51" t="n"/>
      <c r="I383" s="51" t="n"/>
      <c r="J383" s="51" t="n"/>
    </row>
    <row r="384">
      <c r="B384" s="51" t="n"/>
      <c r="C384" s="51" t="n"/>
      <c r="D384" s="51" t="n"/>
      <c r="E384" s="51" t="n"/>
      <c r="F384" s="51" t="n"/>
      <c r="G384" s="51" t="n"/>
      <c r="H384" s="51" t="n"/>
      <c r="I384" s="51" t="n"/>
      <c r="J384" s="51" t="n"/>
    </row>
    <row r="385">
      <c r="B385" s="51" t="n"/>
      <c r="C385" s="51" t="n"/>
      <c r="D385" s="51" t="n"/>
      <c r="E385" s="51" t="n"/>
      <c r="F385" s="51" t="n"/>
      <c r="G385" s="51" t="n"/>
      <c r="H385" s="51" t="n"/>
      <c r="I385" s="51" t="n"/>
      <c r="J385" s="51" t="n"/>
    </row>
    <row r="386">
      <c r="B386" s="51" t="n"/>
      <c r="C386" s="51" t="n"/>
      <c r="D386" s="51" t="n"/>
      <c r="E386" s="51" t="n"/>
      <c r="F386" s="51" t="n"/>
      <c r="G386" s="51" t="n"/>
      <c r="H386" s="51" t="n"/>
      <c r="I386" s="51" t="n"/>
      <c r="J386" s="51" t="n"/>
    </row>
    <row r="387">
      <c r="B387" s="51" t="n"/>
      <c r="C387" s="51" t="n"/>
      <c r="D387" s="51" t="n"/>
      <c r="E387" s="51" t="n"/>
      <c r="F387" s="51" t="n"/>
      <c r="G387" s="51" t="n"/>
      <c r="H387" s="51" t="n"/>
      <c r="I387" s="51" t="n"/>
      <c r="J387" s="51" t="n"/>
    </row>
    <row r="388">
      <c r="B388" s="51" t="n"/>
      <c r="C388" s="51" t="n"/>
      <c r="D388" s="51" t="n"/>
      <c r="E388" s="51" t="n"/>
      <c r="F388" s="51" t="n"/>
      <c r="G388" s="51" t="n"/>
      <c r="H388" s="51" t="n"/>
      <c r="I388" s="51" t="n"/>
      <c r="J388" s="51" t="n"/>
    </row>
    <row r="389">
      <c r="B389" s="51" t="n"/>
      <c r="C389" s="51" t="n"/>
      <c r="D389" s="51" t="n"/>
      <c r="E389" s="51" t="n"/>
      <c r="F389" s="51" t="n"/>
      <c r="G389" s="51" t="n"/>
      <c r="H389" s="51" t="n"/>
      <c r="I389" s="51" t="n"/>
      <c r="J389" s="51" t="n"/>
    </row>
    <row r="390">
      <c r="B390" s="51" t="n"/>
      <c r="C390" s="51" t="n"/>
      <c r="D390" s="51" t="n"/>
      <c r="E390" s="51" t="n"/>
      <c r="F390" s="51" t="n"/>
      <c r="G390" s="51" t="n"/>
      <c r="H390" s="51" t="n"/>
      <c r="I390" s="51" t="n"/>
      <c r="J390" s="51" t="n"/>
    </row>
    <row r="391">
      <c r="B391" s="51" t="n"/>
      <c r="C391" s="51" t="n"/>
      <c r="D391" s="51" t="n"/>
      <c r="E391" s="51" t="n"/>
      <c r="F391" s="51" t="n"/>
      <c r="G391" s="51" t="n"/>
      <c r="H391" s="51" t="n"/>
      <c r="I391" s="51" t="n"/>
      <c r="J391" s="51" t="n"/>
    </row>
    <row r="392">
      <c r="B392" s="51" t="n"/>
      <c r="C392" s="51" t="n"/>
      <c r="D392" s="51" t="n"/>
      <c r="E392" s="51" t="n"/>
      <c r="F392" s="51" t="n"/>
      <c r="G392" s="51" t="n"/>
      <c r="H392" s="51" t="n"/>
      <c r="I392" s="51" t="n"/>
      <c r="J392" s="51" t="n"/>
    </row>
    <row r="393">
      <c r="B393" s="51" t="n"/>
      <c r="C393" s="51" t="n"/>
      <c r="D393" s="51" t="n"/>
      <c r="E393" s="51" t="n"/>
      <c r="F393" s="51" t="n"/>
      <c r="G393" s="51" t="n"/>
      <c r="H393" s="51" t="n"/>
      <c r="I393" s="51" t="n"/>
      <c r="J393" s="51" t="n"/>
    </row>
    <row r="394">
      <c r="B394" s="51" t="n"/>
      <c r="C394" s="51" t="n"/>
      <c r="D394" s="51" t="n"/>
      <c r="E394" s="51" t="n"/>
      <c r="F394" s="51" t="n"/>
      <c r="G394" s="51" t="n"/>
      <c r="H394" s="51" t="n"/>
      <c r="I394" s="51" t="n"/>
      <c r="J394" s="51" t="n"/>
    </row>
    <row r="395">
      <c r="B395" s="51" t="n"/>
      <c r="C395" s="51" t="n"/>
      <c r="D395" s="51" t="n"/>
      <c r="E395" s="51" t="n"/>
      <c r="F395" s="51" t="n"/>
      <c r="G395" s="51" t="n"/>
      <c r="H395" s="51" t="n"/>
      <c r="I395" s="51" t="n"/>
      <c r="J395" s="51" t="n"/>
    </row>
    <row r="396">
      <c r="B396" s="51" t="n"/>
      <c r="C396" s="51" t="n"/>
      <c r="D396" s="51" t="n"/>
      <c r="E396" s="51" t="n"/>
      <c r="F396" s="51" t="n"/>
      <c r="G396" s="51" t="n"/>
      <c r="H396" s="51" t="n"/>
      <c r="I396" s="51" t="n"/>
      <c r="J396" s="51" t="n"/>
    </row>
    <row r="397">
      <c r="B397" s="51" t="n"/>
      <c r="C397" s="51" t="n"/>
      <c r="D397" s="51" t="n"/>
      <c r="E397" s="51" t="n"/>
      <c r="F397" s="51" t="n"/>
      <c r="G397" s="51" t="n"/>
      <c r="H397" s="51" t="n"/>
      <c r="I397" s="51" t="n"/>
      <c r="J397" s="51" t="n"/>
    </row>
    <row r="398">
      <c r="B398" s="51" t="n"/>
      <c r="C398" s="51" t="n"/>
      <c r="D398" s="51" t="n"/>
      <c r="E398" s="51" t="n"/>
      <c r="F398" s="51" t="n"/>
      <c r="G398" s="51" t="n"/>
      <c r="H398" s="51" t="n"/>
      <c r="I398" s="51" t="n"/>
      <c r="J398" s="51" t="n"/>
    </row>
    <row r="399">
      <c r="B399" s="51" t="n"/>
      <c r="C399" s="51" t="n"/>
      <c r="D399" s="51" t="n"/>
      <c r="E399" s="51" t="n"/>
      <c r="F399" s="51" t="n"/>
      <c r="G399" s="51" t="n"/>
      <c r="H399" s="51" t="n"/>
      <c r="I399" s="51" t="n"/>
      <c r="J399" s="51" t="n"/>
    </row>
    <row r="400">
      <c r="B400" s="51" t="n"/>
      <c r="C400" s="51" t="n"/>
      <c r="D400" s="51" t="n"/>
      <c r="E400" s="51" t="n"/>
      <c r="F400" s="51" t="n"/>
      <c r="G400" s="51" t="n"/>
      <c r="H400" s="51" t="n"/>
      <c r="I400" s="51" t="n"/>
      <c r="J400" s="51" t="n"/>
    </row>
    <row r="401">
      <c r="B401" s="51" t="n"/>
      <c r="C401" s="51" t="n"/>
      <c r="D401" s="51" t="n"/>
      <c r="E401" s="51" t="n"/>
      <c r="F401" s="51" t="n"/>
      <c r="G401" s="51" t="n"/>
      <c r="H401" s="51" t="n"/>
      <c r="I401" s="51" t="n"/>
      <c r="J401" s="51" t="n"/>
    </row>
    <row r="402">
      <c r="B402" s="51" t="n"/>
      <c r="C402" s="51" t="n"/>
      <c r="D402" s="51" t="n"/>
      <c r="E402" s="51" t="n"/>
      <c r="F402" s="51" t="n"/>
      <c r="G402" s="51" t="n"/>
      <c r="H402" s="51" t="n"/>
      <c r="I402" s="51" t="n"/>
      <c r="J402" s="51" t="n"/>
    </row>
    <row r="403">
      <c r="B403" s="51" t="n"/>
      <c r="C403" s="51" t="n"/>
      <c r="D403" s="51" t="n"/>
      <c r="E403" s="51" t="n"/>
      <c r="F403" s="51" t="n"/>
      <c r="G403" s="51" t="n"/>
      <c r="H403" s="51" t="n"/>
      <c r="I403" s="51" t="n"/>
      <c r="J403" s="51" t="n"/>
    </row>
    <row r="404">
      <c r="B404" s="51" t="n"/>
      <c r="C404" s="51" t="n"/>
      <c r="D404" s="51" t="n"/>
      <c r="E404" s="51" t="n"/>
      <c r="F404" s="51" t="n"/>
      <c r="G404" s="51" t="n"/>
      <c r="H404" s="51" t="n"/>
      <c r="I404" s="51" t="n"/>
      <c r="J404" s="51" t="n"/>
    </row>
    <row r="405">
      <c r="B405" s="51" t="n"/>
      <c r="C405" s="51" t="n"/>
      <c r="D405" s="51" t="n"/>
      <c r="E405" s="51" t="n"/>
      <c r="F405" s="51" t="n"/>
      <c r="G405" s="51" t="n"/>
      <c r="H405" s="51" t="n"/>
      <c r="I405" s="51" t="n"/>
      <c r="J405" s="51" t="n"/>
    </row>
    <row r="406">
      <c r="B406" s="51" t="n"/>
      <c r="C406" s="51" t="n"/>
      <c r="D406" s="51" t="n"/>
      <c r="E406" s="51" t="n"/>
      <c r="F406" s="51" t="n"/>
      <c r="G406" s="51" t="n"/>
      <c r="H406" s="51" t="n"/>
      <c r="I406" s="51" t="n"/>
      <c r="J406" s="51" t="n"/>
    </row>
    <row r="407">
      <c r="B407" s="51" t="n"/>
      <c r="C407" s="51" t="n"/>
      <c r="D407" s="51" t="n"/>
      <c r="E407" s="51" t="n"/>
      <c r="F407" s="51" t="n"/>
      <c r="G407" s="51" t="n"/>
      <c r="H407" s="51" t="n"/>
      <c r="I407" s="51" t="n"/>
      <c r="J407" s="51" t="n"/>
    </row>
    <row r="408">
      <c r="B408" s="51" t="n"/>
      <c r="C408" s="51" t="n"/>
      <c r="D408" s="51" t="n"/>
      <c r="E408" s="51" t="n"/>
      <c r="F408" s="51" t="n"/>
      <c r="G408" s="51" t="n"/>
      <c r="H408" s="51" t="n"/>
      <c r="I408" s="51" t="n"/>
      <c r="J408" s="51" t="n"/>
    </row>
    <row r="409">
      <c r="B409" s="51" t="n"/>
      <c r="C409" s="51" t="n"/>
      <c r="D409" s="51" t="n"/>
      <c r="E409" s="51" t="n"/>
      <c r="F409" s="51" t="n"/>
      <c r="G409" s="51" t="n"/>
      <c r="H409" s="51" t="n"/>
      <c r="I409" s="51" t="n"/>
      <c r="J409" s="51" t="n"/>
    </row>
    <row r="410">
      <c r="B410" s="51" t="n"/>
      <c r="C410" s="51" t="n"/>
      <c r="D410" s="51" t="n"/>
      <c r="E410" s="51" t="n"/>
      <c r="F410" s="51" t="n"/>
      <c r="G410" s="51" t="n"/>
      <c r="H410" s="51" t="n"/>
      <c r="I410" s="51" t="n"/>
      <c r="J410" s="51" t="n"/>
    </row>
    <row r="411">
      <c r="B411" s="51" t="n"/>
      <c r="C411" s="51" t="n"/>
      <c r="D411" s="51" t="n"/>
      <c r="E411" s="51" t="n"/>
      <c r="F411" s="51" t="n"/>
      <c r="G411" s="51" t="n"/>
      <c r="H411" s="51" t="n"/>
      <c r="I411" s="51" t="n"/>
      <c r="J411" s="51" t="n"/>
    </row>
    <row r="412">
      <c r="B412" s="51" t="n"/>
      <c r="C412" s="51" t="n"/>
      <c r="D412" s="51" t="n"/>
      <c r="E412" s="51" t="n"/>
      <c r="F412" s="51" t="n"/>
      <c r="G412" s="51" t="n"/>
      <c r="H412" s="51" t="n"/>
      <c r="I412" s="51" t="n"/>
      <c r="J412" s="51" t="n"/>
    </row>
    <row r="413">
      <c r="B413" s="51" t="n"/>
      <c r="C413" s="51" t="n"/>
      <c r="D413" s="51" t="n"/>
      <c r="E413" s="51" t="n"/>
      <c r="F413" s="51" t="n"/>
      <c r="G413" s="51" t="n"/>
      <c r="H413" s="51" t="n"/>
      <c r="I413" s="51" t="n"/>
      <c r="J413" s="51" t="n"/>
    </row>
    <row r="414">
      <c r="B414" s="51" t="n"/>
      <c r="C414" s="51" t="n"/>
      <c r="D414" s="51" t="n"/>
      <c r="E414" s="51" t="n"/>
      <c r="F414" s="51" t="n"/>
      <c r="G414" s="51" t="n"/>
      <c r="H414" s="51" t="n"/>
      <c r="I414" s="51" t="n"/>
      <c r="J414" s="51" t="n"/>
    </row>
    <row r="415">
      <c r="B415" s="51" t="n"/>
      <c r="C415" s="51" t="n"/>
      <c r="D415" s="51" t="n"/>
      <c r="E415" s="51" t="n"/>
      <c r="F415" s="51" t="n"/>
      <c r="G415" s="51" t="n"/>
      <c r="H415" s="51" t="n"/>
      <c r="I415" s="51" t="n"/>
      <c r="J415" s="51" t="n"/>
    </row>
    <row r="416">
      <c r="B416" s="51" t="n"/>
      <c r="C416" s="51" t="n"/>
      <c r="D416" s="51" t="n"/>
      <c r="E416" s="51" t="n"/>
      <c r="F416" s="51" t="n"/>
      <c r="G416" s="51" t="n"/>
      <c r="H416" s="51" t="n"/>
      <c r="I416" s="51" t="n"/>
      <c r="J416" s="51" t="n"/>
    </row>
    <row r="417">
      <c r="B417" s="51" t="n"/>
      <c r="C417" s="51" t="n"/>
      <c r="D417" s="51" t="n"/>
      <c r="E417" s="51" t="n"/>
      <c r="F417" s="51" t="n"/>
      <c r="G417" s="51" t="n"/>
      <c r="H417" s="51" t="n"/>
      <c r="I417" s="51" t="n"/>
      <c r="J417" s="51" t="n"/>
    </row>
    <row r="418">
      <c r="B418" s="51" t="n"/>
      <c r="C418" s="51" t="n"/>
      <c r="D418" s="51" t="n"/>
      <c r="E418" s="51" t="n"/>
      <c r="F418" s="51" t="n"/>
      <c r="G418" s="51" t="n"/>
      <c r="H418" s="51" t="n"/>
      <c r="I418" s="51" t="n"/>
      <c r="J418" s="51" t="n"/>
    </row>
    <row r="419">
      <c r="B419" s="51" t="n"/>
      <c r="C419" s="51" t="n"/>
      <c r="D419" s="51" t="n"/>
      <c r="E419" s="51" t="n"/>
      <c r="F419" s="51" t="n"/>
      <c r="G419" s="51" t="n"/>
      <c r="H419" s="51" t="n"/>
      <c r="I419" s="51" t="n"/>
      <c r="J419" s="51" t="n"/>
    </row>
    <row r="420">
      <c r="B420" s="51" t="n"/>
      <c r="C420" s="51" t="n"/>
      <c r="D420" s="51" t="n"/>
      <c r="E420" s="51" t="n"/>
      <c r="F420" s="51" t="n"/>
      <c r="G420" s="51" t="n"/>
      <c r="H420" s="51" t="n"/>
      <c r="I420" s="51" t="n"/>
      <c r="J420" s="51" t="n"/>
    </row>
    <row r="421">
      <c r="B421" s="51" t="n"/>
      <c r="C421" s="51" t="n"/>
      <c r="D421" s="51" t="n"/>
      <c r="E421" s="51" t="n"/>
      <c r="F421" s="51" t="n"/>
      <c r="G421" s="51" t="n"/>
      <c r="H421" s="51" t="n"/>
      <c r="I421" s="51" t="n"/>
      <c r="J421" s="51" t="n"/>
    </row>
    <row r="422">
      <c r="B422" s="51" t="n"/>
      <c r="C422" s="51" t="n"/>
      <c r="D422" s="51" t="n"/>
      <c r="E422" s="51" t="n"/>
      <c r="F422" s="51" t="n"/>
      <c r="G422" s="51" t="n"/>
      <c r="H422" s="51" t="n"/>
      <c r="I422" s="51" t="n"/>
      <c r="J422" s="51" t="n"/>
    </row>
    <row r="423">
      <c r="B423" s="51" t="n"/>
      <c r="C423" s="51" t="n"/>
      <c r="D423" s="51" t="n"/>
      <c r="E423" s="51" t="n"/>
      <c r="F423" s="51" t="n"/>
      <c r="G423" s="51" t="n"/>
      <c r="H423" s="51" t="n"/>
      <c r="I423" s="51" t="n"/>
      <c r="J423" s="51" t="n"/>
    </row>
    <row r="424">
      <c r="B424" s="51" t="n"/>
      <c r="C424" s="51" t="n"/>
      <c r="D424" s="51" t="n"/>
      <c r="E424" s="51" t="n"/>
      <c r="F424" s="51" t="n"/>
      <c r="G424" s="51" t="n"/>
      <c r="H424" s="51" t="n"/>
      <c r="I424" s="51" t="n"/>
      <c r="J424" s="51" t="n"/>
    </row>
    <row r="425">
      <c r="B425" s="51" t="n"/>
      <c r="C425" s="51" t="n"/>
      <c r="D425" s="51" t="n"/>
      <c r="E425" s="51" t="n"/>
      <c r="F425" s="51" t="n"/>
      <c r="G425" s="51" t="n"/>
      <c r="H425" s="51" t="n"/>
      <c r="I425" s="51" t="n"/>
      <c r="J425" s="51" t="n"/>
    </row>
    <row r="426">
      <c r="B426" s="51" t="n"/>
      <c r="C426" s="51" t="n"/>
      <c r="D426" s="51" t="n"/>
      <c r="E426" s="51" t="n"/>
      <c r="F426" s="51" t="n"/>
      <c r="G426" s="51" t="n"/>
      <c r="H426" s="51" t="n"/>
      <c r="I426" s="51" t="n"/>
      <c r="J426" s="51" t="n"/>
    </row>
    <row r="427">
      <c r="B427" s="51" t="n"/>
      <c r="C427" s="51" t="n"/>
      <c r="D427" s="51" t="n"/>
      <c r="E427" s="51" t="n"/>
      <c r="F427" s="51" t="n"/>
      <c r="G427" s="51" t="n"/>
      <c r="H427" s="51" t="n"/>
      <c r="I427" s="51" t="n"/>
      <c r="J427" s="51" t="n"/>
    </row>
    <row r="428">
      <c r="B428" s="51" t="n"/>
      <c r="C428" s="51" t="n"/>
      <c r="D428" s="51" t="n"/>
      <c r="E428" s="51" t="n"/>
      <c r="F428" s="51" t="n"/>
      <c r="G428" s="51" t="n"/>
      <c r="H428" s="51" t="n"/>
      <c r="I428" s="51" t="n"/>
      <c r="J428" s="51" t="n"/>
    </row>
    <row r="429">
      <c r="B429" s="51" t="n"/>
      <c r="C429" s="51" t="n"/>
      <c r="D429" s="51" t="n"/>
      <c r="E429" s="51" t="n"/>
      <c r="F429" s="51" t="n"/>
      <c r="G429" s="51" t="n"/>
      <c r="H429" s="51" t="n"/>
      <c r="I429" s="51" t="n"/>
      <c r="J429" s="51" t="n"/>
    </row>
    <row r="430">
      <c r="B430" s="51" t="n"/>
      <c r="C430" s="51" t="n"/>
      <c r="D430" s="51" t="n"/>
      <c r="E430" s="51" t="n"/>
      <c r="F430" s="51" t="n"/>
      <c r="G430" s="51" t="n"/>
      <c r="H430" s="51" t="n"/>
      <c r="I430" s="51" t="n"/>
      <c r="J430" s="51" t="n"/>
    </row>
    <row r="431">
      <c r="B431" s="51" t="n"/>
      <c r="C431" s="51" t="n"/>
      <c r="D431" s="51" t="n"/>
      <c r="E431" s="51" t="n"/>
      <c r="F431" s="51" t="n"/>
      <c r="G431" s="51" t="n"/>
      <c r="H431" s="51" t="n"/>
      <c r="I431" s="51" t="n"/>
      <c r="J431" s="51" t="n"/>
    </row>
    <row r="432">
      <c r="B432" s="51" t="n"/>
      <c r="C432" s="51" t="n"/>
      <c r="D432" s="51" t="n"/>
      <c r="E432" s="51" t="n"/>
      <c r="F432" s="51" t="n"/>
      <c r="G432" s="51" t="n"/>
      <c r="H432" s="51" t="n"/>
      <c r="I432" s="51" t="n"/>
      <c r="J432" s="51" t="n"/>
    </row>
    <row r="433">
      <c r="B433" s="51" t="n"/>
      <c r="C433" s="51" t="n"/>
      <c r="D433" s="51" t="n"/>
      <c r="E433" s="51" t="n"/>
      <c r="F433" s="51" t="n"/>
      <c r="G433" s="51" t="n"/>
      <c r="H433" s="51" t="n"/>
      <c r="I433" s="51" t="n"/>
      <c r="J433" s="51" t="n"/>
    </row>
    <row r="434">
      <c r="B434" s="51" t="n"/>
      <c r="C434" s="51" t="n"/>
      <c r="D434" s="51" t="n"/>
      <c r="E434" s="51" t="n"/>
      <c r="F434" s="51" t="n"/>
      <c r="G434" s="51" t="n"/>
      <c r="H434" s="51" t="n"/>
      <c r="I434" s="51" t="n"/>
      <c r="J434" s="51" t="n"/>
    </row>
    <row r="435">
      <c r="B435" s="51" t="n"/>
      <c r="C435" s="51" t="n"/>
      <c r="D435" s="51" t="n"/>
      <c r="E435" s="51" t="n"/>
      <c r="F435" s="51" t="n"/>
      <c r="G435" s="51" t="n"/>
      <c r="H435" s="51" t="n"/>
      <c r="I435" s="51" t="n"/>
      <c r="J435" s="51" t="n"/>
    </row>
    <row r="436">
      <c r="B436" s="51" t="n"/>
      <c r="C436" s="51" t="n"/>
      <c r="D436" s="51" t="n"/>
      <c r="E436" s="51" t="n"/>
      <c r="F436" s="51" t="n"/>
      <c r="G436" s="51" t="n"/>
      <c r="H436" s="51" t="n"/>
      <c r="I436" s="51" t="n"/>
      <c r="J436" s="51" t="n"/>
    </row>
    <row r="437">
      <c r="B437" s="51" t="n"/>
      <c r="C437" s="51" t="n"/>
      <c r="D437" s="51" t="n"/>
      <c r="E437" s="51" t="n"/>
      <c r="F437" s="51" t="n"/>
      <c r="G437" s="51" t="n"/>
      <c r="H437" s="51" t="n"/>
      <c r="I437" s="51" t="n"/>
      <c r="J437" s="51" t="n"/>
    </row>
    <row r="438">
      <c r="B438" s="51" t="n"/>
      <c r="C438" s="51" t="n"/>
      <c r="D438" s="51" t="n"/>
      <c r="E438" s="51" t="n"/>
      <c r="F438" s="51" t="n"/>
      <c r="G438" s="51" t="n"/>
      <c r="H438" s="51" t="n"/>
      <c r="I438" s="51" t="n"/>
      <c r="J438" s="51" t="n"/>
    </row>
    <row r="439">
      <c r="B439" s="51" t="n"/>
      <c r="C439" s="51" t="n"/>
      <c r="D439" s="51" t="n"/>
      <c r="E439" s="51" t="n"/>
      <c r="F439" s="51" t="n"/>
      <c r="G439" s="51" t="n"/>
      <c r="H439" s="51" t="n"/>
      <c r="I439" s="51" t="n"/>
      <c r="J439" s="51" t="n"/>
    </row>
    <row r="440">
      <c r="B440" s="51" t="n"/>
      <c r="C440" s="51" t="n"/>
      <c r="D440" s="51" t="n"/>
      <c r="E440" s="51" t="n"/>
      <c r="F440" s="51" t="n"/>
      <c r="G440" s="51" t="n"/>
      <c r="H440" s="51" t="n"/>
      <c r="I440" s="51" t="n"/>
      <c r="J440" s="51" t="n"/>
    </row>
    <row r="441">
      <c r="B441" s="51" t="n"/>
      <c r="C441" s="51" t="n"/>
      <c r="D441" s="51" t="n"/>
      <c r="E441" s="51" t="n"/>
      <c r="F441" s="51" t="n"/>
      <c r="G441" s="51" t="n"/>
      <c r="H441" s="51" t="n"/>
      <c r="I441" s="51" t="n"/>
      <c r="J441" s="51" t="n"/>
    </row>
    <row r="442">
      <c r="B442" s="51" t="n"/>
      <c r="C442" s="51" t="n"/>
      <c r="D442" s="51" t="n"/>
      <c r="E442" s="51" t="n"/>
      <c r="F442" s="51" t="n"/>
      <c r="G442" s="51" t="n"/>
      <c r="H442" s="51" t="n"/>
      <c r="I442" s="51" t="n"/>
      <c r="J442" s="51" t="n"/>
    </row>
    <row r="443">
      <c r="B443" s="51" t="n"/>
      <c r="C443" s="51" t="n"/>
      <c r="D443" s="51" t="n"/>
      <c r="E443" s="51" t="n"/>
      <c r="F443" s="51" t="n"/>
      <c r="G443" s="51" t="n"/>
      <c r="H443" s="51" t="n"/>
      <c r="I443" s="51" t="n"/>
      <c r="J443" s="51" t="n"/>
    </row>
    <row r="444">
      <c r="B444" s="51" t="n"/>
      <c r="C444" s="51" t="n"/>
      <c r="D444" s="51" t="n"/>
      <c r="E444" s="51" t="n"/>
      <c r="F444" s="51" t="n"/>
      <c r="G444" s="51" t="n"/>
      <c r="H444" s="51" t="n"/>
      <c r="I444" s="51" t="n"/>
      <c r="J444" s="51" t="n"/>
    </row>
    <row r="445">
      <c r="B445" s="51" t="n"/>
      <c r="C445" s="51" t="n"/>
      <c r="D445" s="51" t="n"/>
      <c r="E445" s="51" t="n"/>
      <c r="F445" s="51" t="n"/>
      <c r="G445" s="51" t="n"/>
      <c r="H445" s="51" t="n"/>
      <c r="I445" s="51" t="n"/>
      <c r="J445" s="51" t="n"/>
    </row>
    <row r="446">
      <c r="B446" s="51" t="n"/>
      <c r="C446" s="51" t="n"/>
      <c r="D446" s="51" t="n"/>
      <c r="E446" s="51" t="n"/>
      <c r="F446" s="51" t="n"/>
      <c r="G446" s="51" t="n"/>
      <c r="H446" s="51" t="n"/>
      <c r="I446" s="51" t="n"/>
      <c r="J446" s="51" t="n"/>
    </row>
    <row r="447">
      <c r="B447" s="51" t="n"/>
      <c r="C447" s="51" t="n"/>
      <c r="D447" s="51" t="n"/>
      <c r="E447" s="51" t="n"/>
      <c r="F447" s="51" t="n"/>
      <c r="G447" s="51" t="n"/>
      <c r="H447" s="51" t="n"/>
      <c r="I447" s="51" t="n"/>
      <c r="J447" s="51" t="n"/>
    </row>
    <row r="448">
      <c r="B448" s="51" t="n"/>
      <c r="C448" s="51" t="n"/>
      <c r="D448" s="51" t="n"/>
      <c r="E448" s="51" t="n"/>
      <c r="F448" s="51" t="n"/>
      <c r="G448" s="51" t="n"/>
      <c r="H448" s="51" t="n"/>
      <c r="I448" s="51" t="n"/>
      <c r="J448" s="51" t="n"/>
    </row>
    <row r="449">
      <c r="B449" s="51" t="n"/>
      <c r="C449" s="51" t="n"/>
      <c r="D449" s="51" t="n"/>
      <c r="E449" s="51" t="n"/>
      <c r="F449" s="51" t="n"/>
      <c r="G449" s="51" t="n"/>
      <c r="H449" s="51" t="n"/>
      <c r="I449" s="51" t="n"/>
      <c r="J449" s="51" t="n"/>
    </row>
    <row r="450">
      <c r="B450" s="51" t="n"/>
      <c r="C450" s="51" t="n"/>
      <c r="D450" s="51" t="n"/>
      <c r="E450" s="51" t="n"/>
      <c r="F450" s="51" t="n"/>
      <c r="G450" s="51" t="n"/>
      <c r="H450" s="51" t="n"/>
      <c r="I450" s="51" t="n"/>
      <c r="J450" s="51" t="n"/>
    </row>
    <row r="451">
      <c r="B451" s="51" t="n"/>
      <c r="C451" s="51" t="n"/>
      <c r="D451" s="51" t="n"/>
      <c r="E451" s="51" t="n"/>
      <c r="F451" s="51" t="n"/>
      <c r="G451" s="51" t="n"/>
      <c r="H451" s="51" t="n"/>
      <c r="I451" s="51" t="n"/>
      <c r="J451" s="51" t="n"/>
    </row>
    <row r="452">
      <c r="B452" s="51" t="n"/>
      <c r="C452" s="51" t="n"/>
      <c r="D452" s="51" t="n"/>
      <c r="E452" s="51" t="n"/>
      <c r="F452" s="51" t="n"/>
      <c r="G452" s="51" t="n"/>
      <c r="H452" s="51" t="n"/>
      <c r="I452" s="51" t="n"/>
      <c r="J452" s="51" t="n"/>
    </row>
    <row r="453">
      <c r="B453" s="51" t="n"/>
      <c r="C453" s="51" t="n"/>
      <c r="D453" s="51" t="n"/>
      <c r="E453" s="51" t="n"/>
      <c r="F453" s="51" t="n"/>
      <c r="G453" s="51" t="n"/>
      <c r="H453" s="51" t="n"/>
      <c r="I453" s="51" t="n"/>
      <c r="J453" s="51" t="n"/>
    </row>
    <row r="454">
      <c r="B454" s="51" t="n"/>
      <c r="C454" s="51" t="n"/>
      <c r="D454" s="51" t="n"/>
      <c r="E454" s="51" t="n"/>
      <c r="F454" s="51" t="n"/>
      <c r="G454" s="51" t="n"/>
      <c r="H454" s="51" t="n"/>
      <c r="I454" s="51" t="n"/>
      <c r="J454" s="51" t="n"/>
    </row>
    <row r="455">
      <c r="B455" s="51" t="n"/>
      <c r="C455" s="51" t="n"/>
      <c r="D455" s="51" t="n"/>
      <c r="E455" s="51" t="n"/>
      <c r="F455" s="51" t="n"/>
      <c r="G455" s="51" t="n"/>
      <c r="H455" s="51" t="n"/>
      <c r="I455" s="51" t="n"/>
      <c r="J455" s="51" t="n"/>
    </row>
    <row r="456">
      <c r="B456" s="51" t="n"/>
      <c r="C456" s="51" t="n"/>
      <c r="D456" s="51" t="n"/>
      <c r="E456" s="51" t="n"/>
      <c r="F456" s="51" t="n"/>
      <c r="G456" s="51" t="n"/>
      <c r="H456" s="51" t="n"/>
      <c r="I456" s="51" t="n"/>
      <c r="J456" s="51" t="n"/>
    </row>
    <row r="457">
      <c r="B457" s="51" t="n"/>
      <c r="C457" s="51" t="n"/>
      <c r="D457" s="51" t="n"/>
      <c r="E457" s="51" t="n"/>
      <c r="F457" s="51" t="n"/>
      <c r="G457" s="51" t="n"/>
      <c r="H457" s="51" t="n"/>
      <c r="I457" s="51" t="n"/>
      <c r="J457" s="51" t="n"/>
    </row>
    <row r="458">
      <c r="B458" s="51" t="n"/>
      <c r="C458" s="51" t="n"/>
      <c r="D458" s="51" t="n"/>
      <c r="E458" s="51" t="n"/>
      <c r="F458" s="51" t="n"/>
      <c r="G458" s="51" t="n"/>
      <c r="H458" s="51" t="n"/>
      <c r="I458" s="51" t="n"/>
      <c r="J458" s="51" t="n"/>
    </row>
    <row r="459">
      <c r="B459" s="51" t="n"/>
      <c r="C459" s="51" t="n"/>
      <c r="D459" s="51" t="n"/>
      <c r="E459" s="51" t="n"/>
      <c r="F459" s="51" t="n"/>
      <c r="G459" s="51" t="n"/>
      <c r="H459" s="51" t="n"/>
      <c r="I459" s="51" t="n"/>
      <c r="J459" s="51" t="n"/>
    </row>
    <row r="460">
      <c r="B460" s="51" t="n"/>
      <c r="C460" s="51" t="n"/>
      <c r="D460" s="51" t="n"/>
      <c r="E460" s="51" t="n"/>
      <c r="F460" s="51" t="n"/>
      <c r="G460" s="51" t="n"/>
      <c r="H460" s="51" t="n"/>
      <c r="I460" s="51" t="n"/>
      <c r="J460" s="51" t="n"/>
    </row>
    <row r="461">
      <c r="B461" s="51" t="n"/>
      <c r="C461" s="51" t="n"/>
      <c r="D461" s="51" t="n"/>
      <c r="E461" s="51" t="n"/>
      <c r="F461" s="51" t="n"/>
      <c r="G461" s="51" t="n"/>
      <c r="H461" s="51" t="n"/>
      <c r="I461" s="51" t="n"/>
      <c r="J461" s="51" t="n"/>
    </row>
    <row r="462">
      <c r="B462" s="51" t="n"/>
      <c r="C462" s="51" t="n"/>
      <c r="D462" s="51" t="n"/>
      <c r="E462" s="51" t="n"/>
      <c r="F462" s="51" t="n"/>
      <c r="G462" s="51" t="n"/>
      <c r="H462" s="51" t="n"/>
      <c r="I462" s="51" t="n"/>
      <c r="J462" s="51" t="n"/>
    </row>
    <row r="463">
      <c r="B463" s="51" t="n"/>
      <c r="C463" s="51" t="n"/>
      <c r="D463" s="51" t="n"/>
      <c r="E463" s="51" t="n"/>
      <c r="F463" s="51" t="n"/>
      <c r="G463" s="51" t="n"/>
      <c r="H463" s="51" t="n"/>
      <c r="I463" s="51" t="n"/>
      <c r="J463" s="51" t="n"/>
    </row>
    <row r="464">
      <c r="B464" s="51" t="n"/>
      <c r="C464" s="51" t="n"/>
      <c r="D464" s="51" t="n"/>
      <c r="E464" s="51" t="n"/>
      <c r="F464" s="51" t="n"/>
      <c r="G464" s="51" t="n"/>
      <c r="H464" s="51" t="n"/>
      <c r="I464" s="51" t="n"/>
      <c r="J464" s="51" t="n"/>
    </row>
    <row r="465">
      <c r="B465" s="51" t="n"/>
      <c r="C465" s="51" t="n"/>
      <c r="D465" s="51" t="n"/>
      <c r="E465" s="51" t="n"/>
      <c r="F465" s="51" t="n"/>
      <c r="G465" s="51" t="n"/>
      <c r="H465" s="51" t="n"/>
      <c r="I465" s="51" t="n"/>
      <c r="J465" s="51" t="n"/>
    </row>
    <row r="466">
      <c r="B466" s="51" t="n"/>
      <c r="C466" s="51" t="n"/>
      <c r="D466" s="51" t="n"/>
      <c r="E466" s="51" t="n"/>
      <c r="F466" s="51" t="n"/>
      <c r="G466" s="51" t="n"/>
      <c r="H466" s="51" t="n"/>
      <c r="I466" s="51" t="n"/>
      <c r="J466" s="51" t="n"/>
    </row>
    <row r="467">
      <c r="B467" s="51" t="n"/>
      <c r="C467" s="51" t="n"/>
      <c r="D467" s="51" t="n"/>
      <c r="E467" s="51" t="n"/>
      <c r="F467" s="51" t="n"/>
      <c r="G467" s="51" t="n"/>
      <c r="H467" s="51" t="n"/>
      <c r="I467" s="51" t="n"/>
      <c r="J467" s="51" t="n"/>
    </row>
    <row r="468">
      <c r="B468" s="51" t="n"/>
      <c r="C468" s="51" t="n"/>
      <c r="D468" s="51" t="n"/>
      <c r="E468" s="51" t="n"/>
      <c r="F468" s="51" t="n"/>
      <c r="G468" s="51" t="n"/>
      <c r="H468" s="51" t="n"/>
      <c r="I468" s="51" t="n"/>
      <c r="J468" s="51" t="n"/>
    </row>
    <row r="469">
      <c r="B469" s="51" t="n"/>
      <c r="C469" s="51" t="n"/>
      <c r="D469" s="51" t="n"/>
      <c r="E469" s="51" t="n"/>
      <c r="F469" s="51" t="n"/>
      <c r="G469" s="51" t="n"/>
      <c r="H469" s="51" t="n"/>
      <c r="I469" s="51" t="n"/>
      <c r="J469" s="51" t="n"/>
    </row>
    <row r="470">
      <c r="B470" s="51" t="n"/>
      <c r="C470" s="51" t="n"/>
      <c r="D470" s="51" t="n"/>
      <c r="E470" s="51" t="n"/>
      <c r="F470" s="51" t="n"/>
      <c r="G470" s="51" t="n"/>
      <c r="H470" s="51" t="n"/>
      <c r="I470" s="51" t="n"/>
      <c r="J470" s="51" t="n"/>
    </row>
    <row r="471">
      <c r="B471" s="51" t="n"/>
      <c r="C471" s="51" t="n"/>
      <c r="D471" s="51" t="n"/>
      <c r="E471" s="51" t="n"/>
      <c r="F471" s="51" t="n"/>
      <c r="G471" s="51" t="n"/>
      <c r="H471" s="51" t="n"/>
      <c r="I471" s="51" t="n"/>
      <c r="J471" s="51" t="n"/>
    </row>
    <row r="472">
      <c r="B472" s="51" t="n"/>
      <c r="C472" s="51" t="n"/>
      <c r="D472" s="51" t="n"/>
      <c r="E472" s="51" t="n"/>
      <c r="F472" s="51" t="n"/>
      <c r="G472" s="51" t="n"/>
      <c r="H472" s="51" t="n"/>
      <c r="I472" s="51" t="n"/>
      <c r="J472" s="51" t="n"/>
    </row>
    <row r="473">
      <c r="B473" s="51" t="n"/>
      <c r="C473" s="51" t="n"/>
      <c r="D473" s="51" t="n"/>
      <c r="E473" s="51" t="n"/>
      <c r="F473" s="51" t="n"/>
      <c r="G473" s="51" t="n"/>
      <c r="H473" s="51" t="n"/>
      <c r="I473" s="51" t="n"/>
      <c r="J473" s="51" t="n"/>
    </row>
    <row r="474">
      <c r="B474" s="51" t="n"/>
      <c r="C474" s="51" t="n"/>
      <c r="D474" s="51" t="n"/>
      <c r="E474" s="51" t="n"/>
      <c r="F474" s="51" t="n"/>
      <c r="G474" s="51" t="n"/>
      <c r="H474" s="51" t="n"/>
      <c r="I474" s="51" t="n"/>
      <c r="J474" s="51" t="n"/>
    </row>
    <row r="475">
      <c r="B475" s="51" t="n"/>
      <c r="C475" s="51" t="n"/>
      <c r="D475" s="51" t="n"/>
      <c r="E475" s="51" t="n"/>
      <c r="F475" s="51" t="n"/>
      <c r="G475" s="51" t="n"/>
      <c r="H475" s="51" t="n"/>
      <c r="I475" s="51" t="n"/>
      <c r="J475" s="51" t="n"/>
    </row>
    <row r="476">
      <c r="B476" s="51" t="n"/>
      <c r="C476" s="51" t="n"/>
      <c r="D476" s="51" t="n"/>
      <c r="E476" s="51" t="n"/>
      <c r="F476" s="51" t="n"/>
      <c r="G476" s="51" t="n"/>
      <c r="H476" s="51" t="n"/>
      <c r="I476" s="51" t="n"/>
      <c r="J476" s="51" t="n"/>
    </row>
    <row r="477">
      <c r="B477" s="51" t="n"/>
      <c r="C477" s="51" t="n"/>
      <c r="D477" s="51" t="n"/>
      <c r="E477" s="51" t="n"/>
      <c r="F477" s="51" t="n"/>
      <c r="G477" s="51" t="n"/>
      <c r="H477" s="51" t="n"/>
      <c r="I477" s="51" t="n"/>
      <c r="J477" s="51" t="n"/>
    </row>
    <row r="478">
      <c r="B478" s="51" t="n"/>
      <c r="C478" s="51" t="n"/>
      <c r="D478" s="51" t="n"/>
      <c r="E478" s="51" t="n"/>
      <c r="F478" s="51" t="n"/>
      <c r="G478" s="51" t="n"/>
      <c r="H478" s="51" t="n"/>
      <c r="I478" s="51" t="n"/>
      <c r="J478" s="51" t="n"/>
    </row>
    <row r="479">
      <c r="B479" s="51" t="n"/>
      <c r="C479" s="51" t="n"/>
      <c r="D479" s="51" t="n"/>
      <c r="E479" s="51" t="n"/>
      <c r="F479" s="51" t="n"/>
      <c r="G479" s="51" t="n"/>
      <c r="H479" s="51" t="n"/>
      <c r="I479" s="51" t="n"/>
      <c r="J479" s="51" t="n"/>
    </row>
    <row r="480">
      <c r="B480" s="51" t="n"/>
      <c r="C480" s="51" t="n"/>
      <c r="D480" s="51" t="n"/>
      <c r="E480" s="51" t="n"/>
      <c r="F480" s="51" t="n"/>
      <c r="G480" s="51" t="n"/>
      <c r="H480" s="51" t="n"/>
      <c r="I480" s="51" t="n"/>
      <c r="J480" s="51" t="n"/>
    </row>
    <row r="481">
      <c r="B481" s="51" t="n"/>
      <c r="C481" s="51" t="n"/>
      <c r="D481" s="51" t="n"/>
      <c r="E481" s="51" t="n"/>
      <c r="F481" s="51" t="n"/>
      <c r="G481" s="51" t="n"/>
      <c r="H481" s="51" t="n"/>
      <c r="I481" s="51" t="n"/>
      <c r="J481" s="51" t="n"/>
    </row>
    <row r="482">
      <c r="B482" s="51" t="n"/>
      <c r="C482" s="51" t="n"/>
      <c r="D482" s="51" t="n"/>
      <c r="E482" s="51" t="n"/>
      <c r="F482" s="51" t="n"/>
      <c r="G482" s="51" t="n"/>
      <c r="H482" s="51" t="n"/>
      <c r="I482" s="51" t="n"/>
      <c r="J482" s="51" t="n"/>
    </row>
    <row r="483">
      <c r="B483" s="51" t="n"/>
      <c r="C483" s="51" t="n"/>
      <c r="D483" s="51" t="n"/>
      <c r="E483" s="51" t="n"/>
      <c r="F483" s="51" t="n"/>
      <c r="G483" s="51" t="n"/>
      <c r="H483" s="51" t="n"/>
      <c r="I483" s="51" t="n"/>
      <c r="J483" s="51" t="n"/>
    </row>
    <row r="484">
      <c r="B484" s="51" t="n"/>
      <c r="C484" s="51" t="n"/>
      <c r="D484" s="51" t="n"/>
      <c r="E484" s="51" t="n"/>
      <c r="F484" s="51" t="n"/>
      <c r="G484" s="51" t="n"/>
      <c r="H484" s="51" t="n"/>
      <c r="I484" s="51" t="n"/>
      <c r="J484" s="51" t="n"/>
    </row>
    <row r="485">
      <c r="B485" s="51" t="n"/>
      <c r="C485" s="51" t="n"/>
      <c r="D485" s="51" t="n"/>
      <c r="E485" s="51" t="n"/>
      <c r="F485" s="51" t="n"/>
      <c r="G485" s="51" t="n"/>
      <c r="H485" s="51" t="n"/>
      <c r="I485" s="51" t="n"/>
      <c r="J485" s="51" t="n"/>
    </row>
    <row r="486">
      <c r="B486" s="51" t="n"/>
      <c r="C486" s="51" t="n"/>
      <c r="D486" s="51" t="n"/>
      <c r="E486" s="51" t="n"/>
      <c r="F486" s="51" t="n"/>
      <c r="G486" s="51" t="n"/>
      <c r="H486" s="51" t="n"/>
      <c r="I486" s="51" t="n"/>
      <c r="J486" s="51" t="n"/>
    </row>
    <row r="487">
      <c r="B487" s="51" t="n"/>
      <c r="C487" s="51" t="n"/>
      <c r="D487" s="51" t="n"/>
      <c r="E487" s="51" t="n"/>
      <c r="F487" s="51" t="n"/>
      <c r="G487" s="51" t="n"/>
      <c r="H487" s="51" t="n"/>
      <c r="I487" s="51" t="n"/>
      <c r="J487" s="51" t="n"/>
    </row>
    <row r="488">
      <c r="B488" s="51" t="n"/>
      <c r="C488" s="51" t="n"/>
      <c r="D488" s="51" t="n"/>
      <c r="E488" s="51" t="n"/>
      <c r="F488" s="51" t="n"/>
      <c r="G488" s="51" t="n"/>
      <c r="H488" s="51" t="n"/>
      <c r="I488" s="51" t="n"/>
      <c r="J488" s="51" t="n"/>
    </row>
    <row r="489">
      <c r="B489" s="51" t="n"/>
      <c r="C489" s="51" t="n"/>
      <c r="D489" s="51" t="n"/>
      <c r="E489" s="51" t="n"/>
      <c r="F489" s="51" t="n"/>
      <c r="G489" s="51" t="n"/>
      <c r="H489" s="51" t="n"/>
      <c r="I489" s="51" t="n"/>
      <c r="J489" s="51" t="n"/>
    </row>
    <row r="490">
      <c r="B490" s="51" t="n"/>
      <c r="C490" s="51" t="n"/>
      <c r="D490" s="51" t="n"/>
      <c r="E490" s="51" t="n"/>
      <c r="F490" s="51" t="n"/>
      <c r="G490" s="51" t="n"/>
      <c r="H490" s="51" t="n"/>
      <c r="I490" s="51" t="n"/>
      <c r="J490" s="51" t="n"/>
    </row>
    <row r="491">
      <c r="B491" s="51" t="n"/>
      <c r="C491" s="51" t="n"/>
      <c r="D491" s="51" t="n"/>
      <c r="E491" s="51" t="n"/>
      <c r="F491" s="51" t="n"/>
      <c r="G491" s="51" t="n"/>
      <c r="H491" s="51" t="n"/>
      <c r="I491" s="51" t="n"/>
      <c r="J491" s="51" t="n"/>
    </row>
    <row r="492">
      <c r="B492" s="51" t="n"/>
      <c r="C492" s="51" t="n"/>
      <c r="D492" s="51" t="n"/>
      <c r="E492" s="51" t="n"/>
      <c r="F492" s="51" t="n"/>
      <c r="G492" s="51" t="n"/>
      <c r="H492" s="51" t="n"/>
      <c r="I492" s="51" t="n"/>
      <c r="J492" s="51" t="n"/>
    </row>
    <row r="493">
      <c r="B493" s="51" t="n"/>
      <c r="C493" s="51" t="n"/>
      <c r="D493" s="51" t="n"/>
      <c r="E493" s="51" t="n"/>
      <c r="F493" s="51" t="n"/>
      <c r="G493" s="51" t="n"/>
      <c r="H493" s="51" t="n"/>
      <c r="I493" s="51" t="n"/>
      <c r="J493" s="51" t="n"/>
    </row>
    <row r="494">
      <c r="B494" s="51" t="n"/>
      <c r="C494" s="51" t="n"/>
      <c r="D494" s="51" t="n"/>
      <c r="E494" s="51" t="n"/>
      <c r="F494" s="51" t="n"/>
      <c r="G494" s="51" t="n"/>
      <c r="H494" s="51" t="n"/>
      <c r="I494" s="51" t="n"/>
      <c r="J494" s="51" t="n"/>
    </row>
    <row r="495">
      <c r="B495" s="51" t="n"/>
      <c r="C495" s="51" t="n"/>
      <c r="D495" s="51" t="n"/>
      <c r="E495" s="51" t="n"/>
      <c r="F495" s="51" t="n"/>
      <c r="G495" s="51" t="n"/>
      <c r="H495" s="51" t="n"/>
      <c r="I495" s="51" t="n"/>
      <c r="J495" s="51" t="n"/>
    </row>
    <row r="496">
      <c r="B496" s="51" t="n"/>
      <c r="C496" s="51" t="n"/>
      <c r="D496" s="51" t="n"/>
      <c r="E496" s="51" t="n"/>
      <c r="F496" s="51" t="n"/>
      <c r="G496" s="51" t="n"/>
      <c r="H496" s="51" t="n"/>
      <c r="I496" s="51" t="n"/>
      <c r="J496" s="51" t="n"/>
    </row>
    <row r="497">
      <c r="B497" s="51" t="n"/>
      <c r="C497" s="51" t="n"/>
      <c r="D497" s="51" t="n"/>
      <c r="E497" s="51" t="n"/>
      <c r="F497" s="51" t="n"/>
      <c r="G497" s="51" t="n"/>
      <c r="H497" s="51" t="n"/>
      <c r="I497" s="51" t="n"/>
      <c r="J497" s="51" t="n"/>
    </row>
    <row r="498">
      <c r="B498" s="51" t="n"/>
      <c r="C498" s="51" t="n"/>
      <c r="D498" s="51" t="n"/>
      <c r="E498" s="51" t="n"/>
      <c r="F498" s="51" t="n"/>
      <c r="G498" s="51" t="n"/>
      <c r="H498" s="51" t="n"/>
      <c r="I498" s="51" t="n"/>
      <c r="J498" s="51" t="n"/>
    </row>
    <row r="499">
      <c r="B499" s="51" t="n"/>
      <c r="C499" s="51" t="n"/>
      <c r="D499" s="51" t="n"/>
      <c r="E499" s="51" t="n"/>
      <c r="F499" s="51" t="n"/>
      <c r="G499" s="51" t="n"/>
      <c r="H499" s="51" t="n"/>
      <c r="I499" s="51" t="n"/>
      <c r="J499" s="51" t="n"/>
    </row>
    <row r="500">
      <c r="B500" s="51" t="n"/>
      <c r="C500" s="51" t="n"/>
      <c r="D500" s="51" t="n"/>
      <c r="E500" s="51" t="n"/>
      <c r="F500" s="51" t="n"/>
      <c r="G500" s="51" t="n"/>
      <c r="H500" s="51" t="n"/>
      <c r="I500" s="51" t="n"/>
      <c r="J500" s="51" t="n"/>
    </row>
    <row r="501">
      <c r="B501" s="51" t="n"/>
      <c r="C501" s="51" t="n"/>
      <c r="D501" s="51" t="n"/>
      <c r="E501" s="51" t="n"/>
      <c r="F501" s="51" t="n"/>
      <c r="G501" s="51" t="n"/>
      <c r="H501" s="51" t="n"/>
      <c r="I501" s="51" t="n"/>
      <c r="J501" s="51" t="n"/>
    </row>
    <row r="502">
      <c r="B502" s="51" t="n"/>
      <c r="C502" s="51" t="n"/>
      <c r="D502" s="51" t="n"/>
      <c r="E502" s="51" t="n"/>
      <c r="F502" s="51" t="n"/>
      <c r="G502" s="51" t="n"/>
      <c r="H502" s="51" t="n"/>
      <c r="I502" s="51" t="n"/>
      <c r="J502" s="51" t="n"/>
    </row>
    <row r="503">
      <c r="B503" s="51" t="n"/>
      <c r="C503" s="51" t="n"/>
      <c r="D503" s="51" t="n"/>
      <c r="E503" s="51" t="n"/>
      <c r="F503" s="51" t="n"/>
      <c r="G503" s="51" t="n"/>
      <c r="H503" s="51" t="n"/>
      <c r="I503" s="51" t="n"/>
      <c r="J503" s="51" t="n"/>
    </row>
    <row r="504">
      <c r="B504" s="51" t="n"/>
      <c r="C504" s="51" t="n"/>
      <c r="D504" s="51" t="n"/>
      <c r="E504" s="51" t="n"/>
      <c r="F504" s="51" t="n"/>
      <c r="G504" s="51" t="n"/>
      <c r="H504" s="51" t="n"/>
      <c r="I504" s="51" t="n"/>
      <c r="J504" s="51" t="n"/>
    </row>
    <row r="505">
      <c r="B505" s="51" t="n"/>
      <c r="C505" s="51" t="n"/>
      <c r="D505" s="51" t="n"/>
      <c r="E505" s="51" t="n"/>
      <c r="F505" s="51" t="n"/>
      <c r="G505" s="51" t="n"/>
      <c r="H505" s="51" t="n"/>
      <c r="I505" s="51" t="n"/>
      <c r="J505" s="51" t="n"/>
    </row>
    <row r="506">
      <c r="B506" s="51" t="n"/>
      <c r="C506" s="51" t="n"/>
      <c r="D506" s="51" t="n"/>
      <c r="E506" s="51" t="n"/>
      <c r="F506" s="51" t="n"/>
      <c r="G506" s="51" t="n"/>
      <c r="H506" s="51" t="n"/>
      <c r="I506" s="51" t="n"/>
      <c r="J506" s="51" t="n"/>
    </row>
    <row r="507">
      <c r="B507" s="51" t="n"/>
      <c r="C507" s="51" t="n"/>
      <c r="D507" s="51" t="n"/>
      <c r="E507" s="51" t="n"/>
      <c r="F507" s="51" t="n"/>
      <c r="G507" s="51" t="n"/>
      <c r="H507" s="51" t="n"/>
      <c r="I507" s="51" t="n"/>
      <c r="J507" s="51" t="n"/>
    </row>
    <row r="508">
      <c r="B508" s="51" t="n"/>
      <c r="C508" s="51" t="n"/>
      <c r="D508" s="51" t="n"/>
      <c r="E508" s="51" t="n"/>
      <c r="F508" s="51" t="n"/>
      <c r="G508" s="51" t="n"/>
      <c r="H508" s="51" t="n"/>
      <c r="I508" s="51" t="n"/>
      <c r="J508" s="51" t="n"/>
    </row>
    <row r="509">
      <c r="B509" s="51" t="n"/>
      <c r="C509" s="51" t="n"/>
      <c r="D509" s="51" t="n"/>
      <c r="E509" s="51" t="n"/>
      <c r="F509" s="51" t="n"/>
      <c r="G509" s="51" t="n"/>
      <c r="H509" s="51" t="n"/>
      <c r="I509" s="51" t="n"/>
      <c r="J509" s="51" t="n"/>
    </row>
    <row r="510">
      <c r="B510" s="51" t="n"/>
      <c r="C510" s="51" t="n"/>
      <c r="D510" s="51" t="n"/>
      <c r="E510" s="51" t="n"/>
      <c r="F510" s="51" t="n"/>
      <c r="G510" s="51" t="n"/>
      <c r="H510" s="51" t="n"/>
      <c r="I510" s="51" t="n"/>
      <c r="J510" s="51" t="n"/>
    </row>
    <row r="511">
      <c r="B511" s="51" t="n"/>
      <c r="C511" s="51" t="n"/>
      <c r="D511" s="51" t="n"/>
      <c r="E511" s="51" t="n"/>
      <c r="F511" s="51" t="n"/>
      <c r="G511" s="51" t="n"/>
      <c r="H511" s="51" t="n"/>
      <c r="I511" s="51" t="n"/>
      <c r="J511" s="51" t="n"/>
    </row>
    <row r="512">
      <c r="B512" s="51" t="n"/>
      <c r="C512" s="51" t="n"/>
      <c r="D512" s="51" t="n"/>
      <c r="E512" s="51" t="n"/>
      <c r="F512" s="51" t="n"/>
      <c r="G512" s="51" t="n"/>
      <c r="H512" s="51" t="n"/>
      <c r="I512" s="51" t="n"/>
      <c r="J512" s="51" t="n"/>
    </row>
    <row r="513">
      <c r="B513" s="51" t="n"/>
      <c r="C513" s="51" t="n"/>
      <c r="D513" s="51" t="n"/>
      <c r="E513" s="51" t="n"/>
      <c r="F513" s="51" t="n"/>
      <c r="G513" s="51" t="n"/>
      <c r="H513" s="51" t="n"/>
      <c r="I513" s="51" t="n"/>
      <c r="J513" s="51" t="n"/>
    </row>
    <row r="514">
      <c r="B514" s="51" t="n"/>
      <c r="C514" s="51" t="n"/>
      <c r="D514" s="51" t="n"/>
      <c r="E514" s="51" t="n"/>
      <c r="F514" s="51" t="n"/>
      <c r="G514" s="51" t="n"/>
      <c r="H514" s="51" t="n"/>
      <c r="I514" s="51" t="n"/>
      <c r="J514" s="51" t="n"/>
    </row>
    <row r="515">
      <c r="B515" s="51" t="n"/>
      <c r="C515" s="51" t="n"/>
      <c r="D515" s="51" t="n"/>
      <c r="E515" s="51" t="n"/>
      <c r="F515" s="51" t="n"/>
      <c r="G515" s="51" t="n"/>
      <c r="H515" s="51" t="n"/>
      <c r="I515" s="51" t="n"/>
      <c r="J515" s="51" t="n"/>
    </row>
    <row r="516">
      <c r="B516" s="51" t="n"/>
      <c r="C516" s="51" t="n"/>
      <c r="D516" s="51" t="n"/>
      <c r="E516" s="51" t="n"/>
      <c r="F516" s="51" t="n"/>
      <c r="G516" s="51" t="n"/>
      <c r="H516" s="51" t="n"/>
      <c r="I516" s="51" t="n"/>
      <c r="J516" s="51" t="n"/>
    </row>
    <row r="517">
      <c r="B517" s="51" t="n"/>
      <c r="C517" s="51" t="n"/>
      <c r="D517" s="51" t="n"/>
      <c r="E517" s="51" t="n"/>
      <c r="F517" s="51" t="n"/>
      <c r="G517" s="51" t="n"/>
      <c r="H517" s="51" t="n"/>
      <c r="I517" s="51" t="n"/>
      <c r="J517" s="51"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J17:J517">
    <cfRule type="expression" priority="8"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At most 20 characters." promptTitle="Bank account code" prompt="Yes. Code of the account in BIBS Allowed: Free entry, up to 20 characters" type="textLength" operator="lessThanOrEqual">
      <formula1>20</formula1>
    </dataValidation>
    <dataValidation sqref="C17:C517" showDropDown="0" showInputMessage="1" showErrorMessage="0" allowBlank="1" promptTitle="Name" prompt="Yes. Name shown on screens"/>
    <dataValidation sqref="D17:D517" showDropDown="0" showInputMessage="1" showErrorMessage="0" allowBlank="1" promptTitle="Bank" prompt="Yes. Bank of the account"/>
    <dataValidation sqref="E17:E517" showDropDown="0" showInputMessage="1" showErrorMessage="0" allowBlank="1" promptTitle="Account number" prompt="Yes. Account number"/>
    <dataValidation sqref="F17:F517" showDropDown="0" showInputMessage="1" showErrorMessage="1" allowBlank="1" errorTitle="Currency" error="At most 3 characters." promptTitle="Currency" prompt="Yes. Currency of the account Allowed: Free entry, up to 3 characters" type="textLength" operator="lessThanOrEqual">
      <formula1>3</formula1>
    </dataValidation>
    <dataValidation sqref="G17:G517" showDropDown="0" showInputMessage="1" showErrorMessage="1" allowBlank="1" errorTitle="GL account" error="The code is not in D0-06, column Account Code. Enter it there first, or keep it if it is a code BIBS already holds." promptTitle="GL account" prompt="Yes. Cash-in-bank account Allowed: A code of D0-06 Chart of accounts, column Account Code" type="list" errorStyle="warning">
      <formula1>=CODES_D0_06_ACCOUNT_CODE</formula1>
    </dataValidation>
    <dataValidation sqref="H17:H517" showDropDown="0" showInputMessage="1" showErrorMessage="1" allowBlank="1" errorTitle="PDC clearing account" error="The code is not in D0-06, column Account Code. Enter it there first, or keep it if it is a code BIBS already holds." promptTitle="PDC clearing account" prompt="No. Account of issued post-dated checks Allowed: A code of D0-06 Chart of accounts, column Account Code" type="list" errorStyle="warning">
      <formula1>=CODES_D0_06_ACCOUNT_CODE</formula1>
    </dataValidation>
    <dataValidation sqref="I17:I517" showDropDown="0" showInputMessage="1" showErrorMessage="1" allowBlank="1" errorTitle="Branch code" error="The code is not in D0-02, column Branch code. Enter it there first, or keep it if it is a code BIBS already holds." promptTitle="Branch code" prompt="No. Branch that uses the account Allowed: A code of D0-02 Branches, column Branch code" type="list" errorStyle="warning">
      <formula1>=CODES_D0_02_BRANCH_CODE</formula1>
    </dataValidation>
    <dataValidation sqref="J17:J517" showDropDown="0" showInputMessage="1" showErrorMessage="0" allowBlank="1" promptTitle="Payment notification format" prompt="Yes. Format of the notification to the payee"/>
  </dataValidations>
  <hyperlinks>
    <hyperlink ref="A2" location="'Start here'!A1"/>
    <hyperlink ref="J2" location="'Questions and comments'!A1"/>
    <hyperlink ref="B8" location="'D0-06 Chart of accounts'!A1"/>
    <hyperlink ref="D8" location="'D0-02 Branches'!A1"/>
    <hyperlink ref="G14" location="'D0-06 Chart of accounts'!C16"/>
    <hyperlink ref="H14" location="'D0-06 Chart of accounts'!C16"/>
    <hyperlink ref="I14" location="'D0-02 Branches'!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81818181818182" customWidth="1" min="2" max="2"/>
    <col width="26" customWidth="1" min="3" max="3"/>
    <col width="22" customWidth="1" min="4" max="4"/>
    <col width="22" customWidth="1" min="5" max="5"/>
    <col width="27.27272727272727" customWidth="1" min="6" max="6"/>
    <col width="12" customWidth="1" min="7" max="7"/>
    <col width="17.72727272727273" customWidth="1" min="8" max="8"/>
    <col width="18" customWidth="1" min="9" max="9"/>
    <col width="14" customWidth="1" min="10" max="10"/>
  </cols>
  <sheetData>
    <row r="1" ht="26" customHeight="1">
      <c r="A1" s="27" t="inlineStr">
        <is>
          <t>PM-02 Coverages, perils and field rules</t>
        </is>
      </c>
      <c r="J1" s="28" t="inlineStr">
        <is>
          <t>Step 14 of 31</t>
        </is>
      </c>
    </row>
    <row r="2">
      <c r="A2" s="29" t="inlineStr">
        <is>
          <t>← Back to Start here</t>
        </is>
      </c>
      <c r="B2" s="30" t="inlineStr">
        <is>
          <t>Step 14 of 31. Fill in one row per record below the column headers; the guide above each column says what to enter.</t>
        </is>
      </c>
      <c r="J2" s="31" t="inlineStr">
        <is>
          <t>Ask a question →</t>
        </is>
      </c>
    </row>
    <row r="3" outlineLevel="1" ht="15.5" customHeight="1">
      <c r="A3" s="32" t="inlineStr">
        <is>
          <t>Purpose</t>
        </is>
      </c>
      <c r="B3" s="33" t="inlineStr">
        <is>
          <t>The coverage and peril level of each line, and the fields and documents each product needs on an account</t>
        </is>
      </c>
    </row>
    <row r="4" outlineLevel="1" ht="15.5" customHeight="1">
      <c r="A4" s="32" t="inlineStr">
        <is>
          <t>Provided by</t>
        </is>
      </c>
      <c r="B4" s="33" t="inlineStr">
        <is>
          <t>MBS</t>
        </is>
      </c>
    </row>
    <row r="5" outlineLevel="1" ht="15.5" customHeight="1">
      <c r="A5" s="32" t="inlineStr">
        <is>
          <t>Due</t>
        </is>
      </c>
      <c r="B5" s="34" t="inlineStr">
        <is>
          <t>16-Jul-2027 – Values for UAT</t>
        </is>
      </c>
    </row>
    <row r="6" outlineLevel="1" ht="15.5" customHeight="1">
      <c r="A6" s="32" t="inlineStr">
        <is>
          <t>How it is loaded</t>
        </is>
      </c>
      <c r="B6" s="33" t="inlineStr">
        <is>
          <t>Entered on Coverages &amp; Clauses (SCR-PM-15) and on the rule tabs of Products (SCR-PM-11, SCR-PM-12) before UAT; not migrated</t>
        </is>
      </c>
    </row>
    <row r="7" outlineLevel="1" ht="15.5" customHeight="1">
      <c r="A7" s="32" t="inlineStr">
        <is>
          <t>Source</t>
        </is>
      </c>
      <c r="B7" s="33" t="inlineStr">
        <is>
          <t>MBS and TSU (product matrix, PQ02)</t>
        </is>
      </c>
    </row>
    <row r="8" outlineLevel="1" ht="26" customHeight="1">
      <c r="A8" s="32" t="inlineStr">
        <is>
          <t>Depends on</t>
        </is>
      </c>
      <c r="B8" s="55" t="inlineStr">
        <is>
          <t>PM-09 Lists of values and parameters →</t>
        </is>
      </c>
      <c r="D8" s="55" t="inlineStr">
        <is>
          <t>PM-01 Product catalogue →</t>
        </is>
      </c>
    </row>
    <row r="9" ht="26" customHeight="1">
      <c r="A9" s="36" t="inlineStr">
        <is>
          <t>Progress</t>
        </is>
      </c>
      <c r="B9" s="37" t="inlineStr">
        <is>
          <t>Rows entered</t>
        </is>
      </c>
      <c r="C9" s="38">
        <f>SUMPRODUCT(((ROW($B$17:$B$517)&gt;17)+($B$17&lt;&gt;"COVERAGE")&gt;0)*(LEN($B$17:$B$517&amp;$C$17:$C$517&amp;$D$17:$D$517&amp;$E$17:$E$517&amp;$F$17:$F$517&amp;$G$17:$G$517&amp;$H$17:$H$517&amp;$I$17:$I$517&amp;$J$17:$J$517)&gt;0))</f>
        <v/>
      </c>
      <c r="D9" s="37" t="inlineStr">
        <is>
          <t>Mandatory cells missing</t>
        </is>
      </c>
      <c r="E9" s="38">
        <f>SUMPRODUCT(((ROW($B$17:$B$517)&gt;17)+($B$17&lt;&gt;"COVERAGE")&gt;0)*(LEN($B$17:$B$517&amp;$C$17:$C$517&amp;$D$17:$D$517&amp;$E$17:$E$517&amp;$F$17:$F$517&amp;$G$17:$G$517&amp;$H$17:$H$517&amp;$I$17:$I$517&amp;$J$17:$J$517)&gt;0)*(($B$17:$B$517="")+($C$17:$C$517="")+($D$17:$D$517="")+($E$17:$E$517="")+($F$17:$F$517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30" customHeight="1">
      <c r="A12" s="43" t="inlineStr">
        <is>
          <t>Mandatory</t>
        </is>
      </c>
      <c r="B12" s="44" t="inlineStr">
        <is>
          <t>Yes</t>
        </is>
      </c>
      <c r="C12" s="44" t="inlineStr">
        <is>
          <t>Yes</t>
        </is>
      </c>
      <c r="D12" s="44" t="inlineStr">
        <is>
          <t>Yes</t>
        </is>
      </c>
      <c r="E12" s="44" t="inlineStr">
        <is>
          <t>Yes</t>
        </is>
      </c>
      <c r="F12" s="44" t="inlineStr">
        <is>
          <t>Yes</t>
        </is>
      </c>
      <c r="G12" s="45" t="inlineStr">
        <is>
          <t>Conditional: coverage</t>
        </is>
      </c>
      <c r="H12" s="45" t="inlineStr">
        <is>
          <t>Conditional: list, range or format rules</t>
        </is>
      </c>
      <c r="I12" s="45" t="inlineStr">
        <is>
          <t>Conditional: document rule</t>
        </is>
      </c>
      <c r="J12" s="44" t="inlineStr">
        <is>
          <t>Yes</t>
        </is>
      </c>
    </row>
    <row r="13" ht="56" customHeight="1">
      <c r="A13" s="43" t="inlineStr">
        <is>
          <t>Format</t>
        </is>
      </c>
      <c r="B13" s="45" t="inlineStr">
        <is>
          <t>COVERAGE, FIELD_RULE or DOCUMENT_RULE</t>
        </is>
      </c>
      <c r="C13" s="45" t="inlineStr">
        <is>
          <t>Line or product the row applies to; * = every product</t>
        </is>
      </c>
      <c r="D13" s="45" t="inlineStr">
        <is>
          <t>A-Z, 0-9 and _ (coverage); field key (rule)</t>
        </is>
      </c>
      <c r="E13" s="45" t="inlineStr">
        <is>
          <t>Text</t>
        </is>
      </c>
      <c r="F13" s="45" t="inlineStr">
        <is>
          <t>Coverage kind (Section, Coverage, Peril, Extension); check (Presence, List of values, Number range, Format)</t>
        </is>
      </c>
      <c r="G13" s="45" t="inlineStr">
        <is>
          <t>Y or N</t>
        </is>
      </c>
      <c r="H13" s="45" t="inlineStr">
        <is>
          <t>List code; minimum and maximum; pattern</t>
        </is>
      </c>
      <c r="I13" s="45" t="inlineStr">
        <is>
          <t>List DOCUMENT_TYPE</t>
        </is>
      </c>
      <c r="J13" s="45" t="inlineStr">
        <is>
          <t>Y or N</t>
        </is>
      </c>
    </row>
    <row r="14" ht="56" customHeight="1">
      <c r="A14" s="43" t="inlineStr">
        <is>
          <t>Allowed values</t>
        </is>
      </c>
      <c r="B14" s="53" t="inlineStr">
        <is>
          <t>COVERAGE, FIELD_RULE, DOCUMENT_RULE (list Coverage and rule record)</t>
        </is>
      </c>
      <c r="C14" s="53" t="inlineStr">
        <is>
          <t>Codes of PM-01 Product catalogue, column Risk code (one or more)</t>
        </is>
      </c>
      <c r="D14" s="45" t="inlineStr">
        <is>
          <t>Free entry</t>
        </is>
      </c>
      <c r="E14" s="45" t="inlineStr">
        <is>
          <t>Free entry</t>
        </is>
      </c>
      <c r="F14" s="45" t="inlineStr">
        <is>
          <t>Free entry</t>
        </is>
      </c>
      <c r="G14" s="45" t="inlineStr">
        <is>
          <t>Y or N</t>
        </is>
      </c>
      <c r="H14" s="45" t="inlineStr">
        <is>
          <t>Free entry</t>
        </is>
      </c>
      <c r="I14" s="53" t="inlineStr">
        <is>
          <t>List Document type: 63 values, see Reference lists</t>
        </is>
      </c>
      <c r="J14" s="45" t="inlineStr">
        <is>
          <t>Y or N</t>
        </is>
      </c>
    </row>
    <row r="15" ht="56" customHeight="1">
      <c r="A15" s="43" t="inlineStr">
        <is>
          <t>What to enter</t>
        </is>
      </c>
      <c r="B15" s="45" t="inlineStr">
        <is>
          <t>What the row defines</t>
        </is>
      </c>
      <c r="C15" s="45" t="inlineStr">
        <is>
          <t>Scope of the row</t>
        </is>
      </c>
      <c r="D15" s="45" t="inlineStr">
        <is>
          <t>Coverage code or the account field checked</t>
        </is>
      </c>
      <c r="E15" s="45" t="inlineStr">
        <is>
          <t>Coverage name or field label</t>
        </is>
      </c>
      <c r="F15" s="45" t="inlineStr">
        <is>
          <t>Coverage kind or rule check</t>
        </is>
      </c>
      <c r="G15" s="45" t="inlineStr">
        <is>
          <t>A package needs at least one basic coverage</t>
        </is>
      </c>
      <c r="H15" s="45" t="inlineStr">
        <is>
          <t>Parameters of the check</t>
        </is>
      </c>
      <c r="I15" s="45" t="inlineStr">
        <is>
          <t>Document an account needs before submission</t>
        </is>
      </c>
      <c r="J15" s="45" t="inlineStr">
        <is>
          <t>Required or optional</t>
        </is>
      </c>
    </row>
    <row r="16" ht="30" customHeight="1">
      <c r="A16" s="46" t="inlineStr">
        <is>
          <t>Row</t>
        </is>
      </c>
      <c r="B16" s="47" t="inlineStr">
        <is>
          <t>Record *</t>
        </is>
      </c>
      <c r="C16" s="47" t="inlineStr">
        <is>
          <t>Line code / Risk code *</t>
        </is>
      </c>
      <c r="D16" s="47" t="inlineStr">
        <is>
          <t>Code or field key *</t>
        </is>
      </c>
      <c r="E16" s="47" t="inlineStr">
        <is>
          <t>Name or label *</t>
        </is>
      </c>
      <c r="F16" s="47" t="inlineStr">
        <is>
          <t>Kind or check *</t>
        </is>
      </c>
      <c r="G16" s="47" t="inlineStr">
        <is>
          <t>Basic</t>
        </is>
      </c>
      <c r="H16" s="47" t="inlineStr">
        <is>
          <t>Parameters</t>
        </is>
      </c>
      <c r="I16" s="47" t="inlineStr">
        <is>
          <t>Document type</t>
        </is>
      </c>
      <c r="J16" s="47" t="inlineStr">
        <is>
          <t>Mandatory *</t>
        </is>
      </c>
    </row>
    <row r="17" ht="18" customHeight="1">
      <c r="A17" s="48" t="inlineStr">
        <is>
          <t>Example – overwrite or delete</t>
        </is>
      </c>
      <c r="B17" s="49" t="inlineStr">
        <is>
          <t>COVERAGE</t>
        </is>
      </c>
      <c r="C17" s="49" t="inlineStr">
        <is>
          <t>MOTOR</t>
        </is>
      </c>
      <c r="D17" s="49" t="inlineStr">
        <is>
          <t>OD_THEFT</t>
        </is>
      </c>
      <c r="E17" s="49" t="inlineStr">
        <is>
          <t>Own damage and theft</t>
        </is>
      </c>
      <c r="F17" s="49" t="inlineStr">
        <is>
          <t>Coverage</t>
        </is>
      </c>
      <c r="G17" s="49" t="inlineStr">
        <is>
          <t>Y</t>
        </is>
      </c>
      <c r="H17" s="49" t="n"/>
      <c r="I17" s="49" t="n"/>
      <c r="J17" s="49" t="inlineStr">
        <is>
          <t>Y</t>
        </is>
      </c>
    </row>
    <row r="18">
      <c r="B18" s="51" t="n"/>
      <c r="C18" s="51" t="n"/>
      <c r="D18" s="51" t="n"/>
      <c r="E18" s="51" t="n"/>
      <c r="F18" s="51" t="n"/>
      <c r="G18" s="51" t="n"/>
      <c r="H18" s="51" t="n"/>
      <c r="I18" s="51" t="n"/>
      <c r="J18" s="51" t="n"/>
    </row>
    <row r="19">
      <c r="B19" s="51" t="n"/>
      <c r="C19" s="51" t="n"/>
      <c r="D19" s="51" t="n"/>
      <c r="E19" s="51" t="n"/>
      <c r="F19" s="51" t="n"/>
      <c r="G19" s="51" t="n"/>
      <c r="H19" s="51" t="n"/>
      <c r="I19" s="51" t="n"/>
      <c r="J19" s="51" t="n"/>
    </row>
    <row r="20">
      <c r="B20" s="51" t="n"/>
      <c r="C20" s="51" t="n"/>
      <c r="D20" s="51" t="n"/>
      <c r="E20" s="51" t="n"/>
      <c r="F20" s="51" t="n"/>
      <c r="G20" s="51" t="n"/>
      <c r="H20" s="51" t="n"/>
      <c r="I20" s="51" t="n"/>
      <c r="J20" s="51" t="n"/>
    </row>
    <row r="21">
      <c r="B21" s="51" t="n"/>
      <c r="C21" s="51" t="n"/>
      <c r="D21" s="51" t="n"/>
      <c r="E21" s="51" t="n"/>
      <c r="F21" s="51" t="n"/>
      <c r="G21" s="51" t="n"/>
      <c r="H21" s="51" t="n"/>
      <c r="I21" s="51" t="n"/>
      <c r="J21" s="51" t="n"/>
    </row>
    <row r="22">
      <c r="B22" s="51" t="n"/>
      <c r="C22" s="51" t="n"/>
      <c r="D22" s="51" t="n"/>
      <c r="E22" s="51" t="n"/>
      <c r="F22" s="51" t="n"/>
      <c r="G22" s="51" t="n"/>
      <c r="H22" s="51" t="n"/>
      <c r="I22" s="51" t="n"/>
      <c r="J22" s="51" t="n"/>
    </row>
    <row r="23">
      <c r="B23" s="51" t="n"/>
      <c r="C23" s="51" t="n"/>
      <c r="D23" s="51" t="n"/>
      <c r="E23" s="51" t="n"/>
      <c r="F23" s="51" t="n"/>
      <c r="G23" s="51" t="n"/>
      <c r="H23" s="51" t="n"/>
      <c r="I23" s="51" t="n"/>
      <c r="J23" s="51" t="n"/>
    </row>
    <row r="24">
      <c r="B24" s="51" t="n"/>
      <c r="C24" s="51" t="n"/>
      <c r="D24" s="51" t="n"/>
      <c r="E24" s="51" t="n"/>
      <c r="F24" s="51" t="n"/>
      <c r="G24" s="51" t="n"/>
      <c r="H24" s="51" t="n"/>
      <c r="I24" s="51" t="n"/>
      <c r="J24" s="51" t="n"/>
    </row>
    <row r="25">
      <c r="B25" s="51" t="n"/>
      <c r="C25" s="51" t="n"/>
      <c r="D25" s="51" t="n"/>
      <c r="E25" s="51" t="n"/>
      <c r="F25" s="51" t="n"/>
      <c r="G25" s="51" t="n"/>
      <c r="H25" s="51" t="n"/>
      <c r="I25" s="51" t="n"/>
      <c r="J25" s="51" t="n"/>
    </row>
    <row r="26">
      <c r="B26" s="51" t="n"/>
      <c r="C26" s="51" t="n"/>
      <c r="D26" s="51" t="n"/>
      <c r="E26" s="51" t="n"/>
      <c r="F26" s="51" t="n"/>
      <c r="G26" s="51" t="n"/>
      <c r="H26" s="51" t="n"/>
      <c r="I26" s="51" t="n"/>
      <c r="J26" s="51" t="n"/>
    </row>
    <row r="27">
      <c r="B27" s="51" t="n"/>
      <c r="C27" s="51" t="n"/>
      <c r="D27" s="51" t="n"/>
      <c r="E27" s="51" t="n"/>
      <c r="F27" s="51" t="n"/>
      <c r="G27" s="51" t="n"/>
      <c r="H27" s="51" t="n"/>
      <c r="I27" s="51" t="n"/>
      <c r="J27" s="51" t="n"/>
    </row>
    <row r="28">
      <c r="B28" s="51" t="n"/>
      <c r="C28" s="51" t="n"/>
      <c r="D28" s="51" t="n"/>
      <c r="E28" s="51" t="n"/>
      <c r="F28" s="51" t="n"/>
      <c r="G28" s="51" t="n"/>
      <c r="H28" s="51" t="n"/>
      <c r="I28" s="51" t="n"/>
      <c r="J28" s="51" t="n"/>
    </row>
    <row r="29">
      <c r="B29" s="51" t="n"/>
      <c r="C29" s="51" t="n"/>
      <c r="D29" s="51" t="n"/>
      <c r="E29" s="51" t="n"/>
      <c r="F29" s="51" t="n"/>
      <c r="G29" s="51" t="n"/>
      <c r="H29" s="51" t="n"/>
      <c r="I29" s="51" t="n"/>
      <c r="J29" s="51" t="n"/>
    </row>
    <row r="30">
      <c r="B30" s="51" t="n"/>
      <c r="C30" s="51" t="n"/>
      <c r="D30" s="51" t="n"/>
      <c r="E30" s="51" t="n"/>
      <c r="F30" s="51" t="n"/>
      <c r="G30" s="51" t="n"/>
      <c r="H30" s="51" t="n"/>
      <c r="I30" s="51" t="n"/>
      <c r="J30" s="51" t="n"/>
    </row>
    <row r="31">
      <c r="B31" s="51" t="n"/>
      <c r="C31" s="51" t="n"/>
      <c r="D31" s="51" t="n"/>
      <c r="E31" s="51" t="n"/>
      <c r="F31" s="51" t="n"/>
      <c r="G31" s="51" t="n"/>
      <c r="H31" s="51" t="n"/>
      <c r="I31" s="51" t="n"/>
      <c r="J31" s="51" t="n"/>
    </row>
    <row r="32">
      <c r="B32" s="51" t="n"/>
      <c r="C32" s="51" t="n"/>
      <c r="D32" s="51" t="n"/>
      <c r="E32" s="51" t="n"/>
      <c r="F32" s="51" t="n"/>
      <c r="G32" s="51" t="n"/>
      <c r="H32" s="51" t="n"/>
      <c r="I32" s="51" t="n"/>
      <c r="J32" s="51" t="n"/>
    </row>
    <row r="33">
      <c r="B33" s="51" t="n"/>
      <c r="C33" s="51" t="n"/>
      <c r="D33" s="51" t="n"/>
      <c r="E33" s="51" t="n"/>
      <c r="F33" s="51" t="n"/>
      <c r="G33" s="51" t="n"/>
      <c r="H33" s="51" t="n"/>
      <c r="I33" s="51" t="n"/>
      <c r="J33" s="51" t="n"/>
    </row>
    <row r="34">
      <c r="B34" s="51" t="n"/>
      <c r="C34" s="51" t="n"/>
      <c r="D34" s="51" t="n"/>
      <c r="E34" s="51" t="n"/>
      <c r="F34" s="51" t="n"/>
      <c r="G34" s="51" t="n"/>
      <c r="H34" s="51" t="n"/>
      <c r="I34" s="51" t="n"/>
      <c r="J34" s="51" t="n"/>
    </row>
    <row r="35">
      <c r="B35" s="51" t="n"/>
      <c r="C35" s="51" t="n"/>
      <c r="D35" s="51" t="n"/>
      <c r="E35" s="51" t="n"/>
      <c r="F35" s="51" t="n"/>
      <c r="G35" s="51" t="n"/>
      <c r="H35" s="51" t="n"/>
      <c r="I35" s="51" t="n"/>
      <c r="J35" s="51" t="n"/>
    </row>
    <row r="36">
      <c r="B36" s="51" t="n"/>
      <c r="C36" s="51" t="n"/>
      <c r="D36" s="51" t="n"/>
      <c r="E36" s="51" t="n"/>
      <c r="F36" s="51" t="n"/>
      <c r="G36" s="51" t="n"/>
      <c r="H36" s="51" t="n"/>
      <c r="I36" s="51" t="n"/>
      <c r="J36" s="51" t="n"/>
    </row>
    <row r="37">
      <c r="B37" s="51" t="n"/>
      <c r="C37" s="51" t="n"/>
      <c r="D37" s="51" t="n"/>
      <c r="E37" s="51" t="n"/>
      <c r="F37" s="51" t="n"/>
      <c r="G37" s="51" t="n"/>
      <c r="H37" s="51" t="n"/>
      <c r="I37" s="51" t="n"/>
      <c r="J37" s="51" t="n"/>
    </row>
    <row r="38">
      <c r="B38" s="51" t="n"/>
      <c r="C38" s="51" t="n"/>
      <c r="D38" s="51" t="n"/>
      <c r="E38" s="51" t="n"/>
      <c r="F38" s="51" t="n"/>
      <c r="G38" s="51" t="n"/>
      <c r="H38" s="51" t="n"/>
      <c r="I38" s="51" t="n"/>
      <c r="J38" s="51" t="n"/>
    </row>
    <row r="39">
      <c r="B39" s="51" t="n"/>
      <c r="C39" s="51" t="n"/>
      <c r="D39" s="51" t="n"/>
      <c r="E39" s="51" t="n"/>
      <c r="F39" s="51" t="n"/>
      <c r="G39" s="51" t="n"/>
      <c r="H39" s="51" t="n"/>
      <c r="I39" s="51" t="n"/>
      <c r="J39" s="51" t="n"/>
    </row>
    <row r="40">
      <c r="B40" s="51" t="n"/>
      <c r="C40" s="51" t="n"/>
      <c r="D40" s="51" t="n"/>
      <c r="E40" s="51" t="n"/>
      <c r="F40" s="51" t="n"/>
      <c r="G40" s="51" t="n"/>
      <c r="H40" s="51" t="n"/>
      <c r="I40" s="51" t="n"/>
      <c r="J40" s="51" t="n"/>
    </row>
    <row r="41">
      <c r="B41" s="51" t="n"/>
      <c r="C41" s="51" t="n"/>
      <c r="D41" s="51" t="n"/>
      <c r="E41" s="51" t="n"/>
      <c r="F41" s="51" t="n"/>
      <c r="G41" s="51" t="n"/>
      <c r="H41" s="51" t="n"/>
      <c r="I41" s="51" t="n"/>
      <c r="J41" s="51" t="n"/>
    </row>
    <row r="42">
      <c r="B42" s="51" t="n"/>
      <c r="C42" s="51" t="n"/>
      <c r="D42" s="51" t="n"/>
      <c r="E42" s="51" t="n"/>
      <c r="F42" s="51" t="n"/>
      <c r="G42" s="51" t="n"/>
      <c r="H42" s="51" t="n"/>
      <c r="I42" s="51" t="n"/>
      <c r="J42" s="51" t="n"/>
    </row>
    <row r="43">
      <c r="B43" s="51" t="n"/>
      <c r="C43" s="51" t="n"/>
      <c r="D43" s="51" t="n"/>
      <c r="E43" s="51" t="n"/>
      <c r="F43" s="51" t="n"/>
      <c r="G43" s="51" t="n"/>
      <c r="H43" s="51" t="n"/>
      <c r="I43" s="51" t="n"/>
      <c r="J43" s="51" t="n"/>
    </row>
    <row r="44">
      <c r="B44" s="51" t="n"/>
      <c r="C44" s="51" t="n"/>
      <c r="D44" s="51" t="n"/>
      <c r="E44" s="51" t="n"/>
      <c r="F44" s="51" t="n"/>
      <c r="G44" s="51" t="n"/>
      <c r="H44" s="51" t="n"/>
      <c r="I44" s="51" t="n"/>
      <c r="J44" s="51" t="n"/>
    </row>
    <row r="45">
      <c r="B45" s="51" t="n"/>
      <c r="C45" s="51" t="n"/>
      <c r="D45" s="51" t="n"/>
      <c r="E45" s="51" t="n"/>
      <c r="F45" s="51" t="n"/>
      <c r="G45" s="51" t="n"/>
      <c r="H45" s="51" t="n"/>
      <c r="I45" s="51" t="n"/>
      <c r="J45" s="51" t="n"/>
    </row>
    <row r="46">
      <c r="B46" s="51" t="n"/>
      <c r="C46" s="51" t="n"/>
      <c r="D46" s="51" t="n"/>
      <c r="E46" s="51" t="n"/>
      <c r="F46" s="51" t="n"/>
      <c r="G46" s="51" t="n"/>
      <c r="H46" s="51" t="n"/>
      <c r="I46" s="51" t="n"/>
      <c r="J46" s="51" t="n"/>
    </row>
    <row r="47">
      <c r="B47" s="51" t="n"/>
      <c r="C47" s="51" t="n"/>
      <c r="D47" s="51" t="n"/>
      <c r="E47" s="51" t="n"/>
      <c r="F47" s="51" t="n"/>
      <c r="G47" s="51" t="n"/>
      <c r="H47" s="51" t="n"/>
      <c r="I47" s="51" t="n"/>
      <c r="J47" s="51" t="n"/>
    </row>
    <row r="48">
      <c r="B48" s="51" t="n"/>
      <c r="C48" s="51" t="n"/>
      <c r="D48" s="51" t="n"/>
      <c r="E48" s="51" t="n"/>
      <c r="F48" s="51" t="n"/>
      <c r="G48" s="51" t="n"/>
      <c r="H48" s="51" t="n"/>
      <c r="I48" s="51" t="n"/>
      <c r="J48" s="51" t="n"/>
    </row>
    <row r="49">
      <c r="B49" s="51" t="n"/>
      <c r="C49" s="51" t="n"/>
      <c r="D49" s="51" t="n"/>
      <c r="E49" s="51" t="n"/>
      <c r="F49" s="51" t="n"/>
      <c r="G49" s="51" t="n"/>
      <c r="H49" s="51" t="n"/>
      <c r="I49" s="51" t="n"/>
      <c r="J49" s="51" t="n"/>
    </row>
    <row r="50">
      <c r="B50" s="51" t="n"/>
      <c r="C50" s="51" t="n"/>
      <c r="D50" s="51" t="n"/>
      <c r="E50" s="51" t="n"/>
      <c r="F50" s="51" t="n"/>
      <c r="G50" s="51" t="n"/>
      <c r="H50" s="51" t="n"/>
      <c r="I50" s="51" t="n"/>
      <c r="J50" s="51" t="n"/>
    </row>
    <row r="51">
      <c r="B51" s="51" t="n"/>
      <c r="C51" s="51" t="n"/>
      <c r="D51" s="51" t="n"/>
      <c r="E51" s="51" t="n"/>
      <c r="F51" s="51" t="n"/>
      <c r="G51" s="51" t="n"/>
      <c r="H51" s="51" t="n"/>
      <c r="I51" s="51" t="n"/>
      <c r="J51" s="51" t="n"/>
    </row>
    <row r="52">
      <c r="B52" s="51" t="n"/>
      <c r="C52" s="51" t="n"/>
      <c r="D52" s="51" t="n"/>
      <c r="E52" s="51" t="n"/>
      <c r="F52" s="51" t="n"/>
      <c r="G52" s="51" t="n"/>
      <c r="H52" s="51" t="n"/>
      <c r="I52" s="51" t="n"/>
      <c r="J52" s="51" t="n"/>
    </row>
    <row r="53">
      <c r="B53" s="51" t="n"/>
      <c r="C53" s="51" t="n"/>
      <c r="D53" s="51" t="n"/>
      <c r="E53" s="51" t="n"/>
      <c r="F53" s="51" t="n"/>
      <c r="G53" s="51" t="n"/>
      <c r="H53" s="51" t="n"/>
      <c r="I53" s="51" t="n"/>
      <c r="J53" s="51" t="n"/>
    </row>
    <row r="54">
      <c r="B54" s="51" t="n"/>
      <c r="C54" s="51" t="n"/>
      <c r="D54" s="51" t="n"/>
      <c r="E54" s="51" t="n"/>
      <c r="F54" s="51" t="n"/>
      <c r="G54" s="51" t="n"/>
      <c r="H54" s="51" t="n"/>
      <c r="I54" s="51" t="n"/>
      <c r="J54" s="51" t="n"/>
    </row>
    <row r="55">
      <c r="B55" s="51" t="n"/>
      <c r="C55" s="51" t="n"/>
      <c r="D55" s="51" t="n"/>
      <c r="E55" s="51" t="n"/>
      <c r="F55" s="51" t="n"/>
      <c r="G55" s="51" t="n"/>
      <c r="H55" s="51" t="n"/>
      <c r="I55" s="51" t="n"/>
      <c r="J55" s="51" t="n"/>
    </row>
    <row r="56">
      <c r="B56" s="51" t="n"/>
      <c r="C56" s="51" t="n"/>
      <c r="D56" s="51" t="n"/>
      <c r="E56" s="51" t="n"/>
      <c r="F56" s="51" t="n"/>
      <c r="G56" s="51" t="n"/>
      <c r="H56" s="51" t="n"/>
      <c r="I56" s="51" t="n"/>
      <c r="J56" s="51" t="n"/>
    </row>
    <row r="57">
      <c r="B57" s="51" t="n"/>
      <c r="C57" s="51" t="n"/>
      <c r="D57" s="51" t="n"/>
      <c r="E57" s="51" t="n"/>
      <c r="F57" s="51" t="n"/>
      <c r="G57" s="51" t="n"/>
      <c r="H57" s="51" t="n"/>
      <c r="I57" s="51" t="n"/>
      <c r="J57" s="51" t="n"/>
    </row>
    <row r="58">
      <c r="B58" s="51" t="n"/>
      <c r="C58" s="51" t="n"/>
      <c r="D58" s="51" t="n"/>
      <c r="E58" s="51" t="n"/>
      <c r="F58" s="51" t="n"/>
      <c r="G58" s="51" t="n"/>
      <c r="H58" s="51" t="n"/>
      <c r="I58" s="51" t="n"/>
      <c r="J58" s="51" t="n"/>
    </row>
    <row r="59">
      <c r="B59" s="51" t="n"/>
      <c r="C59" s="51" t="n"/>
      <c r="D59" s="51" t="n"/>
      <c r="E59" s="51" t="n"/>
      <c r="F59" s="51" t="n"/>
      <c r="G59" s="51" t="n"/>
      <c r="H59" s="51" t="n"/>
      <c r="I59" s="51" t="n"/>
      <c r="J59" s="51" t="n"/>
    </row>
    <row r="60">
      <c r="B60" s="51" t="n"/>
      <c r="C60" s="51" t="n"/>
      <c r="D60" s="51" t="n"/>
      <c r="E60" s="51" t="n"/>
      <c r="F60" s="51" t="n"/>
      <c r="G60" s="51" t="n"/>
      <c r="H60" s="51" t="n"/>
      <c r="I60" s="51" t="n"/>
      <c r="J60" s="51" t="n"/>
    </row>
    <row r="61">
      <c r="B61" s="51" t="n"/>
      <c r="C61" s="51" t="n"/>
      <c r="D61" s="51" t="n"/>
      <c r="E61" s="51" t="n"/>
      <c r="F61" s="51" t="n"/>
      <c r="G61" s="51" t="n"/>
      <c r="H61" s="51" t="n"/>
      <c r="I61" s="51" t="n"/>
      <c r="J61" s="51" t="n"/>
    </row>
    <row r="62">
      <c r="B62" s="51" t="n"/>
      <c r="C62" s="51" t="n"/>
      <c r="D62" s="51" t="n"/>
      <c r="E62" s="51" t="n"/>
      <c r="F62" s="51" t="n"/>
      <c r="G62" s="51" t="n"/>
      <c r="H62" s="51" t="n"/>
      <c r="I62" s="51" t="n"/>
      <c r="J62" s="51" t="n"/>
    </row>
    <row r="63">
      <c r="B63" s="51" t="n"/>
      <c r="C63" s="51" t="n"/>
      <c r="D63" s="51" t="n"/>
      <c r="E63" s="51" t="n"/>
      <c r="F63" s="51" t="n"/>
      <c r="G63" s="51" t="n"/>
      <c r="H63" s="51" t="n"/>
      <c r="I63" s="51" t="n"/>
      <c r="J63" s="51" t="n"/>
    </row>
    <row r="64">
      <c r="B64" s="51" t="n"/>
      <c r="C64" s="51" t="n"/>
      <c r="D64" s="51" t="n"/>
      <c r="E64" s="51" t="n"/>
      <c r="F64" s="51" t="n"/>
      <c r="G64" s="51" t="n"/>
      <c r="H64" s="51" t="n"/>
      <c r="I64" s="51" t="n"/>
      <c r="J64" s="51" t="n"/>
    </row>
    <row r="65">
      <c r="B65" s="51" t="n"/>
      <c r="C65" s="51" t="n"/>
      <c r="D65" s="51" t="n"/>
      <c r="E65" s="51" t="n"/>
      <c r="F65" s="51" t="n"/>
      <c r="G65" s="51" t="n"/>
      <c r="H65" s="51" t="n"/>
      <c r="I65" s="51" t="n"/>
      <c r="J65" s="51" t="n"/>
    </row>
    <row r="66">
      <c r="B66" s="51" t="n"/>
      <c r="C66" s="51" t="n"/>
      <c r="D66" s="51" t="n"/>
      <c r="E66" s="51" t="n"/>
      <c r="F66" s="51" t="n"/>
      <c r="G66" s="51" t="n"/>
      <c r="H66" s="51" t="n"/>
      <c r="I66" s="51" t="n"/>
      <c r="J66" s="51" t="n"/>
    </row>
    <row r="67">
      <c r="B67" s="51" t="n"/>
      <c r="C67" s="51" t="n"/>
      <c r="D67" s="51" t="n"/>
      <c r="E67" s="51" t="n"/>
      <c r="F67" s="51" t="n"/>
      <c r="G67" s="51" t="n"/>
      <c r="H67" s="51" t="n"/>
      <c r="I67" s="51" t="n"/>
      <c r="J67" s="51" t="n"/>
    </row>
    <row r="68">
      <c r="B68" s="51" t="n"/>
      <c r="C68" s="51" t="n"/>
      <c r="D68" s="51" t="n"/>
      <c r="E68" s="51" t="n"/>
      <c r="F68" s="51" t="n"/>
      <c r="G68" s="51" t="n"/>
      <c r="H68" s="51" t="n"/>
      <c r="I68" s="51" t="n"/>
      <c r="J68" s="51" t="n"/>
    </row>
    <row r="69">
      <c r="B69" s="51" t="n"/>
      <c r="C69" s="51" t="n"/>
      <c r="D69" s="51" t="n"/>
      <c r="E69" s="51" t="n"/>
      <c r="F69" s="51" t="n"/>
      <c r="G69" s="51" t="n"/>
      <c r="H69" s="51" t="n"/>
      <c r="I69" s="51" t="n"/>
      <c r="J69" s="51" t="n"/>
    </row>
    <row r="70">
      <c r="B70" s="51" t="n"/>
      <c r="C70" s="51" t="n"/>
      <c r="D70" s="51" t="n"/>
      <c r="E70" s="51" t="n"/>
      <c r="F70" s="51" t="n"/>
      <c r="G70" s="51" t="n"/>
      <c r="H70" s="51" t="n"/>
      <c r="I70" s="51" t="n"/>
      <c r="J70" s="51" t="n"/>
    </row>
    <row r="71">
      <c r="B71" s="51" t="n"/>
      <c r="C71" s="51" t="n"/>
      <c r="D71" s="51" t="n"/>
      <c r="E71" s="51" t="n"/>
      <c r="F71" s="51" t="n"/>
      <c r="G71" s="51" t="n"/>
      <c r="H71" s="51" t="n"/>
      <c r="I71" s="51" t="n"/>
      <c r="J71" s="51" t="n"/>
    </row>
    <row r="72">
      <c r="B72" s="51" t="n"/>
      <c r="C72" s="51" t="n"/>
      <c r="D72" s="51" t="n"/>
      <c r="E72" s="51" t="n"/>
      <c r="F72" s="51" t="n"/>
      <c r="G72" s="51" t="n"/>
      <c r="H72" s="51" t="n"/>
      <c r="I72" s="51" t="n"/>
      <c r="J72" s="51" t="n"/>
    </row>
    <row r="73">
      <c r="B73" s="51" t="n"/>
      <c r="C73" s="51" t="n"/>
      <c r="D73" s="51" t="n"/>
      <c r="E73" s="51" t="n"/>
      <c r="F73" s="51" t="n"/>
      <c r="G73" s="51" t="n"/>
      <c r="H73" s="51" t="n"/>
      <c r="I73" s="51" t="n"/>
      <c r="J73" s="51" t="n"/>
    </row>
    <row r="74">
      <c r="B74" s="51" t="n"/>
      <c r="C74" s="51" t="n"/>
      <c r="D74" s="51" t="n"/>
      <c r="E74" s="51" t="n"/>
      <c r="F74" s="51" t="n"/>
      <c r="G74" s="51" t="n"/>
      <c r="H74" s="51" t="n"/>
      <c r="I74" s="51" t="n"/>
      <c r="J74" s="51" t="n"/>
    </row>
    <row r="75">
      <c r="B75" s="51" t="n"/>
      <c r="C75" s="51" t="n"/>
      <c r="D75" s="51" t="n"/>
      <c r="E75" s="51" t="n"/>
      <c r="F75" s="51" t="n"/>
      <c r="G75" s="51" t="n"/>
      <c r="H75" s="51" t="n"/>
      <c r="I75" s="51" t="n"/>
      <c r="J75" s="51" t="n"/>
    </row>
    <row r="76">
      <c r="B76" s="51" t="n"/>
      <c r="C76" s="51" t="n"/>
      <c r="D76" s="51" t="n"/>
      <c r="E76" s="51" t="n"/>
      <c r="F76" s="51" t="n"/>
      <c r="G76" s="51" t="n"/>
      <c r="H76" s="51" t="n"/>
      <c r="I76" s="51" t="n"/>
      <c r="J76" s="51" t="n"/>
    </row>
    <row r="77">
      <c r="B77" s="51" t="n"/>
      <c r="C77" s="51" t="n"/>
      <c r="D77" s="51" t="n"/>
      <c r="E77" s="51" t="n"/>
      <c r="F77" s="51" t="n"/>
      <c r="G77" s="51" t="n"/>
      <c r="H77" s="51" t="n"/>
      <c r="I77" s="51" t="n"/>
      <c r="J77" s="51" t="n"/>
    </row>
    <row r="78">
      <c r="B78" s="51" t="n"/>
      <c r="C78" s="51" t="n"/>
      <c r="D78" s="51" t="n"/>
      <c r="E78" s="51" t="n"/>
      <c r="F78" s="51" t="n"/>
      <c r="G78" s="51" t="n"/>
      <c r="H78" s="51" t="n"/>
      <c r="I78" s="51" t="n"/>
      <c r="J78" s="51" t="n"/>
    </row>
    <row r="79">
      <c r="B79" s="51" t="n"/>
      <c r="C79" s="51" t="n"/>
      <c r="D79" s="51" t="n"/>
      <c r="E79" s="51" t="n"/>
      <c r="F79" s="51" t="n"/>
      <c r="G79" s="51" t="n"/>
      <c r="H79" s="51" t="n"/>
      <c r="I79" s="51" t="n"/>
      <c r="J79" s="51" t="n"/>
    </row>
    <row r="80">
      <c r="B80" s="51" t="n"/>
      <c r="C80" s="51" t="n"/>
      <c r="D80" s="51" t="n"/>
      <c r="E80" s="51" t="n"/>
      <c r="F80" s="51" t="n"/>
      <c r="G80" s="51" t="n"/>
      <c r="H80" s="51" t="n"/>
      <c r="I80" s="51" t="n"/>
      <c r="J80" s="51" t="n"/>
    </row>
    <row r="81">
      <c r="B81" s="51" t="n"/>
      <c r="C81" s="51" t="n"/>
      <c r="D81" s="51" t="n"/>
      <c r="E81" s="51" t="n"/>
      <c r="F81" s="51" t="n"/>
      <c r="G81" s="51" t="n"/>
      <c r="H81" s="51" t="n"/>
      <c r="I81" s="51" t="n"/>
      <c r="J81" s="51" t="n"/>
    </row>
    <row r="82">
      <c r="B82" s="51" t="n"/>
      <c r="C82" s="51" t="n"/>
      <c r="D82" s="51" t="n"/>
      <c r="E82" s="51" t="n"/>
      <c r="F82" s="51" t="n"/>
      <c r="G82" s="51" t="n"/>
      <c r="H82" s="51" t="n"/>
      <c r="I82" s="51" t="n"/>
      <c r="J82" s="51" t="n"/>
    </row>
    <row r="83">
      <c r="B83" s="51" t="n"/>
      <c r="C83" s="51" t="n"/>
      <c r="D83" s="51" t="n"/>
      <c r="E83" s="51" t="n"/>
      <c r="F83" s="51" t="n"/>
      <c r="G83" s="51" t="n"/>
      <c r="H83" s="51" t="n"/>
      <c r="I83" s="51" t="n"/>
      <c r="J83" s="51" t="n"/>
    </row>
    <row r="84">
      <c r="B84" s="51" t="n"/>
      <c r="C84" s="51" t="n"/>
      <c r="D84" s="51" t="n"/>
      <c r="E84" s="51" t="n"/>
      <c r="F84" s="51" t="n"/>
      <c r="G84" s="51" t="n"/>
      <c r="H84" s="51" t="n"/>
      <c r="I84" s="51" t="n"/>
      <c r="J84" s="51" t="n"/>
    </row>
    <row r="85">
      <c r="B85" s="51" t="n"/>
      <c r="C85" s="51" t="n"/>
      <c r="D85" s="51" t="n"/>
      <c r="E85" s="51" t="n"/>
      <c r="F85" s="51" t="n"/>
      <c r="G85" s="51" t="n"/>
      <c r="H85" s="51" t="n"/>
      <c r="I85" s="51" t="n"/>
      <c r="J85" s="51" t="n"/>
    </row>
    <row r="86">
      <c r="B86" s="51" t="n"/>
      <c r="C86" s="51" t="n"/>
      <c r="D86" s="51" t="n"/>
      <c r="E86" s="51" t="n"/>
      <c r="F86" s="51" t="n"/>
      <c r="G86" s="51" t="n"/>
      <c r="H86" s="51" t="n"/>
      <c r="I86" s="51" t="n"/>
      <c r="J86" s="51" t="n"/>
    </row>
    <row r="87">
      <c r="B87" s="51" t="n"/>
      <c r="C87" s="51" t="n"/>
      <c r="D87" s="51" t="n"/>
      <c r="E87" s="51" t="n"/>
      <c r="F87" s="51" t="n"/>
      <c r="G87" s="51" t="n"/>
      <c r="H87" s="51" t="n"/>
      <c r="I87" s="51" t="n"/>
      <c r="J87" s="51" t="n"/>
    </row>
    <row r="88">
      <c r="B88" s="51" t="n"/>
      <c r="C88" s="51" t="n"/>
      <c r="D88" s="51" t="n"/>
      <c r="E88" s="51" t="n"/>
      <c r="F88" s="51" t="n"/>
      <c r="G88" s="51" t="n"/>
      <c r="H88" s="51" t="n"/>
      <c r="I88" s="51" t="n"/>
      <c r="J88" s="51" t="n"/>
    </row>
    <row r="89">
      <c r="B89" s="51" t="n"/>
      <c r="C89" s="51" t="n"/>
      <c r="D89" s="51" t="n"/>
      <c r="E89" s="51" t="n"/>
      <c r="F89" s="51" t="n"/>
      <c r="G89" s="51" t="n"/>
      <c r="H89" s="51" t="n"/>
      <c r="I89" s="51" t="n"/>
      <c r="J89" s="51" t="n"/>
    </row>
    <row r="90">
      <c r="B90" s="51" t="n"/>
      <c r="C90" s="51" t="n"/>
      <c r="D90" s="51" t="n"/>
      <c r="E90" s="51" t="n"/>
      <c r="F90" s="51" t="n"/>
      <c r="G90" s="51" t="n"/>
      <c r="H90" s="51" t="n"/>
      <c r="I90" s="51" t="n"/>
      <c r="J90" s="51" t="n"/>
    </row>
    <row r="91">
      <c r="B91" s="51" t="n"/>
      <c r="C91" s="51" t="n"/>
      <c r="D91" s="51" t="n"/>
      <c r="E91" s="51" t="n"/>
      <c r="F91" s="51" t="n"/>
      <c r="G91" s="51" t="n"/>
      <c r="H91" s="51" t="n"/>
      <c r="I91" s="51" t="n"/>
      <c r="J91" s="51" t="n"/>
    </row>
    <row r="92">
      <c r="B92" s="51" t="n"/>
      <c r="C92" s="51" t="n"/>
      <c r="D92" s="51" t="n"/>
      <c r="E92" s="51" t="n"/>
      <c r="F92" s="51" t="n"/>
      <c r="G92" s="51" t="n"/>
      <c r="H92" s="51" t="n"/>
      <c r="I92" s="51" t="n"/>
      <c r="J92" s="51" t="n"/>
    </row>
    <row r="93">
      <c r="B93" s="51" t="n"/>
      <c r="C93" s="51" t="n"/>
      <c r="D93" s="51" t="n"/>
      <c r="E93" s="51" t="n"/>
      <c r="F93" s="51" t="n"/>
      <c r="G93" s="51" t="n"/>
      <c r="H93" s="51" t="n"/>
      <c r="I93" s="51" t="n"/>
      <c r="J93" s="51" t="n"/>
    </row>
    <row r="94">
      <c r="B94" s="51" t="n"/>
      <c r="C94" s="51" t="n"/>
      <c r="D94" s="51" t="n"/>
      <c r="E94" s="51" t="n"/>
      <c r="F94" s="51" t="n"/>
      <c r="G94" s="51" t="n"/>
      <c r="H94" s="51" t="n"/>
      <c r="I94" s="51" t="n"/>
      <c r="J94" s="51" t="n"/>
    </row>
    <row r="95">
      <c r="B95" s="51" t="n"/>
      <c r="C95" s="51" t="n"/>
      <c r="D95" s="51" t="n"/>
      <c r="E95" s="51" t="n"/>
      <c r="F95" s="51" t="n"/>
      <c r="G95" s="51" t="n"/>
      <c r="H95" s="51" t="n"/>
      <c r="I95" s="51" t="n"/>
      <c r="J95" s="51" t="n"/>
    </row>
    <row r="96">
      <c r="B96" s="51" t="n"/>
      <c r="C96" s="51" t="n"/>
      <c r="D96" s="51" t="n"/>
      <c r="E96" s="51" t="n"/>
      <c r="F96" s="51" t="n"/>
      <c r="G96" s="51" t="n"/>
      <c r="H96" s="51" t="n"/>
      <c r="I96" s="51" t="n"/>
      <c r="J96" s="51" t="n"/>
    </row>
    <row r="97">
      <c r="B97" s="51" t="n"/>
      <c r="C97" s="51" t="n"/>
      <c r="D97" s="51" t="n"/>
      <c r="E97" s="51" t="n"/>
      <c r="F97" s="51" t="n"/>
      <c r="G97" s="51" t="n"/>
      <c r="H97" s="51" t="n"/>
      <c r="I97" s="51" t="n"/>
      <c r="J97" s="51" t="n"/>
    </row>
    <row r="98">
      <c r="B98" s="51" t="n"/>
      <c r="C98" s="51" t="n"/>
      <c r="D98" s="51" t="n"/>
      <c r="E98" s="51" t="n"/>
      <c r="F98" s="51" t="n"/>
      <c r="G98" s="51" t="n"/>
      <c r="H98" s="51" t="n"/>
      <c r="I98" s="51" t="n"/>
      <c r="J98" s="51" t="n"/>
    </row>
    <row r="99">
      <c r="B99" s="51" t="n"/>
      <c r="C99" s="51" t="n"/>
      <c r="D99" s="51" t="n"/>
      <c r="E99" s="51" t="n"/>
      <c r="F99" s="51" t="n"/>
      <c r="G99" s="51" t="n"/>
      <c r="H99" s="51" t="n"/>
      <c r="I99" s="51" t="n"/>
      <c r="J99" s="51" t="n"/>
    </row>
    <row r="100">
      <c r="B100" s="51" t="n"/>
      <c r="C100" s="51" t="n"/>
      <c r="D100" s="51" t="n"/>
      <c r="E100" s="51" t="n"/>
      <c r="F100" s="51" t="n"/>
      <c r="G100" s="51" t="n"/>
      <c r="H100" s="51" t="n"/>
      <c r="I100" s="51" t="n"/>
      <c r="J100" s="51" t="n"/>
    </row>
    <row r="101">
      <c r="B101" s="51" t="n"/>
      <c r="C101" s="51" t="n"/>
      <c r="D101" s="51" t="n"/>
      <c r="E101" s="51" t="n"/>
      <c r="F101" s="51" t="n"/>
      <c r="G101" s="51" t="n"/>
      <c r="H101" s="51" t="n"/>
      <c r="I101" s="51" t="n"/>
      <c r="J101" s="51" t="n"/>
    </row>
    <row r="102">
      <c r="B102" s="51" t="n"/>
      <c r="C102" s="51" t="n"/>
      <c r="D102" s="51" t="n"/>
      <c r="E102" s="51" t="n"/>
      <c r="F102" s="51" t="n"/>
      <c r="G102" s="51" t="n"/>
      <c r="H102" s="51" t="n"/>
      <c r="I102" s="51" t="n"/>
      <c r="J102" s="51" t="n"/>
    </row>
    <row r="103">
      <c r="B103" s="51" t="n"/>
      <c r="C103" s="51" t="n"/>
      <c r="D103" s="51" t="n"/>
      <c r="E103" s="51" t="n"/>
      <c r="F103" s="51" t="n"/>
      <c r="G103" s="51" t="n"/>
      <c r="H103" s="51" t="n"/>
      <c r="I103" s="51" t="n"/>
      <c r="J103" s="51" t="n"/>
    </row>
    <row r="104">
      <c r="B104" s="51" t="n"/>
      <c r="C104" s="51" t="n"/>
      <c r="D104" s="51" t="n"/>
      <c r="E104" s="51" t="n"/>
      <c r="F104" s="51" t="n"/>
      <c r="G104" s="51" t="n"/>
      <c r="H104" s="51" t="n"/>
      <c r="I104" s="51" t="n"/>
      <c r="J104" s="51" t="n"/>
    </row>
    <row r="105">
      <c r="B105" s="51" t="n"/>
      <c r="C105" s="51" t="n"/>
      <c r="D105" s="51" t="n"/>
      <c r="E105" s="51" t="n"/>
      <c r="F105" s="51" t="n"/>
      <c r="G105" s="51" t="n"/>
      <c r="H105" s="51" t="n"/>
      <c r="I105" s="51" t="n"/>
      <c r="J105" s="51" t="n"/>
    </row>
    <row r="106">
      <c r="B106" s="51" t="n"/>
      <c r="C106" s="51" t="n"/>
      <c r="D106" s="51" t="n"/>
      <c r="E106" s="51" t="n"/>
      <c r="F106" s="51" t="n"/>
      <c r="G106" s="51" t="n"/>
      <c r="H106" s="51" t="n"/>
      <c r="I106" s="51" t="n"/>
      <c r="J106" s="51" t="n"/>
    </row>
    <row r="107">
      <c r="B107" s="51" t="n"/>
      <c r="C107" s="51" t="n"/>
      <c r="D107" s="51" t="n"/>
      <c r="E107" s="51" t="n"/>
      <c r="F107" s="51" t="n"/>
      <c r="G107" s="51" t="n"/>
      <c r="H107" s="51" t="n"/>
      <c r="I107" s="51" t="n"/>
      <c r="J107" s="51" t="n"/>
    </row>
    <row r="108">
      <c r="B108" s="51" t="n"/>
      <c r="C108" s="51" t="n"/>
      <c r="D108" s="51" t="n"/>
      <c r="E108" s="51" t="n"/>
      <c r="F108" s="51" t="n"/>
      <c r="G108" s="51" t="n"/>
      <c r="H108" s="51" t="n"/>
      <c r="I108" s="51" t="n"/>
      <c r="J108" s="51" t="n"/>
    </row>
    <row r="109">
      <c r="B109" s="51" t="n"/>
      <c r="C109" s="51" t="n"/>
      <c r="D109" s="51" t="n"/>
      <c r="E109" s="51" t="n"/>
      <c r="F109" s="51" t="n"/>
      <c r="G109" s="51" t="n"/>
      <c r="H109" s="51" t="n"/>
      <c r="I109" s="51" t="n"/>
      <c r="J109" s="51" t="n"/>
    </row>
    <row r="110">
      <c r="B110" s="51" t="n"/>
      <c r="C110" s="51" t="n"/>
      <c r="D110" s="51" t="n"/>
      <c r="E110" s="51" t="n"/>
      <c r="F110" s="51" t="n"/>
      <c r="G110" s="51" t="n"/>
      <c r="H110" s="51" t="n"/>
      <c r="I110" s="51" t="n"/>
      <c r="J110" s="51" t="n"/>
    </row>
    <row r="111">
      <c r="B111" s="51" t="n"/>
      <c r="C111" s="51" t="n"/>
      <c r="D111" s="51" t="n"/>
      <c r="E111" s="51" t="n"/>
      <c r="F111" s="51" t="n"/>
      <c r="G111" s="51" t="n"/>
      <c r="H111" s="51" t="n"/>
      <c r="I111" s="51" t="n"/>
      <c r="J111" s="51" t="n"/>
    </row>
    <row r="112">
      <c r="B112" s="51" t="n"/>
      <c r="C112" s="51" t="n"/>
      <c r="D112" s="51" t="n"/>
      <c r="E112" s="51" t="n"/>
      <c r="F112" s="51" t="n"/>
      <c r="G112" s="51" t="n"/>
      <c r="H112" s="51" t="n"/>
      <c r="I112" s="51" t="n"/>
      <c r="J112" s="51" t="n"/>
    </row>
    <row r="113">
      <c r="B113" s="51" t="n"/>
      <c r="C113" s="51" t="n"/>
      <c r="D113" s="51" t="n"/>
      <c r="E113" s="51" t="n"/>
      <c r="F113" s="51" t="n"/>
      <c r="G113" s="51" t="n"/>
      <c r="H113" s="51" t="n"/>
      <c r="I113" s="51" t="n"/>
      <c r="J113" s="51" t="n"/>
    </row>
    <row r="114">
      <c r="B114" s="51" t="n"/>
      <c r="C114" s="51" t="n"/>
      <c r="D114" s="51" t="n"/>
      <c r="E114" s="51" t="n"/>
      <c r="F114" s="51" t="n"/>
      <c r="G114" s="51" t="n"/>
      <c r="H114" s="51" t="n"/>
      <c r="I114" s="51" t="n"/>
      <c r="J114" s="51" t="n"/>
    </row>
    <row r="115">
      <c r="B115" s="51" t="n"/>
      <c r="C115" s="51" t="n"/>
      <c r="D115" s="51" t="n"/>
      <c r="E115" s="51" t="n"/>
      <c r="F115" s="51" t="n"/>
      <c r="G115" s="51" t="n"/>
      <c r="H115" s="51" t="n"/>
      <c r="I115" s="51" t="n"/>
      <c r="J115" s="51" t="n"/>
    </row>
    <row r="116">
      <c r="B116" s="51" t="n"/>
      <c r="C116" s="51" t="n"/>
      <c r="D116" s="51" t="n"/>
      <c r="E116" s="51" t="n"/>
      <c r="F116" s="51" t="n"/>
      <c r="G116" s="51" t="n"/>
      <c r="H116" s="51" t="n"/>
      <c r="I116" s="51" t="n"/>
      <c r="J116" s="51" t="n"/>
    </row>
    <row r="117">
      <c r="B117" s="51" t="n"/>
      <c r="C117" s="51" t="n"/>
      <c r="D117" s="51" t="n"/>
      <c r="E117" s="51" t="n"/>
      <c r="F117" s="51" t="n"/>
      <c r="G117" s="51" t="n"/>
      <c r="H117" s="51" t="n"/>
      <c r="I117" s="51" t="n"/>
      <c r="J117" s="51" t="n"/>
    </row>
    <row r="118">
      <c r="B118" s="51" t="n"/>
      <c r="C118" s="51" t="n"/>
      <c r="D118" s="51" t="n"/>
      <c r="E118" s="51" t="n"/>
      <c r="F118" s="51" t="n"/>
      <c r="G118" s="51" t="n"/>
      <c r="H118" s="51" t="n"/>
      <c r="I118" s="51" t="n"/>
      <c r="J118" s="51" t="n"/>
    </row>
    <row r="119">
      <c r="B119" s="51" t="n"/>
      <c r="C119" s="51" t="n"/>
      <c r="D119" s="51" t="n"/>
      <c r="E119" s="51" t="n"/>
      <c r="F119" s="51" t="n"/>
      <c r="G119" s="51" t="n"/>
      <c r="H119" s="51" t="n"/>
      <c r="I119" s="51" t="n"/>
      <c r="J119" s="51" t="n"/>
    </row>
    <row r="120">
      <c r="B120" s="51" t="n"/>
      <c r="C120" s="51" t="n"/>
      <c r="D120" s="51" t="n"/>
      <c r="E120" s="51" t="n"/>
      <c r="F120" s="51" t="n"/>
      <c r="G120" s="51" t="n"/>
      <c r="H120" s="51" t="n"/>
      <c r="I120" s="51" t="n"/>
      <c r="J120" s="51" t="n"/>
    </row>
    <row r="121">
      <c r="B121" s="51" t="n"/>
      <c r="C121" s="51" t="n"/>
      <c r="D121" s="51" t="n"/>
      <c r="E121" s="51" t="n"/>
      <c r="F121" s="51" t="n"/>
      <c r="G121" s="51" t="n"/>
      <c r="H121" s="51" t="n"/>
      <c r="I121" s="51" t="n"/>
      <c r="J121" s="51" t="n"/>
    </row>
    <row r="122">
      <c r="B122" s="51" t="n"/>
      <c r="C122" s="51" t="n"/>
      <c r="D122" s="51" t="n"/>
      <c r="E122" s="51" t="n"/>
      <c r="F122" s="51" t="n"/>
      <c r="G122" s="51" t="n"/>
      <c r="H122" s="51" t="n"/>
      <c r="I122" s="51" t="n"/>
      <c r="J122" s="51" t="n"/>
    </row>
    <row r="123">
      <c r="B123" s="51" t="n"/>
      <c r="C123" s="51" t="n"/>
      <c r="D123" s="51" t="n"/>
      <c r="E123" s="51" t="n"/>
      <c r="F123" s="51" t="n"/>
      <c r="G123" s="51" t="n"/>
      <c r="H123" s="51" t="n"/>
      <c r="I123" s="51" t="n"/>
      <c r="J123" s="51" t="n"/>
    </row>
    <row r="124">
      <c r="B124" s="51" t="n"/>
      <c r="C124" s="51" t="n"/>
      <c r="D124" s="51" t="n"/>
      <c r="E124" s="51" t="n"/>
      <c r="F124" s="51" t="n"/>
      <c r="G124" s="51" t="n"/>
      <c r="H124" s="51" t="n"/>
      <c r="I124" s="51" t="n"/>
      <c r="J124" s="51" t="n"/>
    </row>
    <row r="125">
      <c r="B125" s="51" t="n"/>
      <c r="C125" s="51" t="n"/>
      <c r="D125" s="51" t="n"/>
      <c r="E125" s="51" t="n"/>
      <c r="F125" s="51" t="n"/>
      <c r="G125" s="51" t="n"/>
      <c r="H125" s="51" t="n"/>
      <c r="I125" s="51" t="n"/>
      <c r="J125" s="51" t="n"/>
    </row>
    <row r="126">
      <c r="B126" s="51" t="n"/>
      <c r="C126" s="51" t="n"/>
      <c r="D126" s="51" t="n"/>
      <c r="E126" s="51" t="n"/>
      <c r="F126" s="51" t="n"/>
      <c r="G126" s="51" t="n"/>
      <c r="H126" s="51" t="n"/>
      <c r="I126" s="51" t="n"/>
      <c r="J126" s="51" t="n"/>
    </row>
    <row r="127">
      <c r="B127" s="51" t="n"/>
      <c r="C127" s="51" t="n"/>
      <c r="D127" s="51" t="n"/>
      <c r="E127" s="51" t="n"/>
      <c r="F127" s="51" t="n"/>
      <c r="G127" s="51" t="n"/>
      <c r="H127" s="51" t="n"/>
      <c r="I127" s="51" t="n"/>
      <c r="J127" s="51" t="n"/>
    </row>
    <row r="128">
      <c r="B128" s="51" t="n"/>
      <c r="C128" s="51" t="n"/>
      <c r="D128" s="51" t="n"/>
      <c r="E128" s="51" t="n"/>
      <c r="F128" s="51" t="n"/>
      <c r="G128" s="51" t="n"/>
      <c r="H128" s="51" t="n"/>
      <c r="I128" s="51" t="n"/>
      <c r="J128" s="51" t="n"/>
    </row>
    <row r="129">
      <c r="B129" s="51" t="n"/>
      <c r="C129" s="51" t="n"/>
      <c r="D129" s="51" t="n"/>
      <c r="E129" s="51" t="n"/>
      <c r="F129" s="51" t="n"/>
      <c r="G129" s="51" t="n"/>
      <c r="H129" s="51" t="n"/>
      <c r="I129" s="51" t="n"/>
      <c r="J129" s="51" t="n"/>
    </row>
    <row r="130">
      <c r="B130" s="51" t="n"/>
      <c r="C130" s="51" t="n"/>
      <c r="D130" s="51" t="n"/>
      <c r="E130" s="51" t="n"/>
      <c r="F130" s="51" t="n"/>
      <c r="G130" s="51" t="n"/>
      <c r="H130" s="51" t="n"/>
      <c r="I130" s="51" t="n"/>
      <c r="J130" s="51" t="n"/>
    </row>
    <row r="131">
      <c r="B131" s="51" t="n"/>
      <c r="C131" s="51" t="n"/>
      <c r="D131" s="51" t="n"/>
      <c r="E131" s="51" t="n"/>
      <c r="F131" s="51" t="n"/>
      <c r="G131" s="51" t="n"/>
      <c r="H131" s="51" t="n"/>
      <c r="I131" s="51" t="n"/>
      <c r="J131" s="51" t="n"/>
    </row>
    <row r="132">
      <c r="B132" s="51" t="n"/>
      <c r="C132" s="51" t="n"/>
      <c r="D132" s="51" t="n"/>
      <c r="E132" s="51" t="n"/>
      <c r="F132" s="51" t="n"/>
      <c r="G132" s="51" t="n"/>
      <c r="H132" s="51" t="n"/>
      <c r="I132" s="51" t="n"/>
      <c r="J132" s="51" t="n"/>
    </row>
    <row r="133">
      <c r="B133" s="51" t="n"/>
      <c r="C133" s="51" t="n"/>
      <c r="D133" s="51" t="n"/>
      <c r="E133" s="51" t="n"/>
      <c r="F133" s="51" t="n"/>
      <c r="G133" s="51" t="n"/>
      <c r="H133" s="51" t="n"/>
      <c r="I133" s="51" t="n"/>
      <c r="J133" s="51" t="n"/>
    </row>
    <row r="134">
      <c r="B134" s="51" t="n"/>
      <c r="C134" s="51" t="n"/>
      <c r="D134" s="51" t="n"/>
      <c r="E134" s="51" t="n"/>
      <c r="F134" s="51" t="n"/>
      <c r="G134" s="51" t="n"/>
      <c r="H134" s="51" t="n"/>
      <c r="I134" s="51" t="n"/>
      <c r="J134" s="51" t="n"/>
    </row>
    <row r="135">
      <c r="B135" s="51" t="n"/>
      <c r="C135" s="51" t="n"/>
      <c r="D135" s="51" t="n"/>
      <c r="E135" s="51" t="n"/>
      <c r="F135" s="51" t="n"/>
      <c r="G135" s="51" t="n"/>
      <c r="H135" s="51" t="n"/>
      <c r="I135" s="51" t="n"/>
      <c r="J135" s="51" t="n"/>
    </row>
    <row r="136">
      <c r="B136" s="51" t="n"/>
      <c r="C136" s="51" t="n"/>
      <c r="D136" s="51" t="n"/>
      <c r="E136" s="51" t="n"/>
      <c r="F136" s="51" t="n"/>
      <c r="G136" s="51" t="n"/>
      <c r="H136" s="51" t="n"/>
      <c r="I136" s="51" t="n"/>
      <c r="J136" s="51" t="n"/>
    </row>
    <row r="137">
      <c r="B137" s="51" t="n"/>
      <c r="C137" s="51" t="n"/>
      <c r="D137" s="51" t="n"/>
      <c r="E137" s="51" t="n"/>
      <c r="F137" s="51" t="n"/>
      <c r="G137" s="51" t="n"/>
      <c r="H137" s="51" t="n"/>
      <c r="I137" s="51" t="n"/>
      <c r="J137" s="51" t="n"/>
    </row>
    <row r="138">
      <c r="B138" s="51" t="n"/>
      <c r="C138" s="51" t="n"/>
      <c r="D138" s="51" t="n"/>
      <c r="E138" s="51" t="n"/>
      <c r="F138" s="51" t="n"/>
      <c r="G138" s="51" t="n"/>
      <c r="H138" s="51" t="n"/>
      <c r="I138" s="51" t="n"/>
      <c r="J138" s="51" t="n"/>
    </row>
    <row r="139">
      <c r="B139" s="51" t="n"/>
      <c r="C139" s="51" t="n"/>
      <c r="D139" s="51" t="n"/>
      <c r="E139" s="51" t="n"/>
      <c r="F139" s="51" t="n"/>
      <c r="G139" s="51" t="n"/>
      <c r="H139" s="51" t="n"/>
      <c r="I139" s="51" t="n"/>
      <c r="J139" s="51" t="n"/>
    </row>
    <row r="140">
      <c r="B140" s="51" t="n"/>
      <c r="C140" s="51" t="n"/>
      <c r="D140" s="51" t="n"/>
      <c r="E140" s="51" t="n"/>
      <c r="F140" s="51" t="n"/>
      <c r="G140" s="51" t="n"/>
      <c r="H140" s="51" t="n"/>
      <c r="I140" s="51" t="n"/>
      <c r="J140" s="51" t="n"/>
    </row>
    <row r="141">
      <c r="B141" s="51" t="n"/>
      <c r="C141" s="51" t="n"/>
      <c r="D141" s="51" t="n"/>
      <c r="E141" s="51" t="n"/>
      <c r="F141" s="51" t="n"/>
      <c r="G141" s="51" t="n"/>
      <c r="H141" s="51" t="n"/>
      <c r="I141" s="51" t="n"/>
      <c r="J141" s="51" t="n"/>
    </row>
    <row r="142">
      <c r="B142" s="51" t="n"/>
      <c r="C142" s="51" t="n"/>
      <c r="D142" s="51" t="n"/>
      <c r="E142" s="51" t="n"/>
      <c r="F142" s="51" t="n"/>
      <c r="G142" s="51" t="n"/>
      <c r="H142" s="51" t="n"/>
      <c r="I142" s="51" t="n"/>
      <c r="J142" s="51" t="n"/>
    </row>
    <row r="143">
      <c r="B143" s="51" t="n"/>
      <c r="C143" s="51" t="n"/>
      <c r="D143" s="51" t="n"/>
      <c r="E143" s="51" t="n"/>
      <c r="F143" s="51" t="n"/>
      <c r="G143" s="51" t="n"/>
      <c r="H143" s="51" t="n"/>
      <c r="I143" s="51" t="n"/>
      <c r="J143" s="51" t="n"/>
    </row>
    <row r="144">
      <c r="B144" s="51" t="n"/>
      <c r="C144" s="51" t="n"/>
      <c r="D144" s="51" t="n"/>
      <c r="E144" s="51" t="n"/>
      <c r="F144" s="51" t="n"/>
      <c r="G144" s="51" t="n"/>
      <c r="H144" s="51" t="n"/>
      <c r="I144" s="51" t="n"/>
      <c r="J144" s="51" t="n"/>
    </row>
    <row r="145">
      <c r="B145" s="51" t="n"/>
      <c r="C145" s="51" t="n"/>
      <c r="D145" s="51" t="n"/>
      <c r="E145" s="51" t="n"/>
      <c r="F145" s="51" t="n"/>
      <c r="G145" s="51" t="n"/>
      <c r="H145" s="51" t="n"/>
      <c r="I145" s="51" t="n"/>
      <c r="J145" s="51" t="n"/>
    </row>
    <row r="146">
      <c r="B146" s="51" t="n"/>
      <c r="C146" s="51" t="n"/>
      <c r="D146" s="51" t="n"/>
      <c r="E146" s="51" t="n"/>
      <c r="F146" s="51" t="n"/>
      <c r="G146" s="51" t="n"/>
      <c r="H146" s="51" t="n"/>
      <c r="I146" s="51" t="n"/>
      <c r="J146" s="51" t="n"/>
    </row>
    <row r="147">
      <c r="B147" s="51" t="n"/>
      <c r="C147" s="51" t="n"/>
      <c r="D147" s="51" t="n"/>
      <c r="E147" s="51" t="n"/>
      <c r="F147" s="51" t="n"/>
      <c r="G147" s="51" t="n"/>
      <c r="H147" s="51" t="n"/>
      <c r="I147" s="51" t="n"/>
      <c r="J147" s="51" t="n"/>
    </row>
    <row r="148">
      <c r="B148" s="51" t="n"/>
      <c r="C148" s="51" t="n"/>
      <c r="D148" s="51" t="n"/>
      <c r="E148" s="51" t="n"/>
      <c r="F148" s="51" t="n"/>
      <c r="G148" s="51" t="n"/>
      <c r="H148" s="51" t="n"/>
      <c r="I148" s="51" t="n"/>
      <c r="J148" s="51" t="n"/>
    </row>
    <row r="149">
      <c r="B149" s="51" t="n"/>
      <c r="C149" s="51" t="n"/>
      <c r="D149" s="51" t="n"/>
      <c r="E149" s="51" t="n"/>
      <c r="F149" s="51" t="n"/>
      <c r="G149" s="51" t="n"/>
      <c r="H149" s="51" t="n"/>
      <c r="I149" s="51" t="n"/>
      <c r="J149" s="51" t="n"/>
    </row>
    <row r="150">
      <c r="B150" s="51" t="n"/>
      <c r="C150" s="51" t="n"/>
      <c r="D150" s="51" t="n"/>
      <c r="E150" s="51" t="n"/>
      <c r="F150" s="51" t="n"/>
      <c r="G150" s="51" t="n"/>
      <c r="H150" s="51" t="n"/>
      <c r="I150" s="51" t="n"/>
      <c r="J150" s="51" t="n"/>
    </row>
    <row r="151">
      <c r="B151" s="51" t="n"/>
      <c r="C151" s="51" t="n"/>
      <c r="D151" s="51" t="n"/>
      <c r="E151" s="51" t="n"/>
      <c r="F151" s="51" t="n"/>
      <c r="G151" s="51" t="n"/>
      <c r="H151" s="51" t="n"/>
      <c r="I151" s="51" t="n"/>
      <c r="J151" s="51" t="n"/>
    </row>
    <row r="152">
      <c r="B152" s="51" t="n"/>
      <c r="C152" s="51" t="n"/>
      <c r="D152" s="51" t="n"/>
      <c r="E152" s="51" t="n"/>
      <c r="F152" s="51" t="n"/>
      <c r="G152" s="51" t="n"/>
      <c r="H152" s="51" t="n"/>
      <c r="I152" s="51" t="n"/>
      <c r="J152" s="51" t="n"/>
    </row>
    <row r="153">
      <c r="B153" s="51" t="n"/>
      <c r="C153" s="51" t="n"/>
      <c r="D153" s="51" t="n"/>
      <c r="E153" s="51" t="n"/>
      <c r="F153" s="51" t="n"/>
      <c r="G153" s="51" t="n"/>
      <c r="H153" s="51" t="n"/>
      <c r="I153" s="51" t="n"/>
      <c r="J153" s="51" t="n"/>
    </row>
    <row r="154">
      <c r="B154" s="51" t="n"/>
      <c r="C154" s="51" t="n"/>
      <c r="D154" s="51" t="n"/>
      <c r="E154" s="51" t="n"/>
      <c r="F154" s="51" t="n"/>
      <c r="G154" s="51" t="n"/>
      <c r="H154" s="51" t="n"/>
      <c r="I154" s="51" t="n"/>
      <c r="J154" s="51" t="n"/>
    </row>
    <row r="155">
      <c r="B155" s="51" t="n"/>
      <c r="C155" s="51" t="n"/>
      <c r="D155" s="51" t="n"/>
      <c r="E155" s="51" t="n"/>
      <c r="F155" s="51" t="n"/>
      <c r="G155" s="51" t="n"/>
      <c r="H155" s="51" t="n"/>
      <c r="I155" s="51" t="n"/>
      <c r="J155" s="51" t="n"/>
    </row>
    <row r="156">
      <c r="B156" s="51" t="n"/>
      <c r="C156" s="51" t="n"/>
      <c r="D156" s="51" t="n"/>
      <c r="E156" s="51" t="n"/>
      <c r="F156" s="51" t="n"/>
      <c r="G156" s="51" t="n"/>
      <c r="H156" s="51" t="n"/>
      <c r="I156" s="51" t="n"/>
      <c r="J156" s="51" t="n"/>
    </row>
    <row r="157">
      <c r="B157" s="51" t="n"/>
      <c r="C157" s="51" t="n"/>
      <c r="D157" s="51" t="n"/>
      <c r="E157" s="51" t="n"/>
      <c r="F157" s="51" t="n"/>
      <c r="G157" s="51" t="n"/>
      <c r="H157" s="51" t="n"/>
      <c r="I157" s="51" t="n"/>
      <c r="J157" s="51" t="n"/>
    </row>
    <row r="158">
      <c r="B158" s="51" t="n"/>
      <c r="C158" s="51" t="n"/>
      <c r="D158" s="51" t="n"/>
      <c r="E158" s="51" t="n"/>
      <c r="F158" s="51" t="n"/>
      <c r="G158" s="51" t="n"/>
      <c r="H158" s="51" t="n"/>
      <c r="I158" s="51" t="n"/>
      <c r="J158" s="51" t="n"/>
    </row>
    <row r="159">
      <c r="B159" s="51" t="n"/>
      <c r="C159" s="51" t="n"/>
      <c r="D159" s="51" t="n"/>
      <c r="E159" s="51" t="n"/>
      <c r="F159" s="51" t="n"/>
      <c r="G159" s="51" t="n"/>
      <c r="H159" s="51" t="n"/>
      <c r="I159" s="51" t="n"/>
      <c r="J159" s="51" t="n"/>
    </row>
    <row r="160">
      <c r="B160" s="51" t="n"/>
      <c r="C160" s="51" t="n"/>
      <c r="D160" s="51" t="n"/>
      <c r="E160" s="51" t="n"/>
      <c r="F160" s="51" t="n"/>
      <c r="G160" s="51" t="n"/>
      <c r="H160" s="51" t="n"/>
      <c r="I160" s="51" t="n"/>
      <c r="J160" s="51" t="n"/>
    </row>
    <row r="161">
      <c r="B161" s="51" t="n"/>
      <c r="C161" s="51" t="n"/>
      <c r="D161" s="51" t="n"/>
      <c r="E161" s="51" t="n"/>
      <c r="F161" s="51" t="n"/>
      <c r="G161" s="51" t="n"/>
      <c r="H161" s="51" t="n"/>
      <c r="I161" s="51" t="n"/>
      <c r="J161" s="51" t="n"/>
    </row>
    <row r="162">
      <c r="B162" s="51" t="n"/>
      <c r="C162" s="51" t="n"/>
      <c r="D162" s="51" t="n"/>
      <c r="E162" s="51" t="n"/>
      <c r="F162" s="51" t="n"/>
      <c r="G162" s="51" t="n"/>
      <c r="H162" s="51" t="n"/>
      <c r="I162" s="51" t="n"/>
      <c r="J162" s="51" t="n"/>
    </row>
    <row r="163">
      <c r="B163" s="51" t="n"/>
      <c r="C163" s="51" t="n"/>
      <c r="D163" s="51" t="n"/>
      <c r="E163" s="51" t="n"/>
      <c r="F163" s="51" t="n"/>
      <c r="G163" s="51" t="n"/>
      <c r="H163" s="51" t="n"/>
      <c r="I163" s="51" t="n"/>
      <c r="J163" s="51" t="n"/>
    </row>
    <row r="164">
      <c r="B164" s="51" t="n"/>
      <c r="C164" s="51" t="n"/>
      <c r="D164" s="51" t="n"/>
      <c r="E164" s="51" t="n"/>
      <c r="F164" s="51" t="n"/>
      <c r="G164" s="51" t="n"/>
      <c r="H164" s="51" t="n"/>
      <c r="I164" s="51" t="n"/>
      <c r="J164" s="51" t="n"/>
    </row>
    <row r="165">
      <c r="B165" s="51" t="n"/>
      <c r="C165" s="51" t="n"/>
      <c r="D165" s="51" t="n"/>
      <c r="E165" s="51" t="n"/>
      <c r="F165" s="51" t="n"/>
      <c r="G165" s="51" t="n"/>
      <c r="H165" s="51" t="n"/>
      <c r="I165" s="51" t="n"/>
      <c r="J165" s="51" t="n"/>
    </row>
    <row r="166">
      <c r="B166" s="51" t="n"/>
      <c r="C166" s="51" t="n"/>
      <c r="D166" s="51" t="n"/>
      <c r="E166" s="51" t="n"/>
      <c r="F166" s="51" t="n"/>
      <c r="G166" s="51" t="n"/>
      <c r="H166" s="51" t="n"/>
      <c r="I166" s="51" t="n"/>
      <c r="J166" s="51" t="n"/>
    </row>
    <row r="167">
      <c r="B167" s="51" t="n"/>
      <c r="C167" s="51" t="n"/>
      <c r="D167" s="51" t="n"/>
      <c r="E167" s="51" t="n"/>
      <c r="F167" s="51" t="n"/>
      <c r="G167" s="51" t="n"/>
      <c r="H167" s="51" t="n"/>
      <c r="I167" s="51" t="n"/>
      <c r="J167" s="51" t="n"/>
    </row>
    <row r="168">
      <c r="B168" s="51" t="n"/>
      <c r="C168" s="51" t="n"/>
      <c r="D168" s="51" t="n"/>
      <c r="E168" s="51" t="n"/>
      <c r="F168" s="51" t="n"/>
      <c r="G168" s="51" t="n"/>
      <c r="H168" s="51" t="n"/>
      <c r="I168" s="51" t="n"/>
      <c r="J168" s="51" t="n"/>
    </row>
    <row r="169">
      <c r="B169" s="51" t="n"/>
      <c r="C169" s="51" t="n"/>
      <c r="D169" s="51" t="n"/>
      <c r="E169" s="51" t="n"/>
      <c r="F169" s="51" t="n"/>
      <c r="G169" s="51" t="n"/>
      <c r="H169" s="51" t="n"/>
      <c r="I169" s="51" t="n"/>
      <c r="J169" s="51" t="n"/>
    </row>
    <row r="170">
      <c r="B170" s="51" t="n"/>
      <c r="C170" s="51" t="n"/>
      <c r="D170" s="51" t="n"/>
      <c r="E170" s="51" t="n"/>
      <c r="F170" s="51" t="n"/>
      <c r="G170" s="51" t="n"/>
      <c r="H170" s="51" t="n"/>
      <c r="I170" s="51" t="n"/>
      <c r="J170" s="51" t="n"/>
    </row>
    <row r="171">
      <c r="B171" s="51" t="n"/>
      <c r="C171" s="51" t="n"/>
      <c r="D171" s="51" t="n"/>
      <c r="E171" s="51" t="n"/>
      <c r="F171" s="51" t="n"/>
      <c r="G171" s="51" t="n"/>
      <c r="H171" s="51" t="n"/>
      <c r="I171" s="51" t="n"/>
      <c r="J171" s="51" t="n"/>
    </row>
    <row r="172">
      <c r="B172" s="51" t="n"/>
      <c r="C172" s="51" t="n"/>
      <c r="D172" s="51" t="n"/>
      <c r="E172" s="51" t="n"/>
      <c r="F172" s="51" t="n"/>
      <c r="G172" s="51" t="n"/>
      <c r="H172" s="51" t="n"/>
      <c r="I172" s="51" t="n"/>
      <c r="J172" s="51" t="n"/>
    </row>
    <row r="173">
      <c r="B173" s="51" t="n"/>
      <c r="C173" s="51" t="n"/>
      <c r="D173" s="51" t="n"/>
      <c r="E173" s="51" t="n"/>
      <c r="F173" s="51" t="n"/>
      <c r="G173" s="51" t="n"/>
      <c r="H173" s="51" t="n"/>
      <c r="I173" s="51" t="n"/>
      <c r="J173" s="51" t="n"/>
    </row>
    <row r="174">
      <c r="B174" s="51" t="n"/>
      <c r="C174" s="51" t="n"/>
      <c r="D174" s="51" t="n"/>
      <c r="E174" s="51" t="n"/>
      <c r="F174" s="51" t="n"/>
      <c r="G174" s="51" t="n"/>
      <c r="H174" s="51" t="n"/>
      <c r="I174" s="51" t="n"/>
      <c r="J174" s="51" t="n"/>
    </row>
    <row r="175">
      <c r="B175" s="51" t="n"/>
      <c r="C175" s="51" t="n"/>
      <c r="D175" s="51" t="n"/>
      <c r="E175" s="51" t="n"/>
      <c r="F175" s="51" t="n"/>
      <c r="G175" s="51" t="n"/>
      <c r="H175" s="51" t="n"/>
      <c r="I175" s="51" t="n"/>
      <c r="J175" s="51" t="n"/>
    </row>
    <row r="176">
      <c r="B176" s="51" t="n"/>
      <c r="C176" s="51" t="n"/>
      <c r="D176" s="51" t="n"/>
      <c r="E176" s="51" t="n"/>
      <c r="F176" s="51" t="n"/>
      <c r="G176" s="51" t="n"/>
      <c r="H176" s="51" t="n"/>
      <c r="I176" s="51" t="n"/>
      <c r="J176" s="51" t="n"/>
    </row>
    <row r="177">
      <c r="B177" s="51" t="n"/>
      <c r="C177" s="51" t="n"/>
      <c r="D177" s="51" t="n"/>
      <c r="E177" s="51" t="n"/>
      <c r="F177" s="51" t="n"/>
      <c r="G177" s="51" t="n"/>
      <c r="H177" s="51" t="n"/>
      <c r="I177" s="51" t="n"/>
      <c r="J177" s="51" t="n"/>
    </row>
    <row r="178">
      <c r="B178" s="51" t="n"/>
      <c r="C178" s="51" t="n"/>
      <c r="D178" s="51" t="n"/>
      <c r="E178" s="51" t="n"/>
      <c r="F178" s="51" t="n"/>
      <c r="G178" s="51" t="n"/>
      <c r="H178" s="51" t="n"/>
      <c r="I178" s="51" t="n"/>
      <c r="J178" s="51" t="n"/>
    </row>
    <row r="179">
      <c r="B179" s="51" t="n"/>
      <c r="C179" s="51" t="n"/>
      <c r="D179" s="51" t="n"/>
      <c r="E179" s="51" t="n"/>
      <c r="F179" s="51" t="n"/>
      <c r="G179" s="51" t="n"/>
      <c r="H179" s="51" t="n"/>
      <c r="I179" s="51" t="n"/>
      <c r="J179" s="51" t="n"/>
    </row>
    <row r="180">
      <c r="B180" s="51" t="n"/>
      <c r="C180" s="51" t="n"/>
      <c r="D180" s="51" t="n"/>
      <c r="E180" s="51" t="n"/>
      <c r="F180" s="51" t="n"/>
      <c r="G180" s="51" t="n"/>
      <c r="H180" s="51" t="n"/>
      <c r="I180" s="51" t="n"/>
      <c r="J180" s="51" t="n"/>
    </row>
    <row r="181">
      <c r="B181" s="51" t="n"/>
      <c r="C181" s="51" t="n"/>
      <c r="D181" s="51" t="n"/>
      <c r="E181" s="51" t="n"/>
      <c r="F181" s="51" t="n"/>
      <c r="G181" s="51" t="n"/>
      <c r="H181" s="51" t="n"/>
      <c r="I181" s="51" t="n"/>
      <c r="J181" s="51" t="n"/>
    </row>
    <row r="182">
      <c r="B182" s="51" t="n"/>
      <c r="C182" s="51" t="n"/>
      <c r="D182" s="51" t="n"/>
      <c r="E182" s="51" t="n"/>
      <c r="F182" s="51" t="n"/>
      <c r="G182" s="51" t="n"/>
      <c r="H182" s="51" t="n"/>
      <c r="I182" s="51" t="n"/>
      <c r="J182" s="51" t="n"/>
    </row>
    <row r="183">
      <c r="B183" s="51" t="n"/>
      <c r="C183" s="51" t="n"/>
      <c r="D183" s="51" t="n"/>
      <c r="E183" s="51" t="n"/>
      <c r="F183" s="51" t="n"/>
      <c r="G183" s="51" t="n"/>
      <c r="H183" s="51" t="n"/>
      <c r="I183" s="51" t="n"/>
      <c r="J183" s="51" t="n"/>
    </row>
    <row r="184">
      <c r="B184" s="51" t="n"/>
      <c r="C184" s="51" t="n"/>
      <c r="D184" s="51" t="n"/>
      <c r="E184" s="51" t="n"/>
      <c r="F184" s="51" t="n"/>
      <c r="G184" s="51" t="n"/>
      <c r="H184" s="51" t="n"/>
      <c r="I184" s="51" t="n"/>
      <c r="J184" s="51" t="n"/>
    </row>
    <row r="185">
      <c r="B185" s="51" t="n"/>
      <c r="C185" s="51" t="n"/>
      <c r="D185" s="51" t="n"/>
      <c r="E185" s="51" t="n"/>
      <c r="F185" s="51" t="n"/>
      <c r="G185" s="51" t="n"/>
      <c r="H185" s="51" t="n"/>
      <c r="I185" s="51" t="n"/>
      <c r="J185" s="51" t="n"/>
    </row>
    <row r="186">
      <c r="B186" s="51" t="n"/>
      <c r="C186" s="51" t="n"/>
      <c r="D186" s="51" t="n"/>
      <c r="E186" s="51" t="n"/>
      <c r="F186" s="51" t="n"/>
      <c r="G186" s="51" t="n"/>
      <c r="H186" s="51" t="n"/>
      <c r="I186" s="51" t="n"/>
      <c r="J186" s="51" t="n"/>
    </row>
    <row r="187">
      <c r="B187" s="51" t="n"/>
      <c r="C187" s="51" t="n"/>
      <c r="D187" s="51" t="n"/>
      <c r="E187" s="51" t="n"/>
      <c r="F187" s="51" t="n"/>
      <c r="G187" s="51" t="n"/>
      <c r="H187" s="51" t="n"/>
      <c r="I187" s="51" t="n"/>
      <c r="J187" s="51" t="n"/>
    </row>
    <row r="188">
      <c r="B188" s="51" t="n"/>
      <c r="C188" s="51" t="n"/>
      <c r="D188" s="51" t="n"/>
      <c r="E188" s="51" t="n"/>
      <c r="F188" s="51" t="n"/>
      <c r="G188" s="51" t="n"/>
      <c r="H188" s="51" t="n"/>
      <c r="I188" s="51" t="n"/>
      <c r="J188" s="51" t="n"/>
    </row>
    <row r="189">
      <c r="B189" s="51" t="n"/>
      <c r="C189" s="51" t="n"/>
      <c r="D189" s="51" t="n"/>
      <c r="E189" s="51" t="n"/>
      <c r="F189" s="51" t="n"/>
      <c r="G189" s="51" t="n"/>
      <c r="H189" s="51" t="n"/>
      <c r="I189" s="51" t="n"/>
      <c r="J189" s="51" t="n"/>
    </row>
    <row r="190">
      <c r="B190" s="51" t="n"/>
      <c r="C190" s="51" t="n"/>
      <c r="D190" s="51" t="n"/>
      <c r="E190" s="51" t="n"/>
      <c r="F190" s="51" t="n"/>
      <c r="G190" s="51" t="n"/>
      <c r="H190" s="51" t="n"/>
      <c r="I190" s="51" t="n"/>
      <c r="J190" s="51" t="n"/>
    </row>
    <row r="191">
      <c r="B191" s="51" t="n"/>
      <c r="C191" s="51" t="n"/>
      <c r="D191" s="51" t="n"/>
      <c r="E191" s="51" t="n"/>
      <c r="F191" s="51" t="n"/>
      <c r="G191" s="51" t="n"/>
      <c r="H191" s="51" t="n"/>
      <c r="I191" s="51" t="n"/>
      <c r="J191" s="51" t="n"/>
    </row>
    <row r="192">
      <c r="B192" s="51" t="n"/>
      <c r="C192" s="51" t="n"/>
      <c r="D192" s="51" t="n"/>
      <c r="E192" s="51" t="n"/>
      <c r="F192" s="51" t="n"/>
      <c r="G192" s="51" t="n"/>
      <c r="H192" s="51" t="n"/>
      <c r="I192" s="51" t="n"/>
      <c r="J192" s="51" t="n"/>
    </row>
    <row r="193">
      <c r="B193" s="51" t="n"/>
      <c r="C193" s="51" t="n"/>
      <c r="D193" s="51" t="n"/>
      <c r="E193" s="51" t="n"/>
      <c r="F193" s="51" t="n"/>
      <c r="G193" s="51" t="n"/>
      <c r="H193" s="51" t="n"/>
      <c r="I193" s="51" t="n"/>
      <c r="J193" s="51" t="n"/>
    </row>
    <row r="194">
      <c r="B194" s="51" t="n"/>
      <c r="C194" s="51" t="n"/>
      <c r="D194" s="51" t="n"/>
      <c r="E194" s="51" t="n"/>
      <c r="F194" s="51" t="n"/>
      <c r="G194" s="51" t="n"/>
      <c r="H194" s="51" t="n"/>
      <c r="I194" s="51" t="n"/>
      <c r="J194" s="51" t="n"/>
    </row>
    <row r="195">
      <c r="B195" s="51" t="n"/>
      <c r="C195" s="51" t="n"/>
      <c r="D195" s="51" t="n"/>
      <c r="E195" s="51" t="n"/>
      <c r="F195" s="51" t="n"/>
      <c r="G195" s="51" t="n"/>
      <c r="H195" s="51" t="n"/>
      <c r="I195" s="51" t="n"/>
      <c r="J195" s="51" t="n"/>
    </row>
    <row r="196">
      <c r="B196" s="51" t="n"/>
      <c r="C196" s="51" t="n"/>
      <c r="D196" s="51" t="n"/>
      <c r="E196" s="51" t="n"/>
      <c r="F196" s="51" t="n"/>
      <c r="G196" s="51" t="n"/>
      <c r="H196" s="51" t="n"/>
      <c r="I196" s="51" t="n"/>
      <c r="J196" s="51" t="n"/>
    </row>
    <row r="197">
      <c r="B197" s="51" t="n"/>
      <c r="C197" s="51" t="n"/>
      <c r="D197" s="51" t="n"/>
      <c r="E197" s="51" t="n"/>
      <c r="F197" s="51" t="n"/>
      <c r="G197" s="51" t="n"/>
      <c r="H197" s="51" t="n"/>
      <c r="I197" s="51" t="n"/>
      <c r="J197" s="51" t="n"/>
    </row>
    <row r="198">
      <c r="B198" s="51" t="n"/>
      <c r="C198" s="51" t="n"/>
      <c r="D198" s="51" t="n"/>
      <c r="E198" s="51" t="n"/>
      <c r="F198" s="51" t="n"/>
      <c r="G198" s="51" t="n"/>
      <c r="H198" s="51" t="n"/>
      <c r="I198" s="51" t="n"/>
      <c r="J198" s="51" t="n"/>
    </row>
    <row r="199">
      <c r="B199" s="51" t="n"/>
      <c r="C199" s="51" t="n"/>
      <c r="D199" s="51" t="n"/>
      <c r="E199" s="51" t="n"/>
      <c r="F199" s="51" t="n"/>
      <c r="G199" s="51" t="n"/>
      <c r="H199" s="51" t="n"/>
      <c r="I199" s="51" t="n"/>
      <c r="J199" s="51" t="n"/>
    </row>
    <row r="200">
      <c r="B200" s="51" t="n"/>
      <c r="C200" s="51" t="n"/>
      <c r="D200" s="51" t="n"/>
      <c r="E200" s="51" t="n"/>
      <c r="F200" s="51" t="n"/>
      <c r="G200" s="51" t="n"/>
      <c r="H200" s="51" t="n"/>
      <c r="I200" s="51" t="n"/>
      <c r="J200" s="51" t="n"/>
    </row>
    <row r="201">
      <c r="B201" s="51" t="n"/>
      <c r="C201" s="51" t="n"/>
      <c r="D201" s="51" t="n"/>
      <c r="E201" s="51" t="n"/>
      <c r="F201" s="51" t="n"/>
      <c r="G201" s="51" t="n"/>
      <c r="H201" s="51" t="n"/>
      <c r="I201" s="51" t="n"/>
      <c r="J201" s="51" t="n"/>
    </row>
    <row r="202">
      <c r="B202" s="51" t="n"/>
      <c r="C202" s="51" t="n"/>
      <c r="D202" s="51" t="n"/>
      <c r="E202" s="51" t="n"/>
      <c r="F202" s="51" t="n"/>
      <c r="G202" s="51" t="n"/>
      <c r="H202" s="51" t="n"/>
      <c r="I202" s="51" t="n"/>
      <c r="J202" s="51" t="n"/>
    </row>
    <row r="203">
      <c r="B203" s="51" t="n"/>
      <c r="C203" s="51" t="n"/>
      <c r="D203" s="51" t="n"/>
      <c r="E203" s="51" t="n"/>
      <c r="F203" s="51" t="n"/>
      <c r="G203" s="51" t="n"/>
      <c r="H203" s="51" t="n"/>
      <c r="I203" s="51" t="n"/>
      <c r="J203" s="51" t="n"/>
    </row>
    <row r="204">
      <c r="B204" s="51" t="n"/>
      <c r="C204" s="51" t="n"/>
      <c r="D204" s="51" t="n"/>
      <c r="E204" s="51" t="n"/>
      <c r="F204" s="51" t="n"/>
      <c r="G204" s="51" t="n"/>
      <c r="H204" s="51" t="n"/>
      <c r="I204" s="51" t="n"/>
      <c r="J204" s="51" t="n"/>
    </row>
    <row r="205">
      <c r="B205" s="51" t="n"/>
      <c r="C205" s="51" t="n"/>
      <c r="D205" s="51" t="n"/>
      <c r="E205" s="51" t="n"/>
      <c r="F205" s="51" t="n"/>
      <c r="G205" s="51" t="n"/>
      <c r="H205" s="51" t="n"/>
      <c r="I205" s="51" t="n"/>
      <c r="J205" s="51" t="n"/>
    </row>
    <row r="206">
      <c r="B206" s="51" t="n"/>
      <c r="C206" s="51" t="n"/>
      <c r="D206" s="51" t="n"/>
      <c r="E206" s="51" t="n"/>
      <c r="F206" s="51" t="n"/>
      <c r="G206" s="51" t="n"/>
      <c r="H206" s="51" t="n"/>
      <c r="I206" s="51" t="n"/>
      <c r="J206" s="51" t="n"/>
    </row>
    <row r="207">
      <c r="B207" s="51" t="n"/>
      <c r="C207" s="51" t="n"/>
      <c r="D207" s="51" t="n"/>
      <c r="E207" s="51" t="n"/>
      <c r="F207" s="51" t="n"/>
      <c r="G207" s="51" t="n"/>
      <c r="H207" s="51" t="n"/>
      <c r="I207" s="51" t="n"/>
      <c r="J207" s="51" t="n"/>
    </row>
    <row r="208">
      <c r="B208" s="51" t="n"/>
      <c r="C208" s="51" t="n"/>
      <c r="D208" s="51" t="n"/>
      <c r="E208" s="51" t="n"/>
      <c r="F208" s="51" t="n"/>
      <c r="G208" s="51" t="n"/>
      <c r="H208" s="51" t="n"/>
      <c r="I208" s="51" t="n"/>
      <c r="J208" s="51" t="n"/>
    </row>
    <row r="209">
      <c r="B209" s="51" t="n"/>
      <c r="C209" s="51" t="n"/>
      <c r="D209" s="51" t="n"/>
      <c r="E209" s="51" t="n"/>
      <c r="F209" s="51" t="n"/>
      <c r="G209" s="51" t="n"/>
      <c r="H209" s="51" t="n"/>
      <c r="I209" s="51" t="n"/>
      <c r="J209" s="51" t="n"/>
    </row>
    <row r="210">
      <c r="B210" s="51" t="n"/>
      <c r="C210" s="51" t="n"/>
      <c r="D210" s="51" t="n"/>
      <c r="E210" s="51" t="n"/>
      <c r="F210" s="51" t="n"/>
      <c r="G210" s="51" t="n"/>
      <c r="H210" s="51" t="n"/>
      <c r="I210" s="51" t="n"/>
      <c r="J210" s="51" t="n"/>
    </row>
    <row r="211">
      <c r="B211" s="51" t="n"/>
      <c r="C211" s="51" t="n"/>
      <c r="D211" s="51" t="n"/>
      <c r="E211" s="51" t="n"/>
      <c r="F211" s="51" t="n"/>
      <c r="G211" s="51" t="n"/>
      <c r="H211" s="51" t="n"/>
      <c r="I211" s="51" t="n"/>
      <c r="J211" s="51" t="n"/>
    </row>
    <row r="212">
      <c r="B212" s="51" t="n"/>
      <c r="C212" s="51" t="n"/>
      <c r="D212" s="51" t="n"/>
      <c r="E212" s="51" t="n"/>
      <c r="F212" s="51" t="n"/>
      <c r="G212" s="51" t="n"/>
      <c r="H212" s="51" t="n"/>
      <c r="I212" s="51" t="n"/>
      <c r="J212" s="51" t="n"/>
    </row>
    <row r="213">
      <c r="B213" s="51" t="n"/>
      <c r="C213" s="51" t="n"/>
      <c r="D213" s="51" t="n"/>
      <c r="E213" s="51" t="n"/>
      <c r="F213" s="51" t="n"/>
      <c r="G213" s="51" t="n"/>
      <c r="H213" s="51" t="n"/>
      <c r="I213" s="51" t="n"/>
      <c r="J213" s="51" t="n"/>
    </row>
    <row r="214">
      <c r="B214" s="51" t="n"/>
      <c r="C214" s="51" t="n"/>
      <c r="D214" s="51" t="n"/>
      <c r="E214" s="51" t="n"/>
      <c r="F214" s="51" t="n"/>
      <c r="G214" s="51" t="n"/>
      <c r="H214" s="51" t="n"/>
      <c r="I214" s="51" t="n"/>
      <c r="J214" s="51" t="n"/>
    </row>
    <row r="215">
      <c r="B215" s="51" t="n"/>
      <c r="C215" s="51" t="n"/>
      <c r="D215" s="51" t="n"/>
      <c r="E215" s="51" t="n"/>
      <c r="F215" s="51" t="n"/>
      <c r="G215" s="51" t="n"/>
      <c r="H215" s="51" t="n"/>
      <c r="I215" s="51" t="n"/>
      <c r="J215" s="51" t="n"/>
    </row>
    <row r="216">
      <c r="B216" s="51" t="n"/>
      <c r="C216" s="51" t="n"/>
      <c r="D216" s="51" t="n"/>
      <c r="E216" s="51" t="n"/>
      <c r="F216" s="51" t="n"/>
      <c r="G216" s="51" t="n"/>
      <c r="H216" s="51" t="n"/>
      <c r="I216" s="51" t="n"/>
      <c r="J216" s="51" t="n"/>
    </row>
    <row r="217">
      <c r="B217" s="51" t="n"/>
      <c r="C217" s="51" t="n"/>
      <c r="D217" s="51" t="n"/>
      <c r="E217" s="51" t="n"/>
      <c r="F217" s="51" t="n"/>
      <c r="G217" s="51" t="n"/>
      <c r="H217" s="51" t="n"/>
      <c r="I217" s="51" t="n"/>
      <c r="J217" s="51" t="n"/>
    </row>
    <row r="218">
      <c r="B218" s="51" t="n"/>
      <c r="C218" s="51" t="n"/>
      <c r="D218" s="51" t="n"/>
      <c r="E218" s="51" t="n"/>
      <c r="F218" s="51" t="n"/>
      <c r="G218" s="51" t="n"/>
      <c r="H218" s="51" t="n"/>
      <c r="I218" s="51" t="n"/>
      <c r="J218" s="51" t="n"/>
    </row>
    <row r="219">
      <c r="B219" s="51" t="n"/>
      <c r="C219" s="51" t="n"/>
      <c r="D219" s="51" t="n"/>
      <c r="E219" s="51" t="n"/>
      <c r="F219" s="51" t="n"/>
      <c r="G219" s="51" t="n"/>
      <c r="H219" s="51" t="n"/>
      <c r="I219" s="51" t="n"/>
      <c r="J219" s="51" t="n"/>
    </row>
    <row r="220">
      <c r="B220" s="51" t="n"/>
      <c r="C220" s="51" t="n"/>
      <c r="D220" s="51" t="n"/>
      <c r="E220" s="51" t="n"/>
      <c r="F220" s="51" t="n"/>
      <c r="G220" s="51" t="n"/>
      <c r="H220" s="51" t="n"/>
      <c r="I220" s="51" t="n"/>
      <c r="J220" s="51" t="n"/>
    </row>
    <row r="221">
      <c r="B221" s="51" t="n"/>
      <c r="C221" s="51" t="n"/>
      <c r="D221" s="51" t="n"/>
      <c r="E221" s="51" t="n"/>
      <c r="F221" s="51" t="n"/>
      <c r="G221" s="51" t="n"/>
      <c r="H221" s="51" t="n"/>
      <c r="I221" s="51" t="n"/>
      <c r="J221" s="51" t="n"/>
    </row>
    <row r="222">
      <c r="B222" s="51" t="n"/>
      <c r="C222" s="51" t="n"/>
      <c r="D222" s="51" t="n"/>
      <c r="E222" s="51" t="n"/>
      <c r="F222" s="51" t="n"/>
      <c r="G222" s="51" t="n"/>
      <c r="H222" s="51" t="n"/>
      <c r="I222" s="51" t="n"/>
      <c r="J222" s="51" t="n"/>
    </row>
    <row r="223">
      <c r="B223" s="51" t="n"/>
      <c r="C223" s="51" t="n"/>
      <c r="D223" s="51" t="n"/>
      <c r="E223" s="51" t="n"/>
      <c r="F223" s="51" t="n"/>
      <c r="G223" s="51" t="n"/>
      <c r="H223" s="51" t="n"/>
      <c r="I223" s="51" t="n"/>
      <c r="J223" s="51" t="n"/>
    </row>
    <row r="224">
      <c r="B224" s="51" t="n"/>
      <c r="C224" s="51" t="n"/>
      <c r="D224" s="51" t="n"/>
      <c r="E224" s="51" t="n"/>
      <c r="F224" s="51" t="n"/>
      <c r="G224" s="51" t="n"/>
      <c r="H224" s="51" t="n"/>
      <c r="I224" s="51" t="n"/>
      <c r="J224" s="51" t="n"/>
    </row>
    <row r="225">
      <c r="B225" s="51" t="n"/>
      <c r="C225" s="51" t="n"/>
      <c r="D225" s="51" t="n"/>
      <c r="E225" s="51" t="n"/>
      <c r="F225" s="51" t="n"/>
      <c r="G225" s="51" t="n"/>
      <c r="H225" s="51" t="n"/>
      <c r="I225" s="51" t="n"/>
      <c r="J225" s="51" t="n"/>
    </row>
    <row r="226">
      <c r="B226" s="51" t="n"/>
      <c r="C226" s="51" t="n"/>
      <c r="D226" s="51" t="n"/>
      <c r="E226" s="51" t="n"/>
      <c r="F226" s="51" t="n"/>
      <c r="G226" s="51" t="n"/>
      <c r="H226" s="51" t="n"/>
      <c r="I226" s="51" t="n"/>
      <c r="J226" s="51" t="n"/>
    </row>
    <row r="227">
      <c r="B227" s="51" t="n"/>
      <c r="C227" s="51" t="n"/>
      <c r="D227" s="51" t="n"/>
      <c r="E227" s="51" t="n"/>
      <c r="F227" s="51" t="n"/>
      <c r="G227" s="51" t="n"/>
      <c r="H227" s="51" t="n"/>
      <c r="I227" s="51" t="n"/>
      <c r="J227" s="51" t="n"/>
    </row>
    <row r="228">
      <c r="B228" s="51" t="n"/>
      <c r="C228" s="51" t="n"/>
      <c r="D228" s="51" t="n"/>
      <c r="E228" s="51" t="n"/>
      <c r="F228" s="51" t="n"/>
      <c r="G228" s="51" t="n"/>
      <c r="H228" s="51" t="n"/>
      <c r="I228" s="51" t="n"/>
      <c r="J228" s="51" t="n"/>
    </row>
    <row r="229">
      <c r="B229" s="51" t="n"/>
      <c r="C229" s="51" t="n"/>
      <c r="D229" s="51" t="n"/>
      <c r="E229" s="51" t="n"/>
      <c r="F229" s="51" t="n"/>
      <c r="G229" s="51" t="n"/>
      <c r="H229" s="51" t="n"/>
      <c r="I229" s="51" t="n"/>
      <c r="J229" s="51" t="n"/>
    </row>
    <row r="230">
      <c r="B230" s="51" t="n"/>
      <c r="C230" s="51" t="n"/>
      <c r="D230" s="51" t="n"/>
      <c r="E230" s="51" t="n"/>
      <c r="F230" s="51" t="n"/>
      <c r="G230" s="51" t="n"/>
      <c r="H230" s="51" t="n"/>
      <c r="I230" s="51" t="n"/>
      <c r="J230" s="51" t="n"/>
    </row>
    <row r="231">
      <c r="B231" s="51" t="n"/>
      <c r="C231" s="51" t="n"/>
      <c r="D231" s="51" t="n"/>
      <c r="E231" s="51" t="n"/>
      <c r="F231" s="51" t="n"/>
      <c r="G231" s="51" t="n"/>
      <c r="H231" s="51" t="n"/>
      <c r="I231" s="51" t="n"/>
      <c r="J231" s="51" t="n"/>
    </row>
    <row r="232">
      <c r="B232" s="51" t="n"/>
      <c r="C232" s="51" t="n"/>
      <c r="D232" s="51" t="n"/>
      <c r="E232" s="51" t="n"/>
      <c r="F232" s="51" t="n"/>
      <c r="G232" s="51" t="n"/>
      <c r="H232" s="51" t="n"/>
      <c r="I232" s="51" t="n"/>
      <c r="J232" s="51" t="n"/>
    </row>
    <row r="233">
      <c r="B233" s="51" t="n"/>
      <c r="C233" s="51" t="n"/>
      <c r="D233" s="51" t="n"/>
      <c r="E233" s="51" t="n"/>
      <c r="F233" s="51" t="n"/>
      <c r="G233" s="51" t="n"/>
      <c r="H233" s="51" t="n"/>
      <c r="I233" s="51" t="n"/>
      <c r="J233" s="51" t="n"/>
    </row>
    <row r="234">
      <c r="B234" s="51" t="n"/>
      <c r="C234" s="51" t="n"/>
      <c r="D234" s="51" t="n"/>
      <c r="E234" s="51" t="n"/>
      <c r="F234" s="51" t="n"/>
      <c r="G234" s="51" t="n"/>
      <c r="H234" s="51" t="n"/>
      <c r="I234" s="51" t="n"/>
      <c r="J234" s="51" t="n"/>
    </row>
    <row r="235">
      <c r="B235" s="51" t="n"/>
      <c r="C235" s="51" t="n"/>
      <c r="D235" s="51" t="n"/>
      <c r="E235" s="51" t="n"/>
      <c r="F235" s="51" t="n"/>
      <c r="G235" s="51" t="n"/>
      <c r="H235" s="51" t="n"/>
      <c r="I235" s="51" t="n"/>
      <c r="J235" s="51" t="n"/>
    </row>
    <row r="236">
      <c r="B236" s="51" t="n"/>
      <c r="C236" s="51" t="n"/>
      <c r="D236" s="51" t="n"/>
      <c r="E236" s="51" t="n"/>
      <c r="F236" s="51" t="n"/>
      <c r="G236" s="51" t="n"/>
      <c r="H236" s="51" t="n"/>
      <c r="I236" s="51" t="n"/>
      <c r="J236" s="51" t="n"/>
    </row>
    <row r="237">
      <c r="B237" s="51" t="n"/>
      <c r="C237" s="51" t="n"/>
      <c r="D237" s="51" t="n"/>
      <c r="E237" s="51" t="n"/>
      <c r="F237" s="51" t="n"/>
      <c r="G237" s="51" t="n"/>
      <c r="H237" s="51" t="n"/>
      <c r="I237" s="51" t="n"/>
      <c r="J237" s="51" t="n"/>
    </row>
    <row r="238">
      <c r="B238" s="51" t="n"/>
      <c r="C238" s="51" t="n"/>
      <c r="D238" s="51" t="n"/>
      <c r="E238" s="51" t="n"/>
      <c r="F238" s="51" t="n"/>
      <c r="G238" s="51" t="n"/>
      <c r="H238" s="51" t="n"/>
      <c r="I238" s="51" t="n"/>
      <c r="J238" s="51" t="n"/>
    </row>
    <row r="239">
      <c r="B239" s="51" t="n"/>
      <c r="C239" s="51" t="n"/>
      <c r="D239" s="51" t="n"/>
      <c r="E239" s="51" t="n"/>
      <c r="F239" s="51" t="n"/>
      <c r="G239" s="51" t="n"/>
      <c r="H239" s="51" t="n"/>
      <c r="I239" s="51" t="n"/>
      <c r="J239" s="51" t="n"/>
    </row>
    <row r="240">
      <c r="B240" s="51" t="n"/>
      <c r="C240" s="51" t="n"/>
      <c r="D240" s="51" t="n"/>
      <c r="E240" s="51" t="n"/>
      <c r="F240" s="51" t="n"/>
      <c r="G240" s="51" t="n"/>
      <c r="H240" s="51" t="n"/>
      <c r="I240" s="51" t="n"/>
      <c r="J240" s="51" t="n"/>
    </row>
    <row r="241">
      <c r="B241" s="51" t="n"/>
      <c r="C241" s="51" t="n"/>
      <c r="D241" s="51" t="n"/>
      <c r="E241" s="51" t="n"/>
      <c r="F241" s="51" t="n"/>
      <c r="G241" s="51" t="n"/>
      <c r="H241" s="51" t="n"/>
      <c r="I241" s="51" t="n"/>
      <c r="J241" s="51" t="n"/>
    </row>
    <row r="242">
      <c r="B242" s="51" t="n"/>
      <c r="C242" s="51" t="n"/>
      <c r="D242" s="51" t="n"/>
      <c r="E242" s="51" t="n"/>
      <c r="F242" s="51" t="n"/>
      <c r="G242" s="51" t="n"/>
      <c r="H242" s="51" t="n"/>
      <c r="I242" s="51" t="n"/>
      <c r="J242" s="51" t="n"/>
    </row>
    <row r="243">
      <c r="B243" s="51" t="n"/>
      <c r="C243" s="51" t="n"/>
      <c r="D243" s="51" t="n"/>
      <c r="E243" s="51" t="n"/>
      <c r="F243" s="51" t="n"/>
      <c r="G243" s="51" t="n"/>
      <c r="H243" s="51" t="n"/>
      <c r="I243" s="51" t="n"/>
      <c r="J243" s="51" t="n"/>
    </row>
    <row r="244">
      <c r="B244" s="51" t="n"/>
      <c r="C244" s="51" t="n"/>
      <c r="D244" s="51" t="n"/>
      <c r="E244" s="51" t="n"/>
      <c r="F244" s="51" t="n"/>
      <c r="G244" s="51" t="n"/>
      <c r="H244" s="51" t="n"/>
      <c r="I244" s="51" t="n"/>
      <c r="J244" s="51" t="n"/>
    </row>
    <row r="245">
      <c r="B245" s="51" t="n"/>
      <c r="C245" s="51" t="n"/>
      <c r="D245" s="51" t="n"/>
      <c r="E245" s="51" t="n"/>
      <c r="F245" s="51" t="n"/>
      <c r="G245" s="51" t="n"/>
      <c r="H245" s="51" t="n"/>
      <c r="I245" s="51" t="n"/>
      <c r="J245" s="51" t="n"/>
    </row>
    <row r="246">
      <c r="B246" s="51" t="n"/>
      <c r="C246" s="51" t="n"/>
      <c r="D246" s="51" t="n"/>
      <c r="E246" s="51" t="n"/>
      <c r="F246" s="51" t="n"/>
      <c r="G246" s="51" t="n"/>
      <c r="H246" s="51" t="n"/>
      <c r="I246" s="51" t="n"/>
      <c r="J246" s="51" t="n"/>
    </row>
    <row r="247">
      <c r="B247" s="51" t="n"/>
      <c r="C247" s="51" t="n"/>
      <c r="D247" s="51" t="n"/>
      <c r="E247" s="51" t="n"/>
      <c r="F247" s="51" t="n"/>
      <c r="G247" s="51" t="n"/>
      <c r="H247" s="51" t="n"/>
      <c r="I247" s="51" t="n"/>
      <c r="J247" s="51" t="n"/>
    </row>
    <row r="248">
      <c r="B248" s="51" t="n"/>
      <c r="C248" s="51" t="n"/>
      <c r="D248" s="51" t="n"/>
      <c r="E248" s="51" t="n"/>
      <c r="F248" s="51" t="n"/>
      <c r="G248" s="51" t="n"/>
      <c r="H248" s="51" t="n"/>
      <c r="I248" s="51" t="n"/>
      <c r="J248" s="51" t="n"/>
    </row>
    <row r="249">
      <c r="B249" s="51" t="n"/>
      <c r="C249" s="51" t="n"/>
      <c r="D249" s="51" t="n"/>
      <c r="E249" s="51" t="n"/>
      <c r="F249" s="51" t="n"/>
      <c r="G249" s="51" t="n"/>
      <c r="H249" s="51" t="n"/>
      <c r="I249" s="51" t="n"/>
      <c r="J249" s="51" t="n"/>
    </row>
    <row r="250">
      <c r="B250" s="51" t="n"/>
      <c r="C250" s="51" t="n"/>
      <c r="D250" s="51" t="n"/>
      <c r="E250" s="51" t="n"/>
      <c r="F250" s="51" t="n"/>
      <c r="G250" s="51" t="n"/>
      <c r="H250" s="51" t="n"/>
      <c r="I250" s="51" t="n"/>
      <c r="J250" s="51" t="n"/>
    </row>
    <row r="251">
      <c r="B251" s="51" t="n"/>
      <c r="C251" s="51" t="n"/>
      <c r="D251" s="51" t="n"/>
      <c r="E251" s="51" t="n"/>
      <c r="F251" s="51" t="n"/>
      <c r="G251" s="51" t="n"/>
      <c r="H251" s="51" t="n"/>
      <c r="I251" s="51" t="n"/>
      <c r="J251" s="51" t="n"/>
    </row>
    <row r="252">
      <c r="B252" s="51" t="n"/>
      <c r="C252" s="51" t="n"/>
      <c r="D252" s="51" t="n"/>
      <c r="E252" s="51" t="n"/>
      <c r="F252" s="51" t="n"/>
      <c r="G252" s="51" t="n"/>
      <c r="H252" s="51" t="n"/>
      <c r="I252" s="51" t="n"/>
      <c r="J252" s="51" t="n"/>
    </row>
    <row r="253">
      <c r="B253" s="51" t="n"/>
      <c r="C253" s="51" t="n"/>
      <c r="D253" s="51" t="n"/>
      <c r="E253" s="51" t="n"/>
      <c r="F253" s="51" t="n"/>
      <c r="G253" s="51" t="n"/>
      <c r="H253" s="51" t="n"/>
      <c r="I253" s="51" t="n"/>
      <c r="J253" s="51" t="n"/>
    </row>
    <row r="254">
      <c r="B254" s="51" t="n"/>
      <c r="C254" s="51" t="n"/>
      <c r="D254" s="51" t="n"/>
      <c r="E254" s="51" t="n"/>
      <c r="F254" s="51" t="n"/>
      <c r="G254" s="51" t="n"/>
      <c r="H254" s="51" t="n"/>
      <c r="I254" s="51" t="n"/>
      <c r="J254" s="51" t="n"/>
    </row>
    <row r="255">
      <c r="B255" s="51" t="n"/>
      <c r="C255" s="51" t="n"/>
      <c r="D255" s="51" t="n"/>
      <c r="E255" s="51" t="n"/>
      <c r="F255" s="51" t="n"/>
      <c r="G255" s="51" t="n"/>
      <c r="H255" s="51" t="n"/>
      <c r="I255" s="51" t="n"/>
      <c r="J255" s="51" t="n"/>
    </row>
    <row r="256">
      <c r="B256" s="51" t="n"/>
      <c r="C256" s="51" t="n"/>
      <c r="D256" s="51" t="n"/>
      <c r="E256" s="51" t="n"/>
      <c r="F256" s="51" t="n"/>
      <c r="G256" s="51" t="n"/>
      <c r="H256" s="51" t="n"/>
      <c r="I256" s="51" t="n"/>
      <c r="J256" s="51" t="n"/>
    </row>
    <row r="257">
      <c r="B257" s="51" t="n"/>
      <c r="C257" s="51" t="n"/>
      <c r="D257" s="51" t="n"/>
      <c r="E257" s="51" t="n"/>
      <c r="F257" s="51" t="n"/>
      <c r="G257" s="51" t="n"/>
      <c r="H257" s="51" t="n"/>
      <c r="I257" s="51" t="n"/>
      <c r="J257" s="51" t="n"/>
    </row>
    <row r="258">
      <c r="B258" s="51" t="n"/>
      <c r="C258" s="51" t="n"/>
      <c r="D258" s="51" t="n"/>
      <c r="E258" s="51" t="n"/>
      <c r="F258" s="51" t="n"/>
      <c r="G258" s="51" t="n"/>
      <c r="H258" s="51" t="n"/>
      <c r="I258" s="51" t="n"/>
      <c r="J258" s="51" t="n"/>
    </row>
    <row r="259">
      <c r="B259" s="51" t="n"/>
      <c r="C259" s="51" t="n"/>
      <c r="D259" s="51" t="n"/>
      <c r="E259" s="51" t="n"/>
      <c r="F259" s="51" t="n"/>
      <c r="G259" s="51" t="n"/>
      <c r="H259" s="51" t="n"/>
      <c r="I259" s="51" t="n"/>
      <c r="J259" s="51" t="n"/>
    </row>
    <row r="260">
      <c r="B260" s="51" t="n"/>
      <c r="C260" s="51" t="n"/>
      <c r="D260" s="51" t="n"/>
      <c r="E260" s="51" t="n"/>
      <c r="F260" s="51" t="n"/>
      <c r="G260" s="51" t="n"/>
      <c r="H260" s="51" t="n"/>
      <c r="I260" s="51" t="n"/>
      <c r="J260" s="51" t="n"/>
    </row>
    <row r="261">
      <c r="B261" s="51" t="n"/>
      <c r="C261" s="51" t="n"/>
      <c r="D261" s="51" t="n"/>
      <c r="E261" s="51" t="n"/>
      <c r="F261" s="51" t="n"/>
      <c r="G261" s="51" t="n"/>
      <c r="H261" s="51" t="n"/>
      <c r="I261" s="51" t="n"/>
      <c r="J261" s="51" t="n"/>
    </row>
    <row r="262">
      <c r="B262" s="51" t="n"/>
      <c r="C262" s="51" t="n"/>
      <c r="D262" s="51" t="n"/>
      <c r="E262" s="51" t="n"/>
      <c r="F262" s="51" t="n"/>
      <c r="G262" s="51" t="n"/>
      <c r="H262" s="51" t="n"/>
      <c r="I262" s="51" t="n"/>
      <c r="J262" s="51" t="n"/>
    </row>
    <row r="263">
      <c r="B263" s="51" t="n"/>
      <c r="C263" s="51" t="n"/>
      <c r="D263" s="51" t="n"/>
      <c r="E263" s="51" t="n"/>
      <c r="F263" s="51" t="n"/>
      <c r="G263" s="51" t="n"/>
      <c r="H263" s="51" t="n"/>
      <c r="I263" s="51" t="n"/>
      <c r="J263" s="51" t="n"/>
    </row>
    <row r="264">
      <c r="B264" s="51" t="n"/>
      <c r="C264" s="51" t="n"/>
      <c r="D264" s="51" t="n"/>
      <c r="E264" s="51" t="n"/>
      <c r="F264" s="51" t="n"/>
      <c r="G264" s="51" t="n"/>
      <c r="H264" s="51" t="n"/>
      <c r="I264" s="51" t="n"/>
      <c r="J264" s="51" t="n"/>
    </row>
    <row r="265">
      <c r="B265" s="51" t="n"/>
      <c r="C265" s="51" t="n"/>
      <c r="D265" s="51" t="n"/>
      <c r="E265" s="51" t="n"/>
      <c r="F265" s="51" t="n"/>
      <c r="G265" s="51" t="n"/>
      <c r="H265" s="51" t="n"/>
      <c r="I265" s="51" t="n"/>
      <c r="J265" s="51" t="n"/>
    </row>
    <row r="266">
      <c r="B266" s="51" t="n"/>
      <c r="C266" s="51" t="n"/>
      <c r="D266" s="51" t="n"/>
      <c r="E266" s="51" t="n"/>
      <c r="F266" s="51" t="n"/>
      <c r="G266" s="51" t="n"/>
      <c r="H266" s="51" t="n"/>
      <c r="I266" s="51" t="n"/>
      <c r="J266" s="51" t="n"/>
    </row>
    <row r="267">
      <c r="B267" s="51" t="n"/>
      <c r="C267" s="51" t="n"/>
      <c r="D267" s="51" t="n"/>
      <c r="E267" s="51" t="n"/>
      <c r="F267" s="51" t="n"/>
      <c r="G267" s="51" t="n"/>
      <c r="H267" s="51" t="n"/>
      <c r="I267" s="51" t="n"/>
      <c r="J267" s="51" t="n"/>
    </row>
    <row r="268">
      <c r="B268" s="51" t="n"/>
      <c r="C268" s="51" t="n"/>
      <c r="D268" s="51" t="n"/>
      <c r="E268" s="51" t="n"/>
      <c r="F268" s="51" t="n"/>
      <c r="G268" s="51" t="n"/>
      <c r="H268" s="51" t="n"/>
      <c r="I268" s="51" t="n"/>
      <c r="J268" s="51" t="n"/>
    </row>
    <row r="269">
      <c r="B269" s="51" t="n"/>
      <c r="C269" s="51" t="n"/>
      <c r="D269" s="51" t="n"/>
      <c r="E269" s="51" t="n"/>
      <c r="F269" s="51" t="n"/>
      <c r="G269" s="51" t="n"/>
      <c r="H269" s="51" t="n"/>
      <c r="I269" s="51" t="n"/>
      <c r="J269" s="51" t="n"/>
    </row>
    <row r="270">
      <c r="B270" s="51" t="n"/>
      <c r="C270" s="51" t="n"/>
      <c r="D270" s="51" t="n"/>
      <c r="E270" s="51" t="n"/>
      <c r="F270" s="51" t="n"/>
      <c r="G270" s="51" t="n"/>
      <c r="H270" s="51" t="n"/>
      <c r="I270" s="51" t="n"/>
      <c r="J270" s="51" t="n"/>
    </row>
    <row r="271">
      <c r="B271" s="51" t="n"/>
      <c r="C271" s="51" t="n"/>
      <c r="D271" s="51" t="n"/>
      <c r="E271" s="51" t="n"/>
      <c r="F271" s="51" t="n"/>
      <c r="G271" s="51" t="n"/>
      <c r="H271" s="51" t="n"/>
      <c r="I271" s="51" t="n"/>
      <c r="J271" s="51" t="n"/>
    </row>
    <row r="272">
      <c r="B272" s="51" t="n"/>
      <c r="C272" s="51" t="n"/>
      <c r="D272" s="51" t="n"/>
      <c r="E272" s="51" t="n"/>
      <c r="F272" s="51" t="n"/>
      <c r="G272" s="51" t="n"/>
      <c r="H272" s="51" t="n"/>
      <c r="I272" s="51" t="n"/>
      <c r="J272" s="51" t="n"/>
    </row>
    <row r="273">
      <c r="B273" s="51" t="n"/>
      <c r="C273" s="51" t="n"/>
      <c r="D273" s="51" t="n"/>
      <c r="E273" s="51" t="n"/>
      <c r="F273" s="51" t="n"/>
      <c r="G273" s="51" t="n"/>
      <c r="H273" s="51" t="n"/>
      <c r="I273" s="51" t="n"/>
      <c r="J273" s="51" t="n"/>
    </row>
    <row r="274">
      <c r="B274" s="51" t="n"/>
      <c r="C274" s="51" t="n"/>
      <c r="D274" s="51" t="n"/>
      <c r="E274" s="51" t="n"/>
      <c r="F274" s="51" t="n"/>
      <c r="G274" s="51" t="n"/>
      <c r="H274" s="51" t="n"/>
      <c r="I274" s="51" t="n"/>
      <c r="J274" s="51" t="n"/>
    </row>
    <row r="275">
      <c r="B275" s="51" t="n"/>
      <c r="C275" s="51" t="n"/>
      <c r="D275" s="51" t="n"/>
      <c r="E275" s="51" t="n"/>
      <c r="F275" s="51" t="n"/>
      <c r="G275" s="51" t="n"/>
      <c r="H275" s="51" t="n"/>
      <c r="I275" s="51" t="n"/>
      <c r="J275" s="51" t="n"/>
    </row>
    <row r="276">
      <c r="B276" s="51" t="n"/>
      <c r="C276" s="51" t="n"/>
      <c r="D276" s="51" t="n"/>
      <c r="E276" s="51" t="n"/>
      <c r="F276" s="51" t="n"/>
      <c r="G276" s="51" t="n"/>
      <c r="H276" s="51" t="n"/>
      <c r="I276" s="51" t="n"/>
      <c r="J276" s="51" t="n"/>
    </row>
    <row r="277">
      <c r="B277" s="51" t="n"/>
      <c r="C277" s="51" t="n"/>
      <c r="D277" s="51" t="n"/>
      <c r="E277" s="51" t="n"/>
      <c r="F277" s="51" t="n"/>
      <c r="G277" s="51" t="n"/>
      <c r="H277" s="51" t="n"/>
      <c r="I277" s="51" t="n"/>
      <c r="J277" s="51" t="n"/>
    </row>
    <row r="278">
      <c r="B278" s="51" t="n"/>
      <c r="C278" s="51" t="n"/>
      <c r="D278" s="51" t="n"/>
      <c r="E278" s="51" t="n"/>
      <c r="F278" s="51" t="n"/>
      <c r="G278" s="51" t="n"/>
      <c r="H278" s="51" t="n"/>
      <c r="I278" s="51" t="n"/>
      <c r="J278" s="51" t="n"/>
    </row>
    <row r="279">
      <c r="B279" s="51" t="n"/>
      <c r="C279" s="51" t="n"/>
      <c r="D279" s="51" t="n"/>
      <c r="E279" s="51" t="n"/>
      <c r="F279" s="51" t="n"/>
      <c r="G279" s="51" t="n"/>
      <c r="H279" s="51" t="n"/>
      <c r="I279" s="51" t="n"/>
      <c r="J279" s="51" t="n"/>
    </row>
    <row r="280">
      <c r="B280" s="51" t="n"/>
      <c r="C280" s="51" t="n"/>
      <c r="D280" s="51" t="n"/>
      <c r="E280" s="51" t="n"/>
      <c r="F280" s="51" t="n"/>
      <c r="G280" s="51" t="n"/>
      <c r="H280" s="51" t="n"/>
      <c r="I280" s="51" t="n"/>
      <c r="J280" s="51" t="n"/>
    </row>
    <row r="281">
      <c r="B281" s="51" t="n"/>
      <c r="C281" s="51" t="n"/>
      <c r="D281" s="51" t="n"/>
      <c r="E281" s="51" t="n"/>
      <c r="F281" s="51" t="n"/>
      <c r="G281" s="51" t="n"/>
      <c r="H281" s="51" t="n"/>
      <c r="I281" s="51" t="n"/>
      <c r="J281" s="51" t="n"/>
    </row>
    <row r="282">
      <c r="B282" s="51" t="n"/>
      <c r="C282" s="51" t="n"/>
      <c r="D282" s="51" t="n"/>
      <c r="E282" s="51" t="n"/>
      <c r="F282" s="51" t="n"/>
      <c r="G282" s="51" t="n"/>
      <c r="H282" s="51" t="n"/>
      <c r="I282" s="51" t="n"/>
      <c r="J282" s="51" t="n"/>
    </row>
    <row r="283">
      <c r="B283" s="51" t="n"/>
      <c r="C283" s="51" t="n"/>
      <c r="D283" s="51" t="n"/>
      <c r="E283" s="51" t="n"/>
      <c r="F283" s="51" t="n"/>
      <c r="G283" s="51" t="n"/>
      <c r="H283" s="51" t="n"/>
      <c r="I283" s="51" t="n"/>
      <c r="J283" s="51" t="n"/>
    </row>
    <row r="284">
      <c r="B284" s="51" t="n"/>
      <c r="C284" s="51" t="n"/>
      <c r="D284" s="51" t="n"/>
      <c r="E284" s="51" t="n"/>
      <c r="F284" s="51" t="n"/>
      <c r="G284" s="51" t="n"/>
      <c r="H284" s="51" t="n"/>
      <c r="I284" s="51" t="n"/>
      <c r="J284" s="51" t="n"/>
    </row>
    <row r="285">
      <c r="B285" s="51" t="n"/>
      <c r="C285" s="51" t="n"/>
      <c r="D285" s="51" t="n"/>
      <c r="E285" s="51" t="n"/>
      <c r="F285" s="51" t="n"/>
      <c r="G285" s="51" t="n"/>
      <c r="H285" s="51" t="n"/>
      <c r="I285" s="51" t="n"/>
      <c r="J285" s="51" t="n"/>
    </row>
    <row r="286">
      <c r="B286" s="51" t="n"/>
      <c r="C286" s="51" t="n"/>
      <c r="D286" s="51" t="n"/>
      <c r="E286" s="51" t="n"/>
      <c r="F286" s="51" t="n"/>
      <c r="G286" s="51" t="n"/>
      <c r="H286" s="51" t="n"/>
      <c r="I286" s="51" t="n"/>
      <c r="J286" s="51" t="n"/>
    </row>
    <row r="287">
      <c r="B287" s="51" t="n"/>
      <c r="C287" s="51" t="n"/>
      <c r="D287" s="51" t="n"/>
      <c r="E287" s="51" t="n"/>
      <c r="F287" s="51" t="n"/>
      <c r="G287" s="51" t="n"/>
      <c r="H287" s="51" t="n"/>
      <c r="I287" s="51" t="n"/>
      <c r="J287" s="51" t="n"/>
    </row>
    <row r="288">
      <c r="B288" s="51" t="n"/>
      <c r="C288" s="51" t="n"/>
      <c r="D288" s="51" t="n"/>
      <c r="E288" s="51" t="n"/>
      <c r="F288" s="51" t="n"/>
      <c r="G288" s="51" t="n"/>
      <c r="H288" s="51" t="n"/>
      <c r="I288" s="51" t="n"/>
      <c r="J288" s="51" t="n"/>
    </row>
    <row r="289">
      <c r="B289" s="51" t="n"/>
      <c r="C289" s="51" t="n"/>
      <c r="D289" s="51" t="n"/>
      <c r="E289" s="51" t="n"/>
      <c r="F289" s="51" t="n"/>
      <c r="G289" s="51" t="n"/>
      <c r="H289" s="51" t="n"/>
      <c r="I289" s="51" t="n"/>
      <c r="J289" s="51" t="n"/>
    </row>
    <row r="290">
      <c r="B290" s="51" t="n"/>
      <c r="C290" s="51" t="n"/>
      <c r="D290" s="51" t="n"/>
      <c r="E290" s="51" t="n"/>
      <c r="F290" s="51" t="n"/>
      <c r="G290" s="51" t="n"/>
      <c r="H290" s="51" t="n"/>
      <c r="I290" s="51" t="n"/>
      <c r="J290" s="51" t="n"/>
    </row>
    <row r="291">
      <c r="B291" s="51" t="n"/>
      <c r="C291" s="51" t="n"/>
      <c r="D291" s="51" t="n"/>
      <c r="E291" s="51" t="n"/>
      <c r="F291" s="51" t="n"/>
      <c r="G291" s="51" t="n"/>
      <c r="H291" s="51" t="n"/>
      <c r="I291" s="51" t="n"/>
      <c r="J291" s="51" t="n"/>
    </row>
    <row r="292">
      <c r="B292" s="51" t="n"/>
      <c r="C292" s="51" t="n"/>
      <c r="D292" s="51" t="n"/>
      <c r="E292" s="51" t="n"/>
      <c r="F292" s="51" t="n"/>
      <c r="G292" s="51" t="n"/>
      <c r="H292" s="51" t="n"/>
      <c r="I292" s="51" t="n"/>
      <c r="J292" s="51" t="n"/>
    </row>
    <row r="293">
      <c r="B293" s="51" t="n"/>
      <c r="C293" s="51" t="n"/>
      <c r="D293" s="51" t="n"/>
      <c r="E293" s="51" t="n"/>
      <c r="F293" s="51" t="n"/>
      <c r="G293" s="51" t="n"/>
      <c r="H293" s="51" t="n"/>
      <c r="I293" s="51" t="n"/>
      <c r="J293" s="51" t="n"/>
    </row>
    <row r="294">
      <c r="B294" s="51" t="n"/>
      <c r="C294" s="51" t="n"/>
      <c r="D294" s="51" t="n"/>
      <c r="E294" s="51" t="n"/>
      <c r="F294" s="51" t="n"/>
      <c r="G294" s="51" t="n"/>
      <c r="H294" s="51" t="n"/>
      <c r="I294" s="51" t="n"/>
      <c r="J294" s="51" t="n"/>
    </row>
    <row r="295">
      <c r="B295" s="51" t="n"/>
      <c r="C295" s="51" t="n"/>
      <c r="D295" s="51" t="n"/>
      <c r="E295" s="51" t="n"/>
      <c r="F295" s="51" t="n"/>
      <c r="G295" s="51" t="n"/>
      <c r="H295" s="51" t="n"/>
      <c r="I295" s="51" t="n"/>
      <c r="J295" s="51" t="n"/>
    </row>
    <row r="296">
      <c r="B296" s="51" t="n"/>
      <c r="C296" s="51" t="n"/>
      <c r="D296" s="51" t="n"/>
      <c r="E296" s="51" t="n"/>
      <c r="F296" s="51" t="n"/>
      <c r="G296" s="51" t="n"/>
      <c r="H296" s="51" t="n"/>
      <c r="I296" s="51" t="n"/>
      <c r="J296" s="51" t="n"/>
    </row>
    <row r="297">
      <c r="B297" s="51" t="n"/>
      <c r="C297" s="51" t="n"/>
      <c r="D297" s="51" t="n"/>
      <c r="E297" s="51" t="n"/>
      <c r="F297" s="51" t="n"/>
      <c r="G297" s="51" t="n"/>
      <c r="H297" s="51" t="n"/>
      <c r="I297" s="51" t="n"/>
      <c r="J297" s="51" t="n"/>
    </row>
    <row r="298">
      <c r="B298" s="51" t="n"/>
      <c r="C298" s="51" t="n"/>
      <c r="D298" s="51" t="n"/>
      <c r="E298" s="51" t="n"/>
      <c r="F298" s="51" t="n"/>
      <c r="G298" s="51" t="n"/>
      <c r="H298" s="51" t="n"/>
      <c r="I298" s="51" t="n"/>
      <c r="J298" s="51" t="n"/>
    </row>
    <row r="299">
      <c r="B299" s="51" t="n"/>
      <c r="C299" s="51" t="n"/>
      <c r="D299" s="51" t="n"/>
      <c r="E299" s="51" t="n"/>
      <c r="F299" s="51" t="n"/>
      <c r="G299" s="51" t="n"/>
      <c r="H299" s="51" t="n"/>
      <c r="I299" s="51" t="n"/>
      <c r="J299" s="51" t="n"/>
    </row>
    <row r="300">
      <c r="B300" s="51" t="n"/>
      <c r="C300" s="51" t="n"/>
      <c r="D300" s="51" t="n"/>
      <c r="E300" s="51" t="n"/>
      <c r="F300" s="51" t="n"/>
      <c r="G300" s="51" t="n"/>
      <c r="H300" s="51" t="n"/>
      <c r="I300" s="51" t="n"/>
      <c r="J300" s="51" t="n"/>
    </row>
    <row r="301">
      <c r="B301" s="51" t="n"/>
      <c r="C301" s="51" t="n"/>
      <c r="D301" s="51" t="n"/>
      <c r="E301" s="51" t="n"/>
      <c r="F301" s="51" t="n"/>
      <c r="G301" s="51" t="n"/>
      <c r="H301" s="51" t="n"/>
      <c r="I301" s="51" t="n"/>
      <c r="J301" s="51" t="n"/>
    </row>
    <row r="302">
      <c r="B302" s="51" t="n"/>
      <c r="C302" s="51" t="n"/>
      <c r="D302" s="51" t="n"/>
      <c r="E302" s="51" t="n"/>
      <c r="F302" s="51" t="n"/>
      <c r="G302" s="51" t="n"/>
      <c r="H302" s="51" t="n"/>
      <c r="I302" s="51" t="n"/>
      <c r="J302" s="51" t="n"/>
    </row>
    <row r="303">
      <c r="B303" s="51" t="n"/>
      <c r="C303" s="51" t="n"/>
      <c r="D303" s="51" t="n"/>
      <c r="E303" s="51" t="n"/>
      <c r="F303" s="51" t="n"/>
      <c r="G303" s="51" t="n"/>
      <c r="H303" s="51" t="n"/>
      <c r="I303" s="51" t="n"/>
      <c r="J303" s="51" t="n"/>
    </row>
    <row r="304">
      <c r="B304" s="51" t="n"/>
      <c r="C304" s="51" t="n"/>
      <c r="D304" s="51" t="n"/>
      <c r="E304" s="51" t="n"/>
      <c r="F304" s="51" t="n"/>
      <c r="G304" s="51" t="n"/>
      <c r="H304" s="51" t="n"/>
      <c r="I304" s="51" t="n"/>
      <c r="J304" s="51" t="n"/>
    </row>
    <row r="305">
      <c r="B305" s="51" t="n"/>
      <c r="C305" s="51" t="n"/>
      <c r="D305" s="51" t="n"/>
      <c r="E305" s="51" t="n"/>
      <c r="F305" s="51" t="n"/>
      <c r="G305" s="51" t="n"/>
      <c r="H305" s="51" t="n"/>
      <c r="I305" s="51" t="n"/>
      <c r="J305" s="51" t="n"/>
    </row>
    <row r="306">
      <c r="B306" s="51" t="n"/>
      <c r="C306" s="51" t="n"/>
      <c r="D306" s="51" t="n"/>
      <c r="E306" s="51" t="n"/>
      <c r="F306" s="51" t="n"/>
      <c r="G306" s="51" t="n"/>
      <c r="H306" s="51" t="n"/>
      <c r="I306" s="51" t="n"/>
      <c r="J306" s="51" t="n"/>
    </row>
    <row r="307">
      <c r="B307" s="51" t="n"/>
      <c r="C307" s="51" t="n"/>
      <c r="D307" s="51" t="n"/>
      <c r="E307" s="51" t="n"/>
      <c r="F307" s="51" t="n"/>
      <c r="G307" s="51" t="n"/>
      <c r="H307" s="51" t="n"/>
      <c r="I307" s="51" t="n"/>
      <c r="J307" s="51" t="n"/>
    </row>
    <row r="308">
      <c r="B308" s="51" t="n"/>
      <c r="C308" s="51" t="n"/>
      <c r="D308" s="51" t="n"/>
      <c r="E308" s="51" t="n"/>
      <c r="F308" s="51" t="n"/>
      <c r="G308" s="51" t="n"/>
      <c r="H308" s="51" t="n"/>
      <c r="I308" s="51" t="n"/>
      <c r="J308" s="51" t="n"/>
    </row>
    <row r="309">
      <c r="B309" s="51" t="n"/>
      <c r="C309" s="51" t="n"/>
      <c r="D309" s="51" t="n"/>
      <c r="E309" s="51" t="n"/>
      <c r="F309" s="51" t="n"/>
      <c r="G309" s="51" t="n"/>
      <c r="H309" s="51" t="n"/>
      <c r="I309" s="51" t="n"/>
      <c r="J309" s="51" t="n"/>
    </row>
    <row r="310">
      <c r="B310" s="51" t="n"/>
      <c r="C310" s="51" t="n"/>
      <c r="D310" s="51" t="n"/>
      <c r="E310" s="51" t="n"/>
      <c r="F310" s="51" t="n"/>
      <c r="G310" s="51" t="n"/>
      <c r="H310" s="51" t="n"/>
      <c r="I310" s="51" t="n"/>
      <c r="J310" s="51" t="n"/>
    </row>
    <row r="311">
      <c r="B311" s="51" t="n"/>
      <c r="C311" s="51" t="n"/>
      <c r="D311" s="51" t="n"/>
      <c r="E311" s="51" t="n"/>
      <c r="F311" s="51" t="n"/>
      <c r="G311" s="51" t="n"/>
      <c r="H311" s="51" t="n"/>
      <c r="I311" s="51" t="n"/>
      <c r="J311" s="51" t="n"/>
    </row>
    <row r="312">
      <c r="B312" s="51" t="n"/>
      <c r="C312" s="51" t="n"/>
      <c r="D312" s="51" t="n"/>
      <c r="E312" s="51" t="n"/>
      <c r="F312" s="51" t="n"/>
      <c r="G312" s="51" t="n"/>
      <c r="H312" s="51" t="n"/>
      <c r="I312" s="51" t="n"/>
      <c r="J312" s="51" t="n"/>
    </row>
    <row r="313">
      <c r="B313" s="51" t="n"/>
      <c r="C313" s="51" t="n"/>
      <c r="D313" s="51" t="n"/>
      <c r="E313" s="51" t="n"/>
      <c r="F313" s="51" t="n"/>
      <c r="G313" s="51" t="n"/>
      <c r="H313" s="51" t="n"/>
      <c r="I313" s="51" t="n"/>
      <c r="J313" s="51" t="n"/>
    </row>
    <row r="314">
      <c r="B314" s="51" t="n"/>
      <c r="C314" s="51" t="n"/>
      <c r="D314" s="51" t="n"/>
      <c r="E314" s="51" t="n"/>
      <c r="F314" s="51" t="n"/>
      <c r="G314" s="51" t="n"/>
      <c r="H314" s="51" t="n"/>
      <c r="I314" s="51" t="n"/>
      <c r="J314" s="51" t="n"/>
    </row>
    <row r="315">
      <c r="B315" s="51" t="n"/>
      <c r="C315" s="51" t="n"/>
      <c r="D315" s="51" t="n"/>
      <c r="E315" s="51" t="n"/>
      <c r="F315" s="51" t="n"/>
      <c r="G315" s="51" t="n"/>
      <c r="H315" s="51" t="n"/>
      <c r="I315" s="51" t="n"/>
      <c r="J315" s="51" t="n"/>
    </row>
    <row r="316">
      <c r="B316" s="51" t="n"/>
      <c r="C316" s="51" t="n"/>
      <c r="D316" s="51" t="n"/>
      <c r="E316" s="51" t="n"/>
      <c r="F316" s="51" t="n"/>
      <c r="G316" s="51" t="n"/>
      <c r="H316" s="51" t="n"/>
      <c r="I316" s="51" t="n"/>
      <c r="J316" s="51" t="n"/>
    </row>
    <row r="317">
      <c r="B317" s="51" t="n"/>
      <c r="C317" s="51" t="n"/>
      <c r="D317" s="51" t="n"/>
      <c r="E317" s="51" t="n"/>
      <c r="F317" s="51" t="n"/>
      <c r="G317" s="51" t="n"/>
      <c r="H317" s="51" t="n"/>
      <c r="I317" s="51" t="n"/>
      <c r="J317" s="51" t="n"/>
    </row>
    <row r="318">
      <c r="B318" s="51" t="n"/>
      <c r="C318" s="51" t="n"/>
      <c r="D318" s="51" t="n"/>
      <c r="E318" s="51" t="n"/>
      <c r="F318" s="51" t="n"/>
      <c r="G318" s="51" t="n"/>
      <c r="H318" s="51" t="n"/>
      <c r="I318" s="51" t="n"/>
      <c r="J318" s="51" t="n"/>
    </row>
    <row r="319">
      <c r="B319" s="51" t="n"/>
      <c r="C319" s="51" t="n"/>
      <c r="D319" s="51" t="n"/>
      <c r="E319" s="51" t="n"/>
      <c r="F319" s="51" t="n"/>
      <c r="G319" s="51" t="n"/>
      <c r="H319" s="51" t="n"/>
      <c r="I319" s="51" t="n"/>
      <c r="J319" s="51" t="n"/>
    </row>
    <row r="320">
      <c r="B320" s="51" t="n"/>
      <c r="C320" s="51" t="n"/>
      <c r="D320" s="51" t="n"/>
      <c r="E320" s="51" t="n"/>
      <c r="F320" s="51" t="n"/>
      <c r="G320" s="51" t="n"/>
      <c r="H320" s="51" t="n"/>
      <c r="I320" s="51" t="n"/>
      <c r="J320" s="51" t="n"/>
    </row>
    <row r="321">
      <c r="B321" s="51" t="n"/>
      <c r="C321" s="51" t="n"/>
      <c r="D321" s="51" t="n"/>
      <c r="E321" s="51" t="n"/>
      <c r="F321" s="51" t="n"/>
      <c r="G321" s="51" t="n"/>
      <c r="H321" s="51" t="n"/>
      <c r="I321" s="51" t="n"/>
      <c r="J321" s="51" t="n"/>
    </row>
    <row r="322">
      <c r="B322" s="51" t="n"/>
      <c r="C322" s="51" t="n"/>
      <c r="D322" s="51" t="n"/>
      <c r="E322" s="51" t="n"/>
      <c r="F322" s="51" t="n"/>
      <c r="G322" s="51" t="n"/>
      <c r="H322" s="51" t="n"/>
      <c r="I322" s="51" t="n"/>
      <c r="J322" s="51" t="n"/>
    </row>
    <row r="323">
      <c r="B323" s="51" t="n"/>
      <c r="C323" s="51" t="n"/>
      <c r="D323" s="51" t="n"/>
      <c r="E323" s="51" t="n"/>
      <c r="F323" s="51" t="n"/>
      <c r="G323" s="51" t="n"/>
      <c r="H323" s="51" t="n"/>
      <c r="I323" s="51" t="n"/>
      <c r="J323" s="51" t="n"/>
    </row>
    <row r="324">
      <c r="B324" s="51" t="n"/>
      <c r="C324" s="51" t="n"/>
      <c r="D324" s="51" t="n"/>
      <c r="E324" s="51" t="n"/>
      <c r="F324" s="51" t="n"/>
      <c r="G324" s="51" t="n"/>
      <c r="H324" s="51" t="n"/>
      <c r="I324" s="51" t="n"/>
      <c r="J324" s="51" t="n"/>
    </row>
    <row r="325">
      <c r="B325" s="51" t="n"/>
      <c r="C325" s="51" t="n"/>
      <c r="D325" s="51" t="n"/>
      <c r="E325" s="51" t="n"/>
      <c r="F325" s="51" t="n"/>
      <c r="G325" s="51" t="n"/>
      <c r="H325" s="51" t="n"/>
      <c r="I325" s="51" t="n"/>
      <c r="J325" s="51" t="n"/>
    </row>
    <row r="326">
      <c r="B326" s="51" t="n"/>
      <c r="C326" s="51" t="n"/>
      <c r="D326" s="51" t="n"/>
      <c r="E326" s="51" t="n"/>
      <c r="F326" s="51" t="n"/>
      <c r="G326" s="51" t="n"/>
      <c r="H326" s="51" t="n"/>
      <c r="I326" s="51" t="n"/>
      <c r="J326" s="51" t="n"/>
    </row>
    <row r="327">
      <c r="B327" s="51" t="n"/>
      <c r="C327" s="51" t="n"/>
      <c r="D327" s="51" t="n"/>
      <c r="E327" s="51" t="n"/>
      <c r="F327" s="51" t="n"/>
      <c r="G327" s="51" t="n"/>
      <c r="H327" s="51" t="n"/>
      <c r="I327" s="51" t="n"/>
      <c r="J327" s="51" t="n"/>
    </row>
    <row r="328">
      <c r="B328" s="51" t="n"/>
      <c r="C328" s="51" t="n"/>
      <c r="D328" s="51" t="n"/>
      <c r="E328" s="51" t="n"/>
      <c r="F328" s="51" t="n"/>
      <c r="G328" s="51" t="n"/>
      <c r="H328" s="51" t="n"/>
      <c r="I328" s="51" t="n"/>
      <c r="J328" s="51" t="n"/>
    </row>
    <row r="329">
      <c r="B329" s="51" t="n"/>
      <c r="C329" s="51" t="n"/>
      <c r="D329" s="51" t="n"/>
      <c r="E329" s="51" t="n"/>
      <c r="F329" s="51" t="n"/>
      <c r="G329" s="51" t="n"/>
      <c r="H329" s="51" t="n"/>
      <c r="I329" s="51" t="n"/>
      <c r="J329" s="51" t="n"/>
    </row>
    <row r="330">
      <c r="B330" s="51" t="n"/>
      <c r="C330" s="51" t="n"/>
      <c r="D330" s="51" t="n"/>
      <c r="E330" s="51" t="n"/>
      <c r="F330" s="51" t="n"/>
      <c r="G330" s="51" t="n"/>
      <c r="H330" s="51" t="n"/>
      <c r="I330" s="51" t="n"/>
      <c r="J330" s="51" t="n"/>
    </row>
    <row r="331">
      <c r="B331" s="51" t="n"/>
      <c r="C331" s="51" t="n"/>
      <c r="D331" s="51" t="n"/>
      <c r="E331" s="51" t="n"/>
      <c r="F331" s="51" t="n"/>
      <c r="G331" s="51" t="n"/>
      <c r="H331" s="51" t="n"/>
      <c r="I331" s="51" t="n"/>
      <c r="J331" s="51" t="n"/>
    </row>
    <row r="332">
      <c r="B332" s="51" t="n"/>
      <c r="C332" s="51" t="n"/>
      <c r="D332" s="51" t="n"/>
      <c r="E332" s="51" t="n"/>
      <c r="F332" s="51" t="n"/>
      <c r="G332" s="51" t="n"/>
      <c r="H332" s="51" t="n"/>
      <c r="I332" s="51" t="n"/>
      <c r="J332" s="51" t="n"/>
    </row>
    <row r="333">
      <c r="B333" s="51" t="n"/>
      <c r="C333" s="51" t="n"/>
      <c r="D333" s="51" t="n"/>
      <c r="E333" s="51" t="n"/>
      <c r="F333" s="51" t="n"/>
      <c r="G333" s="51" t="n"/>
      <c r="H333" s="51" t="n"/>
      <c r="I333" s="51" t="n"/>
      <c r="J333" s="51" t="n"/>
    </row>
    <row r="334">
      <c r="B334" s="51" t="n"/>
      <c r="C334" s="51" t="n"/>
      <c r="D334" s="51" t="n"/>
      <c r="E334" s="51" t="n"/>
      <c r="F334" s="51" t="n"/>
      <c r="G334" s="51" t="n"/>
      <c r="H334" s="51" t="n"/>
      <c r="I334" s="51" t="n"/>
      <c r="J334" s="51" t="n"/>
    </row>
    <row r="335">
      <c r="B335" s="51" t="n"/>
      <c r="C335" s="51" t="n"/>
      <c r="D335" s="51" t="n"/>
      <c r="E335" s="51" t="n"/>
      <c r="F335" s="51" t="n"/>
      <c r="G335" s="51" t="n"/>
      <c r="H335" s="51" t="n"/>
      <c r="I335" s="51" t="n"/>
      <c r="J335" s="51" t="n"/>
    </row>
    <row r="336">
      <c r="B336" s="51" t="n"/>
      <c r="C336" s="51" t="n"/>
      <c r="D336" s="51" t="n"/>
      <c r="E336" s="51" t="n"/>
      <c r="F336" s="51" t="n"/>
      <c r="G336" s="51" t="n"/>
      <c r="H336" s="51" t="n"/>
      <c r="I336" s="51" t="n"/>
      <c r="J336" s="51" t="n"/>
    </row>
    <row r="337">
      <c r="B337" s="51" t="n"/>
      <c r="C337" s="51" t="n"/>
      <c r="D337" s="51" t="n"/>
      <c r="E337" s="51" t="n"/>
      <c r="F337" s="51" t="n"/>
      <c r="G337" s="51" t="n"/>
      <c r="H337" s="51" t="n"/>
      <c r="I337" s="51" t="n"/>
      <c r="J337" s="51" t="n"/>
    </row>
    <row r="338">
      <c r="B338" s="51" t="n"/>
      <c r="C338" s="51" t="n"/>
      <c r="D338" s="51" t="n"/>
      <c r="E338" s="51" t="n"/>
      <c r="F338" s="51" t="n"/>
      <c r="G338" s="51" t="n"/>
      <c r="H338" s="51" t="n"/>
      <c r="I338" s="51" t="n"/>
      <c r="J338" s="51" t="n"/>
    </row>
    <row r="339">
      <c r="B339" s="51" t="n"/>
      <c r="C339" s="51" t="n"/>
      <c r="D339" s="51" t="n"/>
      <c r="E339" s="51" t="n"/>
      <c r="F339" s="51" t="n"/>
      <c r="G339" s="51" t="n"/>
      <c r="H339" s="51" t="n"/>
      <c r="I339" s="51" t="n"/>
      <c r="J339" s="51" t="n"/>
    </row>
    <row r="340">
      <c r="B340" s="51" t="n"/>
      <c r="C340" s="51" t="n"/>
      <c r="D340" s="51" t="n"/>
      <c r="E340" s="51" t="n"/>
      <c r="F340" s="51" t="n"/>
      <c r="G340" s="51" t="n"/>
      <c r="H340" s="51" t="n"/>
      <c r="I340" s="51" t="n"/>
      <c r="J340" s="51" t="n"/>
    </row>
    <row r="341">
      <c r="B341" s="51" t="n"/>
      <c r="C341" s="51" t="n"/>
      <c r="D341" s="51" t="n"/>
      <c r="E341" s="51" t="n"/>
      <c r="F341" s="51" t="n"/>
      <c r="G341" s="51" t="n"/>
      <c r="H341" s="51" t="n"/>
      <c r="I341" s="51" t="n"/>
      <c r="J341" s="51" t="n"/>
    </row>
    <row r="342">
      <c r="B342" s="51" t="n"/>
      <c r="C342" s="51" t="n"/>
      <c r="D342" s="51" t="n"/>
      <c r="E342" s="51" t="n"/>
      <c r="F342" s="51" t="n"/>
      <c r="G342" s="51" t="n"/>
      <c r="H342" s="51" t="n"/>
      <c r="I342" s="51" t="n"/>
      <c r="J342" s="51" t="n"/>
    </row>
    <row r="343">
      <c r="B343" s="51" t="n"/>
      <c r="C343" s="51" t="n"/>
      <c r="D343" s="51" t="n"/>
      <c r="E343" s="51" t="n"/>
      <c r="F343" s="51" t="n"/>
      <c r="G343" s="51" t="n"/>
      <c r="H343" s="51" t="n"/>
      <c r="I343" s="51" t="n"/>
      <c r="J343" s="51" t="n"/>
    </row>
    <row r="344">
      <c r="B344" s="51" t="n"/>
      <c r="C344" s="51" t="n"/>
      <c r="D344" s="51" t="n"/>
      <c r="E344" s="51" t="n"/>
      <c r="F344" s="51" t="n"/>
      <c r="G344" s="51" t="n"/>
      <c r="H344" s="51" t="n"/>
      <c r="I344" s="51" t="n"/>
      <c r="J344" s="51" t="n"/>
    </row>
    <row r="345">
      <c r="B345" s="51" t="n"/>
      <c r="C345" s="51" t="n"/>
      <c r="D345" s="51" t="n"/>
      <c r="E345" s="51" t="n"/>
      <c r="F345" s="51" t="n"/>
      <c r="G345" s="51" t="n"/>
      <c r="H345" s="51" t="n"/>
      <c r="I345" s="51" t="n"/>
      <c r="J345" s="51" t="n"/>
    </row>
    <row r="346">
      <c r="B346" s="51" t="n"/>
      <c r="C346" s="51" t="n"/>
      <c r="D346" s="51" t="n"/>
      <c r="E346" s="51" t="n"/>
      <c r="F346" s="51" t="n"/>
      <c r="G346" s="51" t="n"/>
      <c r="H346" s="51" t="n"/>
      <c r="I346" s="51" t="n"/>
      <c r="J346" s="51" t="n"/>
    </row>
    <row r="347">
      <c r="B347" s="51" t="n"/>
      <c r="C347" s="51" t="n"/>
      <c r="D347" s="51" t="n"/>
      <c r="E347" s="51" t="n"/>
      <c r="F347" s="51" t="n"/>
      <c r="G347" s="51" t="n"/>
      <c r="H347" s="51" t="n"/>
      <c r="I347" s="51" t="n"/>
      <c r="J347" s="51" t="n"/>
    </row>
    <row r="348">
      <c r="B348" s="51" t="n"/>
      <c r="C348" s="51" t="n"/>
      <c r="D348" s="51" t="n"/>
      <c r="E348" s="51" t="n"/>
      <c r="F348" s="51" t="n"/>
      <c r="G348" s="51" t="n"/>
      <c r="H348" s="51" t="n"/>
      <c r="I348" s="51" t="n"/>
      <c r="J348" s="51" t="n"/>
    </row>
    <row r="349">
      <c r="B349" s="51" t="n"/>
      <c r="C349" s="51" t="n"/>
      <c r="D349" s="51" t="n"/>
      <c r="E349" s="51" t="n"/>
      <c r="F349" s="51" t="n"/>
      <c r="G349" s="51" t="n"/>
      <c r="H349" s="51" t="n"/>
      <c r="I349" s="51" t="n"/>
      <c r="J349" s="51" t="n"/>
    </row>
    <row r="350">
      <c r="B350" s="51" t="n"/>
      <c r="C350" s="51" t="n"/>
      <c r="D350" s="51" t="n"/>
      <c r="E350" s="51" t="n"/>
      <c r="F350" s="51" t="n"/>
      <c r="G350" s="51" t="n"/>
      <c r="H350" s="51" t="n"/>
      <c r="I350" s="51" t="n"/>
      <c r="J350" s="51" t="n"/>
    </row>
    <row r="351">
      <c r="B351" s="51" t="n"/>
      <c r="C351" s="51" t="n"/>
      <c r="D351" s="51" t="n"/>
      <c r="E351" s="51" t="n"/>
      <c r="F351" s="51" t="n"/>
      <c r="G351" s="51" t="n"/>
      <c r="H351" s="51" t="n"/>
      <c r="I351" s="51" t="n"/>
      <c r="J351" s="51" t="n"/>
    </row>
    <row r="352">
      <c r="B352" s="51" t="n"/>
      <c r="C352" s="51" t="n"/>
      <c r="D352" s="51" t="n"/>
      <c r="E352" s="51" t="n"/>
      <c r="F352" s="51" t="n"/>
      <c r="G352" s="51" t="n"/>
      <c r="H352" s="51" t="n"/>
      <c r="I352" s="51" t="n"/>
      <c r="J352" s="51" t="n"/>
    </row>
    <row r="353">
      <c r="B353" s="51" t="n"/>
      <c r="C353" s="51" t="n"/>
      <c r="D353" s="51" t="n"/>
      <c r="E353" s="51" t="n"/>
      <c r="F353" s="51" t="n"/>
      <c r="G353" s="51" t="n"/>
      <c r="H353" s="51" t="n"/>
      <c r="I353" s="51" t="n"/>
      <c r="J353" s="51" t="n"/>
    </row>
    <row r="354">
      <c r="B354" s="51" t="n"/>
      <c r="C354" s="51" t="n"/>
      <c r="D354" s="51" t="n"/>
      <c r="E354" s="51" t="n"/>
      <c r="F354" s="51" t="n"/>
      <c r="G354" s="51" t="n"/>
      <c r="H354" s="51" t="n"/>
      <c r="I354" s="51" t="n"/>
      <c r="J354" s="51" t="n"/>
    </row>
    <row r="355">
      <c r="B355" s="51" t="n"/>
      <c r="C355" s="51" t="n"/>
      <c r="D355" s="51" t="n"/>
      <c r="E355" s="51" t="n"/>
      <c r="F355" s="51" t="n"/>
      <c r="G355" s="51" t="n"/>
      <c r="H355" s="51" t="n"/>
      <c r="I355" s="51" t="n"/>
      <c r="J355" s="51" t="n"/>
    </row>
    <row r="356">
      <c r="B356" s="51" t="n"/>
      <c r="C356" s="51" t="n"/>
      <c r="D356" s="51" t="n"/>
      <c r="E356" s="51" t="n"/>
      <c r="F356" s="51" t="n"/>
      <c r="G356" s="51" t="n"/>
      <c r="H356" s="51" t="n"/>
      <c r="I356" s="51" t="n"/>
      <c r="J356" s="51" t="n"/>
    </row>
    <row r="357">
      <c r="B357" s="51" t="n"/>
      <c r="C357" s="51" t="n"/>
      <c r="D357" s="51" t="n"/>
      <c r="E357" s="51" t="n"/>
      <c r="F357" s="51" t="n"/>
      <c r="G357" s="51" t="n"/>
      <c r="H357" s="51" t="n"/>
      <c r="I357" s="51" t="n"/>
      <c r="J357" s="51" t="n"/>
    </row>
    <row r="358">
      <c r="B358" s="51" t="n"/>
      <c r="C358" s="51" t="n"/>
      <c r="D358" s="51" t="n"/>
      <c r="E358" s="51" t="n"/>
      <c r="F358" s="51" t="n"/>
      <c r="G358" s="51" t="n"/>
      <c r="H358" s="51" t="n"/>
      <c r="I358" s="51" t="n"/>
      <c r="J358" s="51" t="n"/>
    </row>
    <row r="359">
      <c r="B359" s="51" t="n"/>
      <c r="C359" s="51" t="n"/>
      <c r="D359" s="51" t="n"/>
      <c r="E359" s="51" t="n"/>
      <c r="F359" s="51" t="n"/>
      <c r="G359" s="51" t="n"/>
      <c r="H359" s="51" t="n"/>
      <c r="I359" s="51" t="n"/>
      <c r="J359" s="51" t="n"/>
    </row>
    <row r="360">
      <c r="B360" s="51" t="n"/>
      <c r="C360" s="51" t="n"/>
      <c r="D360" s="51" t="n"/>
      <c r="E360" s="51" t="n"/>
      <c r="F360" s="51" t="n"/>
      <c r="G360" s="51" t="n"/>
      <c r="H360" s="51" t="n"/>
      <c r="I360" s="51" t="n"/>
      <c r="J360" s="51" t="n"/>
    </row>
    <row r="361">
      <c r="B361" s="51" t="n"/>
      <c r="C361" s="51" t="n"/>
      <c r="D361" s="51" t="n"/>
      <c r="E361" s="51" t="n"/>
      <c r="F361" s="51" t="n"/>
      <c r="G361" s="51" t="n"/>
      <c r="H361" s="51" t="n"/>
      <c r="I361" s="51" t="n"/>
      <c r="J361" s="51" t="n"/>
    </row>
    <row r="362">
      <c r="B362" s="51" t="n"/>
      <c r="C362" s="51" t="n"/>
      <c r="D362" s="51" t="n"/>
      <c r="E362" s="51" t="n"/>
      <c r="F362" s="51" t="n"/>
      <c r="G362" s="51" t="n"/>
      <c r="H362" s="51" t="n"/>
      <c r="I362" s="51" t="n"/>
      <c r="J362" s="51" t="n"/>
    </row>
    <row r="363">
      <c r="B363" s="51" t="n"/>
      <c r="C363" s="51" t="n"/>
      <c r="D363" s="51" t="n"/>
      <c r="E363" s="51" t="n"/>
      <c r="F363" s="51" t="n"/>
      <c r="G363" s="51" t="n"/>
      <c r="H363" s="51" t="n"/>
      <c r="I363" s="51" t="n"/>
      <c r="J363" s="51" t="n"/>
    </row>
    <row r="364">
      <c r="B364" s="51" t="n"/>
      <c r="C364" s="51" t="n"/>
      <c r="D364" s="51" t="n"/>
      <c r="E364" s="51" t="n"/>
      <c r="F364" s="51" t="n"/>
      <c r="G364" s="51" t="n"/>
      <c r="H364" s="51" t="n"/>
      <c r="I364" s="51" t="n"/>
      <c r="J364" s="51" t="n"/>
    </row>
    <row r="365">
      <c r="B365" s="51" t="n"/>
      <c r="C365" s="51" t="n"/>
      <c r="D365" s="51" t="n"/>
      <c r="E365" s="51" t="n"/>
      <c r="F365" s="51" t="n"/>
      <c r="G365" s="51" t="n"/>
      <c r="H365" s="51" t="n"/>
      <c r="I365" s="51" t="n"/>
      <c r="J365" s="51" t="n"/>
    </row>
    <row r="366">
      <c r="B366" s="51" t="n"/>
      <c r="C366" s="51" t="n"/>
      <c r="D366" s="51" t="n"/>
      <c r="E366" s="51" t="n"/>
      <c r="F366" s="51" t="n"/>
      <c r="G366" s="51" t="n"/>
      <c r="H366" s="51" t="n"/>
      <c r="I366" s="51" t="n"/>
      <c r="J366" s="51" t="n"/>
    </row>
    <row r="367">
      <c r="B367" s="51" t="n"/>
      <c r="C367" s="51" t="n"/>
      <c r="D367" s="51" t="n"/>
      <c r="E367" s="51" t="n"/>
      <c r="F367" s="51" t="n"/>
      <c r="G367" s="51" t="n"/>
      <c r="H367" s="51" t="n"/>
      <c r="I367" s="51" t="n"/>
      <c r="J367" s="51" t="n"/>
    </row>
    <row r="368">
      <c r="B368" s="51" t="n"/>
      <c r="C368" s="51" t="n"/>
      <c r="D368" s="51" t="n"/>
      <c r="E368" s="51" t="n"/>
      <c r="F368" s="51" t="n"/>
      <c r="G368" s="51" t="n"/>
      <c r="H368" s="51" t="n"/>
      <c r="I368" s="51" t="n"/>
      <c r="J368" s="51" t="n"/>
    </row>
    <row r="369">
      <c r="B369" s="51" t="n"/>
      <c r="C369" s="51" t="n"/>
      <c r="D369" s="51" t="n"/>
      <c r="E369" s="51" t="n"/>
      <c r="F369" s="51" t="n"/>
      <c r="G369" s="51" t="n"/>
      <c r="H369" s="51" t="n"/>
      <c r="I369" s="51" t="n"/>
      <c r="J369" s="51" t="n"/>
    </row>
    <row r="370">
      <c r="B370" s="51" t="n"/>
      <c r="C370" s="51" t="n"/>
      <c r="D370" s="51" t="n"/>
      <c r="E370" s="51" t="n"/>
      <c r="F370" s="51" t="n"/>
      <c r="G370" s="51" t="n"/>
      <c r="H370" s="51" t="n"/>
      <c r="I370" s="51" t="n"/>
      <c r="J370" s="51" t="n"/>
    </row>
    <row r="371">
      <c r="B371" s="51" t="n"/>
      <c r="C371" s="51" t="n"/>
      <c r="D371" s="51" t="n"/>
      <c r="E371" s="51" t="n"/>
      <c r="F371" s="51" t="n"/>
      <c r="G371" s="51" t="n"/>
      <c r="H371" s="51" t="n"/>
      <c r="I371" s="51" t="n"/>
      <c r="J371" s="51" t="n"/>
    </row>
    <row r="372">
      <c r="B372" s="51" t="n"/>
      <c r="C372" s="51" t="n"/>
      <c r="D372" s="51" t="n"/>
      <c r="E372" s="51" t="n"/>
      <c r="F372" s="51" t="n"/>
      <c r="G372" s="51" t="n"/>
      <c r="H372" s="51" t="n"/>
      <c r="I372" s="51" t="n"/>
      <c r="J372" s="51" t="n"/>
    </row>
    <row r="373">
      <c r="B373" s="51" t="n"/>
      <c r="C373" s="51" t="n"/>
      <c r="D373" s="51" t="n"/>
      <c r="E373" s="51" t="n"/>
      <c r="F373" s="51" t="n"/>
      <c r="G373" s="51" t="n"/>
      <c r="H373" s="51" t="n"/>
      <c r="I373" s="51" t="n"/>
      <c r="J373" s="51" t="n"/>
    </row>
    <row r="374">
      <c r="B374" s="51" t="n"/>
      <c r="C374" s="51" t="n"/>
      <c r="D374" s="51" t="n"/>
      <c r="E374" s="51" t="n"/>
      <c r="F374" s="51" t="n"/>
      <c r="G374" s="51" t="n"/>
      <c r="H374" s="51" t="n"/>
      <c r="I374" s="51" t="n"/>
      <c r="J374" s="51" t="n"/>
    </row>
    <row r="375">
      <c r="B375" s="51" t="n"/>
      <c r="C375" s="51" t="n"/>
      <c r="D375" s="51" t="n"/>
      <c r="E375" s="51" t="n"/>
      <c r="F375" s="51" t="n"/>
      <c r="G375" s="51" t="n"/>
      <c r="H375" s="51" t="n"/>
      <c r="I375" s="51" t="n"/>
      <c r="J375" s="51" t="n"/>
    </row>
    <row r="376">
      <c r="B376" s="51" t="n"/>
      <c r="C376" s="51" t="n"/>
      <c r="D376" s="51" t="n"/>
      <c r="E376" s="51" t="n"/>
      <c r="F376" s="51" t="n"/>
      <c r="G376" s="51" t="n"/>
      <c r="H376" s="51" t="n"/>
      <c r="I376" s="51" t="n"/>
      <c r="J376" s="51" t="n"/>
    </row>
    <row r="377">
      <c r="B377" s="51" t="n"/>
      <c r="C377" s="51" t="n"/>
      <c r="D377" s="51" t="n"/>
      <c r="E377" s="51" t="n"/>
      <c r="F377" s="51" t="n"/>
      <c r="G377" s="51" t="n"/>
      <c r="H377" s="51" t="n"/>
      <c r="I377" s="51" t="n"/>
      <c r="J377" s="51" t="n"/>
    </row>
    <row r="378">
      <c r="B378" s="51" t="n"/>
      <c r="C378" s="51" t="n"/>
      <c r="D378" s="51" t="n"/>
      <c r="E378" s="51" t="n"/>
      <c r="F378" s="51" t="n"/>
      <c r="G378" s="51" t="n"/>
      <c r="H378" s="51" t="n"/>
      <c r="I378" s="51" t="n"/>
      <c r="J378" s="51" t="n"/>
    </row>
    <row r="379">
      <c r="B379" s="51" t="n"/>
      <c r="C379" s="51" t="n"/>
      <c r="D379" s="51" t="n"/>
      <c r="E379" s="51" t="n"/>
      <c r="F379" s="51" t="n"/>
      <c r="G379" s="51" t="n"/>
      <c r="H379" s="51" t="n"/>
      <c r="I379" s="51" t="n"/>
      <c r="J379" s="51" t="n"/>
    </row>
    <row r="380">
      <c r="B380" s="51" t="n"/>
      <c r="C380" s="51" t="n"/>
      <c r="D380" s="51" t="n"/>
      <c r="E380" s="51" t="n"/>
      <c r="F380" s="51" t="n"/>
      <c r="G380" s="51" t="n"/>
      <c r="H380" s="51" t="n"/>
      <c r="I380" s="51" t="n"/>
      <c r="J380" s="51" t="n"/>
    </row>
    <row r="381">
      <c r="B381" s="51" t="n"/>
      <c r="C381" s="51" t="n"/>
      <c r="D381" s="51" t="n"/>
      <c r="E381" s="51" t="n"/>
      <c r="F381" s="51" t="n"/>
      <c r="G381" s="51" t="n"/>
      <c r="H381" s="51" t="n"/>
      <c r="I381" s="51" t="n"/>
      <c r="J381" s="51" t="n"/>
    </row>
    <row r="382">
      <c r="B382" s="51" t="n"/>
      <c r="C382" s="51" t="n"/>
      <c r="D382" s="51" t="n"/>
      <c r="E382" s="51" t="n"/>
      <c r="F382" s="51" t="n"/>
      <c r="G382" s="51" t="n"/>
      <c r="H382" s="51" t="n"/>
      <c r="I382" s="51" t="n"/>
      <c r="J382" s="51" t="n"/>
    </row>
    <row r="383">
      <c r="B383" s="51" t="n"/>
      <c r="C383" s="51" t="n"/>
      <c r="D383" s="51" t="n"/>
      <c r="E383" s="51" t="n"/>
      <c r="F383" s="51" t="n"/>
      <c r="G383" s="51" t="n"/>
      <c r="H383" s="51" t="n"/>
      <c r="I383" s="51" t="n"/>
      <c r="J383" s="51" t="n"/>
    </row>
    <row r="384">
      <c r="B384" s="51" t="n"/>
      <c r="C384" s="51" t="n"/>
      <c r="D384" s="51" t="n"/>
      <c r="E384" s="51" t="n"/>
      <c r="F384" s="51" t="n"/>
      <c r="G384" s="51" t="n"/>
      <c r="H384" s="51" t="n"/>
      <c r="I384" s="51" t="n"/>
      <c r="J384" s="51" t="n"/>
    </row>
    <row r="385">
      <c r="B385" s="51" t="n"/>
      <c r="C385" s="51" t="n"/>
      <c r="D385" s="51" t="n"/>
      <c r="E385" s="51" t="n"/>
      <c r="F385" s="51" t="n"/>
      <c r="G385" s="51" t="n"/>
      <c r="H385" s="51" t="n"/>
      <c r="I385" s="51" t="n"/>
      <c r="J385" s="51" t="n"/>
    </row>
    <row r="386">
      <c r="B386" s="51" t="n"/>
      <c r="C386" s="51" t="n"/>
      <c r="D386" s="51" t="n"/>
      <c r="E386" s="51" t="n"/>
      <c r="F386" s="51" t="n"/>
      <c r="G386" s="51" t="n"/>
      <c r="H386" s="51" t="n"/>
      <c r="I386" s="51" t="n"/>
      <c r="J386" s="51" t="n"/>
    </row>
    <row r="387">
      <c r="B387" s="51" t="n"/>
      <c r="C387" s="51" t="n"/>
      <c r="D387" s="51" t="n"/>
      <c r="E387" s="51" t="n"/>
      <c r="F387" s="51" t="n"/>
      <c r="G387" s="51" t="n"/>
      <c r="H387" s="51" t="n"/>
      <c r="I387" s="51" t="n"/>
      <c r="J387" s="51" t="n"/>
    </row>
    <row r="388">
      <c r="B388" s="51" t="n"/>
      <c r="C388" s="51" t="n"/>
      <c r="D388" s="51" t="n"/>
      <c r="E388" s="51" t="n"/>
      <c r="F388" s="51" t="n"/>
      <c r="G388" s="51" t="n"/>
      <c r="H388" s="51" t="n"/>
      <c r="I388" s="51" t="n"/>
      <c r="J388" s="51" t="n"/>
    </row>
    <row r="389">
      <c r="B389" s="51" t="n"/>
      <c r="C389" s="51" t="n"/>
      <c r="D389" s="51" t="n"/>
      <c r="E389" s="51" t="n"/>
      <c r="F389" s="51" t="n"/>
      <c r="G389" s="51" t="n"/>
      <c r="H389" s="51" t="n"/>
      <c r="I389" s="51" t="n"/>
      <c r="J389" s="51" t="n"/>
    </row>
    <row r="390">
      <c r="B390" s="51" t="n"/>
      <c r="C390" s="51" t="n"/>
      <c r="D390" s="51" t="n"/>
      <c r="E390" s="51" t="n"/>
      <c r="F390" s="51" t="n"/>
      <c r="G390" s="51" t="n"/>
      <c r="H390" s="51" t="n"/>
      <c r="I390" s="51" t="n"/>
      <c r="J390" s="51" t="n"/>
    </row>
    <row r="391">
      <c r="B391" s="51" t="n"/>
      <c r="C391" s="51" t="n"/>
      <c r="D391" s="51" t="n"/>
      <c r="E391" s="51" t="n"/>
      <c r="F391" s="51" t="n"/>
      <c r="G391" s="51" t="n"/>
      <c r="H391" s="51" t="n"/>
      <c r="I391" s="51" t="n"/>
      <c r="J391" s="51" t="n"/>
    </row>
    <row r="392">
      <c r="B392" s="51" t="n"/>
      <c r="C392" s="51" t="n"/>
      <c r="D392" s="51" t="n"/>
      <c r="E392" s="51" t="n"/>
      <c r="F392" s="51" t="n"/>
      <c r="G392" s="51" t="n"/>
      <c r="H392" s="51" t="n"/>
      <c r="I392" s="51" t="n"/>
      <c r="J392" s="51" t="n"/>
    </row>
    <row r="393">
      <c r="B393" s="51" t="n"/>
      <c r="C393" s="51" t="n"/>
      <c r="D393" s="51" t="n"/>
      <c r="E393" s="51" t="n"/>
      <c r="F393" s="51" t="n"/>
      <c r="G393" s="51" t="n"/>
      <c r="H393" s="51" t="n"/>
      <c r="I393" s="51" t="n"/>
      <c r="J393" s="51" t="n"/>
    </row>
    <row r="394">
      <c r="B394" s="51" t="n"/>
      <c r="C394" s="51" t="n"/>
      <c r="D394" s="51" t="n"/>
      <c r="E394" s="51" t="n"/>
      <c r="F394" s="51" t="n"/>
      <c r="G394" s="51" t="n"/>
      <c r="H394" s="51" t="n"/>
      <c r="I394" s="51" t="n"/>
      <c r="J394" s="51" t="n"/>
    </row>
    <row r="395">
      <c r="B395" s="51" t="n"/>
      <c r="C395" s="51" t="n"/>
      <c r="D395" s="51" t="n"/>
      <c r="E395" s="51" t="n"/>
      <c r="F395" s="51" t="n"/>
      <c r="G395" s="51" t="n"/>
      <c r="H395" s="51" t="n"/>
      <c r="I395" s="51" t="n"/>
      <c r="J395" s="51" t="n"/>
    </row>
    <row r="396">
      <c r="B396" s="51" t="n"/>
      <c r="C396" s="51" t="n"/>
      <c r="D396" s="51" t="n"/>
      <c r="E396" s="51" t="n"/>
      <c r="F396" s="51" t="n"/>
      <c r="G396" s="51" t="n"/>
      <c r="H396" s="51" t="n"/>
      <c r="I396" s="51" t="n"/>
      <c r="J396" s="51" t="n"/>
    </row>
    <row r="397">
      <c r="B397" s="51" t="n"/>
      <c r="C397" s="51" t="n"/>
      <c r="D397" s="51" t="n"/>
      <c r="E397" s="51" t="n"/>
      <c r="F397" s="51" t="n"/>
      <c r="G397" s="51" t="n"/>
      <c r="H397" s="51" t="n"/>
      <c r="I397" s="51" t="n"/>
      <c r="J397" s="51" t="n"/>
    </row>
    <row r="398">
      <c r="B398" s="51" t="n"/>
      <c r="C398" s="51" t="n"/>
      <c r="D398" s="51" t="n"/>
      <c r="E398" s="51" t="n"/>
      <c r="F398" s="51" t="n"/>
      <c r="G398" s="51" t="n"/>
      <c r="H398" s="51" t="n"/>
      <c r="I398" s="51" t="n"/>
      <c r="J398" s="51" t="n"/>
    </row>
    <row r="399">
      <c r="B399" s="51" t="n"/>
      <c r="C399" s="51" t="n"/>
      <c r="D399" s="51" t="n"/>
      <c r="E399" s="51" t="n"/>
      <c r="F399" s="51" t="n"/>
      <c r="G399" s="51" t="n"/>
      <c r="H399" s="51" t="n"/>
      <c r="I399" s="51" t="n"/>
      <c r="J399" s="51" t="n"/>
    </row>
    <row r="400">
      <c r="B400" s="51" t="n"/>
      <c r="C400" s="51" t="n"/>
      <c r="D400" s="51" t="n"/>
      <c r="E400" s="51" t="n"/>
      <c r="F400" s="51" t="n"/>
      <c r="G400" s="51" t="n"/>
      <c r="H400" s="51" t="n"/>
      <c r="I400" s="51" t="n"/>
      <c r="J400" s="51" t="n"/>
    </row>
    <row r="401">
      <c r="B401" s="51" t="n"/>
      <c r="C401" s="51" t="n"/>
      <c r="D401" s="51" t="n"/>
      <c r="E401" s="51" t="n"/>
      <c r="F401" s="51" t="n"/>
      <c r="G401" s="51" t="n"/>
      <c r="H401" s="51" t="n"/>
      <c r="I401" s="51" t="n"/>
      <c r="J401" s="51" t="n"/>
    </row>
    <row r="402">
      <c r="B402" s="51" t="n"/>
      <c r="C402" s="51" t="n"/>
      <c r="D402" s="51" t="n"/>
      <c r="E402" s="51" t="n"/>
      <c r="F402" s="51" t="n"/>
      <c r="G402" s="51" t="n"/>
      <c r="H402" s="51" t="n"/>
      <c r="I402" s="51" t="n"/>
      <c r="J402" s="51" t="n"/>
    </row>
    <row r="403">
      <c r="B403" s="51" t="n"/>
      <c r="C403" s="51" t="n"/>
      <c r="D403" s="51" t="n"/>
      <c r="E403" s="51" t="n"/>
      <c r="F403" s="51" t="n"/>
      <c r="G403" s="51" t="n"/>
      <c r="H403" s="51" t="n"/>
      <c r="I403" s="51" t="n"/>
      <c r="J403" s="51" t="n"/>
    </row>
    <row r="404">
      <c r="B404" s="51" t="n"/>
      <c r="C404" s="51" t="n"/>
      <c r="D404" s="51" t="n"/>
      <c r="E404" s="51" t="n"/>
      <c r="F404" s="51" t="n"/>
      <c r="G404" s="51" t="n"/>
      <c r="H404" s="51" t="n"/>
      <c r="I404" s="51" t="n"/>
      <c r="J404" s="51" t="n"/>
    </row>
    <row r="405">
      <c r="B405" s="51" t="n"/>
      <c r="C405" s="51" t="n"/>
      <c r="D405" s="51" t="n"/>
      <c r="E405" s="51" t="n"/>
      <c r="F405" s="51" t="n"/>
      <c r="G405" s="51" t="n"/>
      <c r="H405" s="51" t="n"/>
      <c r="I405" s="51" t="n"/>
      <c r="J405" s="51" t="n"/>
    </row>
    <row r="406">
      <c r="B406" s="51" t="n"/>
      <c r="C406" s="51" t="n"/>
      <c r="D406" s="51" t="n"/>
      <c r="E406" s="51" t="n"/>
      <c r="F406" s="51" t="n"/>
      <c r="G406" s="51" t="n"/>
      <c r="H406" s="51" t="n"/>
      <c r="I406" s="51" t="n"/>
      <c r="J406" s="51" t="n"/>
    </row>
    <row r="407">
      <c r="B407" s="51" t="n"/>
      <c r="C407" s="51" t="n"/>
      <c r="D407" s="51" t="n"/>
      <c r="E407" s="51" t="n"/>
      <c r="F407" s="51" t="n"/>
      <c r="G407" s="51" t="n"/>
      <c r="H407" s="51" t="n"/>
      <c r="I407" s="51" t="n"/>
      <c r="J407" s="51" t="n"/>
    </row>
    <row r="408">
      <c r="B408" s="51" t="n"/>
      <c r="C408" s="51" t="n"/>
      <c r="D408" s="51" t="n"/>
      <c r="E408" s="51" t="n"/>
      <c r="F408" s="51" t="n"/>
      <c r="G408" s="51" t="n"/>
      <c r="H408" s="51" t="n"/>
      <c r="I408" s="51" t="n"/>
      <c r="J408" s="51" t="n"/>
    </row>
    <row r="409">
      <c r="B409" s="51" t="n"/>
      <c r="C409" s="51" t="n"/>
      <c r="D409" s="51" t="n"/>
      <c r="E409" s="51" t="n"/>
      <c r="F409" s="51" t="n"/>
      <c r="G409" s="51" t="n"/>
      <c r="H409" s="51" t="n"/>
      <c r="I409" s="51" t="n"/>
      <c r="J409" s="51" t="n"/>
    </row>
    <row r="410">
      <c r="B410" s="51" t="n"/>
      <c r="C410" s="51" t="n"/>
      <c r="D410" s="51" t="n"/>
      <c r="E410" s="51" t="n"/>
      <c r="F410" s="51" t="n"/>
      <c r="G410" s="51" t="n"/>
      <c r="H410" s="51" t="n"/>
      <c r="I410" s="51" t="n"/>
      <c r="J410" s="51" t="n"/>
    </row>
    <row r="411">
      <c r="B411" s="51" t="n"/>
      <c r="C411" s="51" t="n"/>
      <c r="D411" s="51" t="n"/>
      <c r="E411" s="51" t="n"/>
      <c r="F411" s="51" t="n"/>
      <c r="G411" s="51" t="n"/>
      <c r="H411" s="51" t="n"/>
      <c r="I411" s="51" t="n"/>
      <c r="J411" s="51" t="n"/>
    </row>
    <row r="412">
      <c r="B412" s="51" t="n"/>
      <c r="C412" s="51" t="n"/>
      <c r="D412" s="51" t="n"/>
      <c r="E412" s="51" t="n"/>
      <c r="F412" s="51" t="n"/>
      <c r="G412" s="51" t="n"/>
      <c r="H412" s="51" t="n"/>
      <c r="I412" s="51" t="n"/>
      <c r="J412" s="51" t="n"/>
    </row>
    <row r="413">
      <c r="B413" s="51" t="n"/>
      <c r="C413" s="51" t="n"/>
      <c r="D413" s="51" t="n"/>
      <c r="E413" s="51" t="n"/>
      <c r="F413" s="51" t="n"/>
      <c r="G413" s="51" t="n"/>
      <c r="H413" s="51" t="n"/>
      <c r="I413" s="51" t="n"/>
      <c r="J413" s="51" t="n"/>
    </row>
    <row r="414">
      <c r="B414" s="51" t="n"/>
      <c r="C414" s="51" t="n"/>
      <c r="D414" s="51" t="n"/>
      <c r="E414" s="51" t="n"/>
      <c r="F414" s="51" t="n"/>
      <c r="G414" s="51" t="n"/>
      <c r="H414" s="51" t="n"/>
      <c r="I414" s="51" t="n"/>
      <c r="J414" s="51" t="n"/>
    </row>
    <row r="415">
      <c r="B415" s="51" t="n"/>
      <c r="C415" s="51" t="n"/>
      <c r="D415" s="51" t="n"/>
      <c r="E415" s="51" t="n"/>
      <c r="F415" s="51" t="n"/>
      <c r="G415" s="51" t="n"/>
      <c r="H415" s="51" t="n"/>
      <c r="I415" s="51" t="n"/>
      <c r="J415" s="51" t="n"/>
    </row>
    <row r="416">
      <c r="B416" s="51" t="n"/>
      <c r="C416" s="51" t="n"/>
      <c r="D416" s="51" t="n"/>
      <c r="E416" s="51" t="n"/>
      <c r="F416" s="51" t="n"/>
      <c r="G416" s="51" t="n"/>
      <c r="H416" s="51" t="n"/>
      <c r="I416" s="51" t="n"/>
      <c r="J416" s="51" t="n"/>
    </row>
    <row r="417">
      <c r="B417" s="51" t="n"/>
      <c r="C417" s="51" t="n"/>
      <c r="D417" s="51" t="n"/>
      <c r="E417" s="51" t="n"/>
      <c r="F417" s="51" t="n"/>
      <c r="G417" s="51" t="n"/>
      <c r="H417" s="51" t="n"/>
      <c r="I417" s="51" t="n"/>
      <c r="J417" s="51" t="n"/>
    </row>
    <row r="418">
      <c r="B418" s="51" t="n"/>
      <c r="C418" s="51" t="n"/>
      <c r="D418" s="51" t="n"/>
      <c r="E418" s="51" t="n"/>
      <c r="F418" s="51" t="n"/>
      <c r="G418" s="51" t="n"/>
      <c r="H418" s="51" t="n"/>
      <c r="I418" s="51" t="n"/>
      <c r="J418" s="51" t="n"/>
    </row>
    <row r="419">
      <c r="B419" s="51" t="n"/>
      <c r="C419" s="51" t="n"/>
      <c r="D419" s="51" t="n"/>
      <c r="E419" s="51" t="n"/>
      <c r="F419" s="51" t="n"/>
      <c r="G419" s="51" t="n"/>
      <c r="H419" s="51" t="n"/>
      <c r="I419" s="51" t="n"/>
      <c r="J419" s="51" t="n"/>
    </row>
    <row r="420">
      <c r="B420" s="51" t="n"/>
      <c r="C420" s="51" t="n"/>
      <c r="D420" s="51" t="n"/>
      <c r="E420" s="51" t="n"/>
      <c r="F420" s="51" t="n"/>
      <c r="G420" s="51" t="n"/>
      <c r="H420" s="51" t="n"/>
      <c r="I420" s="51" t="n"/>
      <c r="J420" s="51" t="n"/>
    </row>
    <row r="421">
      <c r="B421" s="51" t="n"/>
      <c r="C421" s="51" t="n"/>
      <c r="D421" s="51" t="n"/>
      <c r="E421" s="51" t="n"/>
      <c r="F421" s="51" t="n"/>
      <c r="G421" s="51" t="n"/>
      <c r="H421" s="51" t="n"/>
      <c r="I421" s="51" t="n"/>
      <c r="J421" s="51" t="n"/>
    </row>
    <row r="422">
      <c r="B422" s="51" t="n"/>
      <c r="C422" s="51" t="n"/>
      <c r="D422" s="51" t="n"/>
      <c r="E422" s="51" t="n"/>
      <c r="F422" s="51" t="n"/>
      <c r="G422" s="51" t="n"/>
      <c r="H422" s="51" t="n"/>
      <c r="I422" s="51" t="n"/>
      <c r="J422" s="51" t="n"/>
    </row>
    <row r="423">
      <c r="B423" s="51" t="n"/>
      <c r="C423" s="51" t="n"/>
      <c r="D423" s="51" t="n"/>
      <c r="E423" s="51" t="n"/>
      <c r="F423" s="51" t="n"/>
      <c r="G423" s="51" t="n"/>
      <c r="H423" s="51" t="n"/>
      <c r="I423" s="51" t="n"/>
      <c r="J423" s="51" t="n"/>
    </row>
    <row r="424">
      <c r="B424" s="51" t="n"/>
      <c r="C424" s="51" t="n"/>
      <c r="D424" s="51" t="n"/>
      <c r="E424" s="51" t="n"/>
      <c r="F424" s="51" t="n"/>
      <c r="G424" s="51" t="n"/>
      <c r="H424" s="51" t="n"/>
      <c r="I424" s="51" t="n"/>
      <c r="J424" s="51" t="n"/>
    </row>
    <row r="425">
      <c r="B425" s="51" t="n"/>
      <c r="C425" s="51" t="n"/>
      <c r="D425" s="51" t="n"/>
      <c r="E425" s="51" t="n"/>
      <c r="F425" s="51" t="n"/>
      <c r="G425" s="51" t="n"/>
      <c r="H425" s="51" t="n"/>
      <c r="I425" s="51" t="n"/>
      <c r="J425" s="51" t="n"/>
    </row>
    <row r="426">
      <c r="B426" s="51" t="n"/>
      <c r="C426" s="51" t="n"/>
      <c r="D426" s="51" t="n"/>
      <c r="E426" s="51" t="n"/>
      <c r="F426" s="51" t="n"/>
      <c r="G426" s="51" t="n"/>
      <c r="H426" s="51" t="n"/>
      <c r="I426" s="51" t="n"/>
      <c r="J426" s="51" t="n"/>
    </row>
    <row r="427">
      <c r="B427" s="51" t="n"/>
      <c r="C427" s="51" t="n"/>
      <c r="D427" s="51" t="n"/>
      <c r="E427" s="51" t="n"/>
      <c r="F427" s="51" t="n"/>
      <c r="G427" s="51" t="n"/>
      <c r="H427" s="51" t="n"/>
      <c r="I427" s="51" t="n"/>
      <c r="J427" s="51" t="n"/>
    </row>
    <row r="428">
      <c r="B428" s="51" t="n"/>
      <c r="C428" s="51" t="n"/>
      <c r="D428" s="51" t="n"/>
      <c r="E428" s="51" t="n"/>
      <c r="F428" s="51" t="n"/>
      <c r="G428" s="51" t="n"/>
      <c r="H428" s="51" t="n"/>
      <c r="I428" s="51" t="n"/>
      <c r="J428" s="51" t="n"/>
    </row>
    <row r="429">
      <c r="B429" s="51" t="n"/>
      <c r="C429" s="51" t="n"/>
      <c r="D429" s="51" t="n"/>
      <c r="E429" s="51" t="n"/>
      <c r="F429" s="51" t="n"/>
      <c r="G429" s="51" t="n"/>
      <c r="H429" s="51" t="n"/>
      <c r="I429" s="51" t="n"/>
      <c r="J429" s="51" t="n"/>
    </row>
    <row r="430">
      <c r="B430" s="51" t="n"/>
      <c r="C430" s="51" t="n"/>
      <c r="D430" s="51" t="n"/>
      <c r="E430" s="51" t="n"/>
      <c r="F430" s="51" t="n"/>
      <c r="G430" s="51" t="n"/>
      <c r="H430" s="51" t="n"/>
      <c r="I430" s="51" t="n"/>
      <c r="J430" s="51" t="n"/>
    </row>
    <row r="431">
      <c r="B431" s="51" t="n"/>
      <c r="C431" s="51" t="n"/>
      <c r="D431" s="51" t="n"/>
      <c r="E431" s="51" t="n"/>
      <c r="F431" s="51" t="n"/>
      <c r="G431" s="51" t="n"/>
      <c r="H431" s="51" t="n"/>
      <c r="I431" s="51" t="n"/>
      <c r="J431" s="51" t="n"/>
    </row>
    <row r="432">
      <c r="B432" s="51" t="n"/>
      <c r="C432" s="51" t="n"/>
      <c r="D432" s="51" t="n"/>
      <c r="E432" s="51" t="n"/>
      <c r="F432" s="51" t="n"/>
      <c r="G432" s="51" t="n"/>
      <c r="H432" s="51" t="n"/>
      <c r="I432" s="51" t="n"/>
      <c r="J432" s="51" t="n"/>
    </row>
    <row r="433">
      <c r="B433" s="51" t="n"/>
      <c r="C433" s="51" t="n"/>
      <c r="D433" s="51" t="n"/>
      <c r="E433" s="51" t="n"/>
      <c r="F433" s="51" t="n"/>
      <c r="G433" s="51" t="n"/>
      <c r="H433" s="51" t="n"/>
      <c r="I433" s="51" t="n"/>
      <c r="J433" s="51" t="n"/>
    </row>
    <row r="434">
      <c r="B434" s="51" t="n"/>
      <c r="C434" s="51" t="n"/>
      <c r="D434" s="51" t="n"/>
      <c r="E434" s="51" t="n"/>
      <c r="F434" s="51" t="n"/>
      <c r="G434" s="51" t="n"/>
      <c r="H434" s="51" t="n"/>
      <c r="I434" s="51" t="n"/>
      <c r="J434" s="51" t="n"/>
    </row>
    <row r="435">
      <c r="B435" s="51" t="n"/>
      <c r="C435" s="51" t="n"/>
      <c r="D435" s="51" t="n"/>
      <c r="E435" s="51" t="n"/>
      <c r="F435" s="51" t="n"/>
      <c r="G435" s="51" t="n"/>
      <c r="H435" s="51" t="n"/>
      <c r="I435" s="51" t="n"/>
      <c r="J435" s="51" t="n"/>
    </row>
    <row r="436">
      <c r="B436" s="51" t="n"/>
      <c r="C436" s="51" t="n"/>
      <c r="D436" s="51" t="n"/>
      <c r="E436" s="51" t="n"/>
      <c r="F436" s="51" t="n"/>
      <c r="G436" s="51" t="n"/>
      <c r="H436" s="51" t="n"/>
      <c r="I436" s="51" t="n"/>
      <c r="J436" s="51" t="n"/>
    </row>
    <row r="437">
      <c r="B437" s="51" t="n"/>
      <c r="C437" s="51" t="n"/>
      <c r="D437" s="51" t="n"/>
      <c r="E437" s="51" t="n"/>
      <c r="F437" s="51" t="n"/>
      <c r="G437" s="51" t="n"/>
      <c r="H437" s="51" t="n"/>
      <c r="I437" s="51" t="n"/>
      <c r="J437" s="51" t="n"/>
    </row>
    <row r="438">
      <c r="B438" s="51" t="n"/>
      <c r="C438" s="51" t="n"/>
      <c r="D438" s="51" t="n"/>
      <c r="E438" s="51" t="n"/>
      <c r="F438" s="51" t="n"/>
      <c r="G438" s="51" t="n"/>
      <c r="H438" s="51" t="n"/>
      <c r="I438" s="51" t="n"/>
      <c r="J438" s="51" t="n"/>
    </row>
    <row r="439">
      <c r="B439" s="51" t="n"/>
      <c r="C439" s="51" t="n"/>
      <c r="D439" s="51" t="n"/>
      <c r="E439" s="51" t="n"/>
      <c r="F439" s="51" t="n"/>
      <c r="G439" s="51" t="n"/>
      <c r="H439" s="51" t="n"/>
      <c r="I439" s="51" t="n"/>
      <c r="J439" s="51" t="n"/>
    </row>
    <row r="440">
      <c r="B440" s="51" t="n"/>
      <c r="C440" s="51" t="n"/>
      <c r="D440" s="51" t="n"/>
      <c r="E440" s="51" t="n"/>
      <c r="F440" s="51" t="n"/>
      <c r="G440" s="51" t="n"/>
      <c r="H440" s="51" t="n"/>
      <c r="I440" s="51" t="n"/>
      <c r="J440" s="51" t="n"/>
    </row>
    <row r="441">
      <c r="B441" s="51" t="n"/>
      <c r="C441" s="51" t="n"/>
      <c r="D441" s="51" t="n"/>
      <c r="E441" s="51" t="n"/>
      <c r="F441" s="51" t="n"/>
      <c r="G441" s="51" t="n"/>
      <c r="H441" s="51" t="n"/>
      <c r="I441" s="51" t="n"/>
      <c r="J441" s="51" t="n"/>
    </row>
    <row r="442">
      <c r="B442" s="51" t="n"/>
      <c r="C442" s="51" t="n"/>
      <c r="D442" s="51" t="n"/>
      <c r="E442" s="51" t="n"/>
      <c r="F442" s="51" t="n"/>
      <c r="G442" s="51" t="n"/>
      <c r="H442" s="51" t="n"/>
      <c r="I442" s="51" t="n"/>
      <c r="J442" s="51" t="n"/>
    </row>
    <row r="443">
      <c r="B443" s="51" t="n"/>
      <c r="C443" s="51" t="n"/>
      <c r="D443" s="51" t="n"/>
      <c r="E443" s="51" t="n"/>
      <c r="F443" s="51" t="n"/>
      <c r="G443" s="51" t="n"/>
      <c r="H443" s="51" t="n"/>
      <c r="I443" s="51" t="n"/>
      <c r="J443" s="51" t="n"/>
    </row>
    <row r="444">
      <c r="B444" s="51" t="n"/>
      <c r="C444" s="51" t="n"/>
      <c r="D444" s="51" t="n"/>
      <c r="E444" s="51" t="n"/>
      <c r="F444" s="51" t="n"/>
      <c r="G444" s="51" t="n"/>
      <c r="H444" s="51" t="n"/>
      <c r="I444" s="51" t="n"/>
      <c r="J444" s="51" t="n"/>
    </row>
    <row r="445">
      <c r="B445" s="51" t="n"/>
      <c r="C445" s="51" t="n"/>
      <c r="D445" s="51" t="n"/>
      <c r="E445" s="51" t="n"/>
      <c r="F445" s="51" t="n"/>
      <c r="G445" s="51" t="n"/>
      <c r="H445" s="51" t="n"/>
      <c r="I445" s="51" t="n"/>
      <c r="J445" s="51" t="n"/>
    </row>
    <row r="446">
      <c r="B446" s="51" t="n"/>
      <c r="C446" s="51" t="n"/>
      <c r="D446" s="51" t="n"/>
      <c r="E446" s="51" t="n"/>
      <c r="F446" s="51" t="n"/>
      <c r="G446" s="51" t="n"/>
      <c r="H446" s="51" t="n"/>
      <c r="I446" s="51" t="n"/>
      <c r="J446" s="51" t="n"/>
    </row>
    <row r="447">
      <c r="B447" s="51" t="n"/>
      <c r="C447" s="51" t="n"/>
      <c r="D447" s="51" t="n"/>
      <c r="E447" s="51" t="n"/>
      <c r="F447" s="51" t="n"/>
      <c r="G447" s="51" t="n"/>
      <c r="H447" s="51" t="n"/>
      <c r="I447" s="51" t="n"/>
      <c r="J447" s="51" t="n"/>
    </row>
    <row r="448">
      <c r="B448" s="51" t="n"/>
      <c r="C448" s="51" t="n"/>
      <c r="D448" s="51" t="n"/>
      <c r="E448" s="51" t="n"/>
      <c r="F448" s="51" t="n"/>
      <c r="G448" s="51" t="n"/>
      <c r="H448" s="51" t="n"/>
      <c r="I448" s="51" t="n"/>
      <c r="J448" s="51" t="n"/>
    </row>
    <row r="449">
      <c r="B449" s="51" t="n"/>
      <c r="C449" s="51" t="n"/>
      <c r="D449" s="51" t="n"/>
      <c r="E449" s="51" t="n"/>
      <c r="F449" s="51" t="n"/>
      <c r="G449" s="51" t="n"/>
      <c r="H449" s="51" t="n"/>
      <c r="I449" s="51" t="n"/>
      <c r="J449" s="51" t="n"/>
    </row>
    <row r="450">
      <c r="B450" s="51" t="n"/>
      <c r="C450" s="51" t="n"/>
      <c r="D450" s="51" t="n"/>
      <c r="E450" s="51" t="n"/>
      <c r="F450" s="51" t="n"/>
      <c r="G450" s="51" t="n"/>
      <c r="H450" s="51" t="n"/>
      <c r="I450" s="51" t="n"/>
      <c r="J450" s="51" t="n"/>
    </row>
    <row r="451">
      <c r="B451" s="51" t="n"/>
      <c r="C451" s="51" t="n"/>
      <c r="D451" s="51" t="n"/>
      <c r="E451" s="51" t="n"/>
      <c r="F451" s="51" t="n"/>
      <c r="G451" s="51" t="n"/>
      <c r="H451" s="51" t="n"/>
      <c r="I451" s="51" t="n"/>
      <c r="J451" s="51" t="n"/>
    </row>
    <row r="452">
      <c r="B452" s="51" t="n"/>
      <c r="C452" s="51" t="n"/>
      <c r="D452" s="51" t="n"/>
      <c r="E452" s="51" t="n"/>
      <c r="F452" s="51" t="n"/>
      <c r="G452" s="51" t="n"/>
      <c r="H452" s="51" t="n"/>
      <c r="I452" s="51" t="n"/>
      <c r="J452" s="51" t="n"/>
    </row>
    <row r="453">
      <c r="B453" s="51" t="n"/>
      <c r="C453" s="51" t="n"/>
      <c r="D453" s="51" t="n"/>
      <c r="E453" s="51" t="n"/>
      <c r="F453" s="51" t="n"/>
      <c r="G453" s="51" t="n"/>
      <c r="H453" s="51" t="n"/>
      <c r="I453" s="51" t="n"/>
      <c r="J453" s="51" t="n"/>
    </row>
    <row r="454">
      <c r="B454" s="51" t="n"/>
      <c r="C454" s="51" t="n"/>
      <c r="D454" s="51" t="n"/>
      <c r="E454" s="51" t="n"/>
      <c r="F454" s="51" t="n"/>
      <c r="G454" s="51" t="n"/>
      <c r="H454" s="51" t="n"/>
      <c r="I454" s="51" t="n"/>
      <c r="J454" s="51" t="n"/>
    </row>
    <row r="455">
      <c r="B455" s="51" t="n"/>
      <c r="C455" s="51" t="n"/>
      <c r="D455" s="51" t="n"/>
      <c r="E455" s="51" t="n"/>
      <c r="F455" s="51" t="n"/>
      <c r="G455" s="51" t="n"/>
      <c r="H455" s="51" t="n"/>
      <c r="I455" s="51" t="n"/>
      <c r="J455" s="51" t="n"/>
    </row>
    <row r="456">
      <c r="B456" s="51" t="n"/>
      <c r="C456" s="51" t="n"/>
      <c r="D456" s="51" t="n"/>
      <c r="E456" s="51" t="n"/>
      <c r="F456" s="51" t="n"/>
      <c r="G456" s="51" t="n"/>
      <c r="H456" s="51" t="n"/>
      <c r="I456" s="51" t="n"/>
      <c r="J456" s="51" t="n"/>
    </row>
    <row r="457">
      <c r="B457" s="51" t="n"/>
      <c r="C457" s="51" t="n"/>
      <c r="D457" s="51" t="n"/>
      <c r="E457" s="51" t="n"/>
      <c r="F457" s="51" t="n"/>
      <c r="G457" s="51" t="n"/>
      <c r="H457" s="51" t="n"/>
      <c r="I457" s="51" t="n"/>
      <c r="J457" s="51" t="n"/>
    </row>
    <row r="458">
      <c r="B458" s="51" t="n"/>
      <c r="C458" s="51" t="n"/>
      <c r="D458" s="51" t="n"/>
      <c r="E458" s="51" t="n"/>
      <c r="F458" s="51" t="n"/>
      <c r="G458" s="51" t="n"/>
      <c r="H458" s="51" t="n"/>
      <c r="I458" s="51" t="n"/>
      <c r="J458" s="51" t="n"/>
    </row>
    <row r="459">
      <c r="B459" s="51" t="n"/>
      <c r="C459" s="51" t="n"/>
      <c r="D459" s="51" t="n"/>
      <c r="E459" s="51" t="n"/>
      <c r="F459" s="51" t="n"/>
      <c r="G459" s="51" t="n"/>
      <c r="H459" s="51" t="n"/>
      <c r="I459" s="51" t="n"/>
      <c r="J459" s="51" t="n"/>
    </row>
    <row r="460">
      <c r="B460" s="51" t="n"/>
      <c r="C460" s="51" t="n"/>
      <c r="D460" s="51" t="n"/>
      <c r="E460" s="51" t="n"/>
      <c r="F460" s="51" t="n"/>
      <c r="G460" s="51" t="n"/>
      <c r="H460" s="51" t="n"/>
      <c r="I460" s="51" t="n"/>
      <c r="J460" s="51" t="n"/>
    </row>
    <row r="461">
      <c r="B461" s="51" t="n"/>
      <c r="C461" s="51" t="n"/>
      <c r="D461" s="51" t="n"/>
      <c r="E461" s="51" t="n"/>
      <c r="F461" s="51" t="n"/>
      <c r="G461" s="51" t="n"/>
      <c r="H461" s="51" t="n"/>
      <c r="I461" s="51" t="n"/>
      <c r="J461" s="51" t="n"/>
    </row>
    <row r="462">
      <c r="B462" s="51" t="n"/>
      <c r="C462" s="51" t="n"/>
      <c r="D462" s="51" t="n"/>
      <c r="E462" s="51" t="n"/>
      <c r="F462" s="51" t="n"/>
      <c r="G462" s="51" t="n"/>
      <c r="H462" s="51" t="n"/>
      <c r="I462" s="51" t="n"/>
      <c r="J462" s="51" t="n"/>
    </row>
    <row r="463">
      <c r="B463" s="51" t="n"/>
      <c r="C463" s="51" t="n"/>
      <c r="D463" s="51" t="n"/>
      <c r="E463" s="51" t="n"/>
      <c r="F463" s="51" t="n"/>
      <c r="G463" s="51" t="n"/>
      <c r="H463" s="51" t="n"/>
      <c r="I463" s="51" t="n"/>
      <c r="J463" s="51" t="n"/>
    </row>
    <row r="464">
      <c r="B464" s="51" t="n"/>
      <c r="C464" s="51" t="n"/>
      <c r="D464" s="51" t="n"/>
      <c r="E464" s="51" t="n"/>
      <c r="F464" s="51" t="n"/>
      <c r="G464" s="51" t="n"/>
      <c r="H464" s="51" t="n"/>
      <c r="I464" s="51" t="n"/>
      <c r="J464" s="51" t="n"/>
    </row>
    <row r="465">
      <c r="B465" s="51" t="n"/>
      <c r="C465" s="51" t="n"/>
      <c r="D465" s="51" t="n"/>
      <c r="E465" s="51" t="n"/>
      <c r="F465" s="51" t="n"/>
      <c r="G465" s="51" t="n"/>
      <c r="H465" s="51" t="n"/>
      <c r="I465" s="51" t="n"/>
      <c r="J465" s="51" t="n"/>
    </row>
    <row r="466">
      <c r="B466" s="51" t="n"/>
      <c r="C466" s="51" t="n"/>
      <c r="D466" s="51" t="n"/>
      <c r="E466" s="51" t="n"/>
      <c r="F466" s="51" t="n"/>
      <c r="G466" s="51" t="n"/>
      <c r="H466" s="51" t="n"/>
      <c r="I466" s="51" t="n"/>
      <c r="J466" s="51" t="n"/>
    </row>
    <row r="467">
      <c r="B467" s="51" t="n"/>
      <c r="C467" s="51" t="n"/>
      <c r="D467" s="51" t="n"/>
      <c r="E467" s="51" t="n"/>
      <c r="F467" s="51" t="n"/>
      <c r="G467" s="51" t="n"/>
      <c r="H467" s="51" t="n"/>
      <c r="I467" s="51" t="n"/>
      <c r="J467" s="51" t="n"/>
    </row>
    <row r="468">
      <c r="B468" s="51" t="n"/>
      <c r="C468" s="51" t="n"/>
      <c r="D468" s="51" t="n"/>
      <c r="E468" s="51" t="n"/>
      <c r="F468" s="51" t="n"/>
      <c r="G468" s="51" t="n"/>
      <c r="H468" s="51" t="n"/>
      <c r="I468" s="51" t="n"/>
      <c r="J468" s="51" t="n"/>
    </row>
    <row r="469">
      <c r="B469" s="51" t="n"/>
      <c r="C469" s="51" t="n"/>
      <c r="D469" s="51" t="n"/>
      <c r="E469" s="51" t="n"/>
      <c r="F469" s="51" t="n"/>
      <c r="G469" s="51" t="n"/>
      <c r="H469" s="51" t="n"/>
      <c r="I469" s="51" t="n"/>
      <c r="J469" s="51" t="n"/>
    </row>
    <row r="470">
      <c r="B470" s="51" t="n"/>
      <c r="C470" s="51" t="n"/>
      <c r="D470" s="51" t="n"/>
      <c r="E470" s="51" t="n"/>
      <c r="F470" s="51" t="n"/>
      <c r="G470" s="51" t="n"/>
      <c r="H470" s="51" t="n"/>
      <c r="I470" s="51" t="n"/>
      <c r="J470" s="51" t="n"/>
    </row>
    <row r="471">
      <c r="B471" s="51" t="n"/>
      <c r="C471" s="51" t="n"/>
      <c r="D471" s="51" t="n"/>
      <c r="E471" s="51" t="n"/>
      <c r="F471" s="51" t="n"/>
      <c r="G471" s="51" t="n"/>
      <c r="H471" s="51" t="n"/>
      <c r="I471" s="51" t="n"/>
      <c r="J471" s="51" t="n"/>
    </row>
    <row r="472">
      <c r="B472" s="51" t="n"/>
      <c r="C472" s="51" t="n"/>
      <c r="D472" s="51" t="n"/>
      <c r="E472" s="51" t="n"/>
      <c r="F472" s="51" t="n"/>
      <c r="G472" s="51" t="n"/>
      <c r="H472" s="51" t="n"/>
      <c r="I472" s="51" t="n"/>
      <c r="J472" s="51" t="n"/>
    </row>
    <row r="473">
      <c r="B473" s="51" t="n"/>
      <c r="C473" s="51" t="n"/>
      <c r="D473" s="51" t="n"/>
      <c r="E473" s="51" t="n"/>
      <c r="F473" s="51" t="n"/>
      <c r="G473" s="51" t="n"/>
      <c r="H473" s="51" t="n"/>
      <c r="I473" s="51" t="n"/>
      <c r="J473" s="51" t="n"/>
    </row>
    <row r="474">
      <c r="B474" s="51" t="n"/>
      <c r="C474" s="51" t="n"/>
      <c r="D474" s="51" t="n"/>
      <c r="E474" s="51" t="n"/>
      <c r="F474" s="51" t="n"/>
      <c r="G474" s="51" t="n"/>
      <c r="H474" s="51" t="n"/>
      <c r="I474" s="51" t="n"/>
      <c r="J474" s="51" t="n"/>
    </row>
    <row r="475">
      <c r="B475" s="51" t="n"/>
      <c r="C475" s="51" t="n"/>
      <c r="D475" s="51" t="n"/>
      <c r="E475" s="51" t="n"/>
      <c r="F475" s="51" t="n"/>
      <c r="G475" s="51" t="n"/>
      <c r="H475" s="51" t="n"/>
      <c r="I475" s="51" t="n"/>
      <c r="J475" s="51" t="n"/>
    </row>
    <row r="476">
      <c r="B476" s="51" t="n"/>
      <c r="C476" s="51" t="n"/>
      <c r="D476" s="51" t="n"/>
      <c r="E476" s="51" t="n"/>
      <c r="F476" s="51" t="n"/>
      <c r="G476" s="51" t="n"/>
      <c r="H476" s="51" t="n"/>
      <c r="I476" s="51" t="n"/>
      <c r="J476" s="51" t="n"/>
    </row>
    <row r="477">
      <c r="B477" s="51" t="n"/>
      <c r="C477" s="51" t="n"/>
      <c r="D477" s="51" t="n"/>
      <c r="E477" s="51" t="n"/>
      <c r="F477" s="51" t="n"/>
      <c r="G477" s="51" t="n"/>
      <c r="H477" s="51" t="n"/>
      <c r="I477" s="51" t="n"/>
      <c r="J477" s="51" t="n"/>
    </row>
    <row r="478">
      <c r="B478" s="51" t="n"/>
      <c r="C478" s="51" t="n"/>
      <c r="D478" s="51" t="n"/>
      <c r="E478" s="51" t="n"/>
      <c r="F478" s="51" t="n"/>
      <c r="G478" s="51" t="n"/>
      <c r="H478" s="51" t="n"/>
      <c r="I478" s="51" t="n"/>
      <c r="J478" s="51" t="n"/>
    </row>
    <row r="479">
      <c r="B479" s="51" t="n"/>
      <c r="C479" s="51" t="n"/>
      <c r="D479" s="51" t="n"/>
      <c r="E479" s="51" t="n"/>
      <c r="F479" s="51" t="n"/>
      <c r="G479" s="51" t="n"/>
      <c r="H479" s="51" t="n"/>
      <c r="I479" s="51" t="n"/>
      <c r="J479" s="51" t="n"/>
    </row>
    <row r="480">
      <c r="B480" s="51" t="n"/>
      <c r="C480" s="51" t="n"/>
      <c r="D480" s="51" t="n"/>
      <c r="E480" s="51" t="n"/>
      <c r="F480" s="51" t="n"/>
      <c r="G480" s="51" t="n"/>
      <c r="H480" s="51" t="n"/>
      <c r="I480" s="51" t="n"/>
      <c r="J480" s="51" t="n"/>
    </row>
    <row r="481">
      <c r="B481" s="51" t="n"/>
      <c r="C481" s="51" t="n"/>
      <c r="D481" s="51" t="n"/>
      <c r="E481" s="51" t="n"/>
      <c r="F481" s="51" t="n"/>
      <c r="G481" s="51" t="n"/>
      <c r="H481" s="51" t="n"/>
      <c r="I481" s="51" t="n"/>
      <c r="J481" s="51" t="n"/>
    </row>
    <row r="482">
      <c r="B482" s="51" t="n"/>
      <c r="C482" s="51" t="n"/>
      <c r="D482" s="51" t="n"/>
      <c r="E482" s="51" t="n"/>
      <c r="F482" s="51" t="n"/>
      <c r="G482" s="51" t="n"/>
      <c r="H482" s="51" t="n"/>
      <c r="I482" s="51" t="n"/>
      <c r="J482" s="51" t="n"/>
    </row>
    <row r="483">
      <c r="B483" s="51" t="n"/>
      <c r="C483" s="51" t="n"/>
      <c r="D483" s="51" t="n"/>
      <c r="E483" s="51" t="n"/>
      <c r="F483" s="51" t="n"/>
      <c r="G483" s="51" t="n"/>
      <c r="H483" s="51" t="n"/>
      <c r="I483" s="51" t="n"/>
      <c r="J483" s="51" t="n"/>
    </row>
    <row r="484">
      <c r="B484" s="51" t="n"/>
      <c r="C484" s="51" t="n"/>
      <c r="D484" s="51" t="n"/>
      <c r="E484" s="51" t="n"/>
      <c r="F484" s="51" t="n"/>
      <c r="G484" s="51" t="n"/>
      <c r="H484" s="51" t="n"/>
      <c r="I484" s="51" t="n"/>
      <c r="J484" s="51" t="n"/>
    </row>
    <row r="485">
      <c r="B485" s="51" t="n"/>
      <c r="C485" s="51" t="n"/>
      <c r="D485" s="51" t="n"/>
      <c r="E485" s="51" t="n"/>
      <c r="F485" s="51" t="n"/>
      <c r="G485" s="51" t="n"/>
      <c r="H485" s="51" t="n"/>
      <c r="I485" s="51" t="n"/>
      <c r="J485" s="51" t="n"/>
    </row>
    <row r="486">
      <c r="B486" s="51" t="n"/>
      <c r="C486" s="51" t="n"/>
      <c r="D486" s="51" t="n"/>
      <c r="E486" s="51" t="n"/>
      <c r="F486" s="51" t="n"/>
      <c r="G486" s="51" t="n"/>
      <c r="H486" s="51" t="n"/>
      <c r="I486" s="51" t="n"/>
      <c r="J486" s="51" t="n"/>
    </row>
    <row r="487">
      <c r="B487" s="51" t="n"/>
      <c r="C487" s="51" t="n"/>
      <c r="D487" s="51" t="n"/>
      <c r="E487" s="51" t="n"/>
      <c r="F487" s="51" t="n"/>
      <c r="G487" s="51" t="n"/>
      <c r="H487" s="51" t="n"/>
      <c r="I487" s="51" t="n"/>
      <c r="J487" s="51" t="n"/>
    </row>
    <row r="488">
      <c r="B488" s="51" t="n"/>
      <c r="C488" s="51" t="n"/>
      <c r="D488" s="51" t="n"/>
      <c r="E488" s="51" t="n"/>
      <c r="F488" s="51" t="n"/>
      <c r="G488" s="51" t="n"/>
      <c r="H488" s="51" t="n"/>
      <c r="I488" s="51" t="n"/>
      <c r="J488" s="51" t="n"/>
    </row>
    <row r="489">
      <c r="B489" s="51" t="n"/>
      <c r="C489" s="51" t="n"/>
      <c r="D489" s="51" t="n"/>
      <c r="E489" s="51" t="n"/>
      <c r="F489" s="51" t="n"/>
      <c r="G489" s="51" t="n"/>
      <c r="H489" s="51" t="n"/>
      <c r="I489" s="51" t="n"/>
      <c r="J489" s="51" t="n"/>
    </row>
    <row r="490">
      <c r="B490" s="51" t="n"/>
      <c r="C490" s="51" t="n"/>
      <c r="D490" s="51" t="n"/>
      <c r="E490" s="51" t="n"/>
      <c r="F490" s="51" t="n"/>
      <c r="G490" s="51" t="n"/>
      <c r="H490" s="51" t="n"/>
      <c r="I490" s="51" t="n"/>
      <c r="J490" s="51" t="n"/>
    </row>
    <row r="491">
      <c r="B491" s="51" t="n"/>
      <c r="C491" s="51" t="n"/>
      <c r="D491" s="51" t="n"/>
      <c r="E491" s="51" t="n"/>
      <c r="F491" s="51" t="n"/>
      <c r="G491" s="51" t="n"/>
      <c r="H491" s="51" t="n"/>
      <c r="I491" s="51" t="n"/>
      <c r="J491" s="51" t="n"/>
    </row>
    <row r="492">
      <c r="B492" s="51" t="n"/>
      <c r="C492" s="51" t="n"/>
      <c r="D492" s="51" t="n"/>
      <c r="E492" s="51" t="n"/>
      <c r="F492" s="51" t="n"/>
      <c r="G492" s="51" t="n"/>
      <c r="H492" s="51" t="n"/>
      <c r="I492" s="51" t="n"/>
      <c r="J492" s="51" t="n"/>
    </row>
    <row r="493">
      <c r="B493" s="51" t="n"/>
      <c r="C493" s="51" t="n"/>
      <c r="D493" s="51" t="n"/>
      <c r="E493" s="51" t="n"/>
      <c r="F493" s="51" t="n"/>
      <c r="G493" s="51" t="n"/>
      <c r="H493" s="51" t="n"/>
      <c r="I493" s="51" t="n"/>
      <c r="J493" s="51" t="n"/>
    </row>
    <row r="494">
      <c r="B494" s="51" t="n"/>
      <c r="C494" s="51" t="n"/>
      <c r="D494" s="51" t="n"/>
      <c r="E494" s="51" t="n"/>
      <c r="F494" s="51" t="n"/>
      <c r="G494" s="51" t="n"/>
      <c r="H494" s="51" t="n"/>
      <c r="I494" s="51" t="n"/>
      <c r="J494" s="51" t="n"/>
    </row>
    <row r="495">
      <c r="B495" s="51" t="n"/>
      <c r="C495" s="51" t="n"/>
      <c r="D495" s="51" t="n"/>
      <c r="E495" s="51" t="n"/>
      <c r="F495" s="51" t="n"/>
      <c r="G495" s="51" t="n"/>
      <c r="H495" s="51" t="n"/>
      <c r="I495" s="51" t="n"/>
      <c r="J495" s="51" t="n"/>
    </row>
    <row r="496">
      <c r="B496" s="51" t="n"/>
      <c r="C496" s="51" t="n"/>
      <c r="D496" s="51" t="n"/>
      <c r="E496" s="51" t="n"/>
      <c r="F496" s="51" t="n"/>
      <c r="G496" s="51" t="n"/>
      <c r="H496" s="51" t="n"/>
      <c r="I496" s="51" t="n"/>
      <c r="J496" s="51" t="n"/>
    </row>
    <row r="497">
      <c r="B497" s="51" t="n"/>
      <c r="C497" s="51" t="n"/>
      <c r="D497" s="51" t="n"/>
      <c r="E497" s="51" t="n"/>
      <c r="F497" s="51" t="n"/>
      <c r="G497" s="51" t="n"/>
      <c r="H497" s="51" t="n"/>
      <c r="I497" s="51" t="n"/>
      <c r="J497" s="51" t="n"/>
    </row>
    <row r="498">
      <c r="B498" s="51" t="n"/>
      <c r="C498" s="51" t="n"/>
      <c r="D498" s="51" t="n"/>
      <c r="E498" s="51" t="n"/>
      <c r="F498" s="51" t="n"/>
      <c r="G498" s="51" t="n"/>
      <c r="H498" s="51" t="n"/>
      <c r="I498" s="51" t="n"/>
      <c r="J498" s="51" t="n"/>
    </row>
    <row r="499">
      <c r="B499" s="51" t="n"/>
      <c r="C499" s="51" t="n"/>
      <c r="D499" s="51" t="n"/>
      <c r="E499" s="51" t="n"/>
      <c r="F499" s="51" t="n"/>
      <c r="G499" s="51" t="n"/>
      <c r="H499" s="51" t="n"/>
      <c r="I499" s="51" t="n"/>
      <c r="J499" s="51" t="n"/>
    </row>
    <row r="500">
      <c r="B500" s="51" t="n"/>
      <c r="C500" s="51" t="n"/>
      <c r="D500" s="51" t="n"/>
      <c r="E500" s="51" t="n"/>
      <c r="F500" s="51" t="n"/>
      <c r="G500" s="51" t="n"/>
      <c r="H500" s="51" t="n"/>
      <c r="I500" s="51" t="n"/>
      <c r="J500" s="51" t="n"/>
    </row>
    <row r="501">
      <c r="B501" s="51" t="n"/>
      <c r="C501" s="51" t="n"/>
      <c r="D501" s="51" t="n"/>
      <c r="E501" s="51" t="n"/>
      <c r="F501" s="51" t="n"/>
      <c r="G501" s="51" t="n"/>
      <c r="H501" s="51" t="n"/>
      <c r="I501" s="51" t="n"/>
      <c r="J501" s="51" t="n"/>
    </row>
    <row r="502">
      <c r="B502" s="51" t="n"/>
      <c r="C502" s="51" t="n"/>
      <c r="D502" s="51" t="n"/>
      <c r="E502" s="51" t="n"/>
      <c r="F502" s="51" t="n"/>
      <c r="G502" s="51" t="n"/>
      <c r="H502" s="51" t="n"/>
      <c r="I502" s="51" t="n"/>
      <c r="J502" s="51" t="n"/>
    </row>
    <row r="503">
      <c r="B503" s="51" t="n"/>
      <c r="C503" s="51" t="n"/>
      <c r="D503" s="51" t="n"/>
      <c r="E503" s="51" t="n"/>
      <c r="F503" s="51" t="n"/>
      <c r="G503" s="51" t="n"/>
      <c r="H503" s="51" t="n"/>
      <c r="I503" s="51" t="n"/>
      <c r="J503" s="51" t="n"/>
    </row>
    <row r="504">
      <c r="B504" s="51" t="n"/>
      <c r="C504" s="51" t="n"/>
      <c r="D504" s="51" t="n"/>
      <c r="E504" s="51" t="n"/>
      <c r="F504" s="51" t="n"/>
      <c r="G504" s="51" t="n"/>
      <c r="H504" s="51" t="n"/>
      <c r="I504" s="51" t="n"/>
      <c r="J504" s="51" t="n"/>
    </row>
    <row r="505">
      <c r="B505" s="51" t="n"/>
      <c r="C505" s="51" t="n"/>
      <c r="D505" s="51" t="n"/>
      <c r="E505" s="51" t="n"/>
      <c r="F505" s="51" t="n"/>
      <c r="G505" s="51" t="n"/>
      <c r="H505" s="51" t="n"/>
      <c r="I505" s="51" t="n"/>
      <c r="J505" s="51" t="n"/>
    </row>
    <row r="506">
      <c r="B506" s="51" t="n"/>
      <c r="C506" s="51" t="n"/>
      <c r="D506" s="51" t="n"/>
      <c r="E506" s="51" t="n"/>
      <c r="F506" s="51" t="n"/>
      <c r="G506" s="51" t="n"/>
      <c r="H506" s="51" t="n"/>
      <c r="I506" s="51" t="n"/>
      <c r="J506" s="51" t="n"/>
    </row>
    <row r="507">
      <c r="B507" s="51" t="n"/>
      <c r="C507" s="51" t="n"/>
      <c r="D507" s="51" t="n"/>
      <c r="E507" s="51" t="n"/>
      <c r="F507" s="51" t="n"/>
      <c r="G507" s="51" t="n"/>
      <c r="H507" s="51" t="n"/>
      <c r="I507" s="51" t="n"/>
      <c r="J507" s="51" t="n"/>
    </row>
    <row r="508">
      <c r="B508" s="51" t="n"/>
      <c r="C508" s="51" t="n"/>
      <c r="D508" s="51" t="n"/>
      <c r="E508" s="51" t="n"/>
      <c r="F508" s="51" t="n"/>
      <c r="G508" s="51" t="n"/>
      <c r="H508" s="51" t="n"/>
      <c r="I508" s="51" t="n"/>
      <c r="J508" s="51" t="n"/>
    </row>
    <row r="509">
      <c r="B509" s="51" t="n"/>
      <c r="C509" s="51" t="n"/>
      <c r="D509" s="51" t="n"/>
      <c r="E509" s="51" t="n"/>
      <c r="F509" s="51" t="n"/>
      <c r="G509" s="51" t="n"/>
      <c r="H509" s="51" t="n"/>
      <c r="I509" s="51" t="n"/>
      <c r="J509" s="51" t="n"/>
    </row>
    <row r="510">
      <c r="B510" s="51" t="n"/>
      <c r="C510" s="51" t="n"/>
      <c r="D510" s="51" t="n"/>
      <c r="E510" s="51" t="n"/>
      <c r="F510" s="51" t="n"/>
      <c r="G510" s="51" t="n"/>
      <c r="H510" s="51" t="n"/>
      <c r="I510" s="51" t="n"/>
      <c r="J510" s="51" t="n"/>
    </row>
    <row r="511">
      <c r="B511" s="51" t="n"/>
      <c r="C511" s="51" t="n"/>
      <c r="D511" s="51" t="n"/>
      <c r="E511" s="51" t="n"/>
      <c r="F511" s="51" t="n"/>
      <c r="G511" s="51" t="n"/>
      <c r="H511" s="51" t="n"/>
      <c r="I511" s="51" t="n"/>
      <c r="J511" s="51" t="n"/>
    </row>
    <row r="512">
      <c r="B512" s="51" t="n"/>
      <c r="C512" s="51" t="n"/>
      <c r="D512" s="51" t="n"/>
      <c r="E512" s="51" t="n"/>
      <c r="F512" s="51" t="n"/>
      <c r="G512" s="51" t="n"/>
      <c r="H512" s="51" t="n"/>
      <c r="I512" s="51" t="n"/>
      <c r="J512" s="51" t="n"/>
    </row>
    <row r="513">
      <c r="B513" s="51" t="n"/>
      <c r="C513" s="51" t="n"/>
      <c r="D513" s="51" t="n"/>
      <c r="E513" s="51" t="n"/>
      <c r="F513" s="51" t="n"/>
      <c r="G513" s="51" t="n"/>
      <c r="H513" s="51" t="n"/>
      <c r="I513" s="51" t="n"/>
      <c r="J513" s="51" t="n"/>
    </row>
    <row r="514">
      <c r="B514" s="51" t="n"/>
      <c r="C514" s="51" t="n"/>
      <c r="D514" s="51" t="n"/>
      <c r="E514" s="51" t="n"/>
      <c r="F514" s="51" t="n"/>
      <c r="G514" s="51" t="n"/>
      <c r="H514" s="51" t="n"/>
      <c r="I514" s="51" t="n"/>
      <c r="J514" s="51" t="n"/>
    </row>
    <row r="515">
      <c r="B515" s="51" t="n"/>
      <c r="C515" s="51" t="n"/>
      <c r="D515" s="51" t="n"/>
      <c r="E515" s="51" t="n"/>
      <c r="F515" s="51" t="n"/>
      <c r="G515" s="51" t="n"/>
      <c r="H515" s="51" t="n"/>
      <c r="I515" s="51" t="n"/>
      <c r="J515" s="51" t="n"/>
    </row>
    <row r="516">
      <c r="B516" s="51" t="n"/>
      <c r="C516" s="51" t="n"/>
      <c r="D516" s="51" t="n"/>
      <c r="E516" s="51" t="n"/>
      <c r="F516" s="51" t="n"/>
      <c r="G516" s="51" t="n"/>
      <c r="H516" s="51" t="n"/>
      <c r="I516" s="51" t="n"/>
      <c r="J516" s="51" t="n"/>
    </row>
    <row r="517">
      <c r="B517" s="51" t="n"/>
      <c r="C517" s="51" t="n"/>
      <c r="D517" s="51" t="n"/>
      <c r="E517" s="51" t="n"/>
      <c r="F517" s="51" t="n"/>
      <c r="G517" s="51" t="n"/>
      <c r="H517" s="51" t="n"/>
      <c r="I517" s="51" t="n"/>
      <c r="J517" s="51" t="n"/>
    </row>
  </sheetData>
  <mergeCells count="8">
    <mergeCell ref="B7:J7"/>
    <mergeCell ref="B3:J3"/>
    <mergeCell ref="B5:J5"/>
    <mergeCell ref="B10:C10"/>
    <mergeCell ref="D8:J8"/>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J17:J517">
    <cfRule type="expression" priority="7"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Coverage and rule record (sheet Reference lists)." promptTitle="Record" prompt="Yes. What the row defines Allowed: COVERAGE, FIELD_RULE, DOCUMENT_RULE (list Coverage and rule record)" type="list" errorStyle="stop">
      <formula1>=LIST_CI02_RECORD</formula1>
    </dataValidation>
    <dataValidation sqref="C17:C517" showDropDown="0" showInputMessage="1" showErrorMessage="0" allowBlank="1" promptTitle="Line code / Risk code" prompt="Yes. Scope of the row Allowed: Codes of PM-01 Product catalogue, column Risk code (one or more)"/>
    <dataValidation sqref="D17:D517" showDropDown="0" showInputMessage="1" showErrorMessage="0" allowBlank="1" promptTitle="Code or field key" prompt="Yes. Coverage code or the account field checked"/>
    <dataValidation sqref="E17:E517" showDropDown="0" showInputMessage="1" showErrorMessage="0" allowBlank="1" promptTitle="Name or label" prompt="Yes. Coverage name or field label"/>
    <dataValidation sqref="F17:F517" showDropDown="0" showInputMessage="1" showErrorMessage="0" allowBlank="1" promptTitle="Kind or check" prompt="Yes. Coverage kind or rule check"/>
    <dataValidation sqref="G17:G517" showDropDown="0" showInputMessage="1" showErrorMessage="1" allowBlank="1" errorTitle="Basic" error="Choose a value of the list Yes or no (sheet Reference lists)." promptTitle="Basic" prompt="Conditional: coverage. A package needs at least one basic coverage Allowed: Y or N" type="list" errorStyle="stop">
      <formula1>=LIST_YES_NO</formula1>
    </dataValidation>
    <dataValidation sqref="H17:H517" showDropDown="0" showInputMessage="1" showErrorMessage="0" allowBlank="1" promptTitle="Parameters" prompt="Conditional: list, range or format rules. Parameters of the check"/>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 rule. Document an account needs before submission Allowed: List Document type: 63 values, see Reference lists" type="list" errorStyle="warning">
      <formula1>=LIST_DOCUMENT_TYPE</formula1>
    </dataValidation>
    <dataValidation sqref="J17:J517" showDropDown="0" showInputMessage="1" showErrorMessage="1" allowBlank="1" errorTitle="Mandatory" error="Choose a value of the list Yes or no (sheet Reference lists)." promptTitle="Mandatory" prompt="Yes. Required or optional Allowed: Y or N" type="list" errorStyle="stop">
      <formula1>=LIST_YES_NO</formula1>
    </dataValidation>
  </dataValidations>
  <hyperlinks>
    <hyperlink ref="A2" location="'Start here'!A1"/>
    <hyperlink ref="J2" location="'Questions and comments'!A1"/>
    <hyperlink ref="B8" location="'PM-09 Lists and parameters'!A1"/>
    <hyperlink ref="D8" location="'PM-01 Product catalogue'!A1"/>
    <hyperlink ref="B14" location="'Reference lists'!A17"/>
    <hyperlink ref="C14" location="'PM-01 Product catalogue'!H16"/>
    <hyperlink ref="I14" location="'Reference lists'!A20"/>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2.27272727272727" customWidth="1" min="3" max="3"/>
    <col width="14" customWidth="1" min="4" max="4"/>
    <col width="36" customWidth="1" min="5" max="5"/>
    <col width="40" customWidth="1" min="6" max="6"/>
    <col width="24" customWidth="1" min="7" max="7"/>
  </cols>
  <sheetData>
    <row r="1" ht="26" customHeight="1">
      <c r="A1" s="27" t="inlineStr">
        <is>
          <t>PM-03 Clause library</t>
        </is>
      </c>
      <c r="G1" s="28" t="inlineStr">
        <is>
          <t>Step 15 of 31</t>
        </is>
      </c>
    </row>
    <row r="2">
      <c r="A2" s="29" t="inlineStr">
        <is>
          <t>← Back to Start here</t>
        </is>
      </c>
      <c r="B2" s="30" t="inlineStr">
        <is>
          <t>Step 15 of 31. Fill in one row per record below the column headers; the guide above each column says what to enter.</t>
        </is>
      </c>
      <c r="G2" s="31" t="inlineStr">
        <is>
          <t>Ask a question →</t>
        </is>
      </c>
    </row>
    <row r="3" outlineLevel="1" ht="15.5" customHeight="1">
      <c r="A3" s="32" t="inlineStr">
        <is>
          <t>Purpose</t>
        </is>
      </c>
      <c r="B3" s="33" t="inlineStr">
        <is>
          <t>Warranties, clauses, exclusions and deductible wordings used in the insurer terms of package versions</t>
        </is>
      </c>
    </row>
    <row r="4" outlineLevel="1" ht="15.5" customHeight="1">
      <c r="A4" s="32" t="inlineStr">
        <is>
          <t>Provided by</t>
        </is>
      </c>
      <c r="B4" s="33" t="inlineStr">
        <is>
          <t>TSU (wordings); MBS (maintenance)</t>
        </is>
      </c>
    </row>
    <row r="5" outlineLevel="1" ht="15.5" customHeight="1">
      <c r="A5" s="32" t="inlineStr">
        <is>
          <t>Due</t>
        </is>
      </c>
      <c r="B5" s="34" t="inlineStr">
        <is>
          <t>16-Jul-2027 – Values for UAT</t>
        </is>
      </c>
    </row>
    <row r="6" outlineLevel="1" ht="15.5" customHeight="1">
      <c r="A6" s="32" t="inlineStr">
        <is>
          <t>How it is loaded</t>
        </is>
      </c>
      <c r="B6" s="33" t="inlineStr">
        <is>
          <t>Entered on Coverages &amp; Clauses › Clause Library (SCR-PM-15); not migrated</t>
        </is>
      </c>
    </row>
    <row r="7" outlineLevel="1" ht="15.5" customHeight="1">
      <c r="A7" s="32" t="inlineStr">
        <is>
          <t>Source</t>
        </is>
      </c>
      <c r="B7" s="33" t="inlineStr">
        <is>
          <t>Current package slips and insurer wordings</t>
        </is>
      </c>
    </row>
    <row r="8" outlineLevel="1" ht="26" customHeight="1">
      <c r="A8" s="32" t="inlineStr">
        <is>
          <t>Depends on</t>
        </is>
      </c>
      <c r="B8" s="55" t="inlineStr">
        <is>
          <t>PM-09 Lists of values and parameters →</t>
        </is>
      </c>
      <c r="D8" s="55" t="inlineStr">
        <is>
          <t>PM-01 Product catalogue →</t>
        </is>
      </c>
    </row>
    <row r="9" ht="26" customHeight="1">
      <c r="A9" s="36" t="inlineStr">
        <is>
          <t>Progress</t>
        </is>
      </c>
      <c r="B9" s="37" t="inlineStr">
        <is>
          <t>Rows entered</t>
        </is>
      </c>
      <c r="C9" s="38">
        <f>SUMPRODUCT(((ROW($B$17:$B$517)&gt;17)+($B$17&lt;&gt;"FLEET_REPAIR")&gt;0)*(LEN($B$17:$B$517&amp;$C$17:$C$517&amp;$D$17:$D$517&amp;$E$17:$E$517&amp;$F$17:$F$517&amp;$G$17:$G$517)&gt;0))</f>
        <v/>
      </c>
      <c r="D9" s="37" t="inlineStr">
        <is>
          <t>Mandatory cells missing</t>
        </is>
      </c>
      <c r="E9" s="38">
        <f>SUMPRODUCT(((ROW($B$17:$B$517)&gt;17)+($B$17&lt;&gt;"FLEET_REPAIR")&gt;0)*(LEN($B$17:$B$517&amp;$C$17:$C$517&amp;$D$17:$D$517&amp;$E$17:$E$517&amp;$F$17:$F$517&amp;$G$17:$G$517)&gt;0)*(($B$17:$B$517="")+($C$17:$C$517="")+($E$17:$E$517="")+($F$17:$F$517="")+($G$17:$G$517="")))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5" t="inlineStr">
        <is>
          <t>No</t>
        </is>
      </c>
      <c r="E12" s="44" t="inlineStr">
        <is>
          <t>Yes</t>
        </is>
      </c>
      <c r="F12" s="44" t="inlineStr">
        <is>
          <t>Yes</t>
        </is>
      </c>
      <c r="G12" s="44" t="inlineStr">
        <is>
          <t>Yes (from)</t>
        </is>
      </c>
    </row>
    <row r="13" ht="30" customHeight="1">
      <c r="A13" s="43" t="inlineStr">
        <is>
          <t>Format</t>
        </is>
      </c>
      <c r="B13" s="45" t="inlineStr">
        <is>
          <t>A-Z, 0-9 and _</t>
        </is>
      </c>
      <c r="C13" s="45" t="inlineStr">
        <is>
          <t>WARRANTY, CLAUSE, EXCLUSION or DEDUCTIBLE_WORDING</t>
        </is>
      </c>
      <c r="D13" s="45" t="inlineStr">
        <is>
          <t>Line code; blank = every line</t>
        </is>
      </c>
      <c r="E13" s="45" t="inlineStr">
        <is>
          <t>Text</t>
        </is>
      </c>
      <c r="F13" s="45" t="inlineStr">
        <is>
          <t>Full text</t>
        </is>
      </c>
      <c r="G13" s="45" t="inlineStr">
        <is>
          <t>dd-MMM-yyyy</t>
        </is>
      </c>
    </row>
    <row r="14" ht="56" customHeight="1">
      <c r="A14" s="43" t="inlineStr">
        <is>
          <t>Allowed values</t>
        </is>
      </c>
      <c r="B14" s="45" t="inlineStr">
        <is>
          <t>Free entry</t>
        </is>
      </c>
      <c r="C14" s="53" t="inlineStr">
        <is>
          <t>WARRANTY, CLAUSE, EXCLUSION, DEDUCTIBLE_WORDING (list Clause kind)</t>
        </is>
      </c>
      <c r="D14" s="53" t="inlineStr">
        <is>
          <t>A code of PM-01 Product catalogue, column Line code</t>
        </is>
      </c>
      <c r="E14" s="45" t="inlineStr">
        <is>
          <t>Free entry</t>
        </is>
      </c>
      <c r="F14" s="45" t="inlineStr">
        <is>
          <t>Free entry</t>
        </is>
      </c>
      <c r="G14" s="45" t="inlineStr">
        <is>
          <t>Free entry</t>
        </is>
      </c>
    </row>
    <row r="15" ht="30" customHeight="1">
      <c r="A15" s="43" t="inlineStr">
        <is>
          <t>What to enter</t>
        </is>
      </c>
      <c r="B15" s="45" t="inlineStr">
        <is>
          <t>Unique code</t>
        </is>
      </c>
      <c r="C15" s="45" t="inlineStr">
        <is>
          <t>Code of the list CLAUSE_KIND</t>
        </is>
      </c>
      <c r="D15" s="45" t="inlineStr">
        <is>
          <t>Lines the clause is offered for</t>
        </is>
      </c>
      <c r="E15" s="45" t="inlineStr">
        <is>
          <t>Title shown in the pickers</t>
        </is>
      </c>
      <c r="F15" s="45" t="inlineStr">
        <is>
          <t>Wording printed on the package documents</t>
        </is>
      </c>
      <c r="G15" s="45" t="inlineStr">
        <is>
          <t>Validity of the wording</t>
        </is>
      </c>
    </row>
    <row r="16" ht="30" customHeight="1">
      <c r="A16" s="46" t="inlineStr">
        <is>
          <t>Row</t>
        </is>
      </c>
      <c r="B16" s="47" t="inlineStr">
        <is>
          <t>Clause code *</t>
        </is>
      </c>
      <c r="C16" s="47" t="inlineStr">
        <is>
          <t>Kind *</t>
        </is>
      </c>
      <c r="D16" s="47" t="inlineStr">
        <is>
          <t>Line code</t>
        </is>
      </c>
      <c r="E16" s="47" t="inlineStr">
        <is>
          <t>Title *</t>
        </is>
      </c>
      <c r="F16" s="47" t="inlineStr">
        <is>
          <t>Wording *</t>
        </is>
      </c>
      <c r="G16" s="47" t="inlineStr">
        <is>
          <t>Effective from / to *</t>
        </is>
      </c>
    </row>
    <row r="17" ht="30" customHeight="1">
      <c r="A17" s="48" t="inlineStr">
        <is>
          <t>Example – overwrite or delete</t>
        </is>
      </c>
      <c r="B17" s="49" t="inlineStr">
        <is>
          <t>FLEET_REPAIR</t>
        </is>
      </c>
      <c r="C17" s="49" t="inlineStr">
        <is>
          <t>CLAUSE</t>
        </is>
      </c>
      <c r="D17" s="49" t="inlineStr">
        <is>
          <t>MOTOR</t>
        </is>
      </c>
      <c r="E17" s="49" t="inlineStr">
        <is>
          <t>Accredited repair shops for fleets</t>
        </is>
      </c>
      <c r="F17" s="49" t="inlineStr">
        <is>
          <t>Repairs are made at the accredited shops of the insurer...</t>
        </is>
      </c>
      <c r="G17" s="49" t="inlineStr">
        <is>
          <t>01-Jan-2027</t>
        </is>
      </c>
    </row>
    <row r="18">
      <c r="B18" s="51" t="n"/>
      <c r="C18" s="51" t="n"/>
      <c r="D18" s="51" t="n"/>
      <c r="E18" s="51" t="n"/>
      <c r="F18" s="51" t="n"/>
      <c r="G18" s="51" t="n"/>
    </row>
    <row r="19">
      <c r="B19" s="51" t="n"/>
      <c r="C19" s="51" t="n"/>
      <c r="D19" s="51" t="n"/>
      <c r="E19" s="51" t="n"/>
      <c r="F19" s="51" t="n"/>
      <c r="G19" s="51" t="n"/>
    </row>
    <row r="20">
      <c r="B20" s="51" t="n"/>
      <c r="C20" s="51" t="n"/>
      <c r="D20" s="51" t="n"/>
      <c r="E20" s="51" t="n"/>
      <c r="F20" s="51" t="n"/>
      <c r="G20" s="51" t="n"/>
    </row>
    <row r="21">
      <c r="B21" s="51" t="n"/>
      <c r="C21" s="51" t="n"/>
      <c r="D21" s="51" t="n"/>
      <c r="E21" s="51" t="n"/>
      <c r="F21" s="51" t="n"/>
      <c r="G21" s="51" t="n"/>
    </row>
    <row r="22">
      <c r="B22" s="51" t="n"/>
      <c r="C22" s="51" t="n"/>
      <c r="D22" s="51" t="n"/>
      <c r="E22" s="51" t="n"/>
      <c r="F22" s="51" t="n"/>
      <c r="G22" s="51" t="n"/>
    </row>
    <row r="23">
      <c r="B23" s="51" t="n"/>
      <c r="C23" s="51" t="n"/>
      <c r="D23" s="51" t="n"/>
      <c r="E23" s="51" t="n"/>
      <c r="F23" s="51" t="n"/>
      <c r="G23" s="51" t="n"/>
    </row>
    <row r="24">
      <c r="B24" s="51" t="n"/>
      <c r="C24" s="51" t="n"/>
      <c r="D24" s="51" t="n"/>
      <c r="E24" s="51" t="n"/>
      <c r="F24" s="51" t="n"/>
      <c r="G24" s="51" t="n"/>
    </row>
    <row r="25">
      <c r="B25" s="51" t="n"/>
      <c r="C25" s="51" t="n"/>
      <c r="D25" s="51" t="n"/>
      <c r="E25" s="51" t="n"/>
      <c r="F25" s="51" t="n"/>
      <c r="G25" s="51" t="n"/>
    </row>
    <row r="26">
      <c r="B26" s="51" t="n"/>
      <c r="C26" s="51" t="n"/>
      <c r="D26" s="51" t="n"/>
      <c r="E26" s="51" t="n"/>
      <c r="F26" s="51" t="n"/>
      <c r="G26" s="51" t="n"/>
    </row>
    <row r="27">
      <c r="B27" s="51" t="n"/>
      <c r="C27" s="51" t="n"/>
      <c r="D27" s="51" t="n"/>
      <c r="E27" s="51" t="n"/>
      <c r="F27" s="51" t="n"/>
      <c r="G27" s="51" t="n"/>
    </row>
    <row r="28">
      <c r="B28" s="51" t="n"/>
      <c r="C28" s="51" t="n"/>
      <c r="D28" s="51" t="n"/>
      <c r="E28" s="51" t="n"/>
      <c r="F28" s="51" t="n"/>
      <c r="G28" s="51" t="n"/>
    </row>
    <row r="29">
      <c r="B29" s="51" t="n"/>
      <c r="C29" s="51" t="n"/>
      <c r="D29" s="51" t="n"/>
      <c r="E29" s="51" t="n"/>
      <c r="F29" s="51" t="n"/>
      <c r="G29" s="51" t="n"/>
    </row>
    <row r="30">
      <c r="B30" s="51" t="n"/>
      <c r="C30" s="51" t="n"/>
      <c r="D30" s="51" t="n"/>
      <c r="E30" s="51" t="n"/>
      <c r="F30" s="51" t="n"/>
      <c r="G30" s="51" t="n"/>
    </row>
    <row r="31">
      <c r="B31" s="51" t="n"/>
      <c r="C31" s="51" t="n"/>
      <c r="D31" s="51" t="n"/>
      <c r="E31" s="51" t="n"/>
      <c r="F31" s="51" t="n"/>
      <c r="G31" s="51" t="n"/>
    </row>
    <row r="32">
      <c r="B32" s="51" t="n"/>
      <c r="C32" s="51" t="n"/>
      <c r="D32" s="51" t="n"/>
      <c r="E32" s="51" t="n"/>
      <c r="F32" s="51" t="n"/>
      <c r="G32" s="51" t="n"/>
    </row>
    <row r="33">
      <c r="B33" s="51" t="n"/>
      <c r="C33" s="51" t="n"/>
      <c r="D33" s="51" t="n"/>
      <c r="E33" s="51" t="n"/>
      <c r="F33" s="51" t="n"/>
      <c r="G33" s="51" t="n"/>
    </row>
    <row r="34">
      <c r="B34" s="51" t="n"/>
      <c r="C34" s="51" t="n"/>
      <c r="D34" s="51" t="n"/>
      <c r="E34" s="51" t="n"/>
      <c r="F34" s="51" t="n"/>
      <c r="G34" s="51" t="n"/>
    </row>
    <row r="35">
      <c r="B35" s="51" t="n"/>
      <c r="C35" s="51" t="n"/>
      <c r="D35" s="51" t="n"/>
      <c r="E35" s="51" t="n"/>
      <c r="F35" s="51" t="n"/>
      <c r="G35" s="51" t="n"/>
    </row>
    <row r="36">
      <c r="B36" s="51" t="n"/>
      <c r="C36" s="51" t="n"/>
      <c r="D36" s="51" t="n"/>
      <c r="E36" s="51" t="n"/>
      <c r="F36" s="51" t="n"/>
      <c r="G36" s="51" t="n"/>
    </row>
    <row r="37">
      <c r="B37" s="51" t="n"/>
      <c r="C37" s="51" t="n"/>
      <c r="D37" s="51" t="n"/>
      <c r="E37" s="51" t="n"/>
      <c r="F37" s="51" t="n"/>
      <c r="G37" s="51" t="n"/>
    </row>
    <row r="38">
      <c r="B38" s="51" t="n"/>
      <c r="C38" s="51" t="n"/>
      <c r="D38" s="51" t="n"/>
      <c r="E38" s="51" t="n"/>
      <c r="F38" s="51" t="n"/>
      <c r="G38" s="51" t="n"/>
    </row>
    <row r="39">
      <c r="B39" s="51" t="n"/>
      <c r="C39" s="51" t="n"/>
      <c r="D39" s="51" t="n"/>
      <c r="E39" s="51" t="n"/>
      <c r="F39" s="51" t="n"/>
      <c r="G39" s="51" t="n"/>
    </row>
    <row r="40">
      <c r="B40" s="51" t="n"/>
      <c r="C40" s="51" t="n"/>
      <c r="D40" s="51" t="n"/>
      <c r="E40" s="51" t="n"/>
      <c r="F40" s="51" t="n"/>
      <c r="G40" s="51" t="n"/>
    </row>
    <row r="41">
      <c r="B41" s="51" t="n"/>
      <c r="C41" s="51" t="n"/>
      <c r="D41" s="51" t="n"/>
      <c r="E41" s="51" t="n"/>
      <c r="F41" s="51" t="n"/>
      <c r="G41" s="51" t="n"/>
    </row>
    <row r="42">
      <c r="B42" s="51" t="n"/>
      <c r="C42" s="51" t="n"/>
      <c r="D42" s="51" t="n"/>
      <c r="E42" s="51" t="n"/>
      <c r="F42" s="51" t="n"/>
      <c r="G42" s="51" t="n"/>
    </row>
    <row r="43">
      <c r="B43" s="51" t="n"/>
      <c r="C43" s="51" t="n"/>
      <c r="D43" s="51" t="n"/>
      <c r="E43" s="51" t="n"/>
      <c r="F43" s="51" t="n"/>
      <c r="G43" s="51" t="n"/>
    </row>
    <row r="44">
      <c r="B44" s="51" t="n"/>
      <c r="C44" s="51" t="n"/>
      <c r="D44" s="51" t="n"/>
      <c r="E44" s="51" t="n"/>
      <c r="F44" s="51" t="n"/>
      <c r="G44" s="51" t="n"/>
    </row>
    <row r="45">
      <c r="B45" s="51" t="n"/>
      <c r="C45" s="51" t="n"/>
      <c r="D45" s="51" t="n"/>
      <c r="E45" s="51" t="n"/>
      <c r="F45" s="51" t="n"/>
      <c r="G45" s="51" t="n"/>
    </row>
    <row r="46">
      <c r="B46" s="51" t="n"/>
      <c r="C46" s="51" t="n"/>
      <c r="D46" s="51" t="n"/>
      <c r="E46" s="51" t="n"/>
      <c r="F46" s="51" t="n"/>
      <c r="G46" s="51" t="n"/>
    </row>
    <row r="47">
      <c r="B47" s="51" t="n"/>
      <c r="C47" s="51" t="n"/>
      <c r="D47" s="51" t="n"/>
      <c r="E47" s="51" t="n"/>
      <c r="F47" s="51" t="n"/>
      <c r="G47" s="51" t="n"/>
    </row>
    <row r="48">
      <c r="B48" s="51" t="n"/>
      <c r="C48" s="51" t="n"/>
      <c r="D48" s="51" t="n"/>
      <c r="E48" s="51" t="n"/>
      <c r="F48" s="51" t="n"/>
      <c r="G48" s="51" t="n"/>
    </row>
    <row r="49">
      <c r="B49" s="51" t="n"/>
      <c r="C49" s="51" t="n"/>
      <c r="D49" s="51" t="n"/>
      <c r="E49" s="51" t="n"/>
      <c r="F49" s="51" t="n"/>
      <c r="G49" s="51" t="n"/>
    </row>
    <row r="50">
      <c r="B50" s="51" t="n"/>
      <c r="C50" s="51" t="n"/>
      <c r="D50" s="51" t="n"/>
      <c r="E50" s="51" t="n"/>
      <c r="F50" s="51" t="n"/>
      <c r="G50" s="51" t="n"/>
    </row>
    <row r="51">
      <c r="B51" s="51" t="n"/>
      <c r="C51" s="51" t="n"/>
      <c r="D51" s="51" t="n"/>
      <c r="E51" s="51" t="n"/>
      <c r="F51" s="51" t="n"/>
      <c r="G51" s="51" t="n"/>
    </row>
    <row r="52">
      <c r="B52" s="51" t="n"/>
      <c r="C52" s="51" t="n"/>
      <c r="D52" s="51" t="n"/>
      <c r="E52" s="51" t="n"/>
      <c r="F52" s="51" t="n"/>
      <c r="G52" s="51" t="n"/>
    </row>
    <row r="53">
      <c r="B53" s="51" t="n"/>
      <c r="C53" s="51" t="n"/>
      <c r="D53" s="51" t="n"/>
      <c r="E53" s="51" t="n"/>
      <c r="F53" s="51" t="n"/>
      <c r="G53" s="51" t="n"/>
    </row>
    <row r="54">
      <c r="B54" s="51" t="n"/>
      <c r="C54" s="51" t="n"/>
      <c r="D54" s="51" t="n"/>
      <c r="E54" s="51" t="n"/>
      <c r="F54" s="51" t="n"/>
      <c r="G54" s="51" t="n"/>
    </row>
    <row r="55">
      <c r="B55" s="51" t="n"/>
      <c r="C55" s="51" t="n"/>
      <c r="D55" s="51" t="n"/>
      <c r="E55" s="51" t="n"/>
      <c r="F55" s="51" t="n"/>
      <c r="G55" s="51" t="n"/>
    </row>
    <row r="56">
      <c r="B56" s="51" t="n"/>
      <c r="C56" s="51" t="n"/>
      <c r="D56" s="51" t="n"/>
      <c r="E56" s="51" t="n"/>
      <c r="F56" s="51" t="n"/>
      <c r="G56" s="51" t="n"/>
    </row>
    <row r="57">
      <c r="B57" s="51" t="n"/>
      <c r="C57" s="51" t="n"/>
      <c r="D57" s="51" t="n"/>
      <c r="E57" s="51" t="n"/>
      <c r="F57" s="51" t="n"/>
      <c r="G57" s="51" t="n"/>
    </row>
    <row r="58">
      <c r="B58" s="51" t="n"/>
      <c r="C58" s="51" t="n"/>
      <c r="D58" s="51" t="n"/>
      <c r="E58" s="51" t="n"/>
      <c r="F58" s="51" t="n"/>
      <c r="G58" s="51" t="n"/>
    </row>
    <row r="59">
      <c r="B59" s="51" t="n"/>
      <c r="C59" s="51" t="n"/>
      <c r="D59" s="51" t="n"/>
      <c r="E59" s="51" t="n"/>
      <c r="F59" s="51" t="n"/>
      <c r="G59" s="51" t="n"/>
    </row>
    <row r="60">
      <c r="B60" s="51" t="n"/>
      <c r="C60" s="51" t="n"/>
      <c r="D60" s="51" t="n"/>
      <c r="E60" s="51" t="n"/>
      <c r="F60" s="51" t="n"/>
      <c r="G60" s="51" t="n"/>
    </row>
    <row r="61">
      <c r="B61" s="51" t="n"/>
      <c r="C61" s="51" t="n"/>
      <c r="D61" s="51" t="n"/>
      <c r="E61" s="51" t="n"/>
      <c r="F61" s="51" t="n"/>
      <c r="G61" s="51" t="n"/>
    </row>
    <row r="62">
      <c r="B62" s="51" t="n"/>
      <c r="C62" s="51" t="n"/>
      <c r="D62" s="51" t="n"/>
      <c r="E62" s="51" t="n"/>
      <c r="F62" s="51" t="n"/>
      <c r="G62" s="51" t="n"/>
    </row>
    <row r="63">
      <c r="B63" s="51" t="n"/>
      <c r="C63" s="51" t="n"/>
      <c r="D63" s="51" t="n"/>
      <c r="E63" s="51" t="n"/>
      <c r="F63" s="51" t="n"/>
      <c r="G63" s="51" t="n"/>
    </row>
    <row r="64">
      <c r="B64" s="51" t="n"/>
      <c r="C64" s="51" t="n"/>
      <c r="D64" s="51" t="n"/>
      <c r="E64" s="51" t="n"/>
      <c r="F64" s="51" t="n"/>
      <c r="G64" s="51" t="n"/>
    </row>
    <row r="65">
      <c r="B65" s="51" t="n"/>
      <c r="C65" s="51" t="n"/>
      <c r="D65" s="51" t="n"/>
      <c r="E65" s="51" t="n"/>
      <c r="F65" s="51" t="n"/>
      <c r="G65" s="51" t="n"/>
    </row>
    <row r="66">
      <c r="B66" s="51" t="n"/>
      <c r="C66" s="51" t="n"/>
      <c r="D66" s="51" t="n"/>
      <c r="E66" s="51" t="n"/>
      <c r="F66" s="51" t="n"/>
      <c r="G66" s="51" t="n"/>
    </row>
    <row r="67">
      <c r="B67" s="51" t="n"/>
      <c r="C67" s="51" t="n"/>
      <c r="D67" s="51" t="n"/>
      <c r="E67" s="51" t="n"/>
      <c r="F67" s="51" t="n"/>
      <c r="G67" s="51" t="n"/>
    </row>
    <row r="68">
      <c r="B68" s="51" t="n"/>
      <c r="C68" s="51" t="n"/>
      <c r="D68" s="51" t="n"/>
      <c r="E68" s="51" t="n"/>
      <c r="F68" s="51" t="n"/>
      <c r="G68" s="51" t="n"/>
    </row>
    <row r="69">
      <c r="B69" s="51" t="n"/>
      <c r="C69" s="51" t="n"/>
      <c r="D69" s="51" t="n"/>
      <c r="E69" s="51" t="n"/>
      <c r="F69" s="51" t="n"/>
      <c r="G69" s="51" t="n"/>
    </row>
    <row r="70">
      <c r="B70" s="51" t="n"/>
      <c r="C70" s="51" t="n"/>
      <c r="D70" s="51" t="n"/>
      <c r="E70" s="51" t="n"/>
      <c r="F70" s="51" t="n"/>
      <c r="G70" s="51" t="n"/>
    </row>
    <row r="71">
      <c r="B71" s="51" t="n"/>
      <c r="C71" s="51" t="n"/>
      <c r="D71" s="51" t="n"/>
      <c r="E71" s="51" t="n"/>
      <c r="F71" s="51" t="n"/>
      <c r="G71" s="51" t="n"/>
    </row>
    <row r="72">
      <c r="B72" s="51" t="n"/>
      <c r="C72" s="51" t="n"/>
      <c r="D72" s="51" t="n"/>
      <c r="E72" s="51" t="n"/>
      <c r="F72" s="51" t="n"/>
      <c r="G72" s="51" t="n"/>
    </row>
    <row r="73">
      <c r="B73" s="51" t="n"/>
      <c r="C73" s="51" t="n"/>
      <c r="D73" s="51" t="n"/>
      <c r="E73" s="51" t="n"/>
      <c r="F73" s="51" t="n"/>
      <c r="G73" s="51" t="n"/>
    </row>
    <row r="74">
      <c r="B74" s="51" t="n"/>
      <c r="C74" s="51" t="n"/>
      <c r="D74" s="51" t="n"/>
      <c r="E74" s="51" t="n"/>
      <c r="F74" s="51" t="n"/>
      <c r="G74" s="51" t="n"/>
    </row>
    <row r="75">
      <c r="B75" s="51" t="n"/>
      <c r="C75" s="51" t="n"/>
      <c r="D75" s="51" t="n"/>
      <c r="E75" s="51" t="n"/>
      <c r="F75" s="51" t="n"/>
      <c r="G75" s="51" t="n"/>
    </row>
    <row r="76">
      <c r="B76" s="51" t="n"/>
      <c r="C76" s="51" t="n"/>
      <c r="D76" s="51" t="n"/>
      <c r="E76" s="51" t="n"/>
      <c r="F76" s="51" t="n"/>
      <c r="G76" s="51" t="n"/>
    </row>
    <row r="77">
      <c r="B77" s="51" t="n"/>
      <c r="C77" s="51" t="n"/>
      <c r="D77" s="51" t="n"/>
      <c r="E77" s="51" t="n"/>
      <c r="F77" s="51" t="n"/>
      <c r="G77" s="51" t="n"/>
    </row>
    <row r="78">
      <c r="B78" s="51" t="n"/>
      <c r="C78" s="51" t="n"/>
      <c r="D78" s="51" t="n"/>
      <c r="E78" s="51" t="n"/>
      <c r="F78" s="51" t="n"/>
      <c r="G78" s="51" t="n"/>
    </row>
    <row r="79">
      <c r="B79" s="51" t="n"/>
      <c r="C79" s="51" t="n"/>
      <c r="D79" s="51" t="n"/>
      <c r="E79" s="51" t="n"/>
      <c r="F79" s="51" t="n"/>
      <c r="G79" s="51" t="n"/>
    </row>
    <row r="80">
      <c r="B80" s="51" t="n"/>
      <c r="C80" s="51" t="n"/>
      <c r="D80" s="51" t="n"/>
      <c r="E80" s="51" t="n"/>
      <c r="F80" s="51" t="n"/>
      <c r="G80" s="51" t="n"/>
    </row>
    <row r="81">
      <c r="B81" s="51" t="n"/>
      <c r="C81" s="51" t="n"/>
      <c r="D81" s="51" t="n"/>
      <c r="E81" s="51" t="n"/>
      <c r="F81" s="51" t="n"/>
      <c r="G81" s="51" t="n"/>
    </row>
    <row r="82">
      <c r="B82" s="51" t="n"/>
      <c r="C82" s="51" t="n"/>
      <c r="D82" s="51" t="n"/>
      <c r="E82" s="51" t="n"/>
      <c r="F82" s="51" t="n"/>
      <c r="G82" s="51" t="n"/>
    </row>
    <row r="83">
      <c r="B83" s="51" t="n"/>
      <c r="C83" s="51" t="n"/>
      <c r="D83" s="51" t="n"/>
      <c r="E83" s="51" t="n"/>
      <c r="F83" s="51" t="n"/>
      <c r="G83" s="51" t="n"/>
    </row>
    <row r="84">
      <c r="B84" s="51" t="n"/>
      <c r="C84" s="51" t="n"/>
      <c r="D84" s="51" t="n"/>
      <c r="E84" s="51" t="n"/>
      <c r="F84" s="51" t="n"/>
      <c r="G84" s="51" t="n"/>
    </row>
    <row r="85">
      <c r="B85" s="51" t="n"/>
      <c r="C85" s="51" t="n"/>
      <c r="D85" s="51" t="n"/>
      <c r="E85" s="51" t="n"/>
      <c r="F85" s="51" t="n"/>
      <c r="G85" s="51" t="n"/>
    </row>
    <row r="86">
      <c r="B86" s="51" t="n"/>
      <c r="C86" s="51" t="n"/>
      <c r="D86" s="51" t="n"/>
      <c r="E86" s="51" t="n"/>
      <c r="F86" s="51" t="n"/>
      <c r="G86" s="51" t="n"/>
    </row>
    <row r="87">
      <c r="B87" s="51" t="n"/>
      <c r="C87" s="51" t="n"/>
      <c r="D87" s="51" t="n"/>
      <c r="E87" s="51" t="n"/>
      <c r="F87" s="51" t="n"/>
      <c r="G87" s="51" t="n"/>
    </row>
    <row r="88">
      <c r="B88" s="51" t="n"/>
      <c r="C88" s="51" t="n"/>
      <c r="D88" s="51" t="n"/>
      <c r="E88" s="51" t="n"/>
      <c r="F88" s="51" t="n"/>
      <c r="G88" s="51" t="n"/>
    </row>
    <row r="89">
      <c r="B89" s="51" t="n"/>
      <c r="C89" s="51" t="n"/>
      <c r="D89" s="51" t="n"/>
      <c r="E89" s="51" t="n"/>
      <c r="F89" s="51" t="n"/>
      <c r="G89" s="51" t="n"/>
    </row>
    <row r="90">
      <c r="B90" s="51" t="n"/>
      <c r="C90" s="51" t="n"/>
      <c r="D90" s="51" t="n"/>
      <c r="E90" s="51" t="n"/>
      <c r="F90" s="51" t="n"/>
      <c r="G90" s="51" t="n"/>
    </row>
    <row r="91">
      <c r="B91" s="51" t="n"/>
      <c r="C91" s="51" t="n"/>
      <c r="D91" s="51" t="n"/>
      <c r="E91" s="51" t="n"/>
      <c r="F91" s="51" t="n"/>
      <c r="G91" s="51" t="n"/>
    </row>
    <row r="92">
      <c r="B92" s="51" t="n"/>
      <c r="C92" s="51" t="n"/>
      <c r="D92" s="51" t="n"/>
      <c r="E92" s="51" t="n"/>
      <c r="F92" s="51" t="n"/>
      <c r="G92" s="51" t="n"/>
    </row>
    <row r="93">
      <c r="B93" s="51" t="n"/>
      <c r="C93" s="51" t="n"/>
      <c r="D93" s="51" t="n"/>
      <c r="E93" s="51" t="n"/>
      <c r="F93" s="51" t="n"/>
      <c r="G93" s="51" t="n"/>
    </row>
    <row r="94">
      <c r="B94" s="51" t="n"/>
      <c r="C94" s="51" t="n"/>
      <c r="D94" s="51" t="n"/>
      <c r="E94" s="51" t="n"/>
      <c r="F94" s="51" t="n"/>
      <c r="G94" s="51" t="n"/>
    </row>
    <row r="95">
      <c r="B95" s="51" t="n"/>
      <c r="C95" s="51" t="n"/>
      <c r="D95" s="51" t="n"/>
      <c r="E95" s="51" t="n"/>
      <c r="F95" s="51" t="n"/>
      <c r="G95" s="51" t="n"/>
    </row>
    <row r="96">
      <c r="B96" s="51" t="n"/>
      <c r="C96" s="51" t="n"/>
      <c r="D96" s="51" t="n"/>
      <c r="E96" s="51" t="n"/>
      <c r="F96" s="51" t="n"/>
      <c r="G96" s="51" t="n"/>
    </row>
    <row r="97">
      <c r="B97" s="51" t="n"/>
      <c r="C97" s="51" t="n"/>
      <c r="D97" s="51" t="n"/>
      <c r="E97" s="51" t="n"/>
      <c r="F97" s="51" t="n"/>
      <c r="G97" s="51" t="n"/>
    </row>
    <row r="98">
      <c r="B98" s="51" t="n"/>
      <c r="C98" s="51" t="n"/>
      <c r="D98" s="51" t="n"/>
      <c r="E98" s="51" t="n"/>
      <c r="F98" s="51" t="n"/>
      <c r="G98" s="51" t="n"/>
    </row>
    <row r="99">
      <c r="B99" s="51" t="n"/>
      <c r="C99" s="51" t="n"/>
      <c r="D99" s="51" t="n"/>
      <c r="E99" s="51" t="n"/>
      <c r="F99" s="51" t="n"/>
      <c r="G99" s="51" t="n"/>
    </row>
    <row r="100">
      <c r="B100" s="51" t="n"/>
      <c r="C100" s="51" t="n"/>
      <c r="D100" s="51" t="n"/>
      <c r="E100" s="51" t="n"/>
      <c r="F100" s="51" t="n"/>
      <c r="G100" s="51" t="n"/>
    </row>
    <row r="101">
      <c r="B101" s="51" t="n"/>
      <c r="C101" s="51" t="n"/>
      <c r="D101" s="51" t="n"/>
      <c r="E101" s="51" t="n"/>
      <c r="F101" s="51" t="n"/>
      <c r="G101" s="51" t="n"/>
    </row>
    <row r="102">
      <c r="B102" s="51" t="n"/>
      <c r="C102" s="51" t="n"/>
      <c r="D102" s="51" t="n"/>
      <c r="E102" s="51" t="n"/>
      <c r="F102" s="51" t="n"/>
      <c r="G102" s="51" t="n"/>
    </row>
    <row r="103">
      <c r="B103" s="51" t="n"/>
      <c r="C103" s="51" t="n"/>
      <c r="D103" s="51" t="n"/>
      <c r="E103" s="51" t="n"/>
      <c r="F103" s="51" t="n"/>
      <c r="G103" s="51" t="n"/>
    </row>
    <row r="104">
      <c r="B104" s="51" t="n"/>
      <c r="C104" s="51" t="n"/>
      <c r="D104" s="51" t="n"/>
      <c r="E104" s="51" t="n"/>
      <c r="F104" s="51" t="n"/>
      <c r="G104" s="51" t="n"/>
    </row>
    <row r="105">
      <c r="B105" s="51" t="n"/>
      <c r="C105" s="51" t="n"/>
      <c r="D105" s="51" t="n"/>
      <c r="E105" s="51" t="n"/>
      <c r="F105" s="51" t="n"/>
      <c r="G105" s="51" t="n"/>
    </row>
    <row r="106">
      <c r="B106" s="51" t="n"/>
      <c r="C106" s="51" t="n"/>
      <c r="D106" s="51" t="n"/>
      <c r="E106" s="51" t="n"/>
      <c r="F106" s="51" t="n"/>
      <c r="G106" s="51" t="n"/>
    </row>
    <row r="107">
      <c r="B107" s="51" t="n"/>
      <c r="C107" s="51" t="n"/>
      <c r="D107" s="51" t="n"/>
      <c r="E107" s="51" t="n"/>
      <c r="F107" s="51" t="n"/>
      <c r="G107" s="51" t="n"/>
    </row>
    <row r="108">
      <c r="B108" s="51" t="n"/>
      <c r="C108" s="51" t="n"/>
      <c r="D108" s="51" t="n"/>
      <c r="E108" s="51" t="n"/>
      <c r="F108" s="51" t="n"/>
      <c r="G108" s="51" t="n"/>
    </row>
    <row r="109">
      <c r="B109" s="51" t="n"/>
      <c r="C109" s="51" t="n"/>
      <c r="D109" s="51" t="n"/>
      <c r="E109" s="51" t="n"/>
      <c r="F109" s="51" t="n"/>
      <c r="G109" s="51" t="n"/>
    </row>
    <row r="110">
      <c r="B110" s="51" t="n"/>
      <c r="C110" s="51" t="n"/>
      <c r="D110" s="51" t="n"/>
      <c r="E110" s="51" t="n"/>
      <c r="F110" s="51" t="n"/>
      <c r="G110" s="51" t="n"/>
    </row>
    <row r="111">
      <c r="B111" s="51" t="n"/>
      <c r="C111" s="51" t="n"/>
      <c r="D111" s="51" t="n"/>
      <c r="E111" s="51" t="n"/>
      <c r="F111" s="51" t="n"/>
      <c r="G111" s="51" t="n"/>
    </row>
    <row r="112">
      <c r="B112" s="51" t="n"/>
      <c r="C112" s="51" t="n"/>
      <c r="D112" s="51" t="n"/>
      <c r="E112" s="51" t="n"/>
      <c r="F112" s="51" t="n"/>
      <c r="G112" s="51" t="n"/>
    </row>
    <row r="113">
      <c r="B113" s="51" t="n"/>
      <c r="C113" s="51" t="n"/>
      <c r="D113" s="51" t="n"/>
      <c r="E113" s="51" t="n"/>
      <c r="F113" s="51" t="n"/>
      <c r="G113" s="51" t="n"/>
    </row>
    <row r="114">
      <c r="B114" s="51" t="n"/>
      <c r="C114" s="51" t="n"/>
      <c r="D114" s="51" t="n"/>
      <c r="E114" s="51" t="n"/>
      <c r="F114" s="51" t="n"/>
      <c r="G114" s="51" t="n"/>
    </row>
    <row r="115">
      <c r="B115" s="51" t="n"/>
      <c r="C115" s="51" t="n"/>
      <c r="D115" s="51" t="n"/>
      <c r="E115" s="51" t="n"/>
      <c r="F115" s="51" t="n"/>
      <c r="G115" s="51" t="n"/>
    </row>
    <row r="116">
      <c r="B116" s="51" t="n"/>
      <c r="C116" s="51" t="n"/>
      <c r="D116" s="51" t="n"/>
      <c r="E116" s="51" t="n"/>
      <c r="F116" s="51" t="n"/>
      <c r="G116" s="51" t="n"/>
    </row>
    <row r="117">
      <c r="B117" s="51" t="n"/>
      <c r="C117" s="51" t="n"/>
      <c r="D117" s="51" t="n"/>
      <c r="E117" s="51" t="n"/>
      <c r="F117" s="51" t="n"/>
      <c r="G117" s="51" t="n"/>
    </row>
    <row r="118">
      <c r="B118" s="51" t="n"/>
      <c r="C118" s="51" t="n"/>
      <c r="D118" s="51" t="n"/>
      <c r="E118" s="51" t="n"/>
      <c r="F118" s="51" t="n"/>
      <c r="G118" s="51" t="n"/>
    </row>
    <row r="119">
      <c r="B119" s="51" t="n"/>
      <c r="C119" s="51" t="n"/>
      <c r="D119" s="51" t="n"/>
      <c r="E119" s="51" t="n"/>
      <c r="F119" s="51" t="n"/>
      <c r="G119" s="51" t="n"/>
    </row>
    <row r="120">
      <c r="B120" s="51" t="n"/>
      <c r="C120" s="51" t="n"/>
      <c r="D120" s="51" t="n"/>
      <c r="E120" s="51" t="n"/>
      <c r="F120" s="51" t="n"/>
      <c r="G120" s="51" t="n"/>
    </row>
    <row r="121">
      <c r="B121" s="51" t="n"/>
      <c r="C121" s="51" t="n"/>
      <c r="D121" s="51" t="n"/>
      <c r="E121" s="51" t="n"/>
      <c r="F121" s="51" t="n"/>
      <c r="G121" s="51" t="n"/>
    </row>
    <row r="122">
      <c r="B122" s="51" t="n"/>
      <c r="C122" s="51" t="n"/>
      <c r="D122" s="51" t="n"/>
      <c r="E122" s="51" t="n"/>
      <c r="F122" s="51" t="n"/>
      <c r="G122" s="51" t="n"/>
    </row>
    <row r="123">
      <c r="B123" s="51" t="n"/>
      <c r="C123" s="51" t="n"/>
      <c r="D123" s="51" t="n"/>
      <c r="E123" s="51" t="n"/>
      <c r="F123" s="51" t="n"/>
      <c r="G123" s="51" t="n"/>
    </row>
    <row r="124">
      <c r="B124" s="51" t="n"/>
      <c r="C124" s="51" t="n"/>
      <c r="D124" s="51" t="n"/>
      <c r="E124" s="51" t="n"/>
      <c r="F124" s="51" t="n"/>
      <c r="G124" s="51" t="n"/>
    </row>
    <row r="125">
      <c r="B125" s="51" t="n"/>
      <c r="C125" s="51" t="n"/>
      <c r="D125" s="51" t="n"/>
      <c r="E125" s="51" t="n"/>
      <c r="F125" s="51" t="n"/>
      <c r="G125" s="51" t="n"/>
    </row>
    <row r="126">
      <c r="B126" s="51" t="n"/>
      <c r="C126" s="51" t="n"/>
      <c r="D126" s="51" t="n"/>
      <c r="E126" s="51" t="n"/>
      <c r="F126" s="51" t="n"/>
      <c r="G126" s="51" t="n"/>
    </row>
    <row r="127">
      <c r="B127" s="51" t="n"/>
      <c r="C127" s="51" t="n"/>
      <c r="D127" s="51" t="n"/>
      <c r="E127" s="51" t="n"/>
      <c r="F127" s="51" t="n"/>
      <c r="G127" s="51" t="n"/>
    </row>
    <row r="128">
      <c r="B128" s="51" t="n"/>
      <c r="C128" s="51" t="n"/>
      <c r="D128" s="51" t="n"/>
      <c r="E128" s="51" t="n"/>
      <c r="F128" s="51" t="n"/>
      <c r="G128" s="51" t="n"/>
    </row>
    <row r="129">
      <c r="B129" s="51" t="n"/>
      <c r="C129" s="51" t="n"/>
      <c r="D129" s="51" t="n"/>
      <c r="E129" s="51" t="n"/>
      <c r="F129" s="51" t="n"/>
      <c r="G129" s="51" t="n"/>
    </row>
    <row r="130">
      <c r="B130" s="51" t="n"/>
      <c r="C130" s="51" t="n"/>
      <c r="D130" s="51" t="n"/>
      <c r="E130" s="51" t="n"/>
      <c r="F130" s="51" t="n"/>
      <c r="G130" s="51" t="n"/>
    </row>
    <row r="131">
      <c r="B131" s="51" t="n"/>
      <c r="C131" s="51" t="n"/>
      <c r="D131" s="51" t="n"/>
      <c r="E131" s="51" t="n"/>
      <c r="F131" s="51" t="n"/>
      <c r="G131" s="51" t="n"/>
    </row>
    <row r="132">
      <c r="B132" s="51" t="n"/>
      <c r="C132" s="51" t="n"/>
      <c r="D132" s="51" t="n"/>
      <c r="E132" s="51" t="n"/>
      <c r="F132" s="51" t="n"/>
      <c r="G132" s="51" t="n"/>
    </row>
    <row r="133">
      <c r="B133" s="51" t="n"/>
      <c r="C133" s="51" t="n"/>
      <c r="D133" s="51" t="n"/>
      <c r="E133" s="51" t="n"/>
      <c r="F133" s="51" t="n"/>
      <c r="G133" s="51" t="n"/>
    </row>
    <row r="134">
      <c r="B134" s="51" t="n"/>
      <c r="C134" s="51" t="n"/>
      <c r="D134" s="51" t="n"/>
      <c r="E134" s="51" t="n"/>
      <c r="F134" s="51" t="n"/>
      <c r="G134" s="51" t="n"/>
    </row>
    <row r="135">
      <c r="B135" s="51" t="n"/>
      <c r="C135" s="51" t="n"/>
      <c r="D135" s="51" t="n"/>
      <c r="E135" s="51" t="n"/>
      <c r="F135" s="51" t="n"/>
      <c r="G135" s="51" t="n"/>
    </row>
    <row r="136">
      <c r="B136" s="51" t="n"/>
      <c r="C136" s="51" t="n"/>
      <c r="D136" s="51" t="n"/>
      <c r="E136" s="51" t="n"/>
      <c r="F136" s="51" t="n"/>
      <c r="G136" s="51" t="n"/>
    </row>
    <row r="137">
      <c r="B137" s="51" t="n"/>
      <c r="C137" s="51" t="n"/>
      <c r="D137" s="51" t="n"/>
      <c r="E137" s="51" t="n"/>
      <c r="F137" s="51" t="n"/>
      <c r="G137" s="51" t="n"/>
    </row>
    <row r="138">
      <c r="B138" s="51" t="n"/>
      <c r="C138" s="51" t="n"/>
      <c r="D138" s="51" t="n"/>
      <c r="E138" s="51" t="n"/>
      <c r="F138" s="51" t="n"/>
      <c r="G138" s="51" t="n"/>
    </row>
    <row r="139">
      <c r="B139" s="51" t="n"/>
      <c r="C139" s="51" t="n"/>
      <c r="D139" s="51" t="n"/>
      <c r="E139" s="51" t="n"/>
      <c r="F139" s="51" t="n"/>
      <c r="G139" s="51" t="n"/>
    </row>
    <row r="140">
      <c r="B140" s="51" t="n"/>
      <c r="C140" s="51" t="n"/>
      <c r="D140" s="51" t="n"/>
      <c r="E140" s="51" t="n"/>
      <c r="F140" s="51" t="n"/>
      <c r="G140" s="51" t="n"/>
    </row>
    <row r="141">
      <c r="B141" s="51" t="n"/>
      <c r="C141" s="51" t="n"/>
      <c r="D141" s="51" t="n"/>
      <c r="E141" s="51" t="n"/>
      <c r="F141" s="51" t="n"/>
      <c r="G141" s="51" t="n"/>
    </row>
    <row r="142">
      <c r="B142" s="51" t="n"/>
      <c r="C142" s="51" t="n"/>
      <c r="D142" s="51" t="n"/>
      <c r="E142" s="51" t="n"/>
      <c r="F142" s="51" t="n"/>
      <c r="G142" s="51" t="n"/>
    </row>
    <row r="143">
      <c r="B143" s="51" t="n"/>
      <c r="C143" s="51" t="n"/>
      <c r="D143" s="51" t="n"/>
      <c r="E143" s="51" t="n"/>
      <c r="F143" s="51" t="n"/>
      <c r="G143" s="51" t="n"/>
    </row>
    <row r="144">
      <c r="B144" s="51" t="n"/>
      <c r="C144" s="51" t="n"/>
      <c r="D144" s="51" t="n"/>
      <c r="E144" s="51" t="n"/>
      <c r="F144" s="51" t="n"/>
      <c r="G144" s="51" t="n"/>
    </row>
    <row r="145">
      <c r="B145" s="51" t="n"/>
      <c r="C145" s="51" t="n"/>
      <c r="D145" s="51" t="n"/>
      <c r="E145" s="51" t="n"/>
      <c r="F145" s="51" t="n"/>
      <c r="G145" s="51" t="n"/>
    </row>
    <row r="146">
      <c r="B146" s="51" t="n"/>
      <c r="C146" s="51" t="n"/>
      <c r="D146" s="51" t="n"/>
      <c r="E146" s="51" t="n"/>
      <c r="F146" s="51" t="n"/>
      <c r="G146" s="51" t="n"/>
    </row>
    <row r="147">
      <c r="B147" s="51" t="n"/>
      <c r="C147" s="51" t="n"/>
      <c r="D147" s="51" t="n"/>
      <c r="E147" s="51" t="n"/>
      <c r="F147" s="51" t="n"/>
      <c r="G147" s="51" t="n"/>
    </row>
    <row r="148">
      <c r="B148" s="51" t="n"/>
      <c r="C148" s="51" t="n"/>
      <c r="D148" s="51" t="n"/>
      <c r="E148" s="51" t="n"/>
      <c r="F148" s="51" t="n"/>
      <c r="G148" s="51" t="n"/>
    </row>
    <row r="149">
      <c r="B149" s="51" t="n"/>
      <c r="C149" s="51" t="n"/>
      <c r="D149" s="51" t="n"/>
      <c r="E149" s="51" t="n"/>
      <c r="F149" s="51" t="n"/>
      <c r="G149" s="51" t="n"/>
    </row>
    <row r="150">
      <c r="B150" s="51" t="n"/>
      <c r="C150" s="51" t="n"/>
      <c r="D150" s="51" t="n"/>
      <c r="E150" s="51" t="n"/>
      <c r="F150" s="51" t="n"/>
      <c r="G150" s="51" t="n"/>
    </row>
    <row r="151">
      <c r="B151" s="51" t="n"/>
      <c r="C151" s="51" t="n"/>
      <c r="D151" s="51" t="n"/>
      <c r="E151" s="51" t="n"/>
      <c r="F151" s="51" t="n"/>
      <c r="G151" s="51" t="n"/>
    </row>
    <row r="152">
      <c r="B152" s="51" t="n"/>
      <c r="C152" s="51" t="n"/>
      <c r="D152" s="51" t="n"/>
      <c r="E152" s="51" t="n"/>
      <c r="F152" s="51" t="n"/>
      <c r="G152" s="51" t="n"/>
    </row>
    <row r="153">
      <c r="B153" s="51" t="n"/>
      <c r="C153" s="51" t="n"/>
      <c r="D153" s="51" t="n"/>
      <c r="E153" s="51" t="n"/>
      <c r="F153" s="51" t="n"/>
      <c r="G153" s="51" t="n"/>
    </row>
    <row r="154">
      <c r="B154" s="51" t="n"/>
      <c r="C154" s="51" t="n"/>
      <c r="D154" s="51" t="n"/>
      <c r="E154" s="51" t="n"/>
      <c r="F154" s="51" t="n"/>
      <c r="G154" s="51" t="n"/>
    </row>
    <row r="155">
      <c r="B155" s="51" t="n"/>
      <c r="C155" s="51" t="n"/>
      <c r="D155" s="51" t="n"/>
      <c r="E155" s="51" t="n"/>
      <c r="F155" s="51" t="n"/>
      <c r="G155" s="51" t="n"/>
    </row>
    <row r="156">
      <c r="B156" s="51" t="n"/>
      <c r="C156" s="51" t="n"/>
      <c r="D156" s="51" t="n"/>
      <c r="E156" s="51" t="n"/>
      <c r="F156" s="51" t="n"/>
      <c r="G156" s="51" t="n"/>
    </row>
    <row r="157">
      <c r="B157" s="51" t="n"/>
      <c r="C157" s="51" t="n"/>
      <c r="D157" s="51" t="n"/>
      <c r="E157" s="51" t="n"/>
      <c r="F157" s="51" t="n"/>
      <c r="G157" s="51" t="n"/>
    </row>
    <row r="158">
      <c r="B158" s="51" t="n"/>
      <c r="C158" s="51" t="n"/>
      <c r="D158" s="51" t="n"/>
      <c r="E158" s="51" t="n"/>
      <c r="F158" s="51" t="n"/>
      <c r="G158" s="51" t="n"/>
    </row>
    <row r="159">
      <c r="B159" s="51" t="n"/>
      <c r="C159" s="51" t="n"/>
      <c r="D159" s="51" t="n"/>
      <c r="E159" s="51" t="n"/>
      <c r="F159" s="51" t="n"/>
      <c r="G159" s="51" t="n"/>
    </row>
    <row r="160">
      <c r="B160" s="51" t="n"/>
      <c r="C160" s="51" t="n"/>
      <c r="D160" s="51" t="n"/>
      <c r="E160" s="51" t="n"/>
      <c r="F160" s="51" t="n"/>
      <c r="G160" s="51" t="n"/>
    </row>
    <row r="161">
      <c r="B161" s="51" t="n"/>
      <c r="C161" s="51" t="n"/>
      <c r="D161" s="51" t="n"/>
      <c r="E161" s="51" t="n"/>
      <c r="F161" s="51" t="n"/>
      <c r="G161" s="51" t="n"/>
    </row>
    <row r="162">
      <c r="B162" s="51" t="n"/>
      <c r="C162" s="51" t="n"/>
      <c r="D162" s="51" t="n"/>
      <c r="E162" s="51" t="n"/>
      <c r="F162" s="51" t="n"/>
      <c r="G162" s="51" t="n"/>
    </row>
    <row r="163">
      <c r="B163" s="51" t="n"/>
      <c r="C163" s="51" t="n"/>
      <c r="D163" s="51" t="n"/>
      <c r="E163" s="51" t="n"/>
      <c r="F163" s="51" t="n"/>
      <c r="G163" s="51" t="n"/>
    </row>
    <row r="164">
      <c r="B164" s="51" t="n"/>
      <c r="C164" s="51" t="n"/>
      <c r="D164" s="51" t="n"/>
      <c r="E164" s="51" t="n"/>
      <c r="F164" s="51" t="n"/>
      <c r="G164" s="51" t="n"/>
    </row>
    <row r="165">
      <c r="B165" s="51" t="n"/>
      <c r="C165" s="51" t="n"/>
      <c r="D165" s="51" t="n"/>
      <c r="E165" s="51" t="n"/>
      <c r="F165" s="51" t="n"/>
      <c r="G165" s="51" t="n"/>
    </row>
    <row r="166">
      <c r="B166" s="51" t="n"/>
      <c r="C166" s="51" t="n"/>
      <c r="D166" s="51" t="n"/>
      <c r="E166" s="51" t="n"/>
      <c r="F166" s="51" t="n"/>
      <c r="G166" s="51" t="n"/>
    </row>
    <row r="167">
      <c r="B167" s="51" t="n"/>
      <c r="C167" s="51" t="n"/>
      <c r="D167" s="51" t="n"/>
      <c r="E167" s="51" t="n"/>
      <c r="F167" s="51" t="n"/>
      <c r="G167" s="51" t="n"/>
    </row>
    <row r="168">
      <c r="B168" s="51" t="n"/>
      <c r="C168" s="51" t="n"/>
      <c r="D168" s="51" t="n"/>
      <c r="E168" s="51" t="n"/>
      <c r="F168" s="51" t="n"/>
      <c r="G168" s="51" t="n"/>
    </row>
    <row r="169">
      <c r="B169" s="51" t="n"/>
      <c r="C169" s="51" t="n"/>
      <c r="D169" s="51" t="n"/>
      <c r="E169" s="51" t="n"/>
      <c r="F169" s="51" t="n"/>
      <c r="G169" s="51" t="n"/>
    </row>
    <row r="170">
      <c r="B170" s="51" t="n"/>
      <c r="C170" s="51" t="n"/>
      <c r="D170" s="51" t="n"/>
      <c r="E170" s="51" t="n"/>
      <c r="F170" s="51" t="n"/>
      <c r="G170" s="51" t="n"/>
    </row>
    <row r="171">
      <c r="B171" s="51" t="n"/>
      <c r="C171" s="51" t="n"/>
      <c r="D171" s="51" t="n"/>
      <c r="E171" s="51" t="n"/>
      <c r="F171" s="51" t="n"/>
      <c r="G171" s="51" t="n"/>
    </row>
    <row r="172">
      <c r="B172" s="51" t="n"/>
      <c r="C172" s="51" t="n"/>
      <c r="D172" s="51" t="n"/>
      <c r="E172" s="51" t="n"/>
      <c r="F172" s="51" t="n"/>
      <c r="G172" s="51" t="n"/>
    </row>
    <row r="173">
      <c r="B173" s="51" t="n"/>
      <c r="C173" s="51" t="n"/>
      <c r="D173" s="51" t="n"/>
      <c r="E173" s="51" t="n"/>
      <c r="F173" s="51" t="n"/>
      <c r="G173" s="51" t="n"/>
    </row>
    <row r="174">
      <c r="B174" s="51" t="n"/>
      <c r="C174" s="51" t="n"/>
      <c r="D174" s="51" t="n"/>
      <c r="E174" s="51" t="n"/>
      <c r="F174" s="51" t="n"/>
      <c r="G174" s="51" t="n"/>
    </row>
    <row r="175">
      <c r="B175" s="51" t="n"/>
      <c r="C175" s="51" t="n"/>
      <c r="D175" s="51" t="n"/>
      <c r="E175" s="51" t="n"/>
      <c r="F175" s="51" t="n"/>
      <c r="G175" s="51" t="n"/>
    </row>
    <row r="176">
      <c r="B176" s="51" t="n"/>
      <c r="C176" s="51" t="n"/>
      <c r="D176" s="51" t="n"/>
      <c r="E176" s="51" t="n"/>
      <c r="F176" s="51" t="n"/>
      <c r="G176" s="51" t="n"/>
    </row>
    <row r="177">
      <c r="B177" s="51" t="n"/>
      <c r="C177" s="51" t="n"/>
      <c r="D177" s="51" t="n"/>
      <c r="E177" s="51" t="n"/>
      <c r="F177" s="51" t="n"/>
      <c r="G177" s="51" t="n"/>
    </row>
    <row r="178">
      <c r="B178" s="51" t="n"/>
      <c r="C178" s="51" t="n"/>
      <c r="D178" s="51" t="n"/>
      <c r="E178" s="51" t="n"/>
      <c r="F178" s="51" t="n"/>
      <c r="G178" s="51" t="n"/>
    </row>
    <row r="179">
      <c r="B179" s="51" t="n"/>
      <c r="C179" s="51" t="n"/>
      <c r="D179" s="51" t="n"/>
      <c r="E179" s="51" t="n"/>
      <c r="F179" s="51" t="n"/>
      <c r="G179" s="51" t="n"/>
    </row>
    <row r="180">
      <c r="B180" s="51" t="n"/>
      <c r="C180" s="51" t="n"/>
      <c r="D180" s="51" t="n"/>
      <c r="E180" s="51" t="n"/>
      <c r="F180" s="51" t="n"/>
      <c r="G180" s="51" t="n"/>
    </row>
    <row r="181">
      <c r="B181" s="51" t="n"/>
      <c r="C181" s="51" t="n"/>
      <c r="D181" s="51" t="n"/>
      <c r="E181" s="51" t="n"/>
      <c r="F181" s="51" t="n"/>
      <c r="G181" s="51" t="n"/>
    </row>
    <row r="182">
      <c r="B182" s="51" t="n"/>
      <c r="C182" s="51" t="n"/>
      <c r="D182" s="51" t="n"/>
      <c r="E182" s="51" t="n"/>
      <c r="F182" s="51" t="n"/>
      <c r="G182" s="51" t="n"/>
    </row>
    <row r="183">
      <c r="B183" s="51" t="n"/>
      <c r="C183" s="51" t="n"/>
      <c r="D183" s="51" t="n"/>
      <c r="E183" s="51" t="n"/>
      <c r="F183" s="51" t="n"/>
      <c r="G183" s="51" t="n"/>
    </row>
    <row r="184">
      <c r="B184" s="51" t="n"/>
      <c r="C184" s="51" t="n"/>
      <c r="D184" s="51" t="n"/>
      <c r="E184" s="51" t="n"/>
      <c r="F184" s="51" t="n"/>
      <c r="G184" s="51" t="n"/>
    </row>
    <row r="185">
      <c r="B185" s="51" t="n"/>
      <c r="C185" s="51" t="n"/>
      <c r="D185" s="51" t="n"/>
      <c r="E185" s="51" t="n"/>
      <c r="F185" s="51" t="n"/>
      <c r="G185" s="51" t="n"/>
    </row>
    <row r="186">
      <c r="B186" s="51" t="n"/>
      <c r="C186" s="51" t="n"/>
      <c r="D186" s="51" t="n"/>
      <c r="E186" s="51" t="n"/>
      <c r="F186" s="51" t="n"/>
      <c r="G186" s="51" t="n"/>
    </row>
    <row r="187">
      <c r="B187" s="51" t="n"/>
      <c r="C187" s="51" t="n"/>
      <c r="D187" s="51" t="n"/>
      <c r="E187" s="51" t="n"/>
      <c r="F187" s="51" t="n"/>
      <c r="G187" s="51" t="n"/>
    </row>
    <row r="188">
      <c r="B188" s="51" t="n"/>
      <c r="C188" s="51" t="n"/>
      <c r="D188" s="51" t="n"/>
      <c r="E188" s="51" t="n"/>
      <c r="F188" s="51" t="n"/>
      <c r="G188" s="51" t="n"/>
    </row>
    <row r="189">
      <c r="B189" s="51" t="n"/>
      <c r="C189" s="51" t="n"/>
      <c r="D189" s="51" t="n"/>
      <c r="E189" s="51" t="n"/>
      <c r="F189" s="51" t="n"/>
      <c r="G189" s="51" t="n"/>
    </row>
    <row r="190">
      <c r="B190" s="51" t="n"/>
      <c r="C190" s="51" t="n"/>
      <c r="D190" s="51" t="n"/>
      <c r="E190" s="51" t="n"/>
      <c r="F190" s="51" t="n"/>
      <c r="G190" s="51" t="n"/>
    </row>
    <row r="191">
      <c r="B191" s="51" t="n"/>
      <c r="C191" s="51" t="n"/>
      <c r="D191" s="51" t="n"/>
      <c r="E191" s="51" t="n"/>
      <c r="F191" s="51" t="n"/>
      <c r="G191" s="51" t="n"/>
    </row>
    <row r="192">
      <c r="B192" s="51" t="n"/>
      <c r="C192" s="51" t="n"/>
      <c r="D192" s="51" t="n"/>
      <c r="E192" s="51" t="n"/>
      <c r="F192" s="51" t="n"/>
      <c r="G192" s="51" t="n"/>
    </row>
    <row r="193">
      <c r="B193" s="51" t="n"/>
      <c r="C193" s="51" t="n"/>
      <c r="D193" s="51" t="n"/>
      <c r="E193" s="51" t="n"/>
      <c r="F193" s="51" t="n"/>
      <c r="G193" s="51" t="n"/>
    </row>
    <row r="194">
      <c r="B194" s="51" t="n"/>
      <c r="C194" s="51" t="n"/>
      <c r="D194" s="51" t="n"/>
      <c r="E194" s="51" t="n"/>
      <c r="F194" s="51" t="n"/>
      <c r="G194" s="51" t="n"/>
    </row>
    <row r="195">
      <c r="B195" s="51" t="n"/>
      <c r="C195" s="51" t="n"/>
      <c r="D195" s="51" t="n"/>
      <c r="E195" s="51" t="n"/>
      <c r="F195" s="51" t="n"/>
      <c r="G195" s="51" t="n"/>
    </row>
    <row r="196">
      <c r="B196" s="51" t="n"/>
      <c r="C196" s="51" t="n"/>
      <c r="D196" s="51" t="n"/>
      <c r="E196" s="51" t="n"/>
      <c r="F196" s="51" t="n"/>
      <c r="G196" s="51" t="n"/>
    </row>
    <row r="197">
      <c r="B197" s="51" t="n"/>
      <c r="C197" s="51" t="n"/>
      <c r="D197" s="51" t="n"/>
      <c r="E197" s="51" t="n"/>
      <c r="F197" s="51" t="n"/>
      <c r="G197" s="51" t="n"/>
    </row>
    <row r="198">
      <c r="B198" s="51" t="n"/>
      <c r="C198" s="51" t="n"/>
      <c r="D198" s="51" t="n"/>
      <c r="E198" s="51" t="n"/>
      <c r="F198" s="51" t="n"/>
      <c r="G198" s="51" t="n"/>
    </row>
    <row r="199">
      <c r="B199" s="51" t="n"/>
      <c r="C199" s="51" t="n"/>
      <c r="D199" s="51" t="n"/>
      <c r="E199" s="51" t="n"/>
      <c r="F199" s="51" t="n"/>
      <c r="G199" s="51" t="n"/>
    </row>
    <row r="200">
      <c r="B200" s="51" t="n"/>
      <c r="C200" s="51" t="n"/>
      <c r="D200" s="51" t="n"/>
      <c r="E200" s="51" t="n"/>
      <c r="F200" s="51" t="n"/>
      <c r="G200" s="51" t="n"/>
    </row>
    <row r="201">
      <c r="B201" s="51" t="n"/>
      <c r="C201" s="51" t="n"/>
      <c r="D201" s="51" t="n"/>
      <c r="E201" s="51" t="n"/>
      <c r="F201" s="51" t="n"/>
      <c r="G201" s="51" t="n"/>
    </row>
    <row r="202">
      <c r="B202" s="51" t="n"/>
      <c r="C202" s="51" t="n"/>
      <c r="D202" s="51" t="n"/>
      <c r="E202" s="51" t="n"/>
      <c r="F202" s="51" t="n"/>
      <c r="G202" s="51" t="n"/>
    </row>
    <row r="203">
      <c r="B203" s="51" t="n"/>
      <c r="C203" s="51" t="n"/>
      <c r="D203" s="51" t="n"/>
      <c r="E203" s="51" t="n"/>
      <c r="F203" s="51" t="n"/>
      <c r="G203" s="51" t="n"/>
    </row>
    <row r="204">
      <c r="B204" s="51" t="n"/>
      <c r="C204" s="51" t="n"/>
      <c r="D204" s="51" t="n"/>
      <c r="E204" s="51" t="n"/>
      <c r="F204" s="51" t="n"/>
      <c r="G204" s="51" t="n"/>
    </row>
    <row r="205">
      <c r="B205" s="51" t="n"/>
      <c r="C205" s="51" t="n"/>
      <c r="D205" s="51" t="n"/>
      <c r="E205" s="51" t="n"/>
      <c r="F205" s="51" t="n"/>
      <c r="G205" s="51" t="n"/>
    </row>
    <row r="206">
      <c r="B206" s="51" t="n"/>
      <c r="C206" s="51" t="n"/>
      <c r="D206" s="51" t="n"/>
      <c r="E206" s="51" t="n"/>
      <c r="F206" s="51" t="n"/>
      <c r="G206" s="51" t="n"/>
    </row>
    <row r="207">
      <c r="B207" s="51" t="n"/>
      <c r="C207" s="51" t="n"/>
      <c r="D207" s="51" t="n"/>
      <c r="E207" s="51" t="n"/>
      <c r="F207" s="51" t="n"/>
      <c r="G207" s="51" t="n"/>
    </row>
    <row r="208">
      <c r="B208" s="51" t="n"/>
      <c r="C208" s="51" t="n"/>
      <c r="D208" s="51" t="n"/>
      <c r="E208" s="51" t="n"/>
      <c r="F208" s="51" t="n"/>
      <c r="G208" s="51" t="n"/>
    </row>
    <row r="209">
      <c r="B209" s="51" t="n"/>
      <c r="C209" s="51" t="n"/>
      <c r="D209" s="51" t="n"/>
      <c r="E209" s="51" t="n"/>
      <c r="F209" s="51" t="n"/>
      <c r="G209" s="51" t="n"/>
    </row>
    <row r="210">
      <c r="B210" s="51" t="n"/>
      <c r="C210" s="51" t="n"/>
      <c r="D210" s="51" t="n"/>
      <c r="E210" s="51" t="n"/>
      <c r="F210" s="51" t="n"/>
      <c r="G210" s="51" t="n"/>
    </row>
    <row r="211">
      <c r="B211" s="51" t="n"/>
      <c r="C211" s="51" t="n"/>
      <c r="D211" s="51" t="n"/>
      <c r="E211" s="51" t="n"/>
      <c r="F211" s="51" t="n"/>
      <c r="G211" s="51" t="n"/>
    </row>
    <row r="212">
      <c r="B212" s="51" t="n"/>
      <c r="C212" s="51" t="n"/>
      <c r="D212" s="51" t="n"/>
      <c r="E212" s="51" t="n"/>
      <c r="F212" s="51" t="n"/>
      <c r="G212" s="51" t="n"/>
    </row>
    <row r="213">
      <c r="B213" s="51" t="n"/>
      <c r="C213" s="51" t="n"/>
      <c r="D213" s="51" t="n"/>
      <c r="E213" s="51" t="n"/>
      <c r="F213" s="51" t="n"/>
      <c r="G213" s="51" t="n"/>
    </row>
    <row r="214">
      <c r="B214" s="51" t="n"/>
      <c r="C214" s="51" t="n"/>
      <c r="D214" s="51" t="n"/>
      <c r="E214" s="51" t="n"/>
      <c r="F214" s="51" t="n"/>
      <c r="G214" s="51" t="n"/>
    </row>
    <row r="215">
      <c r="B215" s="51" t="n"/>
      <c r="C215" s="51" t="n"/>
      <c r="D215" s="51" t="n"/>
      <c r="E215" s="51" t="n"/>
      <c r="F215" s="51" t="n"/>
      <c r="G215" s="51" t="n"/>
    </row>
    <row r="216">
      <c r="B216" s="51" t="n"/>
      <c r="C216" s="51" t="n"/>
      <c r="D216" s="51" t="n"/>
      <c r="E216" s="51" t="n"/>
      <c r="F216" s="51" t="n"/>
      <c r="G216" s="51" t="n"/>
    </row>
    <row r="217">
      <c r="B217" s="51" t="n"/>
      <c r="C217" s="51" t="n"/>
      <c r="D217" s="51" t="n"/>
      <c r="E217" s="51" t="n"/>
      <c r="F217" s="51" t="n"/>
      <c r="G217" s="51" t="n"/>
    </row>
    <row r="218">
      <c r="B218" s="51" t="n"/>
      <c r="C218" s="51" t="n"/>
      <c r="D218" s="51" t="n"/>
      <c r="E218" s="51" t="n"/>
      <c r="F218" s="51" t="n"/>
      <c r="G218" s="51" t="n"/>
    </row>
    <row r="219">
      <c r="B219" s="51" t="n"/>
      <c r="C219" s="51" t="n"/>
      <c r="D219" s="51" t="n"/>
      <c r="E219" s="51" t="n"/>
      <c r="F219" s="51" t="n"/>
      <c r="G219" s="51" t="n"/>
    </row>
    <row r="220">
      <c r="B220" s="51" t="n"/>
      <c r="C220" s="51" t="n"/>
      <c r="D220" s="51" t="n"/>
      <c r="E220" s="51" t="n"/>
      <c r="F220" s="51" t="n"/>
      <c r="G220" s="51" t="n"/>
    </row>
    <row r="221">
      <c r="B221" s="51" t="n"/>
      <c r="C221" s="51" t="n"/>
      <c r="D221" s="51" t="n"/>
      <c r="E221" s="51" t="n"/>
      <c r="F221" s="51" t="n"/>
      <c r="G221" s="51" t="n"/>
    </row>
    <row r="222">
      <c r="B222" s="51" t="n"/>
      <c r="C222" s="51" t="n"/>
      <c r="D222" s="51" t="n"/>
      <c r="E222" s="51" t="n"/>
      <c r="F222" s="51" t="n"/>
      <c r="G222" s="51" t="n"/>
    </row>
    <row r="223">
      <c r="B223" s="51" t="n"/>
      <c r="C223" s="51" t="n"/>
      <c r="D223" s="51" t="n"/>
      <c r="E223" s="51" t="n"/>
      <c r="F223" s="51" t="n"/>
      <c r="G223" s="51" t="n"/>
    </row>
    <row r="224">
      <c r="B224" s="51" t="n"/>
      <c r="C224" s="51" t="n"/>
      <c r="D224" s="51" t="n"/>
      <c r="E224" s="51" t="n"/>
      <c r="F224" s="51" t="n"/>
      <c r="G224" s="51" t="n"/>
    </row>
    <row r="225">
      <c r="B225" s="51" t="n"/>
      <c r="C225" s="51" t="n"/>
      <c r="D225" s="51" t="n"/>
      <c r="E225" s="51" t="n"/>
      <c r="F225" s="51" t="n"/>
      <c r="G225" s="51" t="n"/>
    </row>
    <row r="226">
      <c r="B226" s="51" t="n"/>
      <c r="C226" s="51" t="n"/>
      <c r="D226" s="51" t="n"/>
      <c r="E226" s="51" t="n"/>
      <c r="F226" s="51" t="n"/>
      <c r="G226" s="51" t="n"/>
    </row>
    <row r="227">
      <c r="B227" s="51" t="n"/>
      <c r="C227" s="51" t="n"/>
      <c r="D227" s="51" t="n"/>
      <c r="E227" s="51" t="n"/>
      <c r="F227" s="51" t="n"/>
      <c r="G227" s="51" t="n"/>
    </row>
    <row r="228">
      <c r="B228" s="51" t="n"/>
      <c r="C228" s="51" t="n"/>
      <c r="D228" s="51" t="n"/>
      <c r="E228" s="51" t="n"/>
      <c r="F228" s="51" t="n"/>
      <c r="G228" s="51" t="n"/>
    </row>
    <row r="229">
      <c r="B229" s="51" t="n"/>
      <c r="C229" s="51" t="n"/>
      <c r="D229" s="51" t="n"/>
      <c r="E229" s="51" t="n"/>
      <c r="F229" s="51" t="n"/>
      <c r="G229" s="51" t="n"/>
    </row>
    <row r="230">
      <c r="B230" s="51" t="n"/>
      <c r="C230" s="51" t="n"/>
      <c r="D230" s="51" t="n"/>
      <c r="E230" s="51" t="n"/>
      <c r="F230" s="51" t="n"/>
      <c r="G230" s="51" t="n"/>
    </row>
    <row r="231">
      <c r="B231" s="51" t="n"/>
      <c r="C231" s="51" t="n"/>
      <c r="D231" s="51" t="n"/>
      <c r="E231" s="51" t="n"/>
      <c r="F231" s="51" t="n"/>
      <c r="G231" s="51" t="n"/>
    </row>
    <row r="232">
      <c r="B232" s="51" t="n"/>
      <c r="C232" s="51" t="n"/>
      <c r="D232" s="51" t="n"/>
      <c r="E232" s="51" t="n"/>
      <c r="F232" s="51" t="n"/>
      <c r="G232" s="51" t="n"/>
    </row>
    <row r="233">
      <c r="B233" s="51" t="n"/>
      <c r="C233" s="51" t="n"/>
      <c r="D233" s="51" t="n"/>
      <c r="E233" s="51" t="n"/>
      <c r="F233" s="51" t="n"/>
      <c r="G233" s="51" t="n"/>
    </row>
    <row r="234">
      <c r="B234" s="51" t="n"/>
      <c r="C234" s="51" t="n"/>
      <c r="D234" s="51" t="n"/>
      <c r="E234" s="51" t="n"/>
      <c r="F234" s="51" t="n"/>
      <c r="G234" s="51" t="n"/>
    </row>
    <row r="235">
      <c r="B235" s="51" t="n"/>
      <c r="C235" s="51" t="n"/>
      <c r="D235" s="51" t="n"/>
      <c r="E235" s="51" t="n"/>
      <c r="F235" s="51" t="n"/>
      <c r="G235" s="51" t="n"/>
    </row>
    <row r="236">
      <c r="B236" s="51" t="n"/>
      <c r="C236" s="51" t="n"/>
      <c r="D236" s="51" t="n"/>
      <c r="E236" s="51" t="n"/>
      <c r="F236" s="51" t="n"/>
      <c r="G236" s="51" t="n"/>
    </row>
    <row r="237">
      <c r="B237" s="51" t="n"/>
      <c r="C237" s="51" t="n"/>
      <c r="D237" s="51" t="n"/>
      <c r="E237" s="51" t="n"/>
      <c r="F237" s="51" t="n"/>
      <c r="G237" s="51" t="n"/>
    </row>
    <row r="238">
      <c r="B238" s="51" t="n"/>
      <c r="C238" s="51" t="n"/>
      <c r="D238" s="51" t="n"/>
      <c r="E238" s="51" t="n"/>
      <c r="F238" s="51" t="n"/>
      <c r="G238" s="51" t="n"/>
    </row>
    <row r="239">
      <c r="B239" s="51" t="n"/>
      <c r="C239" s="51" t="n"/>
      <c r="D239" s="51" t="n"/>
      <c r="E239" s="51" t="n"/>
      <c r="F239" s="51" t="n"/>
      <c r="G239" s="51" t="n"/>
    </row>
    <row r="240">
      <c r="B240" s="51" t="n"/>
      <c r="C240" s="51" t="n"/>
      <c r="D240" s="51" t="n"/>
      <c r="E240" s="51" t="n"/>
      <c r="F240" s="51" t="n"/>
      <c r="G240" s="51" t="n"/>
    </row>
    <row r="241">
      <c r="B241" s="51" t="n"/>
      <c r="C241" s="51" t="n"/>
      <c r="D241" s="51" t="n"/>
      <c r="E241" s="51" t="n"/>
      <c r="F241" s="51" t="n"/>
      <c r="G241" s="51" t="n"/>
    </row>
    <row r="242">
      <c r="B242" s="51" t="n"/>
      <c r="C242" s="51" t="n"/>
      <c r="D242" s="51" t="n"/>
      <c r="E242" s="51" t="n"/>
      <c r="F242" s="51" t="n"/>
      <c r="G242" s="51" t="n"/>
    </row>
    <row r="243">
      <c r="B243" s="51" t="n"/>
      <c r="C243" s="51" t="n"/>
      <c r="D243" s="51" t="n"/>
      <c r="E243" s="51" t="n"/>
      <c r="F243" s="51" t="n"/>
      <c r="G243" s="51" t="n"/>
    </row>
    <row r="244">
      <c r="B244" s="51" t="n"/>
      <c r="C244" s="51" t="n"/>
      <c r="D244" s="51" t="n"/>
      <c r="E244" s="51" t="n"/>
      <c r="F244" s="51" t="n"/>
      <c r="G244" s="51" t="n"/>
    </row>
    <row r="245">
      <c r="B245" s="51" t="n"/>
      <c r="C245" s="51" t="n"/>
      <c r="D245" s="51" t="n"/>
      <c r="E245" s="51" t="n"/>
      <c r="F245" s="51" t="n"/>
      <c r="G245" s="51" t="n"/>
    </row>
    <row r="246">
      <c r="B246" s="51" t="n"/>
      <c r="C246" s="51" t="n"/>
      <c r="D246" s="51" t="n"/>
      <c r="E246" s="51" t="n"/>
      <c r="F246" s="51" t="n"/>
      <c r="G246" s="51" t="n"/>
    </row>
    <row r="247">
      <c r="B247" s="51" t="n"/>
      <c r="C247" s="51" t="n"/>
      <c r="D247" s="51" t="n"/>
      <c r="E247" s="51" t="n"/>
      <c r="F247" s="51" t="n"/>
      <c r="G247" s="51" t="n"/>
    </row>
    <row r="248">
      <c r="B248" s="51" t="n"/>
      <c r="C248" s="51" t="n"/>
      <c r="D248" s="51" t="n"/>
      <c r="E248" s="51" t="n"/>
      <c r="F248" s="51" t="n"/>
      <c r="G248" s="51" t="n"/>
    </row>
    <row r="249">
      <c r="B249" s="51" t="n"/>
      <c r="C249" s="51" t="n"/>
      <c r="D249" s="51" t="n"/>
      <c r="E249" s="51" t="n"/>
      <c r="F249" s="51" t="n"/>
      <c r="G249" s="51" t="n"/>
    </row>
    <row r="250">
      <c r="B250" s="51" t="n"/>
      <c r="C250" s="51" t="n"/>
      <c r="D250" s="51" t="n"/>
      <c r="E250" s="51" t="n"/>
      <c r="F250" s="51" t="n"/>
      <c r="G250" s="51" t="n"/>
    </row>
    <row r="251">
      <c r="B251" s="51" t="n"/>
      <c r="C251" s="51" t="n"/>
      <c r="D251" s="51" t="n"/>
      <c r="E251" s="51" t="n"/>
      <c r="F251" s="51" t="n"/>
      <c r="G251" s="51" t="n"/>
    </row>
    <row r="252">
      <c r="B252" s="51" t="n"/>
      <c r="C252" s="51" t="n"/>
      <c r="D252" s="51" t="n"/>
      <c r="E252" s="51" t="n"/>
      <c r="F252" s="51" t="n"/>
      <c r="G252" s="51" t="n"/>
    </row>
    <row r="253">
      <c r="B253" s="51" t="n"/>
      <c r="C253" s="51" t="n"/>
      <c r="D253" s="51" t="n"/>
      <c r="E253" s="51" t="n"/>
      <c r="F253" s="51" t="n"/>
      <c r="G253" s="51" t="n"/>
    </row>
    <row r="254">
      <c r="B254" s="51" t="n"/>
      <c r="C254" s="51" t="n"/>
      <c r="D254" s="51" t="n"/>
      <c r="E254" s="51" t="n"/>
      <c r="F254" s="51" t="n"/>
      <c r="G254" s="51" t="n"/>
    </row>
    <row r="255">
      <c r="B255" s="51" t="n"/>
      <c r="C255" s="51" t="n"/>
      <c r="D255" s="51" t="n"/>
      <c r="E255" s="51" t="n"/>
      <c r="F255" s="51" t="n"/>
      <c r="G255" s="51" t="n"/>
    </row>
    <row r="256">
      <c r="B256" s="51" t="n"/>
      <c r="C256" s="51" t="n"/>
      <c r="D256" s="51" t="n"/>
      <c r="E256" s="51" t="n"/>
      <c r="F256" s="51" t="n"/>
      <c r="G256" s="51" t="n"/>
    </row>
    <row r="257">
      <c r="B257" s="51" t="n"/>
      <c r="C257" s="51" t="n"/>
      <c r="D257" s="51" t="n"/>
      <c r="E257" s="51" t="n"/>
      <c r="F257" s="51" t="n"/>
      <c r="G257" s="51" t="n"/>
    </row>
    <row r="258">
      <c r="B258" s="51" t="n"/>
      <c r="C258" s="51" t="n"/>
      <c r="D258" s="51" t="n"/>
      <c r="E258" s="51" t="n"/>
      <c r="F258" s="51" t="n"/>
      <c r="G258" s="51" t="n"/>
    </row>
    <row r="259">
      <c r="B259" s="51" t="n"/>
      <c r="C259" s="51" t="n"/>
      <c r="D259" s="51" t="n"/>
      <c r="E259" s="51" t="n"/>
      <c r="F259" s="51" t="n"/>
      <c r="G259" s="51" t="n"/>
    </row>
    <row r="260">
      <c r="B260" s="51" t="n"/>
      <c r="C260" s="51" t="n"/>
      <c r="D260" s="51" t="n"/>
      <c r="E260" s="51" t="n"/>
      <c r="F260" s="51" t="n"/>
      <c r="G260" s="51" t="n"/>
    </row>
    <row r="261">
      <c r="B261" s="51" t="n"/>
      <c r="C261" s="51" t="n"/>
      <c r="D261" s="51" t="n"/>
      <c r="E261" s="51" t="n"/>
      <c r="F261" s="51" t="n"/>
      <c r="G261" s="51" t="n"/>
    </row>
    <row r="262">
      <c r="B262" s="51" t="n"/>
      <c r="C262" s="51" t="n"/>
      <c r="D262" s="51" t="n"/>
      <c r="E262" s="51" t="n"/>
      <c r="F262" s="51" t="n"/>
      <c r="G262" s="51" t="n"/>
    </row>
    <row r="263">
      <c r="B263" s="51" t="n"/>
      <c r="C263" s="51" t="n"/>
      <c r="D263" s="51" t="n"/>
      <c r="E263" s="51" t="n"/>
      <c r="F263" s="51" t="n"/>
      <c r="G263" s="51" t="n"/>
    </row>
    <row r="264">
      <c r="B264" s="51" t="n"/>
      <c r="C264" s="51" t="n"/>
      <c r="D264" s="51" t="n"/>
      <c r="E264" s="51" t="n"/>
      <c r="F264" s="51" t="n"/>
      <c r="G264" s="51" t="n"/>
    </row>
    <row r="265">
      <c r="B265" s="51" t="n"/>
      <c r="C265" s="51" t="n"/>
      <c r="D265" s="51" t="n"/>
      <c r="E265" s="51" t="n"/>
      <c r="F265" s="51" t="n"/>
      <c r="G265" s="51" t="n"/>
    </row>
    <row r="266">
      <c r="B266" s="51" t="n"/>
      <c r="C266" s="51" t="n"/>
      <c r="D266" s="51" t="n"/>
      <c r="E266" s="51" t="n"/>
      <c r="F266" s="51" t="n"/>
      <c r="G266" s="51" t="n"/>
    </row>
    <row r="267">
      <c r="B267" s="51" t="n"/>
      <c r="C267" s="51" t="n"/>
      <c r="D267" s="51" t="n"/>
      <c r="E267" s="51" t="n"/>
      <c r="F267" s="51" t="n"/>
      <c r="G267" s="51" t="n"/>
    </row>
    <row r="268">
      <c r="B268" s="51" t="n"/>
      <c r="C268" s="51" t="n"/>
      <c r="D268" s="51" t="n"/>
      <c r="E268" s="51" t="n"/>
      <c r="F268" s="51" t="n"/>
      <c r="G268" s="51" t="n"/>
    </row>
    <row r="269">
      <c r="B269" s="51" t="n"/>
      <c r="C269" s="51" t="n"/>
      <c r="D269" s="51" t="n"/>
      <c r="E269" s="51" t="n"/>
      <c r="F269" s="51" t="n"/>
      <c r="G269" s="51" t="n"/>
    </row>
    <row r="270">
      <c r="B270" s="51" t="n"/>
      <c r="C270" s="51" t="n"/>
      <c r="D270" s="51" t="n"/>
      <c r="E270" s="51" t="n"/>
      <c r="F270" s="51" t="n"/>
      <c r="G270" s="51" t="n"/>
    </row>
    <row r="271">
      <c r="B271" s="51" t="n"/>
      <c r="C271" s="51" t="n"/>
      <c r="D271" s="51" t="n"/>
      <c r="E271" s="51" t="n"/>
      <c r="F271" s="51" t="n"/>
      <c r="G271" s="51" t="n"/>
    </row>
    <row r="272">
      <c r="B272" s="51" t="n"/>
      <c r="C272" s="51" t="n"/>
      <c r="D272" s="51" t="n"/>
      <c r="E272" s="51" t="n"/>
      <c r="F272" s="51" t="n"/>
      <c r="G272" s="51" t="n"/>
    </row>
    <row r="273">
      <c r="B273" s="51" t="n"/>
      <c r="C273" s="51" t="n"/>
      <c r="D273" s="51" t="n"/>
      <c r="E273" s="51" t="n"/>
      <c r="F273" s="51" t="n"/>
      <c r="G273" s="51" t="n"/>
    </row>
    <row r="274">
      <c r="B274" s="51" t="n"/>
      <c r="C274" s="51" t="n"/>
      <c r="D274" s="51" t="n"/>
      <c r="E274" s="51" t="n"/>
      <c r="F274" s="51" t="n"/>
      <c r="G274" s="51" t="n"/>
    </row>
    <row r="275">
      <c r="B275" s="51" t="n"/>
      <c r="C275" s="51" t="n"/>
      <c r="D275" s="51" t="n"/>
      <c r="E275" s="51" t="n"/>
      <c r="F275" s="51" t="n"/>
      <c r="G275" s="51" t="n"/>
    </row>
    <row r="276">
      <c r="B276" s="51" t="n"/>
      <c r="C276" s="51" t="n"/>
      <c r="D276" s="51" t="n"/>
      <c r="E276" s="51" t="n"/>
      <c r="F276" s="51" t="n"/>
      <c r="G276" s="51" t="n"/>
    </row>
    <row r="277">
      <c r="B277" s="51" t="n"/>
      <c r="C277" s="51" t="n"/>
      <c r="D277" s="51" t="n"/>
      <c r="E277" s="51" t="n"/>
      <c r="F277" s="51" t="n"/>
      <c r="G277" s="51" t="n"/>
    </row>
    <row r="278">
      <c r="B278" s="51" t="n"/>
      <c r="C278" s="51" t="n"/>
      <c r="D278" s="51" t="n"/>
      <c r="E278" s="51" t="n"/>
      <c r="F278" s="51" t="n"/>
      <c r="G278" s="51" t="n"/>
    </row>
    <row r="279">
      <c r="B279" s="51" t="n"/>
      <c r="C279" s="51" t="n"/>
      <c r="D279" s="51" t="n"/>
      <c r="E279" s="51" t="n"/>
      <c r="F279" s="51" t="n"/>
      <c r="G279" s="51" t="n"/>
    </row>
    <row r="280">
      <c r="B280" s="51" t="n"/>
      <c r="C280" s="51" t="n"/>
      <c r="D280" s="51" t="n"/>
      <c r="E280" s="51" t="n"/>
      <c r="F280" s="51" t="n"/>
      <c r="G280" s="51" t="n"/>
    </row>
    <row r="281">
      <c r="B281" s="51" t="n"/>
      <c r="C281" s="51" t="n"/>
      <c r="D281" s="51" t="n"/>
      <c r="E281" s="51" t="n"/>
      <c r="F281" s="51" t="n"/>
      <c r="G281" s="51" t="n"/>
    </row>
    <row r="282">
      <c r="B282" s="51" t="n"/>
      <c r="C282" s="51" t="n"/>
      <c r="D282" s="51" t="n"/>
      <c r="E282" s="51" t="n"/>
      <c r="F282" s="51" t="n"/>
      <c r="G282" s="51" t="n"/>
    </row>
    <row r="283">
      <c r="B283" s="51" t="n"/>
      <c r="C283" s="51" t="n"/>
      <c r="D283" s="51" t="n"/>
      <c r="E283" s="51" t="n"/>
      <c r="F283" s="51" t="n"/>
      <c r="G283" s="51" t="n"/>
    </row>
    <row r="284">
      <c r="B284" s="51" t="n"/>
      <c r="C284" s="51" t="n"/>
      <c r="D284" s="51" t="n"/>
      <c r="E284" s="51" t="n"/>
      <c r="F284" s="51" t="n"/>
      <c r="G284" s="51" t="n"/>
    </row>
    <row r="285">
      <c r="B285" s="51" t="n"/>
      <c r="C285" s="51" t="n"/>
      <c r="D285" s="51" t="n"/>
      <c r="E285" s="51" t="n"/>
      <c r="F285" s="51" t="n"/>
      <c r="G285" s="51" t="n"/>
    </row>
    <row r="286">
      <c r="B286" s="51" t="n"/>
      <c r="C286" s="51" t="n"/>
      <c r="D286" s="51" t="n"/>
      <c r="E286" s="51" t="n"/>
      <c r="F286" s="51" t="n"/>
      <c r="G286" s="51" t="n"/>
    </row>
    <row r="287">
      <c r="B287" s="51" t="n"/>
      <c r="C287" s="51" t="n"/>
      <c r="D287" s="51" t="n"/>
      <c r="E287" s="51" t="n"/>
      <c r="F287" s="51" t="n"/>
      <c r="G287" s="51" t="n"/>
    </row>
    <row r="288">
      <c r="B288" s="51" t="n"/>
      <c r="C288" s="51" t="n"/>
      <c r="D288" s="51" t="n"/>
      <c r="E288" s="51" t="n"/>
      <c r="F288" s="51" t="n"/>
      <c r="G288" s="51" t="n"/>
    </row>
    <row r="289">
      <c r="B289" s="51" t="n"/>
      <c r="C289" s="51" t="n"/>
      <c r="D289" s="51" t="n"/>
      <c r="E289" s="51" t="n"/>
      <c r="F289" s="51" t="n"/>
      <c r="G289" s="51" t="n"/>
    </row>
    <row r="290">
      <c r="B290" s="51" t="n"/>
      <c r="C290" s="51" t="n"/>
      <c r="D290" s="51" t="n"/>
      <c r="E290" s="51" t="n"/>
      <c r="F290" s="51" t="n"/>
      <c r="G290" s="51" t="n"/>
    </row>
    <row r="291">
      <c r="B291" s="51" t="n"/>
      <c r="C291" s="51" t="n"/>
      <c r="D291" s="51" t="n"/>
      <c r="E291" s="51" t="n"/>
      <c r="F291" s="51" t="n"/>
      <c r="G291" s="51" t="n"/>
    </row>
    <row r="292">
      <c r="B292" s="51" t="n"/>
      <c r="C292" s="51" t="n"/>
      <c r="D292" s="51" t="n"/>
      <c r="E292" s="51" t="n"/>
      <c r="F292" s="51" t="n"/>
      <c r="G292" s="51" t="n"/>
    </row>
    <row r="293">
      <c r="B293" s="51" t="n"/>
      <c r="C293" s="51" t="n"/>
      <c r="D293" s="51" t="n"/>
      <c r="E293" s="51" t="n"/>
      <c r="F293" s="51" t="n"/>
      <c r="G293" s="51" t="n"/>
    </row>
    <row r="294">
      <c r="B294" s="51" t="n"/>
      <c r="C294" s="51" t="n"/>
      <c r="D294" s="51" t="n"/>
      <c r="E294" s="51" t="n"/>
      <c r="F294" s="51" t="n"/>
      <c r="G294" s="51" t="n"/>
    </row>
    <row r="295">
      <c r="B295" s="51" t="n"/>
      <c r="C295" s="51" t="n"/>
      <c r="D295" s="51" t="n"/>
      <c r="E295" s="51" t="n"/>
      <c r="F295" s="51" t="n"/>
      <c r="G295" s="51" t="n"/>
    </row>
    <row r="296">
      <c r="B296" s="51" t="n"/>
      <c r="C296" s="51" t="n"/>
      <c r="D296" s="51" t="n"/>
      <c r="E296" s="51" t="n"/>
      <c r="F296" s="51" t="n"/>
      <c r="G296" s="51" t="n"/>
    </row>
    <row r="297">
      <c r="B297" s="51" t="n"/>
      <c r="C297" s="51" t="n"/>
      <c r="D297" s="51" t="n"/>
      <c r="E297" s="51" t="n"/>
      <c r="F297" s="51" t="n"/>
      <c r="G297" s="51" t="n"/>
    </row>
    <row r="298">
      <c r="B298" s="51" t="n"/>
      <c r="C298" s="51" t="n"/>
      <c r="D298" s="51" t="n"/>
      <c r="E298" s="51" t="n"/>
      <c r="F298" s="51" t="n"/>
      <c r="G298" s="51" t="n"/>
    </row>
    <row r="299">
      <c r="B299" s="51" t="n"/>
      <c r="C299" s="51" t="n"/>
      <c r="D299" s="51" t="n"/>
      <c r="E299" s="51" t="n"/>
      <c r="F299" s="51" t="n"/>
      <c r="G299" s="51" t="n"/>
    </row>
    <row r="300">
      <c r="B300" s="51" t="n"/>
      <c r="C300" s="51" t="n"/>
      <c r="D300" s="51" t="n"/>
      <c r="E300" s="51" t="n"/>
      <c r="F300" s="51" t="n"/>
      <c r="G300" s="51" t="n"/>
    </row>
    <row r="301">
      <c r="B301" s="51" t="n"/>
      <c r="C301" s="51" t="n"/>
      <c r="D301" s="51" t="n"/>
      <c r="E301" s="51" t="n"/>
      <c r="F301" s="51" t="n"/>
      <c r="G301" s="51" t="n"/>
    </row>
    <row r="302">
      <c r="B302" s="51" t="n"/>
      <c r="C302" s="51" t="n"/>
      <c r="D302" s="51" t="n"/>
      <c r="E302" s="51" t="n"/>
      <c r="F302" s="51" t="n"/>
      <c r="G302" s="51" t="n"/>
    </row>
    <row r="303">
      <c r="B303" s="51" t="n"/>
      <c r="C303" s="51" t="n"/>
      <c r="D303" s="51" t="n"/>
      <c r="E303" s="51" t="n"/>
      <c r="F303" s="51" t="n"/>
      <c r="G303" s="51" t="n"/>
    </row>
    <row r="304">
      <c r="B304" s="51" t="n"/>
      <c r="C304" s="51" t="n"/>
      <c r="D304" s="51" t="n"/>
      <c r="E304" s="51" t="n"/>
      <c r="F304" s="51" t="n"/>
      <c r="G304" s="51" t="n"/>
    </row>
    <row r="305">
      <c r="B305" s="51" t="n"/>
      <c r="C305" s="51" t="n"/>
      <c r="D305" s="51" t="n"/>
      <c r="E305" s="51" t="n"/>
      <c r="F305" s="51" t="n"/>
      <c r="G305" s="51" t="n"/>
    </row>
    <row r="306">
      <c r="B306" s="51" t="n"/>
      <c r="C306" s="51" t="n"/>
      <c r="D306" s="51" t="n"/>
      <c r="E306" s="51" t="n"/>
      <c r="F306" s="51" t="n"/>
      <c r="G306" s="51" t="n"/>
    </row>
    <row r="307">
      <c r="B307" s="51" t="n"/>
      <c r="C307" s="51" t="n"/>
      <c r="D307" s="51" t="n"/>
      <c r="E307" s="51" t="n"/>
      <c r="F307" s="51" t="n"/>
      <c r="G307" s="51" t="n"/>
    </row>
    <row r="308">
      <c r="B308" s="51" t="n"/>
      <c r="C308" s="51" t="n"/>
      <c r="D308" s="51" t="n"/>
      <c r="E308" s="51" t="n"/>
      <c r="F308" s="51" t="n"/>
      <c r="G308" s="51" t="n"/>
    </row>
    <row r="309">
      <c r="B309" s="51" t="n"/>
      <c r="C309" s="51" t="n"/>
      <c r="D309" s="51" t="n"/>
      <c r="E309" s="51" t="n"/>
      <c r="F309" s="51" t="n"/>
      <c r="G309" s="51" t="n"/>
    </row>
    <row r="310">
      <c r="B310" s="51" t="n"/>
      <c r="C310" s="51" t="n"/>
      <c r="D310" s="51" t="n"/>
      <c r="E310" s="51" t="n"/>
      <c r="F310" s="51" t="n"/>
      <c r="G310" s="51" t="n"/>
    </row>
    <row r="311">
      <c r="B311" s="51" t="n"/>
      <c r="C311" s="51" t="n"/>
      <c r="D311" s="51" t="n"/>
      <c r="E311" s="51" t="n"/>
      <c r="F311" s="51" t="n"/>
      <c r="G311" s="51" t="n"/>
    </row>
    <row r="312">
      <c r="B312" s="51" t="n"/>
      <c r="C312" s="51" t="n"/>
      <c r="D312" s="51" t="n"/>
      <c r="E312" s="51" t="n"/>
      <c r="F312" s="51" t="n"/>
      <c r="G312" s="51" t="n"/>
    </row>
    <row r="313">
      <c r="B313" s="51" t="n"/>
      <c r="C313" s="51" t="n"/>
      <c r="D313" s="51" t="n"/>
      <c r="E313" s="51" t="n"/>
      <c r="F313" s="51" t="n"/>
      <c r="G313" s="51" t="n"/>
    </row>
    <row r="314">
      <c r="B314" s="51" t="n"/>
      <c r="C314" s="51" t="n"/>
      <c r="D314" s="51" t="n"/>
      <c r="E314" s="51" t="n"/>
      <c r="F314" s="51" t="n"/>
      <c r="G314" s="51" t="n"/>
    </row>
    <row r="315">
      <c r="B315" s="51" t="n"/>
      <c r="C315" s="51" t="n"/>
      <c r="D315" s="51" t="n"/>
      <c r="E315" s="51" t="n"/>
      <c r="F315" s="51" t="n"/>
      <c r="G315" s="51" t="n"/>
    </row>
    <row r="316">
      <c r="B316" s="51" t="n"/>
      <c r="C316" s="51" t="n"/>
      <c r="D316" s="51" t="n"/>
      <c r="E316" s="51" t="n"/>
      <c r="F316" s="51" t="n"/>
      <c r="G316" s="51" t="n"/>
    </row>
    <row r="317">
      <c r="B317" s="51" t="n"/>
      <c r="C317" s="51" t="n"/>
      <c r="D317" s="51" t="n"/>
      <c r="E317" s="51" t="n"/>
      <c r="F317" s="51" t="n"/>
      <c r="G317" s="51" t="n"/>
    </row>
    <row r="318">
      <c r="B318" s="51" t="n"/>
      <c r="C318" s="51" t="n"/>
      <c r="D318" s="51" t="n"/>
      <c r="E318" s="51" t="n"/>
      <c r="F318" s="51" t="n"/>
      <c r="G318" s="51" t="n"/>
    </row>
    <row r="319">
      <c r="B319" s="51" t="n"/>
      <c r="C319" s="51" t="n"/>
      <c r="D319" s="51" t="n"/>
      <c r="E319" s="51" t="n"/>
      <c r="F319" s="51" t="n"/>
      <c r="G319" s="51" t="n"/>
    </row>
    <row r="320">
      <c r="B320" s="51" t="n"/>
      <c r="C320" s="51" t="n"/>
      <c r="D320" s="51" t="n"/>
      <c r="E320" s="51" t="n"/>
      <c r="F320" s="51" t="n"/>
      <c r="G320" s="51" t="n"/>
    </row>
    <row r="321">
      <c r="B321" s="51" t="n"/>
      <c r="C321" s="51" t="n"/>
      <c r="D321" s="51" t="n"/>
      <c r="E321" s="51" t="n"/>
      <c r="F321" s="51" t="n"/>
      <c r="G321" s="51" t="n"/>
    </row>
    <row r="322">
      <c r="B322" s="51" t="n"/>
      <c r="C322" s="51" t="n"/>
      <c r="D322" s="51" t="n"/>
      <c r="E322" s="51" t="n"/>
      <c r="F322" s="51" t="n"/>
      <c r="G322" s="51" t="n"/>
    </row>
    <row r="323">
      <c r="B323" s="51" t="n"/>
      <c r="C323" s="51" t="n"/>
      <c r="D323" s="51" t="n"/>
      <c r="E323" s="51" t="n"/>
      <c r="F323" s="51" t="n"/>
      <c r="G323" s="51" t="n"/>
    </row>
    <row r="324">
      <c r="B324" s="51" t="n"/>
      <c r="C324" s="51" t="n"/>
      <c r="D324" s="51" t="n"/>
      <c r="E324" s="51" t="n"/>
      <c r="F324" s="51" t="n"/>
      <c r="G324" s="51" t="n"/>
    </row>
    <row r="325">
      <c r="B325" s="51" t="n"/>
      <c r="C325" s="51" t="n"/>
      <c r="D325" s="51" t="n"/>
      <c r="E325" s="51" t="n"/>
      <c r="F325" s="51" t="n"/>
      <c r="G325" s="51" t="n"/>
    </row>
    <row r="326">
      <c r="B326" s="51" t="n"/>
      <c r="C326" s="51" t="n"/>
      <c r="D326" s="51" t="n"/>
      <c r="E326" s="51" t="n"/>
      <c r="F326" s="51" t="n"/>
      <c r="G326" s="51" t="n"/>
    </row>
    <row r="327">
      <c r="B327" s="51" t="n"/>
      <c r="C327" s="51" t="n"/>
      <c r="D327" s="51" t="n"/>
      <c r="E327" s="51" t="n"/>
      <c r="F327" s="51" t="n"/>
      <c r="G327" s="51" t="n"/>
    </row>
    <row r="328">
      <c r="B328" s="51" t="n"/>
      <c r="C328" s="51" t="n"/>
      <c r="D328" s="51" t="n"/>
      <c r="E328" s="51" t="n"/>
      <c r="F328" s="51" t="n"/>
      <c r="G328" s="51" t="n"/>
    </row>
    <row r="329">
      <c r="B329" s="51" t="n"/>
      <c r="C329" s="51" t="n"/>
      <c r="D329" s="51" t="n"/>
      <c r="E329" s="51" t="n"/>
      <c r="F329" s="51" t="n"/>
      <c r="G329" s="51" t="n"/>
    </row>
    <row r="330">
      <c r="B330" s="51" t="n"/>
      <c r="C330" s="51" t="n"/>
      <c r="D330" s="51" t="n"/>
      <c r="E330" s="51" t="n"/>
      <c r="F330" s="51" t="n"/>
      <c r="G330" s="51" t="n"/>
    </row>
    <row r="331">
      <c r="B331" s="51" t="n"/>
      <c r="C331" s="51" t="n"/>
      <c r="D331" s="51" t="n"/>
      <c r="E331" s="51" t="n"/>
      <c r="F331" s="51" t="n"/>
      <c r="G331" s="51" t="n"/>
    </row>
    <row r="332">
      <c r="B332" s="51" t="n"/>
      <c r="C332" s="51" t="n"/>
      <c r="D332" s="51" t="n"/>
      <c r="E332" s="51" t="n"/>
      <c r="F332" s="51" t="n"/>
      <c r="G332" s="51" t="n"/>
    </row>
    <row r="333">
      <c r="B333" s="51" t="n"/>
      <c r="C333" s="51" t="n"/>
      <c r="D333" s="51" t="n"/>
      <c r="E333" s="51" t="n"/>
      <c r="F333" s="51" t="n"/>
      <c r="G333" s="51" t="n"/>
    </row>
    <row r="334">
      <c r="B334" s="51" t="n"/>
      <c r="C334" s="51" t="n"/>
      <c r="D334" s="51" t="n"/>
      <c r="E334" s="51" t="n"/>
      <c r="F334" s="51" t="n"/>
      <c r="G334" s="51" t="n"/>
    </row>
    <row r="335">
      <c r="B335" s="51" t="n"/>
      <c r="C335" s="51" t="n"/>
      <c r="D335" s="51" t="n"/>
      <c r="E335" s="51" t="n"/>
      <c r="F335" s="51" t="n"/>
      <c r="G335" s="51" t="n"/>
    </row>
    <row r="336">
      <c r="B336" s="51" t="n"/>
      <c r="C336" s="51" t="n"/>
      <c r="D336" s="51" t="n"/>
      <c r="E336" s="51" t="n"/>
      <c r="F336" s="51" t="n"/>
      <c r="G336" s="51" t="n"/>
    </row>
    <row r="337">
      <c r="B337" s="51" t="n"/>
      <c r="C337" s="51" t="n"/>
      <c r="D337" s="51" t="n"/>
      <c r="E337" s="51" t="n"/>
      <c r="F337" s="51" t="n"/>
      <c r="G337" s="51" t="n"/>
    </row>
    <row r="338">
      <c r="B338" s="51" t="n"/>
      <c r="C338" s="51" t="n"/>
      <c r="D338" s="51" t="n"/>
      <c r="E338" s="51" t="n"/>
      <c r="F338" s="51" t="n"/>
      <c r="G338" s="51" t="n"/>
    </row>
    <row r="339">
      <c r="B339" s="51" t="n"/>
      <c r="C339" s="51" t="n"/>
      <c r="D339" s="51" t="n"/>
      <c r="E339" s="51" t="n"/>
      <c r="F339" s="51" t="n"/>
      <c r="G339" s="51" t="n"/>
    </row>
    <row r="340">
      <c r="B340" s="51" t="n"/>
      <c r="C340" s="51" t="n"/>
      <c r="D340" s="51" t="n"/>
      <c r="E340" s="51" t="n"/>
      <c r="F340" s="51" t="n"/>
      <c r="G340" s="51" t="n"/>
    </row>
    <row r="341">
      <c r="B341" s="51" t="n"/>
      <c r="C341" s="51" t="n"/>
      <c r="D341" s="51" t="n"/>
      <c r="E341" s="51" t="n"/>
      <c r="F341" s="51" t="n"/>
      <c r="G341" s="51" t="n"/>
    </row>
    <row r="342">
      <c r="B342" s="51" t="n"/>
      <c r="C342" s="51" t="n"/>
      <c r="D342" s="51" t="n"/>
      <c r="E342" s="51" t="n"/>
      <c r="F342" s="51" t="n"/>
      <c r="G342" s="51" t="n"/>
    </row>
    <row r="343">
      <c r="B343" s="51" t="n"/>
      <c r="C343" s="51" t="n"/>
      <c r="D343" s="51" t="n"/>
      <c r="E343" s="51" t="n"/>
      <c r="F343" s="51" t="n"/>
      <c r="G343" s="51" t="n"/>
    </row>
    <row r="344">
      <c r="B344" s="51" t="n"/>
      <c r="C344" s="51" t="n"/>
      <c r="D344" s="51" t="n"/>
      <c r="E344" s="51" t="n"/>
      <c r="F344" s="51" t="n"/>
      <c r="G344" s="51" t="n"/>
    </row>
    <row r="345">
      <c r="B345" s="51" t="n"/>
      <c r="C345" s="51" t="n"/>
      <c r="D345" s="51" t="n"/>
      <c r="E345" s="51" t="n"/>
      <c r="F345" s="51" t="n"/>
      <c r="G345" s="51" t="n"/>
    </row>
    <row r="346">
      <c r="B346" s="51" t="n"/>
      <c r="C346" s="51" t="n"/>
      <c r="D346" s="51" t="n"/>
      <c r="E346" s="51" t="n"/>
      <c r="F346" s="51" t="n"/>
      <c r="G346" s="51" t="n"/>
    </row>
    <row r="347">
      <c r="B347" s="51" t="n"/>
      <c r="C347" s="51" t="n"/>
      <c r="D347" s="51" t="n"/>
      <c r="E347" s="51" t="n"/>
      <c r="F347" s="51" t="n"/>
      <c r="G347" s="51" t="n"/>
    </row>
    <row r="348">
      <c r="B348" s="51" t="n"/>
      <c r="C348" s="51" t="n"/>
      <c r="D348" s="51" t="n"/>
      <c r="E348" s="51" t="n"/>
      <c r="F348" s="51" t="n"/>
      <c r="G348" s="51" t="n"/>
    </row>
    <row r="349">
      <c r="B349" s="51" t="n"/>
      <c r="C349" s="51" t="n"/>
      <c r="D349" s="51" t="n"/>
      <c r="E349" s="51" t="n"/>
      <c r="F349" s="51" t="n"/>
      <c r="G349" s="51" t="n"/>
    </row>
    <row r="350">
      <c r="B350" s="51" t="n"/>
      <c r="C350" s="51" t="n"/>
      <c r="D350" s="51" t="n"/>
      <c r="E350" s="51" t="n"/>
      <c r="F350" s="51" t="n"/>
      <c r="G350" s="51" t="n"/>
    </row>
    <row r="351">
      <c r="B351" s="51" t="n"/>
      <c r="C351" s="51" t="n"/>
      <c r="D351" s="51" t="n"/>
      <c r="E351" s="51" t="n"/>
      <c r="F351" s="51" t="n"/>
      <c r="G351" s="51" t="n"/>
    </row>
    <row r="352">
      <c r="B352" s="51" t="n"/>
      <c r="C352" s="51" t="n"/>
      <c r="D352" s="51" t="n"/>
      <c r="E352" s="51" t="n"/>
      <c r="F352" s="51" t="n"/>
      <c r="G352" s="51" t="n"/>
    </row>
    <row r="353">
      <c r="B353" s="51" t="n"/>
      <c r="C353" s="51" t="n"/>
      <c r="D353" s="51" t="n"/>
      <c r="E353" s="51" t="n"/>
      <c r="F353" s="51" t="n"/>
      <c r="G353" s="51" t="n"/>
    </row>
    <row r="354">
      <c r="B354" s="51" t="n"/>
      <c r="C354" s="51" t="n"/>
      <c r="D354" s="51" t="n"/>
      <c r="E354" s="51" t="n"/>
      <c r="F354" s="51" t="n"/>
      <c r="G354" s="51" t="n"/>
    </row>
    <row r="355">
      <c r="B355" s="51" t="n"/>
      <c r="C355" s="51" t="n"/>
      <c r="D355" s="51" t="n"/>
      <c r="E355" s="51" t="n"/>
      <c r="F355" s="51" t="n"/>
      <c r="G355" s="51" t="n"/>
    </row>
    <row r="356">
      <c r="B356" s="51" t="n"/>
      <c r="C356" s="51" t="n"/>
      <c r="D356" s="51" t="n"/>
      <c r="E356" s="51" t="n"/>
      <c r="F356" s="51" t="n"/>
      <c r="G356" s="51" t="n"/>
    </row>
    <row r="357">
      <c r="B357" s="51" t="n"/>
      <c r="C357" s="51" t="n"/>
      <c r="D357" s="51" t="n"/>
      <c r="E357" s="51" t="n"/>
      <c r="F357" s="51" t="n"/>
      <c r="G357" s="51" t="n"/>
    </row>
    <row r="358">
      <c r="B358" s="51" t="n"/>
      <c r="C358" s="51" t="n"/>
      <c r="D358" s="51" t="n"/>
      <c r="E358" s="51" t="n"/>
      <c r="F358" s="51" t="n"/>
      <c r="G358" s="51" t="n"/>
    </row>
    <row r="359">
      <c r="B359" s="51" t="n"/>
      <c r="C359" s="51" t="n"/>
      <c r="D359" s="51" t="n"/>
      <c r="E359" s="51" t="n"/>
      <c r="F359" s="51" t="n"/>
      <c r="G359" s="51" t="n"/>
    </row>
    <row r="360">
      <c r="B360" s="51" t="n"/>
      <c r="C360" s="51" t="n"/>
      <c r="D360" s="51" t="n"/>
      <c r="E360" s="51" t="n"/>
      <c r="F360" s="51" t="n"/>
      <c r="G360" s="51" t="n"/>
    </row>
    <row r="361">
      <c r="B361" s="51" t="n"/>
      <c r="C361" s="51" t="n"/>
      <c r="D361" s="51" t="n"/>
      <c r="E361" s="51" t="n"/>
      <c r="F361" s="51" t="n"/>
      <c r="G361" s="51" t="n"/>
    </row>
    <row r="362">
      <c r="B362" s="51" t="n"/>
      <c r="C362" s="51" t="n"/>
      <c r="D362" s="51" t="n"/>
      <c r="E362" s="51" t="n"/>
      <c r="F362" s="51" t="n"/>
      <c r="G362" s="51" t="n"/>
    </row>
    <row r="363">
      <c r="B363" s="51" t="n"/>
      <c r="C363" s="51" t="n"/>
      <c r="D363" s="51" t="n"/>
      <c r="E363" s="51" t="n"/>
      <c r="F363" s="51" t="n"/>
      <c r="G363" s="51" t="n"/>
    </row>
    <row r="364">
      <c r="B364" s="51" t="n"/>
      <c r="C364" s="51" t="n"/>
      <c r="D364" s="51" t="n"/>
      <c r="E364" s="51" t="n"/>
      <c r="F364" s="51" t="n"/>
      <c r="G364" s="51" t="n"/>
    </row>
    <row r="365">
      <c r="B365" s="51" t="n"/>
      <c r="C365" s="51" t="n"/>
      <c r="D365" s="51" t="n"/>
      <c r="E365" s="51" t="n"/>
      <c r="F365" s="51" t="n"/>
      <c r="G365" s="51" t="n"/>
    </row>
    <row r="366">
      <c r="B366" s="51" t="n"/>
      <c r="C366" s="51" t="n"/>
      <c r="D366" s="51" t="n"/>
      <c r="E366" s="51" t="n"/>
      <c r="F366" s="51" t="n"/>
      <c r="G366" s="51" t="n"/>
    </row>
    <row r="367">
      <c r="B367" s="51" t="n"/>
      <c r="C367" s="51" t="n"/>
      <c r="D367" s="51" t="n"/>
      <c r="E367" s="51" t="n"/>
      <c r="F367" s="51" t="n"/>
      <c r="G367" s="51" t="n"/>
    </row>
    <row r="368">
      <c r="B368" s="51" t="n"/>
      <c r="C368" s="51" t="n"/>
      <c r="D368" s="51" t="n"/>
      <c r="E368" s="51" t="n"/>
      <c r="F368" s="51" t="n"/>
      <c r="G368" s="51" t="n"/>
    </row>
    <row r="369">
      <c r="B369" s="51" t="n"/>
      <c r="C369" s="51" t="n"/>
      <c r="D369" s="51" t="n"/>
      <c r="E369" s="51" t="n"/>
      <c r="F369" s="51" t="n"/>
      <c r="G369" s="51" t="n"/>
    </row>
    <row r="370">
      <c r="B370" s="51" t="n"/>
      <c r="C370" s="51" t="n"/>
      <c r="D370" s="51" t="n"/>
      <c r="E370" s="51" t="n"/>
      <c r="F370" s="51" t="n"/>
      <c r="G370" s="51" t="n"/>
    </row>
    <row r="371">
      <c r="B371" s="51" t="n"/>
      <c r="C371" s="51" t="n"/>
      <c r="D371" s="51" t="n"/>
      <c r="E371" s="51" t="n"/>
      <c r="F371" s="51" t="n"/>
      <c r="G371" s="51" t="n"/>
    </row>
    <row r="372">
      <c r="B372" s="51" t="n"/>
      <c r="C372" s="51" t="n"/>
      <c r="D372" s="51" t="n"/>
      <c r="E372" s="51" t="n"/>
      <c r="F372" s="51" t="n"/>
      <c r="G372" s="51" t="n"/>
    </row>
    <row r="373">
      <c r="B373" s="51" t="n"/>
      <c r="C373" s="51" t="n"/>
      <c r="D373" s="51" t="n"/>
      <c r="E373" s="51" t="n"/>
      <c r="F373" s="51" t="n"/>
      <c r="G373" s="51" t="n"/>
    </row>
    <row r="374">
      <c r="B374" s="51" t="n"/>
      <c r="C374" s="51" t="n"/>
      <c r="D374" s="51" t="n"/>
      <c r="E374" s="51" t="n"/>
      <c r="F374" s="51" t="n"/>
      <c r="G374" s="51" t="n"/>
    </row>
    <row r="375">
      <c r="B375" s="51" t="n"/>
      <c r="C375" s="51" t="n"/>
      <c r="D375" s="51" t="n"/>
      <c r="E375" s="51" t="n"/>
      <c r="F375" s="51" t="n"/>
      <c r="G375" s="51" t="n"/>
    </row>
    <row r="376">
      <c r="B376" s="51" t="n"/>
      <c r="C376" s="51" t="n"/>
      <c r="D376" s="51" t="n"/>
      <c r="E376" s="51" t="n"/>
      <c r="F376" s="51" t="n"/>
      <c r="G376" s="51" t="n"/>
    </row>
    <row r="377">
      <c r="B377" s="51" t="n"/>
      <c r="C377" s="51" t="n"/>
      <c r="D377" s="51" t="n"/>
      <c r="E377" s="51" t="n"/>
      <c r="F377" s="51" t="n"/>
      <c r="G377" s="51" t="n"/>
    </row>
    <row r="378">
      <c r="B378" s="51" t="n"/>
      <c r="C378" s="51" t="n"/>
      <c r="D378" s="51" t="n"/>
      <c r="E378" s="51" t="n"/>
      <c r="F378" s="51" t="n"/>
      <c r="G378" s="51" t="n"/>
    </row>
    <row r="379">
      <c r="B379" s="51" t="n"/>
      <c r="C379" s="51" t="n"/>
      <c r="D379" s="51" t="n"/>
      <c r="E379" s="51" t="n"/>
      <c r="F379" s="51" t="n"/>
      <c r="G379" s="51" t="n"/>
    </row>
    <row r="380">
      <c r="B380" s="51" t="n"/>
      <c r="C380" s="51" t="n"/>
      <c r="D380" s="51" t="n"/>
      <c r="E380" s="51" t="n"/>
      <c r="F380" s="51" t="n"/>
      <c r="G380" s="51" t="n"/>
    </row>
    <row r="381">
      <c r="B381" s="51" t="n"/>
      <c r="C381" s="51" t="n"/>
      <c r="D381" s="51" t="n"/>
      <c r="E381" s="51" t="n"/>
      <c r="F381" s="51" t="n"/>
      <c r="G381" s="51" t="n"/>
    </row>
    <row r="382">
      <c r="B382" s="51" t="n"/>
      <c r="C382" s="51" t="n"/>
      <c r="D382" s="51" t="n"/>
      <c r="E382" s="51" t="n"/>
      <c r="F382" s="51" t="n"/>
      <c r="G382" s="51" t="n"/>
    </row>
    <row r="383">
      <c r="B383" s="51" t="n"/>
      <c r="C383" s="51" t="n"/>
      <c r="D383" s="51" t="n"/>
      <c r="E383" s="51" t="n"/>
      <c r="F383" s="51" t="n"/>
      <c r="G383" s="51" t="n"/>
    </row>
    <row r="384">
      <c r="B384" s="51" t="n"/>
      <c r="C384" s="51" t="n"/>
      <c r="D384" s="51" t="n"/>
      <c r="E384" s="51" t="n"/>
      <c r="F384" s="51" t="n"/>
      <c r="G384" s="51" t="n"/>
    </row>
    <row r="385">
      <c r="B385" s="51" t="n"/>
      <c r="C385" s="51" t="n"/>
      <c r="D385" s="51" t="n"/>
      <c r="E385" s="51" t="n"/>
      <c r="F385" s="51" t="n"/>
      <c r="G385" s="51" t="n"/>
    </row>
    <row r="386">
      <c r="B386" s="51" t="n"/>
      <c r="C386" s="51" t="n"/>
      <c r="D386" s="51" t="n"/>
      <c r="E386" s="51" t="n"/>
      <c r="F386" s="51" t="n"/>
      <c r="G386" s="51" t="n"/>
    </row>
    <row r="387">
      <c r="B387" s="51" t="n"/>
      <c r="C387" s="51" t="n"/>
      <c r="D387" s="51" t="n"/>
      <c r="E387" s="51" t="n"/>
      <c r="F387" s="51" t="n"/>
      <c r="G387" s="51" t="n"/>
    </row>
    <row r="388">
      <c r="B388" s="51" t="n"/>
      <c r="C388" s="51" t="n"/>
      <c r="D388" s="51" t="n"/>
      <c r="E388" s="51" t="n"/>
      <c r="F388" s="51" t="n"/>
      <c r="G388" s="51" t="n"/>
    </row>
    <row r="389">
      <c r="B389" s="51" t="n"/>
      <c r="C389" s="51" t="n"/>
      <c r="D389" s="51" t="n"/>
      <c r="E389" s="51" t="n"/>
      <c r="F389" s="51" t="n"/>
      <c r="G389" s="51" t="n"/>
    </row>
    <row r="390">
      <c r="B390" s="51" t="n"/>
      <c r="C390" s="51" t="n"/>
      <c r="D390" s="51" t="n"/>
      <c r="E390" s="51" t="n"/>
      <c r="F390" s="51" t="n"/>
      <c r="G390" s="51" t="n"/>
    </row>
    <row r="391">
      <c r="B391" s="51" t="n"/>
      <c r="C391" s="51" t="n"/>
      <c r="D391" s="51" t="n"/>
      <c r="E391" s="51" t="n"/>
      <c r="F391" s="51" t="n"/>
      <c r="G391" s="51" t="n"/>
    </row>
    <row r="392">
      <c r="B392" s="51" t="n"/>
      <c r="C392" s="51" t="n"/>
      <c r="D392" s="51" t="n"/>
      <c r="E392" s="51" t="n"/>
      <c r="F392" s="51" t="n"/>
      <c r="G392" s="51" t="n"/>
    </row>
    <row r="393">
      <c r="B393" s="51" t="n"/>
      <c r="C393" s="51" t="n"/>
      <c r="D393" s="51" t="n"/>
      <c r="E393" s="51" t="n"/>
      <c r="F393" s="51" t="n"/>
      <c r="G393" s="51" t="n"/>
    </row>
    <row r="394">
      <c r="B394" s="51" t="n"/>
      <c r="C394" s="51" t="n"/>
      <c r="D394" s="51" t="n"/>
      <c r="E394" s="51" t="n"/>
      <c r="F394" s="51" t="n"/>
      <c r="G394" s="51" t="n"/>
    </row>
    <row r="395">
      <c r="B395" s="51" t="n"/>
      <c r="C395" s="51" t="n"/>
      <c r="D395" s="51" t="n"/>
      <c r="E395" s="51" t="n"/>
      <c r="F395" s="51" t="n"/>
      <c r="G395" s="51" t="n"/>
    </row>
    <row r="396">
      <c r="B396" s="51" t="n"/>
      <c r="C396" s="51" t="n"/>
      <c r="D396" s="51" t="n"/>
      <c r="E396" s="51" t="n"/>
      <c r="F396" s="51" t="n"/>
      <c r="G396" s="51" t="n"/>
    </row>
    <row r="397">
      <c r="B397" s="51" t="n"/>
      <c r="C397" s="51" t="n"/>
      <c r="D397" s="51" t="n"/>
      <c r="E397" s="51" t="n"/>
      <c r="F397" s="51" t="n"/>
      <c r="G397" s="51" t="n"/>
    </row>
    <row r="398">
      <c r="B398" s="51" t="n"/>
      <c r="C398" s="51" t="n"/>
      <c r="D398" s="51" t="n"/>
      <c r="E398" s="51" t="n"/>
      <c r="F398" s="51" t="n"/>
      <c r="G398" s="51" t="n"/>
    </row>
    <row r="399">
      <c r="B399" s="51" t="n"/>
      <c r="C399" s="51" t="n"/>
      <c r="D399" s="51" t="n"/>
      <c r="E399" s="51" t="n"/>
      <c r="F399" s="51" t="n"/>
      <c r="G399" s="51" t="n"/>
    </row>
    <row r="400">
      <c r="B400" s="51" t="n"/>
      <c r="C400" s="51" t="n"/>
      <c r="D400" s="51" t="n"/>
      <c r="E400" s="51" t="n"/>
      <c r="F400" s="51" t="n"/>
      <c r="G400" s="51" t="n"/>
    </row>
    <row r="401">
      <c r="B401" s="51" t="n"/>
      <c r="C401" s="51" t="n"/>
      <c r="D401" s="51" t="n"/>
      <c r="E401" s="51" t="n"/>
      <c r="F401" s="51" t="n"/>
      <c r="G401" s="51" t="n"/>
    </row>
    <row r="402">
      <c r="B402" s="51" t="n"/>
      <c r="C402" s="51" t="n"/>
      <c r="D402" s="51" t="n"/>
      <c r="E402" s="51" t="n"/>
      <c r="F402" s="51" t="n"/>
      <c r="G402" s="51" t="n"/>
    </row>
    <row r="403">
      <c r="B403" s="51" t="n"/>
      <c r="C403" s="51" t="n"/>
      <c r="D403" s="51" t="n"/>
      <c r="E403" s="51" t="n"/>
      <c r="F403" s="51" t="n"/>
      <c r="G403" s="51" t="n"/>
    </row>
    <row r="404">
      <c r="B404" s="51" t="n"/>
      <c r="C404" s="51" t="n"/>
      <c r="D404" s="51" t="n"/>
      <c r="E404" s="51" t="n"/>
      <c r="F404" s="51" t="n"/>
      <c r="G404" s="51" t="n"/>
    </row>
    <row r="405">
      <c r="B405" s="51" t="n"/>
      <c r="C405" s="51" t="n"/>
      <c r="D405" s="51" t="n"/>
      <c r="E405" s="51" t="n"/>
      <c r="F405" s="51" t="n"/>
      <c r="G405" s="51" t="n"/>
    </row>
    <row r="406">
      <c r="B406" s="51" t="n"/>
      <c r="C406" s="51" t="n"/>
      <c r="D406" s="51" t="n"/>
      <c r="E406" s="51" t="n"/>
      <c r="F406" s="51" t="n"/>
      <c r="G406" s="51" t="n"/>
    </row>
    <row r="407">
      <c r="B407" s="51" t="n"/>
      <c r="C407" s="51" t="n"/>
      <c r="D407" s="51" t="n"/>
      <c r="E407" s="51" t="n"/>
      <c r="F407" s="51" t="n"/>
      <c r="G407" s="51" t="n"/>
    </row>
    <row r="408">
      <c r="B408" s="51" t="n"/>
      <c r="C408" s="51" t="n"/>
      <c r="D408" s="51" t="n"/>
      <c r="E408" s="51" t="n"/>
      <c r="F408" s="51" t="n"/>
      <c r="G408" s="51" t="n"/>
    </row>
    <row r="409">
      <c r="B409" s="51" t="n"/>
      <c r="C409" s="51" t="n"/>
      <c r="D409" s="51" t="n"/>
      <c r="E409" s="51" t="n"/>
      <c r="F409" s="51" t="n"/>
      <c r="G409" s="51" t="n"/>
    </row>
    <row r="410">
      <c r="B410" s="51" t="n"/>
      <c r="C410" s="51" t="n"/>
      <c r="D410" s="51" t="n"/>
      <c r="E410" s="51" t="n"/>
      <c r="F410" s="51" t="n"/>
      <c r="G410" s="51" t="n"/>
    </row>
    <row r="411">
      <c r="B411" s="51" t="n"/>
      <c r="C411" s="51" t="n"/>
      <c r="D411" s="51" t="n"/>
      <c r="E411" s="51" t="n"/>
      <c r="F411" s="51" t="n"/>
      <c r="G411" s="51" t="n"/>
    </row>
    <row r="412">
      <c r="B412" s="51" t="n"/>
      <c r="C412" s="51" t="n"/>
      <c r="D412" s="51" t="n"/>
      <c r="E412" s="51" t="n"/>
      <c r="F412" s="51" t="n"/>
      <c r="G412" s="51" t="n"/>
    </row>
    <row r="413">
      <c r="B413" s="51" t="n"/>
      <c r="C413" s="51" t="n"/>
      <c r="D413" s="51" t="n"/>
      <c r="E413" s="51" t="n"/>
      <c r="F413" s="51" t="n"/>
      <c r="G413" s="51" t="n"/>
    </row>
    <row r="414">
      <c r="B414" s="51" t="n"/>
      <c r="C414" s="51" t="n"/>
      <c r="D414" s="51" t="n"/>
      <c r="E414" s="51" t="n"/>
      <c r="F414" s="51" t="n"/>
      <c r="G414" s="51" t="n"/>
    </row>
    <row r="415">
      <c r="B415" s="51" t="n"/>
      <c r="C415" s="51" t="n"/>
      <c r="D415" s="51" t="n"/>
      <c r="E415" s="51" t="n"/>
      <c r="F415" s="51" t="n"/>
      <c r="G415" s="51" t="n"/>
    </row>
    <row r="416">
      <c r="B416" s="51" t="n"/>
      <c r="C416" s="51" t="n"/>
      <c r="D416" s="51" t="n"/>
      <c r="E416" s="51" t="n"/>
      <c r="F416" s="51" t="n"/>
      <c r="G416" s="51" t="n"/>
    </row>
    <row r="417">
      <c r="B417" s="51" t="n"/>
      <c r="C417" s="51" t="n"/>
      <c r="D417" s="51" t="n"/>
      <c r="E417" s="51" t="n"/>
      <c r="F417" s="51" t="n"/>
      <c r="G417" s="51" t="n"/>
    </row>
    <row r="418">
      <c r="B418" s="51" t="n"/>
      <c r="C418" s="51" t="n"/>
      <c r="D418" s="51" t="n"/>
      <c r="E418" s="51" t="n"/>
      <c r="F418" s="51" t="n"/>
      <c r="G418" s="51" t="n"/>
    </row>
    <row r="419">
      <c r="B419" s="51" t="n"/>
      <c r="C419" s="51" t="n"/>
      <c r="D419" s="51" t="n"/>
      <c r="E419" s="51" t="n"/>
      <c r="F419" s="51" t="n"/>
      <c r="G419" s="51" t="n"/>
    </row>
    <row r="420">
      <c r="B420" s="51" t="n"/>
      <c r="C420" s="51" t="n"/>
      <c r="D420" s="51" t="n"/>
      <c r="E420" s="51" t="n"/>
      <c r="F420" s="51" t="n"/>
      <c r="G420" s="51" t="n"/>
    </row>
    <row r="421">
      <c r="B421" s="51" t="n"/>
      <c r="C421" s="51" t="n"/>
      <c r="D421" s="51" t="n"/>
      <c r="E421" s="51" t="n"/>
      <c r="F421" s="51" t="n"/>
      <c r="G421" s="51" t="n"/>
    </row>
    <row r="422">
      <c r="B422" s="51" t="n"/>
      <c r="C422" s="51" t="n"/>
      <c r="D422" s="51" t="n"/>
      <c r="E422" s="51" t="n"/>
      <c r="F422" s="51" t="n"/>
      <c r="G422" s="51" t="n"/>
    </row>
    <row r="423">
      <c r="B423" s="51" t="n"/>
      <c r="C423" s="51" t="n"/>
      <c r="D423" s="51" t="n"/>
      <c r="E423" s="51" t="n"/>
      <c r="F423" s="51" t="n"/>
      <c r="G423" s="51" t="n"/>
    </row>
    <row r="424">
      <c r="B424" s="51" t="n"/>
      <c r="C424" s="51" t="n"/>
      <c r="D424" s="51" t="n"/>
      <c r="E424" s="51" t="n"/>
      <c r="F424" s="51" t="n"/>
      <c r="G424" s="51" t="n"/>
    </row>
    <row r="425">
      <c r="B425" s="51" t="n"/>
      <c r="C425" s="51" t="n"/>
      <c r="D425" s="51" t="n"/>
      <c r="E425" s="51" t="n"/>
      <c r="F425" s="51" t="n"/>
      <c r="G425" s="51" t="n"/>
    </row>
    <row r="426">
      <c r="B426" s="51" t="n"/>
      <c r="C426" s="51" t="n"/>
      <c r="D426" s="51" t="n"/>
      <c r="E426" s="51" t="n"/>
      <c r="F426" s="51" t="n"/>
      <c r="G426" s="51" t="n"/>
    </row>
    <row r="427">
      <c r="B427" s="51" t="n"/>
      <c r="C427" s="51" t="n"/>
      <c r="D427" s="51" t="n"/>
      <c r="E427" s="51" t="n"/>
      <c r="F427" s="51" t="n"/>
      <c r="G427" s="51" t="n"/>
    </row>
    <row r="428">
      <c r="B428" s="51" t="n"/>
      <c r="C428" s="51" t="n"/>
      <c r="D428" s="51" t="n"/>
      <c r="E428" s="51" t="n"/>
      <c r="F428" s="51" t="n"/>
      <c r="G428" s="51" t="n"/>
    </row>
    <row r="429">
      <c r="B429" s="51" t="n"/>
      <c r="C429" s="51" t="n"/>
      <c r="D429" s="51" t="n"/>
      <c r="E429" s="51" t="n"/>
      <c r="F429" s="51" t="n"/>
      <c r="G429" s="51" t="n"/>
    </row>
    <row r="430">
      <c r="B430" s="51" t="n"/>
      <c r="C430" s="51" t="n"/>
      <c r="D430" s="51" t="n"/>
      <c r="E430" s="51" t="n"/>
      <c r="F430" s="51" t="n"/>
      <c r="G430" s="51" t="n"/>
    </row>
    <row r="431">
      <c r="B431" s="51" t="n"/>
      <c r="C431" s="51" t="n"/>
      <c r="D431" s="51" t="n"/>
      <c r="E431" s="51" t="n"/>
      <c r="F431" s="51" t="n"/>
      <c r="G431" s="51" t="n"/>
    </row>
    <row r="432">
      <c r="B432" s="51" t="n"/>
      <c r="C432" s="51" t="n"/>
      <c r="D432" s="51" t="n"/>
      <c r="E432" s="51" t="n"/>
      <c r="F432" s="51" t="n"/>
      <c r="G432" s="51" t="n"/>
    </row>
    <row r="433">
      <c r="B433" s="51" t="n"/>
      <c r="C433" s="51" t="n"/>
      <c r="D433" s="51" t="n"/>
      <c r="E433" s="51" t="n"/>
      <c r="F433" s="51" t="n"/>
      <c r="G433" s="51" t="n"/>
    </row>
    <row r="434">
      <c r="B434" s="51" t="n"/>
      <c r="C434" s="51" t="n"/>
      <c r="D434" s="51" t="n"/>
      <c r="E434" s="51" t="n"/>
      <c r="F434" s="51" t="n"/>
      <c r="G434" s="51" t="n"/>
    </row>
    <row r="435">
      <c r="B435" s="51" t="n"/>
      <c r="C435" s="51" t="n"/>
      <c r="D435" s="51" t="n"/>
      <c r="E435" s="51" t="n"/>
      <c r="F435" s="51" t="n"/>
      <c r="G435" s="51" t="n"/>
    </row>
    <row r="436">
      <c r="B436" s="51" t="n"/>
      <c r="C436" s="51" t="n"/>
      <c r="D436" s="51" t="n"/>
      <c r="E436" s="51" t="n"/>
      <c r="F436" s="51" t="n"/>
      <c r="G436" s="51" t="n"/>
    </row>
    <row r="437">
      <c r="B437" s="51" t="n"/>
      <c r="C437" s="51" t="n"/>
      <c r="D437" s="51" t="n"/>
      <c r="E437" s="51" t="n"/>
      <c r="F437" s="51" t="n"/>
      <c r="G437" s="51" t="n"/>
    </row>
    <row r="438">
      <c r="B438" s="51" t="n"/>
      <c r="C438" s="51" t="n"/>
      <c r="D438" s="51" t="n"/>
      <c r="E438" s="51" t="n"/>
      <c r="F438" s="51" t="n"/>
      <c r="G438" s="51" t="n"/>
    </row>
    <row r="439">
      <c r="B439" s="51" t="n"/>
      <c r="C439" s="51" t="n"/>
      <c r="D439" s="51" t="n"/>
      <c r="E439" s="51" t="n"/>
      <c r="F439" s="51" t="n"/>
      <c r="G439" s="51" t="n"/>
    </row>
    <row r="440">
      <c r="B440" s="51" t="n"/>
      <c r="C440" s="51" t="n"/>
      <c r="D440" s="51" t="n"/>
      <c r="E440" s="51" t="n"/>
      <c r="F440" s="51" t="n"/>
      <c r="G440" s="51" t="n"/>
    </row>
    <row r="441">
      <c r="B441" s="51" t="n"/>
      <c r="C441" s="51" t="n"/>
      <c r="D441" s="51" t="n"/>
      <c r="E441" s="51" t="n"/>
      <c r="F441" s="51" t="n"/>
      <c r="G441" s="51" t="n"/>
    </row>
    <row r="442">
      <c r="B442" s="51" t="n"/>
      <c r="C442" s="51" t="n"/>
      <c r="D442" s="51" t="n"/>
      <c r="E442" s="51" t="n"/>
      <c r="F442" s="51" t="n"/>
      <c r="G442" s="51" t="n"/>
    </row>
    <row r="443">
      <c r="B443" s="51" t="n"/>
      <c r="C443" s="51" t="n"/>
      <c r="D443" s="51" t="n"/>
      <c r="E443" s="51" t="n"/>
      <c r="F443" s="51" t="n"/>
      <c r="G443" s="51" t="n"/>
    </row>
    <row r="444">
      <c r="B444" s="51" t="n"/>
      <c r="C444" s="51" t="n"/>
      <c r="D444" s="51" t="n"/>
      <c r="E444" s="51" t="n"/>
      <c r="F444" s="51" t="n"/>
      <c r="G444" s="51" t="n"/>
    </row>
    <row r="445">
      <c r="B445" s="51" t="n"/>
      <c r="C445" s="51" t="n"/>
      <c r="D445" s="51" t="n"/>
      <c r="E445" s="51" t="n"/>
      <c r="F445" s="51" t="n"/>
      <c r="G445" s="51" t="n"/>
    </row>
    <row r="446">
      <c r="B446" s="51" t="n"/>
      <c r="C446" s="51" t="n"/>
      <c r="D446" s="51" t="n"/>
      <c r="E446" s="51" t="n"/>
      <c r="F446" s="51" t="n"/>
      <c r="G446" s="51" t="n"/>
    </row>
    <row r="447">
      <c r="B447" s="51" t="n"/>
      <c r="C447" s="51" t="n"/>
      <c r="D447" s="51" t="n"/>
      <c r="E447" s="51" t="n"/>
      <c r="F447" s="51" t="n"/>
      <c r="G447" s="51" t="n"/>
    </row>
    <row r="448">
      <c r="B448" s="51" t="n"/>
      <c r="C448" s="51" t="n"/>
      <c r="D448" s="51" t="n"/>
      <c r="E448" s="51" t="n"/>
      <c r="F448" s="51" t="n"/>
      <c r="G448" s="51" t="n"/>
    </row>
    <row r="449">
      <c r="B449" s="51" t="n"/>
      <c r="C449" s="51" t="n"/>
      <c r="D449" s="51" t="n"/>
      <c r="E449" s="51" t="n"/>
      <c r="F449" s="51" t="n"/>
      <c r="G449" s="51" t="n"/>
    </row>
    <row r="450">
      <c r="B450" s="51" t="n"/>
      <c r="C450" s="51" t="n"/>
      <c r="D450" s="51" t="n"/>
      <c r="E450" s="51" t="n"/>
      <c r="F450" s="51" t="n"/>
      <c r="G450" s="51" t="n"/>
    </row>
    <row r="451">
      <c r="B451" s="51" t="n"/>
      <c r="C451" s="51" t="n"/>
      <c r="D451" s="51" t="n"/>
      <c r="E451" s="51" t="n"/>
      <c r="F451" s="51" t="n"/>
      <c r="G451" s="51" t="n"/>
    </row>
    <row r="452">
      <c r="B452" s="51" t="n"/>
      <c r="C452" s="51" t="n"/>
      <c r="D452" s="51" t="n"/>
      <c r="E452" s="51" t="n"/>
      <c r="F452" s="51" t="n"/>
      <c r="G452" s="51" t="n"/>
    </row>
    <row r="453">
      <c r="B453" s="51" t="n"/>
      <c r="C453" s="51" t="n"/>
      <c r="D453" s="51" t="n"/>
      <c r="E453" s="51" t="n"/>
      <c r="F453" s="51" t="n"/>
      <c r="G453" s="51" t="n"/>
    </row>
    <row r="454">
      <c r="B454" s="51" t="n"/>
      <c r="C454" s="51" t="n"/>
      <c r="D454" s="51" t="n"/>
      <c r="E454" s="51" t="n"/>
      <c r="F454" s="51" t="n"/>
      <c r="G454" s="51" t="n"/>
    </row>
    <row r="455">
      <c r="B455" s="51" t="n"/>
      <c r="C455" s="51" t="n"/>
      <c r="D455" s="51" t="n"/>
      <c r="E455" s="51" t="n"/>
      <c r="F455" s="51" t="n"/>
      <c r="G455" s="51" t="n"/>
    </row>
    <row r="456">
      <c r="B456" s="51" t="n"/>
      <c r="C456" s="51" t="n"/>
      <c r="D456" s="51" t="n"/>
      <c r="E456" s="51" t="n"/>
      <c r="F456" s="51" t="n"/>
      <c r="G456" s="51" t="n"/>
    </row>
    <row r="457">
      <c r="B457" s="51" t="n"/>
      <c r="C457" s="51" t="n"/>
      <c r="D457" s="51" t="n"/>
      <c r="E457" s="51" t="n"/>
      <c r="F457" s="51" t="n"/>
      <c r="G457" s="51" t="n"/>
    </row>
    <row r="458">
      <c r="B458" s="51" t="n"/>
      <c r="C458" s="51" t="n"/>
      <c r="D458" s="51" t="n"/>
      <c r="E458" s="51" t="n"/>
      <c r="F458" s="51" t="n"/>
      <c r="G458" s="51" t="n"/>
    </row>
    <row r="459">
      <c r="B459" s="51" t="n"/>
      <c r="C459" s="51" t="n"/>
      <c r="D459" s="51" t="n"/>
      <c r="E459" s="51" t="n"/>
      <c r="F459" s="51" t="n"/>
      <c r="G459" s="51" t="n"/>
    </row>
    <row r="460">
      <c r="B460" s="51" t="n"/>
      <c r="C460" s="51" t="n"/>
      <c r="D460" s="51" t="n"/>
      <c r="E460" s="51" t="n"/>
      <c r="F460" s="51" t="n"/>
      <c r="G460" s="51" t="n"/>
    </row>
    <row r="461">
      <c r="B461" s="51" t="n"/>
      <c r="C461" s="51" t="n"/>
      <c r="D461" s="51" t="n"/>
      <c r="E461" s="51" t="n"/>
      <c r="F461" s="51" t="n"/>
      <c r="G461" s="51" t="n"/>
    </row>
    <row r="462">
      <c r="B462" s="51" t="n"/>
      <c r="C462" s="51" t="n"/>
      <c r="D462" s="51" t="n"/>
      <c r="E462" s="51" t="n"/>
      <c r="F462" s="51" t="n"/>
      <c r="G462" s="51" t="n"/>
    </row>
    <row r="463">
      <c r="B463" s="51" t="n"/>
      <c r="C463" s="51" t="n"/>
      <c r="D463" s="51" t="n"/>
      <c r="E463" s="51" t="n"/>
      <c r="F463" s="51" t="n"/>
      <c r="G463" s="51" t="n"/>
    </row>
    <row r="464">
      <c r="B464" s="51" t="n"/>
      <c r="C464" s="51" t="n"/>
      <c r="D464" s="51" t="n"/>
      <c r="E464" s="51" t="n"/>
      <c r="F464" s="51" t="n"/>
      <c r="G464" s="51" t="n"/>
    </row>
    <row r="465">
      <c r="B465" s="51" t="n"/>
      <c r="C465" s="51" t="n"/>
      <c r="D465" s="51" t="n"/>
      <c r="E465" s="51" t="n"/>
      <c r="F465" s="51" t="n"/>
      <c r="G465" s="51" t="n"/>
    </row>
    <row r="466">
      <c r="B466" s="51" t="n"/>
      <c r="C466" s="51" t="n"/>
      <c r="D466" s="51" t="n"/>
      <c r="E466" s="51" t="n"/>
      <c r="F466" s="51" t="n"/>
      <c r="G466" s="51" t="n"/>
    </row>
    <row r="467">
      <c r="B467" s="51" t="n"/>
      <c r="C467" s="51" t="n"/>
      <c r="D467" s="51" t="n"/>
      <c r="E467" s="51" t="n"/>
      <c r="F467" s="51" t="n"/>
      <c r="G467" s="51" t="n"/>
    </row>
    <row r="468">
      <c r="B468" s="51" t="n"/>
      <c r="C468" s="51" t="n"/>
      <c r="D468" s="51" t="n"/>
      <c r="E468" s="51" t="n"/>
      <c r="F468" s="51" t="n"/>
      <c r="G468" s="51" t="n"/>
    </row>
    <row r="469">
      <c r="B469" s="51" t="n"/>
      <c r="C469" s="51" t="n"/>
      <c r="D469" s="51" t="n"/>
      <c r="E469" s="51" t="n"/>
      <c r="F469" s="51" t="n"/>
      <c r="G469" s="51" t="n"/>
    </row>
    <row r="470">
      <c r="B470" s="51" t="n"/>
      <c r="C470" s="51" t="n"/>
      <c r="D470" s="51" t="n"/>
      <c r="E470" s="51" t="n"/>
      <c r="F470" s="51" t="n"/>
      <c r="G470" s="51" t="n"/>
    </row>
    <row r="471">
      <c r="B471" s="51" t="n"/>
      <c r="C471" s="51" t="n"/>
      <c r="D471" s="51" t="n"/>
      <c r="E471" s="51" t="n"/>
      <c r="F471" s="51" t="n"/>
      <c r="G471" s="51" t="n"/>
    </row>
    <row r="472">
      <c r="B472" s="51" t="n"/>
      <c r="C472" s="51" t="n"/>
      <c r="D472" s="51" t="n"/>
      <c r="E472" s="51" t="n"/>
      <c r="F472" s="51" t="n"/>
      <c r="G472" s="51" t="n"/>
    </row>
    <row r="473">
      <c r="B473" s="51" t="n"/>
      <c r="C473" s="51" t="n"/>
      <c r="D473" s="51" t="n"/>
      <c r="E473" s="51" t="n"/>
      <c r="F473" s="51" t="n"/>
      <c r="G473" s="51" t="n"/>
    </row>
    <row r="474">
      <c r="B474" s="51" t="n"/>
      <c r="C474" s="51" t="n"/>
      <c r="D474" s="51" t="n"/>
      <c r="E474" s="51" t="n"/>
      <c r="F474" s="51" t="n"/>
      <c r="G474" s="51" t="n"/>
    </row>
    <row r="475">
      <c r="B475" s="51" t="n"/>
      <c r="C475" s="51" t="n"/>
      <c r="D475" s="51" t="n"/>
      <c r="E475" s="51" t="n"/>
      <c r="F475" s="51" t="n"/>
      <c r="G475" s="51" t="n"/>
    </row>
    <row r="476">
      <c r="B476" s="51" t="n"/>
      <c r="C476" s="51" t="n"/>
      <c r="D476" s="51" t="n"/>
      <c r="E476" s="51" t="n"/>
      <c r="F476" s="51" t="n"/>
      <c r="G476" s="51" t="n"/>
    </row>
    <row r="477">
      <c r="B477" s="51" t="n"/>
      <c r="C477" s="51" t="n"/>
      <c r="D477" s="51" t="n"/>
      <c r="E477" s="51" t="n"/>
      <c r="F477" s="51" t="n"/>
      <c r="G477" s="51" t="n"/>
    </row>
    <row r="478">
      <c r="B478" s="51" t="n"/>
      <c r="C478" s="51" t="n"/>
      <c r="D478" s="51" t="n"/>
      <c r="E478" s="51" t="n"/>
      <c r="F478" s="51" t="n"/>
      <c r="G478" s="51" t="n"/>
    </row>
    <row r="479">
      <c r="B479" s="51" t="n"/>
      <c r="C479" s="51" t="n"/>
      <c r="D479" s="51" t="n"/>
      <c r="E479" s="51" t="n"/>
      <c r="F479" s="51" t="n"/>
      <c r="G479" s="51" t="n"/>
    </row>
    <row r="480">
      <c r="B480" s="51" t="n"/>
      <c r="C480" s="51" t="n"/>
      <c r="D480" s="51" t="n"/>
      <c r="E480" s="51" t="n"/>
      <c r="F480" s="51" t="n"/>
      <c r="G480" s="51" t="n"/>
    </row>
    <row r="481">
      <c r="B481" s="51" t="n"/>
      <c r="C481" s="51" t="n"/>
      <c r="D481" s="51" t="n"/>
      <c r="E481" s="51" t="n"/>
      <c r="F481" s="51" t="n"/>
      <c r="G481" s="51" t="n"/>
    </row>
    <row r="482">
      <c r="B482" s="51" t="n"/>
      <c r="C482" s="51" t="n"/>
      <c r="D482" s="51" t="n"/>
      <c r="E482" s="51" t="n"/>
      <c r="F482" s="51" t="n"/>
      <c r="G482" s="51" t="n"/>
    </row>
    <row r="483">
      <c r="B483" s="51" t="n"/>
      <c r="C483" s="51" t="n"/>
      <c r="D483" s="51" t="n"/>
      <c r="E483" s="51" t="n"/>
      <c r="F483" s="51" t="n"/>
      <c r="G483" s="51" t="n"/>
    </row>
    <row r="484">
      <c r="B484" s="51" t="n"/>
      <c r="C484" s="51" t="n"/>
      <c r="D484" s="51" t="n"/>
      <c r="E484" s="51" t="n"/>
      <c r="F484" s="51" t="n"/>
      <c r="G484" s="51" t="n"/>
    </row>
    <row r="485">
      <c r="B485" s="51" t="n"/>
      <c r="C485" s="51" t="n"/>
      <c r="D485" s="51" t="n"/>
      <c r="E485" s="51" t="n"/>
      <c r="F485" s="51" t="n"/>
      <c r="G485" s="51" t="n"/>
    </row>
    <row r="486">
      <c r="B486" s="51" t="n"/>
      <c r="C486" s="51" t="n"/>
      <c r="D486" s="51" t="n"/>
      <c r="E486" s="51" t="n"/>
      <c r="F486" s="51" t="n"/>
      <c r="G486" s="51" t="n"/>
    </row>
    <row r="487">
      <c r="B487" s="51" t="n"/>
      <c r="C487" s="51" t="n"/>
      <c r="D487" s="51" t="n"/>
      <c r="E487" s="51" t="n"/>
      <c r="F487" s="51" t="n"/>
      <c r="G487" s="51" t="n"/>
    </row>
    <row r="488">
      <c r="B488" s="51" t="n"/>
      <c r="C488" s="51" t="n"/>
      <c r="D488" s="51" t="n"/>
      <c r="E488" s="51" t="n"/>
      <c r="F488" s="51" t="n"/>
      <c r="G488" s="51" t="n"/>
    </row>
    <row r="489">
      <c r="B489" s="51" t="n"/>
      <c r="C489" s="51" t="n"/>
      <c r="D489" s="51" t="n"/>
      <c r="E489" s="51" t="n"/>
      <c r="F489" s="51" t="n"/>
      <c r="G489" s="51" t="n"/>
    </row>
    <row r="490">
      <c r="B490" s="51" t="n"/>
      <c r="C490" s="51" t="n"/>
      <c r="D490" s="51" t="n"/>
      <c r="E490" s="51" t="n"/>
      <c r="F490" s="51" t="n"/>
      <c r="G490" s="51" t="n"/>
    </row>
    <row r="491">
      <c r="B491" s="51" t="n"/>
      <c r="C491" s="51" t="n"/>
      <c r="D491" s="51" t="n"/>
      <c r="E491" s="51" t="n"/>
      <c r="F491" s="51" t="n"/>
      <c r="G491" s="51" t="n"/>
    </row>
    <row r="492">
      <c r="B492" s="51" t="n"/>
      <c r="C492" s="51" t="n"/>
      <c r="D492" s="51" t="n"/>
      <c r="E492" s="51" t="n"/>
      <c r="F492" s="51" t="n"/>
      <c r="G492" s="51" t="n"/>
    </row>
    <row r="493">
      <c r="B493" s="51" t="n"/>
      <c r="C493" s="51" t="n"/>
      <c r="D493" s="51" t="n"/>
      <c r="E493" s="51" t="n"/>
      <c r="F493" s="51" t="n"/>
      <c r="G493" s="51" t="n"/>
    </row>
    <row r="494">
      <c r="B494" s="51" t="n"/>
      <c r="C494" s="51" t="n"/>
      <c r="D494" s="51" t="n"/>
      <c r="E494" s="51" t="n"/>
      <c r="F494" s="51" t="n"/>
      <c r="G494" s="51" t="n"/>
    </row>
    <row r="495">
      <c r="B495" s="51" t="n"/>
      <c r="C495" s="51" t="n"/>
      <c r="D495" s="51" t="n"/>
      <c r="E495" s="51" t="n"/>
      <c r="F495" s="51" t="n"/>
      <c r="G495" s="51" t="n"/>
    </row>
    <row r="496">
      <c r="B496" s="51" t="n"/>
      <c r="C496" s="51" t="n"/>
      <c r="D496" s="51" t="n"/>
      <c r="E496" s="51" t="n"/>
      <c r="F496" s="51" t="n"/>
      <c r="G496" s="51" t="n"/>
    </row>
    <row r="497">
      <c r="B497" s="51" t="n"/>
      <c r="C497" s="51" t="n"/>
      <c r="D497" s="51" t="n"/>
      <c r="E497" s="51" t="n"/>
      <c r="F497" s="51" t="n"/>
      <c r="G497" s="51" t="n"/>
    </row>
    <row r="498">
      <c r="B498" s="51" t="n"/>
      <c r="C498" s="51" t="n"/>
      <c r="D498" s="51" t="n"/>
      <c r="E498" s="51" t="n"/>
      <c r="F498" s="51" t="n"/>
      <c r="G498" s="51" t="n"/>
    </row>
    <row r="499">
      <c r="B499" s="51" t="n"/>
      <c r="C499" s="51" t="n"/>
      <c r="D499" s="51" t="n"/>
      <c r="E499" s="51" t="n"/>
      <c r="F499" s="51" t="n"/>
      <c r="G499" s="51" t="n"/>
    </row>
    <row r="500">
      <c r="B500" s="51" t="n"/>
      <c r="C500" s="51" t="n"/>
      <c r="D500" s="51" t="n"/>
      <c r="E500" s="51" t="n"/>
      <c r="F500" s="51" t="n"/>
      <c r="G500" s="51" t="n"/>
    </row>
    <row r="501">
      <c r="B501" s="51" t="n"/>
      <c r="C501" s="51" t="n"/>
      <c r="D501" s="51" t="n"/>
      <c r="E501" s="51" t="n"/>
      <c r="F501" s="51" t="n"/>
      <c r="G501" s="51" t="n"/>
    </row>
    <row r="502">
      <c r="B502" s="51" t="n"/>
      <c r="C502" s="51" t="n"/>
      <c r="D502" s="51" t="n"/>
      <c r="E502" s="51" t="n"/>
      <c r="F502" s="51" t="n"/>
      <c r="G502" s="51" t="n"/>
    </row>
    <row r="503">
      <c r="B503" s="51" t="n"/>
      <c r="C503" s="51" t="n"/>
      <c r="D503" s="51" t="n"/>
      <c r="E503" s="51" t="n"/>
      <c r="F503" s="51" t="n"/>
      <c r="G503" s="51" t="n"/>
    </row>
    <row r="504">
      <c r="B504" s="51" t="n"/>
      <c r="C504" s="51" t="n"/>
      <c r="D504" s="51" t="n"/>
      <c r="E504" s="51" t="n"/>
      <c r="F504" s="51" t="n"/>
      <c r="G504" s="51" t="n"/>
    </row>
    <row r="505">
      <c r="B505" s="51" t="n"/>
      <c r="C505" s="51" t="n"/>
      <c r="D505" s="51" t="n"/>
      <c r="E505" s="51" t="n"/>
      <c r="F505" s="51" t="n"/>
      <c r="G505" s="51" t="n"/>
    </row>
    <row r="506">
      <c r="B506" s="51" t="n"/>
      <c r="C506" s="51" t="n"/>
      <c r="D506" s="51" t="n"/>
      <c r="E506" s="51" t="n"/>
      <c r="F506" s="51" t="n"/>
      <c r="G506" s="51" t="n"/>
    </row>
    <row r="507">
      <c r="B507" s="51" t="n"/>
      <c r="C507" s="51" t="n"/>
      <c r="D507" s="51" t="n"/>
      <c r="E507" s="51" t="n"/>
      <c r="F507" s="51" t="n"/>
      <c r="G507" s="51" t="n"/>
    </row>
    <row r="508">
      <c r="B508" s="51" t="n"/>
      <c r="C508" s="51" t="n"/>
      <c r="D508" s="51" t="n"/>
      <c r="E508" s="51" t="n"/>
      <c r="F508" s="51" t="n"/>
      <c r="G508" s="51" t="n"/>
    </row>
    <row r="509">
      <c r="B509" s="51" t="n"/>
      <c r="C509" s="51" t="n"/>
      <c r="D509" s="51" t="n"/>
      <c r="E509" s="51" t="n"/>
      <c r="F509" s="51" t="n"/>
      <c r="G509" s="51" t="n"/>
    </row>
    <row r="510">
      <c r="B510" s="51" t="n"/>
      <c r="C510" s="51" t="n"/>
      <c r="D510" s="51" t="n"/>
      <c r="E510" s="51" t="n"/>
      <c r="F510" s="51" t="n"/>
      <c r="G510" s="51" t="n"/>
    </row>
    <row r="511">
      <c r="B511" s="51" t="n"/>
      <c r="C511" s="51" t="n"/>
      <c r="D511" s="51" t="n"/>
      <c r="E511" s="51" t="n"/>
      <c r="F511" s="51" t="n"/>
      <c r="G511" s="51" t="n"/>
    </row>
    <row r="512">
      <c r="B512" s="51" t="n"/>
      <c r="C512" s="51" t="n"/>
      <c r="D512" s="51" t="n"/>
      <c r="E512" s="51" t="n"/>
      <c r="F512" s="51" t="n"/>
      <c r="G512" s="51" t="n"/>
    </row>
    <row r="513">
      <c r="B513" s="51" t="n"/>
      <c r="C513" s="51" t="n"/>
      <c r="D513" s="51" t="n"/>
      <c r="E513" s="51" t="n"/>
      <c r="F513" s="51" t="n"/>
      <c r="G513" s="51" t="n"/>
    </row>
    <row r="514">
      <c r="B514" s="51" t="n"/>
      <c r="C514" s="51" t="n"/>
      <c r="D514" s="51" t="n"/>
      <c r="E514" s="51" t="n"/>
      <c r="F514" s="51" t="n"/>
      <c r="G514" s="51" t="n"/>
    </row>
    <row r="515">
      <c r="B515" s="51" t="n"/>
      <c r="C515" s="51" t="n"/>
      <c r="D515" s="51" t="n"/>
      <c r="E515" s="51" t="n"/>
      <c r="F515" s="51" t="n"/>
      <c r="G515" s="51" t="n"/>
    </row>
    <row r="516">
      <c r="B516" s="51" t="n"/>
      <c r="C516" s="51" t="n"/>
      <c r="D516" s="51" t="n"/>
      <c r="E516" s="51" t="n"/>
      <c r="F516" s="51" t="n"/>
      <c r="G516" s="51" t="n"/>
    </row>
    <row r="517">
      <c r="B517" s="51" t="n"/>
      <c r="C517" s="51" t="n"/>
      <c r="D517" s="51" t="n"/>
      <c r="E517" s="51" t="n"/>
      <c r="F517" s="51" t="n"/>
      <c r="G517" s="51" t="n"/>
    </row>
  </sheetData>
  <mergeCells count="8">
    <mergeCell ref="B3:G3"/>
    <mergeCell ref="B5:G5"/>
    <mergeCell ref="D8:G8"/>
    <mergeCell ref="B10:C10"/>
    <mergeCell ref="B4:G4"/>
    <mergeCell ref="B8:C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E17:E517">
    <cfRule type="expression" priority="4" dxfId="6">
      <formula>AND(LEN($B17&amp;$C17&amp;$D17&amp;$E17&amp;$F17&amp;$G17)&gt;0,E17="")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Unique code"/>
    <dataValidation sqref="C17:C517" showDropDown="0" showInputMessage="1" showErrorMessage="1" allowBlank="1" errorTitle="Kind" error="The value is not in the list Clause kind (sheet Reference lists). Keep it only for a new value you also add to its template." promptTitle="Kind" prompt="Yes. Code of the list CLAUSE_KIND Allowed: WARRANTY, CLAUSE, EXCLUSION, DEDUCTIBLE_WORDING (list Clause kind)" type="list" errorStyle="warning">
      <formula1>=LIST_CLAUSE_KIND</formula1>
    </dataValidation>
    <dataValidation sqref="D17:D517" showDropDown="0" showInputMessage="1" showErrorMessage="1" allowBlank="1" errorTitle="Line code" error="The code is not in PM-01, column Line code. Enter it there first, or keep it if it is a code BIBS already holds." promptTitle="Line code" prompt="No. Lines the clause is offered for Allowed: A code of PM-01 Product catalogue, column Line code" type="list" errorStyle="warning">
      <formula1>=CODES_PM_01_LINE_CODE</formula1>
    </dataValidation>
    <dataValidation sqref="E17:E517" showDropDown="0" showInputMessage="1" showErrorMessage="0" allowBlank="1" promptTitle="Title" prompt="Yes. Title shown in the pickers"/>
    <dataValidation sqref="F17:F517" showDropDown="0" showInputMessage="1" showErrorMessage="0" allowBlank="1" promptTitle="Wording" prompt="Yes. Wording printed on the package documents"/>
    <dataValidation sqref="G17:G517" showDropDown="0" showInputMessage="1" showErrorMessage="0" allowBlank="1" promptTitle="Effective from / to" prompt="Yes (from). Validity of the wording"/>
  </dataValidations>
  <hyperlinks>
    <hyperlink ref="A2" location="'Start here'!A1"/>
    <hyperlink ref="G2" location="'Questions and comments'!A1"/>
    <hyperlink ref="B8" location="'PM-09 Lists and parameters'!A1"/>
    <hyperlink ref="D8" location="'PM-01 Product catalogue'!A1"/>
    <hyperlink ref="C14" location="'Reference lists'!A83"/>
    <hyperlink ref="D14" location="'PM-01 Product catalogue'!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33" customWidth="1" min="3" max="3"/>
    <col width="18" customWidth="1" min="4" max="4"/>
    <col width="40" customWidth="1" min="5" max="5"/>
    <col width="27" customWidth="1" min="6" max="6"/>
    <col width="16" customWidth="1" min="7" max="7"/>
    <col width="37" customWidth="1" min="8" max="8"/>
    <col width="12" customWidth="1" min="9" max="9"/>
    <col width="40" customWidth="1" min="10" max="10"/>
  </cols>
  <sheetData>
    <row r="1" ht="26" customHeight="1">
      <c r="A1" s="27" t="inlineStr">
        <is>
          <t>PM-05 Insurers, branches and commission rates</t>
        </is>
      </c>
      <c r="J1" s="28" t="inlineStr">
        <is>
          <t>Step 16 of 31</t>
        </is>
      </c>
    </row>
    <row r="2">
      <c r="A2" s="29" t="inlineStr">
        <is>
          <t>← Back to Start here</t>
        </is>
      </c>
      <c r="B2" s="30" t="inlineStr">
        <is>
          <t>Step 16 of 31. Fill in one row per record below the column headers; the guide above each column says what to enter.</t>
        </is>
      </c>
      <c r="J2" s="31" t="inlineStr">
        <is>
          <t>Ask a question →</t>
        </is>
      </c>
    </row>
    <row r="3" outlineLevel="1" ht="15.5" customHeight="1">
      <c r="A3" s="32" t="inlineStr">
        <is>
          <t>Purpose</t>
        </is>
      </c>
      <c r="B3" s="33" t="inlineStr">
        <is>
          <t>The insurer panel with accreditation and placement e-mails, the branches with their LGT rate, and the commission rates per product</t>
        </is>
      </c>
    </row>
    <row r="4" outlineLevel="1" ht="15.5" customHeight="1">
      <c r="A4" s="32" t="inlineStr">
        <is>
          <t>Provided by</t>
        </is>
      </c>
      <c r="B4" s="33" t="inlineStr">
        <is>
          <t>Head of Operations; MBS (commission per package)</t>
        </is>
      </c>
    </row>
    <row r="5" outlineLevel="1" ht="15.5" customHeight="1">
      <c r="A5" s="32" t="inlineStr">
        <is>
          <t>Due</t>
        </is>
      </c>
      <c r="B5" s="34" t="inlineStr">
        <is>
          <t>9-Apr-2027 – Reference data for Trial migration 1 (M4)</t>
        </is>
      </c>
    </row>
    <row r="6" outlineLevel="1" ht="15.5" customHeight="1">
      <c r="A6" s="32" t="inlineStr">
        <is>
          <t>How it is loaded</t>
        </is>
      </c>
      <c r="B6" s="33" t="inlineStr">
        <is>
          <t>Data migration objects R04 (insurers, branches, business partners) and R07 (commission rates); after go-live on Insurers (SCR-PM-17, SCR-PM-18)</t>
        </is>
      </c>
    </row>
    <row r="7" outlineLevel="1" ht="15.5" customHeight="1">
      <c r="A7" s="32" t="inlineStr">
        <is>
          <t>Source</t>
        </is>
      </c>
      <c r="B7" s="33" t="inlineStr">
        <is>
          <t>Legacy QPS and EBIX insurer masters</t>
        </is>
      </c>
    </row>
    <row r="8" outlineLevel="1" ht="15" customHeight="1">
      <c r="A8" s="32" t="inlineStr">
        <is>
          <t>Depends on</t>
        </is>
      </c>
      <c r="B8" s="55" t="inlineStr">
        <is>
          <t>PM-01 Product catalogue →</t>
        </is>
      </c>
    </row>
    <row r="9" ht="26" customHeight="1">
      <c r="A9" s="36" t="inlineStr">
        <is>
          <t>Progress</t>
        </is>
      </c>
      <c r="B9" s="37" t="inlineStr">
        <is>
          <t>Rows entered</t>
        </is>
      </c>
      <c r="C9" s="38">
        <f>SUMPRODUCT(((ROW($B$17:$B$517)&gt;17)+($B$17&lt;&gt;"INS-MGIC")&gt;0)*(LEN($B$17:$B$517&amp;$C$17:$C$517&amp;$D$17:$D$517&amp;$E$17:$E$517&amp;$F$17:$F$517&amp;$G$17:$G$517&amp;$H$17:$H$517&amp;$I$17:$I$517&amp;$J$17:$J$517)&gt;0))</f>
        <v/>
      </c>
      <c r="D9" s="37" t="inlineStr">
        <is>
          <t>Mandatory cells missing</t>
        </is>
      </c>
      <c r="E9" s="38">
        <f>SUMPRODUCT(((ROW($B$17:$B$517)&gt;17)+($B$17&lt;&gt;"INS-MGIC")&gt;0)*(LEN($B$17:$B$517&amp;$C$17:$C$517&amp;$D$17:$D$517&amp;$E$17:$E$517&amp;$F$17:$F$517&amp;$G$17:$G$517&amp;$H$17:$H$517&amp;$I$17:$I$517&amp;$J$17:$J$517)&gt;0)*(($B$17:$B$517="")+($C$17:$C$517="")))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30" customHeight="1">
      <c r="A12" s="43" t="inlineStr">
        <is>
          <t>Mandatory</t>
        </is>
      </c>
      <c r="B12" s="44" t="inlineStr">
        <is>
          <t>Yes</t>
        </is>
      </c>
      <c r="C12" s="44" t="inlineStr">
        <is>
          <t>Yes (name)</t>
        </is>
      </c>
      <c r="D12" s="45" t="inlineStr">
        <is>
          <t>No</t>
        </is>
      </c>
      <c r="E12" s="45" t="inlineStr">
        <is>
          <t>No</t>
        </is>
      </c>
      <c r="F12" s="45" t="inlineStr">
        <is>
          <t>Conditional: for package insurers</t>
        </is>
      </c>
      <c r="G12" s="45" t="inlineStr">
        <is>
          <t>No</t>
        </is>
      </c>
      <c r="H12" s="45" t="inlineStr">
        <is>
          <t>Conditional: branch rows</t>
        </is>
      </c>
      <c r="I12" s="45" t="inlineStr">
        <is>
          <t>Conditional: branch rows</t>
        </is>
      </c>
      <c r="J12" s="45" t="inlineStr">
        <is>
          <t>Conditional: commission rows</t>
        </is>
      </c>
    </row>
    <row r="13" ht="30" customHeight="1">
      <c r="A13" s="43" t="inlineStr">
        <is>
          <t>Format</t>
        </is>
      </c>
      <c r="B13" s="45" t="inlineStr">
        <is>
          <t>INS- followed by capitals</t>
        </is>
      </c>
      <c r="C13" s="45" t="inlineStr">
        <is>
          <t>Text</t>
        </is>
      </c>
      <c r="D13" s="45" t="inlineStr">
        <is>
          <t>000-000-000-000; text</t>
        </is>
      </c>
      <c r="E13" s="45" t="inlineStr">
        <is>
          <t>Text; dd-MMM-yyyy</t>
        </is>
      </c>
      <c r="F13" s="45" t="inlineStr">
        <is>
          <t>Addresses separated by commas</t>
        </is>
      </c>
      <c r="G13" s="45" t="inlineStr">
        <is>
          <t>0 to 365</t>
        </is>
      </c>
      <c r="H13" s="45" t="inlineStr">
        <is>
          <t>Text</t>
        </is>
      </c>
      <c r="I13" s="45" t="inlineStr">
        <is>
          <t>0 to 100</t>
        </is>
      </c>
      <c r="J13" s="45" t="inlineStr">
        <is>
          <t>Risk code or blank for all; percentage; dd-MMM-yyyy</t>
        </is>
      </c>
    </row>
    <row r="14" ht="30" customHeight="1">
      <c r="A14" s="43" t="inlineStr">
        <is>
          <t>Allowed values</t>
        </is>
      </c>
      <c r="B14" s="45" t="inlineStr">
        <is>
          <t>Free entry</t>
        </is>
      </c>
      <c r="C14" s="45" t="inlineStr">
        <is>
          <t>Free entry</t>
        </is>
      </c>
      <c r="D14" s="45" t="inlineStr">
        <is>
          <t>Free entry</t>
        </is>
      </c>
      <c r="E14" s="45" t="inlineStr">
        <is>
          <t>Free entry</t>
        </is>
      </c>
      <c r="F14" s="45" t="inlineStr">
        <is>
          <t>Free entry</t>
        </is>
      </c>
      <c r="G14" s="45" t="inlineStr">
        <is>
          <t>A whole number from 0 to 365</t>
        </is>
      </c>
      <c r="H14" s="45" t="inlineStr">
        <is>
          <t>Free entry</t>
        </is>
      </c>
      <c r="I14" s="45" t="inlineStr">
        <is>
          <t>A number from 0 to 100</t>
        </is>
      </c>
      <c r="J14" s="53" t="inlineStr">
        <is>
          <t>Codes of PM-01 Product catalogue, column Risk code (one or more)</t>
        </is>
      </c>
    </row>
    <row r="15" ht="43" customHeight="1">
      <c r="A15" s="43" t="inlineStr">
        <is>
          <t>What to enter</t>
        </is>
      </c>
      <c r="B15" s="45" t="inlineStr">
        <is>
          <t>Insurer code; unique</t>
        </is>
      </c>
      <c r="C15" s="45" t="inlineStr">
        <is>
          <t>Registered and short name</t>
        </is>
      </c>
      <c r="D15" s="45" t="inlineStr">
        <is>
          <t>Business partner details</t>
        </is>
      </c>
      <c r="E15" s="45" t="inlineStr">
        <is>
          <t>Insurance Commission accreditation</t>
        </is>
      </c>
      <c r="F15" s="45" t="inlineStr">
        <is>
          <t>Where quotation and placement slips are sent</t>
        </is>
      </c>
      <c r="G15" s="45" t="inlineStr">
        <is>
          <t>Default credit days</t>
        </is>
      </c>
      <c r="H15" s="45" t="inlineStr">
        <is>
          <t>Branch of the insurer</t>
        </is>
      </c>
      <c r="I15" s="45" t="inlineStr">
        <is>
          <t>Local government tax on premium</t>
        </is>
      </c>
      <c r="J15" s="45" t="inlineStr">
        <is>
          <t>Commission rate of the insurer</t>
        </is>
      </c>
    </row>
    <row r="16" ht="32" customHeight="1">
      <c r="A16" s="46" t="inlineStr">
        <is>
          <t>Row</t>
        </is>
      </c>
      <c r="B16" s="47" t="inlineStr">
        <is>
          <t>Partner code *</t>
        </is>
      </c>
      <c r="C16" s="47" t="inlineStr">
        <is>
          <t>Name / Short name *</t>
        </is>
      </c>
      <c r="D16" s="47" t="inlineStr">
        <is>
          <t>TIN / Address</t>
        </is>
      </c>
      <c r="E16" s="47" t="inlineStr">
        <is>
          <t>IC accreditation no. / Accredited until</t>
        </is>
      </c>
      <c r="F16" s="47" t="inlineStr">
        <is>
          <t>Placement e-mails</t>
        </is>
      </c>
      <c r="G16" s="47" t="inlineStr">
        <is>
          <t>Credit days</t>
        </is>
      </c>
      <c r="H16" s="47" t="inlineStr">
        <is>
          <t>Branch code / Branch name / City</t>
        </is>
      </c>
      <c r="I16" s="47" t="inlineStr">
        <is>
          <t>LGT %</t>
        </is>
      </c>
      <c r="J16" s="47" t="inlineStr">
        <is>
          <t>Commission product / Commission % / From / To</t>
        </is>
      </c>
    </row>
    <row r="17" ht="18" customHeight="1">
      <c r="A17" s="48" t="inlineStr">
        <is>
          <t>Example – overwrite or delete</t>
        </is>
      </c>
      <c r="B17" s="49" t="inlineStr">
        <is>
          <t>INS-MGIC</t>
        </is>
      </c>
      <c r="C17" s="49" t="inlineStr">
        <is>
          <t>Mabuhay General Insurance Corp.</t>
        </is>
      </c>
      <c r="D17" s="49" t="inlineStr">
        <is>
          <t>123-456-789-000</t>
        </is>
      </c>
      <c r="E17" s="49" t="inlineStr">
        <is>
          <t>IC-2026-001; 31-Dec-2027</t>
        </is>
      </c>
      <c r="F17" s="49" t="inlineStr">
        <is>
          <t>placement@insurer.example</t>
        </is>
      </c>
      <c r="G17" s="54" t="n">
        <v>30</v>
      </c>
      <c r="H17" s="49" t="inlineStr">
        <is>
          <t>MKT; Makati; Makati City</t>
        </is>
      </c>
      <c r="I17" s="54" t="n">
        <v>0.5</v>
      </c>
      <c r="J17" s="49" t="inlineStr">
        <is>
          <t>MTR30; 15; 01-Jan-2028; -</t>
        </is>
      </c>
    </row>
    <row r="18">
      <c r="B18" s="51" t="n"/>
      <c r="C18" s="51" t="n"/>
      <c r="D18" s="51" t="n"/>
      <c r="E18" s="51" t="n"/>
      <c r="F18" s="51" t="n"/>
      <c r="H18" s="51" t="n"/>
      <c r="J18" s="51" t="n"/>
    </row>
    <row r="19">
      <c r="B19" s="51" t="n"/>
      <c r="C19" s="51" t="n"/>
      <c r="D19" s="51" t="n"/>
      <c r="E19" s="51" t="n"/>
      <c r="F19" s="51" t="n"/>
      <c r="H19" s="51" t="n"/>
      <c r="J19" s="51" t="n"/>
    </row>
    <row r="20">
      <c r="B20" s="51" t="n"/>
      <c r="C20" s="51" t="n"/>
      <c r="D20" s="51" t="n"/>
      <c r="E20" s="51" t="n"/>
      <c r="F20" s="51" t="n"/>
      <c r="H20" s="51" t="n"/>
      <c r="J20" s="51" t="n"/>
    </row>
    <row r="21">
      <c r="B21" s="51" t="n"/>
      <c r="C21" s="51" t="n"/>
      <c r="D21" s="51" t="n"/>
      <c r="E21" s="51" t="n"/>
      <c r="F21" s="51" t="n"/>
      <c r="H21" s="51" t="n"/>
      <c r="J21" s="51" t="n"/>
    </row>
    <row r="22">
      <c r="B22" s="51" t="n"/>
      <c r="C22" s="51" t="n"/>
      <c r="D22" s="51" t="n"/>
      <c r="E22" s="51" t="n"/>
      <c r="F22" s="51" t="n"/>
      <c r="H22" s="51" t="n"/>
      <c r="J22" s="51" t="n"/>
    </row>
    <row r="23">
      <c r="B23" s="51" t="n"/>
      <c r="C23" s="51" t="n"/>
      <c r="D23" s="51" t="n"/>
      <c r="E23" s="51" t="n"/>
      <c r="F23" s="51" t="n"/>
      <c r="H23" s="51" t="n"/>
      <c r="J23" s="51" t="n"/>
    </row>
    <row r="24">
      <c r="B24" s="51" t="n"/>
      <c r="C24" s="51" t="n"/>
      <c r="D24" s="51" t="n"/>
      <c r="E24" s="51" t="n"/>
      <c r="F24" s="51" t="n"/>
      <c r="H24" s="51" t="n"/>
      <c r="J24" s="51" t="n"/>
    </row>
    <row r="25">
      <c r="B25" s="51" t="n"/>
      <c r="C25" s="51" t="n"/>
      <c r="D25" s="51" t="n"/>
      <c r="E25" s="51" t="n"/>
      <c r="F25" s="51" t="n"/>
      <c r="H25" s="51" t="n"/>
      <c r="J25" s="51" t="n"/>
    </row>
    <row r="26">
      <c r="B26" s="51" t="n"/>
      <c r="C26" s="51" t="n"/>
      <c r="D26" s="51" t="n"/>
      <c r="E26" s="51" t="n"/>
      <c r="F26" s="51" t="n"/>
      <c r="H26" s="51" t="n"/>
      <c r="J26" s="51" t="n"/>
    </row>
    <row r="27">
      <c r="B27" s="51" t="n"/>
      <c r="C27" s="51" t="n"/>
      <c r="D27" s="51" t="n"/>
      <c r="E27" s="51" t="n"/>
      <c r="F27" s="51" t="n"/>
      <c r="H27" s="51" t="n"/>
      <c r="J27" s="51" t="n"/>
    </row>
    <row r="28">
      <c r="B28" s="51" t="n"/>
      <c r="C28" s="51" t="n"/>
      <c r="D28" s="51" t="n"/>
      <c r="E28" s="51" t="n"/>
      <c r="F28" s="51" t="n"/>
      <c r="H28" s="51" t="n"/>
      <c r="J28" s="51" t="n"/>
    </row>
    <row r="29">
      <c r="B29" s="51" t="n"/>
      <c r="C29" s="51" t="n"/>
      <c r="D29" s="51" t="n"/>
      <c r="E29" s="51" t="n"/>
      <c r="F29" s="51" t="n"/>
      <c r="H29" s="51" t="n"/>
      <c r="J29" s="51" t="n"/>
    </row>
    <row r="30">
      <c r="B30" s="51" t="n"/>
      <c r="C30" s="51" t="n"/>
      <c r="D30" s="51" t="n"/>
      <c r="E30" s="51" t="n"/>
      <c r="F30" s="51" t="n"/>
      <c r="H30" s="51" t="n"/>
      <c r="J30" s="51" t="n"/>
    </row>
    <row r="31">
      <c r="B31" s="51" t="n"/>
      <c r="C31" s="51" t="n"/>
      <c r="D31" s="51" t="n"/>
      <c r="E31" s="51" t="n"/>
      <c r="F31" s="51" t="n"/>
      <c r="H31" s="51" t="n"/>
      <c r="J31" s="51" t="n"/>
    </row>
    <row r="32">
      <c r="B32" s="51" t="n"/>
      <c r="C32" s="51" t="n"/>
      <c r="D32" s="51" t="n"/>
      <c r="E32" s="51" t="n"/>
      <c r="F32" s="51" t="n"/>
      <c r="H32" s="51" t="n"/>
      <c r="J32" s="51" t="n"/>
    </row>
    <row r="33">
      <c r="B33" s="51" t="n"/>
      <c r="C33" s="51" t="n"/>
      <c r="D33" s="51" t="n"/>
      <c r="E33" s="51" t="n"/>
      <c r="F33" s="51" t="n"/>
      <c r="H33" s="51" t="n"/>
      <c r="J33" s="51" t="n"/>
    </row>
    <row r="34">
      <c r="B34" s="51" t="n"/>
      <c r="C34" s="51" t="n"/>
      <c r="D34" s="51" t="n"/>
      <c r="E34" s="51" t="n"/>
      <c r="F34" s="51" t="n"/>
      <c r="H34" s="51" t="n"/>
      <c r="J34" s="51" t="n"/>
    </row>
    <row r="35">
      <c r="B35" s="51" t="n"/>
      <c r="C35" s="51" t="n"/>
      <c r="D35" s="51" t="n"/>
      <c r="E35" s="51" t="n"/>
      <c r="F35" s="51" t="n"/>
      <c r="H35" s="51" t="n"/>
      <c r="J35" s="51" t="n"/>
    </row>
    <row r="36">
      <c r="B36" s="51" t="n"/>
      <c r="C36" s="51" t="n"/>
      <c r="D36" s="51" t="n"/>
      <c r="E36" s="51" t="n"/>
      <c r="F36" s="51" t="n"/>
      <c r="H36" s="51" t="n"/>
      <c r="J36" s="51" t="n"/>
    </row>
    <row r="37">
      <c r="B37" s="51" t="n"/>
      <c r="C37" s="51" t="n"/>
      <c r="D37" s="51" t="n"/>
      <c r="E37" s="51" t="n"/>
      <c r="F37" s="51" t="n"/>
      <c r="H37" s="51" t="n"/>
      <c r="J37" s="51" t="n"/>
    </row>
    <row r="38">
      <c r="B38" s="51" t="n"/>
      <c r="C38" s="51" t="n"/>
      <c r="D38" s="51" t="n"/>
      <c r="E38" s="51" t="n"/>
      <c r="F38" s="51" t="n"/>
      <c r="H38" s="51" t="n"/>
      <c r="J38" s="51" t="n"/>
    </row>
    <row r="39">
      <c r="B39" s="51" t="n"/>
      <c r="C39" s="51" t="n"/>
      <c r="D39" s="51" t="n"/>
      <c r="E39" s="51" t="n"/>
      <c r="F39" s="51" t="n"/>
      <c r="H39" s="51" t="n"/>
      <c r="J39" s="51" t="n"/>
    </row>
    <row r="40">
      <c r="B40" s="51" t="n"/>
      <c r="C40" s="51" t="n"/>
      <c r="D40" s="51" t="n"/>
      <c r="E40" s="51" t="n"/>
      <c r="F40" s="51" t="n"/>
      <c r="H40" s="51" t="n"/>
      <c r="J40" s="51" t="n"/>
    </row>
    <row r="41">
      <c r="B41" s="51" t="n"/>
      <c r="C41" s="51" t="n"/>
      <c r="D41" s="51" t="n"/>
      <c r="E41" s="51" t="n"/>
      <c r="F41" s="51" t="n"/>
      <c r="H41" s="51" t="n"/>
      <c r="J41" s="51" t="n"/>
    </row>
    <row r="42">
      <c r="B42" s="51" t="n"/>
      <c r="C42" s="51" t="n"/>
      <c r="D42" s="51" t="n"/>
      <c r="E42" s="51" t="n"/>
      <c r="F42" s="51" t="n"/>
      <c r="H42" s="51" t="n"/>
      <c r="J42" s="51" t="n"/>
    </row>
    <row r="43">
      <c r="B43" s="51" t="n"/>
      <c r="C43" s="51" t="n"/>
      <c r="D43" s="51" t="n"/>
      <c r="E43" s="51" t="n"/>
      <c r="F43" s="51" t="n"/>
      <c r="H43" s="51" t="n"/>
      <c r="J43" s="51" t="n"/>
    </row>
    <row r="44">
      <c r="B44" s="51" t="n"/>
      <c r="C44" s="51" t="n"/>
      <c r="D44" s="51" t="n"/>
      <c r="E44" s="51" t="n"/>
      <c r="F44" s="51" t="n"/>
      <c r="H44" s="51" t="n"/>
      <c r="J44" s="51" t="n"/>
    </row>
    <row r="45">
      <c r="B45" s="51" t="n"/>
      <c r="C45" s="51" t="n"/>
      <c r="D45" s="51" t="n"/>
      <c r="E45" s="51" t="n"/>
      <c r="F45" s="51" t="n"/>
      <c r="H45" s="51" t="n"/>
      <c r="J45" s="51" t="n"/>
    </row>
    <row r="46">
      <c r="B46" s="51" t="n"/>
      <c r="C46" s="51" t="n"/>
      <c r="D46" s="51" t="n"/>
      <c r="E46" s="51" t="n"/>
      <c r="F46" s="51" t="n"/>
      <c r="H46" s="51" t="n"/>
      <c r="J46" s="51" t="n"/>
    </row>
    <row r="47">
      <c r="B47" s="51" t="n"/>
      <c r="C47" s="51" t="n"/>
      <c r="D47" s="51" t="n"/>
      <c r="E47" s="51" t="n"/>
      <c r="F47" s="51" t="n"/>
      <c r="H47" s="51" t="n"/>
      <c r="J47" s="51" t="n"/>
    </row>
    <row r="48">
      <c r="B48" s="51" t="n"/>
      <c r="C48" s="51" t="n"/>
      <c r="D48" s="51" t="n"/>
      <c r="E48" s="51" t="n"/>
      <c r="F48" s="51" t="n"/>
      <c r="H48" s="51" t="n"/>
      <c r="J48" s="51" t="n"/>
    </row>
    <row r="49">
      <c r="B49" s="51" t="n"/>
      <c r="C49" s="51" t="n"/>
      <c r="D49" s="51" t="n"/>
      <c r="E49" s="51" t="n"/>
      <c r="F49" s="51" t="n"/>
      <c r="H49" s="51" t="n"/>
      <c r="J49" s="51" t="n"/>
    </row>
    <row r="50">
      <c r="B50" s="51" t="n"/>
      <c r="C50" s="51" t="n"/>
      <c r="D50" s="51" t="n"/>
      <c r="E50" s="51" t="n"/>
      <c r="F50" s="51" t="n"/>
      <c r="H50" s="51" t="n"/>
      <c r="J50" s="51" t="n"/>
    </row>
    <row r="51">
      <c r="B51" s="51" t="n"/>
      <c r="C51" s="51" t="n"/>
      <c r="D51" s="51" t="n"/>
      <c r="E51" s="51" t="n"/>
      <c r="F51" s="51" t="n"/>
      <c r="H51" s="51" t="n"/>
      <c r="J51" s="51" t="n"/>
    </row>
    <row r="52">
      <c r="B52" s="51" t="n"/>
      <c r="C52" s="51" t="n"/>
      <c r="D52" s="51" t="n"/>
      <c r="E52" s="51" t="n"/>
      <c r="F52" s="51" t="n"/>
      <c r="H52" s="51" t="n"/>
      <c r="J52" s="51" t="n"/>
    </row>
    <row r="53">
      <c r="B53" s="51" t="n"/>
      <c r="C53" s="51" t="n"/>
      <c r="D53" s="51" t="n"/>
      <c r="E53" s="51" t="n"/>
      <c r="F53" s="51" t="n"/>
      <c r="H53" s="51" t="n"/>
      <c r="J53" s="51" t="n"/>
    </row>
    <row r="54">
      <c r="B54" s="51" t="n"/>
      <c r="C54" s="51" t="n"/>
      <c r="D54" s="51" t="n"/>
      <c r="E54" s="51" t="n"/>
      <c r="F54" s="51" t="n"/>
      <c r="H54" s="51" t="n"/>
      <c r="J54" s="51" t="n"/>
    </row>
    <row r="55">
      <c r="B55" s="51" t="n"/>
      <c r="C55" s="51" t="n"/>
      <c r="D55" s="51" t="n"/>
      <c r="E55" s="51" t="n"/>
      <c r="F55" s="51" t="n"/>
      <c r="H55" s="51" t="n"/>
      <c r="J55" s="51" t="n"/>
    </row>
    <row r="56">
      <c r="B56" s="51" t="n"/>
      <c r="C56" s="51" t="n"/>
      <c r="D56" s="51" t="n"/>
      <c r="E56" s="51" t="n"/>
      <c r="F56" s="51" t="n"/>
      <c r="H56" s="51" t="n"/>
      <c r="J56" s="51" t="n"/>
    </row>
    <row r="57">
      <c r="B57" s="51" t="n"/>
      <c r="C57" s="51" t="n"/>
      <c r="D57" s="51" t="n"/>
      <c r="E57" s="51" t="n"/>
      <c r="F57" s="51" t="n"/>
      <c r="H57" s="51" t="n"/>
      <c r="J57" s="51" t="n"/>
    </row>
    <row r="58">
      <c r="B58" s="51" t="n"/>
      <c r="C58" s="51" t="n"/>
      <c r="D58" s="51" t="n"/>
      <c r="E58" s="51" t="n"/>
      <c r="F58" s="51" t="n"/>
      <c r="H58" s="51" t="n"/>
      <c r="J58" s="51" t="n"/>
    </row>
    <row r="59">
      <c r="B59" s="51" t="n"/>
      <c r="C59" s="51" t="n"/>
      <c r="D59" s="51" t="n"/>
      <c r="E59" s="51" t="n"/>
      <c r="F59" s="51" t="n"/>
      <c r="H59" s="51" t="n"/>
      <c r="J59" s="51" t="n"/>
    </row>
    <row r="60">
      <c r="B60" s="51" t="n"/>
      <c r="C60" s="51" t="n"/>
      <c r="D60" s="51" t="n"/>
      <c r="E60" s="51" t="n"/>
      <c r="F60" s="51" t="n"/>
      <c r="H60" s="51" t="n"/>
      <c r="J60" s="51" t="n"/>
    </row>
    <row r="61">
      <c r="B61" s="51" t="n"/>
      <c r="C61" s="51" t="n"/>
      <c r="D61" s="51" t="n"/>
      <c r="E61" s="51" t="n"/>
      <c r="F61" s="51" t="n"/>
      <c r="H61" s="51" t="n"/>
      <c r="J61" s="51" t="n"/>
    </row>
    <row r="62">
      <c r="B62" s="51" t="n"/>
      <c r="C62" s="51" t="n"/>
      <c r="D62" s="51" t="n"/>
      <c r="E62" s="51" t="n"/>
      <c r="F62" s="51" t="n"/>
      <c r="H62" s="51" t="n"/>
      <c r="J62" s="51" t="n"/>
    </row>
    <row r="63">
      <c r="B63" s="51" t="n"/>
      <c r="C63" s="51" t="n"/>
      <c r="D63" s="51" t="n"/>
      <c r="E63" s="51" t="n"/>
      <c r="F63" s="51" t="n"/>
      <c r="H63" s="51" t="n"/>
      <c r="J63" s="51" t="n"/>
    </row>
    <row r="64">
      <c r="B64" s="51" t="n"/>
      <c r="C64" s="51" t="n"/>
      <c r="D64" s="51" t="n"/>
      <c r="E64" s="51" t="n"/>
      <c r="F64" s="51" t="n"/>
      <c r="H64" s="51" t="n"/>
      <c r="J64" s="51" t="n"/>
    </row>
    <row r="65">
      <c r="B65" s="51" t="n"/>
      <c r="C65" s="51" t="n"/>
      <c r="D65" s="51" t="n"/>
      <c r="E65" s="51" t="n"/>
      <c r="F65" s="51" t="n"/>
      <c r="H65" s="51" t="n"/>
      <c r="J65" s="51" t="n"/>
    </row>
    <row r="66">
      <c r="B66" s="51" t="n"/>
      <c r="C66" s="51" t="n"/>
      <c r="D66" s="51" t="n"/>
      <c r="E66" s="51" t="n"/>
      <c r="F66" s="51" t="n"/>
      <c r="H66" s="51" t="n"/>
      <c r="J66" s="51" t="n"/>
    </row>
    <row r="67">
      <c r="B67" s="51" t="n"/>
      <c r="C67" s="51" t="n"/>
      <c r="D67" s="51" t="n"/>
      <c r="E67" s="51" t="n"/>
      <c r="F67" s="51" t="n"/>
      <c r="H67" s="51" t="n"/>
      <c r="J67" s="51" t="n"/>
    </row>
    <row r="68">
      <c r="B68" s="51" t="n"/>
      <c r="C68" s="51" t="n"/>
      <c r="D68" s="51" t="n"/>
      <c r="E68" s="51" t="n"/>
      <c r="F68" s="51" t="n"/>
      <c r="H68" s="51" t="n"/>
      <c r="J68" s="51" t="n"/>
    </row>
    <row r="69">
      <c r="B69" s="51" t="n"/>
      <c r="C69" s="51" t="n"/>
      <c r="D69" s="51" t="n"/>
      <c r="E69" s="51" t="n"/>
      <c r="F69" s="51" t="n"/>
      <c r="H69" s="51" t="n"/>
      <c r="J69" s="51" t="n"/>
    </row>
    <row r="70">
      <c r="B70" s="51" t="n"/>
      <c r="C70" s="51" t="n"/>
      <c r="D70" s="51" t="n"/>
      <c r="E70" s="51" t="n"/>
      <c r="F70" s="51" t="n"/>
      <c r="H70" s="51" t="n"/>
      <c r="J70" s="51" t="n"/>
    </row>
    <row r="71">
      <c r="B71" s="51" t="n"/>
      <c r="C71" s="51" t="n"/>
      <c r="D71" s="51" t="n"/>
      <c r="E71" s="51" t="n"/>
      <c r="F71" s="51" t="n"/>
      <c r="H71" s="51" t="n"/>
      <c r="J71" s="51" t="n"/>
    </row>
    <row r="72">
      <c r="B72" s="51" t="n"/>
      <c r="C72" s="51" t="n"/>
      <c r="D72" s="51" t="n"/>
      <c r="E72" s="51" t="n"/>
      <c r="F72" s="51" t="n"/>
      <c r="H72" s="51" t="n"/>
      <c r="J72" s="51" t="n"/>
    </row>
    <row r="73">
      <c r="B73" s="51" t="n"/>
      <c r="C73" s="51" t="n"/>
      <c r="D73" s="51" t="n"/>
      <c r="E73" s="51" t="n"/>
      <c r="F73" s="51" t="n"/>
      <c r="H73" s="51" t="n"/>
      <c r="J73" s="51" t="n"/>
    </row>
    <row r="74">
      <c r="B74" s="51" t="n"/>
      <c r="C74" s="51" t="n"/>
      <c r="D74" s="51" t="n"/>
      <c r="E74" s="51" t="n"/>
      <c r="F74" s="51" t="n"/>
      <c r="H74" s="51" t="n"/>
      <c r="J74" s="51" t="n"/>
    </row>
    <row r="75">
      <c r="B75" s="51" t="n"/>
      <c r="C75" s="51" t="n"/>
      <c r="D75" s="51" t="n"/>
      <c r="E75" s="51" t="n"/>
      <c r="F75" s="51" t="n"/>
      <c r="H75" s="51" t="n"/>
      <c r="J75" s="51" t="n"/>
    </row>
    <row r="76">
      <c r="B76" s="51" t="n"/>
      <c r="C76" s="51" t="n"/>
      <c r="D76" s="51" t="n"/>
      <c r="E76" s="51" t="n"/>
      <c r="F76" s="51" t="n"/>
      <c r="H76" s="51" t="n"/>
      <c r="J76" s="51" t="n"/>
    </row>
    <row r="77">
      <c r="B77" s="51" t="n"/>
      <c r="C77" s="51" t="n"/>
      <c r="D77" s="51" t="n"/>
      <c r="E77" s="51" t="n"/>
      <c r="F77" s="51" t="n"/>
      <c r="H77" s="51" t="n"/>
      <c r="J77" s="51" t="n"/>
    </row>
    <row r="78">
      <c r="B78" s="51" t="n"/>
      <c r="C78" s="51" t="n"/>
      <c r="D78" s="51" t="n"/>
      <c r="E78" s="51" t="n"/>
      <c r="F78" s="51" t="n"/>
      <c r="H78" s="51" t="n"/>
      <c r="J78" s="51" t="n"/>
    </row>
    <row r="79">
      <c r="B79" s="51" t="n"/>
      <c r="C79" s="51" t="n"/>
      <c r="D79" s="51" t="n"/>
      <c r="E79" s="51" t="n"/>
      <c r="F79" s="51" t="n"/>
      <c r="H79" s="51" t="n"/>
      <c r="J79" s="51" t="n"/>
    </row>
    <row r="80">
      <c r="B80" s="51" t="n"/>
      <c r="C80" s="51" t="n"/>
      <c r="D80" s="51" t="n"/>
      <c r="E80" s="51" t="n"/>
      <c r="F80" s="51" t="n"/>
      <c r="H80" s="51" t="n"/>
      <c r="J80" s="51" t="n"/>
    </row>
    <row r="81">
      <c r="B81" s="51" t="n"/>
      <c r="C81" s="51" t="n"/>
      <c r="D81" s="51" t="n"/>
      <c r="E81" s="51" t="n"/>
      <c r="F81" s="51" t="n"/>
      <c r="H81" s="51" t="n"/>
      <c r="J81" s="51" t="n"/>
    </row>
    <row r="82">
      <c r="B82" s="51" t="n"/>
      <c r="C82" s="51" t="n"/>
      <c r="D82" s="51" t="n"/>
      <c r="E82" s="51" t="n"/>
      <c r="F82" s="51" t="n"/>
      <c r="H82" s="51" t="n"/>
      <c r="J82" s="51" t="n"/>
    </row>
    <row r="83">
      <c r="B83" s="51" t="n"/>
      <c r="C83" s="51" t="n"/>
      <c r="D83" s="51" t="n"/>
      <c r="E83" s="51" t="n"/>
      <c r="F83" s="51" t="n"/>
      <c r="H83" s="51" t="n"/>
      <c r="J83" s="51" t="n"/>
    </row>
    <row r="84">
      <c r="B84" s="51" t="n"/>
      <c r="C84" s="51" t="n"/>
      <c r="D84" s="51" t="n"/>
      <c r="E84" s="51" t="n"/>
      <c r="F84" s="51" t="n"/>
      <c r="H84" s="51" t="n"/>
      <c r="J84" s="51" t="n"/>
    </row>
    <row r="85">
      <c r="B85" s="51" t="n"/>
      <c r="C85" s="51" t="n"/>
      <c r="D85" s="51" t="n"/>
      <c r="E85" s="51" t="n"/>
      <c r="F85" s="51" t="n"/>
      <c r="H85" s="51" t="n"/>
      <c r="J85" s="51" t="n"/>
    </row>
    <row r="86">
      <c r="B86" s="51" t="n"/>
      <c r="C86" s="51" t="n"/>
      <c r="D86" s="51" t="n"/>
      <c r="E86" s="51" t="n"/>
      <c r="F86" s="51" t="n"/>
      <c r="H86" s="51" t="n"/>
      <c r="J86" s="51" t="n"/>
    </row>
    <row r="87">
      <c r="B87" s="51" t="n"/>
      <c r="C87" s="51" t="n"/>
      <c r="D87" s="51" t="n"/>
      <c r="E87" s="51" t="n"/>
      <c r="F87" s="51" t="n"/>
      <c r="H87" s="51" t="n"/>
      <c r="J87" s="51" t="n"/>
    </row>
    <row r="88">
      <c r="B88" s="51" t="n"/>
      <c r="C88" s="51" t="n"/>
      <c r="D88" s="51" t="n"/>
      <c r="E88" s="51" t="n"/>
      <c r="F88" s="51" t="n"/>
      <c r="H88" s="51" t="n"/>
      <c r="J88" s="51" t="n"/>
    </row>
    <row r="89">
      <c r="B89" s="51" t="n"/>
      <c r="C89" s="51" t="n"/>
      <c r="D89" s="51" t="n"/>
      <c r="E89" s="51" t="n"/>
      <c r="F89" s="51" t="n"/>
      <c r="H89" s="51" t="n"/>
      <c r="J89" s="51" t="n"/>
    </row>
    <row r="90">
      <c r="B90" s="51" t="n"/>
      <c r="C90" s="51" t="n"/>
      <c r="D90" s="51" t="n"/>
      <c r="E90" s="51" t="n"/>
      <c r="F90" s="51" t="n"/>
      <c r="H90" s="51" t="n"/>
      <c r="J90" s="51" t="n"/>
    </row>
    <row r="91">
      <c r="B91" s="51" t="n"/>
      <c r="C91" s="51" t="n"/>
      <c r="D91" s="51" t="n"/>
      <c r="E91" s="51" t="n"/>
      <c r="F91" s="51" t="n"/>
      <c r="H91" s="51" t="n"/>
      <c r="J91" s="51" t="n"/>
    </row>
    <row r="92">
      <c r="B92" s="51" t="n"/>
      <c r="C92" s="51" t="n"/>
      <c r="D92" s="51" t="n"/>
      <c r="E92" s="51" t="n"/>
      <c r="F92" s="51" t="n"/>
      <c r="H92" s="51" t="n"/>
      <c r="J92" s="51" t="n"/>
    </row>
    <row r="93">
      <c r="B93" s="51" t="n"/>
      <c r="C93" s="51" t="n"/>
      <c r="D93" s="51" t="n"/>
      <c r="E93" s="51" t="n"/>
      <c r="F93" s="51" t="n"/>
      <c r="H93" s="51" t="n"/>
      <c r="J93" s="51" t="n"/>
    </row>
    <row r="94">
      <c r="B94" s="51" t="n"/>
      <c r="C94" s="51" t="n"/>
      <c r="D94" s="51" t="n"/>
      <c r="E94" s="51" t="n"/>
      <c r="F94" s="51" t="n"/>
      <c r="H94" s="51" t="n"/>
      <c r="J94" s="51" t="n"/>
    </row>
    <row r="95">
      <c r="B95" s="51" t="n"/>
      <c r="C95" s="51" t="n"/>
      <c r="D95" s="51" t="n"/>
      <c r="E95" s="51" t="n"/>
      <c r="F95" s="51" t="n"/>
      <c r="H95" s="51" t="n"/>
      <c r="J95" s="51" t="n"/>
    </row>
    <row r="96">
      <c r="B96" s="51" t="n"/>
      <c r="C96" s="51" t="n"/>
      <c r="D96" s="51" t="n"/>
      <c r="E96" s="51" t="n"/>
      <c r="F96" s="51" t="n"/>
      <c r="H96" s="51" t="n"/>
      <c r="J96" s="51" t="n"/>
    </row>
    <row r="97">
      <c r="B97" s="51" t="n"/>
      <c r="C97" s="51" t="n"/>
      <c r="D97" s="51" t="n"/>
      <c r="E97" s="51" t="n"/>
      <c r="F97" s="51" t="n"/>
      <c r="H97" s="51" t="n"/>
      <c r="J97" s="51" t="n"/>
    </row>
    <row r="98">
      <c r="B98" s="51" t="n"/>
      <c r="C98" s="51" t="n"/>
      <c r="D98" s="51" t="n"/>
      <c r="E98" s="51" t="n"/>
      <c r="F98" s="51" t="n"/>
      <c r="H98" s="51" t="n"/>
      <c r="J98" s="51" t="n"/>
    </row>
    <row r="99">
      <c r="B99" s="51" t="n"/>
      <c r="C99" s="51" t="n"/>
      <c r="D99" s="51" t="n"/>
      <c r="E99" s="51" t="n"/>
      <c r="F99" s="51" t="n"/>
      <c r="H99" s="51" t="n"/>
      <c r="J99" s="51" t="n"/>
    </row>
    <row r="100">
      <c r="B100" s="51" t="n"/>
      <c r="C100" s="51" t="n"/>
      <c r="D100" s="51" t="n"/>
      <c r="E100" s="51" t="n"/>
      <c r="F100" s="51" t="n"/>
      <c r="H100" s="51" t="n"/>
      <c r="J100" s="51" t="n"/>
    </row>
    <row r="101">
      <c r="B101" s="51" t="n"/>
      <c r="C101" s="51" t="n"/>
      <c r="D101" s="51" t="n"/>
      <c r="E101" s="51" t="n"/>
      <c r="F101" s="51" t="n"/>
      <c r="H101" s="51" t="n"/>
      <c r="J101" s="51" t="n"/>
    </row>
    <row r="102">
      <c r="B102" s="51" t="n"/>
      <c r="C102" s="51" t="n"/>
      <c r="D102" s="51" t="n"/>
      <c r="E102" s="51" t="n"/>
      <c r="F102" s="51" t="n"/>
      <c r="H102" s="51" t="n"/>
      <c r="J102" s="51" t="n"/>
    </row>
    <row r="103">
      <c r="B103" s="51" t="n"/>
      <c r="C103" s="51" t="n"/>
      <c r="D103" s="51" t="n"/>
      <c r="E103" s="51" t="n"/>
      <c r="F103" s="51" t="n"/>
      <c r="H103" s="51" t="n"/>
      <c r="J103" s="51" t="n"/>
    </row>
    <row r="104">
      <c r="B104" s="51" t="n"/>
      <c r="C104" s="51" t="n"/>
      <c r="D104" s="51" t="n"/>
      <c r="E104" s="51" t="n"/>
      <c r="F104" s="51" t="n"/>
      <c r="H104" s="51" t="n"/>
      <c r="J104" s="51" t="n"/>
    </row>
    <row r="105">
      <c r="B105" s="51" t="n"/>
      <c r="C105" s="51" t="n"/>
      <c r="D105" s="51" t="n"/>
      <c r="E105" s="51" t="n"/>
      <c r="F105" s="51" t="n"/>
      <c r="H105" s="51" t="n"/>
      <c r="J105" s="51" t="n"/>
    </row>
    <row r="106">
      <c r="B106" s="51" t="n"/>
      <c r="C106" s="51" t="n"/>
      <c r="D106" s="51" t="n"/>
      <c r="E106" s="51" t="n"/>
      <c r="F106" s="51" t="n"/>
      <c r="H106" s="51" t="n"/>
      <c r="J106" s="51" t="n"/>
    </row>
    <row r="107">
      <c r="B107" s="51" t="n"/>
      <c r="C107" s="51" t="n"/>
      <c r="D107" s="51" t="n"/>
      <c r="E107" s="51" t="n"/>
      <c r="F107" s="51" t="n"/>
      <c r="H107" s="51" t="n"/>
      <c r="J107" s="51" t="n"/>
    </row>
    <row r="108">
      <c r="B108" s="51" t="n"/>
      <c r="C108" s="51" t="n"/>
      <c r="D108" s="51" t="n"/>
      <c r="E108" s="51" t="n"/>
      <c r="F108" s="51" t="n"/>
      <c r="H108" s="51" t="n"/>
      <c r="J108" s="51" t="n"/>
    </row>
    <row r="109">
      <c r="B109" s="51" t="n"/>
      <c r="C109" s="51" t="n"/>
      <c r="D109" s="51" t="n"/>
      <c r="E109" s="51" t="n"/>
      <c r="F109" s="51" t="n"/>
      <c r="H109" s="51" t="n"/>
      <c r="J109" s="51" t="n"/>
    </row>
    <row r="110">
      <c r="B110" s="51" t="n"/>
      <c r="C110" s="51" t="n"/>
      <c r="D110" s="51" t="n"/>
      <c r="E110" s="51" t="n"/>
      <c r="F110" s="51" t="n"/>
      <c r="H110" s="51" t="n"/>
      <c r="J110" s="51" t="n"/>
    </row>
    <row r="111">
      <c r="B111" s="51" t="n"/>
      <c r="C111" s="51" t="n"/>
      <c r="D111" s="51" t="n"/>
      <c r="E111" s="51" t="n"/>
      <c r="F111" s="51" t="n"/>
      <c r="H111" s="51" t="n"/>
      <c r="J111" s="51" t="n"/>
    </row>
    <row r="112">
      <c r="B112" s="51" t="n"/>
      <c r="C112" s="51" t="n"/>
      <c r="D112" s="51" t="n"/>
      <c r="E112" s="51" t="n"/>
      <c r="F112" s="51" t="n"/>
      <c r="H112" s="51" t="n"/>
      <c r="J112" s="51" t="n"/>
    </row>
    <row r="113">
      <c r="B113" s="51" t="n"/>
      <c r="C113" s="51" t="n"/>
      <c r="D113" s="51" t="n"/>
      <c r="E113" s="51" t="n"/>
      <c r="F113" s="51" t="n"/>
      <c r="H113" s="51" t="n"/>
      <c r="J113" s="51" t="n"/>
    </row>
    <row r="114">
      <c r="B114" s="51" t="n"/>
      <c r="C114" s="51" t="n"/>
      <c r="D114" s="51" t="n"/>
      <c r="E114" s="51" t="n"/>
      <c r="F114" s="51" t="n"/>
      <c r="H114" s="51" t="n"/>
      <c r="J114" s="51" t="n"/>
    </row>
    <row r="115">
      <c r="B115" s="51" t="n"/>
      <c r="C115" s="51" t="n"/>
      <c r="D115" s="51" t="n"/>
      <c r="E115" s="51" t="n"/>
      <c r="F115" s="51" t="n"/>
      <c r="H115" s="51" t="n"/>
      <c r="J115" s="51" t="n"/>
    </row>
    <row r="116">
      <c r="B116" s="51" t="n"/>
      <c r="C116" s="51" t="n"/>
      <c r="D116" s="51" t="n"/>
      <c r="E116" s="51" t="n"/>
      <c r="F116" s="51" t="n"/>
      <c r="H116" s="51" t="n"/>
      <c r="J116" s="51" t="n"/>
    </row>
    <row r="117">
      <c r="B117" s="51" t="n"/>
      <c r="C117" s="51" t="n"/>
      <c r="D117" s="51" t="n"/>
      <c r="E117" s="51" t="n"/>
      <c r="F117" s="51" t="n"/>
      <c r="H117" s="51" t="n"/>
      <c r="J117" s="51" t="n"/>
    </row>
    <row r="118">
      <c r="B118" s="51" t="n"/>
      <c r="C118" s="51" t="n"/>
      <c r="D118" s="51" t="n"/>
      <c r="E118" s="51" t="n"/>
      <c r="F118" s="51" t="n"/>
      <c r="H118" s="51" t="n"/>
      <c r="J118" s="51" t="n"/>
    </row>
    <row r="119">
      <c r="B119" s="51" t="n"/>
      <c r="C119" s="51" t="n"/>
      <c r="D119" s="51" t="n"/>
      <c r="E119" s="51" t="n"/>
      <c r="F119" s="51" t="n"/>
      <c r="H119" s="51" t="n"/>
      <c r="J119" s="51" t="n"/>
    </row>
    <row r="120">
      <c r="B120" s="51" t="n"/>
      <c r="C120" s="51" t="n"/>
      <c r="D120" s="51" t="n"/>
      <c r="E120" s="51" t="n"/>
      <c r="F120" s="51" t="n"/>
      <c r="H120" s="51" t="n"/>
      <c r="J120" s="51" t="n"/>
    </row>
    <row r="121">
      <c r="B121" s="51" t="n"/>
      <c r="C121" s="51" t="n"/>
      <c r="D121" s="51" t="n"/>
      <c r="E121" s="51" t="n"/>
      <c r="F121" s="51" t="n"/>
      <c r="H121" s="51" t="n"/>
      <c r="J121" s="51" t="n"/>
    </row>
    <row r="122">
      <c r="B122" s="51" t="n"/>
      <c r="C122" s="51" t="n"/>
      <c r="D122" s="51" t="n"/>
      <c r="E122" s="51" t="n"/>
      <c r="F122" s="51" t="n"/>
      <c r="H122" s="51" t="n"/>
      <c r="J122" s="51" t="n"/>
    </row>
    <row r="123">
      <c r="B123" s="51" t="n"/>
      <c r="C123" s="51" t="n"/>
      <c r="D123" s="51" t="n"/>
      <c r="E123" s="51" t="n"/>
      <c r="F123" s="51" t="n"/>
      <c r="H123" s="51" t="n"/>
      <c r="J123" s="51" t="n"/>
    </row>
    <row r="124">
      <c r="B124" s="51" t="n"/>
      <c r="C124" s="51" t="n"/>
      <c r="D124" s="51" t="n"/>
      <c r="E124" s="51" t="n"/>
      <c r="F124" s="51" t="n"/>
      <c r="H124" s="51" t="n"/>
      <c r="J124" s="51" t="n"/>
    </row>
    <row r="125">
      <c r="B125" s="51" t="n"/>
      <c r="C125" s="51" t="n"/>
      <c r="D125" s="51" t="n"/>
      <c r="E125" s="51" t="n"/>
      <c r="F125" s="51" t="n"/>
      <c r="H125" s="51" t="n"/>
      <c r="J125" s="51" t="n"/>
    </row>
    <row r="126">
      <c r="B126" s="51" t="n"/>
      <c r="C126" s="51" t="n"/>
      <c r="D126" s="51" t="n"/>
      <c r="E126" s="51" t="n"/>
      <c r="F126" s="51" t="n"/>
      <c r="H126" s="51" t="n"/>
      <c r="J126" s="51" t="n"/>
    </row>
    <row r="127">
      <c r="B127" s="51" t="n"/>
      <c r="C127" s="51" t="n"/>
      <c r="D127" s="51" t="n"/>
      <c r="E127" s="51" t="n"/>
      <c r="F127" s="51" t="n"/>
      <c r="H127" s="51" t="n"/>
      <c r="J127" s="51" t="n"/>
    </row>
    <row r="128">
      <c r="B128" s="51" t="n"/>
      <c r="C128" s="51" t="n"/>
      <c r="D128" s="51" t="n"/>
      <c r="E128" s="51" t="n"/>
      <c r="F128" s="51" t="n"/>
      <c r="H128" s="51" t="n"/>
      <c r="J128" s="51" t="n"/>
    </row>
    <row r="129">
      <c r="B129" s="51" t="n"/>
      <c r="C129" s="51" t="n"/>
      <c r="D129" s="51" t="n"/>
      <c r="E129" s="51" t="n"/>
      <c r="F129" s="51" t="n"/>
      <c r="H129" s="51" t="n"/>
      <c r="J129" s="51" t="n"/>
    </row>
    <row r="130">
      <c r="B130" s="51" t="n"/>
      <c r="C130" s="51" t="n"/>
      <c r="D130" s="51" t="n"/>
      <c r="E130" s="51" t="n"/>
      <c r="F130" s="51" t="n"/>
      <c r="H130" s="51" t="n"/>
      <c r="J130" s="51" t="n"/>
    </row>
    <row r="131">
      <c r="B131" s="51" t="n"/>
      <c r="C131" s="51" t="n"/>
      <c r="D131" s="51" t="n"/>
      <c r="E131" s="51" t="n"/>
      <c r="F131" s="51" t="n"/>
      <c r="H131" s="51" t="n"/>
      <c r="J131" s="51" t="n"/>
    </row>
    <row r="132">
      <c r="B132" s="51" t="n"/>
      <c r="C132" s="51" t="n"/>
      <c r="D132" s="51" t="n"/>
      <c r="E132" s="51" t="n"/>
      <c r="F132" s="51" t="n"/>
      <c r="H132" s="51" t="n"/>
      <c r="J132" s="51" t="n"/>
    </row>
    <row r="133">
      <c r="B133" s="51" t="n"/>
      <c r="C133" s="51" t="n"/>
      <c r="D133" s="51" t="n"/>
      <c r="E133" s="51" t="n"/>
      <c r="F133" s="51" t="n"/>
      <c r="H133" s="51" t="n"/>
      <c r="J133" s="51" t="n"/>
    </row>
    <row r="134">
      <c r="B134" s="51" t="n"/>
      <c r="C134" s="51" t="n"/>
      <c r="D134" s="51" t="n"/>
      <c r="E134" s="51" t="n"/>
      <c r="F134" s="51" t="n"/>
      <c r="H134" s="51" t="n"/>
      <c r="J134" s="51" t="n"/>
    </row>
    <row r="135">
      <c r="B135" s="51" t="n"/>
      <c r="C135" s="51" t="n"/>
      <c r="D135" s="51" t="n"/>
      <c r="E135" s="51" t="n"/>
      <c r="F135" s="51" t="n"/>
      <c r="H135" s="51" t="n"/>
      <c r="J135" s="51" t="n"/>
    </row>
    <row r="136">
      <c r="B136" s="51" t="n"/>
      <c r="C136" s="51" t="n"/>
      <c r="D136" s="51" t="n"/>
      <c r="E136" s="51" t="n"/>
      <c r="F136" s="51" t="n"/>
      <c r="H136" s="51" t="n"/>
      <c r="J136" s="51" t="n"/>
    </row>
    <row r="137">
      <c r="B137" s="51" t="n"/>
      <c r="C137" s="51" t="n"/>
      <c r="D137" s="51" t="n"/>
      <c r="E137" s="51" t="n"/>
      <c r="F137" s="51" t="n"/>
      <c r="H137" s="51" t="n"/>
      <c r="J137" s="51" t="n"/>
    </row>
    <row r="138">
      <c r="B138" s="51" t="n"/>
      <c r="C138" s="51" t="n"/>
      <c r="D138" s="51" t="n"/>
      <c r="E138" s="51" t="n"/>
      <c r="F138" s="51" t="n"/>
      <c r="H138" s="51" t="n"/>
      <c r="J138" s="51" t="n"/>
    </row>
    <row r="139">
      <c r="B139" s="51" t="n"/>
      <c r="C139" s="51" t="n"/>
      <c r="D139" s="51" t="n"/>
      <c r="E139" s="51" t="n"/>
      <c r="F139" s="51" t="n"/>
      <c r="H139" s="51" t="n"/>
      <c r="J139" s="51" t="n"/>
    </row>
    <row r="140">
      <c r="B140" s="51" t="n"/>
      <c r="C140" s="51" t="n"/>
      <c r="D140" s="51" t="n"/>
      <c r="E140" s="51" t="n"/>
      <c r="F140" s="51" t="n"/>
      <c r="H140" s="51" t="n"/>
      <c r="J140" s="51" t="n"/>
    </row>
    <row r="141">
      <c r="B141" s="51" t="n"/>
      <c r="C141" s="51" t="n"/>
      <c r="D141" s="51" t="n"/>
      <c r="E141" s="51" t="n"/>
      <c r="F141" s="51" t="n"/>
      <c r="H141" s="51" t="n"/>
      <c r="J141" s="51" t="n"/>
    </row>
    <row r="142">
      <c r="B142" s="51" t="n"/>
      <c r="C142" s="51" t="n"/>
      <c r="D142" s="51" t="n"/>
      <c r="E142" s="51" t="n"/>
      <c r="F142" s="51" t="n"/>
      <c r="H142" s="51" t="n"/>
      <c r="J142" s="51" t="n"/>
    </row>
    <row r="143">
      <c r="B143" s="51" t="n"/>
      <c r="C143" s="51" t="n"/>
      <c r="D143" s="51" t="n"/>
      <c r="E143" s="51" t="n"/>
      <c r="F143" s="51" t="n"/>
      <c r="H143" s="51" t="n"/>
      <c r="J143" s="51" t="n"/>
    </row>
    <row r="144">
      <c r="B144" s="51" t="n"/>
      <c r="C144" s="51" t="n"/>
      <c r="D144" s="51" t="n"/>
      <c r="E144" s="51" t="n"/>
      <c r="F144" s="51" t="n"/>
      <c r="H144" s="51" t="n"/>
      <c r="J144" s="51" t="n"/>
    </row>
    <row r="145">
      <c r="B145" s="51" t="n"/>
      <c r="C145" s="51" t="n"/>
      <c r="D145" s="51" t="n"/>
      <c r="E145" s="51" t="n"/>
      <c r="F145" s="51" t="n"/>
      <c r="H145" s="51" t="n"/>
      <c r="J145" s="51" t="n"/>
    </row>
    <row r="146">
      <c r="B146" s="51" t="n"/>
      <c r="C146" s="51" t="n"/>
      <c r="D146" s="51" t="n"/>
      <c r="E146" s="51" t="n"/>
      <c r="F146" s="51" t="n"/>
      <c r="H146" s="51" t="n"/>
      <c r="J146" s="51" t="n"/>
    </row>
    <row r="147">
      <c r="B147" s="51" t="n"/>
      <c r="C147" s="51" t="n"/>
      <c r="D147" s="51" t="n"/>
      <c r="E147" s="51" t="n"/>
      <c r="F147" s="51" t="n"/>
      <c r="H147" s="51" t="n"/>
      <c r="J147" s="51" t="n"/>
    </row>
    <row r="148">
      <c r="B148" s="51" t="n"/>
      <c r="C148" s="51" t="n"/>
      <c r="D148" s="51" t="n"/>
      <c r="E148" s="51" t="n"/>
      <c r="F148" s="51" t="n"/>
      <c r="H148" s="51" t="n"/>
      <c r="J148" s="51" t="n"/>
    </row>
    <row r="149">
      <c r="B149" s="51" t="n"/>
      <c r="C149" s="51" t="n"/>
      <c r="D149" s="51" t="n"/>
      <c r="E149" s="51" t="n"/>
      <c r="F149" s="51" t="n"/>
      <c r="H149" s="51" t="n"/>
      <c r="J149" s="51" t="n"/>
    </row>
    <row r="150">
      <c r="B150" s="51" t="n"/>
      <c r="C150" s="51" t="n"/>
      <c r="D150" s="51" t="n"/>
      <c r="E150" s="51" t="n"/>
      <c r="F150" s="51" t="n"/>
      <c r="H150" s="51" t="n"/>
      <c r="J150" s="51" t="n"/>
    </row>
    <row r="151">
      <c r="B151" s="51" t="n"/>
      <c r="C151" s="51" t="n"/>
      <c r="D151" s="51" t="n"/>
      <c r="E151" s="51" t="n"/>
      <c r="F151" s="51" t="n"/>
      <c r="H151" s="51" t="n"/>
      <c r="J151" s="51" t="n"/>
    </row>
    <row r="152">
      <c r="B152" s="51" t="n"/>
      <c r="C152" s="51" t="n"/>
      <c r="D152" s="51" t="n"/>
      <c r="E152" s="51" t="n"/>
      <c r="F152" s="51" t="n"/>
      <c r="H152" s="51" t="n"/>
      <c r="J152" s="51" t="n"/>
    </row>
    <row r="153">
      <c r="B153" s="51" t="n"/>
      <c r="C153" s="51" t="n"/>
      <c r="D153" s="51" t="n"/>
      <c r="E153" s="51" t="n"/>
      <c r="F153" s="51" t="n"/>
      <c r="H153" s="51" t="n"/>
      <c r="J153" s="51" t="n"/>
    </row>
    <row r="154">
      <c r="B154" s="51" t="n"/>
      <c r="C154" s="51" t="n"/>
      <c r="D154" s="51" t="n"/>
      <c r="E154" s="51" t="n"/>
      <c r="F154" s="51" t="n"/>
      <c r="H154" s="51" t="n"/>
      <c r="J154" s="51" t="n"/>
    </row>
    <row r="155">
      <c r="B155" s="51" t="n"/>
      <c r="C155" s="51" t="n"/>
      <c r="D155" s="51" t="n"/>
      <c r="E155" s="51" t="n"/>
      <c r="F155" s="51" t="n"/>
      <c r="H155" s="51" t="n"/>
      <c r="J155" s="51" t="n"/>
    </row>
    <row r="156">
      <c r="B156" s="51" t="n"/>
      <c r="C156" s="51" t="n"/>
      <c r="D156" s="51" t="n"/>
      <c r="E156" s="51" t="n"/>
      <c r="F156" s="51" t="n"/>
      <c r="H156" s="51" t="n"/>
      <c r="J156" s="51" t="n"/>
    </row>
    <row r="157">
      <c r="B157" s="51" t="n"/>
      <c r="C157" s="51" t="n"/>
      <c r="D157" s="51" t="n"/>
      <c r="E157" s="51" t="n"/>
      <c r="F157" s="51" t="n"/>
      <c r="H157" s="51" t="n"/>
      <c r="J157" s="51" t="n"/>
    </row>
    <row r="158">
      <c r="B158" s="51" t="n"/>
      <c r="C158" s="51" t="n"/>
      <c r="D158" s="51" t="n"/>
      <c r="E158" s="51" t="n"/>
      <c r="F158" s="51" t="n"/>
      <c r="H158" s="51" t="n"/>
      <c r="J158" s="51" t="n"/>
    </row>
    <row r="159">
      <c r="B159" s="51" t="n"/>
      <c r="C159" s="51" t="n"/>
      <c r="D159" s="51" t="n"/>
      <c r="E159" s="51" t="n"/>
      <c r="F159" s="51" t="n"/>
      <c r="H159" s="51" t="n"/>
      <c r="J159" s="51" t="n"/>
    </row>
    <row r="160">
      <c r="B160" s="51" t="n"/>
      <c r="C160" s="51" t="n"/>
      <c r="D160" s="51" t="n"/>
      <c r="E160" s="51" t="n"/>
      <c r="F160" s="51" t="n"/>
      <c r="H160" s="51" t="n"/>
      <c r="J160" s="51" t="n"/>
    </row>
    <row r="161">
      <c r="B161" s="51" t="n"/>
      <c r="C161" s="51" t="n"/>
      <c r="D161" s="51" t="n"/>
      <c r="E161" s="51" t="n"/>
      <c r="F161" s="51" t="n"/>
      <c r="H161" s="51" t="n"/>
      <c r="J161" s="51" t="n"/>
    </row>
    <row r="162">
      <c r="B162" s="51" t="n"/>
      <c r="C162" s="51" t="n"/>
      <c r="D162" s="51" t="n"/>
      <c r="E162" s="51" t="n"/>
      <c r="F162" s="51" t="n"/>
      <c r="H162" s="51" t="n"/>
      <c r="J162" s="51" t="n"/>
    </row>
    <row r="163">
      <c r="B163" s="51" t="n"/>
      <c r="C163" s="51" t="n"/>
      <c r="D163" s="51" t="n"/>
      <c r="E163" s="51" t="n"/>
      <c r="F163" s="51" t="n"/>
      <c r="H163" s="51" t="n"/>
      <c r="J163" s="51" t="n"/>
    </row>
    <row r="164">
      <c r="B164" s="51" t="n"/>
      <c r="C164" s="51" t="n"/>
      <c r="D164" s="51" t="n"/>
      <c r="E164" s="51" t="n"/>
      <c r="F164" s="51" t="n"/>
      <c r="H164" s="51" t="n"/>
      <c r="J164" s="51" t="n"/>
    </row>
    <row r="165">
      <c r="B165" s="51" t="n"/>
      <c r="C165" s="51" t="n"/>
      <c r="D165" s="51" t="n"/>
      <c r="E165" s="51" t="n"/>
      <c r="F165" s="51" t="n"/>
      <c r="H165" s="51" t="n"/>
      <c r="J165" s="51" t="n"/>
    </row>
    <row r="166">
      <c r="B166" s="51" t="n"/>
      <c r="C166" s="51" t="n"/>
      <c r="D166" s="51" t="n"/>
      <c r="E166" s="51" t="n"/>
      <c r="F166" s="51" t="n"/>
      <c r="H166" s="51" t="n"/>
      <c r="J166" s="51" t="n"/>
    </row>
    <row r="167">
      <c r="B167" s="51" t="n"/>
      <c r="C167" s="51" t="n"/>
      <c r="D167" s="51" t="n"/>
      <c r="E167" s="51" t="n"/>
      <c r="F167" s="51" t="n"/>
      <c r="H167" s="51" t="n"/>
      <c r="J167" s="51" t="n"/>
    </row>
    <row r="168">
      <c r="B168" s="51" t="n"/>
      <c r="C168" s="51" t="n"/>
      <c r="D168" s="51" t="n"/>
      <c r="E168" s="51" t="n"/>
      <c r="F168" s="51" t="n"/>
      <c r="H168" s="51" t="n"/>
      <c r="J168" s="51" t="n"/>
    </row>
    <row r="169">
      <c r="B169" s="51" t="n"/>
      <c r="C169" s="51" t="n"/>
      <c r="D169" s="51" t="n"/>
      <c r="E169" s="51" t="n"/>
      <c r="F169" s="51" t="n"/>
      <c r="H169" s="51" t="n"/>
      <c r="J169" s="51" t="n"/>
    </row>
    <row r="170">
      <c r="B170" s="51" t="n"/>
      <c r="C170" s="51" t="n"/>
      <c r="D170" s="51" t="n"/>
      <c r="E170" s="51" t="n"/>
      <c r="F170" s="51" t="n"/>
      <c r="H170" s="51" t="n"/>
      <c r="J170" s="51" t="n"/>
    </row>
    <row r="171">
      <c r="B171" s="51" t="n"/>
      <c r="C171" s="51" t="n"/>
      <c r="D171" s="51" t="n"/>
      <c r="E171" s="51" t="n"/>
      <c r="F171" s="51" t="n"/>
      <c r="H171" s="51" t="n"/>
      <c r="J171" s="51" t="n"/>
    </row>
    <row r="172">
      <c r="B172" s="51" t="n"/>
      <c r="C172" s="51" t="n"/>
      <c r="D172" s="51" t="n"/>
      <c r="E172" s="51" t="n"/>
      <c r="F172" s="51" t="n"/>
      <c r="H172" s="51" t="n"/>
      <c r="J172" s="51" t="n"/>
    </row>
    <row r="173">
      <c r="B173" s="51" t="n"/>
      <c r="C173" s="51" t="n"/>
      <c r="D173" s="51" t="n"/>
      <c r="E173" s="51" t="n"/>
      <c r="F173" s="51" t="n"/>
      <c r="H173" s="51" t="n"/>
      <c r="J173" s="51" t="n"/>
    </row>
    <row r="174">
      <c r="B174" s="51" t="n"/>
      <c r="C174" s="51" t="n"/>
      <c r="D174" s="51" t="n"/>
      <c r="E174" s="51" t="n"/>
      <c r="F174" s="51" t="n"/>
      <c r="H174" s="51" t="n"/>
      <c r="J174" s="51" t="n"/>
    </row>
    <row r="175">
      <c r="B175" s="51" t="n"/>
      <c r="C175" s="51" t="n"/>
      <c r="D175" s="51" t="n"/>
      <c r="E175" s="51" t="n"/>
      <c r="F175" s="51" t="n"/>
      <c r="H175" s="51" t="n"/>
      <c r="J175" s="51" t="n"/>
    </row>
    <row r="176">
      <c r="B176" s="51" t="n"/>
      <c r="C176" s="51" t="n"/>
      <c r="D176" s="51" t="n"/>
      <c r="E176" s="51" t="n"/>
      <c r="F176" s="51" t="n"/>
      <c r="H176" s="51" t="n"/>
      <c r="J176" s="51" t="n"/>
    </row>
    <row r="177">
      <c r="B177" s="51" t="n"/>
      <c r="C177" s="51" t="n"/>
      <c r="D177" s="51" t="n"/>
      <c r="E177" s="51" t="n"/>
      <c r="F177" s="51" t="n"/>
      <c r="H177" s="51" t="n"/>
      <c r="J177" s="51" t="n"/>
    </row>
    <row r="178">
      <c r="B178" s="51" t="n"/>
      <c r="C178" s="51" t="n"/>
      <c r="D178" s="51" t="n"/>
      <c r="E178" s="51" t="n"/>
      <c r="F178" s="51" t="n"/>
      <c r="H178" s="51" t="n"/>
      <c r="J178" s="51" t="n"/>
    </row>
    <row r="179">
      <c r="B179" s="51" t="n"/>
      <c r="C179" s="51" t="n"/>
      <c r="D179" s="51" t="n"/>
      <c r="E179" s="51" t="n"/>
      <c r="F179" s="51" t="n"/>
      <c r="H179" s="51" t="n"/>
      <c r="J179" s="51" t="n"/>
    </row>
    <row r="180">
      <c r="B180" s="51" t="n"/>
      <c r="C180" s="51" t="n"/>
      <c r="D180" s="51" t="n"/>
      <c r="E180" s="51" t="n"/>
      <c r="F180" s="51" t="n"/>
      <c r="H180" s="51" t="n"/>
      <c r="J180" s="51" t="n"/>
    </row>
    <row r="181">
      <c r="B181" s="51" t="n"/>
      <c r="C181" s="51" t="n"/>
      <c r="D181" s="51" t="n"/>
      <c r="E181" s="51" t="n"/>
      <c r="F181" s="51" t="n"/>
      <c r="H181" s="51" t="n"/>
      <c r="J181" s="51" t="n"/>
    </row>
    <row r="182">
      <c r="B182" s="51" t="n"/>
      <c r="C182" s="51" t="n"/>
      <c r="D182" s="51" t="n"/>
      <c r="E182" s="51" t="n"/>
      <c r="F182" s="51" t="n"/>
      <c r="H182" s="51" t="n"/>
      <c r="J182" s="51" t="n"/>
    </row>
    <row r="183">
      <c r="B183" s="51" t="n"/>
      <c r="C183" s="51" t="n"/>
      <c r="D183" s="51" t="n"/>
      <c r="E183" s="51" t="n"/>
      <c r="F183" s="51" t="n"/>
      <c r="H183" s="51" t="n"/>
      <c r="J183" s="51" t="n"/>
    </row>
    <row r="184">
      <c r="B184" s="51" t="n"/>
      <c r="C184" s="51" t="n"/>
      <c r="D184" s="51" t="n"/>
      <c r="E184" s="51" t="n"/>
      <c r="F184" s="51" t="n"/>
      <c r="H184" s="51" t="n"/>
      <c r="J184" s="51" t="n"/>
    </row>
    <row r="185">
      <c r="B185" s="51" t="n"/>
      <c r="C185" s="51" t="n"/>
      <c r="D185" s="51" t="n"/>
      <c r="E185" s="51" t="n"/>
      <c r="F185" s="51" t="n"/>
      <c r="H185" s="51" t="n"/>
      <c r="J185" s="51" t="n"/>
    </row>
    <row r="186">
      <c r="B186" s="51" t="n"/>
      <c r="C186" s="51" t="n"/>
      <c r="D186" s="51" t="n"/>
      <c r="E186" s="51" t="n"/>
      <c r="F186" s="51" t="n"/>
      <c r="H186" s="51" t="n"/>
      <c r="J186" s="51" t="n"/>
    </row>
    <row r="187">
      <c r="B187" s="51" t="n"/>
      <c r="C187" s="51" t="n"/>
      <c r="D187" s="51" t="n"/>
      <c r="E187" s="51" t="n"/>
      <c r="F187" s="51" t="n"/>
      <c r="H187" s="51" t="n"/>
      <c r="J187" s="51" t="n"/>
    </row>
    <row r="188">
      <c r="B188" s="51" t="n"/>
      <c r="C188" s="51" t="n"/>
      <c r="D188" s="51" t="n"/>
      <c r="E188" s="51" t="n"/>
      <c r="F188" s="51" t="n"/>
      <c r="H188" s="51" t="n"/>
      <c r="J188" s="51" t="n"/>
    </row>
    <row r="189">
      <c r="B189" s="51" t="n"/>
      <c r="C189" s="51" t="n"/>
      <c r="D189" s="51" t="n"/>
      <c r="E189" s="51" t="n"/>
      <c r="F189" s="51" t="n"/>
      <c r="H189" s="51" t="n"/>
      <c r="J189" s="51" t="n"/>
    </row>
    <row r="190">
      <c r="B190" s="51" t="n"/>
      <c r="C190" s="51" t="n"/>
      <c r="D190" s="51" t="n"/>
      <c r="E190" s="51" t="n"/>
      <c r="F190" s="51" t="n"/>
      <c r="H190" s="51" t="n"/>
      <c r="J190" s="51" t="n"/>
    </row>
    <row r="191">
      <c r="B191" s="51" t="n"/>
      <c r="C191" s="51" t="n"/>
      <c r="D191" s="51" t="n"/>
      <c r="E191" s="51" t="n"/>
      <c r="F191" s="51" t="n"/>
      <c r="H191" s="51" t="n"/>
      <c r="J191" s="51" t="n"/>
    </row>
    <row r="192">
      <c r="B192" s="51" t="n"/>
      <c r="C192" s="51" t="n"/>
      <c r="D192" s="51" t="n"/>
      <c r="E192" s="51" t="n"/>
      <c r="F192" s="51" t="n"/>
      <c r="H192" s="51" t="n"/>
      <c r="J192" s="51" t="n"/>
    </row>
    <row r="193">
      <c r="B193" s="51" t="n"/>
      <c r="C193" s="51" t="n"/>
      <c r="D193" s="51" t="n"/>
      <c r="E193" s="51" t="n"/>
      <c r="F193" s="51" t="n"/>
      <c r="H193" s="51" t="n"/>
      <c r="J193" s="51" t="n"/>
    </row>
    <row r="194">
      <c r="B194" s="51" t="n"/>
      <c r="C194" s="51" t="n"/>
      <c r="D194" s="51" t="n"/>
      <c r="E194" s="51" t="n"/>
      <c r="F194" s="51" t="n"/>
      <c r="H194" s="51" t="n"/>
      <c r="J194" s="51" t="n"/>
    </row>
    <row r="195">
      <c r="B195" s="51" t="n"/>
      <c r="C195" s="51" t="n"/>
      <c r="D195" s="51" t="n"/>
      <c r="E195" s="51" t="n"/>
      <c r="F195" s="51" t="n"/>
      <c r="H195" s="51" t="n"/>
      <c r="J195" s="51" t="n"/>
    </row>
    <row r="196">
      <c r="B196" s="51" t="n"/>
      <c r="C196" s="51" t="n"/>
      <c r="D196" s="51" t="n"/>
      <c r="E196" s="51" t="n"/>
      <c r="F196" s="51" t="n"/>
      <c r="H196" s="51" t="n"/>
      <c r="J196" s="51" t="n"/>
    </row>
    <row r="197">
      <c r="B197" s="51" t="n"/>
      <c r="C197" s="51" t="n"/>
      <c r="D197" s="51" t="n"/>
      <c r="E197" s="51" t="n"/>
      <c r="F197" s="51" t="n"/>
      <c r="H197" s="51" t="n"/>
      <c r="J197" s="51" t="n"/>
    </row>
    <row r="198">
      <c r="B198" s="51" t="n"/>
      <c r="C198" s="51" t="n"/>
      <c r="D198" s="51" t="n"/>
      <c r="E198" s="51" t="n"/>
      <c r="F198" s="51" t="n"/>
      <c r="H198" s="51" t="n"/>
      <c r="J198" s="51" t="n"/>
    </row>
    <row r="199">
      <c r="B199" s="51" t="n"/>
      <c r="C199" s="51" t="n"/>
      <c r="D199" s="51" t="n"/>
      <c r="E199" s="51" t="n"/>
      <c r="F199" s="51" t="n"/>
      <c r="H199" s="51" t="n"/>
      <c r="J199" s="51" t="n"/>
    </row>
    <row r="200">
      <c r="B200" s="51" t="n"/>
      <c r="C200" s="51" t="n"/>
      <c r="D200" s="51" t="n"/>
      <c r="E200" s="51" t="n"/>
      <c r="F200" s="51" t="n"/>
      <c r="H200" s="51" t="n"/>
      <c r="J200" s="51" t="n"/>
    </row>
    <row r="201">
      <c r="B201" s="51" t="n"/>
      <c r="C201" s="51" t="n"/>
      <c r="D201" s="51" t="n"/>
      <c r="E201" s="51" t="n"/>
      <c r="F201" s="51" t="n"/>
      <c r="H201" s="51" t="n"/>
      <c r="J201" s="51" t="n"/>
    </row>
    <row r="202">
      <c r="B202" s="51" t="n"/>
      <c r="C202" s="51" t="n"/>
      <c r="D202" s="51" t="n"/>
      <c r="E202" s="51" t="n"/>
      <c r="F202" s="51" t="n"/>
      <c r="H202" s="51" t="n"/>
      <c r="J202" s="51" t="n"/>
    </row>
    <row r="203">
      <c r="B203" s="51" t="n"/>
      <c r="C203" s="51" t="n"/>
      <c r="D203" s="51" t="n"/>
      <c r="E203" s="51" t="n"/>
      <c r="F203" s="51" t="n"/>
      <c r="H203" s="51" t="n"/>
      <c r="J203" s="51" t="n"/>
    </row>
    <row r="204">
      <c r="B204" s="51" t="n"/>
      <c r="C204" s="51" t="n"/>
      <c r="D204" s="51" t="n"/>
      <c r="E204" s="51" t="n"/>
      <c r="F204" s="51" t="n"/>
      <c r="H204" s="51" t="n"/>
      <c r="J204" s="51" t="n"/>
    </row>
    <row r="205">
      <c r="B205" s="51" t="n"/>
      <c r="C205" s="51" t="n"/>
      <c r="D205" s="51" t="n"/>
      <c r="E205" s="51" t="n"/>
      <c r="F205" s="51" t="n"/>
      <c r="H205" s="51" t="n"/>
      <c r="J205" s="51" t="n"/>
    </row>
    <row r="206">
      <c r="B206" s="51" t="n"/>
      <c r="C206" s="51" t="n"/>
      <c r="D206" s="51" t="n"/>
      <c r="E206" s="51" t="n"/>
      <c r="F206" s="51" t="n"/>
      <c r="H206" s="51" t="n"/>
      <c r="J206" s="51" t="n"/>
    </row>
    <row r="207">
      <c r="B207" s="51" t="n"/>
      <c r="C207" s="51" t="n"/>
      <c r="D207" s="51" t="n"/>
      <c r="E207" s="51" t="n"/>
      <c r="F207" s="51" t="n"/>
      <c r="H207" s="51" t="n"/>
      <c r="J207" s="51" t="n"/>
    </row>
    <row r="208">
      <c r="B208" s="51" t="n"/>
      <c r="C208" s="51" t="n"/>
      <c r="D208" s="51" t="n"/>
      <c r="E208" s="51" t="n"/>
      <c r="F208" s="51" t="n"/>
      <c r="H208" s="51" t="n"/>
      <c r="J208" s="51" t="n"/>
    </row>
    <row r="209">
      <c r="B209" s="51" t="n"/>
      <c r="C209" s="51" t="n"/>
      <c r="D209" s="51" t="n"/>
      <c r="E209" s="51" t="n"/>
      <c r="F209" s="51" t="n"/>
      <c r="H209" s="51" t="n"/>
      <c r="J209" s="51" t="n"/>
    </row>
    <row r="210">
      <c r="B210" s="51" t="n"/>
      <c r="C210" s="51" t="n"/>
      <c r="D210" s="51" t="n"/>
      <c r="E210" s="51" t="n"/>
      <c r="F210" s="51" t="n"/>
      <c r="H210" s="51" t="n"/>
      <c r="J210" s="51" t="n"/>
    </row>
    <row r="211">
      <c r="B211" s="51" t="n"/>
      <c r="C211" s="51" t="n"/>
      <c r="D211" s="51" t="n"/>
      <c r="E211" s="51" t="n"/>
      <c r="F211" s="51" t="n"/>
      <c r="H211" s="51" t="n"/>
      <c r="J211" s="51" t="n"/>
    </row>
    <row r="212">
      <c r="B212" s="51" t="n"/>
      <c r="C212" s="51" t="n"/>
      <c r="D212" s="51" t="n"/>
      <c r="E212" s="51" t="n"/>
      <c r="F212" s="51" t="n"/>
      <c r="H212" s="51" t="n"/>
      <c r="J212" s="51" t="n"/>
    </row>
    <row r="213">
      <c r="B213" s="51" t="n"/>
      <c r="C213" s="51" t="n"/>
      <c r="D213" s="51" t="n"/>
      <c r="E213" s="51" t="n"/>
      <c r="F213" s="51" t="n"/>
      <c r="H213" s="51" t="n"/>
      <c r="J213" s="51" t="n"/>
    </row>
    <row r="214">
      <c r="B214" s="51" t="n"/>
      <c r="C214" s="51" t="n"/>
      <c r="D214" s="51" t="n"/>
      <c r="E214" s="51" t="n"/>
      <c r="F214" s="51" t="n"/>
      <c r="H214" s="51" t="n"/>
      <c r="J214" s="51" t="n"/>
    </row>
    <row r="215">
      <c r="B215" s="51" t="n"/>
      <c r="C215" s="51" t="n"/>
      <c r="D215" s="51" t="n"/>
      <c r="E215" s="51" t="n"/>
      <c r="F215" s="51" t="n"/>
      <c r="H215" s="51" t="n"/>
      <c r="J215" s="51" t="n"/>
    </row>
    <row r="216">
      <c r="B216" s="51" t="n"/>
      <c r="C216" s="51" t="n"/>
      <c r="D216" s="51" t="n"/>
      <c r="E216" s="51" t="n"/>
      <c r="F216" s="51" t="n"/>
      <c r="H216" s="51" t="n"/>
      <c r="J216" s="51" t="n"/>
    </row>
    <row r="217">
      <c r="B217" s="51" t="n"/>
      <c r="C217" s="51" t="n"/>
      <c r="D217" s="51" t="n"/>
      <c r="E217" s="51" t="n"/>
      <c r="F217" s="51" t="n"/>
      <c r="H217" s="51" t="n"/>
      <c r="J217" s="51" t="n"/>
    </row>
    <row r="218">
      <c r="B218" s="51" t="n"/>
      <c r="C218" s="51" t="n"/>
      <c r="D218" s="51" t="n"/>
      <c r="E218" s="51" t="n"/>
      <c r="F218" s="51" t="n"/>
      <c r="H218" s="51" t="n"/>
      <c r="J218" s="51" t="n"/>
    </row>
    <row r="219">
      <c r="B219" s="51" t="n"/>
      <c r="C219" s="51" t="n"/>
      <c r="D219" s="51" t="n"/>
      <c r="E219" s="51" t="n"/>
      <c r="F219" s="51" t="n"/>
      <c r="H219" s="51" t="n"/>
      <c r="J219" s="51" t="n"/>
    </row>
    <row r="220">
      <c r="B220" s="51" t="n"/>
      <c r="C220" s="51" t="n"/>
      <c r="D220" s="51" t="n"/>
      <c r="E220" s="51" t="n"/>
      <c r="F220" s="51" t="n"/>
      <c r="H220" s="51" t="n"/>
      <c r="J220" s="51" t="n"/>
    </row>
    <row r="221">
      <c r="B221" s="51" t="n"/>
      <c r="C221" s="51" t="n"/>
      <c r="D221" s="51" t="n"/>
      <c r="E221" s="51" t="n"/>
      <c r="F221" s="51" t="n"/>
      <c r="H221" s="51" t="n"/>
      <c r="J221" s="51" t="n"/>
    </row>
    <row r="222">
      <c r="B222" s="51" t="n"/>
      <c r="C222" s="51" t="n"/>
      <c r="D222" s="51" t="n"/>
      <c r="E222" s="51" t="n"/>
      <c r="F222" s="51" t="n"/>
      <c r="H222" s="51" t="n"/>
      <c r="J222" s="51" t="n"/>
    </row>
    <row r="223">
      <c r="B223" s="51" t="n"/>
      <c r="C223" s="51" t="n"/>
      <c r="D223" s="51" t="n"/>
      <c r="E223" s="51" t="n"/>
      <c r="F223" s="51" t="n"/>
      <c r="H223" s="51" t="n"/>
      <c r="J223" s="51" t="n"/>
    </row>
    <row r="224">
      <c r="B224" s="51" t="n"/>
      <c r="C224" s="51" t="n"/>
      <c r="D224" s="51" t="n"/>
      <c r="E224" s="51" t="n"/>
      <c r="F224" s="51" t="n"/>
      <c r="H224" s="51" t="n"/>
      <c r="J224" s="51" t="n"/>
    </row>
    <row r="225">
      <c r="B225" s="51" t="n"/>
      <c r="C225" s="51" t="n"/>
      <c r="D225" s="51" t="n"/>
      <c r="E225" s="51" t="n"/>
      <c r="F225" s="51" t="n"/>
      <c r="H225" s="51" t="n"/>
      <c r="J225" s="51" t="n"/>
    </row>
    <row r="226">
      <c r="B226" s="51" t="n"/>
      <c r="C226" s="51" t="n"/>
      <c r="D226" s="51" t="n"/>
      <c r="E226" s="51" t="n"/>
      <c r="F226" s="51" t="n"/>
      <c r="H226" s="51" t="n"/>
      <c r="J226" s="51" t="n"/>
    </row>
    <row r="227">
      <c r="B227" s="51" t="n"/>
      <c r="C227" s="51" t="n"/>
      <c r="D227" s="51" t="n"/>
      <c r="E227" s="51" t="n"/>
      <c r="F227" s="51" t="n"/>
      <c r="H227" s="51" t="n"/>
      <c r="J227" s="51" t="n"/>
    </row>
    <row r="228">
      <c r="B228" s="51" t="n"/>
      <c r="C228" s="51" t="n"/>
      <c r="D228" s="51" t="n"/>
      <c r="E228" s="51" t="n"/>
      <c r="F228" s="51" t="n"/>
      <c r="H228" s="51" t="n"/>
      <c r="J228" s="51" t="n"/>
    </row>
    <row r="229">
      <c r="B229" s="51" t="n"/>
      <c r="C229" s="51" t="n"/>
      <c r="D229" s="51" t="n"/>
      <c r="E229" s="51" t="n"/>
      <c r="F229" s="51" t="n"/>
      <c r="H229" s="51" t="n"/>
      <c r="J229" s="51" t="n"/>
    </row>
    <row r="230">
      <c r="B230" s="51" t="n"/>
      <c r="C230" s="51" t="n"/>
      <c r="D230" s="51" t="n"/>
      <c r="E230" s="51" t="n"/>
      <c r="F230" s="51" t="n"/>
      <c r="H230" s="51" t="n"/>
      <c r="J230" s="51" t="n"/>
    </row>
    <row r="231">
      <c r="B231" s="51" t="n"/>
      <c r="C231" s="51" t="n"/>
      <c r="D231" s="51" t="n"/>
      <c r="E231" s="51" t="n"/>
      <c r="F231" s="51" t="n"/>
      <c r="H231" s="51" t="n"/>
      <c r="J231" s="51" t="n"/>
    </row>
    <row r="232">
      <c r="B232" s="51" t="n"/>
      <c r="C232" s="51" t="n"/>
      <c r="D232" s="51" t="n"/>
      <c r="E232" s="51" t="n"/>
      <c r="F232" s="51" t="n"/>
      <c r="H232" s="51" t="n"/>
      <c r="J232" s="51" t="n"/>
    </row>
    <row r="233">
      <c r="B233" s="51" t="n"/>
      <c r="C233" s="51" t="n"/>
      <c r="D233" s="51" t="n"/>
      <c r="E233" s="51" t="n"/>
      <c r="F233" s="51" t="n"/>
      <c r="H233" s="51" t="n"/>
      <c r="J233" s="51" t="n"/>
    </row>
    <row r="234">
      <c r="B234" s="51" t="n"/>
      <c r="C234" s="51" t="n"/>
      <c r="D234" s="51" t="n"/>
      <c r="E234" s="51" t="n"/>
      <c r="F234" s="51" t="n"/>
      <c r="H234" s="51" t="n"/>
      <c r="J234" s="51" t="n"/>
    </row>
    <row r="235">
      <c r="B235" s="51" t="n"/>
      <c r="C235" s="51" t="n"/>
      <c r="D235" s="51" t="n"/>
      <c r="E235" s="51" t="n"/>
      <c r="F235" s="51" t="n"/>
      <c r="H235" s="51" t="n"/>
      <c r="J235" s="51" t="n"/>
    </row>
    <row r="236">
      <c r="B236" s="51" t="n"/>
      <c r="C236" s="51" t="n"/>
      <c r="D236" s="51" t="n"/>
      <c r="E236" s="51" t="n"/>
      <c r="F236" s="51" t="n"/>
      <c r="H236" s="51" t="n"/>
      <c r="J236" s="51" t="n"/>
    </row>
    <row r="237">
      <c r="B237" s="51" t="n"/>
      <c r="C237" s="51" t="n"/>
      <c r="D237" s="51" t="n"/>
      <c r="E237" s="51" t="n"/>
      <c r="F237" s="51" t="n"/>
      <c r="H237" s="51" t="n"/>
      <c r="J237" s="51" t="n"/>
    </row>
    <row r="238">
      <c r="B238" s="51" t="n"/>
      <c r="C238" s="51" t="n"/>
      <c r="D238" s="51" t="n"/>
      <c r="E238" s="51" t="n"/>
      <c r="F238" s="51" t="n"/>
      <c r="H238" s="51" t="n"/>
      <c r="J238" s="51" t="n"/>
    </row>
    <row r="239">
      <c r="B239" s="51" t="n"/>
      <c r="C239" s="51" t="n"/>
      <c r="D239" s="51" t="n"/>
      <c r="E239" s="51" t="n"/>
      <c r="F239" s="51" t="n"/>
      <c r="H239" s="51" t="n"/>
      <c r="J239" s="51" t="n"/>
    </row>
    <row r="240">
      <c r="B240" s="51" t="n"/>
      <c r="C240" s="51" t="n"/>
      <c r="D240" s="51" t="n"/>
      <c r="E240" s="51" t="n"/>
      <c r="F240" s="51" t="n"/>
      <c r="H240" s="51" t="n"/>
      <c r="J240" s="51" t="n"/>
    </row>
    <row r="241">
      <c r="B241" s="51" t="n"/>
      <c r="C241" s="51" t="n"/>
      <c r="D241" s="51" t="n"/>
      <c r="E241" s="51" t="n"/>
      <c r="F241" s="51" t="n"/>
      <c r="H241" s="51" t="n"/>
      <c r="J241" s="51" t="n"/>
    </row>
    <row r="242">
      <c r="B242" s="51" t="n"/>
      <c r="C242" s="51" t="n"/>
      <c r="D242" s="51" t="n"/>
      <c r="E242" s="51" t="n"/>
      <c r="F242" s="51" t="n"/>
      <c r="H242" s="51" t="n"/>
      <c r="J242" s="51" t="n"/>
    </row>
    <row r="243">
      <c r="B243" s="51" t="n"/>
      <c r="C243" s="51" t="n"/>
      <c r="D243" s="51" t="n"/>
      <c r="E243" s="51" t="n"/>
      <c r="F243" s="51" t="n"/>
      <c r="H243" s="51" t="n"/>
      <c r="J243" s="51" t="n"/>
    </row>
    <row r="244">
      <c r="B244" s="51" t="n"/>
      <c r="C244" s="51" t="n"/>
      <c r="D244" s="51" t="n"/>
      <c r="E244" s="51" t="n"/>
      <c r="F244" s="51" t="n"/>
      <c r="H244" s="51" t="n"/>
      <c r="J244" s="51" t="n"/>
    </row>
    <row r="245">
      <c r="B245" s="51" t="n"/>
      <c r="C245" s="51" t="n"/>
      <c r="D245" s="51" t="n"/>
      <c r="E245" s="51" t="n"/>
      <c r="F245" s="51" t="n"/>
      <c r="H245" s="51" t="n"/>
      <c r="J245" s="51" t="n"/>
    </row>
    <row r="246">
      <c r="B246" s="51" t="n"/>
      <c r="C246" s="51" t="n"/>
      <c r="D246" s="51" t="n"/>
      <c r="E246" s="51" t="n"/>
      <c r="F246" s="51" t="n"/>
      <c r="H246" s="51" t="n"/>
      <c r="J246" s="51" t="n"/>
    </row>
    <row r="247">
      <c r="B247" s="51" t="n"/>
      <c r="C247" s="51" t="n"/>
      <c r="D247" s="51" t="n"/>
      <c r="E247" s="51" t="n"/>
      <c r="F247" s="51" t="n"/>
      <c r="H247" s="51" t="n"/>
      <c r="J247" s="51" t="n"/>
    </row>
    <row r="248">
      <c r="B248" s="51" t="n"/>
      <c r="C248" s="51" t="n"/>
      <c r="D248" s="51" t="n"/>
      <c r="E248" s="51" t="n"/>
      <c r="F248" s="51" t="n"/>
      <c r="H248" s="51" t="n"/>
      <c r="J248" s="51" t="n"/>
    </row>
    <row r="249">
      <c r="B249" s="51" t="n"/>
      <c r="C249" s="51" t="n"/>
      <c r="D249" s="51" t="n"/>
      <c r="E249" s="51" t="n"/>
      <c r="F249" s="51" t="n"/>
      <c r="H249" s="51" t="n"/>
      <c r="J249" s="51" t="n"/>
    </row>
    <row r="250">
      <c r="B250" s="51" t="n"/>
      <c r="C250" s="51" t="n"/>
      <c r="D250" s="51" t="n"/>
      <c r="E250" s="51" t="n"/>
      <c r="F250" s="51" t="n"/>
      <c r="H250" s="51" t="n"/>
      <c r="J250" s="51" t="n"/>
    </row>
    <row r="251">
      <c r="B251" s="51" t="n"/>
      <c r="C251" s="51" t="n"/>
      <c r="D251" s="51" t="n"/>
      <c r="E251" s="51" t="n"/>
      <c r="F251" s="51" t="n"/>
      <c r="H251" s="51" t="n"/>
      <c r="J251" s="51" t="n"/>
    </row>
    <row r="252">
      <c r="B252" s="51" t="n"/>
      <c r="C252" s="51" t="n"/>
      <c r="D252" s="51" t="n"/>
      <c r="E252" s="51" t="n"/>
      <c r="F252" s="51" t="n"/>
      <c r="H252" s="51" t="n"/>
      <c r="J252" s="51" t="n"/>
    </row>
    <row r="253">
      <c r="B253" s="51" t="n"/>
      <c r="C253" s="51" t="n"/>
      <c r="D253" s="51" t="n"/>
      <c r="E253" s="51" t="n"/>
      <c r="F253" s="51" t="n"/>
      <c r="H253" s="51" t="n"/>
      <c r="J253" s="51" t="n"/>
    </row>
    <row r="254">
      <c r="B254" s="51" t="n"/>
      <c r="C254" s="51" t="n"/>
      <c r="D254" s="51" t="n"/>
      <c r="E254" s="51" t="n"/>
      <c r="F254" s="51" t="n"/>
      <c r="H254" s="51" t="n"/>
      <c r="J254" s="51" t="n"/>
    </row>
    <row r="255">
      <c r="B255" s="51" t="n"/>
      <c r="C255" s="51" t="n"/>
      <c r="D255" s="51" t="n"/>
      <c r="E255" s="51" t="n"/>
      <c r="F255" s="51" t="n"/>
      <c r="H255" s="51" t="n"/>
      <c r="J255" s="51" t="n"/>
    </row>
    <row r="256">
      <c r="B256" s="51" t="n"/>
      <c r="C256" s="51" t="n"/>
      <c r="D256" s="51" t="n"/>
      <c r="E256" s="51" t="n"/>
      <c r="F256" s="51" t="n"/>
      <c r="H256" s="51" t="n"/>
      <c r="J256" s="51" t="n"/>
    </row>
    <row r="257">
      <c r="B257" s="51" t="n"/>
      <c r="C257" s="51" t="n"/>
      <c r="D257" s="51" t="n"/>
      <c r="E257" s="51" t="n"/>
      <c r="F257" s="51" t="n"/>
      <c r="H257" s="51" t="n"/>
      <c r="J257" s="51" t="n"/>
    </row>
    <row r="258">
      <c r="B258" s="51" t="n"/>
      <c r="C258" s="51" t="n"/>
      <c r="D258" s="51" t="n"/>
      <c r="E258" s="51" t="n"/>
      <c r="F258" s="51" t="n"/>
      <c r="H258" s="51" t="n"/>
      <c r="J258" s="51" t="n"/>
    </row>
    <row r="259">
      <c r="B259" s="51" t="n"/>
      <c r="C259" s="51" t="n"/>
      <c r="D259" s="51" t="n"/>
      <c r="E259" s="51" t="n"/>
      <c r="F259" s="51" t="n"/>
      <c r="H259" s="51" t="n"/>
      <c r="J259" s="51" t="n"/>
    </row>
    <row r="260">
      <c r="B260" s="51" t="n"/>
      <c r="C260" s="51" t="n"/>
      <c r="D260" s="51" t="n"/>
      <c r="E260" s="51" t="n"/>
      <c r="F260" s="51" t="n"/>
      <c r="H260" s="51" t="n"/>
      <c r="J260" s="51" t="n"/>
    </row>
    <row r="261">
      <c r="B261" s="51" t="n"/>
      <c r="C261" s="51" t="n"/>
      <c r="D261" s="51" t="n"/>
      <c r="E261" s="51" t="n"/>
      <c r="F261" s="51" t="n"/>
      <c r="H261" s="51" t="n"/>
      <c r="J261" s="51" t="n"/>
    </row>
    <row r="262">
      <c r="B262" s="51" t="n"/>
      <c r="C262" s="51" t="n"/>
      <c r="D262" s="51" t="n"/>
      <c r="E262" s="51" t="n"/>
      <c r="F262" s="51" t="n"/>
      <c r="H262" s="51" t="n"/>
      <c r="J262" s="51" t="n"/>
    </row>
    <row r="263">
      <c r="B263" s="51" t="n"/>
      <c r="C263" s="51" t="n"/>
      <c r="D263" s="51" t="n"/>
      <c r="E263" s="51" t="n"/>
      <c r="F263" s="51" t="n"/>
      <c r="H263" s="51" t="n"/>
      <c r="J263" s="51" t="n"/>
    </row>
    <row r="264">
      <c r="B264" s="51" t="n"/>
      <c r="C264" s="51" t="n"/>
      <c r="D264" s="51" t="n"/>
      <c r="E264" s="51" t="n"/>
      <c r="F264" s="51" t="n"/>
      <c r="H264" s="51" t="n"/>
      <c r="J264" s="51" t="n"/>
    </row>
    <row r="265">
      <c r="B265" s="51" t="n"/>
      <c r="C265" s="51" t="n"/>
      <c r="D265" s="51" t="n"/>
      <c r="E265" s="51" t="n"/>
      <c r="F265" s="51" t="n"/>
      <c r="H265" s="51" t="n"/>
      <c r="J265" s="51" t="n"/>
    </row>
    <row r="266">
      <c r="B266" s="51" t="n"/>
      <c r="C266" s="51" t="n"/>
      <c r="D266" s="51" t="n"/>
      <c r="E266" s="51" t="n"/>
      <c r="F266" s="51" t="n"/>
      <c r="H266" s="51" t="n"/>
      <c r="J266" s="51" t="n"/>
    </row>
    <row r="267">
      <c r="B267" s="51" t="n"/>
      <c r="C267" s="51" t="n"/>
      <c r="D267" s="51" t="n"/>
      <c r="E267" s="51" t="n"/>
      <c r="F267" s="51" t="n"/>
      <c r="H267" s="51" t="n"/>
      <c r="J267" s="51" t="n"/>
    </row>
    <row r="268">
      <c r="B268" s="51" t="n"/>
      <c r="C268" s="51" t="n"/>
      <c r="D268" s="51" t="n"/>
      <c r="E268" s="51" t="n"/>
      <c r="F268" s="51" t="n"/>
      <c r="H268" s="51" t="n"/>
      <c r="J268" s="51" t="n"/>
    </row>
    <row r="269">
      <c r="B269" s="51" t="n"/>
      <c r="C269" s="51" t="n"/>
      <c r="D269" s="51" t="n"/>
      <c r="E269" s="51" t="n"/>
      <c r="F269" s="51" t="n"/>
      <c r="H269" s="51" t="n"/>
      <c r="J269" s="51" t="n"/>
    </row>
    <row r="270">
      <c r="B270" s="51" t="n"/>
      <c r="C270" s="51" t="n"/>
      <c r="D270" s="51" t="n"/>
      <c r="E270" s="51" t="n"/>
      <c r="F270" s="51" t="n"/>
      <c r="H270" s="51" t="n"/>
      <c r="J270" s="51" t="n"/>
    </row>
    <row r="271">
      <c r="B271" s="51" t="n"/>
      <c r="C271" s="51" t="n"/>
      <c r="D271" s="51" t="n"/>
      <c r="E271" s="51" t="n"/>
      <c r="F271" s="51" t="n"/>
      <c r="H271" s="51" t="n"/>
      <c r="J271" s="51" t="n"/>
    </row>
    <row r="272">
      <c r="B272" s="51" t="n"/>
      <c r="C272" s="51" t="n"/>
      <c r="D272" s="51" t="n"/>
      <c r="E272" s="51" t="n"/>
      <c r="F272" s="51" t="n"/>
      <c r="H272" s="51" t="n"/>
      <c r="J272" s="51" t="n"/>
    </row>
    <row r="273">
      <c r="B273" s="51" t="n"/>
      <c r="C273" s="51" t="n"/>
      <c r="D273" s="51" t="n"/>
      <c r="E273" s="51" t="n"/>
      <c r="F273" s="51" t="n"/>
      <c r="H273" s="51" t="n"/>
      <c r="J273" s="51" t="n"/>
    </row>
    <row r="274">
      <c r="B274" s="51" t="n"/>
      <c r="C274" s="51" t="n"/>
      <c r="D274" s="51" t="n"/>
      <c r="E274" s="51" t="n"/>
      <c r="F274" s="51" t="n"/>
      <c r="H274" s="51" t="n"/>
      <c r="J274" s="51" t="n"/>
    </row>
    <row r="275">
      <c r="B275" s="51" t="n"/>
      <c r="C275" s="51" t="n"/>
      <c r="D275" s="51" t="n"/>
      <c r="E275" s="51" t="n"/>
      <c r="F275" s="51" t="n"/>
      <c r="H275" s="51" t="n"/>
      <c r="J275" s="51" t="n"/>
    </row>
    <row r="276">
      <c r="B276" s="51" t="n"/>
      <c r="C276" s="51" t="n"/>
      <c r="D276" s="51" t="n"/>
      <c r="E276" s="51" t="n"/>
      <c r="F276" s="51" t="n"/>
      <c r="H276" s="51" t="n"/>
      <c r="J276" s="51" t="n"/>
    </row>
    <row r="277">
      <c r="B277" s="51" t="n"/>
      <c r="C277" s="51" t="n"/>
      <c r="D277" s="51" t="n"/>
      <c r="E277" s="51" t="n"/>
      <c r="F277" s="51" t="n"/>
      <c r="H277" s="51" t="n"/>
      <c r="J277" s="51" t="n"/>
    </row>
    <row r="278">
      <c r="B278" s="51" t="n"/>
      <c r="C278" s="51" t="n"/>
      <c r="D278" s="51" t="n"/>
      <c r="E278" s="51" t="n"/>
      <c r="F278" s="51" t="n"/>
      <c r="H278" s="51" t="n"/>
      <c r="J278" s="51" t="n"/>
    </row>
    <row r="279">
      <c r="B279" s="51" t="n"/>
      <c r="C279" s="51" t="n"/>
      <c r="D279" s="51" t="n"/>
      <c r="E279" s="51" t="n"/>
      <c r="F279" s="51" t="n"/>
      <c r="H279" s="51" t="n"/>
      <c r="J279" s="51" t="n"/>
    </row>
    <row r="280">
      <c r="B280" s="51" t="n"/>
      <c r="C280" s="51" t="n"/>
      <c r="D280" s="51" t="n"/>
      <c r="E280" s="51" t="n"/>
      <c r="F280" s="51" t="n"/>
      <c r="H280" s="51" t="n"/>
      <c r="J280" s="51" t="n"/>
    </row>
    <row r="281">
      <c r="B281" s="51" t="n"/>
      <c r="C281" s="51" t="n"/>
      <c r="D281" s="51" t="n"/>
      <c r="E281" s="51" t="n"/>
      <c r="F281" s="51" t="n"/>
      <c r="H281" s="51" t="n"/>
      <c r="J281" s="51" t="n"/>
    </row>
    <row r="282">
      <c r="B282" s="51" t="n"/>
      <c r="C282" s="51" t="n"/>
      <c r="D282" s="51" t="n"/>
      <c r="E282" s="51" t="n"/>
      <c r="F282" s="51" t="n"/>
      <c r="H282" s="51" t="n"/>
      <c r="J282" s="51" t="n"/>
    </row>
    <row r="283">
      <c r="B283" s="51" t="n"/>
      <c r="C283" s="51" t="n"/>
      <c r="D283" s="51" t="n"/>
      <c r="E283" s="51" t="n"/>
      <c r="F283" s="51" t="n"/>
      <c r="H283" s="51" t="n"/>
      <c r="J283" s="51" t="n"/>
    </row>
    <row r="284">
      <c r="B284" s="51" t="n"/>
      <c r="C284" s="51" t="n"/>
      <c r="D284" s="51" t="n"/>
      <c r="E284" s="51" t="n"/>
      <c r="F284" s="51" t="n"/>
      <c r="H284" s="51" t="n"/>
      <c r="J284" s="51" t="n"/>
    </row>
    <row r="285">
      <c r="B285" s="51" t="n"/>
      <c r="C285" s="51" t="n"/>
      <c r="D285" s="51" t="n"/>
      <c r="E285" s="51" t="n"/>
      <c r="F285" s="51" t="n"/>
      <c r="H285" s="51" t="n"/>
      <c r="J285" s="51" t="n"/>
    </row>
    <row r="286">
      <c r="B286" s="51" t="n"/>
      <c r="C286" s="51" t="n"/>
      <c r="D286" s="51" t="n"/>
      <c r="E286" s="51" t="n"/>
      <c r="F286" s="51" t="n"/>
      <c r="H286" s="51" t="n"/>
      <c r="J286" s="51" t="n"/>
    </row>
    <row r="287">
      <c r="B287" s="51" t="n"/>
      <c r="C287" s="51" t="n"/>
      <c r="D287" s="51" t="n"/>
      <c r="E287" s="51" t="n"/>
      <c r="F287" s="51" t="n"/>
      <c r="H287" s="51" t="n"/>
      <c r="J287" s="51" t="n"/>
    </row>
    <row r="288">
      <c r="B288" s="51" t="n"/>
      <c r="C288" s="51" t="n"/>
      <c r="D288" s="51" t="n"/>
      <c r="E288" s="51" t="n"/>
      <c r="F288" s="51" t="n"/>
      <c r="H288" s="51" t="n"/>
      <c r="J288" s="51" t="n"/>
    </row>
    <row r="289">
      <c r="B289" s="51" t="n"/>
      <c r="C289" s="51" t="n"/>
      <c r="D289" s="51" t="n"/>
      <c r="E289" s="51" t="n"/>
      <c r="F289" s="51" t="n"/>
      <c r="H289" s="51" t="n"/>
      <c r="J289" s="51" t="n"/>
    </row>
    <row r="290">
      <c r="B290" s="51" t="n"/>
      <c r="C290" s="51" t="n"/>
      <c r="D290" s="51" t="n"/>
      <c r="E290" s="51" t="n"/>
      <c r="F290" s="51" t="n"/>
      <c r="H290" s="51" t="n"/>
      <c r="J290" s="51" t="n"/>
    </row>
    <row r="291">
      <c r="B291" s="51" t="n"/>
      <c r="C291" s="51" t="n"/>
      <c r="D291" s="51" t="n"/>
      <c r="E291" s="51" t="n"/>
      <c r="F291" s="51" t="n"/>
      <c r="H291" s="51" t="n"/>
      <c r="J291" s="51" t="n"/>
    </row>
    <row r="292">
      <c r="B292" s="51" t="n"/>
      <c r="C292" s="51" t="n"/>
      <c r="D292" s="51" t="n"/>
      <c r="E292" s="51" t="n"/>
      <c r="F292" s="51" t="n"/>
      <c r="H292" s="51" t="n"/>
      <c r="J292" s="51" t="n"/>
    </row>
    <row r="293">
      <c r="B293" s="51" t="n"/>
      <c r="C293" s="51" t="n"/>
      <c r="D293" s="51" t="n"/>
      <c r="E293" s="51" t="n"/>
      <c r="F293" s="51" t="n"/>
      <c r="H293" s="51" t="n"/>
      <c r="J293" s="51" t="n"/>
    </row>
    <row r="294">
      <c r="B294" s="51" t="n"/>
      <c r="C294" s="51" t="n"/>
      <c r="D294" s="51" t="n"/>
      <c r="E294" s="51" t="n"/>
      <c r="F294" s="51" t="n"/>
      <c r="H294" s="51" t="n"/>
      <c r="J294" s="51" t="n"/>
    </row>
    <row r="295">
      <c r="B295" s="51" t="n"/>
      <c r="C295" s="51" t="n"/>
      <c r="D295" s="51" t="n"/>
      <c r="E295" s="51" t="n"/>
      <c r="F295" s="51" t="n"/>
      <c r="H295" s="51" t="n"/>
      <c r="J295" s="51" t="n"/>
    </row>
    <row r="296">
      <c r="B296" s="51" t="n"/>
      <c r="C296" s="51" t="n"/>
      <c r="D296" s="51" t="n"/>
      <c r="E296" s="51" t="n"/>
      <c r="F296" s="51" t="n"/>
      <c r="H296" s="51" t="n"/>
      <c r="J296" s="51" t="n"/>
    </row>
    <row r="297">
      <c r="B297" s="51" t="n"/>
      <c r="C297" s="51" t="n"/>
      <c r="D297" s="51" t="n"/>
      <c r="E297" s="51" t="n"/>
      <c r="F297" s="51" t="n"/>
      <c r="H297" s="51" t="n"/>
      <c r="J297" s="51" t="n"/>
    </row>
    <row r="298">
      <c r="B298" s="51" t="n"/>
      <c r="C298" s="51" t="n"/>
      <c r="D298" s="51" t="n"/>
      <c r="E298" s="51" t="n"/>
      <c r="F298" s="51" t="n"/>
      <c r="H298" s="51" t="n"/>
      <c r="J298" s="51" t="n"/>
    </row>
    <row r="299">
      <c r="B299" s="51" t="n"/>
      <c r="C299" s="51" t="n"/>
      <c r="D299" s="51" t="n"/>
      <c r="E299" s="51" t="n"/>
      <c r="F299" s="51" t="n"/>
      <c r="H299" s="51" t="n"/>
      <c r="J299" s="51" t="n"/>
    </row>
    <row r="300">
      <c r="B300" s="51" t="n"/>
      <c r="C300" s="51" t="n"/>
      <c r="D300" s="51" t="n"/>
      <c r="E300" s="51" t="n"/>
      <c r="F300" s="51" t="n"/>
      <c r="H300" s="51" t="n"/>
      <c r="J300" s="51" t="n"/>
    </row>
    <row r="301">
      <c r="B301" s="51" t="n"/>
      <c r="C301" s="51" t="n"/>
      <c r="D301" s="51" t="n"/>
      <c r="E301" s="51" t="n"/>
      <c r="F301" s="51" t="n"/>
      <c r="H301" s="51" t="n"/>
      <c r="J301" s="51" t="n"/>
    </row>
    <row r="302">
      <c r="B302" s="51" t="n"/>
      <c r="C302" s="51" t="n"/>
      <c r="D302" s="51" t="n"/>
      <c r="E302" s="51" t="n"/>
      <c r="F302" s="51" t="n"/>
      <c r="H302" s="51" t="n"/>
      <c r="J302" s="51" t="n"/>
    </row>
    <row r="303">
      <c r="B303" s="51" t="n"/>
      <c r="C303" s="51" t="n"/>
      <c r="D303" s="51" t="n"/>
      <c r="E303" s="51" t="n"/>
      <c r="F303" s="51" t="n"/>
      <c r="H303" s="51" t="n"/>
      <c r="J303" s="51" t="n"/>
    </row>
    <row r="304">
      <c r="B304" s="51" t="n"/>
      <c r="C304" s="51" t="n"/>
      <c r="D304" s="51" t="n"/>
      <c r="E304" s="51" t="n"/>
      <c r="F304" s="51" t="n"/>
      <c r="H304" s="51" t="n"/>
      <c r="J304" s="51" t="n"/>
    </row>
    <row r="305">
      <c r="B305" s="51" t="n"/>
      <c r="C305" s="51" t="n"/>
      <c r="D305" s="51" t="n"/>
      <c r="E305" s="51" t="n"/>
      <c r="F305" s="51" t="n"/>
      <c r="H305" s="51" t="n"/>
      <c r="J305" s="51" t="n"/>
    </row>
    <row r="306">
      <c r="B306" s="51" t="n"/>
      <c r="C306" s="51" t="n"/>
      <c r="D306" s="51" t="n"/>
      <c r="E306" s="51" t="n"/>
      <c r="F306" s="51" t="n"/>
      <c r="H306" s="51" t="n"/>
      <c r="J306" s="51" t="n"/>
    </row>
    <row r="307">
      <c r="B307" s="51" t="n"/>
      <c r="C307" s="51" t="n"/>
      <c r="D307" s="51" t="n"/>
      <c r="E307" s="51" t="n"/>
      <c r="F307" s="51" t="n"/>
      <c r="H307" s="51" t="n"/>
      <c r="J307" s="51" t="n"/>
    </row>
    <row r="308">
      <c r="B308" s="51" t="n"/>
      <c r="C308" s="51" t="n"/>
      <c r="D308" s="51" t="n"/>
      <c r="E308" s="51" t="n"/>
      <c r="F308" s="51" t="n"/>
      <c r="H308" s="51" t="n"/>
      <c r="J308" s="51" t="n"/>
    </row>
    <row r="309">
      <c r="B309" s="51" t="n"/>
      <c r="C309" s="51" t="n"/>
      <c r="D309" s="51" t="n"/>
      <c r="E309" s="51" t="n"/>
      <c r="F309" s="51" t="n"/>
      <c r="H309" s="51" t="n"/>
      <c r="J309" s="51" t="n"/>
    </row>
    <row r="310">
      <c r="B310" s="51" t="n"/>
      <c r="C310" s="51" t="n"/>
      <c r="D310" s="51" t="n"/>
      <c r="E310" s="51" t="n"/>
      <c r="F310" s="51" t="n"/>
      <c r="H310" s="51" t="n"/>
      <c r="J310" s="51" t="n"/>
    </row>
    <row r="311">
      <c r="B311" s="51" t="n"/>
      <c r="C311" s="51" t="n"/>
      <c r="D311" s="51" t="n"/>
      <c r="E311" s="51" t="n"/>
      <c r="F311" s="51" t="n"/>
      <c r="H311" s="51" t="n"/>
      <c r="J311" s="51" t="n"/>
    </row>
    <row r="312">
      <c r="B312" s="51" t="n"/>
      <c r="C312" s="51" t="n"/>
      <c r="D312" s="51" t="n"/>
      <c r="E312" s="51" t="n"/>
      <c r="F312" s="51" t="n"/>
      <c r="H312" s="51" t="n"/>
      <c r="J312" s="51" t="n"/>
    </row>
    <row r="313">
      <c r="B313" s="51" t="n"/>
      <c r="C313" s="51" t="n"/>
      <c r="D313" s="51" t="n"/>
      <c r="E313" s="51" t="n"/>
      <c r="F313" s="51" t="n"/>
      <c r="H313" s="51" t="n"/>
      <c r="J313" s="51" t="n"/>
    </row>
    <row r="314">
      <c r="B314" s="51" t="n"/>
      <c r="C314" s="51" t="n"/>
      <c r="D314" s="51" t="n"/>
      <c r="E314" s="51" t="n"/>
      <c r="F314" s="51" t="n"/>
      <c r="H314" s="51" t="n"/>
      <c r="J314" s="51" t="n"/>
    </row>
    <row r="315">
      <c r="B315" s="51" t="n"/>
      <c r="C315" s="51" t="n"/>
      <c r="D315" s="51" t="n"/>
      <c r="E315" s="51" t="n"/>
      <c r="F315" s="51" t="n"/>
      <c r="H315" s="51" t="n"/>
      <c r="J315" s="51" t="n"/>
    </row>
    <row r="316">
      <c r="B316" s="51" t="n"/>
      <c r="C316" s="51" t="n"/>
      <c r="D316" s="51" t="n"/>
      <c r="E316" s="51" t="n"/>
      <c r="F316" s="51" t="n"/>
      <c r="H316" s="51" t="n"/>
      <c r="J316" s="51" t="n"/>
    </row>
    <row r="317">
      <c r="B317" s="51" t="n"/>
      <c r="C317" s="51" t="n"/>
      <c r="D317" s="51" t="n"/>
      <c r="E317" s="51" t="n"/>
      <c r="F317" s="51" t="n"/>
      <c r="H317" s="51" t="n"/>
      <c r="J317" s="51" t="n"/>
    </row>
    <row r="318">
      <c r="B318" s="51" t="n"/>
      <c r="C318" s="51" t="n"/>
      <c r="D318" s="51" t="n"/>
      <c r="E318" s="51" t="n"/>
      <c r="F318" s="51" t="n"/>
      <c r="H318" s="51" t="n"/>
      <c r="J318" s="51" t="n"/>
    </row>
    <row r="319">
      <c r="B319" s="51" t="n"/>
      <c r="C319" s="51" t="n"/>
      <c r="D319" s="51" t="n"/>
      <c r="E319" s="51" t="n"/>
      <c r="F319" s="51" t="n"/>
      <c r="H319" s="51" t="n"/>
      <c r="J319" s="51" t="n"/>
    </row>
    <row r="320">
      <c r="B320" s="51" t="n"/>
      <c r="C320" s="51" t="n"/>
      <c r="D320" s="51" t="n"/>
      <c r="E320" s="51" t="n"/>
      <c r="F320" s="51" t="n"/>
      <c r="H320" s="51" t="n"/>
      <c r="J320" s="51" t="n"/>
    </row>
    <row r="321">
      <c r="B321" s="51" t="n"/>
      <c r="C321" s="51" t="n"/>
      <c r="D321" s="51" t="n"/>
      <c r="E321" s="51" t="n"/>
      <c r="F321" s="51" t="n"/>
      <c r="H321" s="51" t="n"/>
      <c r="J321" s="51" t="n"/>
    </row>
    <row r="322">
      <c r="B322" s="51" t="n"/>
      <c r="C322" s="51" t="n"/>
      <c r="D322" s="51" t="n"/>
      <c r="E322" s="51" t="n"/>
      <c r="F322" s="51" t="n"/>
      <c r="H322" s="51" t="n"/>
      <c r="J322" s="51" t="n"/>
    </row>
    <row r="323">
      <c r="B323" s="51" t="n"/>
      <c r="C323" s="51" t="n"/>
      <c r="D323" s="51" t="n"/>
      <c r="E323" s="51" t="n"/>
      <c r="F323" s="51" t="n"/>
      <c r="H323" s="51" t="n"/>
      <c r="J323" s="51" t="n"/>
    </row>
    <row r="324">
      <c r="B324" s="51" t="n"/>
      <c r="C324" s="51" t="n"/>
      <c r="D324" s="51" t="n"/>
      <c r="E324" s="51" t="n"/>
      <c r="F324" s="51" t="n"/>
      <c r="H324" s="51" t="n"/>
      <c r="J324" s="51" t="n"/>
    </row>
    <row r="325">
      <c r="B325" s="51" t="n"/>
      <c r="C325" s="51" t="n"/>
      <c r="D325" s="51" t="n"/>
      <c r="E325" s="51" t="n"/>
      <c r="F325" s="51" t="n"/>
      <c r="H325" s="51" t="n"/>
      <c r="J325" s="51" t="n"/>
    </row>
    <row r="326">
      <c r="B326" s="51" t="n"/>
      <c r="C326" s="51" t="n"/>
      <c r="D326" s="51" t="n"/>
      <c r="E326" s="51" t="n"/>
      <c r="F326" s="51" t="n"/>
      <c r="H326" s="51" t="n"/>
      <c r="J326" s="51" t="n"/>
    </row>
    <row r="327">
      <c r="B327" s="51" t="n"/>
      <c r="C327" s="51" t="n"/>
      <c r="D327" s="51" t="n"/>
      <c r="E327" s="51" t="n"/>
      <c r="F327" s="51" t="n"/>
      <c r="H327" s="51" t="n"/>
      <c r="J327" s="51" t="n"/>
    </row>
    <row r="328">
      <c r="B328" s="51" t="n"/>
      <c r="C328" s="51" t="n"/>
      <c r="D328" s="51" t="n"/>
      <c r="E328" s="51" t="n"/>
      <c r="F328" s="51" t="n"/>
      <c r="H328" s="51" t="n"/>
      <c r="J328" s="51" t="n"/>
    </row>
    <row r="329">
      <c r="B329" s="51" t="n"/>
      <c r="C329" s="51" t="n"/>
      <c r="D329" s="51" t="n"/>
      <c r="E329" s="51" t="n"/>
      <c r="F329" s="51" t="n"/>
      <c r="H329" s="51" t="n"/>
      <c r="J329" s="51" t="n"/>
    </row>
    <row r="330">
      <c r="B330" s="51" t="n"/>
      <c r="C330" s="51" t="n"/>
      <c r="D330" s="51" t="n"/>
      <c r="E330" s="51" t="n"/>
      <c r="F330" s="51" t="n"/>
      <c r="H330" s="51" t="n"/>
      <c r="J330" s="51" t="n"/>
    </row>
    <row r="331">
      <c r="B331" s="51" t="n"/>
      <c r="C331" s="51" t="n"/>
      <c r="D331" s="51" t="n"/>
      <c r="E331" s="51" t="n"/>
      <c r="F331" s="51" t="n"/>
      <c r="H331" s="51" t="n"/>
      <c r="J331" s="51" t="n"/>
    </row>
    <row r="332">
      <c r="B332" s="51" t="n"/>
      <c r="C332" s="51" t="n"/>
      <c r="D332" s="51" t="n"/>
      <c r="E332" s="51" t="n"/>
      <c r="F332" s="51" t="n"/>
      <c r="H332" s="51" t="n"/>
      <c r="J332" s="51" t="n"/>
    </row>
    <row r="333">
      <c r="B333" s="51" t="n"/>
      <c r="C333" s="51" t="n"/>
      <c r="D333" s="51" t="n"/>
      <c r="E333" s="51" t="n"/>
      <c r="F333" s="51" t="n"/>
      <c r="H333" s="51" t="n"/>
      <c r="J333" s="51" t="n"/>
    </row>
    <row r="334">
      <c r="B334" s="51" t="n"/>
      <c r="C334" s="51" t="n"/>
      <c r="D334" s="51" t="n"/>
      <c r="E334" s="51" t="n"/>
      <c r="F334" s="51" t="n"/>
      <c r="H334" s="51" t="n"/>
      <c r="J334" s="51" t="n"/>
    </row>
    <row r="335">
      <c r="B335" s="51" t="n"/>
      <c r="C335" s="51" t="n"/>
      <c r="D335" s="51" t="n"/>
      <c r="E335" s="51" t="n"/>
      <c r="F335" s="51" t="n"/>
      <c r="H335" s="51" t="n"/>
      <c r="J335" s="51" t="n"/>
    </row>
    <row r="336">
      <c r="B336" s="51" t="n"/>
      <c r="C336" s="51" t="n"/>
      <c r="D336" s="51" t="n"/>
      <c r="E336" s="51" t="n"/>
      <c r="F336" s="51" t="n"/>
      <c r="H336" s="51" t="n"/>
      <c r="J336" s="51" t="n"/>
    </row>
    <row r="337">
      <c r="B337" s="51" t="n"/>
      <c r="C337" s="51" t="n"/>
      <c r="D337" s="51" t="n"/>
      <c r="E337" s="51" t="n"/>
      <c r="F337" s="51" t="n"/>
      <c r="H337" s="51" t="n"/>
      <c r="J337" s="51" t="n"/>
    </row>
    <row r="338">
      <c r="B338" s="51" t="n"/>
      <c r="C338" s="51" t="n"/>
      <c r="D338" s="51" t="n"/>
      <c r="E338" s="51" t="n"/>
      <c r="F338" s="51" t="n"/>
      <c r="H338" s="51" t="n"/>
      <c r="J338" s="51" t="n"/>
    </row>
    <row r="339">
      <c r="B339" s="51" t="n"/>
      <c r="C339" s="51" t="n"/>
      <c r="D339" s="51" t="n"/>
      <c r="E339" s="51" t="n"/>
      <c r="F339" s="51" t="n"/>
      <c r="H339" s="51" t="n"/>
      <c r="J339" s="51" t="n"/>
    </row>
    <row r="340">
      <c r="B340" s="51" t="n"/>
      <c r="C340" s="51" t="n"/>
      <c r="D340" s="51" t="n"/>
      <c r="E340" s="51" t="n"/>
      <c r="F340" s="51" t="n"/>
      <c r="H340" s="51" t="n"/>
      <c r="J340" s="51" t="n"/>
    </row>
    <row r="341">
      <c r="B341" s="51" t="n"/>
      <c r="C341" s="51" t="n"/>
      <c r="D341" s="51" t="n"/>
      <c r="E341" s="51" t="n"/>
      <c r="F341" s="51" t="n"/>
      <c r="H341" s="51" t="n"/>
      <c r="J341" s="51" t="n"/>
    </row>
    <row r="342">
      <c r="B342" s="51" t="n"/>
      <c r="C342" s="51" t="n"/>
      <c r="D342" s="51" t="n"/>
      <c r="E342" s="51" t="n"/>
      <c r="F342" s="51" t="n"/>
      <c r="H342" s="51" t="n"/>
      <c r="J342" s="51" t="n"/>
    </row>
    <row r="343">
      <c r="B343" s="51" t="n"/>
      <c r="C343" s="51" t="n"/>
      <c r="D343" s="51" t="n"/>
      <c r="E343" s="51" t="n"/>
      <c r="F343" s="51" t="n"/>
      <c r="H343" s="51" t="n"/>
      <c r="J343" s="51" t="n"/>
    </row>
    <row r="344">
      <c r="B344" s="51" t="n"/>
      <c r="C344" s="51" t="n"/>
      <c r="D344" s="51" t="n"/>
      <c r="E344" s="51" t="n"/>
      <c r="F344" s="51" t="n"/>
      <c r="H344" s="51" t="n"/>
      <c r="J344" s="51" t="n"/>
    </row>
    <row r="345">
      <c r="B345" s="51" t="n"/>
      <c r="C345" s="51" t="n"/>
      <c r="D345" s="51" t="n"/>
      <c r="E345" s="51" t="n"/>
      <c r="F345" s="51" t="n"/>
      <c r="H345" s="51" t="n"/>
      <c r="J345" s="51" t="n"/>
    </row>
    <row r="346">
      <c r="B346" s="51" t="n"/>
      <c r="C346" s="51" t="n"/>
      <c r="D346" s="51" t="n"/>
      <c r="E346" s="51" t="n"/>
      <c r="F346" s="51" t="n"/>
      <c r="H346" s="51" t="n"/>
      <c r="J346" s="51" t="n"/>
    </row>
    <row r="347">
      <c r="B347" s="51" t="n"/>
      <c r="C347" s="51" t="n"/>
      <c r="D347" s="51" t="n"/>
      <c r="E347" s="51" t="n"/>
      <c r="F347" s="51" t="n"/>
      <c r="H347" s="51" t="n"/>
      <c r="J347" s="51" t="n"/>
    </row>
    <row r="348">
      <c r="B348" s="51" t="n"/>
      <c r="C348" s="51" t="n"/>
      <c r="D348" s="51" t="n"/>
      <c r="E348" s="51" t="n"/>
      <c r="F348" s="51" t="n"/>
      <c r="H348" s="51" t="n"/>
      <c r="J348" s="51" t="n"/>
    </row>
    <row r="349">
      <c r="B349" s="51" t="n"/>
      <c r="C349" s="51" t="n"/>
      <c r="D349" s="51" t="n"/>
      <c r="E349" s="51" t="n"/>
      <c r="F349" s="51" t="n"/>
      <c r="H349" s="51" t="n"/>
      <c r="J349" s="51" t="n"/>
    </row>
    <row r="350">
      <c r="B350" s="51" t="n"/>
      <c r="C350" s="51" t="n"/>
      <c r="D350" s="51" t="n"/>
      <c r="E350" s="51" t="n"/>
      <c r="F350" s="51" t="n"/>
      <c r="H350" s="51" t="n"/>
      <c r="J350" s="51" t="n"/>
    </row>
    <row r="351">
      <c r="B351" s="51" t="n"/>
      <c r="C351" s="51" t="n"/>
      <c r="D351" s="51" t="n"/>
      <c r="E351" s="51" t="n"/>
      <c r="F351" s="51" t="n"/>
      <c r="H351" s="51" t="n"/>
      <c r="J351" s="51" t="n"/>
    </row>
    <row r="352">
      <c r="B352" s="51" t="n"/>
      <c r="C352" s="51" t="n"/>
      <c r="D352" s="51" t="n"/>
      <c r="E352" s="51" t="n"/>
      <c r="F352" s="51" t="n"/>
      <c r="H352" s="51" t="n"/>
      <c r="J352" s="51" t="n"/>
    </row>
    <row r="353">
      <c r="B353" s="51" t="n"/>
      <c r="C353" s="51" t="n"/>
      <c r="D353" s="51" t="n"/>
      <c r="E353" s="51" t="n"/>
      <c r="F353" s="51" t="n"/>
      <c r="H353" s="51" t="n"/>
      <c r="J353" s="51" t="n"/>
    </row>
    <row r="354">
      <c r="B354" s="51" t="n"/>
      <c r="C354" s="51" t="n"/>
      <c r="D354" s="51" t="n"/>
      <c r="E354" s="51" t="n"/>
      <c r="F354" s="51" t="n"/>
      <c r="H354" s="51" t="n"/>
      <c r="J354" s="51" t="n"/>
    </row>
    <row r="355">
      <c r="B355" s="51" t="n"/>
      <c r="C355" s="51" t="n"/>
      <c r="D355" s="51" t="n"/>
      <c r="E355" s="51" t="n"/>
      <c r="F355" s="51" t="n"/>
      <c r="H355" s="51" t="n"/>
      <c r="J355" s="51" t="n"/>
    </row>
    <row r="356">
      <c r="B356" s="51" t="n"/>
      <c r="C356" s="51" t="n"/>
      <c r="D356" s="51" t="n"/>
      <c r="E356" s="51" t="n"/>
      <c r="F356" s="51" t="n"/>
      <c r="H356" s="51" t="n"/>
      <c r="J356" s="51" t="n"/>
    </row>
    <row r="357">
      <c r="B357" s="51" t="n"/>
      <c r="C357" s="51" t="n"/>
      <c r="D357" s="51" t="n"/>
      <c r="E357" s="51" t="n"/>
      <c r="F357" s="51" t="n"/>
      <c r="H357" s="51" t="n"/>
      <c r="J357" s="51" t="n"/>
    </row>
    <row r="358">
      <c r="B358" s="51" t="n"/>
      <c r="C358" s="51" t="n"/>
      <c r="D358" s="51" t="n"/>
      <c r="E358" s="51" t="n"/>
      <c r="F358" s="51" t="n"/>
      <c r="H358" s="51" t="n"/>
      <c r="J358" s="51" t="n"/>
    </row>
    <row r="359">
      <c r="B359" s="51" t="n"/>
      <c r="C359" s="51" t="n"/>
      <c r="D359" s="51" t="n"/>
      <c r="E359" s="51" t="n"/>
      <c r="F359" s="51" t="n"/>
      <c r="H359" s="51" t="n"/>
      <c r="J359" s="51" t="n"/>
    </row>
    <row r="360">
      <c r="B360" s="51" t="n"/>
      <c r="C360" s="51" t="n"/>
      <c r="D360" s="51" t="n"/>
      <c r="E360" s="51" t="n"/>
      <c r="F360" s="51" t="n"/>
      <c r="H360" s="51" t="n"/>
      <c r="J360" s="51" t="n"/>
    </row>
    <row r="361">
      <c r="B361" s="51" t="n"/>
      <c r="C361" s="51" t="n"/>
      <c r="D361" s="51" t="n"/>
      <c r="E361" s="51" t="n"/>
      <c r="F361" s="51" t="n"/>
      <c r="H361" s="51" t="n"/>
      <c r="J361" s="51" t="n"/>
    </row>
    <row r="362">
      <c r="B362" s="51" t="n"/>
      <c r="C362" s="51" t="n"/>
      <c r="D362" s="51" t="n"/>
      <c r="E362" s="51" t="n"/>
      <c r="F362" s="51" t="n"/>
      <c r="H362" s="51" t="n"/>
      <c r="J362" s="51" t="n"/>
    </row>
    <row r="363">
      <c r="B363" s="51" t="n"/>
      <c r="C363" s="51" t="n"/>
      <c r="D363" s="51" t="n"/>
      <c r="E363" s="51" t="n"/>
      <c r="F363" s="51" t="n"/>
      <c r="H363" s="51" t="n"/>
      <c r="J363" s="51" t="n"/>
    </row>
    <row r="364">
      <c r="B364" s="51" t="n"/>
      <c r="C364" s="51" t="n"/>
      <c r="D364" s="51" t="n"/>
      <c r="E364" s="51" t="n"/>
      <c r="F364" s="51" t="n"/>
      <c r="H364" s="51" t="n"/>
      <c r="J364" s="51" t="n"/>
    </row>
    <row r="365">
      <c r="B365" s="51" t="n"/>
      <c r="C365" s="51" t="n"/>
      <c r="D365" s="51" t="n"/>
      <c r="E365" s="51" t="n"/>
      <c r="F365" s="51" t="n"/>
      <c r="H365" s="51" t="n"/>
      <c r="J365" s="51" t="n"/>
    </row>
    <row r="366">
      <c r="B366" s="51" t="n"/>
      <c r="C366" s="51" t="n"/>
      <c r="D366" s="51" t="n"/>
      <c r="E366" s="51" t="n"/>
      <c r="F366" s="51" t="n"/>
      <c r="H366" s="51" t="n"/>
      <c r="J366" s="51" t="n"/>
    </row>
    <row r="367">
      <c r="B367" s="51" t="n"/>
      <c r="C367" s="51" t="n"/>
      <c r="D367" s="51" t="n"/>
      <c r="E367" s="51" t="n"/>
      <c r="F367" s="51" t="n"/>
      <c r="H367" s="51" t="n"/>
      <c r="J367" s="51" t="n"/>
    </row>
    <row r="368">
      <c r="B368" s="51" t="n"/>
      <c r="C368" s="51" t="n"/>
      <c r="D368" s="51" t="n"/>
      <c r="E368" s="51" t="n"/>
      <c r="F368" s="51" t="n"/>
      <c r="H368" s="51" t="n"/>
      <c r="J368" s="51" t="n"/>
    </row>
    <row r="369">
      <c r="B369" s="51" t="n"/>
      <c r="C369" s="51" t="n"/>
      <c r="D369" s="51" t="n"/>
      <c r="E369" s="51" t="n"/>
      <c r="F369" s="51" t="n"/>
      <c r="H369" s="51" t="n"/>
      <c r="J369" s="51" t="n"/>
    </row>
    <row r="370">
      <c r="B370" s="51" t="n"/>
      <c r="C370" s="51" t="n"/>
      <c r="D370" s="51" t="n"/>
      <c r="E370" s="51" t="n"/>
      <c r="F370" s="51" t="n"/>
      <c r="H370" s="51" t="n"/>
      <c r="J370" s="51" t="n"/>
    </row>
    <row r="371">
      <c r="B371" s="51" t="n"/>
      <c r="C371" s="51" t="n"/>
      <c r="D371" s="51" t="n"/>
      <c r="E371" s="51" t="n"/>
      <c r="F371" s="51" t="n"/>
      <c r="H371" s="51" t="n"/>
      <c r="J371" s="51" t="n"/>
    </row>
    <row r="372">
      <c r="B372" s="51" t="n"/>
      <c r="C372" s="51" t="n"/>
      <c r="D372" s="51" t="n"/>
      <c r="E372" s="51" t="n"/>
      <c r="F372" s="51" t="n"/>
      <c r="H372" s="51" t="n"/>
      <c r="J372" s="51" t="n"/>
    </row>
    <row r="373">
      <c r="B373" s="51" t="n"/>
      <c r="C373" s="51" t="n"/>
      <c r="D373" s="51" t="n"/>
      <c r="E373" s="51" t="n"/>
      <c r="F373" s="51" t="n"/>
      <c r="H373" s="51" t="n"/>
      <c r="J373" s="51" t="n"/>
    </row>
    <row r="374">
      <c r="B374" s="51" t="n"/>
      <c r="C374" s="51" t="n"/>
      <c r="D374" s="51" t="n"/>
      <c r="E374" s="51" t="n"/>
      <c r="F374" s="51" t="n"/>
      <c r="H374" s="51" t="n"/>
      <c r="J374" s="51" t="n"/>
    </row>
    <row r="375">
      <c r="B375" s="51" t="n"/>
      <c r="C375" s="51" t="n"/>
      <c r="D375" s="51" t="n"/>
      <c r="E375" s="51" t="n"/>
      <c r="F375" s="51" t="n"/>
      <c r="H375" s="51" t="n"/>
      <c r="J375" s="51" t="n"/>
    </row>
    <row r="376">
      <c r="B376" s="51" t="n"/>
      <c r="C376" s="51" t="n"/>
      <c r="D376" s="51" t="n"/>
      <c r="E376" s="51" t="n"/>
      <c r="F376" s="51" t="n"/>
      <c r="H376" s="51" t="n"/>
      <c r="J376" s="51" t="n"/>
    </row>
    <row r="377">
      <c r="B377" s="51" t="n"/>
      <c r="C377" s="51" t="n"/>
      <c r="D377" s="51" t="n"/>
      <c r="E377" s="51" t="n"/>
      <c r="F377" s="51" t="n"/>
      <c r="H377" s="51" t="n"/>
      <c r="J377" s="51" t="n"/>
    </row>
    <row r="378">
      <c r="B378" s="51" t="n"/>
      <c r="C378" s="51" t="n"/>
      <c r="D378" s="51" t="n"/>
      <c r="E378" s="51" t="n"/>
      <c r="F378" s="51" t="n"/>
      <c r="H378" s="51" t="n"/>
      <c r="J378" s="51" t="n"/>
    </row>
    <row r="379">
      <c r="B379" s="51" t="n"/>
      <c r="C379" s="51" t="n"/>
      <c r="D379" s="51" t="n"/>
      <c r="E379" s="51" t="n"/>
      <c r="F379" s="51" t="n"/>
      <c r="H379" s="51" t="n"/>
      <c r="J379" s="51" t="n"/>
    </row>
    <row r="380">
      <c r="B380" s="51" t="n"/>
      <c r="C380" s="51" t="n"/>
      <c r="D380" s="51" t="n"/>
      <c r="E380" s="51" t="n"/>
      <c r="F380" s="51" t="n"/>
      <c r="H380" s="51" t="n"/>
      <c r="J380" s="51" t="n"/>
    </row>
    <row r="381">
      <c r="B381" s="51" t="n"/>
      <c r="C381" s="51" t="n"/>
      <c r="D381" s="51" t="n"/>
      <c r="E381" s="51" t="n"/>
      <c r="F381" s="51" t="n"/>
      <c r="H381" s="51" t="n"/>
      <c r="J381" s="51" t="n"/>
    </row>
    <row r="382">
      <c r="B382" s="51" t="n"/>
      <c r="C382" s="51" t="n"/>
      <c r="D382" s="51" t="n"/>
      <c r="E382" s="51" t="n"/>
      <c r="F382" s="51" t="n"/>
      <c r="H382" s="51" t="n"/>
      <c r="J382" s="51" t="n"/>
    </row>
    <row r="383">
      <c r="B383" s="51" t="n"/>
      <c r="C383" s="51" t="n"/>
      <c r="D383" s="51" t="n"/>
      <c r="E383" s="51" t="n"/>
      <c r="F383" s="51" t="n"/>
      <c r="H383" s="51" t="n"/>
      <c r="J383" s="51" t="n"/>
    </row>
    <row r="384">
      <c r="B384" s="51" t="n"/>
      <c r="C384" s="51" t="n"/>
      <c r="D384" s="51" t="n"/>
      <c r="E384" s="51" t="n"/>
      <c r="F384" s="51" t="n"/>
      <c r="H384" s="51" t="n"/>
      <c r="J384" s="51" t="n"/>
    </row>
    <row r="385">
      <c r="B385" s="51" t="n"/>
      <c r="C385" s="51" t="n"/>
      <c r="D385" s="51" t="n"/>
      <c r="E385" s="51" t="n"/>
      <c r="F385" s="51" t="n"/>
      <c r="H385" s="51" t="n"/>
      <c r="J385" s="51" t="n"/>
    </row>
    <row r="386">
      <c r="B386" s="51" t="n"/>
      <c r="C386" s="51" t="n"/>
      <c r="D386" s="51" t="n"/>
      <c r="E386" s="51" t="n"/>
      <c r="F386" s="51" t="n"/>
      <c r="H386" s="51" t="n"/>
      <c r="J386" s="51" t="n"/>
    </row>
    <row r="387">
      <c r="B387" s="51" t="n"/>
      <c r="C387" s="51" t="n"/>
      <c r="D387" s="51" t="n"/>
      <c r="E387" s="51" t="n"/>
      <c r="F387" s="51" t="n"/>
      <c r="H387" s="51" t="n"/>
      <c r="J387" s="51" t="n"/>
    </row>
    <row r="388">
      <c r="B388" s="51" t="n"/>
      <c r="C388" s="51" t="n"/>
      <c r="D388" s="51" t="n"/>
      <c r="E388" s="51" t="n"/>
      <c r="F388" s="51" t="n"/>
      <c r="H388" s="51" t="n"/>
      <c r="J388" s="51" t="n"/>
    </row>
    <row r="389">
      <c r="B389" s="51" t="n"/>
      <c r="C389" s="51" t="n"/>
      <c r="D389" s="51" t="n"/>
      <c r="E389" s="51" t="n"/>
      <c r="F389" s="51" t="n"/>
      <c r="H389" s="51" t="n"/>
      <c r="J389" s="51" t="n"/>
    </row>
    <row r="390">
      <c r="B390" s="51" t="n"/>
      <c r="C390" s="51" t="n"/>
      <c r="D390" s="51" t="n"/>
      <c r="E390" s="51" t="n"/>
      <c r="F390" s="51" t="n"/>
      <c r="H390" s="51" t="n"/>
      <c r="J390" s="51" t="n"/>
    </row>
    <row r="391">
      <c r="B391" s="51" t="n"/>
      <c r="C391" s="51" t="n"/>
      <c r="D391" s="51" t="n"/>
      <c r="E391" s="51" t="n"/>
      <c r="F391" s="51" t="n"/>
      <c r="H391" s="51" t="n"/>
      <c r="J391" s="51" t="n"/>
    </row>
    <row r="392">
      <c r="B392" s="51" t="n"/>
      <c r="C392" s="51" t="n"/>
      <c r="D392" s="51" t="n"/>
      <c r="E392" s="51" t="n"/>
      <c r="F392" s="51" t="n"/>
      <c r="H392" s="51" t="n"/>
      <c r="J392" s="51" t="n"/>
    </row>
    <row r="393">
      <c r="B393" s="51" t="n"/>
      <c r="C393" s="51" t="n"/>
      <c r="D393" s="51" t="n"/>
      <c r="E393" s="51" t="n"/>
      <c r="F393" s="51" t="n"/>
      <c r="H393" s="51" t="n"/>
      <c r="J393" s="51" t="n"/>
    </row>
    <row r="394">
      <c r="B394" s="51" t="n"/>
      <c r="C394" s="51" t="n"/>
      <c r="D394" s="51" t="n"/>
      <c r="E394" s="51" t="n"/>
      <c r="F394" s="51" t="n"/>
      <c r="H394" s="51" t="n"/>
      <c r="J394" s="51" t="n"/>
    </row>
    <row r="395">
      <c r="B395" s="51" t="n"/>
      <c r="C395" s="51" t="n"/>
      <c r="D395" s="51" t="n"/>
      <c r="E395" s="51" t="n"/>
      <c r="F395" s="51" t="n"/>
      <c r="H395" s="51" t="n"/>
      <c r="J395" s="51" t="n"/>
    </row>
    <row r="396">
      <c r="B396" s="51" t="n"/>
      <c r="C396" s="51" t="n"/>
      <c r="D396" s="51" t="n"/>
      <c r="E396" s="51" t="n"/>
      <c r="F396" s="51" t="n"/>
      <c r="H396" s="51" t="n"/>
      <c r="J396" s="51" t="n"/>
    </row>
    <row r="397">
      <c r="B397" s="51" t="n"/>
      <c r="C397" s="51" t="n"/>
      <c r="D397" s="51" t="n"/>
      <c r="E397" s="51" t="n"/>
      <c r="F397" s="51" t="n"/>
      <c r="H397" s="51" t="n"/>
      <c r="J397" s="51" t="n"/>
    </row>
    <row r="398">
      <c r="B398" s="51" t="n"/>
      <c r="C398" s="51" t="n"/>
      <c r="D398" s="51" t="n"/>
      <c r="E398" s="51" t="n"/>
      <c r="F398" s="51" t="n"/>
      <c r="H398" s="51" t="n"/>
      <c r="J398" s="51" t="n"/>
    </row>
    <row r="399">
      <c r="B399" s="51" t="n"/>
      <c r="C399" s="51" t="n"/>
      <c r="D399" s="51" t="n"/>
      <c r="E399" s="51" t="n"/>
      <c r="F399" s="51" t="n"/>
      <c r="H399" s="51" t="n"/>
      <c r="J399" s="51" t="n"/>
    </row>
    <row r="400">
      <c r="B400" s="51" t="n"/>
      <c r="C400" s="51" t="n"/>
      <c r="D400" s="51" t="n"/>
      <c r="E400" s="51" t="n"/>
      <c r="F400" s="51" t="n"/>
      <c r="H400" s="51" t="n"/>
      <c r="J400" s="51" t="n"/>
    </row>
    <row r="401">
      <c r="B401" s="51" t="n"/>
      <c r="C401" s="51" t="n"/>
      <c r="D401" s="51" t="n"/>
      <c r="E401" s="51" t="n"/>
      <c r="F401" s="51" t="n"/>
      <c r="H401" s="51" t="n"/>
      <c r="J401" s="51" t="n"/>
    </row>
    <row r="402">
      <c r="B402" s="51" t="n"/>
      <c r="C402" s="51" t="n"/>
      <c r="D402" s="51" t="n"/>
      <c r="E402" s="51" t="n"/>
      <c r="F402" s="51" t="n"/>
      <c r="H402" s="51" t="n"/>
      <c r="J402" s="51" t="n"/>
    </row>
    <row r="403">
      <c r="B403" s="51" t="n"/>
      <c r="C403" s="51" t="n"/>
      <c r="D403" s="51" t="n"/>
      <c r="E403" s="51" t="n"/>
      <c r="F403" s="51" t="n"/>
      <c r="H403" s="51" t="n"/>
      <c r="J403" s="51" t="n"/>
    </row>
    <row r="404">
      <c r="B404" s="51" t="n"/>
      <c r="C404" s="51" t="n"/>
      <c r="D404" s="51" t="n"/>
      <c r="E404" s="51" t="n"/>
      <c r="F404" s="51" t="n"/>
      <c r="H404" s="51" t="n"/>
      <c r="J404" s="51" t="n"/>
    </row>
    <row r="405">
      <c r="B405" s="51" t="n"/>
      <c r="C405" s="51" t="n"/>
      <c r="D405" s="51" t="n"/>
      <c r="E405" s="51" t="n"/>
      <c r="F405" s="51" t="n"/>
      <c r="H405" s="51" t="n"/>
      <c r="J405" s="51" t="n"/>
    </row>
    <row r="406">
      <c r="B406" s="51" t="n"/>
      <c r="C406" s="51" t="n"/>
      <c r="D406" s="51" t="n"/>
      <c r="E406" s="51" t="n"/>
      <c r="F406" s="51" t="n"/>
      <c r="H406" s="51" t="n"/>
      <c r="J406" s="51" t="n"/>
    </row>
    <row r="407">
      <c r="B407" s="51" t="n"/>
      <c r="C407" s="51" t="n"/>
      <c r="D407" s="51" t="n"/>
      <c r="E407" s="51" t="n"/>
      <c r="F407" s="51" t="n"/>
      <c r="H407" s="51" t="n"/>
      <c r="J407" s="51" t="n"/>
    </row>
    <row r="408">
      <c r="B408" s="51" t="n"/>
      <c r="C408" s="51" t="n"/>
      <c r="D408" s="51" t="n"/>
      <c r="E408" s="51" t="n"/>
      <c r="F408" s="51" t="n"/>
      <c r="H408" s="51" t="n"/>
      <c r="J408" s="51" t="n"/>
    </row>
    <row r="409">
      <c r="B409" s="51" t="n"/>
      <c r="C409" s="51" t="n"/>
      <c r="D409" s="51" t="n"/>
      <c r="E409" s="51" t="n"/>
      <c r="F409" s="51" t="n"/>
      <c r="H409" s="51" t="n"/>
      <c r="J409" s="51" t="n"/>
    </row>
    <row r="410">
      <c r="B410" s="51" t="n"/>
      <c r="C410" s="51" t="n"/>
      <c r="D410" s="51" t="n"/>
      <c r="E410" s="51" t="n"/>
      <c r="F410" s="51" t="n"/>
      <c r="H410" s="51" t="n"/>
      <c r="J410" s="51" t="n"/>
    </row>
    <row r="411">
      <c r="B411" s="51" t="n"/>
      <c r="C411" s="51" t="n"/>
      <c r="D411" s="51" t="n"/>
      <c r="E411" s="51" t="n"/>
      <c r="F411" s="51" t="n"/>
      <c r="H411" s="51" t="n"/>
      <c r="J411" s="51" t="n"/>
    </row>
    <row r="412">
      <c r="B412" s="51" t="n"/>
      <c r="C412" s="51" t="n"/>
      <c r="D412" s="51" t="n"/>
      <c r="E412" s="51" t="n"/>
      <c r="F412" s="51" t="n"/>
      <c r="H412" s="51" t="n"/>
      <c r="J412" s="51" t="n"/>
    </row>
    <row r="413">
      <c r="B413" s="51" t="n"/>
      <c r="C413" s="51" t="n"/>
      <c r="D413" s="51" t="n"/>
      <c r="E413" s="51" t="n"/>
      <c r="F413" s="51" t="n"/>
      <c r="H413" s="51" t="n"/>
      <c r="J413" s="51" t="n"/>
    </row>
    <row r="414">
      <c r="B414" s="51" t="n"/>
      <c r="C414" s="51" t="n"/>
      <c r="D414" s="51" t="n"/>
      <c r="E414" s="51" t="n"/>
      <c r="F414" s="51" t="n"/>
      <c r="H414" s="51" t="n"/>
      <c r="J414" s="51" t="n"/>
    </row>
    <row r="415">
      <c r="B415" s="51" t="n"/>
      <c r="C415" s="51" t="n"/>
      <c r="D415" s="51" t="n"/>
      <c r="E415" s="51" t="n"/>
      <c r="F415" s="51" t="n"/>
      <c r="H415" s="51" t="n"/>
      <c r="J415" s="51" t="n"/>
    </row>
    <row r="416">
      <c r="B416" s="51" t="n"/>
      <c r="C416" s="51" t="n"/>
      <c r="D416" s="51" t="n"/>
      <c r="E416" s="51" t="n"/>
      <c r="F416" s="51" t="n"/>
      <c r="H416" s="51" t="n"/>
      <c r="J416" s="51" t="n"/>
    </row>
    <row r="417">
      <c r="B417" s="51" t="n"/>
      <c r="C417" s="51" t="n"/>
      <c r="D417" s="51" t="n"/>
      <c r="E417" s="51" t="n"/>
      <c r="F417" s="51" t="n"/>
      <c r="H417" s="51" t="n"/>
      <c r="J417" s="51" t="n"/>
    </row>
    <row r="418">
      <c r="B418" s="51" t="n"/>
      <c r="C418" s="51" t="n"/>
      <c r="D418" s="51" t="n"/>
      <c r="E418" s="51" t="n"/>
      <c r="F418" s="51" t="n"/>
      <c r="H418" s="51" t="n"/>
      <c r="J418" s="51" t="n"/>
    </row>
    <row r="419">
      <c r="B419" s="51" t="n"/>
      <c r="C419" s="51" t="n"/>
      <c r="D419" s="51" t="n"/>
      <c r="E419" s="51" t="n"/>
      <c r="F419" s="51" t="n"/>
      <c r="H419" s="51" t="n"/>
      <c r="J419" s="51" t="n"/>
    </row>
    <row r="420">
      <c r="B420" s="51" t="n"/>
      <c r="C420" s="51" t="n"/>
      <c r="D420" s="51" t="n"/>
      <c r="E420" s="51" t="n"/>
      <c r="F420" s="51" t="n"/>
      <c r="H420" s="51" t="n"/>
      <c r="J420" s="51" t="n"/>
    </row>
    <row r="421">
      <c r="B421" s="51" t="n"/>
      <c r="C421" s="51" t="n"/>
      <c r="D421" s="51" t="n"/>
      <c r="E421" s="51" t="n"/>
      <c r="F421" s="51" t="n"/>
      <c r="H421" s="51" t="n"/>
      <c r="J421" s="51" t="n"/>
    </row>
    <row r="422">
      <c r="B422" s="51" t="n"/>
      <c r="C422" s="51" t="n"/>
      <c r="D422" s="51" t="n"/>
      <c r="E422" s="51" t="n"/>
      <c r="F422" s="51" t="n"/>
      <c r="H422" s="51" t="n"/>
      <c r="J422" s="51" t="n"/>
    </row>
    <row r="423">
      <c r="B423" s="51" t="n"/>
      <c r="C423" s="51" t="n"/>
      <c r="D423" s="51" t="n"/>
      <c r="E423" s="51" t="n"/>
      <c r="F423" s="51" t="n"/>
      <c r="H423" s="51" t="n"/>
      <c r="J423" s="51" t="n"/>
    </row>
    <row r="424">
      <c r="B424" s="51" t="n"/>
      <c r="C424" s="51" t="n"/>
      <c r="D424" s="51" t="n"/>
      <c r="E424" s="51" t="n"/>
      <c r="F424" s="51" t="n"/>
      <c r="H424" s="51" t="n"/>
      <c r="J424" s="51" t="n"/>
    </row>
    <row r="425">
      <c r="B425" s="51" t="n"/>
      <c r="C425" s="51" t="n"/>
      <c r="D425" s="51" t="n"/>
      <c r="E425" s="51" t="n"/>
      <c r="F425" s="51" t="n"/>
      <c r="H425" s="51" t="n"/>
      <c r="J425" s="51" t="n"/>
    </row>
    <row r="426">
      <c r="B426" s="51" t="n"/>
      <c r="C426" s="51" t="n"/>
      <c r="D426" s="51" t="n"/>
      <c r="E426" s="51" t="n"/>
      <c r="F426" s="51" t="n"/>
      <c r="H426" s="51" t="n"/>
      <c r="J426" s="51" t="n"/>
    </row>
    <row r="427">
      <c r="B427" s="51" t="n"/>
      <c r="C427" s="51" t="n"/>
      <c r="D427" s="51" t="n"/>
      <c r="E427" s="51" t="n"/>
      <c r="F427" s="51" t="n"/>
      <c r="H427" s="51" t="n"/>
      <c r="J427" s="51" t="n"/>
    </row>
    <row r="428">
      <c r="B428" s="51" t="n"/>
      <c r="C428" s="51" t="n"/>
      <c r="D428" s="51" t="n"/>
      <c r="E428" s="51" t="n"/>
      <c r="F428" s="51" t="n"/>
      <c r="H428" s="51" t="n"/>
      <c r="J428" s="51" t="n"/>
    </row>
    <row r="429">
      <c r="B429" s="51" t="n"/>
      <c r="C429" s="51" t="n"/>
      <c r="D429" s="51" t="n"/>
      <c r="E429" s="51" t="n"/>
      <c r="F429" s="51" t="n"/>
      <c r="H429" s="51" t="n"/>
      <c r="J429" s="51" t="n"/>
    </row>
    <row r="430">
      <c r="B430" s="51" t="n"/>
      <c r="C430" s="51" t="n"/>
      <c r="D430" s="51" t="n"/>
      <c r="E430" s="51" t="n"/>
      <c r="F430" s="51" t="n"/>
      <c r="H430" s="51" t="n"/>
      <c r="J430" s="51" t="n"/>
    </row>
    <row r="431">
      <c r="B431" s="51" t="n"/>
      <c r="C431" s="51" t="n"/>
      <c r="D431" s="51" t="n"/>
      <c r="E431" s="51" t="n"/>
      <c r="F431" s="51" t="n"/>
      <c r="H431" s="51" t="n"/>
      <c r="J431" s="51" t="n"/>
    </row>
    <row r="432">
      <c r="B432" s="51" t="n"/>
      <c r="C432" s="51" t="n"/>
      <c r="D432" s="51" t="n"/>
      <c r="E432" s="51" t="n"/>
      <c r="F432" s="51" t="n"/>
      <c r="H432" s="51" t="n"/>
      <c r="J432" s="51" t="n"/>
    </row>
    <row r="433">
      <c r="B433" s="51" t="n"/>
      <c r="C433" s="51" t="n"/>
      <c r="D433" s="51" t="n"/>
      <c r="E433" s="51" t="n"/>
      <c r="F433" s="51" t="n"/>
      <c r="H433" s="51" t="n"/>
      <c r="J433" s="51" t="n"/>
    </row>
    <row r="434">
      <c r="B434" s="51" t="n"/>
      <c r="C434" s="51" t="n"/>
      <c r="D434" s="51" t="n"/>
      <c r="E434" s="51" t="n"/>
      <c r="F434" s="51" t="n"/>
      <c r="H434" s="51" t="n"/>
      <c r="J434" s="51" t="n"/>
    </row>
    <row r="435">
      <c r="B435" s="51" t="n"/>
      <c r="C435" s="51" t="n"/>
      <c r="D435" s="51" t="n"/>
      <c r="E435" s="51" t="n"/>
      <c r="F435" s="51" t="n"/>
      <c r="H435" s="51" t="n"/>
      <c r="J435" s="51" t="n"/>
    </row>
    <row r="436">
      <c r="B436" s="51" t="n"/>
      <c r="C436" s="51" t="n"/>
      <c r="D436" s="51" t="n"/>
      <c r="E436" s="51" t="n"/>
      <c r="F436" s="51" t="n"/>
      <c r="H436" s="51" t="n"/>
      <c r="J436" s="51" t="n"/>
    </row>
    <row r="437">
      <c r="B437" s="51" t="n"/>
      <c r="C437" s="51" t="n"/>
      <c r="D437" s="51" t="n"/>
      <c r="E437" s="51" t="n"/>
      <c r="F437" s="51" t="n"/>
      <c r="H437" s="51" t="n"/>
      <c r="J437" s="51" t="n"/>
    </row>
    <row r="438">
      <c r="B438" s="51" t="n"/>
      <c r="C438" s="51" t="n"/>
      <c r="D438" s="51" t="n"/>
      <c r="E438" s="51" t="n"/>
      <c r="F438" s="51" t="n"/>
      <c r="H438" s="51" t="n"/>
      <c r="J438" s="51" t="n"/>
    </row>
    <row r="439">
      <c r="B439" s="51" t="n"/>
      <c r="C439" s="51" t="n"/>
      <c r="D439" s="51" t="n"/>
      <c r="E439" s="51" t="n"/>
      <c r="F439" s="51" t="n"/>
      <c r="H439" s="51" t="n"/>
      <c r="J439" s="51" t="n"/>
    </row>
    <row r="440">
      <c r="B440" s="51" t="n"/>
      <c r="C440" s="51" t="n"/>
      <c r="D440" s="51" t="n"/>
      <c r="E440" s="51" t="n"/>
      <c r="F440" s="51" t="n"/>
      <c r="H440" s="51" t="n"/>
      <c r="J440" s="51" t="n"/>
    </row>
    <row r="441">
      <c r="B441" s="51" t="n"/>
      <c r="C441" s="51" t="n"/>
      <c r="D441" s="51" t="n"/>
      <c r="E441" s="51" t="n"/>
      <c r="F441" s="51" t="n"/>
      <c r="H441" s="51" t="n"/>
      <c r="J441" s="51" t="n"/>
    </row>
    <row r="442">
      <c r="B442" s="51" t="n"/>
      <c r="C442" s="51" t="n"/>
      <c r="D442" s="51" t="n"/>
      <c r="E442" s="51" t="n"/>
      <c r="F442" s="51" t="n"/>
      <c r="H442" s="51" t="n"/>
      <c r="J442" s="51" t="n"/>
    </row>
    <row r="443">
      <c r="B443" s="51" t="n"/>
      <c r="C443" s="51" t="n"/>
      <c r="D443" s="51" t="n"/>
      <c r="E443" s="51" t="n"/>
      <c r="F443" s="51" t="n"/>
      <c r="H443" s="51" t="n"/>
      <c r="J443" s="51" t="n"/>
    </row>
    <row r="444">
      <c r="B444" s="51" t="n"/>
      <c r="C444" s="51" t="n"/>
      <c r="D444" s="51" t="n"/>
      <c r="E444" s="51" t="n"/>
      <c r="F444" s="51" t="n"/>
      <c r="H444" s="51" t="n"/>
      <c r="J444" s="51" t="n"/>
    </row>
    <row r="445">
      <c r="B445" s="51" t="n"/>
      <c r="C445" s="51" t="n"/>
      <c r="D445" s="51" t="n"/>
      <c r="E445" s="51" t="n"/>
      <c r="F445" s="51" t="n"/>
      <c r="H445" s="51" t="n"/>
      <c r="J445" s="51" t="n"/>
    </row>
    <row r="446">
      <c r="B446" s="51" t="n"/>
      <c r="C446" s="51" t="n"/>
      <c r="D446" s="51" t="n"/>
      <c r="E446" s="51" t="n"/>
      <c r="F446" s="51" t="n"/>
      <c r="H446" s="51" t="n"/>
      <c r="J446" s="51" t="n"/>
    </row>
    <row r="447">
      <c r="B447" s="51" t="n"/>
      <c r="C447" s="51" t="n"/>
      <c r="D447" s="51" t="n"/>
      <c r="E447" s="51" t="n"/>
      <c r="F447" s="51" t="n"/>
      <c r="H447" s="51" t="n"/>
      <c r="J447" s="51" t="n"/>
    </row>
    <row r="448">
      <c r="B448" s="51" t="n"/>
      <c r="C448" s="51" t="n"/>
      <c r="D448" s="51" t="n"/>
      <c r="E448" s="51" t="n"/>
      <c r="F448" s="51" t="n"/>
      <c r="H448" s="51" t="n"/>
      <c r="J448" s="51" t="n"/>
    </row>
    <row r="449">
      <c r="B449" s="51" t="n"/>
      <c r="C449" s="51" t="n"/>
      <c r="D449" s="51" t="n"/>
      <c r="E449" s="51" t="n"/>
      <c r="F449" s="51" t="n"/>
      <c r="H449" s="51" t="n"/>
      <c r="J449" s="51" t="n"/>
    </row>
    <row r="450">
      <c r="B450" s="51" t="n"/>
      <c r="C450" s="51" t="n"/>
      <c r="D450" s="51" t="n"/>
      <c r="E450" s="51" t="n"/>
      <c r="F450" s="51" t="n"/>
      <c r="H450" s="51" t="n"/>
      <c r="J450" s="51" t="n"/>
    </row>
    <row r="451">
      <c r="B451" s="51" t="n"/>
      <c r="C451" s="51" t="n"/>
      <c r="D451" s="51" t="n"/>
      <c r="E451" s="51" t="n"/>
      <c r="F451" s="51" t="n"/>
      <c r="H451" s="51" t="n"/>
      <c r="J451" s="51" t="n"/>
    </row>
    <row r="452">
      <c r="B452" s="51" t="n"/>
      <c r="C452" s="51" t="n"/>
      <c r="D452" s="51" t="n"/>
      <c r="E452" s="51" t="n"/>
      <c r="F452" s="51" t="n"/>
      <c r="H452" s="51" t="n"/>
      <c r="J452" s="51" t="n"/>
    </row>
    <row r="453">
      <c r="B453" s="51" t="n"/>
      <c r="C453" s="51" t="n"/>
      <c r="D453" s="51" t="n"/>
      <c r="E453" s="51" t="n"/>
      <c r="F453" s="51" t="n"/>
      <c r="H453" s="51" t="n"/>
      <c r="J453" s="51" t="n"/>
    </row>
    <row r="454">
      <c r="B454" s="51" t="n"/>
      <c r="C454" s="51" t="n"/>
      <c r="D454" s="51" t="n"/>
      <c r="E454" s="51" t="n"/>
      <c r="F454" s="51" t="n"/>
      <c r="H454" s="51" t="n"/>
      <c r="J454" s="51" t="n"/>
    </row>
    <row r="455">
      <c r="B455" s="51" t="n"/>
      <c r="C455" s="51" t="n"/>
      <c r="D455" s="51" t="n"/>
      <c r="E455" s="51" t="n"/>
      <c r="F455" s="51" t="n"/>
      <c r="H455" s="51" t="n"/>
      <c r="J455" s="51" t="n"/>
    </row>
    <row r="456">
      <c r="B456" s="51" t="n"/>
      <c r="C456" s="51" t="n"/>
      <c r="D456" s="51" t="n"/>
      <c r="E456" s="51" t="n"/>
      <c r="F456" s="51" t="n"/>
      <c r="H456" s="51" t="n"/>
      <c r="J456" s="51" t="n"/>
    </row>
    <row r="457">
      <c r="B457" s="51" t="n"/>
      <c r="C457" s="51" t="n"/>
      <c r="D457" s="51" t="n"/>
      <c r="E457" s="51" t="n"/>
      <c r="F457" s="51" t="n"/>
      <c r="H457" s="51" t="n"/>
      <c r="J457" s="51" t="n"/>
    </row>
    <row r="458">
      <c r="B458" s="51" t="n"/>
      <c r="C458" s="51" t="n"/>
      <c r="D458" s="51" t="n"/>
      <c r="E458" s="51" t="n"/>
      <c r="F458" s="51" t="n"/>
      <c r="H458" s="51" t="n"/>
      <c r="J458" s="51" t="n"/>
    </row>
    <row r="459">
      <c r="B459" s="51" t="n"/>
      <c r="C459" s="51" t="n"/>
      <c r="D459" s="51" t="n"/>
      <c r="E459" s="51" t="n"/>
      <c r="F459" s="51" t="n"/>
      <c r="H459" s="51" t="n"/>
      <c r="J459" s="51" t="n"/>
    </row>
    <row r="460">
      <c r="B460" s="51" t="n"/>
      <c r="C460" s="51" t="n"/>
      <c r="D460" s="51" t="n"/>
      <c r="E460" s="51" t="n"/>
      <c r="F460" s="51" t="n"/>
      <c r="H460" s="51" t="n"/>
      <c r="J460" s="51" t="n"/>
    </row>
    <row r="461">
      <c r="B461" s="51" t="n"/>
      <c r="C461" s="51" t="n"/>
      <c r="D461" s="51" t="n"/>
      <c r="E461" s="51" t="n"/>
      <c r="F461" s="51" t="n"/>
      <c r="H461" s="51" t="n"/>
      <c r="J461" s="51" t="n"/>
    </row>
    <row r="462">
      <c r="B462" s="51" t="n"/>
      <c r="C462" s="51" t="n"/>
      <c r="D462" s="51" t="n"/>
      <c r="E462" s="51" t="n"/>
      <c r="F462" s="51" t="n"/>
      <c r="H462" s="51" t="n"/>
      <c r="J462" s="51" t="n"/>
    </row>
    <row r="463">
      <c r="B463" s="51" t="n"/>
      <c r="C463" s="51" t="n"/>
      <c r="D463" s="51" t="n"/>
      <c r="E463" s="51" t="n"/>
      <c r="F463" s="51" t="n"/>
      <c r="H463" s="51" t="n"/>
      <c r="J463" s="51" t="n"/>
    </row>
    <row r="464">
      <c r="B464" s="51" t="n"/>
      <c r="C464" s="51" t="n"/>
      <c r="D464" s="51" t="n"/>
      <c r="E464" s="51" t="n"/>
      <c r="F464" s="51" t="n"/>
      <c r="H464" s="51" t="n"/>
      <c r="J464" s="51" t="n"/>
    </row>
    <row r="465">
      <c r="B465" s="51" t="n"/>
      <c r="C465" s="51" t="n"/>
      <c r="D465" s="51" t="n"/>
      <c r="E465" s="51" t="n"/>
      <c r="F465" s="51" t="n"/>
      <c r="H465" s="51" t="n"/>
      <c r="J465" s="51" t="n"/>
    </row>
    <row r="466">
      <c r="B466" s="51" t="n"/>
      <c r="C466" s="51" t="n"/>
      <c r="D466" s="51" t="n"/>
      <c r="E466" s="51" t="n"/>
      <c r="F466" s="51" t="n"/>
      <c r="H466" s="51" t="n"/>
      <c r="J466" s="51" t="n"/>
    </row>
    <row r="467">
      <c r="B467" s="51" t="n"/>
      <c r="C467" s="51" t="n"/>
      <c r="D467" s="51" t="n"/>
      <c r="E467" s="51" t="n"/>
      <c r="F467" s="51" t="n"/>
      <c r="H467" s="51" t="n"/>
      <c r="J467" s="51" t="n"/>
    </row>
    <row r="468">
      <c r="B468" s="51" t="n"/>
      <c r="C468" s="51" t="n"/>
      <c r="D468" s="51" t="n"/>
      <c r="E468" s="51" t="n"/>
      <c r="F468" s="51" t="n"/>
      <c r="H468" s="51" t="n"/>
      <c r="J468" s="51" t="n"/>
    </row>
    <row r="469">
      <c r="B469" s="51" t="n"/>
      <c r="C469" s="51" t="n"/>
      <c r="D469" s="51" t="n"/>
      <c r="E469" s="51" t="n"/>
      <c r="F469" s="51" t="n"/>
      <c r="H469" s="51" t="n"/>
      <c r="J469" s="51" t="n"/>
    </row>
    <row r="470">
      <c r="B470" s="51" t="n"/>
      <c r="C470" s="51" t="n"/>
      <c r="D470" s="51" t="n"/>
      <c r="E470" s="51" t="n"/>
      <c r="F470" s="51" t="n"/>
      <c r="H470" s="51" t="n"/>
      <c r="J470" s="51" t="n"/>
    </row>
    <row r="471">
      <c r="B471" s="51" t="n"/>
      <c r="C471" s="51" t="n"/>
      <c r="D471" s="51" t="n"/>
      <c r="E471" s="51" t="n"/>
      <c r="F471" s="51" t="n"/>
      <c r="H471" s="51" t="n"/>
      <c r="J471" s="51" t="n"/>
    </row>
    <row r="472">
      <c r="B472" s="51" t="n"/>
      <c r="C472" s="51" t="n"/>
      <c r="D472" s="51" t="n"/>
      <c r="E472" s="51" t="n"/>
      <c r="F472" s="51" t="n"/>
      <c r="H472" s="51" t="n"/>
      <c r="J472" s="51" t="n"/>
    </row>
    <row r="473">
      <c r="B473" s="51" t="n"/>
      <c r="C473" s="51" t="n"/>
      <c r="D473" s="51" t="n"/>
      <c r="E473" s="51" t="n"/>
      <c r="F473" s="51" t="n"/>
      <c r="H473" s="51" t="n"/>
      <c r="J473" s="51" t="n"/>
    </row>
    <row r="474">
      <c r="B474" s="51" t="n"/>
      <c r="C474" s="51" t="n"/>
      <c r="D474" s="51" t="n"/>
      <c r="E474" s="51" t="n"/>
      <c r="F474" s="51" t="n"/>
      <c r="H474" s="51" t="n"/>
      <c r="J474" s="51" t="n"/>
    </row>
    <row r="475">
      <c r="B475" s="51" t="n"/>
      <c r="C475" s="51" t="n"/>
      <c r="D475" s="51" t="n"/>
      <c r="E475" s="51" t="n"/>
      <c r="F475" s="51" t="n"/>
      <c r="H475" s="51" t="n"/>
      <c r="J475" s="51" t="n"/>
    </row>
    <row r="476">
      <c r="B476" s="51" t="n"/>
      <c r="C476" s="51" t="n"/>
      <c r="D476" s="51" t="n"/>
      <c r="E476" s="51" t="n"/>
      <c r="F476" s="51" t="n"/>
      <c r="H476" s="51" t="n"/>
      <c r="J476" s="51" t="n"/>
    </row>
    <row r="477">
      <c r="B477" s="51" t="n"/>
      <c r="C477" s="51" t="n"/>
      <c r="D477" s="51" t="n"/>
      <c r="E477" s="51" t="n"/>
      <c r="F477" s="51" t="n"/>
      <c r="H477" s="51" t="n"/>
      <c r="J477" s="51" t="n"/>
    </row>
    <row r="478">
      <c r="B478" s="51" t="n"/>
      <c r="C478" s="51" t="n"/>
      <c r="D478" s="51" t="n"/>
      <c r="E478" s="51" t="n"/>
      <c r="F478" s="51" t="n"/>
      <c r="H478" s="51" t="n"/>
      <c r="J478" s="51" t="n"/>
    </row>
    <row r="479">
      <c r="B479" s="51" t="n"/>
      <c r="C479" s="51" t="n"/>
      <c r="D479" s="51" t="n"/>
      <c r="E479" s="51" t="n"/>
      <c r="F479" s="51" t="n"/>
      <c r="H479" s="51" t="n"/>
      <c r="J479" s="51" t="n"/>
    </row>
    <row r="480">
      <c r="B480" s="51" t="n"/>
      <c r="C480" s="51" t="n"/>
      <c r="D480" s="51" t="n"/>
      <c r="E480" s="51" t="n"/>
      <c r="F480" s="51" t="n"/>
      <c r="H480" s="51" t="n"/>
      <c r="J480" s="51" t="n"/>
    </row>
    <row r="481">
      <c r="B481" s="51" t="n"/>
      <c r="C481" s="51" t="n"/>
      <c r="D481" s="51" t="n"/>
      <c r="E481" s="51" t="n"/>
      <c r="F481" s="51" t="n"/>
      <c r="H481" s="51" t="n"/>
      <c r="J481" s="51" t="n"/>
    </row>
    <row r="482">
      <c r="B482" s="51" t="n"/>
      <c r="C482" s="51" t="n"/>
      <c r="D482" s="51" t="n"/>
      <c r="E482" s="51" t="n"/>
      <c r="F482" s="51" t="n"/>
      <c r="H482" s="51" t="n"/>
      <c r="J482" s="51" t="n"/>
    </row>
    <row r="483">
      <c r="B483" s="51" t="n"/>
      <c r="C483" s="51" t="n"/>
      <c r="D483" s="51" t="n"/>
      <c r="E483" s="51" t="n"/>
      <c r="F483" s="51" t="n"/>
      <c r="H483" s="51" t="n"/>
      <c r="J483" s="51" t="n"/>
    </row>
    <row r="484">
      <c r="B484" s="51" t="n"/>
      <c r="C484" s="51" t="n"/>
      <c r="D484" s="51" t="n"/>
      <c r="E484" s="51" t="n"/>
      <c r="F484" s="51" t="n"/>
      <c r="H484" s="51" t="n"/>
      <c r="J484" s="51" t="n"/>
    </row>
    <row r="485">
      <c r="B485" s="51" t="n"/>
      <c r="C485" s="51" t="n"/>
      <c r="D485" s="51" t="n"/>
      <c r="E485" s="51" t="n"/>
      <c r="F485" s="51" t="n"/>
      <c r="H485" s="51" t="n"/>
      <c r="J485" s="51" t="n"/>
    </row>
    <row r="486">
      <c r="B486" s="51" t="n"/>
      <c r="C486" s="51" t="n"/>
      <c r="D486" s="51" t="n"/>
      <c r="E486" s="51" t="n"/>
      <c r="F486" s="51" t="n"/>
      <c r="H486" s="51" t="n"/>
      <c r="J486" s="51" t="n"/>
    </row>
    <row r="487">
      <c r="B487" s="51" t="n"/>
      <c r="C487" s="51" t="n"/>
      <c r="D487" s="51" t="n"/>
      <c r="E487" s="51" t="n"/>
      <c r="F487" s="51" t="n"/>
      <c r="H487" s="51" t="n"/>
      <c r="J487" s="51" t="n"/>
    </row>
    <row r="488">
      <c r="B488" s="51" t="n"/>
      <c r="C488" s="51" t="n"/>
      <c r="D488" s="51" t="n"/>
      <c r="E488" s="51" t="n"/>
      <c r="F488" s="51" t="n"/>
      <c r="H488" s="51" t="n"/>
      <c r="J488" s="51" t="n"/>
    </row>
    <row r="489">
      <c r="B489" s="51" t="n"/>
      <c r="C489" s="51" t="n"/>
      <c r="D489" s="51" t="n"/>
      <c r="E489" s="51" t="n"/>
      <c r="F489" s="51" t="n"/>
      <c r="H489" s="51" t="n"/>
      <c r="J489" s="51" t="n"/>
    </row>
    <row r="490">
      <c r="B490" s="51" t="n"/>
      <c r="C490" s="51" t="n"/>
      <c r="D490" s="51" t="n"/>
      <c r="E490" s="51" t="n"/>
      <c r="F490" s="51" t="n"/>
      <c r="H490" s="51" t="n"/>
      <c r="J490" s="51" t="n"/>
    </row>
    <row r="491">
      <c r="B491" s="51" t="n"/>
      <c r="C491" s="51" t="n"/>
      <c r="D491" s="51" t="n"/>
      <c r="E491" s="51" t="n"/>
      <c r="F491" s="51" t="n"/>
      <c r="H491" s="51" t="n"/>
      <c r="J491" s="51" t="n"/>
    </row>
    <row r="492">
      <c r="B492" s="51" t="n"/>
      <c r="C492" s="51" t="n"/>
      <c r="D492" s="51" t="n"/>
      <c r="E492" s="51" t="n"/>
      <c r="F492" s="51" t="n"/>
      <c r="H492" s="51" t="n"/>
      <c r="J492" s="51" t="n"/>
    </row>
    <row r="493">
      <c r="B493" s="51" t="n"/>
      <c r="C493" s="51" t="n"/>
      <c r="D493" s="51" t="n"/>
      <c r="E493" s="51" t="n"/>
      <c r="F493" s="51" t="n"/>
      <c r="H493" s="51" t="n"/>
      <c r="J493" s="51" t="n"/>
    </row>
    <row r="494">
      <c r="B494" s="51" t="n"/>
      <c r="C494" s="51" t="n"/>
      <c r="D494" s="51" t="n"/>
      <c r="E494" s="51" t="n"/>
      <c r="F494" s="51" t="n"/>
      <c r="H494" s="51" t="n"/>
      <c r="J494" s="51" t="n"/>
    </row>
    <row r="495">
      <c r="B495" s="51" t="n"/>
      <c r="C495" s="51" t="n"/>
      <c r="D495" s="51" t="n"/>
      <c r="E495" s="51" t="n"/>
      <c r="F495" s="51" t="n"/>
      <c r="H495" s="51" t="n"/>
      <c r="J495" s="51" t="n"/>
    </row>
    <row r="496">
      <c r="B496" s="51" t="n"/>
      <c r="C496" s="51" t="n"/>
      <c r="D496" s="51" t="n"/>
      <c r="E496" s="51" t="n"/>
      <c r="F496" s="51" t="n"/>
      <c r="H496" s="51" t="n"/>
      <c r="J496" s="51" t="n"/>
    </row>
    <row r="497">
      <c r="B497" s="51" t="n"/>
      <c r="C497" s="51" t="n"/>
      <c r="D497" s="51" t="n"/>
      <c r="E497" s="51" t="n"/>
      <c r="F497" s="51" t="n"/>
      <c r="H497" s="51" t="n"/>
      <c r="J497" s="51" t="n"/>
    </row>
    <row r="498">
      <c r="B498" s="51" t="n"/>
      <c r="C498" s="51" t="n"/>
      <c r="D498" s="51" t="n"/>
      <c r="E498" s="51" t="n"/>
      <c r="F498" s="51" t="n"/>
      <c r="H498" s="51" t="n"/>
      <c r="J498" s="51" t="n"/>
    </row>
    <row r="499">
      <c r="B499" s="51" t="n"/>
      <c r="C499" s="51" t="n"/>
      <c r="D499" s="51" t="n"/>
      <c r="E499" s="51" t="n"/>
      <c r="F499" s="51" t="n"/>
      <c r="H499" s="51" t="n"/>
      <c r="J499" s="51" t="n"/>
    </row>
    <row r="500">
      <c r="B500" s="51" t="n"/>
      <c r="C500" s="51" t="n"/>
      <c r="D500" s="51" t="n"/>
      <c r="E500" s="51" t="n"/>
      <c r="F500" s="51" t="n"/>
      <c r="H500" s="51" t="n"/>
      <c r="J500" s="51" t="n"/>
    </row>
    <row r="501">
      <c r="B501" s="51" t="n"/>
      <c r="C501" s="51" t="n"/>
      <c r="D501" s="51" t="n"/>
      <c r="E501" s="51" t="n"/>
      <c r="F501" s="51" t="n"/>
      <c r="H501" s="51" t="n"/>
      <c r="J501" s="51" t="n"/>
    </row>
    <row r="502">
      <c r="B502" s="51" t="n"/>
      <c r="C502" s="51" t="n"/>
      <c r="D502" s="51" t="n"/>
      <c r="E502" s="51" t="n"/>
      <c r="F502" s="51" t="n"/>
      <c r="H502" s="51" t="n"/>
      <c r="J502" s="51" t="n"/>
    </row>
    <row r="503">
      <c r="B503" s="51" t="n"/>
      <c r="C503" s="51" t="n"/>
      <c r="D503" s="51" t="n"/>
      <c r="E503" s="51" t="n"/>
      <c r="F503" s="51" t="n"/>
      <c r="H503" s="51" t="n"/>
      <c r="J503" s="51" t="n"/>
    </row>
    <row r="504">
      <c r="B504" s="51" t="n"/>
      <c r="C504" s="51" t="n"/>
      <c r="D504" s="51" t="n"/>
      <c r="E504" s="51" t="n"/>
      <c r="F504" s="51" t="n"/>
      <c r="H504" s="51" t="n"/>
      <c r="J504" s="51" t="n"/>
    </row>
    <row r="505">
      <c r="B505" s="51" t="n"/>
      <c r="C505" s="51" t="n"/>
      <c r="D505" s="51" t="n"/>
      <c r="E505" s="51" t="n"/>
      <c r="F505" s="51" t="n"/>
      <c r="H505" s="51" t="n"/>
      <c r="J505" s="51" t="n"/>
    </row>
    <row r="506">
      <c r="B506" s="51" t="n"/>
      <c r="C506" s="51" t="n"/>
      <c r="D506" s="51" t="n"/>
      <c r="E506" s="51" t="n"/>
      <c r="F506" s="51" t="n"/>
      <c r="H506" s="51" t="n"/>
      <c r="J506" s="51" t="n"/>
    </row>
    <row r="507">
      <c r="B507" s="51" t="n"/>
      <c r="C507" s="51" t="n"/>
      <c r="D507" s="51" t="n"/>
      <c r="E507" s="51" t="n"/>
      <c r="F507" s="51" t="n"/>
      <c r="H507" s="51" t="n"/>
      <c r="J507" s="51" t="n"/>
    </row>
    <row r="508">
      <c r="B508" s="51" t="n"/>
      <c r="C508" s="51" t="n"/>
      <c r="D508" s="51" t="n"/>
      <c r="E508" s="51" t="n"/>
      <c r="F508" s="51" t="n"/>
      <c r="H508" s="51" t="n"/>
      <c r="J508" s="51" t="n"/>
    </row>
    <row r="509">
      <c r="B509" s="51" t="n"/>
      <c r="C509" s="51" t="n"/>
      <c r="D509" s="51" t="n"/>
      <c r="E509" s="51" t="n"/>
      <c r="F509" s="51" t="n"/>
      <c r="H509" s="51" t="n"/>
      <c r="J509" s="51" t="n"/>
    </row>
    <row r="510">
      <c r="B510" s="51" t="n"/>
      <c r="C510" s="51" t="n"/>
      <c r="D510" s="51" t="n"/>
      <c r="E510" s="51" t="n"/>
      <c r="F510" s="51" t="n"/>
      <c r="H510" s="51" t="n"/>
      <c r="J510" s="51" t="n"/>
    </row>
    <row r="511">
      <c r="B511" s="51" t="n"/>
      <c r="C511" s="51" t="n"/>
      <c r="D511" s="51" t="n"/>
      <c r="E511" s="51" t="n"/>
      <c r="F511" s="51" t="n"/>
      <c r="H511" s="51" t="n"/>
      <c r="J511" s="51" t="n"/>
    </row>
    <row r="512">
      <c r="B512" s="51" t="n"/>
      <c r="C512" s="51" t="n"/>
      <c r="D512" s="51" t="n"/>
      <c r="E512" s="51" t="n"/>
      <c r="F512" s="51" t="n"/>
      <c r="H512" s="51" t="n"/>
      <c r="J512" s="51" t="n"/>
    </row>
    <row r="513">
      <c r="B513" s="51" t="n"/>
      <c r="C513" s="51" t="n"/>
      <c r="D513" s="51" t="n"/>
      <c r="E513" s="51" t="n"/>
      <c r="F513" s="51" t="n"/>
      <c r="H513" s="51" t="n"/>
      <c r="J513" s="51" t="n"/>
    </row>
    <row r="514">
      <c r="B514" s="51" t="n"/>
      <c r="C514" s="51" t="n"/>
      <c r="D514" s="51" t="n"/>
      <c r="E514" s="51" t="n"/>
      <c r="F514" s="51" t="n"/>
      <c r="H514" s="51" t="n"/>
      <c r="J514" s="51" t="n"/>
    </row>
    <row r="515">
      <c r="B515" s="51" t="n"/>
      <c r="C515" s="51" t="n"/>
      <c r="D515" s="51" t="n"/>
      <c r="E515" s="51" t="n"/>
      <c r="F515" s="51" t="n"/>
      <c r="H515" s="51" t="n"/>
      <c r="J515" s="51" t="n"/>
    </row>
    <row r="516">
      <c r="B516" s="51" t="n"/>
      <c r="C516" s="51" t="n"/>
      <c r="D516" s="51" t="n"/>
      <c r="E516" s="51" t="n"/>
      <c r="F516" s="51" t="n"/>
      <c r="H516" s="51" t="n"/>
      <c r="J516" s="51" t="n"/>
    </row>
    <row r="517">
      <c r="B517" s="51" t="n"/>
      <c r="C517" s="51" t="n"/>
      <c r="D517" s="51" t="n"/>
      <c r="E517" s="51" t="n"/>
      <c r="F517" s="51" t="n"/>
      <c r="H517" s="51" t="n"/>
      <c r="J517" s="51"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Partner code" prompt="Yes. Insurer code; unique"/>
    <dataValidation sqref="C17:C517" showDropDown="0" showInputMessage="1" showErrorMessage="0" allowBlank="1" promptTitle="Name / Short name" prompt="Yes (name). Registered and short name"/>
    <dataValidation sqref="D17:D517" showDropDown="0" showInputMessage="1" showErrorMessage="0" allowBlank="1" promptTitle="TIN / Address" prompt="No. Business partner details"/>
    <dataValidation sqref="E17:E517" showDropDown="0" showInputMessage="1" showErrorMessage="0" allowBlank="1" promptTitle="IC accreditation no. / Accredite" prompt="No. Insurance Commission accreditation"/>
    <dataValidation sqref="F17:F517" showDropDown="0" showInputMessage="1" showErrorMessage="0" allowBlank="1" promptTitle="Placement e-mails" prompt="Conditional: for package insurers. Where quotation and placement slips are sent"/>
    <dataValidation sqref="G17:G517" showDropDown="0" showInputMessage="1" showErrorMessage="1" allowBlank="1" errorTitle="Credit days" error="Enter a whole number from 0 to 365." promptTitle="Credit days" prompt="No. Default credit days Allowed: A whole number from 0 to 365" type="whole" operator="between">
      <formula1>0</formula1>
      <formula2>365</formula2>
    </dataValidation>
    <dataValidation sqref="H17:H517" showDropDown="0" showInputMessage="1" showErrorMessage="0" allowBlank="1" promptTitle="Branch code / Branch name / City" prompt="Conditional: branch rows. Branch of the insurer"/>
    <dataValidation sqref="I17:I517" showDropDown="0" showInputMessage="1" showErrorMessage="1" allowBlank="1" errorTitle="LGT %" error="Enter a number from 0 to 100." promptTitle="LGT %" prompt="Conditional: branch rows. Local government tax on premium Allowed: A number from 0 to 100" type="decimal" operator="between">
      <formula1>0</formula1>
      <formula2>100</formula2>
    </dataValidation>
    <dataValidation sqref="J17:J517" showDropDown="0" showInputMessage="1" showErrorMessage="0" allowBlank="1" promptTitle="Commission product / Commission " prompt="Conditional: commission rows. Commission rate of the insurer Allowed: Codes of PM-01 Product catalogue, column Risk code (one or more)"/>
  </dataValidations>
  <hyperlinks>
    <hyperlink ref="A2" location="'Start here'!A1"/>
    <hyperlink ref="J2" location="'Questions and comments'!A1"/>
    <hyperlink ref="B8" location="'PM-01 Product catalogue'!A1"/>
    <hyperlink ref="J14" location="'PM-01 Product catalogue'!H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40" customWidth="1" min="3" max="3"/>
    <col width="19" customWidth="1" min="4" max="4"/>
    <col width="33" customWidth="1" min="5" max="5"/>
    <col width="18" customWidth="1" min="6" max="6"/>
    <col width="28" customWidth="1" min="7" max="7"/>
    <col width="20" customWidth="1" min="8" max="8"/>
    <col width="23" customWidth="1" min="9" max="9"/>
    <col width="30" customWidth="1" min="10" max="10"/>
  </cols>
  <sheetData>
    <row r="1" ht="26" customHeight="1">
      <c r="A1" s="27" t="inlineStr">
        <is>
          <t>D0-01 Company</t>
        </is>
      </c>
      <c r="J1" s="28" t="inlineStr">
        <is>
          <t>Step 17 of 31</t>
        </is>
      </c>
    </row>
    <row r="2">
      <c r="A2" s="29" t="inlineStr">
        <is>
          <t>← Back to Start here</t>
        </is>
      </c>
      <c r="B2" s="30" t="inlineStr">
        <is>
          <t>Step 17 of 31. Fill in one row per record below the column headers; the guide above each column says what to enter.</t>
        </is>
      </c>
      <c r="J2" s="31" t="inlineStr">
        <is>
          <t>Ask a question →</t>
        </is>
      </c>
    </row>
    <row r="3" outlineLevel="1" ht="15.5" customHeight="1">
      <c r="A3" s="32" t="inlineStr">
        <is>
          <t>Purpose</t>
        </is>
      </c>
      <c r="B3" s="33" t="inlineStr">
        <is>
          <t>The company record of BDOI</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Companies (Setup &amp; Administration), entered by the System Administrator and authorised by Comptrollership</t>
        </is>
      </c>
    </row>
    <row r="7" outlineLevel="1" ht="15.5" customHeight="1">
      <c r="A7" s="32" t="inlineStr">
        <is>
          <t>Source</t>
        </is>
      </c>
      <c r="B7" s="33" t="inlineStr">
        <is>
          <t>BDOI registration documents and the current chart of accounts</t>
        </is>
      </c>
    </row>
    <row r="8" outlineLevel="1" ht="15" customHeight="1">
      <c r="A8" s="32" t="inlineStr">
        <is>
          <t>Depends on</t>
        </is>
      </c>
      <c r="B8" s="55" t="inlineStr">
        <is>
          <t>D0-06 Chart of accounts →</t>
        </is>
      </c>
    </row>
    <row r="9" ht="26" customHeight="1">
      <c r="A9" s="36" t="inlineStr">
        <is>
          <t>Progress</t>
        </is>
      </c>
      <c r="B9" s="37" t="inlineStr">
        <is>
          <t>Rows entered</t>
        </is>
      </c>
      <c r="C9" s="38">
        <f>SUMPRODUCT(((ROW($B$17:$B$517)&gt;17)+($B$17&lt;&gt;"BDOI")&gt;0)*(LEN($B$17:$B$517&amp;$C$17:$C$517&amp;$D$17:$D$517&amp;$E$17:$E$517&amp;$F$17:$F$517&amp;$G$17:$G$517&amp;$H$17:$H$517&amp;$I$17:$I$517&amp;$J$17:$J$517)&gt;0))</f>
        <v/>
      </c>
      <c r="D9" s="37" t="inlineStr">
        <is>
          <t>Mandatory cells missing</t>
        </is>
      </c>
      <c r="E9" s="38">
        <f>SUMPRODUCT(((ROW($B$17:$B$517)&gt;17)+($B$17&lt;&gt;"BDOI")&gt;0)*(LEN($B$17:$B$517&amp;$C$17:$C$517&amp;$D$17:$D$517&amp;$E$17:$E$517&amp;$F$17:$F$517&amp;$G$17:$G$517&amp;$H$17:$H$517&amp;$I$17:$I$517&amp;$J$17:$J$517)&gt;0)*(($B$17:$B$517="")+($C$17:$C$517="")+($D$17:$D$517="")+($E$17:$E$517="")+($F$17:$F$517="")+($G$17:$G$517="")+($H$17:$H$517="")+($I$17:$I$517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17" customHeight="1">
      <c r="A12" s="43" t="inlineStr">
        <is>
          <t>Mandatory</t>
        </is>
      </c>
      <c r="B12" s="44" t="inlineStr">
        <is>
          <t>Yes</t>
        </is>
      </c>
      <c r="C12" s="44" t="inlineStr">
        <is>
          <t>Yes</t>
        </is>
      </c>
      <c r="D12" s="44" t="inlineStr">
        <is>
          <t>Yes</t>
        </is>
      </c>
      <c r="E12" s="44" t="inlineStr">
        <is>
          <t>Yes</t>
        </is>
      </c>
      <c r="F12" s="44" t="inlineStr">
        <is>
          <t>Yes</t>
        </is>
      </c>
      <c r="G12" s="44" t="inlineStr">
        <is>
          <t>Yes</t>
        </is>
      </c>
      <c r="H12" s="44" t="inlineStr">
        <is>
          <t>Yes</t>
        </is>
      </c>
      <c r="I12" s="44" t="inlineStr">
        <is>
          <t>Yes</t>
        </is>
      </c>
      <c r="J12" s="44" t="inlineStr">
        <is>
          <t>Yes</t>
        </is>
      </c>
    </row>
    <row r="13" ht="17" customHeight="1">
      <c r="A13" s="43" t="inlineStr">
        <is>
          <t>Format</t>
        </is>
      </c>
      <c r="B13" s="45" t="inlineStr">
        <is>
          <t>Up to 10 capitals</t>
        </is>
      </c>
      <c r="C13" s="45" t="inlineStr">
        <is>
          <t>Up to 200 characters</t>
        </is>
      </c>
      <c r="D13" s="45" t="inlineStr">
        <is>
          <t>000-000-000-00000</t>
        </is>
      </c>
      <c r="E13" s="45" t="inlineStr">
        <is>
          <t>Text</t>
        </is>
      </c>
      <c r="F13" s="45" t="inlineStr">
        <is>
          <t>ISO 4217</t>
        </is>
      </c>
      <c r="G13" s="45" t="inlineStr">
        <is>
          <t>1 to 12</t>
        </is>
      </c>
      <c r="H13" s="45" t="inlineStr">
        <is>
          <t>Whole number</t>
        </is>
      </c>
      <c r="I13" s="45" t="inlineStr">
        <is>
          <t>Whole number</t>
        </is>
      </c>
      <c r="J13" s="45" t="inlineStr">
        <is>
          <t>Account code of D0-06</t>
        </is>
      </c>
    </row>
    <row r="14" ht="30" customHeight="1">
      <c r="A14" s="43" t="inlineStr">
        <is>
          <t>Allowed values</t>
        </is>
      </c>
      <c r="B14" s="45" t="inlineStr">
        <is>
          <t>Free entry, up to 10 characters</t>
        </is>
      </c>
      <c r="C14" s="45" t="inlineStr">
        <is>
          <t>Free entry, up to 200 characters</t>
        </is>
      </c>
      <c r="D14" s="45" t="inlineStr">
        <is>
          <t>Free entry</t>
        </is>
      </c>
      <c r="E14" s="45" t="inlineStr">
        <is>
          <t>Free entry</t>
        </is>
      </c>
      <c r="F14" s="45" t="inlineStr">
        <is>
          <t>Free entry, up to 3 characters</t>
        </is>
      </c>
      <c r="G14" s="45" t="inlineStr">
        <is>
          <t>A whole number from 1 to 12</t>
        </is>
      </c>
      <c r="H14" s="45" t="inlineStr">
        <is>
          <t>A whole number from 0 to 365</t>
        </is>
      </c>
      <c r="I14" s="45" t="inlineStr">
        <is>
          <t>A whole number from 0 to 365</t>
        </is>
      </c>
      <c r="J14" s="53" t="inlineStr">
        <is>
          <t>A code of D0-06 Chart of accounts, column Account Code</t>
        </is>
      </c>
    </row>
    <row r="15" ht="43" customHeight="1">
      <c r="A15" s="43" t="inlineStr">
        <is>
          <t>What to enter</t>
        </is>
      </c>
      <c r="B15" s="45" t="inlineStr">
        <is>
          <t>Code of the company on every record</t>
        </is>
      </c>
      <c r="C15" s="45" t="inlineStr">
        <is>
          <t>Name as registered with the SEC</t>
        </is>
      </c>
      <c r="D15" s="45" t="inlineStr">
        <is>
          <t>Tax identification number with branch code</t>
        </is>
      </c>
      <c r="E15" s="45" t="inlineStr">
        <is>
          <t>Address printed on receipts and BIR forms</t>
        </is>
      </c>
      <c r="F15" s="45" t="inlineStr">
        <is>
          <t>Currency of the books</t>
        </is>
      </c>
      <c r="G15" s="45" t="inlineStr">
        <is>
          <t>First month of the financial year</t>
        </is>
      </c>
      <c r="H15" s="45" t="inlineStr">
        <is>
          <t>How many days before today a posting may be dated</t>
        </is>
      </c>
      <c r="I15" s="45" t="inlineStr">
        <is>
          <t>How many days after today a posting may be dated</t>
        </is>
      </c>
      <c r="J15" s="45" t="inlineStr">
        <is>
          <t>Account that receives the year-end result</t>
        </is>
      </c>
    </row>
    <row r="16" ht="30" customHeight="1">
      <c r="A16" s="46" t="inlineStr">
        <is>
          <t>Row</t>
        </is>
      </c>
      <c r="B16" s="47" t="inlineStr">
        <is>
          <t>Company code *</t>
        </is>
      </c>
      <c r="C16" s="47" t="inlineStr">
        <is>
          <t>Registered name *</t>
        </is>
      </c>
      <c r="D16" s="47" t="inlineStr">
        <is>
          <t>TIN *</t>
        </is>
      </c>
      <c r="E16" s="47" t="inlineStr">
        <is>
          <t>Registered address *</t>
        </is>
      </c>
      <c r="F16" s="47" t="inlineStr">
        <is>
          <t>Base currency *</t>
        </is>
      </c>
      <c r="G16" s="47" t="inlineStr">
        <is>
          <t>Fiscal year start month *</t>
        </is>
      </c>
      <c r="H16" s="47" t="inlineStr">
        <is>
          <t>Back-value days *</t>
        </is>
      </c>
      <c r="I16" s="47" t="inlineStr">
        <is>
          <t>Forward-value days *</t>
        </is>
      </c>
      <c r="J16" s="47" t="inlineStr">
        <is>
          <t>Retained earnings account *</t>
        </is>
      </c>
    </row>
    <row r="17" ht="30" customHeight="1">
      <c r="A17" s="48" t="inlineStr">
        <is>
          <t>Example – overwrite or delete</t>
        </is>
      </c>
      <c r="B17" s="49" t="inlineStr">
        <is>
          <t>BDOI</t>
        </is>
      </c>
      <c r="C17" s="49" t="inlineStr">
        <is>
          <t>BDO Insurance and Reinsurance Brokers, Inc.</t>
        </is>
      </c>
      <c r="D17" s="49" t="inlineStr">
        <is>
          <t>000-000-000-00000</t>
        </is>
      </c>
      <c r="E17" s="49" t="inlineStr">
        <is>
          <t>7899 Makati Avenue, Makati City</t>
        </is>
      </c>
      <c r="F17" s="49" t="inlineStr">
        <is>
          <t>PHP</t>
        </is>
      </c>
      <c r="G17" s="54" t="n">
        <v>1</v>
      </c>
      <c r="H17" s="54" t="n">
        <v>5</v>
      </c>
      <c r="I17" s="54" t="n">
        <v>0</v>
      </c>
      <c r="J17" s="49" t="inlineStr">
        <is>
          <t>3200</t>
        </is>
      </c>
    </row>
    <row r="18">
      <c r="B18" s="51" t="n"/>
      <c r="C18" s="51" t="n"/>
      <c r="D18" s="51" t="n"/>
      <c r="E18" s="51" t="n"/>
      <c r="F18" s="51" t="n"/>
      <c r="J18" s="51" t="n"/>
    </row>
    <row r="19">
      <c r="B19" s="51" t="n"/>
      <c r="C19" s="51" t="n"/>
      <c r="D19" s="51" t="n"/>
      <c r="E19" s="51" t="n"/>
      <c r="F19" s="51" t="n"/>
      <c r="J19" s="51" t="n"/>
    </row>
    <row r="20">
      <c r="B20" s="51" t="n"/>
      <c r="C20" s="51" t="n"/>
      <c r="D20" s="51" t="n"/>
      <c r="E20" s="51" t="n"/>
      <c r="F20" s="51" t="n"/>
      <c r="J20" s="51" t="n"/>
    </row>
    <row r="21">
      <c r="B21" s="51" t="n"/>
      <c r="C21" s="51" t="n"/>
      <c r="D21" s="51" t="n"/>
      <c r="E21" s="51" t="n"/>
      <c r="F21" s="51" t="n"/>
      <c r="J21" s="51" t="n"/>
    </row>
    <row r="22">
      <c r="B22" s="51" t="n"/>
      <c r="C22" s="51" t="n"/>
      <c r="D22" s="51" t="n"/>
      <c r="E22" s="51" t="n"/>
      <c r="F22" s="51" t="n"/>
      <c r="J22" s="51" t="n"/>
    </row>
    <row r="23">
      <c r="B23" s="51" t="n"/>
      <c r="C23" s="51" t="n"/>
      <c r="D23" s="51" t="n"/>
      <c r="E23" s="51" t="n"/>
      <c r="F23" s="51" t="n"/>
      <c r="J23" s="51" t="n"/>
    </row>
    <row r="24">
      <c r="B24" s="51" t="n"/>
      <c r="C24" s="51" t="n"/>
      <c r="D24" s="51" t="n"/>
      <c r="E24" s="51" t="n"/>
      <c r="F24" s="51" t="n"/>
      <c r="J24" s="51" t="n"/>
    </row>
    <row r="25">
      <c r="B25" s="51" t="n"/>
      <c r="C25" s="51" t="n"/>
      <c r="D25" s="51" t="n"/>
      <c r="E25" s="51" t="n"/>
      <c r="F25" s="51" t="n"/>
      <c r="J25" s="51" t="n"/>
    </row>
    <row r="26">
      <c r="B26" s="51" t="n"/>
      <c r="C26" s="51" t="n"/>
      <c r="D26" s="51" t="n"/>
      <c r="E26" s="51" t="n"/>
      <c r="F26" s="51" t="n"/>
      <c r="J26" s="51" t="n"/>
    </row>
    <row r="27">
      <c r="B27" s="51" t="n"/>
      <c r="C27" s="51" t="n"/>
      <c r="D27" s="51" t="n"/>
      <c r="E27" s="51" t="n"/>
      <c r="F27" s="51" t="n"/>
      <c r="J27" s="51" t="n"/>
    </row>
    <row r="28">
      <c r="B28" s="51" t="n"/>
      <c r="C28" s="51" t="n"/>
      <c r="D28" s="51" t="n"/>
      <c r="E28" s="51" t="n"/>
      <c r="F28" s="51" t="n"/>
      <c r="J28" s="51" t="n"/>
    </row>
    <row r="29">
      <c r="B29" s="51" t="n"/>
      <c r="C29" s="51" t="n"/>
      <c r="D29" s="51" t="n"/>
      <c r="E29" s="51" t="n"/>
      <c r="F29" s="51" t="n"/>
      <c r="J29" s="51" t="n"/>
    </row>
    <row r="30">
      <c r="B30" s="51" t="n"/>
      <c r="C30" s="51" t="n"/>
      <c r="D30" s="51" t="n"/>
      <c r="E30" s="51" t="n"/>
      <c r="F30" s="51" t="n"/>
      <c r="J30" s="51" t="n"/>
    </row>
    <row r="31">
      <c r="B31" s="51" t="n"/>
      <c r="C31" s="51" t="n"/>
      <c r="D31" s="51" t="n"/>
      <c r="E31" s="51" t="n"/>
      <c r="F31" s="51" t="n"/>
      <c r="J31" s="51" t="n"/>
    </row>
    <row r="32">
      <c r="B32" s="51" t="n"/>
      <c r="C32" s="51" t="n"/>
      <c r="D32" s="51" t="n"/>
      <c r="E32" s="51" t="n"/>
      <c r="F32" s="51" t="n"/>
      <c r="J32" s="51" t="n"/>
    </row>
    <row r="33">
      <c r="B33" s="51" t="n"/>
      <c r="C33" s="51" t="n"/>
      <c r="D33" s="51" t="n"/>
      <c r="E33" s="51" t="n"/>
      <c r="F33" s="51" t="n"/>
      <c r="J33" s="51" t="n"/>
    </row>
    <row r="34">
      <c r="B34" s="51" t="n"/>
      <c r="C34" s="51" t="n"/>
      <c r="D34" s="51" t="n"/>
      <c r="E34" s="51" t="n"/>
      <c r="F34" s="51" t="n"/>
      <c r="J34" s="51" t="n"/>
    </row>
    <row r="35">
      <c r="B35" s="51" t="n"/>
      <c r="C35" s="51" t="n"/>
      <c r="D35" s="51" t="n"/>
      <c r="E35" s="51" t="n"/>
      <c r="F35" s="51" t="n"/>
      <c r="J35" s="51" t="n"/>
    </row>
    <row r="36">
      <c r="B36" s="51" t="n"/>
      <c r="C36" s="51" t="n"/>
      <c r="D36" s="51" t="n"/>
      <c r="E36" s="51" t="n"/>
      <c r="F36" s="51" t="n"/>
      <c r="J36" s="51" t="n"/>
    </row>
    <row r="37">
      <c r="B37" s="51" t="n"/>
      <c r="C37" s="51" t="n"/>
      <c r="D37" s="51" t="n"/>
      <c r="E37" s="51" t="n"/>
      <c r="F37" s="51" t="n"/>
      <c r="J37" s="51" t="n"/>
    </row>
    <row r="38">
      <c r="B38" s="51" t="n"/>
      <c r="C38" s="51" t="n"/>
      <c r="D38" s="51" t="n"/>
      <c r="E38" s="51" t="n"/>
      <c r="F38" s="51" t="n"/>
      <c r="J38" s="51" t="n"/>
    </row>
    <row r="39">
      <c r="B39" s="51" t="n"/>
      <c r="C39" s="51" t="n"/>
      <c r="D39" s="51" t="n"/>
      <c r="E39" s="51" t="n"/>
      <c r="F39" s="51" t="n"/>
      <c r="J39" s="51" t="n"/>
    </row>
    <row r="40">
      <c r="B40" s="51" t="n"/>
      <c r="C40" s="51" t="n"/>
      <c r="D40" s="51" t="n"/>
      <c r="E40" s="51" t="n"/>
      <c r="F40" s="51" t="n"/>
      <c r="J40" s="51" t="n"/>
    </row>
    <row r="41">
      <c r="B41" s="51" t="n"/>
      <c r="C41" s="51" t="n"/>
      <c r="D41" s="51" t="n"/>
      <c r="E41" s="51" t="n"/>
      <c r="F41" s="51" t="n"/>
      <c r="J41" s="51" t="n"/>
    </row>
    <row r="42">
      <c r="B42" s="51" t="n"/>
      <c r="C42" s="51" t="n"/>
      <c r="D42" s="51" t="n"/>
      <c r="E42" s="51" t="n"/>
      <c r="F42" s="51" t="n"/>
      <c r="J42" s="51" t="n"/>
    </row>
    <row r="43">
      <c r="B43" s="51" t="n"/>
      <c r="C43" s="51" t="n"/>
      <c r="D43" s="51" t="n"/>
      <c r="E43" s="51" t="n"/>
      <c r="F43" s="51" t="n"/>
      <c r="J43" s="51" t="n"/>
    </row>
    <row r="44">
      <c r="B44" s="51" t="n"/>
      <c r="C44" s="51" t="n"/>
      <c r="D44" s="51" t="n"/>
      <c r="E44" s="51" t="n"/>
      <c r="F44" s="51" t="n"/>
      <c r="J44" s="51" t="n"/>
    </row>
    <row r="45">
      <c r="B45" s="51" t="n"/>
      <c r="C45" s="51" t="n"/>
      <c r="D45" s="51" t="n"/>
      <c r="E45" s="51" t="n"/>
      <c r="F45" s="51" t="n"/>
      <c r="J45" s="51" t="n"/>
    </row>
    <row r="46">
      <c r="B46" s="51" t="n"/>
      <c r="C46" s="51" t="n"/>
      <c r="D46" s="51" t="n"/>
      <c r="E46" s="51" t="n"/>
      <c r="F46" s="51" t="n"/>
      <c r="J46" s="51" t="n"/>
    </row>
    <row r="47">
      <c r="B47" s="51" t="n"/>
      <c r="C47" s="51" t="n"/>
      <c r="D47" s="51" t="n"/>
      <c r="E47" s="51" t="n"/>
      <c r="F47" s="51" t="n"/>
      <c r="J47" s="51" t="n"/>
    </row>
    <row r="48">
      <c r="B48" s="51" t="n"/>
      <c r="C48" s="51" t="n"/>
      <c r="D48" s="51" t="n"/>
      <c r="E48" s="51" t="n"/>
      <c r="F48" s="51" t="n"/>
      <c r="J48" s="51" t="n"/>
    </row>
    <row r="49">
      <c r="B49" s="51" t="n"/>
      <c r="C49" s="51" t="n"/>
      <c r="D49" s="51" t="n"/>
      <c r="E49" s="51" t="n"/>
      <c r="F49" s="51" t="n"/>
      <c r="J49" s="51" t="n"/>
    </row>
    <row r="50">
      <c r="B50" s="51" t="n"/>
      <c r="C50" s="51" t="n"/>
      <c r="D50" s="51" t="n"/>
      <c r="E50" s="51" t="n"/>
      <c r="F50" s="51" t="n"/>
      <c r="J50" s="51" t="n"/>
    </row>
    <row r="51">
      <c r="B51" s="51" t="n"/>
      <c r="C51" s="51" t="n"/>
      <c r="D51" s="51" t="n"/>
      <c r="E51" s="51" t="n"/>
      <c r="F51" s="51" t="n"/>
      <c r="J51" s="51" t="n"/>
    </row>
    <row r="52">
      <c r="B52" s="51" t="n"/>
      <c r="C52" s="51" t="n"/>
      <c r="D52" s="51" t="n"/>
      <c r="E52" s="51" t="n"/>
      <c r="F52" s="51" t="n"/>
      <c r="J52" s="51" t="n"/>
    </row>
    <row r="53">
      <c r="B53" s="51" t="n"/>
      <c r="C53" s="51" t="n"/>
      <c r="D53" s="51" t="n"/>
      <c r="E53" s="51" t="n"/>
      <c r="F53" s="51" t="n"/>
      <c r="J53" s="51" t="n"/>
    </row>
    <row r="54">
      <c r="B54" s="51" t="n"/>
      <c r="C54" s="51" t="n"/>
      <c r="D54" s="51" t="n"/>
      <c r="E54" s="51" t="n"/>
      <c r="F54" s="51" t="n"/>
      <c r="J54" s="51" t="n"/>
    </row>
    <row r="55">
      <c r="B55" s="51" t="n"/>
      <c r="C55" s="51" t="n"/>
      <c r="D55" s="51" t="n"/>
      <c r="E55" s="51" t="n"/>
      <c r="F55" s="51" t="n"/>
      <c r="J55" s="51" t="n"/>
    </row>
    <row r="56">
      <c r="B56" s="51" t="n"/>
      <c r="C56" s="51" t="n"/>
      <c r="D56" s="51" t="n"/>
      <c r="E56" s="51" t="n"/>
      <c r="F56" s="51" t="n"/>
      <c r="J56" s="51" t="n"/>
    </row>
    <row r="57">
      <c r="B57" s="51" t="n"/>
      <c r="C57" s="51" t="n"/>
      <c r="D57" s="51" t="n"/>
      <c r="E57" s="51" t="n"/>
      <c r="F57" s="51" t="n"/>
      <c r="J57" s="51" t="n"/>
    </row>
    <row r="58">
      <c r="B58" s="51" t="n"/>
      <c r="C58" s="51" t="n"/>
      <c r="D58" s="51" t="n"/>
      <c r="E58" s="51" t="n"/>
      <c r="F58" s="51" t="n"/>
      <c r="J58" s="51" t="n"/>
    </row>
    <row r="59">
      <c r="B59" s="51" t="n"/>
      <c r="C59" s="51" t="n"/>
      <c r="D59" s="51" t="n"/>
      <c r="E59" s="51" t="n"/>
      <c r="F59" s="51" t="n"/>
      <c r="J59" s="51" t="n"/>
    </row>
    <row r="60">
      <c r="B60" s="51" t="n"/>
      <c r="C60" s="51" t="n"/>
      <c r="D60" s="51" t="n"/>
      <c r="E60" s="51" t="n"/>
      <c r="F60" s="51" t="n"/>
      <c r="J60" s="51" t="n"/>
    </row>
    <row r="61">
      <c r="B61" s="51" t="n"/>
      <c r="C61" s="51" t="n"/>
      <c r="D61" s="51" t="n"/>
      <c r="E61" s="51" t="n"/>
      <c r="F61" s="51" t="n"/>
      <c r="J61" s="51" t="n"/>
    </row>
    <row r="62">
      <c r="B62" s="51" t="n"/>
      <c r="C62" s="51" t="n"/>
      <c r="D62" s="51" t="n"/>
      <c r="E62" s="51" t="n"/>
      <c r="F62" s="51" t="n"/>
      <c r="J62" s="51" t="n"/>
    </row>
    <row r="63">
      <c r="B63" s="51" t="n"/>
      <c r="C63" s="51" t="n"/>
      <c r="D63" s="51" t="n"/>
      <c r="E63" s="51" t="n"/>
      <c r="F63" s="51" t="n"/>
      <c r="J63" s="51" t="n"/>
    </row>
    <row r="64">
      <c r="B64" s="51" t="n"/>
      <c r="C64" s="51" t="n"/>
      <c r="D64" s="51" t="n"/>
      <c r="E64" s="51" t="n"/>
      <c r="F64" s="51" t="n"/>
      <c r="J64" s="51" t="n"/>
    </row>
    <row r="65">
      <c r="B65" s="51" t="n"/>
      <c r="C65" s="51" t="n"/>
      <c r="D65" s="51" t="n"/>
      <c r="E65" s="51" t="n"/>
      <c r="F65" s="51" t="n"/>
      <c r="J65" s="51" t="n"/>
    </row>
    <row r="66">
      <c r="B66" s="51" t="n"/>
      <c r="C66" s="51" t="n"/>
      <c r="D66" s="51" t="n"/>
      <c r="E66" s="51" t="n"/>
      <c r="F66" s="51" t="n"/>
      <c r="J66" s="51" t="n"/>
    </row>
    <row r="67">
      <c r="B67" s="51" t="n"/>
      <c r="C67" s="51" t="n"/>
      <c r="D67" s="51" t="n"/>
      <c r="E67" s="51" t="n"/>
      <c r="F67" s="51" t="n"/>
      <c r="J67" s="51" t="n"/>
    </row>
    <row r="68">
      <c r="B68" s="51" t="n"/>
      <c r="C68" s="51" t="n"/>
      <c r="D68" s="51" t="n"/>
      <c r="E68" s="51" t="n"/>
      <c r="F68" s="51" t="n"/>
      <c r="J68" s="51" t="n"/>
    </row>
    <row r="69">
      <c r="B69" s="51" t="n"/>
      <c r="C69" s="51" t="n"/>
      <c r="D69" s="51" t="n"/>
      <c r="E69" s="51" t="n"/>
      <c r="F69" s="51" t="n"/>
      <c r="J69" s="51" t="n"/>
    </row>
    <row r="70">
      <c r="B70" s="51" t="n"/>
      <c r="C70" s="51" t="n"/>
      <c r="D70" s="51" t="n"/>
      <c r="E70" s="51" t="n"/>
      <c r="F70" s="51" t="n"/>
      <c r="J70" s="51" t="n"/>
    </row>
    <row r="71">
      <c r="B71" s="51" t="n"/>
      <c r="C71" s="51" t="n"/>
      <c r="D71" s="51" t="n"/>
      <c r="E71" s="51" t="n"/>
      <c r="F71" s="51" t="n"/>
      <c r="J71" s="51" t="n"/>
    </row>
    <row r="72">
      <c r="B72" s="51" t="n"/>
      <c r="C72" s="51" t="n"/>
      <c r="D72" s="51" t="n"/>
      <c r="E72" s="51" t="n"/>
      <c r="F72" s="51" t="n"/>
      <c r="J72" s="51" t="n"/>
    </row>
    <row r="73">
      <c r="B73" s="51" t="n"/>
      <c r="C73" s="51" t="n"/>
      <c r="D73" s="51" t="n"/>
      <c r="E73" s="51" t="n"/>
      <c r="F73" s="51" t="n"/>
      <c r="J73" s="51" t="n"/>
    </row>
    <row r="74">
      <c r="B74" s="51" t="n"/>
      <c r="C74" s="51" t="n"/>
      <c r="D74" s="51" t="n"/>
      <c r="E74" s="51" t="n"/>
      <c r="F74" s="51" t="n"/>
      <c r="J74" s="51" t="n"/>
    </row>
    <row r="75">
      <c r="B75" s="51" t="n"/>
      <c r="C75" s="51" t="n"/>
      <c r="D75" s="51" t="n"/>
      <c r="E75" s="51" t="n"/>
      <c r="F75" s="51" t="n"/>
      <c r="J75" s="51" t="n"/>
    </row>
    <row r="76">
      <c r="B76" s="51" t="n"/>
      <c r="C76" s="51" t="n"/>
      <c r="D76" s="51" t="n"/>
      <c r="E76" s="51" t="n"/>
      <c r="F76" s="51" t="n"/>
      <c r="J76" s="51" t="n"/>
    </row>
    <row r="77">
      <c r="B77" s="51" t="n"/>
      <c r="C77" s="51" t="n"/>
      <c r="D77" s="51" t="n"/>
      <c r="E77" s="51" t="n"/>
      <c r="F77" s="51" t="n"/>
      <c r="J77" s="51" t="n"/>
    </row>
    <row r="78">
      <c r="B78" s="51" t="n"/>
      <c r="C78" s="51" t="n"/>
      <c r="D78" s="51" t="n"/>
      <c r="E78" s="51" t="n"/>
      <c r="F78" s="51" t="n"/>
      <c r="J78" s="51" t="n"/>
    </row>
    <row r="79">
      <c r="B79" s="51" t="n"/>
      <c r="C79" s="51" t="n"/>
      <c r="D79" s="51" t="n"/>
      <c r="E79" s="51" t="n"/>
      <c r="F79" s="51" t="n"/>
      <c r="J79" s="51" t="n"/>
    </row>
    <row r="80">
      <c r="B80" s="51" t="n"/>
      <c r="C80" s="51" t="n"/>
      <c r="D80" s="51" t="n"/>
      <c r="E80" s="51" t="n"/>
      <c r="F80" s="51" t="n"/>
      <c r="J80" s="51" t="n"/>
    </row>
    <row r="81">
      <c r="B81" s="51" t="n"/>
      <c r="C81" s="51" t="n"/>
      <c r="D81" s="51" t="n"/>
      <c r="E81" s="51" t="n"/>
      <c r="F81" s="51" t="n"/>
      <c r="J81" s="51" t="n"/>
    </row>
    <row r="82">
      <c r="B82" s="51" t="n"/>
      <c r="C82" s="51" t="n"/>
      <c r="D82" s="51" t="n"/>
      <c r="E82" s="51" t="n"/>
      <c r="F82" s="51" t="n"/>
      <c r="J82" s="51" t="n"/>
    </row>
    <row r="83">
      <c r="B83" s="51" t="n"/>
      <c r="C83" s="51" t="n"/>
      <c r="D83" s="51" t="n"/>
      <c r="E83" s="51" t="n"/>
      <c r="F83" s="51" t="n"/>
      <c r="J83" s="51" t="n"/>
    </row>
    <row r="84">
      <c r="B84" s="51" t="n"/>
      <c r="C84" s="51" t="n"/>
      <c r="D84" s="51" t="n"/>
      <c r="E84" s="51" t="n"/>
      <c r="F84" s="51" t="n"/>
      <c r="J84" s="51" t="n"/>
    </row>
    <row r="85">
      <c r="B85" s="51" t="n"/>
      <c r="C85" s="51" t="n"/>
      <c r="D85" s="51" t="n"/>
      <c r="E85" s="51" t="n"/>
      <c r="F85" s="51" t="n"/>
      <c r="J85" s="51" t="n"/>
    </row>
    <row r="86">
      <c r="B86" s="51" t="n"/>
      <c r="C86" s="51" t="n"/>
      <c r="D86" s="51" t="n"/>
      <c r="E86" s="51" t="n"/>
      <c r="F86" s="51" t="n"/>
      <c r="J86" s="51" t="n"/>
    </row>
    <row r="87">
      <c r="B87" s="51" t="n"/>
      <c r="C87" s="51" t="n"/>
      <c r="D87" s="51" t="n"/>
      <c r="E87" s="51" t="n"/>
      <c r="F87" s="51" t="n"/>
      <c r="J87" s="51" t="n"/>
    </row>
    <row r="88">
      <c r="B88" s="51" t="n"/>
      <c r="C88" s="51" t="n"/>
      <c r="D88" s="51" t="n"/>
      <c r="E88" s="51" t="n"/>
      <c r="F88" s="51" t="n"/>
      <c r="J88" s="51" t="n"/>
    </row>
    <row r="89">
      <c r="B89" s="51" t="n"/>
      <c r="C89" s="51" t="n"/>
      <c r="D89" s="51" t="n"/>
      <c r="E89" s="51" t="n"/>
      <c r="F89" s="51" t="n"/>
      <c r="J89" s="51" t="n"/>
    </row>
    <row r="90">
      <c r="B90" s="51" t="n"/>
      <c r="C90" s="51" t="n"/>
      <c r="D90" s="51" t="n"/>
      <c r="E90" s="51" t="n"/>
      <c r="F90" s="51" t="n"/>
      <c r="J90" s="51" t="n"/>
    </row>
    <row r="91">
      <c r="B91" s="51" t="n"/>
      <c r="C91" s="51" t="n"/>
      <c r="D91" s="51" t="n"/>
      <c r="E91" s="51" t="n"/>
      <c r="F91" s="51" t="n"/>
      <c r="J91" s="51" t="n"/>
    </row>
    <row r="92">
      <c r="B92" s="51" t="n"/>
      <c r="C92" s="51" t="n"/>
      <c r="D92" s="51" t="n"/>
      <c r="E92" s="51" t="n"/>
      <c r="F92" s="51" t="n"/>
      <c r="J92" s="51" t="n"/>
    </row>
    <row r="93">
      <c r="B93" s="51" t="n"/>
      <c r="C93" s="51" t="n"/>
      <c r="D93" s="51" t="n"/>
      <c r="E93" s="51" t="n"/>
      <c r="F93" s="51" t="n"/>
      <c r="J93" s="51" t="n"/>
    </row>
    <row r="94">
      <c r="B94" s="51" t="n"/>
      <c r="C94" s="51" t="n"/>
      <c r="D94" s="51" t="n"/>
      <c r="E94" s="51" t="n"/>
      <c r="F94" s="51" t="n"/>
      <c r="J94" s="51" t="n"/>
    </row>
    <row r="95">
      <c r="B95" s="51" t="n"/>
      <c r="C95" s="51" t="n"/>
      <c r="D95" s="51" t="n"/>
      <c r="E95" s="51" t="n"/>
      <c r="F95" s="51" t="n"/>
      <c r="J95" s="51" t="n"/>
    </row>
    <row r="96">
      <c r="B96" s="51" t="n"/>
      <c r="C96" s="51" t="n"/>
      <c r="D96" s="51" t="n"/>
      <c r="E96" s="51" t="n"/>
      <c r="F96" s="51" t="n"/>
      <c r="J96" s="51" t="n"/>
    </row>
    <row r="97">
      <c r="B97" s="51" t="n"/>
      <c r="C97" s="51" t="n"/>
      <c r="D97" s="51" t="n"/>
      <c r="E97" s="51" t="n"/>
      <c r="F97" s="51" t="n"/>
      <c r="J97" s="51" t="n"/>
    </row>
    <row r="98">
      <c r="B98" s="51" t="n"/>
      <c r="C98" s="51" t="n"/>
      <c r="D98" s="51" t="n"/>
      <c r="E98" s="51" t="n"/>
      <c r="F98" s="51" t="n"/>
      <c r="J98" s="51" t="n"/>
    </row>
    <row r="99">
      <c r="B99" s="51" t="n"/>
      <c r="C99" s="51" t="n"/>
      <c r="D99" s="51" t="n"/>
      <c r="E99" s="51" t="n"/>
      <c r="F99" s="51" t="n"/>
      <c r="J99" s="51" t="n"/>
    </row>
    <row r="100">
      <c r="B100" s="51" t="n"/>
      <c r="C100" s="51" t="n"/>
      <c r="D100" s="51" t="n"/>
      <c r="E100" s="51" t="n"/>
      <c r="F100" s="51" t="n"/>
      <c r="J100" s="51" t="n"/>
    </row>
    <row r="101">
      <c r="B101" s="51" t="n"/>
      <c r="C101" s="51" t="n"/>
      <c r="D101" s="51" t="n"/>
      <c r="E101" s="51" t="n"/>
      <c r="F101" s="51" t="n"/>
      <c r="J101" s="51" t="n"/>
    </row>
    <row r="102">
      <c r="B102" s="51" t="n"/>
      <c r="C102" s="51" t="n"/>
      <c r="D102" s="51" t="n"/>
      <c r="E102" s="51" t="n"/>
      <c r="F102" s="51" t="n"/>
      <c r="J102" s="51" t="n"/>
    </row>
    <row r="103">
      <c r="B103" s="51" t="n"/>
      <c r="C103" s="51" t="n"/>
      <c r="D103" s="51" t="n"/>
      <c r="E103" s="51" t="n"/>
      <c r="F103" s="51" t="n"/>
      <c r="J103" s="51" t="n"/>
    </row>
    <row r="104">
      <c r="B104" s="51" t="n"/>
      <c r="C104" s="51" t="n"/>
      <c r="D104" s="51" t="n"/>
      <c r="E104" s="51" t="n"/>
      <c r="F104" s="51" t="n"/>
      <c r="J104" s="51" t="n"/>
    </row>
    <row r="105">
      <c r="B105" s="51" t="n"/>
      <c r="C105" s="51" t="n"/>
      <c r="D105" s="51" t="n"/>
      <c r="E105" s="51" t="n"/>
      <c r="F105" s="51" t="n"/>
      <c r="J105" s="51" t="n"/>
    </row>
    <row r="106">
      <c r="B106" s="51" t="n"/>
      <c r="C106" s="51" t="n"/>
      <c r="D106" s="51" t="n"/>
      <c r="E106" s="51" t="n"/>
      <c r="F106" s="51" t="n"/>
      <c r="J106" s="51" t="n"/>
    </row>
    <row r="107">
      <c r="B107" s="51" t="n"/>
      <c r="C107" s="51" t="n"/>
      <c r="D107" s="51" t="n"/>
      <c r="E107" s="51" t="n"/>
      <c r="F107" s="51" t="n"/>
      <c r="J107" s="51" t="n"/>
    </row>
    <row r="108">
      <c r="B108" s="51" t="n"/>
      <c r="C108" s="51" t="n"/>
      <c r="D108" s="51" t="n"/>
      <c r="E108" s="51" t="n"/>
      <c r="F108" s="51" t="n"/>
      <c r="J108" s="51" t="n"/>
    </row>
    <row r="109">
      <c r="B109" s="51" t="n"/>
      <c r="C109" s="51" t="n"/>
      <c r="D109" s="51" t="n"/>
      <c r="E109" s="51" t="n"/>
      <c r="F109" s="51" t="n"/>
      <c r="J109" s="51" t="n"/>
    </row>
    <row r="110">
      <c r="B110" s="51" t="n"/>
      <c r="C110" s="51" t="n"/>
      <c r="D110" s="51" t="n"/>
      <c r="E110" s="51" t="n"/>
      <c r="F110" s="51" t="n"/>
      <c r="J110" s="51" t="n"/>
    </row>
    <row r="111">
      <c r="B111" s="51" t="n"/>
      <c r="C111" s="51" t="n"/>
      <c r="D111" s="51" t="n"/>
      <c r="E111" s="51" t="n"/>
      <c r="F111" s="51" t="n"/>
      <c r="J111" s="51" t="n"/>
    </row>
    <row r="112">
      <c r="B112" s="51" t="n"/>
      <c r="C112" s="51" t="n"/>
      <c r="D112" s="51" t="n"/>
      <c r="E112" s="51" t="n"/>
      <c r="F112" s="51" t="n"/>
      <c r="J112" s="51" t="n"/>
    </row>
    <row r="113">
      <c r="B113" s="51" t="n"/>
      <c r="C113" s="51" t="n"/>
      <c r="D113" s="51" t="n"/>
      <c r="E113" s="51" t="n"/>
      <c r="F113" s="51" t="n"/>
      <c r="J113" s="51" t="n"/>
    </row>
    <row r="114">
      <c r="B114" s="51" t="n"/>
      <c r="C114" s="51" t="n"/>
      <c r="D114" s="51" t="n"/>
      <c r="E114" s="51" t="n"/>
      <c r="F114" s="51" t="n"/>
      <c r="J114" s="51" t="n"/>
    </row>
    <row r="115">
      <c r="B115" s="51" t="n"/>
      <c r="C115" s="51" t="n"/>
      <c r="D115" s="51" t="n"/>
      <c r="E115" s="51" t="n"/>
      <c r="F115" s="51" t="n"/>
      <c r="J115" s="51" t="n"/>
    </row>
    <row r="116">
      <c r="B116" s="51" t="n"/>
      <c r="C116" s="51" t="n"/>
      <c r="D116" s="51" t="n"/>
      <c r="E116" s="51" t="n"/>
      <c r="F116" s="51" t="n"/>
      <c r="J116" s="51" t="n"/>
    </row>
    <row r="117">
      <c r="B117" s="51" t="n"/>
      <c r="C117" s="51" t="n"/>
      <c r="D117" s="51" t="n"/>
      <c r="E117" s="51" t="n"/>
      <c r="F117" s="51" t="n"/>
      <c r="J117" s="51" t="n"/>
    </row>
    <row r="118">
      <c r="B118" s="51" t="n"/>
      <c r="C118" s="51" t="n"/>
      <c r="D118" s="51" t="n"/>
      <c r="E118" s="51" t="n"/>
      <c r="F118" s="51" t="n"/>
      <c r="J118" s="51" t="n"/>
    </row>
    <row r="119">
      <c r="B119" s="51" t="n"/>
      <c r="C119" s="51" t="n"/>
      <c r="D119" s="51" t="n"/>
      <c r="E119" s="51" t="n"/>
      <c r="F119" s="51" t="n"/>
      <c r="J119" s="51" t="n"/>
    </row>
    <row r="120">
      <c r="B120" s="51" t="n"/>
      <c r="C120" s="51" t="n"/>
      <c r="D120" s="51" t="n"/>
      <c r="E120" s="51" t="n"/>
      <c r="F120" s="51" t="n"/>
      <c r="J120" s="51" t="n"/>
    </row>
    <row r="121">
      <c r="B121" s="51" t="n"/>
      <c r="C121" s="51" t="n"/>
      <c r="D121" s="51" t="n"/>
      <c r="E121" s="51" t="n"/>
      <c r="F121" s="51" t="n"/>
      <c r="J121" s="51" t="n"/>
    </row>
    <row r="122">
      <c r="B122" s="51" t="n"/>
      <c r="C122" s="51" t="n"/>
      <c r="D122" s="51" t="n"/>
      <c r="E122" s="51" t="n"/>
      <c r="F122" s="51" t="n"/>
      <c r="J122" s="51" t="n"/>
    </row>
    <row r="123">
      <c r="B123" s="51" t="n"/>
      <c r="C123" s="51" t="n"/>
      <c r="D123" s="51" t="n"/>
      <c r="E123" s="51" t="n"/>
      <c r="F123" s="51" t="n"/>
      <c r="J123" s="51" t="n"/>
    </row>
    <row r="124">
      <c r="B124" s="51" t="n"/>
      <c r="C124" s="51" t="n"/>
      <c r="D124" s="51" t="n"/>
      <c r="E124" s="51" t="n"/>
      <c r="F124" s="51" t="n"/>
      <c r="J124" s="51" t="n"/>
    </row>
    <row r="125">
      <c r="B125" s="51" t="n"/>
      <c r="C125" s="51" t="n"/>
      <c r="D125" s="51" t="n"/>
      <c r="E125" s="51" t="n"/>
      <c r="F125" s="51" t="n"/>
      <c r="J125" s="51" t="n"/>
    </row>
    <row r="126">
      <c r="B126" s="51" t="n"/>
      <c r="C126" s="51" t="n"/>
      <c r="D126" s="51" t="n"/>
      <c r="E126" s="51" t="n"/>
      <c r="F126" s="51" t="n"/>
      <c r="J126" s="51" t="n"/>
    </row>
    <row r="127">
      <c r="B127" s="51" t="n"/>
      <c r="C127" s="51" t="n"/>
      <c r="D127" s="51" t="n"/>
      <c r="E127" s="51" t="n"/>
      <c r="F127" s="51" t="n"/>
      <c r="J127" s="51" t="n"/>
    </row>
    <row r="128">
      <c r="B128" s="51" t="n"/>
      <c r="C128" s="51" t="n"/>
      <c r="D128" s="51" t="n"/>
      <c r="E128" s="51" t="n"/>
      <c r="F128" s="51" t="n"/>
      <c r="J128" s="51" t="n"/>
    </row>
    <row r="129">
      <c r="B129" s="51" t="n"/>
      <c r="C129" s="51" t="n"/>
      <c r="D129" s="51" t="n"/>
      <c r="E129" s="51" t="n"/>
      <c r="F129" s="51" t="n"/>
      <c r="J129" s="51" t="n"/>
    </row>
    <row r="130">
      <c r="B130" s="51" t="n"/>
      <c r="C130" s="51" t="n"/>
      <c r="D130" s="51" t="n"/>
      <c r="E130" s="51" t="n"/>
      <c r="F130" s="51" t="n"/>
      <c r="J130" s="51" t="n"/>
    </row>
    <row r="131">
      <c r="B131" s="51" t="n"/>
      <c r="C131" s="51" t="n"/>
      <c r="D131" s="51" t="n"/>
      <c r="E131" s="51" t="n"/>
      <c r="F131" s="51" t="n"/>
      <c r="J131" s="51" t="n"/>
    </row>
    <row r="132">
      <c r="B132" s="51" t="n"/>
      <c r="C132" s="51" t="n"/>
      <c r="D132" s="51" t="n"/>
      <c r="E132" s="51" t="n"/>
      <c r="F132" s="51" t="n"/>
      <c r="J132" s="51" t="n"/>
    </row>
    <row r="133">
      <c r="B133" s="51" t="n"/>
      <c r="C133" s="51" t="n"/>
      <c r="D133" s="51" t="n"/>
      <c r="E133" s="51" t="n"/>
      <c r="F133" s="51" t="n"/>
      <c r="J133" s="51" t="n"/>
    </row>
    <row r="134">
      <c r="B134" s="51" t="n"/>
      <c r="C134" s="51" t="n"/>
      <c r="D134" s="51" t="n"/>
      <c r="E134" s="51" t="n"/>
      <c r="F134" s="51" t="n"/>
      <c r="J134" s="51" t="n"/>
    </row>
    <row r="135">
      <c r="B135" s="51" t="n"/>
      <c r="C135" s="51" t="n"/>
      <c r="D135" s="51" t="n"/>
      <c r="E135" s="51" t="n"/>
      <c r="F135" s="51" t="n"/>
      <c r="J135" s="51" t="n"/>
    </row>
    <row r="136">
      <c r="B136" s="51" t="n"/>
      <c r="C136" s="51" t="n"/>
      <c r="D136" s="51" t="n"/>
      <c r="E136" s="51" t="n"/>
      <c r="F136" s="51" t="n"/>
      <c r="J136" s="51" t="n"/>
    </row>
    <row r="137">
      <c r="B137" s="51" t="n"/>
      <c r="C137" s="51" t="n"/>
      <c r="D137" s="51" t="n"/>
      <c r="E137" s="51" t="n"/>
      <c r="F137" s="51" t="n"/>
      <c r="J137" s="51" t="n"/>
    </row>
    <row r="138">
      <c r="B138" s="51" t="n"/>
      <c r="C138" s="51" t="n"/>
      <c r="D138" s="51" t="n"/>
      <c r="E138" s="51" t="n"/>
      <c r="F138" s="51" t="n"/>
      <c r="J138" s="51" t="n"/>
    </row>
    <row r="139">
      <c r="B139" s="51" t="n"/>
      <c r="C139" s="51" t="n"/>
      <c r="D139" s="51" t="n"/>
      <c r="E139" s="51" t="n"/>
      <c r="F139" s="51" t="n"/>
      <c r="J139" s="51" t="n"/>
    </row>
    <row r="140">
      <c r="B140" s="51" t="n"/>
      <c r="C140" s="51" t="n"/>
      <c r="D140" s="51" t="n"/>
      <c r="E140" s="51" t="n"/>
      <c r="F140" s="51" t="n"/>
      <c r="J140" s="51" t="n"/>
    </row>
    <row r="141">
      <c r="B141" s="51" t="n"/>
      <c r="C141" s="51" t="n"/>
      <c r="D141" s="51" t="n"/>
      <c r="E141" s="51" t="n"/>
      <c r="F141" s="51" t="n"/>
      <c r="J141" s="51" t="n"/>
    </row>
    <row r="142">
      <c r="B142" s="51" t="n"/>
      <c r="C142" s="51" t="n"/>
      <c r="D142" s="51" t="n"/>
      <c r="E142" s="51" t="n"/>
      <c r="F142" s="51" t="n"/>
      <c r="J142" s="51" t="n"/>
    </row>
    <row r="143">
      <c r="B143" s="51" t="n"/>
      <c r="C143" s="51" t="n"/>
      <c r="D143" s="51" t="n"/>
      <c r="E143" s="51" t="n"/>
      <c r="F143" s="51" t="n"/>
      <c r="J143" s="51" t="n"/>
    </row>
    <row r="144">
      <c r="B144" s="51" t="n"/>
      <c r="C144" s="51" t="n"/>
      <c r="D144" s="51" t="n"/>
      <c r="E144" s="51" t="n"/>
      <c r="F144" s="51" t="n"/>
      <c r="J144" s="51" t="n"/>
    </row>
    <row r="145">
      <c r="B145" s="51" t="n"/>
      <c r="C145" s="51" t="n"/>
      <c r="D145" s="51" t="n"/>
      <c r="E145" s="51" t="n"/>
      <c r="F145" s="51" t="n"/>
      <c r="J145" s="51" t="n"/>
    </row>
    <row r="146">
      <c r="B146" s="51" t="n"/>
      <c r="C146" s="51" t="n"/>
      <c r="D146" s="51" t="n"/>
      <c r="E146" s="51" t="n"/>
      <c r="F146" s="51" t="n"/>
      <c r="J146" s="51" t="n"/>
    </row>
    <row r="147">
      <c r="B147" s="51" t="n"/>
      <c r="C147" s="51" t="n"/>
      <c r="D147" s="51" t="n"/>
      <c r="E147" s="51" t="n"/>
      <c r="F147" s="51" t="n"/>
      <c r="J147" s="51" t="n"/>
    </row>
    <row r="148">
      <c r="B148" s="51" t="n"/>
      <c r="C148" s="51" t="n"/>
      <c r="D148" s="51" t="n"/>
      <c r="E148" s="51" t="n"/>
      <c r="F148" s="51" t="n"/>
      <c r="J148" s="51" t="n"/>
    </row>
    <row r="149">
      <c r="B149" s="51" t="n"/>
      <c r="C149" s="51" t="n"/>
      <c r="D149" s="51" t="n"/>
      <c r="E149" s="51" t="n"/>
      <c r="F149" s="51" t="n"/>
      <c r="J149" s="51" t="n"/>
    </row>
    <row r="150">
      <c r="B150" s="51" t="n"/>
      <c r="C150" s="51" t="n"/>
      <c r="D150" s="51" t="n"/>
      <c r="E150" s="51" t="n"/>
      <c r="F150" s="51" t="n"/>
      <c r="J150" s="51" t="n"/>
    </row>
    <row r="151">
      <c r="B151" s="51" t="n"/>
      <c r="C151" s="51" t="n"/>
      <c r="D151" s="51" t="n"/>
      <c r="E151" s="51" t="n"/>
      <c r="F151" s="51" t="n"/>
      <c r="J151" s="51" t="n"/>
    </row>
    <row r="152">
      <c r="B152" s="51" t="n"/>
      <c r="C152" s="51" t="n"/>
      <c r="D152" s="51" t="n"/>
      <c r="E152" s="51" t="n"/>
      <c r="F152" s="51" t="n"/>
      <c r="J152" s="51" t="n"/>
    </row>
    <row r="153">
      <c r="B153" s="51" t="n"/>
      <c r="C153" s="51" t="n"/>
      <c r="D153" s="51" t="n"/>
      <c r="E153" s="51" t="n"/>
      <c r="F153" s="51" t="n"/>
      <c r="J153" s="51" t="n"/>
    </row>
    <row r="154">
      <c r="B154" s="51" t="n"/>
      <c r="C154" s="51" t="n"/>
      <c r="D154" s="51" t="n"/>
      <c r="E154" s="51" t="n"/>
      <c r="F154" s="51" t="n"/>
      <c r="J154" s="51" t="n"/>
    </row>
    <row r="155">
      <c r="B155" s="51" t="n"/>
      <c r="C155" s="51" t="n"/>
      <c r="D155" s="51" t="n"/>
      <c r="E155" s="51" t="n"/>
      <c r="F155" s="51" t="n"/>
      <c r="J155" s="51" t="n"/>
    </row>
    <row r="156">
      <c r="B156" s="51" t="n"/>
      <c r="C156" s="51" t="n"/>
      <c r="D156" s="51" t="n"/>
      <c r="E156" s="51" t="n"/>
      <c r="F156" s="51" t="n"/>
      <c r="J156" s="51" t="n"/>
    </row>
    <row r="157">
      <c r="B157" s="51" t="n"/>
      <c r="C157" s="51" t="n"/>
      <c r="D157" s="51" t="n"/>
      <c r="E157" s="51" t="n"/>
      <c r="F157" s="51" t="n"/>
      <c r="J157" s="51" t="n"/>
    </row>
    <row r="158">
      <c r="B158" s="51" t="n"/>
      <c r="C158" s="51" t="n"/>
      <c r="D158" s="51" t="n"/>
      <c r="E158" s="51" t="n"/>
      <c r="F158" s="51" t="n"/>
      <c r="J158" s="51" t="n"/>
    </row>
    <row r="159">
      <c r="B159" s="51" t="n"/>
      <c r="C159" s="51" t="n"/>
      <c r="D159" s="51" t="n"/>
      <c r="E159" s="51" t="n"/>
      <c r="F159" s="51" t="n"/>
      <c r="J159" s="51" t="n"/>
    </row>
    <row r="160">
      <c r="B160" s="51" t="n"/>
      <c r="C160" s="51" t="n"/>
      <c r="D160" s="51" t="n"/>
      <c r="E160" s="51" t="n"/>
      <c r="F160" s="51" t="n"/>
      <c r="J160" s="51" t="n"/>
    </row>
    <row r="161">
      <c r="B161" s="51" t="n"/>
      <c r="C161" s="51" t="n"/>
      <c r="D161" s="51" t="n"/>
      <c r="E161" s="51" t="n"/>
      <c r="F161" s="51" t="n"/>
      <c r="J161" s="51" t="n"/>
    </row>
    <row r="162">
      <c r="B162" s="51" t="n"/>
      <c r="C162" s="51" t="n"/>
      <c r="D162" s="51" t="n"/>
      <c r="E162" s="51" t="n"/>
      <c r="F162" s="51" t="n"/>
      <c r="J162" s="51" t="n"/>
    </row>
    <row r="163">
      <c r="B163" s="51" t="n"/>
      <c r="C163" s="51" t="n"/>
      <c r="D163" s="51" t="n"/>
      <c r="E163" s="51" t="n"/>
      <c r="F163" s="51" t="n"/>
      <c r="J163" s="51" t="n"/>
    </row>
    <row r="164">
      <c r="B164" s="51" t="n"/>
      <c r="C164" s="51" t="n"/>
      <c r="D164" s="51" t="n"/>
      <c r="E164" s="51" t="n"/>
      <c r="F164" s="51" t="n"/>
      <c r="J164" s="51" t="n"/>
    </row>
    <row r="165">
      <c r="B165" s="51" t="n"/>
      <c r="C165" s="51" t="n"/>
      <c r="D165" s="51" t="n"/>
      <c r="E165" s="51" t="n"/>
      <c r="F165" s="51" t="n"/>
      <c r="J165" s="51" t="n"/>
    </row>
    <row r="166">
      <c r="B166" s="51" t="n"/>
      <c r="C166" s="51" t="n"/>
      <c r="D166" s="51" t="n"/>
      <c r="E166" s="51" t="n"/>
      <c r="F166" s="51" t="n"/>
      <c r="J166" s="51" t="n"/>
    </row>
    <row r="167">
      <c r="B167" s="51" t="n"/>
      <c r="C167" s="51" t="n"/>
      <c r="D167" s="51" t="n"/>
      <c r="E167" s="51" t="n"/>
      <c r="F167" s="51" t="n"/>
      <c r="J167" s="51" t="n"/>
    </row>
    <row r="168">
      <c r="B168" s="51" t="n"/>
      <c r="C168" s="51" t="n"/>
      <c r="D168" s="51" t="n"/>
      <c r="E168" s="51" t="n"/>
      <c r="F168" s="51" t="n"/>
      <c r="J168" s="51" t="n"/>
    </row>
    <row r="169">
      <c r="B169" s="51" t="n"/>
      <c r="C169" s="51" t="n"/>
      <c r="D169" s="51" t="n"/>
      <c r="E169" s="51" t="n"/>
      <c r="F169" s="51" t="n"/>
      <c r="J169" s="51" t="n"/>
    </row>
    <row r="170">
      <c r="B170" s="51" t="n"/>
      <c r="C170" s="51" t="n"/>
      <c r="D170" s="51" t="n"/>
      <c r="E170" s="51" t="n"/>
      <c r="F170" s="51" t="n"/>
      <c r="J170" s="51" t="n"/>
    </row>
    <row r="171">
      <c r="B171" s="51" t="n"/>
      <c r="C171" s="51" t="n"/>
      <c r="D171" s="51" t="n"/>
      <c r="E171" s="51" t="n"/>
      <c r="F171" s="51" t="n"/>
      <c r="J171" s="51" t="n"/>
    </row>
    <row r="172">
      <c r="B172" s="51" t="n"/>
      <c r="C172" s="51" t="n"/>
      <c r="D172" s="51" t="n"/>
      <c r="E172" s="51" t="n"/>
      <c r="F172" s="51" t="n"/>
      <c r="J172" s="51" t="n"/>
    </row>
    <row r="173">
      <c r="B173" s="51" t="n"/>
      <c r="C173" s="51" t="n"/>
      <c r="D173" s="51" t="n"/>
      <c r="E173" s="51" t="n"/>
      <c r="F173" s="51" t="n"/>
      <c r="J173" s="51" t="n"/>
    </row>
    <row r="174">
      <c r="B174" s="51" t="n"/>
      <c r="C174" s="51" t="n"/>
      <c r="D174" s="51" t="n"/>
      <c r="E174" s="51" t="n"/>
      <c r="F174" s="51" t="n"/>
      <c r="J174" s="51" t="n"/>
    </row>
    <row r="175">
      <c r="B175" s="51" t="n"/>
      <c r="C175" s="51" t="n"/>
      <c r="D175" s="51" t="n"/>
      <c r="E175" s="51" t="n"/>
      <c r="F175" s="51" t="n"/>
      <c r="J175" s="51" t="n"/>
    </row>
    <row r="176">
      <c r="B176" s="51" t="n"/>
      <c r="C176" s="51" t="n"/>
      <c r="D176" s="51" t="n"/>
      <c r="E176" s="51" t="n"/>
      <c r="F176" s="51" t="n"/>
      <c r="J176" s="51" t="n"/>
    </row>
    <row r="177">
      <c r="B177" s="51" t="n"/>
      <c r="C177" s="51" t="n"/>
      <c r="D177" s="51" t="n"/>
      <c r="E177" s="51" t="n"/>
      <c r="F177" s="51" t="n"/>
      <c r="J177" s="51" t="n"/>
    </row>
    <row r="178">
      <c r="B178" s="51" t="n"/>
      <c r="C178" s="51" t="n"/>
      <c r="D178" s="51" t="n"/>
      <c r="E178" s="51" t="n"/>
      <c r="F178" s="51" t="n"/>
      <c r="J178" s="51" t="n"/>
    </row>
    <row r="179">
      <c r="B179" s="51" t="n"/>
      <c r="C179" s="51" t="n"/>
      <c r="D179" s="51" t="n"/>
      <c r="E179" s="51" t="n"/>
      <c r="F179" s="51" t="n"/>
      <c r="J179" s="51" t="n"/>
    </row>
    <row r="180">
      <c r="B180" s="51" t="n"/>
      <c r="C180" s="51" t="n"/>
      <c r="D180" s="51" t="n"/>
      <c r="E180" s="51" t="n"/>
      <c r="F180" s="51" t="n"/>
      <c r="J180" s="51" t="n"/>
    </row>
    <row r="181">
      <c r="B181" s="51" t="n"/>
      <c r="C181" s="51" t="n"/>
      <c r="D181" s="51" t="n"/>
      <c r="E181" s="51" t="n"/>
      <c r="F181" s="51" t="n"/>
      <c r="J181" s="51" t="n"/>
    </row>
    <row r="182">
      <c r="B182" s="51" t="n"/>
      <c r="C182" s="51" t="n"/>
      <c r="D182" s="51" t="n"/>
      <c r="E182" s="51" t="n"/>
      <c r="F182" s="51" t="n"/>
      <c r="J182" s="51" t="n"/>
    </row>
    <row r="183">
      <c r="B183" s="51" t="n"/>
      <c r="C183" s="51" t="n"/>
      <c r="D183" s="51" t="n"/>
      <c r="E183" s="51" t="n"/>
      <c r="F183" s="51" t="n"/>
      <c r="J183" s="51" t="n"/>
    </row>
    <row r="184">
      <c r="B184" s="51" t="n"/>
      <c r="C184" s="51" t="n"/>
      <c r="D184" s="51" t="n"/>
      <c r="E184" s="51" t="n"/>
      <c r="F184" s="51" t="n"/>
      <c r="J184" s="51" t="n"/>
    </row>
    <row r="185">
      <c r="B185" s="51" t="n"/>
      <c r="C185" s="51" t="n"/>
      <c r="D185" s="51" t="n"/>
      <c r="E185" s="51" t="n"/>
      <c r="F185" s="51" t="n"/>
      <c r="J185" s="51" t="n"/>
    </row>
    <row r="186">
      <c r="B186" s="51" t="n"/>
      <c r="C186" s="51" t="n"/>
      <c r="D186" s="51" t="n"/>
      <c r="E186" s="51" t="n"/>
      <c r="F186" s="51" t="n"/>
      <c r="J186" s="51" t="n"/>
    </row>
    <row r="187">
      <c r="B187" s="51" t="n"/>
      <c r="C187" s="51" t="n"/>
      <c r="D187" s="51" t="n"/>
      <c r="E187" s="51" t="n"/>
      <c r="F187" s="51" t="n"/>
      <c r="J187" s="51" t="n"/>
    </row>
    <row r="188">
      <c r="B188" s="51" t="n"/>
      <c r="C188" s="51" t="n"/>
      <c r="D188" s="51" t="n"/>
      <c r="E188" s="51" t="n"/>
      <c r="F188" s="51" t="n"/>
      <c r="J188" s="51" t="n"/>
    </row>
    <row r="189">
      <c r="B189" s="51" t="n"/>
      <c r="C189" s="51" t="n"/>
      <c r="D189" s="51" t="n"/>
      <c r="E189" s="51" t="n"/>
      <c r="F189" s="51" t="n"/>
      <c r="J189" s="51" t="n"/>
    </row>
    <row r="190">
      <c r="B190" s="51" t="n"/>
      <c r="C190" s="51" t="n"/>
      <c r="D190" s="51" t="n"/>
      <c r="E190" s="51" t="n"/>
      <c r="F190" s="51" t="n"/>
      <c r="J190" s="51" t="n"/>
    </row>
    <row r="191">
      <c r="B191" s="51" t="n"/>
      <c r="C191" s="51" t="n"/>
      <c r="D191" s="51" t="n"/>
      <c r="E191" s="51" t="n"/>
      <c r="F191" s="51" t="n"/>
      <c r="J191" s="51" t="n"/>
    </row>
    <row r="192">
      <c r="B192" s="51" t="n"/>
      <c r="C192" s="51" t="n"/>
      <c r="D192" s="51" t="n"/>
      <c r="E192" s="51" t="n"/>
      <c r="F192" s="51" t="n"/>
      <c r="J192" s="51" t="n"/>
    </row>
    <row r="193">
      <c r="B193" s="51" t="n"/>
      <c r="C193" s="51" t="n"/>
      <c r="D193" s="51" t="n"/>
      <c r="E193" s="51" t="n"/>
      <c r="F193" s="51" t="n"/>
      <c r="J193" s="51" t="n"/>
    </row>
    <row r="194">
      <c r="B194" s="51" t="n"/>
      <c r="C194" s="51" t="n"/>
      <c r="D194" s="51" t="n"/>
      <c r="E194" s="51" t="n"/>
      <c r="F194" s="51" t="n"/>
      <c r="J194" s="51" t="n"/>
    </row>
    <row r="195">
      <c r="B195" s="51" t="n"/>
      <c r="C195" s="51" t="n"/>
      <c r="D195" s="51" t="n"/>
      <c r="E195" s="51" t="n"/>
      <c r="F195" s="51" t="n"/>
      <c r="J195" s="51" t="n"/>
    </row>
    <row r="196">
      <c r="B196" s="51" t="n"/>
      <c r="C196" s="51" t="n"/>
      <c r="D196" s="51" t="n"/>
      <c r="E196" s="51" t="n"/>
      <c r="F196" s="51" t="n"/>
      <c r="J196" s="51" t="n"/>
    </row>
    <row r="197">
      <c r="B197" s="51" t="n"/>
      <c r="C197" s="51" t="n"/>
      <c r="D197" s="51" t="n"/>
      <c r="E197" s="51" t="n"/>
      <c r="F197" s="51" t="n"/>
      <c r="J197" s="51" t="n"/>
    </row>
    <row r="198">
      <c r="B198" s="51" t="n"/>
      <c r="C198" s="51" t="n"/>
      <c r="D198" s="51" t="n"/>
      <c r="E198" s="51" t="n"/>
      <c r="F198" s="51" t="n"/>
      <c r="J198" s="51" t="n"/>
    </row>
    <row r="199">
      <c r="B199" s="51" t="n"/>
      <c r="C199" s="51" t="n"/>
      <c r="D199" s="51" t="n"/>
      <c r="E199" s="51" t="n"/>
      <c r="F199" s="51" t="n"/>
      <c r="J199" s="51" t="n"/>
    </row>
    <row r="200">
      <c r="B200" s="51" t="n"/>
      <c r="C200" s="51" t="n"/>
      <c r="D200" s="51" t="n"/>
      <c r="E200" s="51" t="n"/>
      <c r="F200" s="51" t="n"/>
      <c r="J200" s="51" t="n"/>
    </row>
    <row r="201">
      <c r="B201" s="51" t="n"/>
      <c r="C201" s="51" t="n"/>
      <c r="D201" s="51" t="n"/>
      <c r="E201" s="51" t="n"/>
      <c r="F201" s="51" t="n"/>
      <c r="J201" s="51" t="n"/>
    </row>
    <row r="202">
      <c r="B202" s="51" t="n"/>
      <c r="C202" s="51" t="n"/>
      <c r="D202" s="51" t="n"/>
      <c r="E202" s="51" t="n"/>
      <c r="F202" s="51" t="n"/>
      <c r="J202" s="51" t="n"/>
    </row>
    <row r="203">
      <c r="B203" s="51" t="n"/>
      <c r="C203" s="51" t="n"/>
      <c r="D203" s="51" t="n"/>
      <c r="E203" s="51" t="n"/>
      <c r="F203" s="51" t="n"/>
      <c r="J203" s="51" t="n"/>
    </row>
    <row r="204">
      <c r="B204" s="51" t="n"/>
      <c r="C204" s="51" t="n"/>
      <c r="D204" s="51" t="n"/>
      <c r="E204" s="51" t="n"/>
      <c r="F204" s="51" t="n"/>
      <c r="J204" s="51" t="n"/>
    </row>
    <row r="205">
      <c r="B205" s="51" t="n"/>
      <c r="C205" s="51" t="n"/>
      <c r="D205" s="51" t="n"/>
      <c r="E205" s="51" t="n"/>
      <c r="F205" s="51" t="n"/>
      <c r="J205" s="51" t="n"/>
    </row>
    <row r="206">
      <c r="B206" s="51" t="n"/>
      <c r="C206" s="51" t="n"/>
      <c r="D206" s="51" t="n"/>
      <c r="E206" s="51" t="n"/>
      <c r="F206" s="51" t="n"/>
      <c r="J206" s="51" t="n"/>
    </row>
    <row r="207">
      <c r="B207" s="51" t="n"/>
      <c r="C207" s="51" t="n"/>
      <c r="D207" s="51" t="n"/>
      <c r="E207" s="51" t="n"/>
      <c r="F207" s="51" t="n"/>
      <c r="J207" s="51" t="n"/>
    </row>
    <row r="208">
      <c r="B208" s="51" t="n"/>
      <c r="C208" s="51" t="n"/>
      <c r="D208" s="51" t="n"/>
      <c r="E208" s="51" t="n"/>
      <c r="F208" s="51" t="n"/>
      <c r="J208" s="51" t="n"/>
    </row>
    <row r="209">
      <c r="B209" s="51" t="n"/>
      <c r="C209" s="51" t="n"/>
      <c r="D209" s="51" t="n"/>
      <c r="E209" s="51" t="n"/>
      <c r="F209" s="51" t="n"/>
      <c r="J209" s="51" t="n"/>
    </row>
    <row r="210">
      <c r="B210" s="51" t="n"/>
      <c r="C210" s="51" t="n"/>
      <c r="D210" s="51" t="n"/>
      <c r="E210" s="51" t="n"/>
      <c r="F210" s="51" t="n"/>
      <c r="J210" s="51" t="n"/>
    </row>
    <row r="211">
      <c r="B211" s="51" t="n"/>
      <c r="C211" s="51" t="n"/>
      <c r="D211" s="51" t="n"/>
      <c r="E211" s="51" t="n"/>
      <c r="F211" s="51" t="n"/>
      <c r="J211" s="51" t="n"/>
    </row>
    <row r="212">
      <c r="B212" s="51" t="n"/>
      <c r="C212" s="51" t="n"/>
      <c r="D212" s="51" t="n"/>
      <c r="E212" s="51" t="n"/>
      <c r="F212" s="51" t="n"/>
      <c r="J212" s="51" t="n"/>
    </row>
    <row r="213">
      <c r="B213" s="51" t="n"/>
      <c r="C213" s="51" t="n"/>
      <c r="D213" s="51" t="n"/>
      <c r="E213" s="51" t="n"/>
      <c r="F213" s="51" t="n"/>
      <c r="J213" s="51" t="n"/>
    </row>
    <row r="214">
      <c r="B214" s="51" t="n"/>
      <c r="C214" s="51" t="n"/>
      <c r="D214" s="51" t="n"/>
      <c r="E214" s="51" t="n"/>
      <c r="F214" s="51" t="n"/>
      <c r="J214" s="51" t="n"/>
    </row>
    <row r="215">
      <c r="B215" s="51" t="n"/>
      <c r="C215" s="51" t="n"/>
      <c r="D215" s="51" t="n"/>
      <c r="E215" s="51" t="n"/>
      <c r="F215" s="51" t="n"/>
      <c r="J215" s="51" t="n"/>
    </row>
    <row r="216">
      <c r="B216" s="51" t="n"/>
      <c r="C216" s="51" t="n"/>
      <c r="D216" s="51" t="n"/>
      <c r="E216" s="51" t="n"/>
      <c r="F216" s="51" t="n"/>
      <c r="J216" s="51" t="n"/>
    </row>
    <row r="217">
      <c r="B217" s="51" t="n"/>
      <c r="C217" s="51" t="n"/>
      <c r="D217" s="51" t="n"/>
      <c r="E217" s="51" t="n"/>
      <c r="F217" s="51" t="n"/>
      <c r="J217" s="51" t="n"/>
    </row>
    <row r="218">
      <c r="B218" s="51" t="n"/>
      <c r="C218" s="51" t="n"/>
      <c r="D218" s="51" t="n"/>
      <c r="E218" s="51" t="n"/>
      <c r="F218" s="51" t="n"/>
      <c r="J218" s="51" t="n"/>
    </row>
    <row r="219">
      <c r="B219" s="51" t="n"/>
      <c r="C219" s="51" t="n"/>
      <c r="D219" s="51" t="n"/>
      <c r="E219" s="51" t="n"/>
      <c r="F219" s="51" t="n"/>
      <c r="J219" s="51" t="n"/>
    </row>
    <row r="220">
      <c r="B220" s="51" t="n"/>
      <c r="C220" s="51" t="n"/>
      <c r="D220" s="51" t="n"/>
      <c r="E220" s="51" t="n"/>
      <c r="F220" s="51" t="n"/>
      <c r="J220" s="51" t="n"/>
    </row>
    <row r="221">
      <c r="B221" s="51" t="n"/>
      <c r="C221" s="51" t="n"/>
      <c r="D221" s="51" t="n"/>
      <c r="E221" s="51" t="n"/>
      <c r="F221" s="51" t="n"/>
      <c r="J221" s="51" t="n"/>
    </row>
    <row r="222">
      <c r="B222" s="51" t="n"/>
      <c r="C222" s="51" t="n"/>
      <c r="D222" s="51" t="n"/>
      <c r="E222" s="51" t="n"/>
      <c r="F222" s="51" t="n"/>
      <c r="J222" s="51" t="n"/>
    </row>
    <row r="223">
      <c r="B223" s="51" t="n"/>
      <c r="C223" s="51" t="n"/>
      <c r="D223" s="51" t="n"/>
      <c r="E223" s="51" t="n"/>
      <c r="F223" s="51" t="n"/>
      <c r="J223" s="51" t="n"/>
    </row>
    <row r="224">
      <c r="B224" s="51" t="n"/>
      <c r="C224" s="51" t="n"/>
      <c r="D224" s="51" t="n"/>
      <c r="E224" s="51" t="n"/>
      <c r="F224" s="51" t="n"/>
      <c r="J224" s="51" t="n"/>
    </row>
    <row r="225">
      <c r="B225" s="51" t="n"/>
      <c r="C225" s="51" t="n"/>
      <c r="D225" s="51" t="n"/>
      <c r="E225" s="51" t="n"/>
      <c r="F225" s="51" t="n"/>
      <c r="J225" s="51" t="n"/>
    </row>
    <row r="226">
      <c r="B226" s="51" t="n"/>
      <c r="C226" s="51" t="n"/>
      <c r="D226" s="51" t="n"/>
      <c r="E226" s="51" t="n"/>
      <c r="F226" s="51" t="n"/>
      <c r="J226" s="51" t="n"/>
    </row>
    <row r="227">
      <c r="B227" s="51" t="n"/>
      <c r="C227" s="51" t="n"/>
      <c r="D227" s="51" t="n"/>
      <c r="E227" s="51" t="n"/>
      <c r="F227" s="51" t="n"/>
      <c r="J227" s="51" t="n"/>
    </row>
    <row r="228">
      <c r="B228" s="51" t="n"/>
      <c r="C228" s="51" t="n"/>
      <c r="D228" s="51" t="n"/>
      <c r="E228" s="51" t="n"/>
      <c r="F228" s="51" t="n"/>
      <c r="J228" s="51" t="n"/>
    </row>
    <row r="229">
      <c r="B229" s="51" t="n"/>
      <c r="C229" s="51" t="n"/>
      <c r="D229" s="51" t="n"/>
      <c r="E229" s="51" t="n"/>
      <c r="F229" s="51" t="n"/>
      <c r="J229" s="51" t="n"/>
    </row>
    <row r="230">
      <c r="B230" s="51" t="n"/>
      <c r="C230" s="51" t="n"/>
      <c r="D230" s="51" t="n"/>
      <c r="E230" s="51" t="n"/>
      <c r="F230" s="51" t="n"/>
      <c r="J230" s="51" t="n"/>
    </row>
    <row r="231">
      <c r="B231" s="51" t="n"/>
      <c r="C231" s="51" t="n"/>
      <c r="D231" s="51" t="n"/>
      <c r="E231" s="51" t="n"/>
      <c r="F231" s="51" t="n"/>
      <c r="J231" s="51" t="n"/>
    </row>
    <row r="232">
      <c r="B232" s="51" t="n"/>
      <c r="C232" s="51" t="n"/>
      <c r="D232" s="51" t="n"/>
      <c r="E232" s="51" t="n"/>
      <c r="F232" s="51" t="n"/>
      <c r="J232" s="51" t="n"/>
    </row>
    <row r="233">
      <c r="B233" s="51" t="n"/>
      <c r="C233" s="51" t="n"/>
      <c r="D233" s="51" t="n"/>
      <c r="E233" s="51" t="n"/>
      <c r="F233" s="51" t="n"/>
      <c r="J233" s="51" t="n"/>
    </row>
    <row r="234">
      <c r="B234" s="51" t="n"/>
      <c r="C234" s="51" t="n"/>
      <c r="D234" s="51" t="n"/>
      <c r="E234" s="51" t="n"/>
      <c r="F234" s="51" t="n"/>
      <c r="J234" s="51" t="n"/>
    </row>
    <row r="235">
      <c r="B235" s="51" t="n"/>
      <c r="C235" s="51" t="n"/>
      <c r="D235" s="51" t="n"/>
      <c r="E235" s="51" t="n"/>
      <c r="F235" s="51" t="n"/>
      <c r="J235" s="51" t="n"/>
    </row>
    <row r="236">
      <c r="B236" s="51" t="n"/>
      <c r="C236" s="51" t="n"/>
      <c r="D236" s="51" t="n"/>
      <c r="E236" s="51" t="n"/>
      <c r="F236" s="51" t="n"/>
      <c r="J236" s="51" t="n"/>
    </row>
    <row r="237">
      <c r="B237" s="51" t="n"/>
      <c r="C237" s="51" t="n"/>
      <c r="D237" s="51" t="n"/>
      <c r="E237" s="51" t="n"/>
      <c r="F237" s="51" t="n"/>
      <c r="J237" s="51" t="n"/>
    </row>
    <row r="238">
      <c r="B238" s="51" t="n"/>
      <c r="C238" s="51" t="n"/>
      <c r="D238" s="51" t="n"/>
      <c r="E238" s="51" t="n"/>
      <c r="F238" s="51" t="n"/>
      <c r="J238" s="51" t="n"/>
    </row>
    <row r="239">
      <c r="B239" s="51" t="n"/>
      <c r="C239" s="51" t="n"/>
      <c r="D239" s="51" t="n"/>
      <c r="E239" s="51" t="n"/>
      <c r="F239" s="51" t="n"/>
      <c r="J239" s="51" t="n"/>
    </row>
    <row r="240">
      <c r="B240" s="51" t="n"/>
      <c r="C240" s="51" t="n"/>
      <c r="D240" s="51" t="n"/>
      <c r="E240" s="51" t="n"/>
      <c r="F240" s="51" t="n"/>
      <c r="J240" s="51" t="n"/>
    </row>
    <row r="241">
      <c r="B241" s="51" t="n"/>
      <c r="C241" s="51" t="n"/>
      <c r="D241" s="51" t="n"/>
      <c r="E241" s="51" t="n"/>
      <c r="F241" s="51" t="n"/>
      <c r="J241" s="51" t="n"/>
    </row>
    <row r="242">
      <c r="B242" s="51" t="n"/>
      <c r="C242" s="51" t="n"/>
      <c r="D242" s="51" t="n"/>
      <c r="E242" s="51" t="n"/>
      <c r="F242" s="51" t="n"/>
      <c r="J242" s="51" t="n"/>
    </row>
    <row r="243">
      <c r="B243" s="51" t="n"/>
      <c r="C243" s="51" t="n"/>
      <c r="D243" s="51" t="n"/>
      <c r="E243" s="51" t="n"/>
      <c r="F243" s="51" t="n"/>
      <c r="J243" s="51" t="n"/>
    </row>
    <row r="244">
      <c r="B244" s="51" t="n"/>
      <c r="C244" s="51" t="n"/>
      <c r="D244" s="51" t="n"/>
      <c r="E244" s="51" t="n"/>
      <c r="F244" s="51" t="n"/>
      <c r="J244" s="51" t="n"/>
    </row>
    <row r="245">
      <c r="B245" s="51" t="n"/>
      <c r="C245" s="51" t="n"/>
      <c r="D245" s="51" t="n"/>
      <c r="E245" s="51" t="n"/>
      <c r="F245" s="51" t="n"/>
      <c r="J245" s="51" t="n"/>
    </row>
    <row r="246">
      <c r="B246" s="51" t="n"/>
      <c r="C246" s="51" t="n"/>
      <c r="D246" s="51" t="n"/>
      <c r="E246" s="51" t="n"/>
      <c r="F246" s="51" t="n"/>
      <c r="J246" s="51" t="n"/>
    </row>
    <row r="247">
      <c r="B247" s="51" t="n"/>
      <c r="C247" s="51" t="n"/>
      <c r="D247" s="51" t="n"/>
      <c r="E247" s="51" t="n"/>
      <c r="F247" s="51" t="n"/>
      <c r="J247" s="51" t="n"/>
    </row>
    <row r="248">
      <c r="B248" s="51" t="n"/>
      <c r="C248" s="51" t="n"/>
      <c r="D248" s="51" t="n"/>
      <c r="E248" s="51" t="n"/>
      <c r="F248" s="51" t="n"/>
      <c r="J248" s="51" t="n"/>
    </row>
    <row r="249">
      <c r="B249" s="51" t="n"/>
      <c r="C249" s="51" t="n"/>
      <c r="D249" s="51" t="n"/>
      <c r="E249" s="51" t="n"/>
      <c r="F249" s="51" t="n"/>
      <c r="J249" s="51" t="n"/>
    </row>
    <row r="250">
      <c r="B250" s="51" t="n"/>
      <c r="C250" s="51" t="n"/>
      <c r="D250" s="51" t="n"/>
      <c r="E250" s="51" t="n"/>
      <c r="F250" s="51" t="n"/>
      <c r="J250" s="51" t="n"/>
    </row>
    <row r="251">
      <c r="B251" s="51" t="n"/>
      <c r="C251" s="51" t="n"/>
      <c r="D251" s="51" t="n"/>
      <c r="E251" s="51" t="n"/>
      <c r="F251" s="51" t="n"/>
      <c r="J251" s="51" t="n"/>
    </row>
    <row r="252">
      <c r="B252" s="51" t="n"/>
      <c r="C252" s="51" t="n"/>
      <c r="D252" s="51" t="n"/>
      <c r="E252" s="51" t="n"/>
      <c r="F252" s="51" t="n"/>
      <c r="J252" s="51" t="n"/>
    </row>
    <row r="253">
      <c r="B253" s="51" t="n"/>
      <c r="C253" s="51" t="n"/>
      <c r="D253" s="51" t="n"/>
      <c r="E253" s="51" t="n"/>
      <c r="F253" s="51" t="n"/>
      <c r="J253" s="51" t="n"/>
    </row>
    <row r="254">
      <c r="B254" s="51" t="n"/>
      <c r="C254" s="51" t="n"/>
      <c r="D254" s="51" t="n"/>
      <c r="E254" s="51" t="n"/>
      <c r="F254" s="51" t="n"/>
      <c r="J254" s="51" t="n"/>
    </row>
    <row r="255">
      <c r="B255" s="51" t="n"/>
      <c r="C255" s="51" t="n"/>
      <c r="D255" s="51" t="n"/>
      <c r="E255" s="51" t="n"/>
      <c r="F255" s="51" t="n"/>
      <c r="J255" s="51" t="n"/>
    </row>
    <row r="256">
      <c r="B256" s="51" t="n"/>
      <c r="C256" s="51" t="n"/>
      <c r="D256" s="51" t="n"/>
      <c r="E256" s="51" t="n"/>
      <c r="F256" s="51" t="n"/>
      <c r="J256" s="51" t="n"/>
    </row>
    <row r="257">
      <c r="B257" s="51" t="n"/>
      <c r="C257" s="51" t="n"/>
      <c r="D257" s="51" t="n"/>
      <c r="E257" s="51" t="n"/>
      <c r="F257" s="51" t="n"/>
      <c r="J257" s="51" t="n"/>
    </row>
    <row r="258">
      <c r="B258" s="51" t="n"/>
      <c r="C258" s="51" t="n"/>
      <c r="D258" s="51" t="n"/>
      <c r="E258" s="51" t="n"/>
      <c r="F258" s="51" t="n"/>
      <c r="J258" s="51" t="n"/>
    </row>
    <row r="259">
      <c r="B259" s="51" t="n"/>
      <c r="C259" s="51" t="n"/>
      <c r="D259" s="51" t="n"/>
      <c r="E259" s="51" t="n"/>
      <c r="F259" s="51" t="n"/>
      <c r="J259" s="51" t="n"/>
    </row>
    <row r="260">
      <c r="B260" s="51" t="n"/>
      <c r="C260" s="51" t="n"/>
      <c r="D260" s="51" t="n"/>
      <c r="E260" s="51" t="n"/>
      <c r="F260" s="51" t="n"/>
      <c r="J260" s="51" t="n"/>
    </row>
    <row r="261">
      <c r="B261" s="51" t="n"/>
      <c r="C261" s="51" t="n"/>
      <c r="D261" s="51" t="n"/>
      <c r="E261" s="51" t="n"/>
      <c r="F261" s="51" t="n"/>
      <c r="J261" s="51" t="n"/>
    </row>
    <row r="262">
      <c r="B262" s="51" t="n"/>
      <c r="C262" s="51" t="n"/>
      <c r="D262" s="51" t="n"/>
      <c r="E262" s="51" t="n"/>
      <c r="F262" s="51" t="n"/>
      <c r="J262" s="51" t="n"/>
    </row>
    <row r="263">
      <c r="B263" s="51" t="n"/>
      <c r="C263" s="51" t="n"/>
      <c r="D263" s="51" t="n"/>
      <c r="E263" s="51" t="n"/>
      <c r="F263" s="51" t="n"/>
      <c r="J263" s="51" t="n"/>
    </row>
    <row r="264">
      <c r="B264" s="51" t="n"/>
      <c r="C264" s="51" t="n"/>
      <c r="D264" s="51" t="n"/>
      <c r="E264" s="51" t="n"/>
      <c r="F264" s="51" t="n"/>
      <c r="J264" s="51" t="n"/>
    </row>
    <row r="265">
      <c r="B265" s="51" t="n"/>
      <c r="C265" s="51" t="n"/>
      <c r="D265" s="51" t="n"/>
      <c r="E265" s="51" t="n"/>
      <c r="F265" s="51" t="n"/>
      <c r="J265" s="51" t="n"/>
    </row>
    <row r="266">
      <c r="B266" s="51" t="n"/>
      <c r="C266" s="51" t="n"/>
      <c r="D266" s="51" t="n"/>
      <c r="E266" s="51" t="n"/>
      <c r="F266" s="51" t="n"/>
      <c r="J266" s="51" t="n"/>
    </row>
    <row r="267">
      <c r="B267" s="51" t="n"/>
      <c r="C267" s="51" t="n"/>
      <c r="D267" s="51" t="n"/>
      <c r="E267" s="51" t="n"/>
      <c r="F267" s="51" t="n"/>
      <c r="J267" s="51" t="n"/>
    </row>
    <row r="268">
      <c r="B268" s="51" t="n"/>
      <c r="C268" s="51" t="n"/>
      <c r="D268" s="51" t="n"/>
      <c r="E268" s="51" t="n"/>
      <c r="F268" s="51" t="n"/>
      <c r="J268" s="51" t="n"/>
    </row>
    <row r="269">
      <c r="B269" s="51" t="n"/>
      <c r="C269" s="51" t="n"/>
      <c r="D269" s="51" t="n"/>
      <c r="E269" s="51" t="n"/>
      <c r="F269" s="51" t="n"/>
      <c r="J269" s="51" t="n"/>
    </row>
    <row r="270">
      <c r="B270" s="51" t="n"/>
      <c r="C270" s="51" t="n"/>
      <c r="D270" s="51" t="n"/>
      <c r="E270" s="51" t="n"/>
      <c r="F270" s="51" t="n"/>
      <c r="J270" s="51" t="n"/>
    </row>
    <row r="271">
      <c r="B271" s="51" t="n"/>
      <c r="C271" s="51" t="n"/>
      <c r="D271" s="51" t="n"/>
      <c r="E271" s="51" t="n"/>
      <c r="F271" s="51" t="n"/>
      <c r="J271" s="51" t="n"/>
    </row>
    <row r="272">
      <c r="B272" s="51" t="n"/>
      <c r="C272" s="51" t="n"/>
      <c r="D272" s="51" t="n"/>
      <c r="E272" s="51" t="n"/>
      <c r="F272" s="51" t="n"/>
      <c r="J272" s="51" t="n"/>
    </row>
    <row r="273">
      <c r="B273" s="51" t="n"/>
      <c r="C273" s="51" t="n"/>
      <c r="D273" s="51" t="n"/>
      <c r="E273" s="51" t="n"/>
      <c r="F273" s="51" t="n"/>
      <c r="J273" s="51" t="n"/>
    </row>
    <row r="274">
      <c r="B274" s="51" t="n"/>
      <c r="C274" s="51" t="n"/>
      <c r="D274" s="51" t="n"/>
      <c r="E274" s="51" t="n"/>
      <c r="F274" s="51" t="n"/>
      <c r="J274" s="51" t="n"/>
    </row>
    <row r="275">
      <c r="B275" s="51" t="n"/>
      <c r="C275" s="51" t="n"/>
      <c r="D275" s="51" t="n"/>
      <c r="E275" s="51" t="n"/>
      <c r="F275" s="51" t="n"/>
      <c r="J275" s="51" t="n"/>
    </row>
    <row r="276">
      <c r="B276" s="51" t="n"/>
      <c r="C276" s="51" t="n"/>
      <c r="D276" s="51" t="n"/>
      <c r="E276" s="51" t="n"/>
      <c r="F276" s="51" t="n"/>
      <c r="J276" s="51" t="n"/>
    </row>
    <row r="277">
      <c r="B277" s="51" t="n"/>
      <c r="C277" s="51" t="n"/>
      <c r="D277" s="51" t="n"/>
      <c r="E277" s="51" t="n"/>
      <c r="F277" s="51" t="n"/>
      <c r="J277" s="51" t="n"/>
    </row>
    <row r="278">
      <c r="B278" s="51" t="n"/>
      <c r="C278" s="51" t="n"/>
      <c r="D278" s="51" t="n"/>
      <c r="E278" s="51" t="n"/>
      <c r="F278" s="51" t="n"/>
      <c r="J278" s="51" t="n"/>
    </row>
    <row r="279">
      <c r="B279" s="51" t="n"/>
      <c r="C279" s="51" t="n"/>
      <c r="D279" s="51" t="n"/>
      <c r="E279" s="51" t="n"/>
      <c r="F279" s="51" t="n"/>
      <c r="J279" s="51" t="n"/>
    </row>
    <row r="280">
      <c r="B280" s="51" t="n"/>
      <c r="C280" s="51" t="n"/>
      <c r="D280" s="51" t="n"/>
      <c r="E280" s="51" t="n"/>
      <c r="F280" s="51" t="n"/>
      <c r="J280" s="51" t="n"/>
    </row>
    <row r="281">
      <c r="B281" s="51" t="n"/>
      <c r="C281" s="51" t="n"/>
      <c r="D281" s="51" t="n"/>
      <c r="E281" s="51" t="n"/>
      <c r="F281" s="51" t="n"/>
      <c r="J281" s="51" t="n"/>
    </row>
    <row r="282">
      <c r="B282" s="51" t="n"/>
      <c r="C282" s="51" t="n"/>
      <c r="D282" s="51" t="n"/>
      <c r="E282" s="51" t="n"/>
      <c r="F282" s="51" t="n"/>
      <c r="J282" s="51" t="n"/>
    </row>
    <row r="283">
      <c r="B283" s="51" t="n"/>
      <c r="C283" s="51" t="n"/>
      <c r="D283" s="51" t="n"/>
      <c r="E283" s="51" t="n"/>
      <c r="F283" s="51" t="n"/>
      <c r="J283" s="51" t="n"/>
    </row>
    <row r="284">
      <c r="B284" s="51" t="n"/>
      <c r="C284" s="51" t="n"/>
      <c r="D284" s="51" t="n"/>
      <c r="E284" s="51" t="n"/>
      <c r="F284" s="51" t="n"/>
      <c r="J284" s="51" t="n"/>
    </row>
    <row r="285">
      <c r="B285" s="51" t="n"/>
      <c r="C285" s="51" t="n"/>
      <c r="D285" s="51" t="n"/>
      <c r="E285" s="51" t="n"/>
      <c r="F285" s="51" t="n"/>
      <c r="J285" s="51" t="n"/>
    </row>
    <row r="286">
      <c r="B286" s="51" t="n"/>
      <c r="C286" s="51" t="n"/>
      <c r="D286" s="51" t="n"/>
      <c r="E286" s="51" t="n"/>
      <c r="F286" s="51" t="n"/>
      <c r="J286" s="51" t="n"/>
    </row>
    <row r="287">
      <c r="B287" s="51" t="n"/>
      <c r="C287" s="51" t="n"/>
      <c r="D287" s="51" t="n"/>
      <c r="E287" s="51" t="n"/>
      <c r="F287" s="51" t="n"/>
      <c r="J287" s="51" t="n"/>
    </row>
    <row r="288">
      <c r="B288" s="51" t="n"/>
      <c r="C288" s="51" t="n"/>
      <c r="D288" s="51" t="n"/>
      <c r="E288" s="51" t="n"/>
      <c r="F288" s="51" t="n"/>
      <c r="J288" s="51" t="n"/>
    </row>
    <row r="289">
      <c r="B289" s="51" t="n"/>
      <c r="C289" s="51" t="n"/>
      <c r="D289" s="51" t="n"/>
      <c r="E289" s="51" t="n"/>
      <c r="F289" s="51" t="n"/>
      <c r="J289" s="51" t="n"/>
    </row>
    <row r="290">
      <c r="B290" s="51" t="n"/>
      <c r="C290" s="51" t="n"/>
      <c r="D290" s="51" t="n"/>
      <c r="E290" s="51" t="n"/>
      <c r="F290" s="51" t="n"/>
      <c r="J290" s="51" t="n"/>
    </row>
    <row r="291">
      <c r="B291" s="51" t="n"/>
      <c r="C291" s="51" t="n"/>
      <c r="D291" s="51" t="n"/>
      <c r="E291" s="51" t="n"/>
      <c r="F291" s="51" t="n"/>
      <c r="J291" s="51" t="n"/>
    </row>
    <row r="292">
      <c r="B292" s="51" t="n"/>
      <c r="C292" s="51" t="n"/>
      <c r="D292" s="51" t="n"/>
      <c r="E292" s="51" t="n"/>
      <c r="F292" s="51" t="n"/>
      <c r="J292" s="51" t="n"/>
    </row>
    <row r="293">
      <c r="B293" s="51" t="n"/>
      <c r="C293" s="51" t="n"/>
      <c r="D293" s="51" t="n"/>
      <c r="E293" s="51" t="n"/>
      <c r="F293" s="51" t="n"/>
      <c r="J293" s="51" t="n"/>
    </row>
    <row r="294">
      <c r="B294" s="51" t="n"/>
      <c r="C294" s="51" t="n"/>
      <c r="D294" s="51" t="n"/>
      <c r="E294" s="51" t="n"/>
      <c r="F294" s="51" t="n"/>
      <c r="J294" s="51" t="n"/>
    </row>
    <row r="295">
      <c r="B295" s="51" t="n"/>
      <c r="C295" s="51" t="n"/>
      <c r="D295" s="51" t="n"/>
      <c r="E295" s="51" t="n"/>
      <c r="F295" s="51" t="n"/>
      <c r="J295" s="51" t="n"/>
    </row>
    <row r="296">
      <c r="B296" s="51" t="n"/>
      <c r="C296" s="51" t="n"/>
      <c r="D296" s="51" t="n"/>
      <c r="E296" s="51" t="n"/>
      <c r="F296" s="51" t="n"/>
      <c r="J296" s="51" t="n"/>
    </row>
    <row r="297">
      <c r="B297" s="51" t="n"/>
      <c r="C297" s="51" t="n"/>
      <c r="D297" s="51" t="n"/>
      <c r="E297" s="51" t="n"/>
      <c r="F297" s="51" t="n"/>
      <c r="J297" s="51" t="n"/>
    </row>
    <row r="298">
      <c r="B298" s="51" t="n"/>
      <c r="C298" s="51" t="n"/>
      <c r="D298" s="51" t="n"/>
      <c r="E298" s="51" t="n"/>
      <c r="F298" s="51" t="n"/>
      <c r="J298" s="51" t="n"/>
    </row>
    <row r="299">
      <c r="B299" s="51" t="n"/>
      <c r="C299" s="51" t="n"/>
      <c r="D299" s="51" t="n"/>
      <c r="E299" s="51" t="n"/>
      <c r="F299" s="51" t="n"/>
      <c r="J299" s="51" t="n"/>
    </row>
    <row r="300">
      <c r="B300" s="51" t="n"/>
      <c r="C300" s="51" t="n"/>
      <c r="D300" s="51" t="n"/>
      <c r="E300" s="51" t="n"/>
      <c r="F300" s="51" t="n"/>
      <c r="J300" s="51" t="n"/>
    </row>
    <row r="301">
      <c r="B301" s="51" t="n"/>
      <c r="C301" s="51" t="n"/>
      <c r="D301" s="51" t="n"/>
      <c r="E301" s="51" t="n"/>
      <c r="F301" s="51" t="n"/>
      <c r="J301" s="51" t="n"/>
    </row>
    <row r="302">
      <c r="B302" s="51" t="n"/>
      <c r="C302" s="51" t="n"/>
      <c r="D302" s="51" t="n"/>
      <c r="E302" s="51" t="n"/>
      <c r="F302" s="51" t="n"/>
      <c r="J302" s="51" t="n"/>
    </row>
    <row r="303">
      <c r="B303" s="51" t="n"/>
      <c r="C303" s="51" t="n"/>
      <c r="D303" s="51" t="n"/>
      <c r="E303" s="51" t="n"/>
      <c r="F303" s="51" t="n"/>
      <c r="J303" s="51" t="n"/>
    </row>
    <row r="304">
      <c r="B304" s="51" t="n"/>
      <c r="C304" s="51" t="n"/>
      <c r="D304" s="51" t="n"/>
      <c r="E304" s="51" t="n"/>
      <c r="F304" s="51" t="n"/>
      <c r="J304" s="51" t="n"/>
    </row>
    <row r="305">
      <c r="B305" s="51" t="n"/>
      <c r="C305" s="51" t="n"/>
      <c r="D305" s="51" t="n"/>
      <c r="E305" s="51" t="n"/>
      <c r="F305" s="51" t="n"/>
      <c r="J305" s="51" t="n"/>
    </row>
    <row r="306">
      <c r="B306" s="51" t="n"/>
      <c r="C306" s="51" t="n"/>
      <c r="D306" s="51" t="n"/>
      <c r="E306" s="51" t="n"/>
      <c r="F306" s="51" t="n"/>
      <c r="J306" s="51" t="n"/>
    </row>
    <row r="307">
      <c r="B307" s="51" t="n"/>
      <c r="C307" s="51" t="n"/>
      <c r="D307" s="51" t="n"/>
      <c r="E307" s="51" t="n"/>
      <c r="F307" s="51" t="n"/>
      <c r="J307" s="51" t="n"/>
    </row>
    <row r="308">
      <c r="B308" s="51" t="n"/>
      <c r="C308" s="51" t="n"/>
      <c r="D308" s="51" t="n"/>
      <c r="E308" s="51" t="n"/>
      <c r="F308" s="51" t="n"/>
      <c r="J308" s="51" t="n"/>
    </row>
    <row r="309">
      <c r="B309" s="51" t="n"/>
      <c r="C309" s="51" t="n"/>
      <c r="D309" s="51" t="n"/>
      <c r="E309" s="51" t="n"/>
      <c r="F309" s="51" t="n"/>
      <c r="J309" s="51" t="n"/>
    </row>
    <row r="310">
      <c r="B310" s="51" t="n"/>
      <c r="C310" s="51" t="n"/>
      <c r="D310" s="51" t="n"/>
      <c r="E310" s="51" t="n"/>
      <c r="F310" s="51" t="n"/>
      <c r="J310" s="51" t="n"/>
    </row>
    <row r="311">
      <c r="B311" s="51" t="n"/>
      <c r="C311" s="51" t="n"/>
      <c r="D311" s="51" t="n"/>
      <c r="E311" s="51" t="n"/>
      <c r="F311" s="51" t="n"/>
      <c r="J311" s="51" t="n"/>
    </row>
    <row r="312">
      <c r="B312" s="51" t="n"/>
      <c r="C312" s="51" t="n"/>
      <c r="D312" s="51" t="n"/>
      <c r="E312" s="51" t="n"/>
      <c r="F312" s="51" t="n"/>
      <c r="J312" s="51" t="n"/>
    </row>
    <row r="313">
      <c r="B313" s="51" t="n"/>
      <c r="C313" s="51" t="n"/>
      <c r="D313" s="51" t="n"/>
      <c r="E313" s="51" t="n"/>
      <c r="F313" s="51" t="n"/>
      <c r="J313" s="51" t="n"/>
    </row>
    <row r="314">
      <c r="B314" s="51" t="n"/>
      <c r="C314" s="51" t="n"/>
      <c r="D314" s="51" t="n"/>
      <c r="E314" s="51" t="n"/>
      <c r="F314" s="51" t="n"/>
      <c r="J314" s="51" t="n"/>
    </row>
    <row r="315">
      <c r="B315" s="51" t="n"/>
      <c r="C315" s="51" t="n"/>
      <c r="D315" s="51" t="n"/>
      <c r="E315" s="51" t="n"/>
      <c r="F315" s="51" t="n"/>
      <c r="J315" s="51" t="n"/>
    </row>
    <row r="316">
      <c r="B316" s="51" t="n"/>
      <c r="C316" s="51" t="n"/>
      <c r="D316" s="51" t="n"/>
      <c r="E316" s="51" t="n"/>
      <c r="F316" s="51" t="n"/>
      <c r="J316" s="51" t="n"/>
    </row>
    <row r="317">
      <c r="B317" s="51" t="n"/>
      <c r="C317" s="51" t="n"/>
      <c r="D317" s="51" t="n"/>
      <c r="E317" s="51" t="n"/>
      <c r="F317" s="51" t="n"/>
      <c r="J317" s="51" t="n"/>
    </row>
    <row r="318">
      <c r="B318" s="51" t="n"/>
      <c r="C318" s="51" t="n"/>
      <c r="D318" s="51" t="n"/>
      <c r="E318" s="51" t="n"/>
      <c r="F318" s="51" t="n"/>
      <c r="J318" s="51" t="n"/>
    </row>
    <row r="319">
      <c r="B319" s="51" t="n"/>
      <c r="C319" s="51" t="n"/>
      <c r="D319" s="51" t="n"/>
      <c r="E319" s="51" t="n"/>
      <c r="F319" s="51" t="n"/>
      <c r="J319" s="51" t="n"/>
    </row>
    <row r="320">
      <c r="B320" s="51" t="n"/>
      <c r="C320" s="51" t="n"/>
      <c r="D320" s="51" t="n"/>
      <c r="E320" s="51" t="n"/>
      <c r="F320" s="51" t="n"/>
      <c r="J320" s="51" t="n"/>
    </row>
    <row r="321">
      <c r="B321" s="51" t="n"/>
      <c r="C321" s="51" t="n"/>
      <c r="D321" s="51" t="n"/>
      <c r="E321" s="51" t="n"/>
      <c r="F321" s="51" t="n"/>
      <c r="J321" s="51" t="n"/>
    </row>
    <row r="322">
      <c r="B322" s="51" t="n"/>
      <c r="C322" s="51" t="n"/>
      <c r="D322" s="51" t="n"/>
      <c r="E322" s="51" t="n"/>
      <c r="F322" s="51" t="n"/>
      <c r="J322" s="51" t="n"/>
    </row>
    <row r="323">
      <c r="B323" s="51" t="n"/>
      <c r="C323" s="51" t="n"/>
      <c r="D323" s="51" t="n"/>
      <c r="E323" s="51" t="n"/>
      <c r="F323" s="51" t="n"/>
      <c r="J323" s="51" t="n"/>
    </row>
    <row r="324">
      <c r="B324" s="51" t="n"/>
      <c r="C324" s="51" t="n"/>
      <c r="D324" s="51" t="n"/>
      <c r="E324" s="51" t="n"/>
      <c r="F324" s="51" t="n"/>
      <c r="J324" s="51" t="n"/>
    </row>
    <row r="325">
      <c r="B325" s="51" t="n"/>
      <c r="C325" s="51" t="n"/>
      <c r="D325" s="51" t="n"/>
      <c r="E325" s="51" t="n"/>
      <c r="F325" s="51" t="n"/>
      <c r="J325" s="51" t="n"/>
    </row>
    <row r="326">
      <c r="B326" s="51" t="n"/>
      <c r="C326" s="51" t="n"/>
      <c r="D326" s="51" t="n"/>
      <c r="E326" s="51" t="n"/>
      <c r="F326" s="51" t="n"/>
      <c r="J326" s="51" t="n"/>
    </row>
    <row r="327">
      <c r="B327" s="51" t="n"/>
      <c r="C327" s="51" t="n"/>
      <c r="D327" s="51" t="n"/>
      <c r="E327" s="51" t="n"/>
      <c r="F327" s="51" t="n"/>
      <c r="J327" s="51" t="n"/>
    </row>
    <row r="328">
      <c r="B328" s="51" t="n"/>
      <c r="C328" s="51" t="n"/>
      <c r="D328" s="51" t="n"/>
      <c r="E328" s="51" t="n"/>
      <c r="F328" s="51" t="n"/>
      <c r="J328" s="51" t="n"/>
    </row>
    <row r="329">
      <c r="B329" s="51" t="n"/>
      <c r="C329" s="51" t="n"/>
      <c r="D329" s="51" t="n"/>
      <c r="E329" s="51" t="n"/>
      <c r="F329" s="51" t="n"/>
      <c r="J329" s="51" t="n"/>
    </row>
    <row r="330">
      <c r="B330" s="51" t="n"/>
      <c r="C330" s="51" t="n"/>
      <c r="D330" s="51" t="n"/>
      <c r="E330" s="51" t="n"/>
      <c r="F330" s="51" t="n"/>
      <c r="J330" s="51" t="n"/>
    </row>
    <row r="331">
      <c r="B331" s="51" t="n"/>
      <c r="C331" s="51" t="n"/>
      <c r="D331" s="51" t="n"/>
      <c r="E331" s="51" t="n"/>
      <c r="F331" s="51" t="n"/>
      <c r="J331" s="51" t="n"/>
    </row>
    <row r="332">
      <c r="B332" s="51" t="n"/>
      <c r="C332" s="51" t="n"/>
      <c r="D332" s="51" t="n"/>
      <c r="E332" s="51" t="n"/>
      <c r="F332" s="51" t="n"/>
      <c r="J332" s="51" t="n"/>
    </row>
    <row r="333">
      <c r="B333" s="51" t="n"/>
      <c r="C333" s="51" t="n"/>
      <c r="D333" s="51" t="n"/>
      <c r="E333" s="51" t="n"/>
      <c r="F333" s="51" t="n"/>
      <c r="J333" s="51" t="n"/>
    </row>
    <row r="334">
      <c r="B334" s="51" t="n"/>
      <c r="C334" s="51" t="n"/>
      <c r="D334" s="51" t="n"/>
      <c r="E334" s="51" t="n"/>
      <c r="F334" s="51" t="n"/>
      <c r="J334" s="51" t="n"/>
    </row>
    <row r="335">
      <c r="B335" s="51" t="n"/>
      <c r="C335" s="51" t="n"/>
      <c r="D335" s="51" t="n"/>
      <c r="E335" s="51" t="n"/>
      <c r="F335" s="51" t="n"/>
      <c r="J335" s="51" t="n"/>
    </row>
    <row r="336">
      <c r="B336" s="51" t="n"/>
      <c r="C336" s="51" t="n"/>
      <c r="D336" s="51" t="n"/>
      <c r="E336" s="51" t="n"/>
      <c r="F336" s="51" t="n"/>
      <c r="J336" s="51" t="n"/>
    </row>
    <row r="337">
      <c r="B337" s="51" t="n"/>
      <c r="C337" s="51" t="n"/>
      <c r="D337" s="51" t="n"/>
      <c r="E337" s="51" t="n"/>
      <c r="F337" s="51" t="n"/>
      <c r="J337" s="51" t="n"/>
    </row>
    <row r="338">
      <c r="B338" s="51" t="n"/>
      <c r="C338" s="51" t="n"/>
      <c r="D338" s="51" t="n"/>
      <c r="E338" s="51" t="n"/>
      <c r="F338" s="51" t="n"/>
      <c r="J338" s="51" t="n"/>
    </row>
    <row r="339">
      <c r="B339" s="51" t="n"/>
      <c r="C339" s="51" t="n"/>
      <c r="D339" s="51" t="n"/>
      <c r="E339" s="51" t="n"/>
      <c r="F339" s="51" t="n"/>
      <c r="J339" s="51" t="n"/>
    </row>
    <row r="340">
      <c r="B340" s="51" t="n"/>
      <c r="C340" s="51" t="n"/>
      <c r="D340" s="51" t="n"/>
      <c r="E340" s="51" t="n"/>
      <c r="F340" s="51" t="n"/>
      <c r="J340" s="51" t="n"/>
    </row>
    <row r="341">
      <c r="B341" s="51" t="n"/>
      <c r="C341" s="51" t="n"/>
      <c r="D341" s="51" t="n"/>
      <c r="E341" s="51" t="n"/>
      <c r="F341" s="51" t="n"/>
      <c r="J341" s="51" t="n"/>
    </row>
    <row r="342">
      <c r="B342" s="51" t="n"/>
      <c r="C342" s="51" t="n"/>
      <c r="D342" s="51" t="n"/>
      <c r="E342" s="51" t="n"/>
      <c r="F342" s="51" t="n"/>
      <c r="J342" s="51" t="n"/>
    </row>
    <row r="343">
      <c r="B343" s="51" t="n"/>
      <c r="C343" s="51" t="n"/>
      <c r="D343" s="51" t="n"/>
      <c r="E343" s="51" t="n"/>
      <c r="F343" s="51" t="n"/>
      <c r="J343" s="51" t="n"/>
    </row>
    <row r="344">
      <c r="B344" s="51" t="n"/>
      <c r="C344" s="51" t="n"/>
      <c r="D344" s="51" t="n"/>
      <c r="E344" s="51" t="n"/>
      <c r="F344" s="51" t="n"/>
      <c r="J344" s="51" t="n"/>
    </row>
    <row r="345">
      <c r="B345" s="51" t="n"/>
      <c r="C345" s="51" t="n"/>
      <c r="D345" s="51" t="n"/>
      <c r="E345" s="51" t="n"/>
      <c r="F345" s="51" t="n"/>
      <c r="J345" s="51" t="n"/>
    </row>
    <row r="346">
      <c r="B346" s="51" t="n"/>
      <c r="C346" s="51" t="n"/>
      <c r="D346" s="51" t="n"/>
      <c r="E346" s="51" t="n"/>
      <c r="F346" s="51" t="n"/>
      <c r="J346" s="51" t="n"/>
    </row>
    <row r="347">
      <c r="B347" s="51" t="n"/>
      <c r="C347" s="51" t="n"/>
      <c r="D347" s="51" t="n"/>
      <c r="E347" s="51" t="n"/>
      <c r="F347" s="51" t="n"/>
      <c r="J347" s="51" t="n"/>
    </row>
    <row r="348">
      <c r="B348" s="51" t="n"/>
      <c r="C348" s="51" t="n"/>
      <c r="D348" s="51" t="n"/>
      <c r="E348" s="51" t="n"/>
      <c r="F348" s="51" t="n"/>
      <c r="J348" s="51" t="n"/>
    </row>
    <row r="349">
      <c r="B349" s="51" t="n"/>
      <c r="C349" s="51" t="n"/>
      <c r="D349" s="51" t="n"/>
      <c r="E349" s="51" t="n"/>
      <c r="F349" s="51" t="n"/>
      <c r="J349" s="51" t="n"/>
    </row>
    <row r="350">
      <c r="B350" s="51" t="n"/>
      <c r="C350" s="51" t="n"/>
      <c r="D350" s="51" t="n"/>
      <c r="E350" s="51" t="n"/>
      <c r="F350" s="51" t="n"/>
      <c r="J350" s="51" t="n"/>
    </row>
    <row r="351">
      <c r="B351" s="51" t="n"/>
      <c r="C351" s="51" t="n"/>
      <c r="D351" s="51" t="n"/>
      <c r="E351" s="51" t="n"/>
      <c r="F351" s="51" t="n"/>
      <c r="J351" s="51" t="n"/>
    </row>
    <row r="352">
      <c r="B352" s="51" t="n"/>
      <c r="C352" s="51" t="n"/>
      <c r="D352" s="51" t="n"/>
      <c r="E352" s="51" t="n"/>
      <c r="F352" s="51" t="n"/>
      <c r="J352" s="51" t="n"/>
    </row>
    <row r="353">
      <c r="B353" s="51" t="n"/>
      <c r="C353" s="51" t="n"/>
      <c r="D353" s="51" t="n"/>
      <c r="E353" s="51" t="n"/>
      <c r="F353" s="51" t="n"/>
      <c r="J353" s="51" t="n"/>
    </row>
    <row r="354">
      <c r="B354" s="51" t="n"/>
      <c r="C354" s="51" t="n"/>
      <c r="D354" s="51" t="n"/>
      <c r="E354" s="51" t="n"/>
      <c r="F354" s="51" t="n"/>
      <c r="J354" s="51" t="n"/>
    </row>
    <row r="355">
      <c r="B355" s="51" t="n"/>
      <c r="C355" s="51" t="n"/>
      <c r="D355" s="51" t="n"/>
      <c r="E355" s="51" t="n"/>
      <c r="F355" s="51" t="n"/>
      <c r="J355" s="51" t="n"/>
    </row>
    <row r="356">
      <c r="B356" s="51" t="n"/>
      <c r="C356" s="51" t="n"/>
      <c r="D356" s="51" t="n"/>
      <c r="E356" s="51" t="n"/>
      <c r="F356" s="51" t="n"/>
      <c r="J356" s="51" t="n"/>
    </row>
    <row r="357">
      <c r="B357" s="51" t="n"/>
      <c r="C357" s="51" t="n"/>
      <c r="D357" s="51" t="n"/>
      <c r="E357" s="51" t="n"/>
      <c r="F357" s="51" t="n"/>
      <c r="J357" s="51" t="n"/>
    </row>
    <row r="358">
      <c r="B358" s="51" t="n"/>
      <c r="C358" s="51" t="n"/>
      <c r="D358" s="51" t="n"/>
      <c r="E358" s="51" t="n"/>
      <c r="F358" s="51" t="n"/>
      <c r="J358" s="51" t="n"/>
    </row>
    <row r="359">
      <c r="B359" s="51" t="n"/>
      <c r="C359" s="51" t="n"/>
      <c r="D359" s="51" t="n"/>
      <c r="E359" s="51" t="n"/>
      <c r="F359" s="51" t="n"/>
      <c r="J359" s="51" t="n"/>
    </row>
    <row r="360">
      <c r="B360" s="51" t="n"/>
      <c r="C360" s="51" t="n"/>
      <c r="D360" s="51" t="n"/>
      <c r="E360" s="51" t="n"/>
      <c r="F360" s="51" t="n"/>
      <c r="J360" s="51" t="n"/>
    </row>
    <row r="361">
      <c r="B361" s="51" t="n"/>
      <c r="C361" s="51" t="n"/>
      <c r="D361" s="51" t="n"/>
      <c r="E361" s="51" t="n"/>
      <c r="F361" s="51" t="n"/>
      <c r="J361" s="51" t="n"/>
    </row>
    <row r="362">
      <c r="B362" s="51" t="n"/>
      <c r="C362" s="51" t="n"/>
      <c r="D362" s="51" t="n"/>
      <c r="E362" s="51" t="n"/>
      <c r="F362" s="51" t="n"/>
      <c r="J362" s="51" t="n"/>
    </row>
    <row r="363">
      <c r="B363" s="51" t="n"/>
      <c r="C363" s="51" t="n"/>
      <c r="D363" s="51" t="n"/>
      <c r="E363" s="51" t="n"/>
      <c r="F363" s="51" t="n"/>
      <c r="J363" s="51" t="n"/>
    </row>
    <row r="364">
      <c r="B364" s="51" t="n"/>
      <c r="C364" s="51" t="n"/>
      <c r="D364" s="51" t="n"/>
      <c r="E364" s="51" t="n"/>
      <c r="F364" s="51" t="n"/>
      <c r="J364" s="51" t="n"/>
    </row>
    <row r="365">
      <c r="B365" s="51" t="n"/>
      <c r="C365" s="51" t="n"/>
      <c r="D365" s="51" t="n"/>
      <c r="E365" s="51" t="n"/>
      <c r="F365" s="51" t="n"/>
      <c r="J365" s="51" t="n"/>
    </row>
    <row r="366">
      <c r="B366" s="51" t="n"/>
      <c r="C366" s="51" t="n"/>
      <c r="D366" s="51" t="n"/>
      <c r="E366" s="51" t="n"/>
      <c r="F366" s="51" t="n"/>
      <c r="J366" s="51" t="n"/>
    </row>
    <row r="367">
      <c r="B367" s="51" t="n"/>
      <c r="C367" s="51" t="n"/>
      <c r="D367" s="51" t="n"/>
      <c r="E367" s="51" t="n"/>
      <c r="F367" s="51" t="n"/>
      <c r="J367" s="51" t="n"/>
    </row>
    <row r="368">
      <c r="B368" s="51" t="n"/>
      <c r="C368" s="51" t="n"/>
      <c r="D368" s="51" t="n"/>
      <c r="E368" s="51" t="n"/>
      <c r="F368" s="51" t="n"/>
      <c r="J368" s="51" t="n"/>
    </row>
    <row r="369">
      <c r="B369" s="51" t="n"/>
      <c r="C369" s="51" t="n"/>
      <c r="D369" s="51" t="n"/>
      <c r="E369" s="51" t="n"/>
      <c r="F369" s="51" t="n"/>
      <c r="J369" s="51" t="n"/>
    </row>
    <row r="370">
      <c r="B370" s="51" t="n"/>
      <c r="C370" s="51" t="n"/>
      <c r="D370" s="51" t="n"/>
      <c r="E370" s="51" t="n"/>
      <c r="F370" s="51" t="n"/>
      <c r="J370" s="51" t="n"/>
    </row>
    <row r="371">
      <c r="B371" s="51" t="n"/>
      <c r="C371" s="51" t="n"/>
      <c r="D371" s="51" t="n"/>
      <c r="E371" s="51" t="n"/>
      <c r="F371" s="51" t="n"/>
      <c r="J371" s="51" t="n"/>
    </row>
    <row r="372">
      <c r="B372" s="51" t="n"/>
      <c r="C372" s="51" t="n"/>
      <c r="D372" s="51" t="n"/>
      <c r="E372" s="51" t="n"/>
      <c r="F372" s="51" t="n"/>
      <c r="J372" s="51" t="n"/>
    </row>
    <row r="373">
      <c r="B373" s="51" t="n"/>
      <c r="C373" s="51" t="n"/>
      <c r="D373" s="51" t="n"/>
      <c r="E373" s="51" t="n"/>
      <c r="F373" s="51" t="n"/>
      <c r="J373" s="51" t="n"/>
    </row>
    <row r="374">
      <c r="B374" s="51" t="n"/>
      <c r="C374" s="51" t="n"/>
      <c r="D374" s="51" t="n"/>
      <c r="E374" s="51" t="n"/>
      <c r="F374" s="51" t="n"/>
      <c r="J374" s="51" t="n"/>
    </row>
    <row r="375">
      <c r="B375" s="51" t="n"/>
      <c r="C375" s="51" t="n"/>
      <c r="D375" s="51" t="n"/>
      <c r="E375" s="51" t="n"/>
      <c r="F375" s="51" t="n"/>
      <c r="J375" s="51" t="n"/>
    </row>
    <row r="376">
      <c r="B376" s="51" t="n"/>
      <c r="C376" s="51" t="n"/>
      <c r="D376" s="51" t="n"/>
      <c r="E376" s="51" t="n"/>
      <c r="F376" s="51" t="n"/>
      <c r="J376" s="51" t="n"/>
    </row>
    <row r="377">
      <c r="B377" s="51" t="n"/>
      <c r="C377" s="51" t="n"/>
      <c r="D377" s="51" t="n"/>
      <c r="E377" s="51" t="n"/>
      <c r="F377" s="51" t="n"/>
      <c r="J377" s="51" t="n"/>
    </row>
    <row r="378">
      <c r="B378" s="51" t="n"/>
      <c r="C378" s="51" t="n"/>
      <c r="D378" s="51" t="n"/>
      <c r="E378" s="51" t="n"/>
      <c r="F378" s="51" t="n"/>
      <c r="J378" s="51" t="n"/>
    </row>
    <row r="379">
      <c r="B379" s="51" t="n"/>
      <c r="C379" s="51" t="n"/>
      <c r="D379" s="51" t="n"/>
      <c r="E379" s="51" t="n"/>
      <c r="F379" s="51" t="n"/>
      <c r="J379" s="51" t="n"/>
    </row>
    <row r="380">
      <c r="B380" s="51" t="n"/>
      <c r="C380" s="51" t="n"/>
      <c r="D380" s="51" t="n"/>
      <c r="E380" s="51" t="n"/>
      <c r="F380" s="51" t="n"/>
      <c r="J380" s="51" t="n"/>
    </row>
    <row r="381">
      <c r="B381" s="51" t="n"/>
      <c r="C381" s="51" t="n"/>
      <c r="D381" s="51" t="n"/>
      <c r="E381" s="51" t="n"/>
      <c r="F381" s="51" t="n"/>
      <c r="J381" s="51" t="n"/>
    </row>
    <row r="382">
      <c r="B382" s="51" t="n"/>
      <c r="C382" s="51" t="n"/>
      <c r="D382" s="51" t="n"/>
      <c r="E382" s="51" t="n"/>
      <c r="F382" s="51" t="n"/>
      <c r="J382" s="51" t="n"/>
    </row>
    <row r="383">
      <c r="B383" s="51" t="n"/>
      <c r="C383" s="51" t="n"/>
      <c r="D383" s="51" t="n"/>
      <c r="E383" s="51" t="n"/>
      <c r="F383" s="51" t="n"/>
      <c r="J383" s="51" t="n"/>
    </row>
    <row r="384">
      <c r="B384" s="51" t="n"/>
      <c r="C384" s="51" t="n"/>
      <c r="D384" s="51" t="n"/>
      <c r="E384" s="51" t="n"/>
      <c r="F384" s="51" t="n"/>
      <c r="J384" s="51" t="n"/>
    </row>
    <row r="385">
      <c r="B385" s="51" t="n"/>
      <c r="C385" s="51" t="n"/>
      <c r="D385" s="51" t="n"/>
      <c r="E385" s="51" t="n"/>
      <c r="F385" s="51" t="n"/>
      <c r="J385" s="51" t="n"/>
    </row>
    <row r="386">
      <c r="B386" s="51" t="n"/>
      <c r="C386" s="51" t="n"/>
      <c r="D386" s="51" t="n"/>
      <c r="E386" s="51" t="n"/>
      <c r="F386" s="51" t="n"/>
      <c r="J386" s="51" t="n"/>
    </row>
    <row r="387">
      <c r="B387" s="51" t="n"/>
      <c r="C387" s="51" t="n"/>
      <c r="D387" s="51" t="n"/>
      <c r="E387" s="51" t="n"/>
      <c r="F387" s="51" t="n"/>
      <c r="J387" s="51" t="n"/>
    </row>
    <row r="388">
      <c r="B388" s="51" t="n"/>
      <c r="C388" s="51" t="n"/>
      <c r="D388" s="51" t="n"/>
      <c r="E388" s="51" t="n"/>
      <c r="F388" s="51" t="n"/>
      <c r="J388" s="51" t="n"/>
    </row>
    <row r="389">
      <c r="B389" s="51" t="n"/>
      <c r="C389" s="51" t="n"/>
      <c r="D389" s="51" t="n"/>
      <c r="E389" s="51" t="n"/>
      <c r="F389" s="51" t="n"/>
      <c r="J389" s="51" t="n"/>
    </row>
    <row r="390">
      <c r="B390" s="51" t="n"/>
      <c r="C390" s="51" t="n"/>
      <c r="D390" s="51" t="n"/>
      <c r="E390" s="51" t="n"/>
      <c r="F390" s="51" t="n"/>
      <c r="J390" s="51" t="n"/>
    </row>
    <row r="391">
      <c r="B391" s="51" t="n"/>
      <c r="C391" s="51" t="n"/>
      <c r="D391" s="51" t="n"/>
      <c r="E391" s="51" t="n"/>
      <c r="F391" s="51" t="n"/>
      <c r="J391" s="51" t="n"/>
    </row>
    <row r="392">
      <c r="B392" s="51" t="n"/>
      <c r="C392" s="51" t="n"/>
      <c r="D392" s="51" t="n"/>
      <c r="E392" s="51" t="n"/>
      <c r="F392" s="51" t="n"/>
      <c r="J392" s="51" t="n"/>
    </row>
    <row r="393">
      <c r="B393" s="51" t="n"/>
      <c r="C393" s="51" t="n"/>
      <c r="D393" s="51" t="n"/>
      <c r="E393" s="51" t="n"/>
      <c r="F393" s="51" t="n"/>
      <c r="J393" s="51" t="n"/>
    </row>
    <row r="394">
      <c r="B394" s="51" t="n"/>
      <c r="C394" s="51" t="n"/>
      <c r="D394" s="51" t="n"/>
      <c r="E394" s="51" t="n"/>
      <c r="F394" s="51" t="n"/>
      <c r="J394" s="51" t="n"/>
    </row>
    <row r="395">
      <c r="B395" s="51" t="n"/>
      <c r="C395" s="51" t="n"/>
      <c r="D395" s="51" t="n"/>
      <c r="E395" s="51" t="n"/>
      <c r="F395" s="51" t="n"/>
      <c r="J395" s="51" t="n"/>
    </row>
    <row r="396">
      <c r="B396" s="51" t="n"/>
      <c r="C396" s="51" t="n"/>
      <c r="D396" s="51" t="n"/>
      <c r="E396" s="51" t="n"/>
      <c r="F396" s="51" t="n"/>
      <c r="J396" s="51" t="n"/>
    </row>
    <row r="397">
      <c r="B397" s="51" t="n"/>
      <c r="C397" s="51" t="n"/>
      <c r="D397" s="51" t="n"/>
      <c r="E397" s="51" t="n"/>
      <c r="F397" s="51" t="n"/>
      <c r="J397" s="51" t="n"/>
    </row>
    <row r="398">
      <c r="B398" s="51" t="n"/>
      <c r="C398" s="51" t="n"/>
      <c r="D398" s="51" t="n"/>
      <c r="E398" s="51" t="n"/>
      <c r="F398" s="51" t="n"/>
      <c r="J398" s="51" t="n"/>
    </row>
    <row r="399">
      <c r="B399" s="51" t="n"/>
      <c r="C399" s="51" t="n"/>
      <c r="D399" s="51" t="n"/>
      <c r="E399" s="51" t="n"/>
      <c r="F399" s="51" t="n"/>
      <c r="J399" s="51" t="n"/>
    </row>
    <row r="400">
      <c r="B400" s="51" t="n"/>
      <c r="C400" s="51" t="n"/>
      <c r="D400" s="51" t="n"/>
      <c r="E400" s="51" t="n"/>
      <c r="F400" s="51" t="n"/>
      <c r="J400" s="51" t="n"/>
    </row>
    <row r="401">
      <c r="B401" s="51" t="n"/>
      <c r="C401" s="51" t="n"/>
      <c r="D401" s="51" t="n"/>
      <c r="E401" s="51" t="n"/>
      <c r="F401" s="51" t="n"/>
      <c r="J401" s="51" t="n"/>
    </row>
    <row r="402">
      <c r="B402" s="51" t="n"/>
      <c r="C402" s="51" t="n"/>
      <c r="D402" s="51" t="n"/>
      <c r="E402" s="51" t="n"/>
      <c r="F402" s="51" t="n"/>
      <c r="J402" s="51" t="n"/>
    </row>
    <row r="403">
      <c r="B403" s="51" t="n"/>
      <c r="C403" s="51" t="n"/>
      <c r="D403" s="51" t="n"/>
      <c r="E403" s="51" t="n"/>
      <c r="F403" s="51" t="n"/>
      <c r="J403" s="51" t="n"/>
    </row>
    <row r="404">
      <c r="B404" s="51" t="n"/>
      <c r="C404" s="51" t="n"/>
      <c r="D404" s="51" t="n"/>
      <c r="E404" s="51" t="n"/>
      <c r="F404" s="51" t="n"/>
      <c r="J404" s="51" t="n"/>
    </row>
    <row r="405">
      <c r="B405" s="51" t="n"/>
      <c r="C405" s="51" t="n"/>
      <c r="D405" s="51" t="n"/>
      <c r="E405" s="51" t="n"/>
      <c r="F405" s="51" t="n"/>
      <c r="J405" s="51" t="n"/>
    </row>
    <row r="406">
      <c r="B406" s="51" t="n"/>
      <c r="C406" s="51" t="n"/>
      <c r="D406" s="51" t="n"/>
      <c r="E406" s="51" t="n"/>
      <c r="F406" s="51" t="n"/>
      <c r="J406" s="51" t="n"/>
    </row>
    <row r="407">
      <c r="B407" s="51" t="n"/>
      <c r="C407" s="51" t="n"/>
      <c r="D407" s="51" t="n"/>
      <c r="E407" s="51" t="n"/>
      <c r="F407" s="51" t="n"/>
      <c r="J407" s="51" t="n"/>
    </row>
    <row r="408">
      <c r="B408" s="51" t="n"/>
      <c r="C408" s="51" t="n"/>
      <c r="D408" s="51" t="n"/>
      <c r="E408" s="51" t="n"/>
      <c r="F408" s="51" t="n"/>
      <c r="J408" s="51" t="n"/>
    </row>
    <row r="409">
      <c r="B409" s="51" t="n"/>
      <c r="C409" s="51" t="n"/>
      <c r="D409" s="51" t="n"/>
      <c r="E409" s="51" t="n"/>
      <c r="F409" s="51" t="n"/>
      <c r="J409" s="51" t="n"/>
    </row>
    <row r="410">
      <c r="B410" s="51" t="n"/>
      <c r="C410" s="51" t="n"/>
      <c r="D410" s="51" t="n"/>
      <c r="E410" s="51" t="n"/>
      <c r="F410" s="51" t="n"/>
      <c r="J410" s="51" t="n"/>
    </row>
    <row r="411">
      <c r="B411" s="51" t="n"/>
      <c r="C411" s="51" t="n"/>
      <c r="D411" s="51" t="n"/>
      <c r="E411" s="51" t="n"/>
      <c r="F411" s="51" t="n"/>
      <c r="J411" s="51" t="n"/>
    </row>
    <row r="412">
      <c r="B412" s="51" t="n"/>
      <c r="C412" s="51" t="n"/>
      <c r="D412" s="51" t="n"/>
      <c r="E412" s="51" t="n"/>
      <c r="F412" s="51" t="n"/>
      <c r="J412" s="51" t="n"/>
    </row>
    <row r="413">
      <c r="B413" s="51" t="n"/>
      <c r="C413" s="51" t="n"/>
      <c r="D413" s="51" t="n"/>
      <c r="E413" s="51" t="n"/>
      <c r="F413" s="51" t="n"/>
      <c r="J413" s="51" t="n"/>
    </row>
    <row r="414">
      <c r="B414" s="51" t="n"/>
      <c r="C414" s="51" t="n"/>
      <c r="D414" s="51" t="n"/>
      <c r="E414" s="51" t="n"/>
      <c r="F414" s="51" t="n"/>
      <c r="J414" s="51" t="n"/>
    </row>
    <row r="415">
      <c r="B415" s="51" t="n"/>
      <c r="C415" s="51" t="n"/>
      <c r="D415" s="51" t="n"/>
      <c r="E415" s="51" t="n"/>
      <c r="F415" s="51" t="n"/>
      <c r="J415" s="51" t="n"/>
    </row>
    <row r="416">
      <c r="B416" s="51" t="n"/>
      <c r="C416" s="51" t="n"/>
      <c r="D416" s="51" t="n"/>
      <c r="E416" s="51" t="n"/>
      <c r="F416" s="51" t="n"/>
      <c r="J416" s="51" t="n"/>
    </row>
    <row r="417">
      <c r="B417" s="51" t="n"/>
      <c r="C417" s="51" t="n"/>
      <c r="D417" s="51" t="n"/>
      <c r="E417" s="51" t="n"/>
      <c r="F417" s="51" t="n"/>
      <c r="J417" s="51" t="n"/>
    </row>
    <row r="418">
      <c r="B418" s="51" t="n"/>
      <c r="C418" s="51" t="n"/>
      <c r="D418" s="51" t="n"/>
      <c r="E418" s="51" t="n"/>
      <c r="F418" s="51" t="n"/>
      <c r="J418" s="51" t="n"/>
    </row>
    <row r="419">
      <c r="B419" s="51" t="n"/>
      <c r="C419" s="51" t="n"/>
      <c r="D419" s="51" t="n"/>
      <c r="E419" s="51" t="n"/>
      <c r="F419" s="51" t="n"/>
      <c r="J419" s="51" t="n"/>
    </row>
    <row r="420">
      <c r="B420" s="51" t="n"/>
      <c r="C420" s="51" t="n"/>
      <c r="D420" s="51" t="n"/>
      <c r="E420" s="51" t="n"/>
      <c r="F420" s="51" t="n"/>
      <c r="J420" s="51" t="n"/>
    </row>
    <row r="421">
      <c r="B421" s="51" t="n"/>
      <c r="C421" s="51" t="n"/>
      <c r="D421" s="51" t="n"/>
      <c r="E421" s="51" t="n"/>
      <c r="F421" s="51" t="n"/>
      <c r="J421" s="51" t="n"/>
    </row>
    <row r="422">
      <c r="B422" s="51" t="n"/>
      <c r="C422" s="51" t="n"/>
      <c r="D422" s="51" t="n"/>
      <c r="E422" s="51" t="n"/>
      <c r="F422" s="51" t="n"/>
      <c r="J422" s="51" t="n"/>
    </row>
    <row r="423">
      <c r="B423" s="51" t="n"/>
      <c r="C423" s="51" t="n"/>
      <c r="D423" s="51" t="n"/>
      <c r="E423" s="51" t="n"/>
      <c r="F423" s="51" t="n"/>
      <c r="J423" s="51" t="n"/>
    </row>
    <row r="424">
      <c r="B424" s="51" t="n"/>
      <c r="C424" s="51" t="n"/>
      <c r="D424" s="51" t="n"/>
      <c r="E424" s="51" t="n"/>
      <c r="F424" s="51" t="n"/>
      <c r="J424" s="51" t="n"/>
    </row>
    <row r="425">
      <c r="B425" s="51" t="n"/>
      <c r="C425" s="51" t="n"/>
      <c r="D425" s="51" t="n"/>
      <c r="E425" s="51" t="n"/>
      <c r="F425" s="51" t="n"/>
      <c r="J425" s="51" t="n"/>
    </row>
    <row r="426">
      <c r="B426" s="51" t="n"/>
      <c r="C426" s="51" t="n"/>
      <c r="D426" s="51" t="n"/>
      <c r="E426" s="51" t="n"/>
      <c r="F426" s="51" t="n"/>
      <c r="J426" s="51" t="n"/>
    </row>
    <row r="427">
      <c r="B427" s="51" t="n"/>
      <c r="C427" s="51" t="n"/>
      <c r="D427" s="51" t="n"/>
      <c r="E427" s="51" t="n"/>
      <c r="F427" s="51" t="n"/>
      <c r="J427" s="51" t="n"/>
    </row>
    <row r="428">
      <c r="B428" s="51" t="n"/>
      <c r="C428" s="51" t="n"/>
      <c r="D428" s="51" t="n"/>
      <c r="E428" s="51" t="n"/>
      <c r="F428" s="51" t="n"/>
      <c r="J428" s="51" t="n"/>
    </row>
    <row r="429">
      <c r="B429" s="51" t="n"/>
      <c r="C429" s="51" t="n"/>
      <c r="D429" s="51" t="n"/>
      <c r="E429" s="51" t="n"/>
      <c r="F429" s="51" t="n"/>
      <c r="J429" s="51" t="n"/>
    </row>
    <row r="430">
      <c r="B430" s="51" t="n"/>
      <c r="C430" s="51" t="n"/>
      <c r="D430" s="51" t="n"/>
      <c r="E430" s="51" t="n"/>
      <c r="F430" s="51" t="n"/>
      <c r="J430" s="51" t="n"/>
    </row>
    <row r="431">
      <c r="B431" s="51" t="n"/>
      <c r="C431" s="51" t="n"/>
      <c r="D431" s="51" t="n"/>
      <c r="E431" s="51" t="n"/>
      <c r="F431" s="51" t="n"/>
      <c r="J431" s="51" t="n"/>
    </row>
    <row r="432">
      <c r="B432" s="51" t="n"/>
      <c r="C432" s="51" t="n"/>
      <c r="D432" s="51" t="n"/>
      <c r="E432" s="51" t="n"/>
      <c r="F432" s="51" t="n"/>
      <c r="J432" s="51" t="n"/>
    </row>
    <row r="433">
      <c r="B433" s="51" t="n"/>
      <c r="C433" s="51" t="n"/>
      <c r="D433" s="51" t="n"/>
      <c r="E433" s="51" t="n"/>
      <c r="F433" s="51" t="n"/>
      <c r="J433" s="51" t="n"/>
    </row>
    <row r="434">
      <c r="B434" s="51" t="n"/>
      <c r="C434" s="51" t="n"/>
      <c r="D434" s="51" t="n"/>
      <c r="E434" s="51" t="n"/>
      <c r="F434" s="51" t="n"/>
      <c r="J434" s="51" t="n"/>
    </row>
    <row r="435">
      <c r="B435" s="51" t="n"/>
      <c r="C435" s="51" t="n"/>
      <c r="D435" s="51" t="n"/>
      <c r="E435" s="51" t="n"/>
      <c r="F435" s="51" t="n"/>
      <c r="J435" s="51" t="n"/>
    </row>
    <row r="436">
      <c r="B436" s="51" t="n"/>
      <c r="C436" s="51" t="n"/>
      <c r="D436" s="51" t="n"/>
      <c r="E436" s="51" t="n"/>
      <c r="F436" s="51" t="n"/>
      <c r="J436" s="51" t="n"/>
    </row>
    <row r="437">
      <c r="B437" s="51" t="n"/>
      <c r="C437" s="51" t="n"/>
      <c r="D437" s="51" t="n"/>
      <c r="E437" s="51" t="n"/>
      <c r="F437" s="51" t="n"/>
      <c r="J437" s="51" t="n"/>
    </row>
    <row r="438">
      <c r="B438" s="51" t="n"/>
      <c r="C438" s="51" t="n"/>
      <c r="D438" s="51" t="n"/>
      <c r="E438" s="51" t="n"/>
      <c r="F438" s="51" t="n"/>
      <c r="J438" s="51" t="n"/>
    </row>
    <row r="439">
      <c r="B439" s="51" t="n"/>
      <c r="C439" s="51" t="n"/>
      <c r="D439" s="51" t="n"/>
      <c r="E439" s="51" t="n"/>
      <c r="F439" s="51" t="n"/>
      <c r="J439" s="51" t="n"/>
    </row>
    <row r="440">
      <c r="B440" s="51" t="n"/>
      <c r="C440" s="51" t="n"/>
      <c r="D440" s="51" t="n"/>
      <c r="E440" s="51" t="n"/>
      <c r="F440" s="51" t="n"/>
      <c r="J440" s="51" t="n"/>
    </row>
    <row r="441">
      <c r="B441" s="51" t="n"/>
      <c r="C441" s="51" t="n"/>
      <c r="D441" s="51" t="n"/>
      <c r="E441" s="51" t="n"/>
      <c r="F441" s="51" t="n"/>
      <c r="J441" s="51" t="n"/>
    </row>
    <row r="442">
      <c r="B442" s="51" t="n"/>
      <c r="C442" s="51" t="n"/>
      <c r="D442" s="51" t="n"/>
      <c r="E442" s="51" t="n"/>
      <c r="F442" s="51" t="n"/>
      <c r="J442" s="51" t="n"/>
    </row>
    <row r="443">
      <c r="B443" s="51" t="n"/>
      <c r="C443" s="51" t="n"/>
      <c r="D443" s="51" t="n"/>
      <c r="E443" s="51" t="n"/>
      <c r="F443" s="51" t="n"/>
      <c r="J443" s="51" t="n"/>
    </row>
    <row r="444">
      <c r="B444" s="51" t="n"/>
      <c r="C444" s="51" t="n"/>
      <c r="D444" s="51" t="n"/>
      <c r="E444" s="51" t="n"/>
      <c r="F444" s="51" t="n"/>
      <c r="J444" s="51" t="n"/>
    </row>
    <row r="445">
      <c r="B445" s="51" t="n"/>
      <c r="C445" s="51" t="n"/>
      <c r="D445" s="51" t="n"/>
      <c r="E445" s="51" t="n"/>
      <c r="F445" s="51" t="n"/>
      <c r="J445" s="51" t="n"/>
    </row>
    <row r="446">
      <c r="B446" s="51" t="n"/>
      <c r="C446" s="51" t="n"/>
      <c r="D446" s="51" t="n"/>
      <c r="E446" s="51" t="n"/>
      <c r="F446" s="51" t="n"/>
      <c r="J446" s="51" t="n"/>
    </row>
    <row r="447">
      <c r="B447" s="51" t="n"/>
      <c r="C447" s="51" t="n"/>
      <c r="D447" s="51" t="n"/>
      <c r="E447" s="51" t="n"/>
      <c r="F447" s="51" t="n"/>
      <c r="J447" s="51" t="n"/>
    </row>
    <row r="448">
      <c r="B448" s="51" t="n"/>
      <c r="C448" s="51" t="n"/>
      <c r="D448" s="51" t="n"/>
      <c r="E448" s="51" t="n"/>
      <c r="F448" s="51" t="n"/>
      <c r="J448" s="51" t="n"/>
    </row>
    <row r="449">
      <c r="B449" s="51" t="n"/>
      <c r="C449" s="51" t="n"/>
      <c r="D449" s="51" t="n"/>
      <c r="E449" s="51" t="n"/>
      <c r="F449" s="51" t="n"/>
      <c r="J449" s="51" t="n"/>
    </row>
    <row r="450">
      <c r="B450" s="51" t="n"/>
      <c r="C450" s="51" t="n"/>
      <c r="D450" s="51" t="n"/>
      <c r="E450" s="51" t="n"/>
      <c r="F450" s="51" t="n"/>
      <c r="J450" s="51" t="n"/>
    </row>
    <row r="451">
      <c r="B451" s="51" t="n"/>
      <c r="C451" s="51" t="n"/>
      <c r="D451" s="51" t="n"/>
      <c r="E451" s="51" t="n"/>
      <c r="F451" s="51" t="n"/>
      <c r="J451" s="51" t="n"/>
    </row>
    <row r="452">
      <c r="B452" s="51" t="n"/>
      <c r="C452" s="51" t="n"/>
      <c r="D452" s="51" t="n"/>
      <c r="E452" s="51" t="n"/>
      <c r="F452" s="51" t="n"/>
      <c r="J452" s="51" t="n"/>
    </row>
    <row r="453">
      <c r="B453" s="51" t="n"/>
      <c r="C453" s="51" t="n"/>
      <c r="D453" s="51" t="n"/>
      <c r="E453" s="51" t="n"/>
      <c r="F453" s="51" t="n"/>
      <c r="J453" s="51" t="n"/>
    </row>
    <row r="454">
      <c r="B454" s="51" t="n"/>
      <c r="C454" s="51" t="n"/>
      <c r="D454" s="51" t="n"/>
      <c r="E454" s="51" t="n"/>
      <c r="F454" s="51" t="n"/>
      <c r="J454" s="51" t="n"/>
    </row>
    <row r="455">
      <c r="B455" s="51" t="n"/>
      <c r="C455" s="51" t="n"/>
      <c r="D455" s="51" t="n"/>
      <c r="E455" s="51" t="n"/>
      <c r="F455" s="51" t="n"/>
      <c r="J455" s="51" t="n"/>
    </row>
    <row r="456">
      <c r="B456" s="51" t="n"/>
      <c r="C456" s="51" t="n"/>
      <c r="D456" s="51" t="n"/>
      <c r="E456" s="51" t="n"/>
      <c r="F456" s="51" t="n"/>
      <c r="J456" s="51" t="n"/>
    </row>
    <row r="457">
      <c r="B457" s="51" t="n"/>
      <c r="C457" s="51" t="n"/>
      <c r="D457" s="51" t="n"/>
      <c r="E457" s="51" t="n"/>
      <c r="F457" s="51" t="n"/>
      <c r="J457" s="51" t="n"/>
    </row>
    <row r="458">
      <c r="B458" s="51" t="n"/>
      <c r="C458" s="51" t="n"/>
      <c r="D458" s="51" t="n"/>
      <c r="E458" s="51" t="n"/>
      <c r="F458" s="51" t="n"/>
      <c r="J458" s="51" t="n"/>
    </row>
    <row r="459">
      <c r="B459" s="51" t="n"/>
      <c r="C459" s="51" t="n"/>
      <c r="D459" s="51" t="n"/>
      <c r="E459" s="51" t="n"/>
      <c r="F459" s="51" t="n"/>
      <c r="J459" s="51" t="n"/>
    </row>
    <row r="460">
      <c r="B460" s="51" t="n"/>
      <c r="C460" s="51" t="n"/>
      <c r="D460" s="51" t="n"/>
      <c r="E460" s="51" t="n"/>
      <c r="F460" s="51" t="n"/>
      <c r="J460" s="51" t="n"/>
    </row>
    <row r="461">
      <c r="B461" s="51" t="n"/>
      <c r="C461" s="51" t="n"/>
      <c r="D461" s="51" t="n"/>
      <c r="E461" s="51" t="n"/>
      <c r="F461" s="51" t="n"/>
      <c r="J461" s="51" t="n"/>
    </row>
    <row r="462">
      <c r="B462" s="51" t="n"/>
      <c r="C462" s="51" t="n"/>
      <c r="D462" s="51" t="n"/>
      <c r="E462" s="51" t="n"/>
      <c r="F462" s="51" t="n"/>
      <c r="J462" s="51" t="n"/>
    </row>
    <row r="463">
      <c r="B463" s="51" t="n"/>
      <c r="C463" s="51" t="n"/>
      <c r="D463" s="51" t="n"/>
      <c r="E463" s="51" t="n"/>
      <c r="F463" s="51" t="n"/>
      <c r="J463" s="51" t="n"/>
    </row>
    <row r="464">
      <c r="B464" s="51" t="n"/>
      <c r="C464" s="51" t="n"/>
      <c r="D464" s="51" t="n"/>
      <c r="E464" s="51" t="n"/>
      <c r="F464" s="51" t="n"/>
      <c r="J464" s="51" t="n"/>
    </row>
    <row r="465">
      <c r="B465" s="51" t="n"/>
      <c r="C465" s="51" t="n"/>
      <c r="D465" s="51" t="n"/>
      <c r="E465" s="51" t="n"/>
      <c r="F465" s="51" t="n"/>
      <c r="J465" s="51" t="n"/>
    </row>
    <row r="466">
      <c r="B466" s="51" t="n"/>
      <c r="C466" s="51" t="n"/>
      <c r="D466" s="51" t="n"/>
      <c r="E466" s="51" t="n"/>
      <c r="F466" s="51" t="n"/>
      <c r="J466" s="51" t="n"/>
    </row>
    <row r="467">
      <c r="B467" s="51" t="n"/>
      <c r="C467" s="51" t="n"/>
      <c r="D467" s="51" t="n"/>
      <c r="E467" s="51" t="n"/>
      <c r="F467" s="51" t="n"/>
      <c r="J467" s="51" t="n"/>
    </row>
    <row r="468">
      <c r="B468" s="51" t="n"/>
      <c r="C468" s="51" t="n"/>
      <c r="D468" s="51" t="n"/>
      <c r="E468" s="51" t="n"/>
      <c r="F468" s="51" t="n"/>
      <c r="J468" s="51" t="n"/>
    </row>
    <row r="469">
      <c r="B469" s="51" t="n"/>
      <c r="C469" s="51" t="n"/>
      <c r="D469" s="51" t="n"/>
      <c r="E469" s="51" t="n"/>
      <c r="F469" s="51" t="n"/>
      <c r="J469" s="51" t="n"/>
    </row>
    <row r="470">
      <c r="B470" s="51" t="n"/>
      <c r="C470" s="51" t="n"/>
      <c r="D470" s="51" t="n"/>
      <c r="E470" s="51" t="n"/>
      <c r="F470" s="51" t="n"/>
      <c r="J470" s="51" t="n"/>
    </row>
    <row r="471">
      <c r="B471" s="51" t="n"/>
      <c r="C471" s="51" t="n"/>
      <c r="D471" s="51" t="n"/>
      <c r="E471" s="51" t="n"/>
      <c r="F471" s="51" t="n"/>
      <c r="J471" s="51" t="n"/>
    </row>
    <row r="472">
      <c r="B472" s="51" t="n"/>
      <c r="C472" s="51" t="n"/>
      <c r="D472" s="51" t="n"/>
      <c r="E472" s="51" t="n"/>
      <c r="F472" s="51" t="n"/>
      <c r="J472" s="51" t="n"/>
    </row>
    <row r="473">
      <c r="B473" s="51" t="n"/>
      <c r="C473" s="51" t="n"/>
      <c r="D473" s="51" t="n"/>
      <c r="E473" s="51" t="n"/>
      <c r="F473" s="51" t="n"/>
      <c r="J473" s="51" t="n"/>
    </row>
    <row r="474">
      <c r="B474" s="51" t="n"/>
      <c r="C474" s="51" t="n"/>
      <c r="D474" s="51" t="n"/>
      <c r="E474" s="51" t="n"/>
      <c r="F474" s="51" t="n"/>
      <c r="J474" s="51" t="n"/>
    </row>
    <row r="475">
      <c r="B475" s="51" t="n"/>
      <c r="C475" s="51" t="n"/>
      <c r="D475" s="51" t="n"/>
      <c r="E475" s="51" t="n"/>
      <c r="F475" s="51" t="n"/>
      <c r="J475" s="51" t="n"/>
    </row>
    <row r="476">
      <c r="B476" s="51" t="n"/>
      <c r="C476" s="51" t="n"/>
      <c r="D476" s="51" t="n"/>
      <c r="E476" s="51" t="n"/>
      <c r="F476" s="51" t="n"/>
      <c r="J476" s="51" t="n"/>
    </row>
    <row r="477">
      <c r="B477" s="51" t="n"/>
      <c r="C477" s="51" t="n"/>
      <c r="D477" s="51" t="n"/>
      <c r="E477" s="51" t="n"/>
      <c r="F477" s="51" t="n"/>
      <c r="J477" s="51" t="n"/>
    </row>
    <row r="478">
      <c r="B478" s="51" t="n"/>
      <c r="C478" s="51" t="n"/>
      <c r="D478" s="51" t="n"/>
      <c r="E478" s="51" t="n"/>
      <c r="F478" s="51" t="n"/>
      <c r="J478" s="51" t="n"/>
    </row>
    <row r="479">
      <c r="B479" s="51" t="n"/>
      <c r="C479" s="51" t="n"/>
      <c r="D479" s="51" t="n"/>
      <c r="E479" s="51" t="n"/>
      <c r="F479" s="51" t="n"/>
      <c r="J479" s="51" t="n"/>
    </row>
    <row r="480">
      <c r="B480" s="51" t="n"/>
      <c r="C480" s="51" t="n"/>
      <c r="D480" s="51" t="n"/>
      <c r="E480" s="51" t="n"/>
      <c r="F480" s="51" t="n"/>
      <c r="J480" s="51" t="n"/>
    </row>
    <row r="481">
      <c r="B481" s="51" t="n"/>
      <c r="C481" s="51" t="n"/>
      <c r="D481" s="51" t="n"/>
      <c r="E481" s="51" t="n"/>
      <c r="F481" s="51" t="n"/>
      <c r="J481" s="51" t="n"/>
    </row>
    <row r="482">
      <c r="B482" s="51" t="n"/>
      <c r="C482" s="51" t="n"/>
      <c r="D482" s="51" t="n"/>
      <c r="E482" s="51" t="n"/>
      <c r="F482" s="51" t="n"/>
      <c r="J482" s="51" t="n"/>
    </row>
    <row r="483">
      <c r="B483" s="51" t="n"/>
      <c r="C483" s="51" t="n"/>
      <c r="D483" s="51" t="n"/>
      <c r="E483" s="51" t="n"/>
      <c r="F483" s="51" t="n"/>
      <c r="J483" s="51" t="n"/>
    </row>
    <row r="484">
      <c r="B484" s="51" t="n"/>
      <c r="C484" s="51" t="n"/>
      <c r="D484" s="51" t="n"/>
      <c r="E484" s="51" t="n"/>
      <c r="F484" s="51" t="n"/>
      <c r="J484" s="51" t="n"/>
    </row>
    <row r="485">
      <c r="B485" s="51" t="n"/>
      <c r="C485" s="51" t="n"/>
      <c r="D485" s="51" t="n"/>
      <c r="E485" s="51" t="n"/>
      <c r="F485" s="51" t="n"/>
      <c r="J485" s="51" t="n"/>
    </row>
    <row r="486">
      <c r="B486" s="51" t="n"/>
      <c r="C486" s="51" t="n"/>
      <c r="D486" s="51" t="n"/>
      <c r="E486" s="51" t="n"/>
      <c r="F486" s="51" t="n"/>
      <c r="J486" s="51" t="n"/>
    </row>
    <row r="487">
      <c r="B487" s="51" t="n"/>
      <c r="C487" s="51" t="n"/>
      <c r="D487" s="51" t="n"/>
      <c r="E487" s="51" t="n"/>
      <c r="F487" s="51" t="n"/>
      <c r="J487" s="51" t="n"/>
    </row>
    <row r="488">
      <c r="B488" s="51" t="n"/>
      <c r="C488" s="51" t="n"/>
      <c r="D488" s="51" t="n"/>
      <c r="E488" s="51" t="n"/>
      <c r="F488" s="51" t="n"/>
      <c r="J488" s="51" t="n"/>
    </row>
    <row r="489">
      <c r="B489" s="51" t="n"/>
      <c r="C489" s="51" t="n"/>
      <c r="D489" s="51" t="n"/>
      <c r="E489" s="51" t="n"/>
      <c r="F489" s="51" t="n"/>
      <c r="J489" s="51" t="n"/>
    </row>
    <row r="490">
      <c r="B490" s="51" t="n"/>
      <c r="C490" s="51" t="n"/>
      <c r="D490" s="51" t="n"/>
      <c r="E490" s="51" t="n"/>
      <c r="F490" s="51" t="n"/>
      <c r="J490" s="51" t="n"/>
    </row>
    <row r="491">
      <c r="B491" s="51" t="n"/>
      <c r="C491" s="51" t="n"/>
      <c r="D491" s="51" t="n"/>
      <c r="E491" s="51" t="n"/>
      <c r="F491" s="51" t="n"/>
      <c r="J491" s="51" t="n"/>
    </row>
    <row r="492">
      <c r="B492" s="51" t="n"/>
      <c r="C492" s="51" t="n"/>
      <c r="D492" s="51" t="n"/>
      <c r="E492" s="51" t="n"/>
      <c r="F492" s="51" t="n"/>
      <c r="J492" s="51" t="n"/>
    </row>
    <row r="493">
      <c r="B493" s="51" t="n"/>
      <c r="C493" s="51" t="n"/>
      <c r="D493" s="51" t="n"/>
      <c r="E493" s="51" t="n"/>
      <c r="F493" s="51" t="n"/>
      <c r="J493" s="51" t="n"/>
    </row>
    <row r="494">
      <c r="B494" s="51" t="n"/>
      <c r="C494" s="51" t="n"/>
      <c r="D494" s="51" t="n"/>
      <c r="E494" s="51" t="n"/>
      <c r="F494" s="51" t="n"/>
      <c r="J494" s="51" t="n"/>
    </row>
    <row r="495">
      <c r="B495" s="51" t="n"/>
      <c r="C495" s="51" t="n"/>
      <c r="D495" s="51" t="n"/>
      <c r="E495" s="51" t="n"/>
      <c r="F495" s="51" t="n"/>
      <c r="J495" s="51" t="n"/>
    </row>
    <row r="496">
      <c r="B496" s="51" t="n"/>
      <c r="C496" s="51" t="n"/>
      <c r="D496" s="51" t="n"/>
      <c r="E496" s="51" t="n"/>
      <c r="F496" s="51" t="n"/>
      <c r="J496" s="51" t="n"/>
    </row>
    <row r="497">
      <c r="B497" s="51" t="n"/>
      <c r="C497" s="51" t="n"/>
      <c r="D497" s="51" t="n"/>
      <c r="E497" s="51" t="n"/>
      <c r="F497" s="51" t="n"/>
      <c r="J497" s="51" t="n"/>
    </row>
    <row r="498">
      <c r="B498" s="51" t="n"/>
      <c r="C498" s="51" t="n"/>
      <c r="D498" s="51" t="n"/>
      <c r="E498" s="51" t="n"/>
      <c r="F498" s="51" t="n"/>
      <c r="J498" s="51" t="n"/>
    </row>
    <row r="499">
      <c r="B499" s="51" t="n"/>
      <c r="C499" s="51" t="n"/>
      <c r="D499" s="51" t="n"/>
      <c r="E499" s="51" t="n"/>
      <c r="F499" s="51" t="n"/>
      <c r="J499" s="51" t="n"/>
    </row>
    <row r="500">
      <c r="B500" s="51" t="n"/>
      <c r="C500" s="51" t="n"/>
      <c r="D500" s="51" t="n"/>
      <c r="E500" s="51" t="n"/>
      <c r="F500" s="51" t="n"/>
      <c r="J500" s="51" t="n"/>
    </row>
    <row r="501">
      <c r="B501" s="51" t="n"/>
      <c r="C501" s="51" t="n"/>
      <c r="D501" s="51" t="n"/>
      <c r="E501" s="51" t="n"/>
      <c r="F501" s="51" t="n"/>
      <c r="J501" s="51" t="n"/>
    </row>
    <row r="502">
      <c r="B502" s="51" t="n"/>
      <c r="C502" s="51" t="n"/>
      <c r="D502" s="51" t="n"/>
      <c r="E502" s="51" t="n"/>
      <c r="F502" s="51" t="n"/>
      <c r="J502" s="51" t="n"/>
    </row>
    <row r="503">
      <c r="B503" s="51" t="n"/>
      <c r="C503" s="51" t="n"/>
      <c r="D503" s="51" t="n"/>
      <c r="E503" s="51" t="n"/>
      <c r="F503" s="51" t="n"/>
      <c r="J503" s="51" t="n"/>
    </row>
    <row r="504">
      <c r="B504" s="51" t="n"/>
      <c r="C504" s="51" t="n"/>
      <c r="D504" s="51" t="n"/>
      <c r="E504" s="51" t="n"/>
      <c r="F504" s="51" t="n"/>
      <c r="J504" s="51" t="n"/>
    </row>
    <row r="505">
      <c r="B505" s="51" t="n"/>
      <c r="C505" s="51" t="n"/>
      <c r="D505" s="51" t="n"/>
      <c r="E505" s="51" t="n"/>
      <c r="F505" s="51" t="n"/>
      <c r="J505" s="51" t="n"/>
    </row>
    <row r="506">
      <c r="B506" s="51" t="n"/>
      <c r="C506" s="51" t="n"/>
      <c r="D506" s="51" t="n"/>
      <c r="E506" s="51" t="n"/>
      <c r="F506" s="51" t="n"/>
      <c r="J506" s="51" t="n"/>
    </row>
    <row r="507">
      <c r="B507" s="51" t="n"/>
      <c r="C507" s="51" t="n"/>
      <c r="D507" s="51" t="n"/>
      <c r="E507" s="51" t="n"/>
      <c r="F507" s="51" t="n"/>
      <c r="J507" s="51" t="n"/>
    </row>
    <row r="508">
      <c r="B508" s="51" t="n"/>
      <c r="C508" s="51" t="n"/>
      <c r="D508" s="51" t="n"/>
      <c r="E508" s="51" t="n"/>
      <c r="F508" s="51" t="n"/>
      <c r="J508" s="51" t="n"/>
    </row>
    <row r="509">
      <c r="B509" s="51" t="n"/>
      <c r="C509" s="51" t="n"/>
      <c r="D509" s="51" t="n"/>
      <c r="E509" s="51" t="n"/>
      <c r="F509" s="51" t="n"/>
      <c r="J509" s="51" t="n"/>
    </row>
    <row r="510">
      <c r="B510" s="51" t="n"/>
      <c r="C510" s="51" t="n"/>
      <c r="D510" s="51" t="n"/>
      <c r="E510" s="51" t="n"/>
      <c r="F510" s="51" t="n"/>
      <c r="J510" s="51" t="n"/>
    </row>
    <row r="511">
      <c r="B511" s="51" t="n"/>
      <c r="C511" s="51" t="n"/>
      <c r="D511" s="51" t="n"/>
      <c r="E511" s="51" t="n"/>
      <c r="F511" s="51" t="n"/>
      <c r="J511" s="51" t="n"/>
    </row>
    <row r="512">
      <c r="B512" s="51" t="n"/>
      <c r="C512" s="51" t="n"/>
      <c r="D512" s="51" t="n"/>
      <c r="E512" s="51" t="n"/>
      <c r="F512" s="51" t="n"/>
      <c r="J512" s="51" t="n"/>
    </row>
    <row r="513">
      <c r="B513" s="51" t="n"/>
      <c r="C513" s="51" t="n"/>
      <c r="D513" s="51" t="n"/>
      <c r="E513" s="51" t="n"/>
      <c r="F513" s="51" t="n"/>
      <c r="J513" s="51" t="n"/>
    </row>
    <row r="514">
      <c r="B514" s="51" t="n"/>
      <c r="C514" s="51" t="n"/>
      <c r="D514" s="51" t="n"/>
      <c r="E514" s="51" t="n"/>
      <c r="F514" s="51" t="n"/>
      <c r="J514" s="51" t="n"/>
    </row>
    <row r="515">
      <c r="B515" s="51" t="n"/>
      <c r="C515" s="51" t="n"/>
      <c r="D515" s="51" t="n"/>
      <c r="E515" s="51" t="n"/>
      <c r="F515" s="51" t="n"/>
      <c r="J515" s="51" t="n"/>
    </row>
    <row r="516">
      <c r="B516" s="51" t="n"/>
      <c r="C516" s="51" t="n"/>
      <c r="D516" s="51" t="n"/>
      <c r="E516" s="51" t="n"/>
      <c r="F516" s="51" t="n"/>
      <c r="J516" s="51" t="n"/>
    </row>
    <row r="517">
      <c r="B517" s="51" t="n"/>
      <c r="C517" s="51" t="n"/>
      <c r="D517" s="51" t="n"/>
      <c r="E517" s="51" t="n"/>
      <c r="F517" s="51" t="n"/>
      <c r="J517" s="51" t="n"/>
    </row>
  </sheetData>
  <mergeCells count="7">
    <mergeCell ref="B7:J7"/>
    <mergeCell ref="B3:J3"/>
    <mergeCell ref="B5:J5"/>
    <mergeCell ref="B10:C10"/>
    <mergeCell ref="B8:J8"/>
    <mergeCell ref="B4:J4"/>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Company code" error="At most 10 characters." promptTitle="Company code" prompt="Yes. Code of the company on every record Allowed: Free entry, up to 10 characters" type="textLength" operator="lessThanOrEqual">
      <formula1>10</formula1>
    </dataValidation>
    <dataValidation sqref="C17:C517" showDropDown="0" showInputMessage="1" showErrorMessage="1" allowBlank="1" errorTitle="Registered name" error="At most 200 characters." promptTitle="Registered name" prompt="Yes. Name as registered with the SEC Allowed: Free entry, up to 200 characters" type="textLength" operator="lessThanOrEqual">
      <formula1>200</formula1>
    </dataValidation>
    <dataValidation sqref="D17:D517" showDropDown="0" showInputMessage="1" showErrorMessage="0" allowBlank="1" promptTitle="TIN" prompt="Yes. Tax identification number with branch code"/>
    <dataValidation sqref="E17:E517" showDropDown="0" showInputMessage="1" showErrorMessage="0" allowBlank="1" promptTitle="Registered address" prompt="Yes. Address printed on receipts and BIR forms"/>
    <dataValidation sqref="F17:F517" showDropDown="0" showInputMessage="1" showErrorMessage="1" allowBlank="1" errorTitle="Base currency" error="At most 3 characters." promptTitle="Base currency" prompt="Yes. Currency of the books Allowed: Free entry, up to 3 characters" type="textLength" operator="lessThanOrEqual">
      <formula1>3</formula1>
    </dataValidation>
    <dataValidation sqref="G17:G517" showDropDown="0" showInputMessage="1" showErrorMessage="1" allowBlank="1" errorTitle="Fiscal year start month" error="Enter a whole number from 1 to 12." promptTitle="Fiscal year start month" prompt="Yes. First month of the financial year Allowed: A whole number from 1 to 12" type="whole" operator="between">
      <formula1>1</formula1>
      <formula2>12</formula2>
    </dataValidation>
    <dataValidation sqref="H17:H517" showDropDown="0" showInputMessage="1" showErrorMessage="1" allowBlank="1" errorTitle="Back-value days" error="Enter a whole number from 0 to 365." promptTitle="Back-value days" prompt="Yes. How many days before today a posting may be dated Allowed: A whole number from 0 to 365" type="whole" operator="between">
      <formula1>0</formula1>
      <formula2>365</formula2>
    </dataValidation>
    <dataValidation sqref="I17:I517" showDropDown="0" showInputMessage="1" showErrorMessage="1" allowBlank="1" errorTitle="Forward-value days" error="Enter a whole number from 0 to 365." promptTitle="Forward-value days" prompt="Yes. How many days after today a posting may be dated Allowed: A whole number from 0 to 365" type="whole" operator="between">
      <formula1>0</formula1>
      <formula2>365</formula2>
    </dataValidation>
    <dataValidation sqref="J17:J517" showDropDown="0" showInputMessage="1" showErrorMessage="1" allowBlank="1" errorTitle="Retained earnings account" error="The code is not in D0-06, column Account Code. Enter it there first, or keep it if it is a code BIBS already holds." promptTitle="Retained earnings account" prompt="Yes. Account that receives the year-end result Allowed: A code of D0-06 Chart of accounts, column Account Code" type="list" errorStyle="warning">
      <formula1>=CODES_D0_06_ACCOUNT_CODE</formula1>
    </dataValidation>
  </dataValidations>
  <hyperlinks>
    <hyperlink ref="A2" location="'Start here'!A1"/>
    <hyperlink ref="J2" location="'Questions and comments'!A1"/>
    <hyperlink ref="B8" location="'D0-06 Chart of accounts'!A1"/>
    <hyperlink ref="J14" location="'D0-06 Chart of account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72727272727273" customWidth="1" min="2" max="2"/>
    <col width="27" customWidth="1" min="3" max="3"/>
    <col width="18" customWidth="1" min="4" max="4"/>
    <col width="14.54545454545454" customWidth="1" min="5" max="5"/>
    <col width="19" customWidth="1" min="6" max="6"/>
    <col width="12" customWidth="1" min="7" max="7"/>
    <col width="20" customWidth="1" min="8" max="8"/>
    <col width="17" customWidth="1" min="9" max="9"/>
    <col width="21" customWidth="1" min="10" max="10"/>
    <col width="20" customWidth="1" min="11" max="11"/>
  </cols>
  <sheetData>
    <row r="1" ht="26" customHeight="1">
      <c r="A1" s="27" t="inlineStr">
        <is>
          <t>D0-08 Accounting rules</t>
        </is>
      </c>
      <c r="K1" s="28" t="inlineStr">
        <is>
          <t>Step 18 of 31</t>
        </is>
      </c>
    </row>
    <row r="2">
      <c r="A2" s="29" t="inlineStr">
        <is>
          <t>← Back to Start here</t>
        </is>
      </c>
      <c r="B2" s="30" t="inlineStr">
        <is>
          <t>Step 18 of 31. Fill in one row per record below the column headers; the guide above each column says what to enter.</t>
        </is>
      </c>
      <c r="K2" s="31" t="inlineStr">
        <is>
          <t>Ask a question →</t>
        </is>
      </c>
    </row>
    <row r="3" outlineLevel="1" ht="15.5" customHeight="1">
      <c r="A3" s="32" t="inlineStr">
        <is>
          <t>Purpose</t>
        </is>
      </c>
      <c r="B3" s="33" t="inlineStr">
        <is>
          <t>The debit and credit accounts of each accounting event of the platform</t>
        </is>
      </c>
    </row>
    <row r="4" outlineLevel="1" ht="15.5" customHeight="1">
      <c r="A4" s="32" t="inlineStr">
        <is>
          <t>Provided by</t>
        </is>
      </c>
      <c r="B4" s="33" t="inlineStr">
        <is>
          <t>Head, Comptrollership</t>
        </is>
      </c>
    </row>
    <row r="5" outlineLevel="1" ht="15.5" customHeight="1">
      <c r="A5" s="32" t="inlineStr">
        <is>
          <t>Due</t>
        </is>
      </c>
      <c r="B5" s="34" t="inlineStr">
        <is>
          <t>4-Jan-2027 – Platform set-up for Drop 1 SIT</t>
        </is>
      </c>
    </row>
    <row r="6" outlineLevel="1" ht="15.5" customHeight="1">
      <c r="A6" s="32" t="inlineStr">
        <is>
          <t>How it is loaded</t>
        </is>
      </c>
      <c r="B6" s="33" t="inlineStr">
        <is>
          <t>Accounting Rules (Accounting Engine), checked with the Rule Simulator and authorised by Comptrollership</t>
        </is>
      </c>
    </row>
    <row r="7" outlineLevel="1" ht="15.5" customHeight="1">
      <c r="A7" s="32" t="inlineStr">
        <is>
          <t>Source</t>
        </is>
      </c>
      <c r="B7" s="33" t="inlineStr">
        <is>
          <t>The posting rules of EBIX and ISYS; the accounting events listed on the sheet Ref Accounting events</t>
        </is>
      </c>
    </row>
    <row r="8" outlineLevel="1" ht="26" customHeight="1">
      <c r="A8" s="32" t="inlineStr">
        <is>
          <t>Depends on</t>
        </is>
      </c>
      <c r="B8" s="55" t="inlineStr">
        <is>
          <t>D0-04 Cost centres and business lines →</t>
        </is>
      </c>
      <c r="D8" s="55" t="inlineStr">
        <is>
          <t>D0-06 Chart of accounts →</t>
        </is>
      </c>
    </row>
    <row r="9" ht="26" customHeight="1">
      <c r="A9" s="36" t="inlineStr">
        <is>
          <t>Progress</t>
        </is>
      </c>
      <c r="B9" s="37" t="inlineStr">
        <is>
          <t>Rows entered</t>
        </is>
      </c>
      <c r="C9" s="38">
        <f>SUMPRODUCT(((ROW($B$17:$B$517)&gt;17)+($B$17&lt;&gt;"PREMIUM_BOOKED")&gt;0)*(LEN($B$17:$B$517&amp;$C$17:$C$517&amp;$D$17:$D$517&amp;$E$17:$E$517&amp;$F$17:$F$517&amp;$G$17:$G$517&amp;$H$17:$H$517&amp;$I$17:$I$517&amp;$J$17:$J$517&amp;$K$17:$K$517)&gt;0))</f>
        <v/>
      </c>
      <c r="D9" s="37" t="inlineStr">
        <is>
          <t>Mandatory cells missing</t>
        </is>
      </c>
      <c r="E9" s="38">
        <f>SUMPRODUCT(((ROW($B$17:$B$517)&gt;17)+($B$17&lt;&gt;"PREMIUM_BOOKED")&gt;0)*(LEN($B$17:$B$517&amp;$C$17:$C$517&amp;$D$17:$D$517&amp;$E$17:$E$517&amp;$F$17:$F$517&amp;$G$17:$G$517&amp;$H$17:$H$517&amp;$I$17:$I$517&amp;$J$17:$J$517&amp;$K$17:$K$517)&gt;0)*(($B$17:$B$517="")+($C$17:$C$517="")+($F$17:$F$517="")+($G$17:$G$517="")+($H$17:$H$517="")+($I$17:$I$517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row>
    <row r="12" ht="17" customHeight="1">
      <c r="A12" s="43" t="inlineStr">
        <is>
          <t>Mandatory</t>
        </is>
      </c>
      <c r="B12" s="44" t="inlineStr">
        <is>
          <t>Yes</t>
        </is>
      </c>
      <c r="C12" s="44" t="inlineStr">
        <is>
          <t>Yes</t>
        </is>
      </c>
      <c r="D12" s="45" t="inlineStr">
        <is>
          <t>No</t>
        </is>
      </c>
      <c r="E12" s="45" t="inlineStr">
        <is>
          <t>No</t>
        </is>
      </c>
      <c r="F12" s="44" t="inlineStr">
        <is>
          <t>Yes</t>
        </is>
      </c>
      <c r="G12" s="44" t="inlineStr">
        <is>
          <t>Yes</t>
        </is>
      </c>
      <c r="H12" s="44" t="inlineStr">
        <is>
          <t>Yes</t>
        </is>
      </c>
      <c r="I12" s="44" t="inlineStr">
        <is>
          <t>Yes</t>
        </is>
      </c>
      <c r="J12" s="44" t="inlineStr">
        <is>
          <t>Yes</t>
        </is>
      </c>
      <c r="K12" s="45" t="inlineStr">
        <is>
          <t>No</t>
        </is>
      </c>
    </row>
    <row r="13" ht="30" customHeight="1">
      <c r="A13" s="43" t="inlineStr">
        <is>
          <t>Format</t>
        </is>
      </c>
      <c r="B13" s="45" t="inlineStr">
        <is>
          <t>Code of the sheet Ref Accounting events</t>
        </is>
      </c>
      <c r="C13" s="45" t="inlineStr">
        <is>
          <t>Text</t>
        </is>
      </c>
      <c r="D13" s="45" t="inlineStr">
        <is>
          <t>Code of D0-04; blank = every line</t>
        </is>
      </c>
      <c r="E13" s="45" t="inlineStr">
        <is>
          <t>ISO 4217; blank = every currency</t>
        </is>
      </c>
      <c r="F13" s="45" t="inlineStr">
        <is>
          <t>dd-MMM-yyyy</t>
        </is>
      </c>
      <c r="G13" s="45" t="inlineStr">
        <is>
          <t>1, 2, 3</t>
        </is>
      </c>
      <c r="H13" s="45" t="inlineStr">
        <is>
          <t>DEBIT or CREDIT</t>
        </is>
      </c>
      <c r="I13" s="45" t="inlineStr">
        <is>
          <t>Account of D0-06</t>
        </is>
      </c>
      <c r="J13" s="45" t="inlineStr">
        <is>
          <t>Component of the event</t>
        </is>
      </c>
      <c r="K13" s="45" t="inlineStr">
        <is>
          <t>Text</t>
        </is>
      </c>
    </row>
    <row r="14" ht="43" customHeight="1">
      <c r="A14" s="43" t="inlineStr">
        <is>
          <t>Allowed values</t>
        </is>
      </c>
      <c r="B14" s="53" t="inlineStr">
        <is>
          <t>List Accounting event: 90 values, see Reference lists</t>
        </is>
      </c>
      <c r="C14" s="45" t="inlineStr">
        <is>
          <t>Free entry</t>
        </is>
      </c>
      <c r="D14" s="53" t="inlineStr">
        <is>
          <t>A code of D0-04 Cost centres and business lines, column Code</t>
        </is>
      </c>
      <c r="E14" s="45" t="inlineStr">
        <is>
          <t>Free entry</t>
        </is>
      </c>
      <c r="F14" s="45" t="inlineStr">
        <is>
          <t>A date, for example 15-Jan-2028</t>
        </is>
      </c>
      <c r="G14" s="45" t="inlineStr">
        <is>
          <t>A whole number from 1 to 99</t>
        </is>
      </c>
      <c r="H14" s="53" t="inlineStr">
        <is>
          <t>DEBIT, CREDIT (list Debit or credit)</t>
        </is>
      </c>
      <c r="I14" s="53" t="inlineStr">
        <is>
          <t>A code of D0-06 Chart of accounts, column Account Code</t>
        </is>
      </c>
      <c r="J14" s="45" t="inlineStr">
        <is>
          <t>Free entry</t>
        </is>
      </c>
      <c r="K14" s="45" t="inlineStr">
        <is>
          <t>Free entry</t>
        </is>
      </c>
    </row>
    <row r="15" ht="43" customHeight="1">
      <c r="A15" s="43" t="inlineStr">
        <is>
          <t>What to enter</t>
        </is>
      </c>
      <c r="B15" s="45" t="inlineStr">
        <is>
          <t>Event that the rule posts</t>
        </is>
      </c>
      <c r="C15" s="45" t="inlineStr">
        <is>
          <t>Name of the rule</t>
        </is>
      </c>
      <c r="D15" s="45" t="inlineStr">
        <is>
          <t>Line the rule applies to</t>
        </is>
      </c>
      <c r="E15" s="45" t="inlineStr">
        <is>
          <t>Currency the rule applies to</t>
        </is>
      </c>
      <c r="F15" s="45" t="inlineStr">
        <is>
          <t>First posting date of the rule</t>
        </is>
      </c>
      <c r="G15" s="45" t="inlineStr">
        <is>
          <t>Order of the line in the entry</t>
        </is>
      </c>
      <c r="H15" s="45" t="inlineStr">
        <is>
          <t>Side of the line</t>
        </is>
      </c>
      <c r="I15" s="45" t="inlineStr">
        <is>
          <t>Account posted</t>
        </is>
      </c>
      <c r="J15" s="45" t="inlineStr">
        <is>
          <t>Amount the line posts</t>
        </is>
      </c>
      <c r="K15" s="45" t="inlineStr">
        <is>
          <t>Text of the journal line</t>
        </is>
      </c>
    </row>
    <row r="16" ht="30" customHeight="1">
      <c r="A16" s="46" t="inlineStr">
        <is>
          <t>Row</t>
        </is>
      </c>
      <c r="B16" s="47" t="inlineStr">
        <is>
          <t>Event type *</t>
        </is>
      </c>
      <c r="C16" s="47" t="inlineStr">
        <is>
          <t>Rule name *</t>
        </is>
      </c>
      <c r="D16" s="47" t="inlineStr">
        <is>
          <t>Business line</t>
        </is>
      </c>
      <c r="E16" s="47" t="inlineStr">
        <is>
          <t>Currency</t>
        </is>
      </c>
      <c r="F16" s="47" t="inlineStr">
        <is>
          <t>Effective from *</t>
        </is>
      </c>
      <c r="G16" s="47" t="inlineStr">
        <is>
          <t>Line *</t>
        </is>
      </c>
      <c r="H16" s="47" t="inlineStr">
        <is>
          <t>Debit or credit *</t>
        </is>
      </c>
      <c r="I16" s="47" t="inlineStr">
        <is>
          <t>Account code *</t>
        </is>
      </c>
      <c r="J16" s="47" t="inlineStr">
        <is>
          <t>Amount component *</t>
        </is>
      </c>
      <c r="K16" s="47" t="inlineStr">
        <is>
          <t>Narration</t>
        </is>
      </c>
    </row>
    <row r="17" ht="18" customHeight="1">
      <c r="A17" s="48" t="inlineStr">
        <is>
          <t>Example – overwrite or delete</t>
        </is>
      </c>
      <c r="B17" s="49" t="inlineStr">
        <is>
          <t>PREMIUM_BOOKED</t>
        </is>
      </c>
      <c r="C17" s="49" t="inlineStr">
        <is>
          <t>Premium booked - non-life</t>
        </is>
      </c>
      <c r="D17" s="49" t="n"/>
      <c r="E17" s="49" t="n"/>
      <c r="F17" s="50" t="n">
        <v>46753</v>
      </c>
      <c r="G17" s="54" t="n">
        <v>1</v>
      </c>
      <c r="H17" s="49" t="inlineStr">
        <is>
          <t>DEBIT</t>
        </is>
      </c>
      <c r="I17" s="49" t="inlineStr">
        <is>
          <t>1210.07</t>
        </is>
      </c>
      <c r="J17" s="49" t="inlineStr">
        <is>
          <t>GROSS_PREMIUM</t>
        </is>
      </c>
      <c r="K17" s="49" t="inlineStr">
        <is>
          <t>Premium receivable</t>
        </is>
      </c>
    </row>
    <row r="18">
      <c r="B18" s="51" t="n"/>
      <c r="C18" s="51" t="n"/>
      <c r="D18" s="51" t="n"/>
      <c r="E18" s="51" t="n"/>
      <c r="F18" s="52" t="n"/>
      <c r="H18" s="51" t="n"/>
      <c r="I18" s="51" t="n"/>
      <c r="J18" s="51" t="n"/>
      <c r="K18" s="51" t="n"/>
    </row>
    <row r="19">
      <c r="B19" s="51" t="n"/>
      <c r="C19" s="51" t="n"/>
      <c r="D19" s="51" t="n"/>
      <c r="E19" s="51" t="n"/>
      <c r="F19" s="52" t="n"/>
      <c r="H19" s="51" t="n"/>
      <c r="I19" s="51" t="n"/>
      <c r="J19" s="51" t="n"/>
      <c r="K19" s="51" t="n"/>
    </row>
    <row r="20">
      <c r="B20" s="51" t="n"/>
      <c r="C20" s="51" t="n"/>
      <c r="D20" s="51" t="n"/>
      <c r="E20" s="51" t="n"/>
      <c r="F20" s="52" t="n"/>
      <c r="H20" s="51" t="n"/>
      <c r="I20" s="51" t="n"/>
      <c r="J20" s="51" t="n"/>
      <c r="K20" s="51" t="n"/>
    </row>
    <row r="21">
      <c r="B21" s="51" t="n"/>
      <c r="C21" s="51" t="n"/>
      <c r="D21" s="51" t="n"/>
      <c r="E21" s="51" t="n"/>
      <c r="F21" s="52" t="n"/>
      <c r="H21" s="51" t="n"/>
      <c r="I21" s="51" t="n"/>
      <c r="J21" s="51" t="n"/>
      <c r="K21" s="51" t="n"/>
    </row>
    <row r="22">
      <c r="B22" s="51" t="n"/>
      <c r="C22" s="51" t="n"/>
      <c r="D22" s="51" t="n"/>
      <c r="E22" s="51" t="n"/>
      <c r="F22" s="52" t="n"/>
      <c r="H22" s="51" t="n"/>
      <c r="I22" s="51" t="n"/>
      <c r="J22" s="51" t="n"/>
      <c r="K22" s="51" t="n"/>
    </row>
    <row r="23">
      <c r="B23" s="51" t="n"/>
      <c r="C23" s="51" t="n"/>
      <c r="D23" s="51" t="n"/>
      <c r="E23" s="51" t="n"/>
      <c r="F23" s="52" t="n"/>
      <c r="H23" s="51" t="n"/>
      <c r="I23" s="51" t="n"/>
      <c r="J23" s="51" t="n"/>
      <c r="K23" s="51" t="n"/>
    </row>
    <row r="24">
      <c r="B24" s="51" t="n"/>
      <c r="C24" s="51" t="n"/>
      <c r="D24" s="51" t="n"/>
      <c r="E24" s="51" t="n"/>
      <c r="F24" s="52" t="n"/>
      <c r="H24" s="51" t="n"/>
      <c r="I24" s="51" t="n"/>
      <c r="J24" s="51" t="n"/>
      <c r="K24" s="51" t="n"/>
    </row>
    <row r="25">
      <c r="B25" s="51" t="n"/>
      <c r="C25" s="51" t="n"/>
      <c r="D25" s="51" t="n"/>
      <c r="E25" s="51" t="n"/>
      <c r="F25" s="52" t="n"/>
      <c r="H25" s="51" t="n"/>
      <c r="I25" s="51" t="n"/>
      <c r="J25" s="51" t="n"/>
      <c r="K25" s="51" t="n"/>
    </row>
    <row r="26">
      <c r="B26" s="51" t="n"/>
      <c r="C26" s="51" t="n"/>
      <c r="D26" s="51" t="n"/>
      <c r="E26" s="51" t="n"/>
      <c r="F26" s="52" t="n"/>
      <c r="H26" s="51" t="n"/>
      <c r="I26" s="51" t="n"/>
      <c r="J26" s="51" t="n"/>
      <c r="K26" s="51" t="n"/>
    </row>
    <row r="27">
      <c r="B27" s="51" t="n"/>
      <c r="C27" s="51" t="n"/>
      <c r="D27" s="51" t="n"/>
      <c r="E27" s="51" t="n"/>
      <c r="F27" s="52" t="n"/>
      <c r="H27" s="51" t="n"/>
      <c r="I27" s="51" t="n"/>
      <c r="J27" s="51" t="n"/>
      <c r="K27" s="51" t="n"/>
    </row>
    <row r="28">
      <c r="B28" s="51" t="n"/>
      <c r="C28" s="51" t="n"/>
      <c r="D28" s="51" t="n"/>
      <c r="E28" s="51" t="n"/>
      <c r="F28" s="52" t="n"/>
      <c r="H28" s="51" t="n"/>
      <c r="I28" s="51" t="n"/>
      <c r="J28" s="51" t="n"/>
      <c r="K28" s="51" t="n"/>
    </row>
    <row r="29">
      <c r="B29" s="51" t="n"/>
      <c r="C29" s="51" t="n"/>
      <c r="D29" s="51" t="n"/>
      <c r="E29" s="51" t="n"/>
      <c r="F29" s="52" t="n"/>
      <c r="H29" s="51" t="n"/>
      <c r="I29" s="51" t="n"/>
      <c r="J29" s="51" t="n"/>
      <c r="K29" s="51" t="n"/>
    </row>
    <row r="30">
      <c r="B30" s="51" t="n"/>
      <c r="C30" s="51" t="n"/>
      <c r="D30" s="51" t="n"/>
      <c r="E30" s="51" t="n"/>
      <c r="F30" s="52" t="n"/>
      <c r="H30" s="51" t="n"/>
      <c r="I30" s="51" t="n"/>
      <c r="J30" s="51" t="n"/>
      <c r="K30" s="51" t="n"/>
    </row>
    <row r="31">
      <c r="B31" s="51" t="n"/>
      <c r="C31" s="51" t="n"/>
      <c r="D31" s="51" t="n"/>
      <c r="E31" s="51" t="n"/>
      <c r="F31" s="52" t="n"/>
      <c r="H31" s="51" t="n"/>
      <c r="I31" s="51" t="n"/>
      <c r="J31" s="51" t="n"/>
      <c r="K31" s="51" t="n"/>
    </row>
    <row r="32">
      <c r="B32" s="51" t="n"/>
      <c r="C32" s="51" t="n"/>
      <c r="D32" s="51" t="n"/>
      <c r="E32" s="51" t="n"/>
      <c r="F32" s="52" t="n"/>
      <c r="H32" s="51" t="n"/>
      <c r="I32" s="51" t="n"/>
      <c r="J32" s="51" t="n"/>
      <c r="K32" s="51" t="n"/>
    </row>
    <row r="33">
      <c r="B33" s="51" t="n"/>
      <c r="C33" s="51" t="n"/>
      <c r="D33" s="51" t="n"/>
      <c r="E33" s="51" t="n"/>
      <c r="F33" s="52" t="n"/>
      <c r="H33" s="51" t="n"/>
      <c r="I33" s="51" t="n"/>
      <c r="J33" s="51" t="n"/>
      <c r="K33" s="51" t="n"/>
    </row>
    <row r="34">
      <c r="B34" s="51" t="n"/>
      <c r="C34" s="51" t="n"/>
      <c r="D34" s="51" t="n"/>
      <c r="E34" s="51" t="n"/>
      <c r="F34" s="52" t="n"/>
      <c r="H34" s="51" t="n"/>
      <c r="I34" s="51" t="n"/>
      <c r="J34" s="51" t="n"/>
      <c r="K34" s="51" t="n"/>
    </row>
    <row r="35">
      <c r="B35" s="51" t="n"/>
      <c r="C35" s="51" t="n"/>
      <c r="D35" s="51" t="n"/>
      <c r="E35" s="51" t="n"/>
      <c r="F35" s="52" t="n"/>
      <c r="H35" s="51" t="n"/>
      <c r="I35" s="51" t="n"/>
      <c r="J35" s="51" t="n"/>
      <c r="K35" s="51" t="n"/>
    </row>
    <row r="36">
      <c r="B36" s="51" t="n"/>
      <c r="C36" s="51" t="n"/>
      <c r="D36" s="51" t="n"/>
      <c r="E36" s="51" t="n"/>
      <c r="F36" s="52" t="n"/>
      <c r="H36" s="51" t="n"/>
      <c r="I36" s="51" t="n"/>
      <c r="J36" s="51" t="n"/>
      <c r="K36" s="51" t="n"/>
    </row>
    <row r="37">
      <c r="B37" s="51" t="n"/>
      <c r="C37" s="51" t="n"/>
      <c r="D37" s="51" t="n"/>
      <c r="E37" s="51" t="n"/>
      <c r="F37" s="52" t="n"/>
      <c r="H37" s="51" t="n"/>
      <c r="I37" s="51" t="n"/>
      <c r="J37" s="51" t="n"/>
      <c r="K37" s="51" t="n"/>
    </row>
    <row r="38">
      <c r="B38" s="51" t="n"/>
      <c r="C38" s="51" t="n"/>
      <c r="D38" s="51" t="n"/>
      <c r="E38" s="51" t="n"/>
      <c r="F38" s="52" t="n"/>
      <c r="H38" s="51" t="n"/>
      <c r="I38" s="51" t="n"/>
      <c r="J38" s="51" t="n"/>
      <c r="K38" s="51" t="n"/>
    </row>
    <row r="39">
      <c r="B39" s="51" t="n"/>
      <c r="C39" s="51" t="n"/>
      <c r="D39" s="51" t="n"/>
      <c r="E39" s="51" t="n"/>
      <c r="F39" s="52" t="n"/>
      <c r="H39" s="51" t="n"/>
      <c r="I39" s="51" t="n"/>
      <c r="J39" s="51" t="n"/>
      <c r="K39" s="51" t="n"/>
    </row>
    <row r="40">
      <c r="B40" s="51" t="n"/>
      <c r="C40" s="51" t="n"/>
      <c r="D40" s="51" t="n"/>
      <c r="E40" s="51" t="n"/>
      <c r="F40" s="52" t="n"/>
      <c r="H40" s="51" t="n"/>
      <c r="I40" s="51" t="n"/>
      <c r="J40" s="51" t="n"/>
      <c r="K40" s="51" t="n"/>
    </row>
    <row r="41">
      <c r="B41" s="51" t="n"/>
      <c r="C41" s="51" t="n"/>
      <c r="D41" s="51" t="n"/>
      <c r="E41" s="51" t="n"/>
      <c r="F41" s="52" t="n"/>
      <c r="H41" s="51" t="n"/>
      <c r="I41" s="51" t="n"/>
      <c r="J41" s="51" t="n"/>
      <c r="K41" s="51" t="n"/>
    </row>
    <row r="42">
      <c r="B42" s="51" t="n"/>
      <c r="C42" s="51" t="n"/>
      <c r="D42" s="51" t="n"/>
      <c r="E42" s="51" t="n"/>
      <c r="F42" s="52" t="n"/>
      <c r="H42" s="51" t="n"/>
      <c r="I42" s="51" t="n"/>
      <c r="J42" s="51" t="n"/>
      <c r="K42" s="51" t="n"/>
    </row>
    <row r="43">
      <c r="B43" s="51" t="n"/>
      <c r="C43" s="51" t="n"/>
      <c r="D43" s="51" t="n"/>
      <c r="E43" s="51" t="n"/>
      <c r="F43" s="52" t="n"/>
      <c r="H43" s="51" t="n"/>
      <c r="I43" s="51" t="n"/>
      <c r="J43" s="51" t="n"/>
      <c r="K43" s="51" t="n"/>
    </row>
    <row r="44">
      <c r="B44" s="51" t="n"/>
      <c r="C44" s="51" t="n"/>
      <c r="D44" s="51" t="n"/>
      <c r="E44" s="51" t="n"/>
      <c r="F44" s="52" t="n"/>
      <c r="H44" s="51" t="n"/>
      <c r="I44" s="51" t="n"/>
      <c r="J44" s="51" t="n"/>
      <c r="K44" s="51" t="n"/>
    </row>
    <row r="45">
      <c r="B45" s="51" t="n"/>
      <c r="C45" s="51" t="n"/>
      <c r="D45" s="51" t="n"/>
      <c r="E45" s="51" t="n"/>
      <c r="F45" s="52" t="n"/>
      <c r="H45" s="51" t="n"/>
      <c r="I45" s="51" t="n"/>
      <c r="J45" s="51" t="n"/>
      <c r="K45" s="51" t="n"/>
    </row>
    <row r="46">
      <c r="B46" s="51" t="n"/>
      <c r="C46" s="51" t="n"/>
      <c r="D46" s="51" t="n"/>
      <c r="E46" s="51" t="n"/>
      <c r="F46" s="52" t="n"/>
      <c r="H46" s="51" t="n"/>
      <c r="I46" s="51" t="n"/>
      <c r="J46" s="51" t="n"/>
      <c r="K46" s="51" t="n"/>
    </row>
    <row r="47">
      <c r="B47" s="51" t="n"/>
      <c r="C47" s="51" t="n"/>
      <c r="D47" s="51" t="n"/>
      <c r="E47" s="51" t="n"/>
      <c r="F47" s="52" t="n"/>
      <c r="H47" s="51" t="n"/>
      <c r="I47" s="51" t="n"/>
      <c r="J47" s="51" t="n"/>
      <c r="K47" s="51" t="n"/>
    </row>
    <row r="48">
      <c r="B48" s="51" t="n"/>
      <c r="C48" s="51" t="n"/>
      <c r="D48" s="51" t="n"/>
      <c r="E48" s="51" t="n"/>
      <c r="F48" s="52" t="n"/>
      <c r="H48" s="51" t="n"/>
      <c r="I48" s="51" t="n"/>
      <c r="J48" s="51" t="n"/>
      <c r="K48" s="51" t="n"/>
    </row>
    <row r="49">
      <c r="B49" s="51" t="n"/>
      <c r="C49" s="51" t="n"/>
      <c r="D49" s="51" t="n"/>
      <c r="E49" s="51" t="n"/>
      <c r="F49" s="52" t="n"/>
      <c r="H49" s="51" t="n"/>
      <c r="I49" s="51" t="n"/>
      <c r="J49" s="51" t="n"/>
      <c r="K49" s="51" t="n"/>
    </row>
    <row r="50">
      <c r="B50" s="51" t="n"/>
      <c r="C50" s="51" t="n"/>
      <c r="D50" s="51" t="n"/>
      <c r="E50" s="51" t="n"/>
      <c r="F50" s="52" t="n"/>
      <c r="H50" s="51" t="n"/>
      <c r="I50" s="51" t="n"/>
      <c r="J50" s="51" t="n"/>
      <c r="K50" s="51" t="n"/>
    </row>
    <row r="51">
      <c r="B51" s="51" t="n"/>
      <c r="C51" s="51" t="n"/>
      <c r="D51" s="51" t="n"/>
      <c r="E51" s="51" t="n"/>
      <c r="F51" s="52" t="n"/>
      <c r="H51" s="51" t="n"/>
      <c r="I51" s="51" t="n"/>
      <c r="J51" s="51" t="n"/>
      <c r="K51" s="51" t="n"/>
    </row>
    <row r="52">
      <c r="B52" s="51" t="n"/>
      <c r="C52" s="51" t="n"/>
      <c r="D52" s="51" t="n"/>
      <c r="E52" s="51" t="n"/>
      <c r="F52" s="52" t="n"/>
      <c r="H52" s="51" t="n"/>
      <c r="I52" s="51" t="n"/>
      <c r="J52" s="51" t="n"/>
      <c r="K52" s="51" t="n"/>
    </row>
    <row r="53">
      <c r="B53" s="51" t="n"/>
      <c r="C53" s="51" t="n"/>
      <c r="D53" s="51" t="n"/>
      <c r="E53" s="51" t="n"/>
      <c r="F53" s="52" t="n"/>
      <c r="H53" s="51" t="n"/>
      <c r="I53" s="51" t="n"/>
      <c r="J53" s="51" t="n"/>
      <c r="K53" s="51" t="n"/>
    </row>
    <row r="54">
      <c r="B54" s="51" t="n"/>
      <c r="C54" s="51" t="n"/>
      <c r="D54" s="51" t="n"/>
      <c r="E54" s="51" t="n"/>
      <c r="F54" s="52" t="n"/>
      <c r="H54" s="51" t="n"/>
      <c r="I54" s="51" t="n"/>
      <c r="J54" s="51" t="n"/>
      <c r="K54" s="51" t="n"/>
    </row>
    <row r="55">
      <c r="B55" s="51" t="n"/>
      <c r="C55" s="51" t="n"/>
      <c r="D55" s="51" t="n"/>
      <c r="E55" s="51" t="n"/>
      <c r="F55" s="52" t="n"/>
      <c r="H55" s="51" t="n"/>
      <c r="I55" s="51" t="n"/>
      <c r="J55" s="51" t="n"/>
      <c r="K55" s="51" t="n"/>
    </row>
    <row r="56">
      <c r="B56" s="51" t="n"/>
      <c r="C56" s="51" t="n"/>
      <c r="D56" s="51" t="n"/>
      <c r="E56" s="51" t="n"/>
      <c r="F56" s="52" t="n"/>
      <c r="H56" s="51" t="n"/>
      <c r="I56" s="51" t="n"/>
      <c r="J56" s="51" t="n"/>
      <c r="K56" s="51" t="n"/>
    </row>
    <row r="57">
      <c r="B57" s="51" t="n"/>
      <c r="C57" s="51" t="n"/>
      <c r="D57" s="51" t="n"/>
      <c r="E57" s="51" t="n"/>
      <c r="F57" s="52" t="n"/>
      <c r="H57" s="51" t="n"/>
      <c r="I57" s="51" t="n"/>
      <c r="J57" s="51" t="n"/>
      <c r="K57" s="51" t="n"/>
    </row>
    <row r="58">
      <c r="B58" s="51" t="n"/>
      <c r="C58" s="51" t="n"/>
      <c r="D58" s="51" t="n"/>
      <c r="E58" s="51" t="n"/>
      <c r="F58" s="52" t="n"/>
      <c r="H58" s="51" t="n"/>
      <c r="I58" s="51" t="n"/>
      <c r="J58" s="51" t="n"/>
      <c r="K58" s="51" t="n"/>
    </row>
    <row r="59">
      <c r="B59" s="51" t="n"/>
      <c r="C59" s="51" t="n"/>
      <c r="D59" s="51" t="n"/>
      <c r="E59" s="51" t="n"/>
      <c r="F59" s="52" t="n"/>
      <c r="H59" s="51" t="n"/>
      <c r="I59" s="51" t="n"/>
      <c r="J59" s="51" t="n"/>
      <c r="K59" s="51" t="n"/>
    </row>
    <row r="60">
      <c r="B60" s="51" t="n"/>
      <c r="C60" s="51" t="n"/>
      <c r="D60" s="51" t="n"/>
      <c r="E60" s="51" t="n"/>
      <c r="F60" s="52" t="n"/>
      <c r="H60" s="51" t="n"/>
      <c r="I60" s="51" t="n"/>
      <c r="J60" s="51" t="n"/>
      <c r="K60" s="51" t="n"/>
    </row>
    <row r="61">
      <c r="B61" s="51" t="n"/>
      <c r="C61" s="51" t="n"/>
      <c r="D61" s="51" t="n"/>
      <c r="E61" s="51" t="n"/>
      <c r="F61" s="52" t="n"/>
      <c r="H61" s="51" t="n"/>
      <c r="I61" s="51" t="n"/>
      <c r="J61" s="51" t="n"/>
      <c r="K61" s="51" t="n"/>
    </row>
    <row r="62">
      <c r="B62" s="51" t="n"/>
      <c r="C62" s="51" t="n"/>
      <c r="D62" s="51" t="n"/>
      <c r="E62" s="51" t="n"/>
      <c r="F62" s="52" t="n"/>
      <c r="H62" s="51" t="n"/>
      <c r="I62" s="51" t="n"/>
      <c r="J62" s="51" t="n"/>
      <c r="K62" s="51" t="n"/>
    </row>
    <row r="63">
      <c r="B63" s="51" t="n"/>
      <c r="C63" s="51" t="n"/>
      <c r="D63" s="51" t="n"/>
      <c r="E63" s="51" t="n"/>
      <c r="F63" s="52" t="n"/>
      <c r="H63" s="51" t="n"/>
      <c r="I63" s="51" t="n"/>
      <c r="J63" s="51" t="n"/>
      <c r="K63" s="51" t="n"/>
    </row>
    <row r="64">
      <c r="B64" s="51" t="n"/>
      <c r="C64" s="51" t="n"/>
      <c r="D64" s="51" t="n"/>
      <c r="E64" s="51" t="n"/>
      <c r="F64" s="52" t="n"/>
      <c r="H64" s="51" t="n"/>
      <c r="I64" s="51" t="n"/>
      <c r="J64" s="51" t="n"/>
      <c r="K64" s="51" t="n"/>
    </row>
    <row r="65">
      <c r="B65" s="51" t="n"/>
      <c r="C65" s="51" t="n"/>
      <c r="D65" s="51" t="n"/>
      <c r="E65" s="51" t="n"/>
      <c r="F65" s="52" t="n"/>
      <c r="H65" s="51" t="n"/>
      <c r="I65" s="51" t="n"/>
      <c r="J65" s="51" t="n"/>
      <c r="K65" s="51" t="n"/>
    </row>
    <row r="66">
      <c r="B66" s="51" t="n"/>
      <c r="C66" s="51" t="n"/>
      <c r="D66" s="51" t="n"/>
      <c r="E66" s="51" t="n"/>
      <c r="F66" s="52" t="n"/>
      <c r="H66" s="51" t="n"/>
      <c r="I66" s="51" t="n"/>
      <c r="J66" s="51" t="n"/>
      <c r="K66" s="51" t="n"/>
    </row>
    <row r="67">
      <c r="B67" s="51" t="n"/>
      <c r="C67" s="51" t="n"/>
      <c r="D67" s="51" t="n"/>
      <c r="E67" s="51" t="n"/>
      <c r="F67" s="52" t="n"/>
      <c r="H67" s="51" t="n"/>
      <c r="I67" s="51" t="n"/>
      <c r="J67" s="51" t="n"/>
      <c r="K67" s="51" t="n"/>
    </row>
    <row r="68">
      <c r="B68" s="51" t="n"/>
      <c r="C68" s="51" t="n"/>
      <c r="D68" s="51" t="n"/>
      <c r="E68" s="51" t="n"/>
      <c r="F68" s="52" t="n"/>
      <c r="H68" s="51" t="n"/>
      <c r="I68" s="51" t="n"/>
      <c r="J68" s="51" t="n"/>
      <c r="K68" s="51" t="n"/>
    </row>
    <row r="69">
      <c r="B69" s="51" t="n"/>
      <c r="C69" s="51" t="n"/>
      <c r="D69" s="51" t="n"/>
      <c r="E69" s="51" t="n"/>
      <c r="F69" s="52" t="n"/>
      <c r="H69" s="51" t="n"/>
      <c r="I69" s="51" t="n"/>
      <c r="J69" s="51" t="n"/>
      <c r="K69" s="51" t="n"/>
    </row>
    <row r="70">
      <c r="B70" s="51" t="n"/>
      <c r="C70" s="51" t="n"/>
      <c r="D70" s="51" t="n"/>
      <c r="E70" s="51" t="n"/>
      <c r="F70" s="52" t="n"/>
      <c r="H70" s="51" t="n"/>
      <c r="I70" s="51" t="n"/>
      <c r="J70" s="51" t="n"/>
      <c r="K70" s="51" t="n"/>
    </row>
    <row r="71">
      <c r="B71" s="51" t="n"/>
      <c r="C71" s="51" t="n"/>
      <c r="D71" s="51" t="n"/>
      <c r="E71" s="51" t="n"/>
      <c r="F71" s="52" t="n"/>
      <c r="H71" s="51" t="n"/>
      <c r="I71" s="51" t="n"/>
      <c r="J71" s="51" t="n"/>
      <c r="K71" s="51" t="n"/>
    </row>
    <row r="72">
      <c r="B72" s="51" t="n"/>
      <c r="C72" s="51" t="n"/>
      <c r="D72" s="51" t="n"/>
      <c r="E72" s="51" t="n"/>
      <c r="F72" s="52" t="n"/>
      <c r="H72" s="51" t="n"/>
      <c r="I72" s="51" t="n"/>
      <c r="J72" s="51" t="n"/>
      <c r="K72" s="51" t="n"/>
    </row>
    <row r="73">
      <c r="B73" s="51" t="n"/>
      <c r="C73" s="51" t="n"/>
      <c r="D73" s="51" t="n"/>
      <c r="E73" s="51" t="n"/>
      <c r="F73" s="52" t="n"/>
      <c r="H73" s="51" t="n"/>
      <c r="I73" s="51" t="n"/>
      <c r="J73" s="51" t="n"/>
      <c r="K73" s="51" t="n"/>
    </row>
    <row r="74">
      <c r="B74" s="51" t="n"/>
      <c r="C74" s="51" t="n"/>
      <c r="D74" s="51" t="n"/>
      <c r="E74" s="51" t="n"/>
      <c r="F74" s="52" t="n"/>
      <c r="H74" s="51" t="n"/>
      <c r="I74" s="51" t="n"/>
      <c r="J74" s="51" t="n"/>
      <c r="K74" s="51" t="n"/>
    </row>
    <row r="75">
      <c r="B75" s="51" t="n"/>
      <c r="C75" s="51" t="n"/>
      <c r="D75" s="51" t="n"/>
      <c r="E75" s="51" t="n"/>
      <c r="F75" s="52" t="n"/>
      <c r="H75" s="51" t="n"/>
      <c r="I75" s="51" t="n"/>
      <c r="J75" s="51" t="n"/>
      <c r="K75" s="51" t="n"/>
    </row>
    <row r="76">
      <c r="B76" s="51" t="n"/>
      <c r="C76" s="51" t="n"/>
      <c r="D76" s="51" t="n"/>
      <c r="E76" s="51" t="n"/>
      <c r="F76" s="52" t="n"/>
      <c r="H76" s="51" t="n"/>
      <c r="I76" s="51" t="n"/>
      <c r="J76" s="51" t="n"/>
      <c r="K76" s="51" t="n"/>
    </row>
    <row r="77">
      <c r="B77" s="51" t="n"/>
      <c r="C77" s="51" t="n"/>
      <c r="D77" s="51" t="n"/>
      <c r="E77" s="51" t="n"/>
      <c r="F77" s="52" t="n"/>
      <c r="H77" s="51" t="n"/>
      <c r="I77" s="51" t="n"/>
      <c r="J77" s="51" t="n"/>
      <c r="K77" s="51" t="n"/>
    </row>
    <row r="78">
      <c r="B78" s="51" t="n"/>
      <c r="C78" s="51" t="n"/>
      <c r="D78" s="51" t="n"/>
      <c r="E78" s="51" t="n"/>
      <c r="F78" s="52" t="n"/>
      <c r="H78" s="51" t="n"/>
      <c r="I78" s="51" t="n"/>
      <c r="J78" s="51" t="n"/>
      <c r="K78" s="51" t="n"/>
    </row>
    <row r="79">
      <c r="B79" s="51" t="n"/>
      <c r="C79" s="51" t="n"/>
      <c r="D79" s="51" t="n"/>
      <c r="E79" s="51" t="n"/>
      <c r="F79" s="52" t="n"/>
      <c r="H79" s="51" t="n"/>
      <c r="I79" s="51" t="n"/>
      <c r="J79" s="51" t="n"/>
      <c r="K79" s="51" t="n"/>
    </row>
    <row r="80">
      <c r="B80" s="51" t="n"/>
      <c r="C80" s="51" t="n"/>
      <c r="D80" s="51" t="n"/>
      <c r="E80" s="51" t="n"/>
      <c r="F80" s="52" t="n"/>
      <c r="H80" s="51" t="n"/>
      <c r="I80" s="51" t="n"/>
      <c r="J80" s="51" t="n"/>
      <c r="K80" s="51" t="n"/>
    </row>
    <row r="81">
      <c r="B81" s="51" t="n"/>
      <c r="C81" s="51" t="n"/>
      <c r="D81" s="51" t="n"/>
      <c r="E81" s="51" t="n"/>
      <c r="F81" s="52" t="n"/>
      <c r="H81" s="51" t="n"/>
      <c r="I81" s="51" t="n"/>
      <c r="J81" s="51" t="n"/>
      <c r="K81" s="51" t="n"/>
    </row>
    <row r="82">
      <c r="B82" s="51" t="n"/>
      <c r="C82" s="51" t="n"/>
      <c r="D82" s="51" t="n"/>
      <c r="E82" s="51" t="n"/>
      <c r="F82" s="52" t="n"/>
      <c r="H82" s="51" t="n"/>
      <c r="I82" s="51" t="n"/>
      <c r="J82" s="51" t="n"/>
      <c r="K82" s="51" t="n"/>
    </row>
    <row r="83">
      <c r="B83" s="51" t="n"/>
      <c r="C83" s="51" t="n"/>
      <c r="D83" s="51" t="n"/>
      <c r="E83" s="51" t="n"/>
      <c r="F83" s="52" t="n"/>
      <c r="H83" s="51" t="n"/>
      <c r="I83" s="51" t="n"/>
      <c r="J83" s="51" t="n"/>
      <c r="K83" s="51" t="n"/>
    </row>
    <row r="84">
      <c r="B84" s="51" t="n"/>
      <c r="C84" s="51" t="n"/>
      <c r="D84" s="51" t="n"/>
      <c r="E84" s="51" t="n"/>
      <c r="F84" s="52" t="n"/>
      <c r="H84" s="51" t="n"/>
      <c r="I84" s="51" t="n"/>
      <c r="J84" s="51" t="n"/>
      <c r="K84" s="51" t="n"/>
    </row>
    <row r="85">
      <c r="B85" s="51" t="n"/>
      <c r="C85" s="51" t="n"/>
      <c r="D85" s="51" t="n"/>
      <c r="E85" s="51" t="n"/>
      <c r="F85" s="52" t="n"/>
      <c r="H85" s="51" t="n"/>
      <c r="I85" s="51" t="n"/>
      <c r="J85" s="51" t="n"/>
      <c r="K85" s="51" t="n"/>
    </row>
    <row r="86">
      <c r="B86" s="51" t="n"/>
      <c r="C86" s="51" t="n"/>
      <c r="D86" s="51" t="n"/>
      <c r="E86" s="51" t="n"/>
      <c r="F86" s="52" t="n"/>
      <c r="H86" s="51" t="n"/>
      <c r="I86" s="51" t="n"/>
      <c r="J86" s="51" t="n"/>
      <c r="K86" s="51" t="n"/>
    </row>
    <row r="87">
      <c r="B87" s="51" t="n"/>
      <c r="C87" s="51" t="n"/>
      <c r="D87" s="51" t="n"/>
      <c r="E87" s="51" t="n"/>
      <c r="F87" s="52" t="n"/>
      <c r="H87" s="51" t="n"/>
      <c r="I87" s="51" t="n"/>
      <c r="J87" s="51" t="n"/>
      <c r="K87" s="51" t="n"/>
    </row>
    <row r="88">
      <c r="B88" s="51" t="n"/>
      <c r="C88" s="51" t="n"/>
      <c r="D88" s="51" t="n"/>
      <c r="E88" s="51" t="n"/>
      <c r="F88" s="52" t="n"/>
      <c r="H88" s="51" t="n"/>
      <c r="I88" s="51" t="n"/>
      <c r="J88" s="51" t="n"/>
      <c r="K88" s="51" t="n"/>
    </row>
    <row r="89">
      <c r="B89" s="51" t="n"/>
      <c r="C89" s="51" t="n"/>
      <c r="D89" s="51" t="n"/>
      <c r="E89" s="51" t="n"/>
      <c r="F89" s="52" t="n"/>
      <c r="H89" s="51" t="n"/>
      <c r="I89" s="51" t="n"/>
      <c r="J89" s="51" t="n"/>
      <c r="K89" s="51" t="n"/>
    </row>
    <row r="90">
      <c r="B90" s="51" t="n"/>
      <c r="C90" s="51" t="n"/>
      <c r="D90" s="51" t="n"/>
      <c r="E90" s="51" t="n"/>
      <c r="F90" s="52" t="n"/>
      <c r="H90" s="51" t="n"/>
      <c r="I90" s="51" t="n"/>
      <c r="J90" s="51" t="n"/>
      <c r="K90" s="51" t="n"/>
    </row>
    <row r="91">
      <c r="B91" s="51" t="n"/>
      <c r="C91" s="51" t="n"/>
      <c r="D91" s="51" t="n"/>
      <c r="E91" s="51" t="n"/>
      <c r="F91" s="52" t="n"/>
      <c r="H91" s="51" t="n"/>
      <c r="I91" s="51" t="n"/>
      <c r="J91" s="51" t="n"/>
      <c r="K91" s="51" t="n"/>
    </row>
    <row r="92">
      <c r="B92" s="51" t="n"/>
      <c r="C92" s="51" t="n"/>
      <c r="D92" s="51" t="n"/>
      <c r="E92" s="51" t="n"/>
      <c r="F92" s="52" t="n"/>
      <c r="H92" s="51" t="n"/>
      <c r="I92" s="51" t="n"/>
      <c r="J92" s="51" t="n"/>
      <c r="K92" s="51" t="n"/>
    </row>
    <row r="93">
      <c r="B93" s="51" t="n"/>
      <c r="C93" s="51" t="n"/>
      <c r="D93" s="51" t="n"/>
      <c r="E93" s="51" t="n"/>
      <c r="F93" s="52" t="n"/>
      <c r="H93" s="51" t="n"/>
      <c r="I93" s="51" t="n"/>
      <c r="J93" s="51" t="n"/>
      <c r="K93" s="51" t="n"/>
    </row>
    <row r="94">
      <c r="B94" s="51" t="n"/>
      <c r="C94" s="51" t="n"/>
      <c r="D94" s="51" t="n"/>
      <c r="E94" s="51" t="n"/>
      <c r="F94" s="52" t="n"/>
      <c r="H94" s="51" t="n"/>
      <c r="I94" s="51" t="n"/>
      <c r="J94" s="51" t="n"/>
      <c r="K94" s="51" t="n"/>
    </row>
    <row r="95">
      <c r="B95" s="51" t="n"/>
      <c r="C95" s="51" t="n"/>
      <c r="D95" s="51" t="n"/>
      <c r="E95" s="51" t="n"/>
      <c r="F95" s="52" t="n"/>
      <c r="H95" s="51" t="n"/>
      <c r="I95" s="51" t="n"/>
      <c r="J95" s="51" t="n"/>
      <c r="K95" s="51" t="n"/>
    </row>
    <row r="96">
      <c r="B96" s="51" t="n"/>
      <c r="C96" s="51" t="n"/>
      <c r="D96" s="51" t="n"/>
      <c r="E96" s="51" t="n"/>
      <c r="F96" s="52" t="n"/>
      <c r="H96" s="51" t="n"/>
      <c r="I96" s="51" t="n"/>
      <c r="J96" s="51" t="n"/>
      <c r="K96" s="51" t="n"/>
    </row>
    <row r="97">
      <c r="B97" s="51" t="n"/>
      <c r="C97" s="51" t="n"/>
      <c r="D97" s="51" t="n"/>
      <c r="E97" s="51" t="n"/>
      <c r="F97" s="52" t="n"/>
      <c r="H97" s="51" t="n"/>
      <c r="I97" s="51" t="n"/>
      <c r="J97" s="51" t="n"/>
      <c r="K97" s="51" t="n"/>
    </row>
    <row r="98">
      <c r="B98" s="51" t="n"/>
      <c r="C98" s="51" t="n"/>
      <c r="D98" s="51" t="n"/>
      <c r="E98" s="51" t="n"/>
      <c r="F98" s="52" t="n"/>
      <c r="H98" s="51" t="n"/>
      <c r="I98" s="51" t="n"/>
      <c r="J98" s="51" t="n"/>
      <c r="K98" s="51" t="n"/>
    </row>
    <row r="99">
      <c r="B99" s="51" t="n"/>
      <c r="C99" s="51" t="n"/>
      <c r="D99" s="51" t="n"/>
      <c r="E99" s="51" t="n"/>
      <c r="F99" s="52" t="n"/>
      <c r="H99" s="51" t="n"/>
      <c r="I99" s="51" t="n"/>
      <c r="J99" s="51" t="n"/>
      <c r="K99" s="51" t="n"/>
    </row>
    <row r="100">
      <c r="B100" s="51" t="n"/>
      <c r="C100" s="51" t="n"/>
      <c r="D100" s="51" t="n"/>
      <c r="E100" s="51" t="n"/>
      <c r="F100" s="52" t="n"/>
      <c r="H100" s="51" t="n"/>
      <c r="I100" s="51" t="n"/>
      <c r="J100" s="51" t="n"/>
      <c r="K100" s="51" t="n"/>
    </row>
    <row r="101">
      <c r="B101" s="51" t="n"/>
      <c r="C101" s="51" t="n"/>
      <c r="D101" s="51" t="n"/>
      <c r="E101" s="51" t="n"/>
      <c r="F101" s="52" t="n"/>
      <c r="H101" s="51" t="n"/>
      <c r="I101" s="51" t="n"/>
      <c r="J101" s="51" t="n"/>
      <c r="K101" s="51" t="n"/>
    </row>
    <row r="102">
      <c r="B102" s="51" t="n"/>
      <c r="C102" s="51" t="n"/>
      <c r="D102" s="51" t="n"/>
      <c r="E102" s="51" t="n"/>
      <c r="F102" s="52" t="n"/>
      <c r="H102" s="51" t="n"/>
      <c r="I102" s="51" t="n"/>
      <c r="J102" s="51" t="n"/>
      <c r="K102" s="51" t="n"/>
    </row>
    <row r="103">
      <c r="B103" s="51" t="n"/>
      <c r="C103" s="51" t="n"/>
      <c r="D103" s="51" t="n"/>
      <c r="E103" s="51" t="n"/>
      <c r="F103" s="52" t="n"/>
      <c r="H103" s="51" t="n"/>
      <c r="I103" s="51" t="n"/>
      <c r="J103" s="51" t="n"/>
      <c r="K103" s="51" t="n"/>
    </row>
    <row r="104">
      <c r="B104" s="51" t="n"/>
      <c r="C104" s="51" t="n"/>
      <c r="D104" s="51" t="n"/>
      <c r="E104" s="51" t="n"/>
      <c r="F104" s="52" t="n"/>
      <c r="H104" s="51" t="n"/>
      <c r="I104" s="51" t="n"/>
      <c r="J104" s="51" t="n"/>
      <c r="K104" s="51" t="n"/>
    </row>
    <row r="105">
      <c r="B105" s="51" t="n"/>
      <c r="C105" s="51" t="n"/>
      <c r="D105" s="51" t="n"/>
      <c r="E105" s="51" t="n"/>
      <c r="F105" s="52" t="n"/>
      <c r="H105" s="51" t="n"/>
      <c r="I105" s="51" t="n"/>
      <c r="J105" s="51" t="n"/>
      <c r="K105" s="51" t="n"/>
    </row>
    <row r="106">
      <c r="B106" s="51" t="n"/>
      <c r="C106" s="51" t="n"/>
      <c r="D106" s="51" t="n"/>
      <c r="E106" s="51" t="n"/>
      <c r="F106" s="52" t="n"/>
      <c r="H106" s="51" t="n"/>
      <c r="I106" s="51" t="n"/>
      <c r="J106" s="51" t="n"/>
      <c r="K106" s="51" t="n"/>
    </row>
    <row r="107">
      <c r="B107" s="51" t="n"/>
      <c r="C107" s="51" t="n"/>
      <c r="D107" s="51" t="n"/>
      <c r="E107" s="51" t="n"/>
      <c r="F107" s="52" t="n"/>
      <c r="H107" s="51" t="n"/>
      <c r="I107" s="51" t="n"/>
      <c r="J107" s="51" t="n"/>
      <c r="K107" s="51" t="n"/>
    </row>
    <row r="108">
      <c r="B108" s="51" t="n"/>
      <c r="C108" s="51" t="n"/>
      <c r="D108" s="51" t="n"/>
      <c r="E108" s="51" t="n"/>
      <c r="F108" s="52" t="n"/>
      <c r="H108" s="51" t="n"/>
      <c r="I108" s="51" t="n"/>
      <c r="J108" s="51" t="n"/>
      <c r="K108" s="51" t="n"/>
    </row>
    <row r="109">
      <c r="B109" s="51" t="n"/>
      <c r="C109" s="51" t="n"/>
      <c r="D109" s="51" t="n"/>
      <c r="E109" s="51" t="n"/>
      <c r="F109" s="52" t="n"/>
      <c r="H109" s="51" t="n"/>
      <c r="I109" s="51" t="n"/>
      <c r="J109" s="51" t="n"/>
      <c r="K109" s="51" t="n"/>
    </row>
    <row r="110">
      <c r="B110" s="51" t="n"/>
      <c r="C110" s="51" t="n"/>
      <c r="D110" s="51" t="n"/>
      <c r="E110" s="51" t="n"/>
      <c r="F110" s="52" t="n"/>
      <c r="H110" s="51" t="n"/>
      <c r="I110" s="51" t="n"/>
      <c r="J110" s="51" t="n"/>
      <c r="K110" s="51" t="n"/>
    </row>
    <row r="111">
      <c r="B111" s="51" t="n"/>
      <c r="C111" s="51" t="n"/>
      <c r="D111" s="51" t="n"/>
      <c r="E111" s="51" t="n"/>
      <c r="F111" s="52" t="n"/>
      <c r="H111" s="51" t="n"/>
      <c r="I111" s="51" t="n"/>
      <c r="J111" s="51" t="n"/>
      <c r="K111" s="51" t="n"/>
    </row>
    <row r="112">
      <c r="B112" s="51" t="n"/>
      <c r="C112" s="51" t="n"/>
      <c r="D112" s="51" t="n"/>
      <c r="E112" s="51" t="n"/>
      <c r="F112" s="52" t="n"/>
      <c r="H112" s="51" t="n"/>
      <c r="I112" s="51" t="n"/>
      <c r="J112" s="51" t="n"/>
      <c r="K112" s="51" t="n"/>
    </row>
    <row r="113">
      <c r="B113" s="51" t="n"/>
      <c r="C113" s="51" t="n"/>
      <c r="D113" s="51" t="n"/>
      <c r="E113" s="51" t="n"/>
      <c r="F113" s="52" t="n"/>
      <c r="H113" s="51" t="n"/>
      <c r="I113" s="51" t="n"/>
      <c r="J113" s="51" t="n"/>
      <c r="K113" s="51" t="n"/>
    </row>
    <row r="114">
      <c r="B114" s="51" t="n"/>
      <c r="C114" s="51" t="n"/>
      <c r="D114" s="51" t="n"/>
      <c r="E114" s="51" t="n"/>
      <c r="F114" s="52" t="n"/>
      <c r="H114" s="51" t="n"/>
      <c r="I114" s="51" t="n"/>
      <c r="J114" s="51" t="n"/>
      <c r="K114" s="51" t="n"/>
    </row>
    <row r="115">
      <c r="B115" s="51" t="n"/>
      <c r="C115" s="51" t="n"/>
      <c r="D115" s="51" t="n"/>
      <c r="E115" s="51" t="n"/>
      <c r="F115" s="52" t="n"/>
      <c r="H115" s="51" t="n"/>
      <c r="I115" s="51" t="n"/>
      <c r="J115" s="51" t="n"/>
      <c r="K115" s="51" t="n"/>
    </row>
    <row r="116">
      <c r="B116" s="51" t="n"/>
      <c r="C116" s="51" t="n"/>
      <c r="D116" s="51" t="n"/>
      <c r="E116" s="51" t="n"/>
      <c r="F116" s="52" t="n"/>
      <c r="H116" s="51" t="n"/>
      <c r="I116" s="51" t="n"/>
      <c r="J116" s="51" t="n"/>
      <c r="K116" s="51" t="n"/>
    </row>
    <row r="117">
      <c r="B117" s="51" t="n"/>
      <c r="C117" s="51" t="n"/>
      <c r="D117" s="51" t="n"/>
      <c r="E117" s="51" t="n"/>
      <c r="F117" s="52" t="n"/>
      <c r="H117" s="51" t="n"/>
      <c r="I117" s="51" t="n"/>
      <c r="J117" s="51" t="n"/>
      <c r="K117" s="51" t="n"/>
    </row>
    <row r="118">
      <c r="B118" s="51" t="n"/>
      <c r="C118" s="51" t="n"/>
      <c r="D118" s="51" t="n"/>
      <c r="E118" s="51" t="n"/>
      <c r="F118" s="52" t="n"/>
      <c r="H118" s="51" t="n"/>
      <c r="I118" s="51" t="n"/>
      <c r="J118" s="51" t="n"/>
      <c r="K118" s="51" t="n"/>
    </row>
    <row r="119">
      <c r="B119" s="51" t="n"/>
      <c r="C119" s="51" t="n"/>
      <c r="D119" s="51" t="n"/>
      <c r="E119" s="51" t="n"/>
      <c r="F119" s="52" t="n"/>
      <c r="H119" s="51" t="n"/>
      <c r="I119" s="51" t="n"/>
      <c r="J119" s="51" t="n"/>
      <c r="K119" s="51" t="n"/>
    </row>
    <row r="120">
      <c r="B120" s="51" t="n"/>
      <c r="C120" s="51" t="n"/>
      <c r="D120" s="51" t="n"/>
      <c r="E120" s="51" t="n"/>
      <c r="F120" s="52" t="n"/>
      <c r="H120" s="51" t="n"/>
      <c r="I120" s="51" t="n"/>
      <c r="J120" s="51" t="n"/>
      <c r="K120" s="51" t="n"/>
    </row>
    <row r="121">
      <c r="B121" s="51" t="n"/>
      <c r="C121" s="51" t="n"/>
      <c r="D121" s="51" t="n"/>
      <c r="E121" s="51" t="n"/>
      <c r="F121" s="52" t="n"/>
      <c r="H121" s="51" t="n"/>
      <c r="I121" s="51" t="n"/>
      <c r="J121" s="51" t="n"/>
      <c r="K121" s="51" t="n"/>
    </row>
    <row r="122">
      <c r="B122" s="51" t="n"/>
      <c r="C122" s="51" t="n"/>
      <c r="D122" s="51" t="n"/>
      <c r="E122" s="51" t="n"/>
      <c r="F122" s="52" t="n"/>
      <c r="H122" s="51" t="n"/>
      <c r="I122" s="51" t="n"/>
      <c r="J122" s="51" t="n"/>
      <c r="K122" s="51" t="n"/>
    </row>
    <row r="123">
      <c r="B123" s="51" t="n"/>
      <c r="C123" s="51" t="n"/>
      <c r="D123" s="51" t="n"/>
      <c r="E123" s="51" t="n"/>
      <c r="F123" s="52" t="n"/>
      <c r="H123" s="51" t="n"/>
      <c r="I123" s="51" t="n"/>
      <c r="J123" s="51" t="n"/>
      <c r="K123" s="51" t="n"/>
    </row>
    <row r="124">
      <c r="B124" s="51" t="n"/>
      <c r="C124" s="51" t="n"/>
      <c r="D124" s="51" t="n"/>
      <c r="E124" s="51" t="n"/>
      <c r="F124" s="52" t="n"/>
      <c r="H124" s="51" t="n"/>
      <c r="I124" s="51" t="n"/>
      <c r="J124" s="51" t="n"/>
      <c r="K124" s="51" t="n"/>
    </row>
    <row r="125">
      <c r="B125" s="51" t="n"/>
      <c r="C125" s="51" t="n"/>
      <c r="D125" s="51" t="n"/>
      <c r="E125" s="51" t="n"/>
      <c r="F125" s="52" t="n"/>
      <c r="H125" s="51" t="n"/>
      <c r="I125" s="51" t="n"/>
      <c r="J125" s="51" t="n"/>
      <c r="K125" s="51" t="n"/>
    </row>
    <row r="126">
      <c r="B126" s="51" t="n"/>
      <c r="C126" s="51" t="n"/>
      <c r="D126" s="51" t="n"/>
      <c r="E126" s="51" t="n"/>
      <c r="F126" s="52" t="n"/>
      <c r="H126" s="51" t="n"/>
      <c r="I126" s="51" t="n"/>
      <c r="J126" s="51" t="n"/>
      <c r="K126" s="51" t="n"/>
    </row>
    <row r="127">
      <c r="B127" s="51" t="n"/>
      <c r="C127" s="51" t="n"/>
      <c r="D127" s="51" t="n"/>
      <c r="E127" s="51" t="n"/>
      <c r="F127" s="52" t="n"/>
      <c r="H127" s="51" t="n"/>
      <c r="I127" s="51" t="n"/>
      <c r="J127" s="51" t="n"/>
      <c r="K127" s="51" t="n"/>
    </row>
    <row r="128">
      <c r="B128" s="51" t="n"/>
      <c r="C128" s="51" t="n"/>
      <c r="D128" s="51" t="n"/>
      <c r="E128" s="51" t="n"/>
      <c r="F128" s="52" t="n"/>
      <c r="H128" s="51" t="n"/>
      <c r="I128" s="51" t="n"/>
      <c r="J128" s="51" t="n"/>
      <c r="K128" s="51" t="n"/>
    </row>
    <row r="129">
      <c r="B129" s="51" t="n"/>
      <c r="C129" s="51" t="n"/>
      <c r="D129" s="51" t="n"/>
      <c r="E129" s="51" t="n"/>
      <c r="F129" s="52" t="n"/>
      <c r="H129" s="51" t="n"/>
      <c r="I129" s="51" t="n"/>
      <c r="J129" s="51" t="n"/>
      <c r="K129" s="51" t="n"/>
    </row>
    <row r="130">
      <c r="B130" s="51" t="n"/>
      <c r="C130" s="51" t="n"/>
      <c r="D130" s="51" t="n"/>
      <c r="E130" s="51" t="n"/>
      <c r="F130" s="52" t="n"/>
      <c r="H130" s="51" t="n"/>
      <c r="I130" s="51" t="n"/>
      <c r="J130" s="51" t="n"/>
      <c r="K130" s="51" t="n"/>
    </row>
    <row r="131">
      <c r="B131" s="51" t="n"/>
      <c r="C131" s="51" t="n"/>
      <c r="D131" s="51" t="n"/>
      <c r="E131" s="51" t="n"/>
      <c r="F131" s="52" t="n"/>
      <c r="H131" s="51" t="n"/>
      <c r="I131" s="51" t="n"/>
      <c r="J131" s="51" t="n"/>
      <c r="K131" s="51" t="n"/>
    </row>
    <row r="132">
      <c r="B132" s="51" t="n"/>
      <c r="C132" s="51" t="n"/>
      <c r="D132" s="51" t="n"/>
      <c r="E132" s="51" t="n"/>
      <c r="F132" s="52" t="n"/>
      <c r="H132" s="51" t="n"/>
      <c r="I132" s="51" t="n"/>
      <c r="J132" s="51" t="n"/>
      <c r="K132" s="51" t="n"/>
    </row>
    <row r="133">
      <c r="B133" s="51" t="n"/>
      <c r="C133" s="51" t="n"/>
      <c r="D133" s="51" t="n"/>
      <c r="E133" s="51" t="n"/>
      <c r="F133" s="52" t="n"/>
      <c r="H133" s="51" t="n"/>
      <c r="I133" s="51" t="n"/>
      <c r="J133" s="51" t="n"/>
      <c r="K133" s="51" t="n"/>
    </row>
    <row r="134">
      <c r="B134" s="51" t="n"/>
      <c r="C134" s="51" t="n"/>
      <c r="D134" s="51" t="n"/>
      <c r="E134" s="51" t="n"/>
      <c r="F134" s="52" t="n"/>
      <c r="H134" s="51" t="n"/>
      <c r="I134" s="51" t="n"/>
      <c r="J134" s="51" t="n"/>
      <c r="K134" s="51" t="n"/>
    </row>
    <row r="135">
      <c r="B135" s="51" t="n"/>
      <c r="C135" s="51" t="n"/>
      <c r="D135" s="51" t="n"/>
      <c r="E135" s="51" t="n"/>
      <c r="F135" s="52" t="n"/>
      <c r="H135" s="51" t="n"/>
      <c r="I135" s="51" t="n"/>
      <c r="J135" s="51" t="n"/>
      <c r="K135" s="51" t="n"/>
    </row>
    <row r="136">
      <c r="B136" s="51" t="n"/>
      <c r="C136" s="51" t="n"/>
      <c r="D136" s="51" t="n"/>
      <c r="E136" s="51" t="n"/>
      <c r="F136" s="52" t="n"/>
      <c r="H136" s="51" t="n"/>
      <c r="I136" s="51" t="n"/>
      <c r="J136" s="51" t="n"/>
      <c r="K136" s="51" t="n"/>
    </row>
    <row r="137">
      <c r="B137" s="51" t="n"/>
      <c r="C137" s="51" t="n"/>
      <c r="D137" s="51" t="n"/>
      <c r="E137" s="51" t="n"/>
      <c r="F137" s="52" t="n"/>
      <c r="H137" s="51" t="n"/>
      <c r="I137" s="51" t="n"/>
      <c r="J137" s="51" t="n"/>
      <c r="K137" s="51" t="n"/>
    </row>
    <row r="138">
      <c r="B138" s="51" t="n"/>
      <c r="C138" s="51" t="n"/>
      <c r="D138" s="51" t="n"/>
      <c r="E138" s="51" t="n"/>
      <c r="F138" s="52" t="n"/>
      <c r="H138" s="51" t="n"/>
      <c r="I138" s="51" t="n"/>
      <c r="J138" s="51" t="n"/>
      <c r="K138" s="51" t="n"/>
    </row>
    <row r="139">
      <c r="B139" s="51" t="n"/>
      <c r="C139" s="51" t="n"/>
      <c r="D139" s="51" t="n"/>
      <c r="E139" s="51" t="n"/>
      <c r="F139" s="52" t="n"/>
      <c r="H139" s="51" t="n"/>
      <c r="I139" s="51" t="n"/>
      <c r="J139" s="51" t="n"/>
      <c r="K139" s="51" t="n"/>
    </row>
    <row r="140">
      <c r="B140" s="51" t="n"/>
      <c r="C140" s="51" t="n"/>
      <c r="D140" s="51" t="n"/>
      <c r="E140" s="51" t="n"/>
      <c r="F140" s="52" t="n"/>
      <c r="H140" s="51" t="n"/>
      <c r="I140" s="51" t="n"/>
      <c r="J140" s="51" t="n"/>
      <c r="K140" s="51" t="n"/>
    </row>
    <row r="141">
      <c r="B141" s="51" t="n"/>
      <c r="C141" s="51" t="n"/>
      <c r="D141" s="51" t="n"/>
      <c r="E141" s="51" t="n"/>
      <c r="F141" s="52" t="n"/>
      <c r="H141" s="51" t="n"/>
      <c r="I141" s="51" t="n"/>
      <c r="J141" s="51" t="n"/>
      <c r="K141" s="51" t="n"/>
    </row>
    <row r="142">
      <c r="B142" s="51" t="n"/>
      <c r="C142" s="51" t="n"/>
      <c r="D142" s="51" t="n"/>
      <c r="E142" s="51" t="n"/>
      <c r="F142" s="52" t="n"/>
      <c r="H142" s="51" t="n"/>
      <c r="I142" s="51" t="n"/>
      <c r="J142" s="51" t="n"/>
      <c r="K142" s="51" t="n"/>
    </row>
    <row r="143">
      <c r="B143" s="51" t="n"/>
      <c r="C143" s="51" t="n"/>
      <c r="D143" s="51" t="n"/>
      <c r="E143" s="51" t="n"/>
      <c r="F143" s="52" t="n"/>
      <c r="H143" s="51" t="n"/>
      <c r="I143" s="51" t="n"/>
      <c r="J143" s="51" t="n"/>
      <c r="K143" s="51" t="n"/>
    </row>
    <row r="144">
      <c r="B144" s="51" t="n"/>
      <c r="C144" s="51" t="n"/>
      <c r="D144" s="51" t="n"/>
      <c r="E144" s="51" t="n"/>
      <c r="F144" s="52" t="n"/>
      <c r="H144" s="51" t="n"/>
      <c r="I144" s="51" t="n"/>
      <c r="J144" s="51" t="n"/>
      <c r="K144" s="51" t="n"/>
    </row>
    <row r="145">
      <c r="B145" s="51" t="n"/>
      <c r="C145" s="51" t="n"/>
      <c r="D145" s="51" t="n"/>
      <c r="E145" s="51" t="n"/>
      <c r="F145" s="52" t="n"/>
      <c r="H145" s="51" t="n"/>
      <c r="I145" s="51" t="n"/>
      <c r="J145" s="51" t="n"/>
      <c r="K145" s="51" t="n"/>
    </row>
    <row r="146">
      <c r="B146" s="51" t="n"/>
      <c r="C146" s="51" t="n"/>
      <c r="D146" s="51" t="n"/>
      <c r="E146" s="51" t="n"/>
      <c r="F146" s="52" t="n"/>
      <c r="H146" s="51" t="n"/>
      <c r="I146" s="51" t="n"/>
      <c r="J146" s="51" t="n"/>
      <c r="K146" s="51" t="n"/>
    </row>
    <row r="147">
      <c r="B147" s="51" t="n"/>
      <c r="C147" s="51" t="n"/>
      <c r="D147" s="51" t="n"/>
      <c r="E147" s="51" t="n"/>
      <c r="F147" s="52" t="n"/>
      <c r="H147" s="51" t="n"/>
      <c r="I147" s="51" t="n"/>
      <c r="J147" s="51" t="n"/>
      <c r="K147" s="51" t="n"/>
    </row>
    <row r="148">
      <c r="B148" s="51" t="n"/>
      <c r="C148" s="51" t="n"/>
      <c r="D148" s="51" t="n"/>
      <c r="E148" s="51" t="n"/>
      <c r="F148" s="52" t="n"/>
      <c r="H148" s="51" t="n"/>
      <c r="I148" s="51" t="n"/>
      <c r="J148" s="51" t="n"/>
      <c r="K148" s="51" t="n"/>
    </row>
    <row r="149">
      <c r="B149" s="51" t="n"/>
      <c r="C149" s="51" t="n"/>
      <c r="D149" s="51" t="n"/>
      <c r="E149" s="51" t="n"/>
      <c r="F149" s="52" t="n"/>
      <c r="H149" s="51" t="n"/>
      <c r="I149" s="51" t="n"/>
      <c r="J149" s="51" t="n"/>
      <c r="K149" s="51" t="n"/>
    </row>
    <row r="150">
      <c r="B150" s="51" t="n"/>
      <c r="C150" s="51" t="n"/>
      <c r="D150" s="51" t="n"/>
      <c r="E150" s="51" t="n"/>
      <c r="F150" s="52" t="n"/>
      <c r="H150" s="51" t="n"/>
      <c r="I150" s="51" t="n"/>
      <c r="J150" s="51" t="n"/>
      <c r="K150" s="51" t="n"/>
    </row>
    <row r="151">
      <c r="B151" s="51" t="n"/>
      <c r="C151" s="51" t="n"/>
      <c r="D151" s="51" t="n"/>
      <c r="E151" s="51" t="n"/>
      <c r="F151" s="52" t="n"/>
      <c r="H151" s="51" t="n"/>
      <c r="I151" s="51" t="n"/>
      <c r="J151" s="51" t="n"/>
      <c r="K151" s="51" t="n"/>
    </row>
    <row r="152">
      <c r="B152" s="51" t="n"/>
      <c r="C152" s="51" t="n"/>
      <c r="D152" s="51" t="n"/>
      <c r="E152" s="51" t="n"/>
      <c r="F152" s="52" t="n"/>
      <c r="H152" s="51" t="n"/>
      <c r="I152" s="51" t="n"/>
      <c r="J152" s="51" t="n"/>
      <c r="K152" s="51" t="n"/>
    </row>
    <row r="153">
      <c r="B153" s="51" t="n"/>
      <c r="C153" s="51" t="n"/>
      <c r="D153" s="51" t="n"/>
      <c r="E153" s="51" t="n"/>
      <c r="F153" s="52" t="n"/>
      <c r="H153" s="51" t="n"/>
      <c r="I153" s="51" t="n"/>
      <c r="J153" s="51" t="n"/>
      <c r="K153" s="51" t="n"/>
    </row>
    <row r="154">
      <c r="B154" s="51" t="n"/>
      <c r="C154" s="51" t="n"/>
      <c r="D154" s="51" t="n"/>
      <c r="E154" s="51" t="n"/>
      <c r="F154" s="52" t="n"/>
      <c r="H154" s="51" t="n"/>
      <c r="I154" s="51" t="n"/>
      <c r="J154" s="51" t="n"/>
      <c r="K154" s="51" t="n"/>
    </row>
    <row r="155">
      <c r="B155" s="51" t="n"/>
      <c r="C155" s="51" t="n"/>
      <c r="D155" s="51" t="n"/>
      <c r="E155" s="51" t="n"/>
      <c r="F155" s="52" t="n"/>
      <c r="H155" s="51" t="n"/>
      <c r="I155" s="51" t="n"/>
      <c r="J155" s="51" t="n"/>
      <c r="K155" s="51" t="n"/>
    </row>
    <row r="156">
      <c r="B156" s="51" t="n"/>
      <c r="C156" s="51" t="n"/>
      <c r="D156" s="51" t="n"/>
      <c r="E156" s="51" t="n"/>
      <c r="F156" s="52" t="n"/>
      <c r="H156" s="51" t="n"/>
      <c r="I156" s="51" t="n"/>
      <c r="J156" s="51" t="n"/>
      <c r="K156" s="51" t="n"/>
    </row>
    <row r="157">
      <c r="B157" s="51" t="n"/>
      <c r="C157" s="51" t="n"/>
      <c r="D157" s="51" t="n"/>
      <c r="E157" s="51" t="n"/>
      <c r="F157" s="52" t="n"/>
      <c r="H157" s="51" t="n"/>
      <c r="I157" s="51" t="n"/>
      <c r="J157" s="51" t="n"/>
      <c r="K157" s="51" t="n"/>
    </row>
    <row r="158">
      <c r="B158" s="51" t="n"/>
      <c r="C158" s="51" t="n"/>
      <c r="D158" s="51" t="n"/>
      <c r="E158" s="51" t="n"/>
      <c r="F158" s="52" t="n"/>
      <c r="H158" s="51" t="n"/>
      <c r="I158" s="51" t="n"/>
      <c r="J158" s="51" t="n"/>
      <c r="K158" s="51" t="n"/>
    </row>
    <row r="159">
      <c r="B159" s="51" t="n"/>
      <c r="C159" s="51" t="n"/>
      <c r="D159" s="51" t="n"/>
      <c r="E159" s="51" t="n"/>
      <c r="F159" s="52" t="n"/>
      <c r="H159" s="51" t="n"/>
      <c r="I159" s="51" t="n"/>
      <c r="J159" s="51" t="n"/>
      <c r="K159" s="51" t="n"/>
    </row>
    <row r="160">
      <c r="B160" s="51" t="n"/>
      <c r="C160" s="51" t="n"/>
      <c r="D160" s="51" t="n"/>
      <c r="E160" s="51" t="n"/>
      <c r="F160" s="52" t="n"/>
      <c r="H160" s="51" t="n"/>
      <c r="I160" s="51" t="n"/>
      <c r="J160" s="51" t="n"/>
      <c r="K160" s="51" t="n"/>
    </row>
    <row r="161">
      <c r="B161" s="51" t="n"/>
      <c r="C161" s="51" t="n"/>
      <c r="D161" s="51" t="n"/>
      <c r="E161" s="51" t="n"/>
      <c r="F161" s="52" t="n"/>
      <c r="H161" s="51" t="n"/>
      <c r="I161" s="51" t="n"/>
      <c r="J161" s="51" t="n"/>
      <c r="K161" s="51" t="n"/>
    </row>
    <row r="162">
      <c r="B162" s="51" t="n"/>
      <c r="C162" s="51" t="n"/>
      <c r="D162" s="51" t="n"/>
      <c r="E162" s="51" t="n"/>
      <c r="F162" s="52" t="n"/>
      <c r="H162" s="51" t="n"/>
      <c r="I162" s="51" t="n"/>
      <c r="J162" s="51" t="n"/>
      <c r="K162" s="51" t="n"/>
    </row>
    <row r="163">
      <c r="B163" s="51" t="n"/>
      <c r="C163" s="51" t="n"/>
      <c r="D163" s="51" t="n"/>
      <c r="E163" s="51" t="n"/>
      <c r="F163" s="52" t="n"/>
      <c r="H163" s="51" t="n"/>
      <c r="I163" s="51" t="n"/>
      <c r="J163" s="51" t="n"/>
      <c r="K163" s="51" t="n"/>
    </row>
    <row r="164">
      <c r="B164" s="51" t="n"/>
      <c r="C164" s="51" t="n"/>
      <c r="D164" s="51" t="n"/>
      <c r="E164" s="51" t="n"/>
      <c r="F164" s="52" t="n"/>
      <c r="H164" s="51" t="n"/>
      <c r="I164" s="51" t="n"/>
      <c r="J164" s="51" t="n"/>
      <c r="K164" s="51" t="n"/>
    </row>
    <row r="165">
      <c r="B165" s="51" t="n"/>
      <c r="C165" s="51" t="n"/>
      <c r="D165" s="51" t="n"/>
      <c r="E165" s="51" t="n"/>
      <c r="F165" s="52" t="n"/>
      <c r="H165" s="51" t="n"/>
      <c r="I165" s="51" t="n"/>
      <c r="J165" s="51" t="n"/>
      <c r="K165" s="51" t="n"/>
    </row>
    <row r="166">
      <c r="B166" s="51" t="n"/>
      <c r="C166" s="51" t="n"/>
      <c r="D166" s="51" t="n"/>
      <c r="E166" s="51" t="n"/>
      <c r="F166" s="52" t="n"/>
      <c r="H166" s="51" t="n"/>
      <c r="I166" s="51" t="n"/>
      <c r="J166" s="51" t="n"/>
      <c r="K166" s="51" t="n"/>
    </row>
    <row r="167">
      <c r="B167" s="51" t="n"/>
      <c r="C167" s="51" t="n"/>
      <c r="D167" s="51" t="n"/>
      <c r="E167" s="51" t="n"/>
      <c r="F167" s="52" t="n"/>
      <c r="H167" s="51" t="n"/>
      <c r="I167" s="51" t="n"/>
      <c r="J167" s="51" t="n"/>
      <c r="K167" s="51" t="n"/>
    </row>
    <row r="168">
      <c r="B168" s="51" t="n"/>
      <c r="C168" s="51" t="n"/>
      <c r="D168" s="51" t="n"/>
      <c r="E168" s="51" t="n"/>
      <c r="F168" s="52" t="n"/>
      <c r="H168" s="51" t="n"/>
      <c r="I168" s="51" t="n"/>
      <c r="J168" s="51" t="n"/>
      <c r="K168" s="51" t="n"/>
    </row>
    <row r="169">
      <c r="B169" s="51" t="n"/>
      <c r="C169" s="51" t="n"/>
      <c r="D169" s="51" t="n"/>
      <c r="E169" s="51" t="n"/>
      <c r="F169" s="52" t="n"/>
      <c r="H169" s="51" t="n"/>
      <c r="I169" s="51" t="n"/>
      <c r="J169" s="51" t="n"/>
      <c r="K169" s="51" t="n"/>
    </row>
    <row r="170">
      <c r="B170" s="51" t="n"/>
      <c r="C170" s="51" t="n"/>
      <c r="D170" s="51" t="n"/>
      <c r="E170" s="51" t="n"/>
      <c r="F170" s="52" t="n"/>
      <c r="H170" s="51" t="n"/>
      <c r="I170" s="51" t="n"/>
      <c r="J170" s="51" t="n"/>
      <c r="K170" s="51" t="n"/>
    </row>
    <row r="171">
      <c r="B171" s="51" t="n"/>
      <c r="C171" s="51" t="n"/>
      <c r="D171" s="51" t="n"/>
      <c r="E171" s="51" t="n"/>
      <c r="F171" s="52" t="n"/>
      <c r="H171" s="51" t="n"/>
      <c r="I171" s="51" t="n"/>
      <c r="J171" s="51" t="n"/>
      <c r="K171" s="51" t="n"/>
    </row>
    <row r="172">
      <c r="B172" s="51" t="n"/>
      <c r="C172" s="51" t="n"/>
      <c r="D172" s="51" t="n"/>
      <c r="E172" s="51" t="n"/>
      <c r="F172" s="52" t="n"/>
      <c r="H172" s="51" t="n"/>
      <c r="I172" s="51" t="n"/>
      <c r="J172" s="51" t="n"/>
      <c r="K172" s="51" t="n"/>
    </row>
    <row r="173">
      <c r="B173" s="51" t="n"/>
      <c r="C173" s="51" t="n"/>
      <c r="D173" s="51" t="n"/>
      <c r="E173" s="51" t="n"/>
      <c r="F173" s="52" t="n"/>
      <c r="H173" s="51" t="n"/>
      <c r="I173" s="51" t="n"/>
      <c r="J173" s="51" t="n"/>
      <c r="K173" s="51" t="n"/>
    </row>
    <row r="174">
      <c r="B174" s="51" t="n"/>
      <c r="C174" s="51" t="n"/>
      <c r="D174" s="51" t="n"/>
      <c r="E174" s="51" t="n"/>
      <c r="F174" s="52" t="n"/>
      <c r="H174" s="51" t="n"/>
      <c r="I174" s="51" t="n"/>
      <c r="J174" s="51" t="n"/>
      <c r="K174" s="51" t="n"/>
    </row>
    <row r="175">
      <c r="B175" s="51" t="n"/>
      <c r="C175" s="51" t="n"/>
      <c r="D175" s="51" t="n"/>
      <c r="E175" s="51" t="n"/>
      <c r="F175" s="52" t="n"/>
      <c r="H175" s="51" t="n"/>
      <c r="I175" s="51" t="n"/>
      <c r="J175" s="51" t="n"/>
      <c r="K175" s="51" t="n"/>
    </row>
    <row r="176">
      <c r="B176" s="51" t="n"/>
      <c r="C176" s="51" t="n"/>
      <c r="D176" s="51" t="n"/>
      <c r="E176" s="51" t="n"/>
      <c r="F176" s="52" t="n"/>
      <c r="H176" s="51" t="n"/>
      <c r="I176" s="51" t="n"/>
      <c r="J176" s="51" t="n"/>
      <c r="K176" s="51" t="n"/>
    </row>
    <row r="177">
      <c r="B177" s="51" t="n"/>
      <c r="C177" s="51" t="n"/>
      <c r="D177" s="51" t="n"/>
      <c r="E177" s="51" t="n"/>
      <c r="F177" s="52" t="n"/>
      <c r="H177" s="51" t="n"/>
      <c r="I177" s="51" t="n"/>
      <c r="J177" s="51" t="n"/>
      <c r="K177" s="51" t="n"/>
    </row>
    <row r="178">
      <c r="B178" s="51" t="n"/>
      <c r="C178" s="51" t="n"/>
      <c r="D178" s="51" t="n"/>
      <c r="E178" s="51" t="n"/>
      <c r="F178" s="52" t="n"/>
      <c r="H178" s="51" t="n"/>
      <c r="I178" s="51" t="n"/>
      <c r="J178" s="51" t="n"/>
      <c r="K178" s="51" t="n"/>
    </row>
    <row r="179">
      <c r="B179" s="51" t="n"/>
      <c r="C179" s="51" t="n"/>
      <c r="D179" s="51" t="n"/>
      <c r="E179" s="51" t="n"/>
      <c r="F179" s="52" t="n"/>
      <c r="H179" s="51" t="n"/>
      <c r="I179" s="51" t="n"/>
      <c r="J179" s="51" t="n"/>
      <c r="K179" s="51" t="n"/>
    </row>
    <row r="180">
      <c r="B180" s="51" t="n"/>
      <c r="C180" s="51" t="n"/>
      <c r="D180" s="51" t="n"/>
      <c r="E180" s="51" t="n"/>
      <c r="F180" s="52" t="n"/>
      <c r="H180" s="51" t="n"/>
      <c r="I180" s="51" t="n"/>
      <c r="J180" s="51" t="n"/>
      <c r="K180" s="51" t="n"/>
    </row>
    <row r="181">
      <c r="B181" s="51" t="n"/>
      <c r="C181" s="51" t="n"/>
      <c r="D181" s="51" t="n"/>
      <c r="E181" s="51" t="n"/>
      <c r="F181" s="52" t="n"/>
      <c r="H181" s="51" t="n"/>
      <c r="I181" s="51" t="n"/>
      <c r="J181" s="51" t="n"/>
      <c r="K181" s="51" t="n"/>
    </row>
    <row r="182">
      <c r="B182" s="51" t="n"/>
      <c r="C182" s="51" t="n"/>
      <c r="D182" s="51" t="n"/>
      <c r="E182" s="51" t="n"/>
      <c r="F182" s="52" t="n"/>
      <c r="H182" s="51" t="n"/>
      <c r="I182" s="51" t="n"/>
      <c r="J182" s="51" t="n"/>
      <c r="K182" s="51" t="n"/>
    </row>
    <row r="183">
      <c r="B183" s="51" t="n"/>
      <c r="C183" s="51" t="n"/>
      <c r="D183" s="51" t="n"/>
      <c r="E183" s="51" t="n"/>
      <c r="F183" s="52" t="n"/>
      <c r="H183" s="51" t="n"/>
      <c r="I183" s="51" t="n"/>
      <c r="J183" s="51" t="n"/>
      <c r="K183" s="51" t="n"/>
    </row>
    <row r="184">
      <c r="B184" s="51" t="n"/>
      <c r="C184" s="51" t="n"/>
      <c r="D184" s="51" t="n"/>
      <c r="E184" s="51" t="n"/>
      <c r="F184" s="52" t="n"/>
      <c r="H184" s="51" t="n"/>
      <c r="I184" s="51" t="n"/>
      <c r="J184" s="51" t="n"/>
      <c r="K184" s="51" t="n"/>
    </row>
    <row r="185">
      <c r="B185" s="51" t="n"/>
      <c r="C185" s="51" t="n"/>
      <c r="D185" s="51" t="n"/>
      <c r="E185" s="51" t="n"/>
      <c r="F185" s="52" t="n"/>
      <c r="H185" s="51" t="n"/>
      <c r="I185" s="51" t="n"/>
      <c r="J185" s="51" t="n"/>
      <c r="K185" s="51" t="n"/>
    </row>
    <row r="186">
      <c r="B186" s="51" t="n"/>
      <c r="C186" s="51" t="n"/>
      <c r="D186" s="51" t="n"/>
      <c r="E186" s="51" t="n"/>
      <c r="F186" s="52" t="n"/>
      <c r="H186" s="51" t="n"/>
      <c r="I186" s="51" t="n"/>
      <c r="J186" s="51" t="n"/>
      <c r="K186" s="51" t="n"/>
    </row>
    <row r="187">
      <c r="B187" s="51" t="n"/>
      <c r="C187" s="51" t="n"/>
      <c r="D187" s="51" t="n"/>
      <c r="E187" s="51" t="n"/>
      <c r="F187" s="52" t="n"/>
      <c r="H187" s="51" t="n"/>
      <c r="I187" s="51" t="n"/>
      <c r="J187" s="51" t="n"/>
      <c r="K187" s="51" t="n"/>
    </row>
    <row r="188">
      <c r="B188" s="51" t="n"/>
      <c r="C188" s="51" t="n"/>
      <c r="D188" s="51" t="n"/>
      <c r="E188" s="51" t="n"/>
      <c r="F188" s="52" t="n"/>
      <c r="H188" s="51" t="n"/>
      <c r="I188" s="51" t="n"/>
      <c r="J188" s="51" t="n"/>
      <c r="K188" s="51" t="n"/>
    </row>
    <row r="189">
      <c r="B189" s="51" t="n"/>
      <c r="C189" s="51" t="n"/>
      <c r="D189" s="51" t="n"/>
      <c r="E189" s="51" t="n"/>
      <c r="F189" s="52" t="n"/>
      <c r="H189" s="51" t="n"/>
      <c r="I189" s="51" t="n"/>
      <c r="J189" s="51" t="n"/>
      <c r="K189" s="51" t="n"/>
    </row>
    <row r="190">
      <c r="B190" s="51" t="n"/>
      <c r="C190" s="51" t="n"/>
      <c r="D190" s="51" t="n"/>
      <c r="E190" s="51" t="n"/>
      <c r="F190" s="52" t="n"/>
      <c r="H190" s="51" t="n"/>
      <c r="I190" s="51" t="n"/>
      <c r="J190" s="51" t="n"/>
      <c r="K190" s="51" t="n"/>
    </row>
    <row r="191">
      <c r="B191" s="51" t="n"/>
      <c r="C191" s="51" t="n"/>
      <c r="D191" s="51" t="n"/>
      <c r="E191" s="51" t="n"/>
      <c r="F191" s="52" t="n"/>
      <c r="H191" s="51" t="n"/>
      <c r="I191" s="51" t="n"/>
      <c r="J191" s="51" t="n"/>
      <c r="K191" s="51" t="n"/>
    </row>
    <row r="192">
      <c r="B192" s="51" t="n"/>
      <c r="C192" s="51" t="n"/>
      <c r="D192" s="51" t="n"/>
      <c r="E192" s="51" t="n"/>
      <c r="F192" s="52" t="n"/>
      <c r="H192" s="51" t="n"/>
      <c r="I192" s="51" t="n"/>
      <c r="J192" s="51" t="n"/>
      <c r="K192" s="51" t="n"/>
    </row>
    <row r="193">
      <c r="B193" s="51" t="n"/>
      <c r="C193" s="51" t="n"/>
      <c r="D193" s="51" t="n"/>
      <c r="E193" s="51" t="n"/>
      <c r="F193" s="52" t="n"/>
      <c r="H193" s="51" t="n"/>
      <c r="I193" s="51" t="n"/>
      <c r="J193" s="51" t="n"/>
      <c r="K193" s="51" t="n"/>
    </row>
    <row r="194">
      <c r="B194" s="51" t="n"/>
      <c r="C194" s="51" t="n"/>
      <c r="D194" s="51" t="n"/>
      <c r="E194" s="51" t="n"/>
      <c r="F194" s="52" t="n"/>
      <c r="H194" s="51" t="n"/>
      <c r="I194" s="51" t="n"/>
      <c r="J194" s="51" t="n"/>
      <c r="K194" s="51" t="n"/>
    </row>
    <row r="195">
      <c r="B195" s="51" t="n"/>
      <c r="C195" s="51" t="n"/>
      <c r="D195" s="51" t="n"/>
      <c r="E195" s="51" t="n"/>
      <c r="F195" s="52" t="n"/>
      <c r="H195" s="51" t="n"/>
      <c r="I195" s="51" t="n"/>
      <c r="J195" s="51" t="n"/>
      <c r="K195" s="51" t="n"/>
    </row>
    <row r="196">
      <c r="B196" s="51" t="n"/>
      <c r="C196" s="51" t="n"/>
      <c r="D196" s="51" t="n"/>
      <c r="E196" s="51" t="n"/>
      <c r="F196" s="52" t="n"/>
      <c r="H196" s="51" t="n"/>
      <c r="I196" s="51" t="n"/>
      <c r="J196" s="51" t="n"/>
      <c r="K196" s="51" t="n"/>
    </row>
    <row r="197">
      <c r="B197" s="51" t="n"/>
      <c r="C197" s="51" t="n"/>
      <c r="D197" s="51" t="n"/>
      <c r="E197" s="51" t="n"/>
      <c r="F197" s="52" t="n"/>
      <c r="H197" s="51" t="n"/>
      <c r="I197" s="51" t="n"/>
      <c r="J197" s="51" t="n"/>
      <c r="K197" s="51" t="n"/>
    </row>
    <row r="198">
      <c r="B198" s="51" t="n"/>
      <c r="C198" s="51" t="n"/>
      <c r="D198" s="51" t="n"/>
      <c r="E198" s="51" t="n"/>
      <c r="F198" s="52" t="n"/>
      <c r="H198" s="51" t="n"/>
      <c r="I198" s="51" t="n"/>
      <c r="J198" s="51" t="n"/>
      <c r="K198" s="51" t="n"/>
    </row>
    <row r="199">
      <c r="B199" s="51" t="n"/>
      <c r="C199" s="51" t="n"/>
      <c r="D199" s="51" t="n"/>
      <c r="E199" s="51" t="n"/>
      <c r="F199" s="52" t="n"/>
      <c r="H199" s="51" t="n"/>
      <c r="I199" s="51" t="n"/>
      <c r="J199" s="51" t="n"/>
      <c r="K199" s="51" t="n"/>
    </row>
    <row r="200">
      <c r="B200" s="51" t="n"/>
      <c r="C200" s="51" t="n"/>
      <c r="D200" s="51" t="n"/>
      <c r="E200" s="51" t="n"/>
      <c r="F200" s="52" t="n"/>
      <c r="H200" s="51" t="n"/>
      <c r="I200" s="51" t="n"/>
      <c r="J200" s="51" t="n"/>
      <c r="K200" s="51" t="n"/>
    </row>
    <row r="201">
      <c r="B201" s="51" t="n"/>
      <c r="C201" s="51" t="n"/>
      <c r="D201" s="51" t="n"/>
      <c r="E201" s="51" t="n"/>
      <c r="F201" s="52" t="n"/>
      <c r="H201" s="51" t="n"/>
      <c r="I201" s="51" t="n"/>
      <c r="J201" s="51" t="n"/>
      <c r="K201" s="51" t="n"/>
    </row>
    <row r="202">
      <c r="B202" s="51" t="n"/>
      <c r="C202" s="51" t="n"/>
      <c r="D202" s="51" t="n"/>
      <c r="E202" s="51" t="n"/>
      <c r="F202" s="52" t="n"/>
      <c r="H202" s="51" t="n"/>
      <c r="I202" s="51" t="n"/>
      <c r="J202" s="51" t="n"/>
      <c r="K202" s="51" t="n"/>
    </row>
    <row r="203">
      <c r="B203" s="51" t="n"/>
      <c r="C203" s="51" t="n"/>
      <c r="D203" s="51" t="n"/>
      <c r="E203" s="51" t="n"/>
      <c r="F203" s="52" t="n"/>
      <c r="H203" s="51" t="n"/>
      <c r="I203" s="51" t="n"/>
      <c r="J203" s="51" t="n"/>
      <c r="K203" s="51" t="n"/>
    </row>
    <row r="204">
      <c r="B204" s="51" t="n"/>
      <c r="C204" s="51" t="n"/>
      <c r="D204" s="51" t="n"/>
      <c r="E204" s="51" t="n"/>
      <c r="F204" s="52" t="n"/>
      <c r="H204" s="51" t="n"/>
      <c r="I204" s="51" t="n"/>
      <c r="J204" s="51" t="n"/>
      <c r="K204" s="51" t="n"/>
    </row>
    <row r="205">
      <c r="B205" s="51" t="n"/>
      <c r="C205" s="51" t="n"/>
      <c r="D205" s="51" t="n"/>
      <c r="E205" s="51" t="n"/>
      <c r="F205" s="52" t="n"/>
      <c r="H205" s="51" t="n"/>
      <c r="I205" s="51" t="n"/>
      <c r="J205" s="51" t="n"/>
      <c r="K205" s="51" t="n"/>
    </row>
    <row r="206">
      <c r="B206" s="51" t="n"/>
      <c r="C206" s="51" t="n"/>
      <c r="D206" s="51" t="n"/>
      <c r="E206" s="51" t="n"/>
      <c r="F206" s="52" t="n"/>
      <c r="H206" s="51" t="n"/>
      <c r="I206" s="51" t="n"/>
      <c r="J206" s="51" t="n"/>
      <c r="K206" s="51" t="n"/>
    </row>
    <row r="207">
      <c r="B207" s="51" t="n"/>
      <c r="C207" s="51" t="n"/>
      <c r="D207" s="51" t="n"/>
      <c r="E207" s="51" t="n"/>
      <c r="F207" s="52" t="n"/>
      <c r="H207" s="51" t="n"/>
      <c r="I207" s="51" t="n"/>
      <c r="J207" s="51" t="n"/>
      <c r="K207" s="51" t="n"/>
    </row>
    <row r="208">
      <c r="B208" s="51" t="n"/>
      <c r="C208" s="51" t="n"/>
      <c r="D208" s="51" t="n"/>
      <c r="E208" s="51" t="n"/>
      <c r="F208" s="52" t="n"/>
      <c r="H208" s="51" t="n"/>
      <c r="I208" s="51" t="n"/>
      <c r="J208" s="51" t="n"/>
      <c r="K208" s="51" t="n"/>
    </row>
    <row r="209">
      <c r="B209" s="51" t="n"/>
      <c r="C209" s="51" t="n"/>
      <c r="D209" s="51" t="n"/>
      <c r="E209" s="51" t="n"/>
      <c r="F209" s="52" t="n"/>
      <c r="H209" s="51" t="n"/>
      <c r="I209" s="51" t="n"/>
      <c r="J209" s="51" t="n"/>
      <c r="K209" s="51" t="n"/>
    </row>
    <row r="210">
      <c r="B210" s="51" t="n"/>
      <c r="C210" s="51" t="n"/>
      <c r="D210" s="51" t="n"/>
      <c r="E210" s="51" t="n"/>
      <c r="F210" s="52" t="n"/>
      <c r="H210" s="51" t="n"/>
      <c r="I210" s="51" t="n"/>
      <c r="J210" s="51" t="n"/>
      <c r="K210" s="51" t="n"/>
    </row>
    <row r="211">
      <c r="B211" s="51" t="n"/>
      <c r="C211" s="51" t="n"/>
      <c r="D211" s="51" t="n"/>
      <c r="E211" s="51" t="n"/>
      <c r="F211" s="52" t="n"/>
      <c r="H211" s="51" t="n"/>
      <c r="I211" s="51" t="n"/>
      <c r="J211" s="51" t="n"/>
      <c r="K211" s="51" t="n"/>
    </row>
    <row r="212">
      <c r="B212" s="51" t="n"/>
      <c r="C212" s="51" t="n"/>
      <c r="D212" s="51" t="n"/>
      <c r="E212" s="51" t="n"/>
      <c r="F212" s="52" t="n"/>
      <c r="H212" s="51" t="n"/>
      <c r="I212" s="51" t="n"/>
      <c r="J212" s="51" t="n"/>
      <c r="K212" s="51" t="n"/>
    </row>
    <row r="213">
      <c r="B213" s="51" t="n"/>
      <c r="C213" s="51" t="n"/>
      <c r="D213" s="51" t="n"/>
      <c r="E213" s="51" t="n"/>
      <c r="F213" s="52" t="n"/>
      <c r="H213" s="51" t="n"/>
      <c r="I213" s="51" t="n"/>
      <c r="J213" s="51" t="n"/>
      <c r="K213" s="51" t="n"/>
    </row>
    <row r="214">
      <c r="B214" s="51" t="n"/>
      <c r="C214" s="51" t="n"/>
      <c r="D214" s="51" t="n"/>
      <c r="E214" s="51" t="n"/>
      <c r="F214" s="52" t="n"/>
      <c r="H214" s="51" t="n"/>
      <c r="I214" s="51" t="n"/>
      <c r="J214" s="51" t="n"/>
      <c r="K214" s="51" t="n"/>
    </row>
    <row r="215">
      <c r="B215" s="51" t="n"/>
      <c r="C215" s="51" t="n"/>
      <c r="D215" s="51" t="n"/>
      <c r="E215" s="51" t="n"/>
      <c r="F215" s="52" t="n"/>
      <c r="H215" s="51" t="n"/>
      <c r="I215" s="51" t="n"/>
      <c r="J215" s="51" t="n"/>
      <c r="K215" s="51" t="n"/>
    </row>
    <row r="216">
      <c r="B216" s="51" t="n"/>
      <c r="C216" s="51" t="n"/>
      <c r="D216" s="51" t="n"/>
      <c r="E216" s="51" t="n"/>
      <c r="F216" s="52" t="n"/>
      <c r="H216" s="51" t="n"/>
      <c r="I216" s="51" t="n"/>
      <c r="J216" s="51" t="n"/>
      <c r="K216" s="51" t="n"/>
    </row>
    <row r="217">
      <c r="B217" s="51" t="n"/>
      <c r="C217" s="51" t="n"/>
      <c r="D217" s="51" t="n"/>
      <c r="E217" s="51" t="n"/>
      <c r="F217" s="52" t="n"/>
      <c r="H217" s="51" t="n"/>
      <c r="I217" s="51" t="n"/>
      <c r="J217" s="51" t="n"/>
      <c r="K217" s="51" t="n"/>
    </row>
    <row r="218">
      <c r="B218" s="51" t="n"/>
      <c r="C218" s="51" t="n"/>
      <c r="D218" s="51" t="n"/>
      <c r="E218" s="51" t="n"/>
      <c r="F218" s="52" t="n"/>
      <c r="H218" s="51" t="n"/>
      <c r="I218" s="51" t="n"/>
      <c r="J218" s="51" t="n"/>
      <c r="K218" s="51" t="n"/>
    </row>
    <row r="219">
      <c r="B219" s="51" t="n"/>
      <c r="C219" s="51" t="n"/>
      <c r="D219" s="51" t="n"/>
      <c r="E219" s="51" t="n"/>
      <c r="F219" s="52" t="n"/>
      <c r="H219" s="51" t="n"/>
      <c r="I219" s="51" t="n"/>
      <c r="J219" s="51" t="n"/>
      <c r="K219" s="51" t="n"/>
    </row>
    <row r="220">
      <c r="B220" s="51" t="n"/>
      <c r="C220" s="51" t="n"/>
      <c r="D220" s="51" t="n"/>
      <c r="E220" s="51" t="n"/>
      <c r="F220" s="52" t="n"/>
      <c r="H220" s="51" t="n"/>
      <c r="I220" s="51" t="n"/>
      <c r="J220" s="51" t="n"/>
      <c r="K220" s="51" t="n"/>
    </row>
    <row r="221">
      <c r="B221" s="51" t="n"/>
      <c r="C221" s="51" t="n"/>
      <c r="D221" s="51" t="n"/>
      <c r="E221" s="51" t="n"/>
      <c r="F221" s="52" t="n"/>
      <c r="H221" s="51" t="n"/>
      <c r="I221" s="51" t="n"/>
      <c r="J221" s="51" t="n"/>
      <c r="K221" s="51" t="n"/>
    </row>
    <row r="222">
      <c r="B222" s="51" t="n"/>
      <c r="C222" s="51" t="n"/>
      <c r="D222" s="51" t="n"/>
      <c r="E222" s="51" t="n"/>
      <c r="F222" s="52" t="n"/>
      <c r="H222" s="51" t="n"/>
      <c r="I222" s="51" t="n"/>
      <c r="J222" s="51" t="n"/>
      <c r="K222" s="51" t="n"/>
    </row>
    <row r="223">
      <c r="B223" s="51" t="n"/>
      <c r="C223" s="51" t="n"/>
      <c r="D223" s="51" t="n"/>
      <c r="E223" s="51" t="n"/>
      <c r="F223" s="52" t="n"/>
      <c r="H223" s="51" t="n"/>
      <c r="I223" s="51" t="n"/>
      <c r="J223" s="51" t="n"/>
      <c r="K223" s="51" t="n"/>
    </row>
    <row r="224">
      <c r="B224" s="51" t="n"/>
      <c r="C224" s="51" t="n"/>
      <c r="D224" s="51" t="n"/>
      <c r="E224" s="51" t="n"/>
      <c r="F224" s="52" t="n"/>
      <c r="H224" s="51" t="n"/>
      <c r="I224" s="51" t="n"/>
      <c r="J224" s="51" t="n"/>
      <c r="K224" s="51" t="n"/>
    </row>
    <row r="225">
      <c r="B225" s="51" t="n"/>
      <c r="C225" s="51" t="n"/>
      <c r="D225" s="51" t="n"/>
      <c r="E225" s="51" t="n"/>
      <c r="F225" s="52" t="n"/>
      <c r="H225" s="51" t="n"/>
      <c r="I225" s="51" t="n"/>
      <c r="J225" s="51" t="n"/>
      <c r="K225" s="51" t="n"/>
    </row>
    <row r="226">
      <c r="B226" s="51" t="n"/>
      <c r="C226" s="51" t="n"/>
      <c r="D226" s="51" t="n"/>
      <c r="E226" s="51" t="n"/>
      <c r="F226" s="52" t="n"/>
      <c r="H226" s="51" t="n"/>
      <c r="I226" s="51" t="n"/>
      <c r="J226" s="51" t="n"/>
      <c r="K226" s="51" t="n"/>
    </row>
    <row r="227">
      <c r="B227" s="51" t="n"/>
      <c r="C227" s="51" t="n"/>
      <c r="D227" s="51" t="n"/>
      <c r="E227" s="51" t="n"/>
      <c r="F227" s="52" t="n"/>
      <c r="H227" s="51" t="n"/>
      <c r="I227" s="51" t="n"/>
      <c r="J227" s="51" t="n"/>
      <c r="K227" s="51" t="n"/>
    </row>
    <row r="228">
      <c r="B228" s="51" t="n"/>
      <c r="C228" s="51" t="n"/>
      <c r="D228" s="51" t="n"/>
      <c r="E228" s="51" t="n"/>
      <c r="F228" s="52" t="n"/>
      <c r="H228" s="51" t="n"/>
      <c r="I228" s="51" t="n"/>
      <c r="J228" s="51" t="n"/>
      <c r="K228" s="51" t="n"/>
    </row>
    <row r="229">
      <c r="B229" s="51" t="n"/>
      <c r="C229" s="51" t="n"/>
      <c r="D229" s="51" t="n"/>
      <c r="E229" s="51" t="n"/>
      <c r="F229" s="52" t="n"/>
      <c r="H229" s="51" t="n"/>
      <c r="I229" s="51" t="n"/>
      <c r="J229" s="51" t="n"/>
      <c r="K229" s="51" t="n"/>
    </row>
    <row r="230">
      <c r="B230" s="51" t="n"/>
      <c r="C230" s="51" t="n"/>
      <c r="D230" s="51" t="n"/>
      <c r="E230" s="51" t="n"/>
      <c r="F230" s="52" t="n"/>
      <c r="H230" s="51" t="n"/>
      <c r="I230" s="51" t="n"/>
      <c r="J230" s="51" t="n"/>
      <c r="K230" s="51" t="n"/>
    </row>
    <row r="231">
      <c r="B231" s="51" t="n"/>
      <c r="C231" s="51" t="n"/>
      <c r="D231" s="51" t="n"/>
      <c r="E231" s="51" t="n"/>
      <c r="F231" s="52" t="n"/>
      <c r="H231" s="51" t="n"/>
      <c r="I231" s="51" t="n"/>
      <c r="J231" s="51" t="n"/>
      <c r="K231" s="51" t="n"/>
    </row>
    <row r="232">
      <c r="B232" s="51" t="n"/>
      <c r="C232" s="51" t="n"/>
      <c r="D232" s="51" t="n"/>
      <c r="E232" s="51" t="n"/>
      <c r="F232" s="52" t="n"/>
      <c r="H232" s="51" t="n"/>
      <c r="I232" s="51" t="n"/>
      <c r="J232" s="51" t="n"/>
      <c r="K232" s="51" t="n"/>
    </row>
    <row r="233">
      <c r="B233" s="51" t="n"/>
      <c r="C233" s="51" t="n"/>
      <c r="D233" s="51" t="n"/>
      <c r="E233" s="51" t="n"/>
      <c r="F233" s="52" t="n"/>
      <c r="H233" s="51" t="n"/>
      <c r="I233" s="51" t="n"/>
      <c r="J233" s="51" t="n"/>
      <c r="K233" s="51" t="n"/>
    </row>
    <row r="234">
      <c r="B234" s="51" t="n"/>
      <c r="C234" s="51" t="n"/>
      <c r="D234" s="51" t="n"/>
      <c r="E234" s="51" t="n"/>
      <c r="F234" s="52" t="n"/>
      <c r="H234" s="51" t="n"/>
      <c r="I234" s="51" t="n"/>
      <c r="J234" s="51" t="n"/>
      <c r="K234" s="51" t="n"/>
    </row>
    <row r="235">
      <c r="B235" s="51" t="n"/>
      <c r="C235" s="51" t="n"/>
      <c r="D235" s="51" t="n"/>
      <c r="E235" s="51" t="n"/>
      <c r="F235" s="52" t="n"/>
      <c r="H235" s="51" t="n"/>
      <c r="I235" s="51" t="n"/>
      <c r="J235" s="51" t="n"/>
      <c r="K235" s="51" t="n"/>
    </row>
    <row r="236">
      <c r="B236" s="51" t="n"/>
      <c r="C236" s="51" t="n"/>
      <c r="D236" s="51" t="n"/>
      <c r="E236" s="51" t="n"/>
      <c r="F236" s="52" t="n"/>
      <c r="H236" s="51" t="n"/>
      <c r="I236" s="51" t="n"/>
      <c r="J236" s="51" t="n"/>
      <c r="K236" s="51" t="n"/>
    </row>
    <row r="237">
      <c r="B237" s="51" t="n"/>
      <c r="C237" s="51" t="n"/>
      <c r="D237" s="51" t="n"/>
      <c r="E237" s="51" t="n"/>
      <c r="F237" s="52" t="n"/>
      <c r="H237" s="51" t="n"/>
      <c r="I237" s="51" t="n"/>
      <c r="J237" s="51" t="n"/>
      <c r="K237" s="51" t="n"/>
    </row>
    <row r="238">
      <c r="B238" s="51" t="n"/>
      <c r="C238" s="51" t="n"/>
      <c r="D238" s="51" t="n"/>
      <c r="E238" s="51" t="n"/>
      <c r="F238" s="52" t="n"/>
      <c r="H238" s="51" t="n"/>
      <c r="I238" s="51" t="n"/>
      <c r="J238" s="51" t="n"/>
      <c r="K238" s="51" t="n"/>
    </row>
    <row r="239">
      <c r="B239" s="51" t="n"/>
      <c r="C239" s="51" t="n"/>
      <c r="D239" s="51" t="n"/>
      <c r="E239" s="51" t="n"/>
      <c r="F239" s="52" t="n"/>
      <c r="H239" s="51" t="n"/>
      <c r="I239" s="51" t="n"/>
      <c r="J239" s="51" t="n"/>
      <c r="K239" s="51" t="n"/>
    </row>
    <row r="240">
      <c r="B240" s="51" t="n"/>
      <c r="C240" s="51" t="n"/>
      <c r="D240" s="51" t="n"/>
      <c r="E240" s="51" t="n"/>
      <c r="F240" s="52" t="n"/>
      <c r="H240" s="51" t="n"/>
      <c r="I240" s="51" t="n"/>
      <c r="J240" s="51" t="n"/>
      <c r="K240" s="51" t="n"/>
    </row>
    <row r="241">
      <c r="B241" s="51" t="n"/>
      <c r="C241" s="51" t="n"/>
      <c r="D241" s="51" t="n"/>
      <c r="E241" s="51" t="n"/>
      <c r="F241" s="52" t="n"/>
      <c r="H241" s="51" t="n"/>
      <c r="I241" s="51" t="n"/>
      <c r="J241" s="51" t="n"/>
      <c r="K241" s="51" t="n"/>
    </row>
    <row r="242">
      <c r="B242" s="51" t="n"/>
      <c r="C242" s="51" t="n"/>
      <c r="D242" s="51" t="n"/>
      <c r="E242" s="51" t="n"/>
      <c r="F242" s="52" t="n"/>
      <c r="H242" s="51" t="n"/>
      <c r="I242" s="51" t="n"/>
      <c r="J242" s="51" t="n"/>
      <c r="K242" s="51" t="n"/>
    </row>
    <row r="243">
      <c r="B243" s="51" t="n"/>
      <c r="C243" s="51" t="n"/>
      <c r="D243" s="51" t="n"/>
      <c r="E243" s="51" t="n"/>
      <c r="F243" s="52" t="n"/>
      <c r="H243" s="51" t="n"/>
      <c r="I243" s="51" t="n"/>
      <c r="J243" s="51" t="n"/>
      <c r="K243" s="51" t="n"/>
    </row>
    <row r="244">
      <c r="B244" s="51" t="n"/>
      <c r="C244" s="51" t="n"/>
      <c r="D244" s="51" t="n"/>
      <c r="E244" s="51" t="n"/>
      <c r="F244" s="52" t="n"/>
      <c r="H244" s="51" t="n"/>
      <c r="I244" s="51" t="n"/>
      <c r="J244" s="51" t="n"/>
      <c r="K244" s="51" t="n"/>
    </row>
    <row r="245">
      <c r="B245" s="51" t="n"/>
      <c r="C245" s="51" t="n"/>
      <c r="D245" s="51" t="n"/>
      <c r="E245" s="51" t="n"/>
      <c r="F245" s="52" t="n"/>
      <c r="H245" s="51" t="n"/>
      <c r="I245" s="51" t="n"/>
      <c r="J245" s="51" t="n"/>
      <c r="K245" s="51" t="n"/>
    </row>
    <row r="246">
      <c r="B246" s="51" t="n"/>
      <c r="C246" s="51" t="n"/>
      <c r="D246" s="51" t="n"/>
      <c r="E246" s="51" t="n"/>
      <c r="F246" s="52" t="n"/>
      <c r="H246" s="51" t="n"/>
      <c r="I246" s="51" t="n"/>
      <c r="J246" s="51" t="n"/>
      <c r="K246" s="51" t="n"/>
    </row>
    <row r="247">
      <c r="B247" s="51" t="n"/>
      <c r="C247" s="51" t="n"/>
      <c r="D247" s="51" t="n"/>
      <c r="E247" s="51" t="n"/>
      <c r="F247" s="52" t="n"/>
      <c r="H247" s="51" t="n"/>
      <c r="I247" s="51" t="n"/>
      <c r="J247" s="51" t="n"/>
      <c r="K247" s="51" t="n"/>
    </row>
    <row r="248">
      <c r="B248" s="51" t="n"/>
      <c r="C248" s="51" t="n"/>
      <c r="D248" s="51" t="n"/>
      <c r="E248" s="51" t="n"/>
      <c r="F248" s="52" t="n"/>
      <c r="H248" s="51" t="n"/>
      <c r="I248" s="51" t="n"/>
      <c r="J248" s="51" t="n"/>
      <c r="K248" s="51" t="n"/>
    </row>
    <row r="249">
      <c r="B249" s="51" t="n"/>
      <c r="C249" s="51" t="n"/>
      <c r="D249" s="51" t="n"/>
      <c r="E249" s="51" t="n"/>
      <c r="F249" s="52" t="n"/>
      <c r="H249" s="51" t="n"/>
      <c r="I249" s="51" t="n"/>
      <c r="J249" s="51" t="n"/>
      <c r="K249" s="51" t="n"/>
    </row>
    <row r="250">
      <c r="B250" s="51" t="n"/>
      <c r="C250" s="51" t="n"/>
      <c r="D250" s="51" t="n"/>
      <c r="E250" s="51" t="n"/>
      <c r="F250" s="52" t="n"/>
      <c r="H250" s="51" t="n"/>
      <c r="I250" s="51" t="n"/>
      <c r="J250" s="51" t="n"/>
      <c r="K250" s="51" t="n"/>
    </row>
    <row r="251">
      <c r="B251" s="51" t="n"/>
      <c r="C251" s="51" t="n"/>
      <c r="D251" s="51" t="n"/>
      <c r="E251" s="51" t="n"/>
      <c r="F251" s="52" t="n"/>
      <c r="H251" s="51" t="n"/>
      <c r="I251" s="51" t="n"/>
      <c r="J251" s="51" t="n"/>
      <c r="K251" s="51" t="n"/>
    </row>
    <row r="252">
      <c r="B252" s="51" t="n"/>
      <c r="C252" s="51" t="n"/>
      <c r="D252" s="51" t="n"/>
      <c r="E252" s="51" t="n"/>
      <c r="F252" s="52" t="n"/>
      <c r="H252" s="51" t="n"/>
      <c r="I252" s="51" t="n"/>
      <c r="J252" s="51" t="n"/>
      <c r="K252" s="51" t="n"/>
    </row>
    <row r="253">
      <c r="B253" s="51" t="n"/>
      <c r="C253" s="51" t="n"/>
      <c r="D253" s="51" t="n"/>
      <c r="E253" s="51" t="n"/>
      <c r="F253" s="52" t="n"/>
      <c r="H253" s="51" t="n"/>
      <c r="I253" s="51" t="n"/>
      <c r="J253" s="51" t="n"/>
      <c r="K253" s="51" t="n"/>
    </row>
    <row r="254">
      <c r="B254" s="51" t="n"/>
      <c r="C254" s="51" t="n"/>
      <c r="D254" s="51" t="n"/>
      <c r="E254" s="51" t="n"/>
      <c r="F254" s="52" t="n"/>
      <c r="H254" s="51" t="n"/>
      <c r="I254" s="51" t="n"/>
      <c r="J254" s="51" t="n"/>
      <c r="K254" s="51" t="n"/>
    </row>
    <row r="255">
      <c r="B255" s="51" t="n"/>
      <c r="C255" s="51" t="n"/>
      <c r="D255" s="51" t="n"/>
      <c r="E255" s="51" t="n"/>
      <c r="F255" s="52" t="n"/>
      <c r="H255" s="51" t="n"/>
      <c r="I255" s="51" t="n"/>
      <c r="J255" s="51" t="n"/>
      <c r="K255" s="51" t="n"/>
    </row>
    <row r="256">
      <c r="B256" s="51" t="n"/>
      <c r="C256" s="51" t="n"/>
      <c r="D256" s="51" t="n"/>
      <c r="E256" s="51" t="n"/>
      <c r="F256" s="52" t="n"/>
      <c r="H256" s="51" t="n"/>
      <c r="I256" s="51" t="n"/>
      <c r="J256" s="51" t="n"/>
      <c r="K256" s="51" t="n"/>
    </row>
    <row r="257">
      <c r="B257" s="51" t="n"/>
      <c r="C257" s="51" t="n"/>
      <c r="D257" s="51" t="n"/>
      <c r="E257" s="51" t="n"/>
      <c r="F257" s="52" t="n"/>
      <c r="H257" s="51" t="n"/>
      <c r="I257" s="51" t="n"/>
      <c r="J257" s="51" t="n"/>
      <c r="K257" s="51" t="n"/>
    </row>
    <row r="258">
      <c r="B258" s="51" t="n"/>
      <c r="C258" s="51" t="n"/>
      <c r="D258" s="51" t="n"/>
      <c r="E258" s="51" t="n"/>
      <c r="F258" s="52" t="n"/>
      <c r="H258" s="51" t="n"/>
      <c r="I258" s="51" t="n"/>
      <c r="J258" s="51" t="n"/>
      <c r="K258" s="51" t="n"/>
    </row>
    <row r="259">
      <c r="B259" s="51" t="n"/>
      <c r="C259" s="51" t="n"/>
      <c r="D259" s="51" t="n"/>
      <c r="E259" s="51" t="n"/>
      <c r="F259" s="52" t="n"/>
      <c r="H259" s="51" t="n"/>
      <c r="I259" s="51" t="n"/>
      <c r="J259" s="51" t="n"/>
      <c r="K259" s="51" t="n"/>
    </row>
    <row r="260">
      <c r="B260" s="51" t="n"/>
      <c r="C260" s="51" t="n"/>
      <c r="D260" s="51" t="n"/>
      <c r="E260" s="51" t="n"/>
      <c r="F260" s="52" t="n"/>
      <c r="H260" s="51" t="n"/>
      <c r="I260" s="51" t="n"/>
      <c r="J260" s="51" t="n"/>
      <c r="K260" s="51" t="n"/>
    </row>
    <row r="261">
      <c r="B261" s="51" t="n"/>
      <c r="C261" s="51" t="n"/>
      <c r="D261" s="51" t="n"/>
      <c r="E261" s="51" t="n"/>
      <c r="F261" s="52" t="n"/>
      <c r="H261" s="51" t="n"/>
      <c r="I261" s="51" t="n"/>
      <c r="J261" s="51" t="n"/>
      <c r="K261" s="51" t="n"/>
    </row>
    <row r="262">
      <c r="B262" s="51" t="n"/>
      <c r="C262" s="51" t="n"/>
      <c r="D262" s="51" t="n"/>
      <c r="E262" s="51" t="n"/>
      <c r="F262" s="52" t="n"/>
      <c r="H262" s="51" t="n"/>
      <c r="I262" s="51" t="n"/>
      <c r="J262" s="51" t="n"/>
      <c r="K262" s="51" t="n"/>
    </row>
    <row r="263">
      <c r="B263" s="51" t="n"/>
      <c r="C263" s="51" t="n"/>
      <c r="D263" s="51" t="n"/>
      <c r="E263" s="51" t="n"/>
      <c r="F263" s="52" t="n"/>
      <c r="H263" s="51" t="n"/>
      <c r="I263" s="51" t="n"/>
      <c r="J263" s="51" t="n"/>
      <c r="K263" s="51" t="n"/>
    </row>
    <row r="264">
      <c r="B264" s="51" t="n"/>
      <c r="C264" s="51" t="n"/>
      <c r="D264" s="51" t="n"/>
      <c r="E264" s="51" t="n"/>
      <c r="F264" s="52" t="n"/>
      <c r="H264" s="51" t="n"/>
      <c r="I264" s="51" t="n"/>
      <c r="J264" s="51" t="n"/>
      <c r="K264" s="51" t="n"/>
    </row>
    <row r="265">
      <c r="B265" s="51" t="n"/>
      <c r="C265" s="51" t="n"/>
      <c r="D265" s="51" t="n"/>
      <c r="E265" s="51" t="n"/>
      <c r="F265" s="52" t="n"/>
      <c r="H265" s="51" t="n"/>
      <c r="I265" s="51" t="n"/>
      <c r="J265" s="51" t="n"/>
      <c r="K265" s="51" t="n"/>
    </row>
    <row r="266">
      <c r="B266" s="51" t="n"/>
      <c r="C266" s="51" t="n"/>
      <c r="D266" s="51" t="n"/>
      <c r="E266" s="51" t="n"/>
      <c r="F266" s="52" t="n"/>
      <c r="H266" s="51" t="n"/>
      <c r="I266" s="51" t="n"/>
      <c r="J266" s="51" t="n"/>
      <c r="K266" s="51" t="n"/>
    </row>
    <row r="267">
      <c r="B267" s="51" t="n"/>
      <c r="C267" s="51" t="n"/>
      <c r="D267" s="51" t="n"/>
      <c r="E267" s="51" t="n"/>
      <c r="F267" s="52" t="n"/>
      <c r="H267" s="51" t="n"/>
      <c r="I267" s="51" t="n"/>
      <c r="J267" s="51" t="n"/>
      <c r="K267" s="51" t="n"/>
    </row>
    <row r="268">
      <c r="B268" s="51" t="n"/>
      <c r="C268" s="51" t="n"/>
      <c r="D268" s="51" t="n"/>
      <c r="E268" s="51" t="n"/>
      <c r="F268" s="52" t="n"/>
      <c r="H268" s="51" t="n"/>
      <c r="I268" s="51" t="n"/>
      <c r="J268" s="51" t="n"/>
      <c r="K268" s="51" t="n"/>
    </row>
    <row r="269">
      <c r="B269" s="51" t="n"/>
      <c r="C269" s="51" t="n"/>
      <c r="D269" s="51" t="n"/>
      <c r="E269" s="51" t="n"/>
      <c r="F269" s="52" t="n"/>
      <c r="H269" s="51" t="n"/>
      <c r="I269" s="51" t="n"/>
      <c r="J269" s="51" t="n"/>
      <c r="K269" s="51" t="n"/>
    </row>
    <row r="270">
      <c r="B270" s="51" t="n"/>
      <c r="C270" s="51" t="n"/>
      <c r="D270" s="51" t="n"/>
      <c r="E270" s="51" t="n"/>
      <c r="F270" s="52" t="n"/>
      <c r="H270" s="51" t="n"/>
      <c r="I270" s="51" t="n"/>
      <c r="J270" s="51" t="n"/>
      <c r="K270" s="51" t="n"/>
    </row>
    <row r="271">
      <c r="B271" s="51" t="n"/>
      <c r="C271" s="51" t="n"/>
      <c r="D271" s="51" t="n"/>
      <c r="E271" s="51" t="n"/>
      <c r="F271" s="52" t="n"/>
      <c r="H271" s="51" t="n"/>
      <c r="I271" s="51" t="n"/>
      <c r="J271" s="51" t="n"/>
      <c r="K271" s="51" t="n"/>
    </row>
    <row r="272">
      <c r="B272" s="51" t="n"/>
      <c r="C272" s="51" t="n"/>
      <c r="D272" s="51" t="n"/>
      <c r="E272" s="51" t="n"/>
      <c r="F272" s="52" t="n"/>
      <c r="H272" s="51" t="n"/>
      <c r="I272" s="51" t="n"/>
      <c r="J272" s="51" t="n"/>
      <c r="K272" s="51" t="n"/>
    </row>
    <row r="273">
      <c r="B273" s="51" t="n"/>
      <c r="C273" s="51" t="n"/>
      <c r="D273" s="51" t="n"/>
      <c r="E273" s="51" t="n"/>
      <c r="F273" s="52" t="n"/>
      <c r="H273" s="51" t="n"/>
      <c r="I273" s="51" t="n"/>
      <c r="J273" s="51" t="n"/>
      <c r="K273" s="51" t="n"/>
    </row>
    <row r="274">
      <c r="B274" s="51" t="n"/>
      <c r="C274" s="51" t="n"/>
      <c r="D274" s="51" t="n"/>
      <c r="E274" s="51" t="n"/>
      <c r="F274" s="52" t="n"/>
      <c r="H274" s="51" t="n"/>
      <c r="I274" s="51" t="n"/>
      <c r="J274" s="51" t="n"/>
      <c r="K274" s="51" t="n"/>
    </row>
    <row r="275">
      <c r="B275" s="51" t="n"/>
      <c r="C275" s="51" t="n"/>
      <c r="D275" s="51" t="n"/>
      <c r="E275" s="51" t="n"/>
      <c r="F275" s="52" t="n"/>
      <c r="H275" s="51" t="n"/>
      <c r="I275" s="51" t="n"/>
      <c r="J275" s="51" t="n"/>
      <c r="K275" s="51" t="n"/>
    </row>
    <row r="276">
      <c r="B276" s="51" t="n"/>
      <c r="C276" s="51" t="n"/>
      <c r="D276" s="51" t="n"/>
      <c r="E276" s="51" t="n"/>
      <c r="F276" s="52" t="n"/>
      <c r="H276" s="51" t="n"/>
      <c r="I276" s="51" t="n"/>
      <c r="J276" s="51" t="n"/>
      <c r="K276" s="51" t="n"/>
    </row>
    <row r="277">
      <c r="B277" s="51" t="n"/>
      <c r="C277" s="51" t="n"/>
      <c r="D277" s="51" t="n"/>
      <c r="E277" s="51" t="n"/>
      <c r="F277" s="52" t="n"/>
      <c r="H277" s="51" t="n"/>
      <c r="I277" s="51" t="n"/>
      <c r="J277" s="51" t="n"/>
      <c r="K277" s="51" t="n"/>
    </row>
    <row r="278">
      <c r="B278" s="51" t="n"/>
      <c r="C278" s="51" t="n"/>
      <c r="D278" s="51" t="n"/>
      <c r="E278" s="51" t="n"/>
      <c r="F278" s="52" t="n"/>
      <c r="H278" s="51" t="n"/>
      <c r="I278" s="51" t="n"/>
      <c r="J278" s="51" t="n"/>
      <c r="K278" s="51" t="n"/>
    </row>
    <row r="279">
      <c r="B279" s="51" t="n"/>
      <c r="C279" s="51" t="n"/>
      <c r="D279" s="51" t="n"/>
      <c r="E279" s="51" t="n"/>
      <c r="F279" s="52" t="n"/>
      <c r="H279" s="51" t="n"/>
      <c r="I279" s="51" t="n"/>
      <c r="J279" s="51" t="n"/>
      <c r="K279" s="51" t="n"/>
    </row>
    <row r="280">
      <c r="B280" s="51" t="n"/>
      <c r="C280" s="51" t="n"/>
      <c r="D280" s="51" t="n"/>
      <c r="E280" s="51" t="n"/>
      <c r="F280" s="52" t="n"/>
      <c r="H280" s="51" t="n"/>
      <c r="I280" s="51" t="n"/>
      <c r="J280" s="51" t="n"/>
      <c r="K280" s="51" t="n"/>
    </row>
    <row r="281">
      <c r="B281" s="51" t="n"/>
      <c r="C281" s="51" t="n"/>
      <c r="D281" s="51" t="n"/>
      <c r="E281" s="51" t="n"/>
      <c r="F281" s="52" t="n"/>
      <c r="H281" s="51" t="n"/>
      <c r="I281" s="51" t="n"/>
      <c r="J281" s="51" t="n"/>
      <c r="K281" s="51" t="n"/>
    </row>
    <row r="282">
      <c r="B282" s="51" t="n"/>
      <c r="C282" s="51" t="n"/>
      <c r="D282" s="51" t="n"/>
      <c r="E282" s="51" t="n"/>
      <c r="F282" s="52" t="n"/>
      <c r="H282" s="51" t="n"/>
      <c r="I282" s="51" t="n"/>
      <c r="J282" s="51" t="n"/>
      <c r="K282" s="51" t="n"/>
    </row>
    <row r="283">
      <c r="B283" s="51" t="n"/>
      <c r="C283" s="51" t="n"/>
      <c r="D283" s="51" t="n"/>
      <c r="E283" s="51" t="n"/>
      <c r="F283" s="52" t="n"/>
      <c r="H283" s="51" t="n"/>
      <c r="I283" s="51" t="n"/>
      <c r="J283" s="51" t="n"/>
      <c r="K283" s="51" t="n"/>
    </row>
    <row r="284">
      <c r="B284" s="51" t="n"/>
      <c r="C284" s="51" t="n"/>
      <c r="D284" s="51" t="n"/>
      <c r="E284" s="51" t="n"/>
      <c r="F284" s="52" t="n"/>
      <c r="H284" s="51" t="n"/>
      <c r="I284" s="51" t="n"/>
      <c r="J284" s="51" t="n"/>
      <c r="K284" s="51" t="n"/>
    </row>
    <row r="285">
      <c r="B285" s="51" t="n"/>
      <c r="C285" s="51" t="n"/>
      <c r="D285" s="51" t="n"/>
      <c r="E285" s="51" t="n"/>
      <c r="F285" s="52" t="n"/>
      <c r="H285" s="51" t="n"/>
      <c r="I285" s="51" t="n"/>
      <c r="J285" s="51" t="n"/>
      <c r="K285" s="51" t="n"/>
    </row>
    <row r="286">
      <c r="B286" s="51" t="n"/>
      <c r="C286" s="51" t="n"/>
      <c r="D286" s="51" t="n"/>
      <c r="E286" s="51" t="n"/>
      <c r="F286" s="52" t="n"/>
      <c r="H286" s="51" t="n"/>
      <c r="I286" s="51" t="n"/>
      <c r="J286" s="51" t="n"/>
      <c r="K286" s="51" t="n"/>
    </row>
    <row r="287">
      <c r="B287" s="51" t="n"/>
      <c r="C287" s="51" t="n"/>
      <c r="D287" s="51" t="n"/>
      <c r="E287" s="51" t="n"/>
      <c r="F287" s="52" t="n"/>
      <c r="H287" s="51" t="n"/>
      <c r="I287" s="51" t="n"/>
      <c r="J287" s="51" t="n"/>
      <c r="K287" s="51" t="n"/>
    </row>
    <row r="288">
      <c r="B288" s="51" t="n"/>
      <c r="C288" s="51" t="n"/>
      <c r="D288" s="51" t="n"/>
      <c r="E288" s="51" t="n"/>
      <c r="F288" s="52" t="n"/>
      <c r="H288" s="51" t="n"/>
      <c r="I288" s="51" t="n"/>
      <c r="J288" s="51" t="n"/>
      <c r="K288" s="51" t="n"/>
    </row>
    <row r="289">
      <c r="B289" s="51" t="n"/>
      <c r="C289" s="51" t="n"/>
      <c r="D289" s="51" t="n"/>
      <c r="E289" s="51" t="n"/>
      <c r="F289" s="52" t="n"/>
      <c r="H289" s="51" t="n"/>
      <c r="I289" s="51" t="n"/>
      <c r="J289" s="51" t="n"/>
      <c r="K289" s="51" t="n"/>
    </row>
    <row r="290">
      <c r="B290" s="51" t="n"/>
      <c r="C290" s="51" t="n"/>
      <c r="D290" s="51" t="n"/>
      <c r="E290" s="51" t="n"/>
      <c r="F290" s="52" t="n"/>
      <c r="H290" s="51" t="n"/>
      <c r="I290" s="51" t="n"/>
      <c r="J290" s="51" t="n"/>
      <c r="K290" s="51" t="n"/>
    </row>
    <row r="291">
      <c r="B291" s="51" t="n"/>
      <c r="C291" s="51" t="n"/>
      <c r="D291" s="51" t="n"/>
      <c r="E291" s="51" t="n"/>
      <c r="F291" s="52" t="n"/>
      <c r="H291" s="51" t="n"/>
      <c r="I291" s="51" t="n"/>
      <c r="J291" s="51" t="n"/>
      <c r="K291" s="51" t="n"/>
    </row>
    <row r="292">
      <c r="B292" s="51" t="n"/>
      <c r="C292" s="51" t="n"/>
      <c r="D292" s="51" t="n"/>
      <c r="E292" s="51" t="n"/>
      <c r="F292" s="52" t="n"/>
      <c r="H292" s="51" t="n"/>
      <c r="I292" s="51" t="n"/>
      <c r="J292" s="51" t="n"/>
      <c r="K292" s="51" t="n"/>
    </row>
    <row r="293">
      <c r="B293" s="51" t="n"/>
      <c r="C293" s="51" t="n"/>
      <c r="D293" s="51" t="n"/>
      <c r="E293" s="51" t="n"/>
      <c r="F293" s="52" t="n"/>
      <c r="H293" s="51" t="n"/>
      <c r="I293" s="51" t="n"/>
      <c r="J293" s="51" t="n"/>
      <c r="K293" s="51" t="n"/>
    </row>
    <row r="294">
      <c r="B294" s="51" t="n"/>
      <c r="C294" s="51" t="n"/>
      <c r="D294" s="51" t="n"/>
      <c r="E294" s="51" t="n"/>
      <c r="F294" s="52" t="n"/>
      <c r="H294" s="51" t="n"/>
      <c r="I294" s="51" t="n"/>
      <c r="J294" s="51" t="n"/>
      <c r="K294" s="51" t="n"/>
    </row>
    <row r="295">
      <c r="B295" s="51" t="n"/>
      <c r="C295" s="51" t="n"/>
      <c r="D295" s="51" t="n"/>
      <c r="E295" s="51" t="n"/>
      <c r="F295" s="52" t="n"/>
      <c r="H295" s="51" t="n"/>
      <c r="I295" s="51" t="n"/>
      <c r="J295" s="51" t="n"/>
      <c r="K295" s="51" t="n"/>
    </row>
    <row r="296">
      <c r="B296" s="51" t="n"/>
      <c r="C296" s="51" t="n"/>
      <c r="D296" s="51" t="n"/>
      <c r="E296" s="51" t="n"/>
      <c r="F296" s="52" t="n"/>
      <c r="H296" s="51" t="n"/>
      <c r="I296" s="51" t="n"/>
      <c r="J296" s="51" t="n"/>
      <c r="K296" s="51" t="n"/>
    </row>
    <row r="297">
      <c r="B297" s="51" t="n"/>
      <c r="C297" s="51" t="n"/>
      <c r="D297" s="51" t="n"/>
      <c r="E297" s="51" t="n"/>
      <c r="F297" s="52" t="n"/>
      <c r="H297" s="51" t="n"/>
      <c r="I297" s="51" t="n"/>
      <c r="J297" s="51" t="n"/>
      <c r="K297" s="51" t="n"/>
    </row>
    <row r="298">
      <c r="B298" s="51" t="n"/>
      <c r="C298" s="51" t="n"/>
      <c r="D298" s="51" t="n"/>
      <c r="E298" s="51" t="n"/>
      <c r="F298" s="52" t="n"/>
      <c r="H298" s="51" t="n"/>
      <c r="I298" s="51" t="n"/>
      <c r="J298" s="51" t="n"/>
      <c r="K298" s="51" t="n"/>
    </row>
    <row r="299">
      <c r="B299" s="51" t="n"/>
      <c r="C299" s="51" t="n"/>
      <c r="D299" s="51" t="n"/>
      <c r="E299" s="51" t="n"/>
      <c r="F299" s="52" t="n"/>
      <c r="H299" s="51" t="n"/>
      <c r="I299" s="51" t="n"/>
      <c r="J299" s="51" t="n"/>
      <c r="K299" s="51" t="n"/>
    </row>
    <row r="300">
      <c r="B300" s="51" t="n"/>
      <c r="C300" s="51" t="n"/>
      <c r="D300" s="51" t="n"/>
      <c r="E300" s="51" t="n"/>
      <c r="F300" s="52" t="n"/>
      <c r="H300" s="51" t="n"/>
      <c r="I300" s="51" t="n"/>
      <c r="J300" s="51" t="n"/>
      <c r="K300" s="51" t="n"/>
    </row>
    <row r="301">
      <c r="B301" s="51" t="n"/>
      <c r="C301" s="51" t="n"/>
      <c r="D301" s="51" t="n"/>
      <c r="E301" s="51" t="n"/>
      <c r="F301" s="52" t="n"/>
      <c r="H301" s="51" t="n"/>
      <c r="I301" s="51" t="n"/>
      <c r="J301" s="51" t="n"/>
      <c r="K301" s="51" t="n"/>
    </row>
    <row r="302">
      <c r="B302" s="51" t="n"/>
      <c r="C302" s="51" t="n"/>
      <c r="D302" s="51" t="n"/>
      <c r="E302" s="51" t="n"/>
      <c r="F302" s="52" t="n"/>
      <c r="H302" s="51" t="n"/>
      <c r="I302" s="51" t="n"/>
      <c r="J302" s="51" t="n"/>
      <c r="K302" s="51" t="n"/>
    </row>
    <row r="303">
      <c r="B303" s="51" t="n"/>
      <c r="C303" s="51" t="n"/>
      <c r="D303" s="51" t="n"/>
      <c r="E303" s="51" t="n"/>
      <c r="F303" s="52" t="n"/>
      <c r="H303" s="51" t="n"/>
      <c r="I303" s="51" t="n"/>
      <c r="J303" s="51" t="n"/>
      <c r="K303" s="51" t="n"/>
    </row>
    <row r="304">
      <c r="B304" s="51" t="n"/>
      <c r="C304" s="51" t="n"/>
      <c r="D304" s="51" t="n"/>
      <c r="E304" s="51" t="n"/>
      <c r="F304" s="52" t="n"/>
      <c r="H304" s="51" t="n"/>
      <c r="I304" s="51" t="n"/>
      <c r="J304" s="51" t="n"/>
      <c r="K304" s="51" t="n"/>
    </row>
    <row r="305">
      <c r="B305" s="51" t="n"/>
      <c r="C305" s="51" t="n"/>
      <c r="D305" s="51" t="n"/>
      <c r="E305" s="51" t="n"/>
      <c r="F305" s="52" t="n"/>
      <c r="H305" s="51" t="n"/>
      <c r="I305" s="51" t="n"/>
      <c r="J305" s="51" t="n"/>
      <c r="K305" s="51" t="n"/>
    </row>
    <row r="306">
      <c r="B306" s="51" t="n"/>
      <c r="C306" s="51" t="n"/>
      <c r="D306" s="51" t="n"/>
      <c r="E306" s="51" t="n"/>
      <c r="F306" s="52" t="n"/>
      <c r="H306" s="51" t="n"/>
      <c r="I306" s="51" t="n"/>
      <c r="J306" s="51" t="n"/>
      <c r="K306" s="51" t="n"/>
    </row>
    <row r="307">
      <c r="B307" s="51" t="n"/>
      <c r="C307" s="51" t="n"/>
      <c r="D307" s="51" t="n"/>
      <c r="E307" s="51" t="n"/>
      <c r="F307" s="52" t="n"/>
      <c r="H307" s="51" t="n"/>
      <c r="I307" s="51" t="n"/>
      <c r="J307" s="51" t="n"/>
      <c r="K307" s="51" t="n"/>
    </row>
    <row r="308">
      <c r="B308" s="51" t="n"/>
      <c r="C308" s="51" t="n"/>
      <c r="D308" s="51" t="n"/>
      <c r="E308" s="51" t="n"/>
      <c r="F308" s="52" t="n"/>
      <c r="H308" s="51" t="n"/>
      <c r="I308" s="51" t="n"/>
      <c r="J308" s="51" t="n"/>
      <c r="K308" s="51" t="n"/>
    </row>
    <row r="309">
      <c r="B309" s="51" t="n"/>
      <c r="C309" s="51" t="n"/>
      <c r="D309" s="51" t="n"/>
      <c r="E309" s="51" t="n"/>
      <c r="F309" s="52" t="n"/>
      <c r="H309" s="51" t="n"/>
      <c r="I309" s="51" t="n"/>
      <c r="J309" s="51" t="n"/>
      <c r="K309" s="51" t="n"/>
    </row>
    <row r="310">
      <c r="B310" s="51" t="n"/>
      <c r="C310" s="51" t="n"/>
      <c r="D310" s="51" t="n"/>
      <c r="E310" s="51" t="n"/>
      <c r="F310" s="52" t="n"/>
      <c r="H310" s="51" t="n"/>
      <c r="I310" s="51" t="n"/>
      <c r="J310" s="51" t="n"/>
      <c r="K310" s="51" t="n"/>
    </row>
    <row r="311">
      <c r="B311" s="51" t="n"/>
      <c r="C311" s="51" t="n"/>
      <c r="D311" s="51" t="n"/>
      <c r="E311" s="51" t="n"/>
      <c r="F311" s="52" t="n"/>
      <c r="H311" s="51" t="n"/>
      <c r="I311" s="51" t="n"/>
      <c r="J311" s="51" t="n"/>
      <c r="K311" s="51" t="n"/>
    </row>
    <row r="312">
      <c r="B312" s="51" t="n"/>
      <c r="C312" s="51" t="n"/>
      <c r="D312" s="51" t="n"/>
      <c r="E312" s="51" t="n"/>
      <c r="F312" s="52" t="n"/>
      <c r="H312" s="51" t="n"/>
      <c r="I312" s="51" t="n"/>
      <c r="J312" s="51" t="n"/>
      <c r="K312" s="51" t="n"/>
    </row>
    <row r="313">
      <c r="B313" s="51" t="n"/>
      <c r="C313" s="51" t="n"/>
      <c r="D313" s="51" t="n"/>
      <c r="E313" s="51" t="n"/>
      <c r="F313" s="52" t="n"/>
      <c r="H313" s="51" t="n"/>
      <c r="I313" s="51" t="n"/>
      <c r="J313" s="51" t="n"/>
      <c r="K313" s="51" t="n"/>
    </row>
    <row r="314">
      <c r="B314" s="51" t="n"/>
      <c r="C314" s="51" t="n"/>
      <c r="D314" s="51" t="n"/>
      <c r="E314" s="51" t="n"/>
      <c r="F314" s="52" t="n"/>
      <c r="H314" s="51" t="n"/>
      <c r="I314" s="51" t="n"/>
      <c r="J314" s="51" t="n"/>
      <c r="K314" s="51" t="n"/>
    </row>
    <row r="315">
      <c r="B315" s="51" t="n"/>
      <c r="C315" s="51" t="n"/>
      <c r="D315" s="51" t="n"/>
      <c r="E315" s="51" t="n"/>
      <c r="F315" s="52" t="n"/>
      <c r="H315" s="51" t="n"/>
      <c r="I315" s="51" t="n"/>
      <c r="J315" s="51" t="n"/>
      <c r="K315" s="51" t="n"/>
    </row>
    <row r="316">
      <c r="B316" s="51" t="n"/>
      <c r="C316" s="51" t="n"/>
      <c r="D316" s="51" t="n"/>
      <c r="E316" s="51" t="n"/>
      <c r="F316" s="52" t="n"/>
      <c r="H316" s="51" t="n"/>
      <c r="I316" s="51" t="n"/>
      <c r="J316" s="51" t="n"/>
      <c r="K316" s="51" t="n"/>
    </row>
    <row r="317">
      <c r="B317" s="51" t="n"/>
      <c r="C317" s="51" t="n"/>
      <c r="D317" s="51" t="n"/>
      <c r="E317" s="51" t="n"/>
      <c r="F317" s="52" t="n"/>
      <c r="H317" s="51" t="n"/>
      <c r="I317" s="51" t="n"/>
      <c r="J317" s="51" t="n"/>
      <c r="K317" s="51" t="n"/>
    </row>
    <row r="318">
      <c r="B318" s="51" t="n"/>
      <c r="C318" s="51" t="n"/>
      <c r="D318" s="51" t="n"/>
      <c r="E318" s="51" t="n"/>
      <c r="F318" s="52" t="n"/>
      <c r="H318" s="51" t="n"/>
      <c r="I318" s="51" t="n"/>
      <c r="J318" s="51" t="n"/>
      <c r="K318" s="51" t="n"/>
    </row>
    <row r="319">
      <c r="B319" s="51" t="n"/>
      <c r="C319" s="51" t="n"/>
      <c r="D319" s="51" t="n"/>
      <c r="E319" s="51" t="n"/>
      <c r="F319" s="52" t="n"/>
      <c r="H319" s="51" t="n"/>
      <c r="I319" s="51" t="n"/>
      <c r="J319" s="51" t="n"/>
      <c r="K319" s="51" t="n"/>
    </row>
    <row r="320">
      <c r="B320" s="51" t="n"/>
      <c r="C320" s="51" t="n"/>
      <c r="D320" s="51" t="n"/>
      <c r="E320" s="51" t="n"/>
      <c r="F320" s="52" t="n"/>
      <c r="H320" s="51" t="n"/>
      <c r="I320" s="51" t="n"/>
      <c r="J320" s="51" t="n"/>
      <c r="K320" s="51" t="n"/>
    </row>
    <row r="321">
      <c r="B321" s="51" t="n"/>
      <c r="C321" s="51" t="n"/>
      <c r="D321" s="51" t="n"/>
      <c r="E321" s="51" t="n"/>
      <c r="F321" s="52" t="n"/>
      <c r="H321" s="51" t="n"/>
      <c r="I321" s="51" t="n"/>
      <c r="J321" s="51" t="n"/>
      <c r="K321" s="51" t="n"/>
    </row>
    <row r="322">
      <c r="B322" s="51" t="n"/>
      <c r="C322" s="51" t="n"/>
      <c r="D322" s="51" t="n"/>
      <c r="E322" s="51" t="n"/>
      <c r="F322" s="52" t="n"/>
      <c r="H322" s="51" t="n"/>
      <c r="I322" s="51" t="n"/>
      <c r="J322" s="51" t="n"/>
      <c r="K322" s="51" t="n"/>
    </row>
    <row r="323">
      <c r="B323" s="51" t="n"/>
      <c r="C323" s="51" t="n"/>
      <c r="D323" s="51" t="n"/>
      <c r="E323" s="51" t="n"/>
      <c r="F323" s="52" t="n"/>
      <c r="H323" s="51" t="n"/>
      <c r="I323" s="51" t="n"/>
      <c r="J323" s="51" t="n"/>
      <c r="K323" s="51" t="n"/>
    </row>
    <row r="324">
      <c r="B324" s="51" t="n"/>
      <c r="C324" s="51" t="n"/>
      <c r="D324" s="51" t="n"/>
      <c r="E324" s="51" t="n"/>
      <c r="F324" s="52" t="n"/>
      <c r="H324" s="51" t="n"/>
      <c r="I324" s="51" t="n"/>
      <c r="J324" s="51" t="n"/>
      <c r="K324" s="51" t="n"/>
    </row>
    <row r="325">
      <c r="B325" s="51" t="n"/>
      <c r="C325" s="51" t="n"/>
      <c r="D325" s="51" t="n"/>
      <c r="E325" s="51" t="n"/>
      <c r="F325" s="52" t="n"/>
      <c r="H325" s="51" t="n"/>
      <c r="I325" s="51" t="n"/>
      <c r="J325" s="51" t="n"/>
      <c r="K325" s="51" t="n"/>
    </row>
    <row r="326">
      <c r="B326" s="51" t="n"/>
      <c r="C326" s="51" t="n"/>
      <c r="D326" s="51" t="n"/>
      <c r="E326" s="51" t="n"/>
      <c r="F326" s="52" t="n"/>
      <c r="H326" s="51" t="n"/>
      <c r="I326" s="51" t="n"/>
      <c r="J326" s="51" t="n"/>
      <c r="K326" s="51" t="n"/>
    </row>
    <row r="327">
      <c r="B327" s="51" t="n"/>
      <c r="C327" s="51" t="n"/>
      <c r="D327" s="51" t="n"/>
      <c r="E327" s="51" t="n"/>
      <c r="F327" s="52" t="n"/>
      <c r="H327" s="51" t="n"/>
      <c r="I327" s="51" t="n"/>
      <c r="J327" s="51" t="n"/>
      <c r="K327" s="51" t="n"/>
    </row>
    <row r="328">
      <c r="B328" s="51" t="n"/>
      <c r="C328" s="51" t="n"/>
      <c r="D328" s="51" t="n"/>
      <c r="E328" s="51" t="n"/>
      <c r="F328" s="52" t="n"/>
      <c r="H328" s="51" t="n"/>
      <c r="I328" s="51" t="n"/>
      <c r="J328" s="51" t="n"/>
      <c r="K328" s="51" t="n"/>
    </row>
    <row r="329">
      <c r="B329" s="51" t="n"/>
      <c r="C329" s="51" t="n"/>
      <c r="D329" s="51" t="n"/>
      <c r="E329" s="51" t="n"/>
      <c r="F329" s="52" t="n"/>
      <c r="H329" s="51" t="n"/>
      <c r="I329" s="51" t="n"/>
      <c r="J329" s="51" t="n"/>
      <c r="K329" s="51" t="n"/>
    </row>
    <row r="330">
      <c r="B330" s="51" t="n"/>
      <c r="C330" s="51" t="n"/>
      <c r="D330" s="51" t="n"/>
      <c r="E330" s="51" t="n"/>
      <c r="F330" s="52" t="n"/>
      <c r="H330" s="51" t="n"/>
      <c r="I330" s="51" t="n"/>
      <c r="J330" s="51" t="n"/>
      <c r="K330" s="51" t="n"/>
    </row>
    <row r="331">
      <c r="B331" s="51" t="n"/>
      <c r="C331" s="51" t="n"/>
      <c r="D331" s="51" t="n"/>
      <c r="E331" s="51" t="n"/>
      <c r="F331" s="52" t="n"/>
      <c r="H331" s="51" t="n"/>
      <c r="I331" s="51" t="n"/>
      <c r="J331" s="51" t="n"/>
      <c r="K331" s="51" t="n"/>
    </row>
    <row r="332">
      <c r="B332" s="51" t="n"/>
      <c r="C332" s="51" t="n"/>
      <c r="D332" s="51" t="n"/>
      <c r="E332" s="51" t="n"/>
      <c r="F332" s="52" t="n"/>
      <c r="H332" s="51" t="n"/>
      <c r="I332" s="51" t="n"/>
      <c r="J332" s="51" t="n"/>
      <c r="K332" s="51" t="n"/>
    </row>
    <row r="333">
      <c r="B333" s="51" t="n"/>
      <c r="C333" s="51" t="n"/>
      <c r="D333" s="51" t="n"/>
      <c r="E333" s="51" t="n"/>
      <c r="F333" s="52" t="n"/>
      <c r="H333" s="51" t="n"/>
      <c r="I333" s="51" t="n"/>
      <c r="J333" s="51" t="n"/>
      <c r="K333" s="51" t="n"/>
    </row>
    <row r="334">
      <c r="B334" s="51" t="n"/>
      <c r="C334" s="51" t="n"/>
      <c r="D334" s="51" t="n"/>
      <c r="E334" s="51" t="n"/>
      <c r="F334" s="52" t="n"/>
      <c r="H334" s="51" t="n"/>
      <c r="I334" s="51" t="n"/>
      <c r="J334" s="51" t="n"/>
      <c r="K334" s="51" t="n"/>
    </row>
    <row r="335">
      <c r="B335" s="51" t="n"/>
      <c r="C335" s="51" t="n"/>
      <c r="D335" s="51" t="n"/>
      <c r="E335" s="51" t="n"/>
      <c r="F335" s="52" t="n"/>
      <c r="H335" s="51" t="n"/>
      <c r="I335" s="51" t="n"/>
      <c r="J335" s="51" t="n"/>
      <c r="K335" s="51" t="n"/>
    </row>
    <row r="336">
      <c r="B336" s="51" t="n"/>
      <c r="C336" s="51" t="n"/>
      <c r="D336" s="51" t="n"/>
      <c r="E336" s="51" t="n"/>
      <c r="F336" s="52" t="n"/>
      <c r="H336" s="51" t="n"/>
      <c r="I336" s="51" t="n"/>
      <c r="J336" s="51" t="n"/>
      <c r="K336" s="51" t="n"/>
    </row>
    <row r="337">
      <c r="B337" s="51" t="n"/>
      <c r="C337" s="51" t="n"/>
      <c r="D337" s="51" t="n"/>
      <c r="E337" s="51" t="n"/>
      <c r="F337" s="52" t="n"/>
      <c r="H337" s="51" t="n"/>
      <c r="I337" s="51" t="n"/>
      <c r="J337" s="51" t="n"/>
      <c r="K337" s="51" t="n"/>
    </row>
    <row r="338">
      <c r="B338" s="51" t="n"/>
      <c r="C338" s="51" t="n"/>
      <c r="D338" s="51" t="n"/>
      <c r="E338" s="51" t="n"/>
      <c r="F338" s="52" t="n"/>
      <c r="H338" s="51" t="n"/>
      <c r="I338" s="51" t="n"/>
      <c r="J338" s="51" t="n"/>
      <c r="K338" s="51" t="n"/>
    </row>
    <row r="339">
      <c r="B339" s="51" t="n"/>
      <c r="C339" s="51" t="n"/>
      <c r="D339" s="51" t="n"/>
      <c r="E339" s="51" t="n"/>
      <c r="F339" s="52" t="n"/>
      <c r="H339" s="51" t="n"/>
      <c r="I339" s="51" t="n"/>
      <c r="J339" s="51" t="n"/>
      <c r="K339" s="51" t="n"/>
    </row>
    <row r="340">
      <c r="B340" s="51" t="n"/>
      <c r="C340" s="51" t="n"/>
      <c r="D340" s="51" t="n"/>
      <c r="E340" s="51" t="n"/>
      <c r="F340" s="52" t="n"/>
      <c r="H340" s="51" t="n"/>
      <c r="I340" s="51" t="n"/>
      <c r="J340" s="51" t="n"/>
      <c r="K340" s="51" t="n"/>
    </row>
    <row r="341">
      <c r="B341" s="51" t="n"/>
      <c r="C341" s="51" t="n"/>
      <c r="D341" s="51" t="n"/>
      <c r="E341" s="51" t="n"/>
      <c r="F341" s="52" t="n"/>
      <c r="H341" s="51" t="n"/>
      <c r="I341" s="51" t="n"/>
      <c r="J341" s="51" t="n"/>
      <c r="K341" s="51" t="n"/>
    </row>
    <row r="342">
      <c r="B342" s="51" t="n"/>
      <c r="C342" s="51" t="n"/>
      <c r="D342" s="51" t="n"/>
      <c r="E342" s="51" t="n"/>
      <c r="F342" s="52" t="n"/>
      <c r="H342" s="51" t="n"/>
      <c r="I342" s="51" t="n"/>
      <c r="J342" s="51" t="n"/>
      <c r="K342" s="51" t="n"/>
    </row>
    <row r="343">
      <c r="B343" s="51" t="n"/>
      <c r="C343" s="51" t="n"/>
      <c r="D343" s="51" t="n"/>
      <c r="E343" s="51" t="n"/>
      <c r="F343" s="52" t="n"/>
      <c r="H343" s="51" t="n"/>
      <c r="I343" s="51" t="n"/>
      <c r="J343" s="51" t="n"/>
      <c r="K343" s="51" t="n"/>
    </row>
    <row r="344">
      <c r="B344" s="51" t="n"/>
      <c r="C344" s="51" t="n"/>
      <c r="D344" s="51" t="n"/>
      <c r="E344" s="51" t="n"/>
      <c r="F344" s="52" t="n"/>
      <c r="H344" s="51" t="n"/>
      <c r="I344" s="51" t="n"/>
      <c r="J344" s="51" t="n"/>
      <c r="K344" s="51" t="n"/>
    </row>
    <row r="345">
      <c r="B345" s="51" t="n"/>
      <c r="C345" s="51" t="n"/>
      <c r="D345" s="51" t="n"/>
      <c r="E345" s="51" t="n"/>
      <c r="F345" s="52" t="n"/>
      <c r="H345" s="51" t="n"/>
      <c r="I345" s="51" t="n"/>
      <c r="J345" s="51" t="n"/>
      <c r="K345" s="51" t="n"/>
    </row>
    <row r="346">
      <c r="B346" s="51" t="n"/>
      <c r="C346" s="51" t="n"/>
      <c r="D346" s="51" t="n"/>
      <c r="E346" s="51" t="n"/>
      <c r="F346" s="52" t="n"/>
      <c r="H346" s="51" t="n"/>
      <c r="I346" s="51" t="n"/>
      <c r="J346" s="51" t="n"/>
      <c r="K346" s="51" t="n"/>
    </row>
    <row r="347">
      <c r="B347" s="51" t="n"/>
      <c r="C347" s="51" t="n"/>
      <c r="D347" s="51" t="n"/>
      <c r="E347" s="51" t="n"/>
      <c r="F347" s="52" t="n"/>
      <c r="H347" s="51" t="n"/>
      <c r="I347" s="51" t="n"/>
      <c r="J347" s="51" t="n"/>
      <c r="K347" s="51" t="n"/>
    </row>
    <row r="348">
      <c r="B348" s="51" t="n"/>
      <c r="C348" s="51" t="n"/>
      <c r="D348" s="51" t="n"/>
      <c r="E348" s="51" t="n"/>
      <c r="F348" s="52" t="n"/>
      <c r="H348" s="51" t="n"/>
      <c r="I348" s="51" t="n"/>
      <c r="J348" s="51" t="n"/>
      <c r="K348" s="51" t="n"/>
    </row>
    <row r="349">
      <c r="B349" s="51" t="n"/>
      <c r="C349" s="51" t="n"/>
      <c r="D349" s="51" t="n"/>
      <c r="E349" s="51" t="n"/>
      <c r="F349" s="52" t="n"/>
      <c r="H349" s="51" t="n"/>
      <c r="I349" s="51" t="n"/>
      <c r="J349" s="51" t="n"/>
      <c r="K349" s="51" t="n"/>
    </row>
    <row r="350">
      <c r="B350" s="51" t="n"/>
      <c r="C350" s="51" t="n"/>
      <c r="D350" s="51" t="n"/>
      <c r="E350" s="51" t="n"/>
      <c r="F350" s="52" t="n"/>
      <c r="H350" s="51" t="n"/>
      <c r="I350" s="51" t="n"/>
      <c r="J350" s="51" t="n"/>
      <c r="K350" s="51" t="n"/>
    </row>
    <row r="351">
      <c r="B351" s="51" t="n"/>
      <c r="C351" s="51" t="n"/>
      <c r="D351" s="51" t="n"/>
      <c r="E351" s="51" t="n"/>
      <c r="F351" s="52" t="n"/>
      <c r="H351" s="51" t="n"/>
      <c r="I351" s="51" t="n"/>
      <c r="J351" s="51" t="n"/>
      <c r="K351" s="51" t="n"/>
    </row>
    <row r="352">
      <c r="B352" s="51" t="n"/>
      <c r="C352" s="51" t="n"/>
      <c r="D352" s="51" t="n"/>
      <c r="E352" s="51" t="n"/>
      <c r="F352" s="52" t="n"/>
      <c r="H352" s="51" t="n"/>
      <c r="I352" s="51" t="n"/>
      <c r="J352" s="51" t="n"/>
      <c r="K352" s="51" t="n"/>
    </row>
    <row r="353">
      <c r="B353" s="51" t="n"/>
      <c r="C353" s="51" t="n"/>
      <c r="D353" s="51" t="n"/>
      <c r="E353" s="51" t="n"/>
      <c r="F353" s="52" t="n"/>
      <c r="H353" s="51" t="n"/>
      <c r="I353" s="51" t="n"/>
      <c r="J353" s="51" t="n"/>
      <c r="K353" s="51" t="n"/>
    </row>
    <row r="354">
      <c r="B354" s="51" t="n"/>
      <c r="C354" s="51" t="n"/>
      <c r="D354" s="51" t="n"/>
      <c r="E354" s="51" t="n"/>
      <c r="F354" s="52" t="n"/>
      <c r="H354" s="51" t="n"/>
      <c r="I354" s="51" t="n"/>
      <c r="J354" s="51" t="n"/>
      <c r="K354" s="51" t="n"/>
    </row>
    <row r="355">
      <c r="B355" s="51" t="n"/>
      <c r="C355" s="51" t="n"/>
      <c r="D355" s="51" t="n"/>
      <c r="E355" s="51" t="n"/>
      <c r="F355" s="52" t="n"/>
      <c r="H355" s="51" t="n"/>
      <c r="I355" s="51" t="n"/>
      <c r="J355" s="51" t="n"/>
      <c r="K355" s="51" t="n"/>
    </row>
    <row r="356">
      <c r="B356" s="51" t="n"/>
      <c r="C356" s="51" t="n"/>
      <c r="D356" s="51" t="n"/>
      <c r="E356" s="51" t="n"/>
      <c r="F356" s="52" t="n"/>
      <c r="H356" s="51" t="n"/>
      <c r="I356" s="51" t="n"/>
      <c r="J356" s="51" t="n"/>
      <c r="K356" s="51" t="n"/>
    </row>
    <row r="357">
      <c r="B357" s="51" t="n"/>
      <c r="C357" s="51" t="n"/>
      <c r="D357" s="51" t="n"/>
      <c r="E357" s="51" t="n"/>
      <c r="F357" s="52" t="n"/>
      <c r="H357" s="51" t="n"/>
      <c r="I357" s="51" t="n"/>
      <c r="J357" s="51" t="n"/>
      <c r="K357" s="51" t="n"/>
    </row>
    <row r="358">
      <c r="B358" s="51" t="n"/>
      <c r="C358" s="51" t="n"/>
      <c r="D358" s="51" t="n"/>
      <c r="E358" s="51" t="n"/>
      <c r="F358" s="52" t="n"/>
      <c r="H358" s="51" t="n"/>
      <c r="I358" s="51" t="n"/>
      <c r="J358" s="51" t="n"/>
      <c r="K358" s="51" t="n"/>
    </row>
    <row r="359">
      <c r="B359" s="51" t="n"/>
      <c r="C359" s="51" t="n"/>
      <c r="D359" s="51" t="n"/>
      <c r="E359" s="51" t="n"/>
      <c r="F359" s="52" t="n"/>
      <c r="H359" s="51" t="n"/>
      <c r="I359" s="51" t="n"/>
      <c r="J359" s="51" t="n"/>
      <c r="K359" s="51" t="n"/>
    </row>
    <row r="360">
      <c r="B360" s="51" t="n"/>
      <c r="C360" s="51" t="n"/>
      <c r="D360" s="51" t="n"/>
      <c r="E360" s="51" t="n"/>
      <c r="F360" s="52" t="n"/>
      <c r="H360" s="51" t="n"/>
      <c r="I360" s="51" t="n"/>
      <c r="J360" s="51" t="n"/>
      <c r="K360" s="51" t="n"/>
    </row>
    <row r="361">
      <c r="B361" s="51" t="n"/>
      <c r="C361" s="51" t="n"/>
      <c r="D361" s="51" t="n"/>
      <c r="E361" s="51" t="n"/>
      <c r="F361" s="52" t="n"/>
      <c r="H361" s="51" t="n"/>
      <c r="I361" s="51" t="n"/>
      <c r="J361" s="51" t="n"/>
      <c r="K361" s="51" t="n"/>
    </row>
    <row r="362">
      <c r="B362" s="51" t="n"/>
      <c r="C362" s="51" t="n"/>
      <c r="D362" s="51" t="n"/>
      <c r="E362" s="51" t="n"/>
      <c r="F362" s="52" t="n"/>
      <c r="H362" s="51" t="n"/>
      <c r="I362" s="51" t="n"/>
      <c r="J362" s="51" t="n"/>
      <c r="K362" s="51" t="n"/>
    </row>
    <row r="363">
      <c r="B363" s="51" t="n"/>
      <c r="C363" s="51" t="n"/>
      <c r="D363" s="51" t="n"/>
      <c r="E363" s="51" t="n"/>
      <c r="F363" s="52" t="n"/>
      <c r="H363" s="51" t="n"/>
      <c r="I363" s="51" t="n"/>
      <c r="J363" s="51" t="n"/>
      <c r="K363" s="51" t="n"/>
    </row>
    <row r="364">
      <c r="B364" s="51" t="n"/>
      <c r="C364" s="51" t="n"/>
      <c r="D364" s="51" t="n"/>
      <c r="E364" s="51" t="n"/>
      <c r="F364" s="52" t="n"/>
      <c r="H364" s="51" t="n"/>
      <c r="I364" s="51" t="n"/>
      <c r="J364" s="51" t="n"/>
      <c r="K364" s="51" t="n"/>
    </row>
    <row r="365">
      <c r="B365" s="51" t="n"/>
      <c r="C365" s="51" t="n"/>
      <c r="D365" s="51" t="n"/>
      <c r="E365" s="51" t="n"/>
      <c r="F365" s="52" t="n"/>
      <c r="H365" s="51" t="n"/>
      <c r="I365" s="51" t="n"/>
      <c r="J365" s="51" t="n"/>
      <c r="K365" s="51" t="n"/>
    </row>
    <row r="366">
      <c r="B366" s="51" t="n"/>
      <c r="C366" s="51" t="n"/>
      <c r="D366" s="51" t="n"/>
      <c r="E366" s="51" t="n"/>
      <c r="F366" s="52" t="n"/>
      <c r="H366" s="51" t="n"/>
      <c r="I366" s="51" t="n"/>
      <c r="J366" s="51" t="n"/>
      <c r="K366" s="51" t="n"/>
    </row>
    <row r="367">
      <c r="B367" s="51" t="n"/>
      <c r="C367" s="51" t="n"/>
      <c r="D367" s="51" t="n"/>
      <c r="E367" s="51" t="n"/>
      <c r="F367" s="52" t="n"/>
      <c r="H367" s="51" t="n"/>
      <c r="I367" s="51" t="n"/>
      <c r="J367" s="51" t="n"/>
      <c r="K367" s="51" t="n"/>
    </row>
    <row r="368">
      <c r="B368" s="51" t="n"/>
      <c r="C368" s="51" t="n"/>
      <c r="D368" s="51" t="n"/>
      <c r="E368" s="51" t="n"/>
      <c r="F368" s="52" t="n"/>
      <c r="H368" s="51" t="n"/>
      <c r="I368" s="51" t="n"/>
      <c r="J368" s="51" t="n"/>
      <c r="K368" s="51" t="n"/>
    </row>
    <row r="369">
      <c r="B369" s="51" t="n"/>
      <c r="C369" s="51" t="n"/>
      <c r="D369" s="51" t="n"/>
      <c r="E369" s="51" t="n"/>
      <c r="F369" s="52" t="n"/>
      <c r="H369" s="51" t="n"/>
      <c r="I369" s="51" t="n"/>
      <c r="J369" s="51" t="n"/>
      <c r="K369" s="51" t="n"/>
    </row>
    <row r="370">
      <c r="B370" s="51" t="n"/>
      <c r="C370" s="51" t="n"/>
      <c r="D370" s="51" t="n"/>
      <c r="E370" s="51" t="n"/>
      <c r="F370" s="52" t="n"/>
      <c r="H370" s="51" t="n"/>
      <c r="I370" s="51" t="n"/>
      <c r="J370" s="51" t="n"/>
      <c r="K370" s="51" t="n"/>
    </row>
    <row r="371">
      <c r="B371" s="51" t="n"/>
      <c r="C371" s="51" t="n"/>
      <c r="D371" s="51" t="n"/>
      <c r="E371" s="51" t="n"/>
      <c r="F371" s="52" t="n"/>
      <c r="H371" s="51" t="n"/>
      <c r="I371" s="51" t="n"/>
      <c r="J371" s="51" t="n"/>
      <c r="K371" s="51" t="n"/>
    </row>
    <row r="372">
      <c r="B372" s="51" t="n"/>
      <c r="C372" s="51" t="n"/>
      <c r="D372" s="51" t="n"/>
      <c r="E372" s="51" t="n"/>
      <c r="F372" s="52" t="n"/>
      <c r="H372" s="51" t="n"/>
      <c r="I372" s="51" t="n"/>
      <c r="J372" s="51" t="n"/>
      <c r="K372" s="51" t="n"/>
    </row>
    <row r="373">
      <c r="B373" s="51" t="n"/>
      <c r="C373" s="51" t="n"/>
      <c r="D373" s="51" t="n"/>
      <c r="E373" s="51" t="n"/>
      <c r="F373" s="52" t="n"/>
      <c r="H373" s="51" t="n"/>
      <c r="I373" s="51" t="n"/>
      <c r="J373" s="51" t="n"/>
      <c r="K373" s="51" t="n"/>
    </row>
    <row r="374">
      <c r="B374" s="51" t="n"/>
      <c r="C374" s="51" t="n"/>
      <c r="D374" s="51" t="n"/>
      <c r="E374" s="51" t="n"/>
      <c r="F374" s="52" t="n"/>
      <c r="H374" s="51" t="n"/>
      <c r="I374" s="51" t="n"/>
      <c r="J374" s="51" t="n"/>
      <c r="K374" s="51" t="n"/>
    </row>
    <row r="375">
      <c r="B375" s="51" t="n"/>
      <c r="C375" s="51" t="n"/>
      <c r="D375" s="51" t="n"/>
      <c r="E375" s="51" t="n"/>
      <c r="F375" s="52" t="n"/>
      <c r="H375" s="51" t="n"/>
      <c r="I375" s="51" t="n"/>
      <c r="J375" s="51" t="n"/>
      <c r="K375" s="51" t="n"/>
    </row>
    <row r="376">
      <c r="B376" s="51" t="n"/>
      <c r="C376" s="51" t="n"/>
      <c r="D376" s="51" t="n"/>
      <c r="E376" s="51" t="n"/>
      <c r="F376" s="52" t="n"/>
      <c r="H376" s="51" t="n"/>
      <c r="I376" s="51" t="n"/>
      <c r="J376" s="51" t="n"/>
      <c r="K376" s="51" t="n"/>
    </row>
    <row r="377">
      <c r="B377" s="51" t="n"/>
      <c r="C377" s="51" t="n"/>
      <c r="D377" s="51" t="n"/>
      <c r="E377" s="51" t="n"/>
      <c r="F377" s="52" t="n"/>
      <c r="H377" s="51" t="n"/>
      <c r="I377" s="51" t="n"/>
      <c r="J377" s="51" t="n"/>
      <c r="K377" s="51" t="n"/>
    </row>
    <row r="378">
      <c r="B378" s="51" t="n"/>
      <c r="C378" s="51" t="n"/>
      <c r="D378" s="51" t="n"/>
      <c r="E378" s="51" t="n"/>
      <c r="F378" s="52" t="n"/>
      <c r="H378" s="51" t="n"/>
      <c r="I378" s="51" t="n"/>
      <c r="J378" s="51" t="n"/>
      <c r="K378" s="51" t="n"/>
    </row>
    <row r="379">
      <c r="B379" s="51" t="n"/>
      <c r="C379" s="51" t="n"/>
      <c r="D379" s="51" t="n"/>
      <c r="E379" s="51" t="n"/>
      <c r="F379" s="52" t="n"/>
      <c r="H379" s="51" t="n"/>
      <c r="I379" s="51" t="n"/>
      <c r="J379" s="51" t="n"/>
      <c r="K379" s="51" t="n"/>
    </row>
    <row r="380">
      <c r="B380" s="51" t="n"/>
      <c r="C380" s="51" t="n"/>
      <c r="D380" s="51" t="n"/>
      <c r="E380" s="51" t="n"/>
      <c r="F380" s="52" t="n"/>
      <c r="H380" s="51" t="n"/>
      <c r="I380" s="51" t="n"/>
      <c r="J380" s="51" t="n"/>
      <c r="K380" s="51" t="n"/>
    </row>
    <row r="381">
      <c r="B381" s="51" t="n"/>
      <c r="C381" s="51" t="n"/>
      <c r="D381" s="51" t="n"/>
      <c r="E381" s="51" t="n"/>
      <c r="F381" s="52" t="n"/>
      <c r="H381" s="51" t="n"/>
      <c r="I381" s="51" t="n"/>
      <c r="J381" s="51" t="n"/>
      <c r="K381" s="51" t="n"/>
    </row>
    <row r="382">
      <c r="B382" s="51" t="n"/>
      <c r="C382" s="51" t="n"/>
      <c r="D382" s="51" t="n"/>
      <c r="E382" s="51" t="n"/>
      <c r="F382" s="52" t="n"/>
      <c r="H382" s="51" t="n"/>
      <c r="I382" s="51" t="n"/>
      <c r="J382" s="51" t="n"/>
      <c r="K382" s="51" t="n"/>
    </row>
    <row r="383">
      <c r="B383" s="51" t="n"/>
      <c r="C383" s="51" t="n"/>
      <c r="D383" s="51" t="n"/>
      <c r="E383" s="51" t="n"/>
      <c r="F383" s="52" t="n"/>
      <c r="H383" s="51" t="n"/>
      <c r="I383" s="51" t="n"/>
      <c r="J383" s="51" t="n"/>
      <c r="K383" s="51" t="n"/>
    </row>
    <row r="384">
      <c r="B384" s="51" t="n"/>
      <c r="C384" s="51" t="n"/>
      <c r="D384" s="51" t="n"/>
      <c r="E384" s="51" t="n"/>
      <c r="F384" s="52" t="n"/>
      <c r="H384" s="51" t="n"/>
      <c r="I384" s="51" t="n"/>
      <c r="J384" s="51" t="n"/>
      <c r="K384" s="51" t="n"/>
    </row>
    <row r="385">
      <c r="B385" s="51" t="n"/>
      <c r="C385" s="51" t="n"/>
      <c r="D385" s="51" t="n"/>
      <c r="E385" s="51" t="n"/>
      <c r="F385" s="52" t="n"/>
      <c r="H385" s="51" t="n"/>
      <c r="I385" s="51" t="n"/>
      <c r="J385" s="51" t="n"/>
      <c r="K385" s="51" t="n"/>
    </row>
    <row r="386">
      <c r="B386" s="51" t="n"/>
      <c r="C386" s="51" t="n"/>
      <c r="D386" s="51" t="n"/>
      <c r="E386" s="51" t="n"/>
      <c r="F386" s="52" t="n"/>
      <c r="H386" s="51" t="n"/>
      <c r="I386" s="51" t="n"/>
      <c r="J386" s="51" t="n"/>
      <c r="K386" s="51" t="n"/>
    </row>
    <row r="387">
      <c r="B387" s="51" t="n"/>
      <c r="C387" s="51" t="n"/>
      <c r="D387" s="51" t="n"/>
      <c r="E387" s="51" t="n"/>
      <c r="F387" s="52" t="n"/>
      <c r="H387" s="51" t="n"/>
      <c r="I387" s="51" t="n"/>
      <c r="J387" s="51" t="n"/>
      <c r="K387" s="51" t="n"/>
    </row>
    <row r="388">
      <c r="B388" s="51" t="n"/>
      <c r="C388" s="51" t="n"/>
      <c r="D388" s="51" t="n"/>
      <c r="E388" s="51" t="n"/>
      <c r="F388" s="52" t="n"/>
      <c r="H388" s="51" t="n"/>
      <c r="I388" s="51" t="n"/>
      <c r="J388" s="51" t="n"/>
      <c r="K388" s="51" t="n"/>
    </row>
    <row r="389">
      <c r="B389" s="51" t="n"/>
      <c r="C389" s="51" t="n"/>
      <c r="D389" s="51" t="n"/>
      <c r="E389" s="51" t="n"/>
      <c r="F389" s="52" t="n"/>
      <c r="H389" s="51" t="n"/>
      <c r="I389" s="51" t="n"/>
      <c r="J389" s="51" t="n"/>
      <c r="K389" s="51" t="n"/>
    </row>
    <row r="390">
      <c r="B390" s="51" t="n"/>
      <c r="C390" s="51" t="n"/>
      <c r="D390" s="51" t="n"/>
      <c r="E390" s="51" t="n"/>
      <c r="F390" s="52" t="n"/>
      <c r="H390" s="51" t="n"/>
      <c r="I390" s="51" t="n"/>
      <c r="J390" s="51" t="n"/>
      <c r="K390" s="51" t="n"/>
    </row>
    <row r="391">
      <c r="B391" s="51" t="n"/>
      <c r="C391" s="51" t="n"/>
      <c r="D391" s="51" t="n"/>
      <c r="E391" s="51" t="n"/>
      <c r="F391" s="52" t="n"/>
      <c r="H391" s="51" t="n"/>
      <c r="I391" s="51" t="n"/>
      <c r="J391" s="51" t="n"/>
      <c r="K391" s="51" t="n"/>
    </row>
    <row r="392">
      <c r="B392" s="51" t="n"/>
      <c r="C392" s="51" t="n"/>
      <c r="D392" s="51" t="n"/>
      <c r="E392" s="51" t="n"/>
      <c r="F392" s="52" t="n"/>
      <c r="H392" s="51" t="n"/>
      <c r="I392" s="51" t="n"/>
      <c r="J392" s="51" t="n"/>
      <c r="K392" s="51" t="n"/>
    </row>
    <row r="393">
      <c r="B393" s="51" t="n"/>
      <c r="C393" s="51" t="n"/>
      <c r="D393" s="51" t="n"/>
      <c r="E393" s="51" t="n"/>
      <c r="F393" s="52" t="n"/>
      <c r="H393" s="51" t="n"/>
      <c r="I393" s="51" t="n"/>
      <c r="J393" s="51" t="n"/>
      <c r="K393" s="51" t="n"/>
    </row>
    <row r="394">
      <c r="B394" s="51" t="n"/>
      <c r="C394" s="51" t="n"/>
      <c r="D394" s="51" t="n"/>
      <c r="E394" s="51" t="n"/>
      <c r="F394" s="52" t="n"/>
      <c r="H394" s="51" t="n"/>
      <c r="I394" s="51" t="n"/>
      <c r="J394" s="51" t="n"/>
      <c r="K394" s="51" t="n"/>
    </row>
    <row r="395">
      <c r="B395" s="51" t="n"/>
      <c r="C395" s="51" t="n"/>
      <c r="D395" s="51" t="n"/>
      <c r="E395" s="51" t="n"/>
      <c r="F395" s="52" t="n"/>
      <c r="H395" s="51" t="n"/>
      <c r="I395" s="51" t="n"/>
      <c r="J395" s="51" t="n"/>
      <c r="K395" s="51" t="n"/>
    </row>
    <row r="396">
      <c r="B396" s="51" t="n"/>
      <c r="C396" s="51" t="n"/>
      <c r="D396" s="51" t="n"/>
      <c r="E396" s="51" t="n"/>
      <c r="F396" s="52" t="n"/>
      <c r="H396" s="51" t="n"/>
      <c r="I396" s="51" t="n"/>
      <c r="J396" s="51" t="n"/>
      <c r="K396" s="51" t="n"/>
    </row>
    <row r="397">
      <c r="B397" s="51" t="n"/>
      <c r="C397" s="51" t="n"/>
      <c r="D397" s="51" t="n"/>
      <c r="E397" s="51" t="n"/>
      <c r="F397" s="52" t="n"/>
      <c r="H397" s="51" t="n"/>
      <c r="I397" s="51" t="n"/>
      <c r="J397" s="51" t="n"/>
      <c r="K397" s="51" t="n"/>
    </row>
    <row r="398">
      <c r="B398" s="51" t="n"/>
      <c r="C398" s="51" t="n"/>
      <c r="D398" s="51" t="n"/>
      <c r="E398" s="51" t="n"/>
      <c r="F398" s="52" t="n"/>
      <c r="H398" s="51" t="n"/>
      <c r="I398" s="51" t="n"/>
      <c r="J398" s="51" t="n"/>
      <c r="K398" s="51" t="n"/>
    </row>
    <row r="399">
      <c r="B399" s="51" t="n"/>
      <c r="C399" s="51" t="n"/>
      <c r="D399" s="51" t="n"/>
      <c r="E399" s="51" t="n"/>
      <c r="F399" s="52" t="n"/>
      <c r="H399" s="51" t="n"/>
      <c r="I399" s="51" t="n"/>
      <c r="J399" s="51" t="n"/>
      <c r="K399" s="51" t="n"/>
    </row>
    <row r="400">
      <c r="B400" s="51" t="n"/>
      <c r="C400" s="51" t="n"/>
      <c r="D400" s="51" t="n"/>
      <c r="E400" s="51" t="n"/>
      <c r="F400" s="52" t="n"/>
      <c r="H400" s="51" t="n"/>
      <c r="I400" s="51" t="n"/>
      <c r="J400" s="51" t="n"/>
      <c r="K400" s="51" t="n"/>
    </row>
    <row r="401">
      <c r="B401" s="51" t="n"/>
      <c r="C401" s="51" t="n"/>
      <c r="D401" s="51" t="n"/>
      <c r="E401" s="51" t="n"/>
      <c r="F401" s="52" t="n"/>
      <c r="H401" s="51" t="n"/>
      <c r="I401" s="51" t="n"/>
      <c r="J401" s="51" t="n"/>
      <c r="K401" s="51" t="n"/>
    </row>
    <row r="402">
      <c r="B402" s="51" t="n"/>
      <c r="C402" s="51" t="n"/>
      <c r="D402" s="51" t="n"/>
      <c r="E402" s="51" t="n"/>
      <c r="F402" s="52" t="n"/>
      <c r="H402" s="51" t="n"/>
      <c r="I402" s="51" t="n"/>
      <c r="J402" s="51" t="n"/>
      <c r="K402" s="51" t="n"/>
    </row>
    <row r="403">
      <c r="B403" s="51" t="n"/>
      <c r="C403" s="51" t="n"/>
      <c r="D403" s="51" t="n"/>
      <c r="E403" s="51" t="n"/>
      <c r="F403" s="52" t="n"/>
      <c r="H403" s="51" t="n"/>
      <c r="I403" s="51" t="n"/>
      <c r="J403" s="51" t="n"/>
      <c r="K403" s="51" t="n"/>
    </row>
    <row r="404">
      <c r="B404" s="51" t="n"/>
      <c r="C404" s="51" t="n"/>
      <c r="D404" s="51" t="n"/>
      <c r="E404" s="51" t="n"/>
      <c r="F404" s="52" t="n"/>
      <c r="H404" s="51" t="n"/>
      <c r="I404" s="51" t="n"/>
      <c r="J404" s="51" t="n"/>
      <c r="K404" s="51" t="n"/>
    </row>
    <row r="405">
      <c r="B405" s="51" t="n"/>
      <c r="C405" s="51" t="n"/>
      <c r="D405" s="51" t="n"/>
      <c r="E405" s="51" t="n"/>
      <c r="F405" s="52" t="n"/>
      <c r="H405" s="51" t="n"/>
      <c r="I405" s="51" t="n"/>
      <c r="J405" s="51" t="n"/>
      <c r="K405" s="51" t="n"/>
    </row>
    <row r="406">
      <c r="B406" s="51" t="n"/>
      <c r="C406" s="51" t="n"/>
      <c r="D406" s="51" t="n"/>
      <c r="E406" s="51" t="n"/>
      <c r="F406" s="52" t="n"/>
      <c r="H406" s="51" t="n"/>
      <c r="I406" s="51" t="n"/>
      <c r="J406" s="51" t="n"/>
      <c r="K406" s="51" t="n"/>
    </row>
    <row r="407">
      <c r="B407" s="51" t="n"/>
      <c r="C407" s="51" t="n"/>
      <c r="D407" s="51" t="n"/>
      <c r="E407" s="51" t="n"/>
      <c r="F407" s="52" t="n"/>
      <c r="H407" s="51" t="n"/>
      <c r="I407" s="51" t="n"/>
      <c r="J407" s="51" t="n"/>
      <c r="K407" s="51" t="n"/>
    </row>
    <row r="408">
      <c r="B408" s="51" t="n"/>
      <c r="C408" s="51" t="n"/>
      <c r="D408" s="51" t="n"/>
      <c r="E408" s="51" t="n"/>
      <c r="F408" s="52" t="n"/>
      <c r="H408" s="51" t="n"/>
      <c r="I408" s="51" t="n"/>
      <c r="J408" s="51" t="n"/>
      <c r="K408" s="51" t="n"/>
    </row>
    <row r="409">
      <c r="B409" s="51" t="n"/>
      <c r="C409" s="51" t="n"/>
      <c r="D409" s="51" t="n"/>
      <c r="E409" s="51" t="n"/>
      <c r="F409" s="52" t="n"/>
      <c r="H409" s="51" t="n"/>
      <c r="I409" s="51" t="n"/>
      <c r="J409" s="51" t="n"/>
      <c r="K409" s="51" t="n"/>
    </row>
    <row r="410">
      <c r="B410" s="51" t="n"/>
      <c r="C410" s="51" t="n"/>
      <c r="D410" s="51" t="n"/>
      <c r="E410" s="51" t="n"/>
      <c r="F410" s="52" t="n"/>
      <c r="H410" s="51" t="n"/>
      <c r="I410" s="51" t="n"/>
      <c r="J410" s="51" t="n"/>
      <c r="K410" s="51" t="n"/>
    </row>
    <row r="411">
      <c r="B411" s="51" t="n"/>
      <c r="C411" s="51" t="n"/>
      <c r="D411" s="51" t="n"/>
      <c r="E411" s="51" t="n"/>
      <c r="F411" s="52" t="n"/>
      <c r="H411" s="51" t="n"/>
      <c r="I411" s="51" t="n"/>
      <c r="J411" s="51" t="n"/>
      <c r="K411" s="51" t="n"/>
    </row>
    <row r="412">
      <c r="B412" s="51" t="n"/>
      <c r="C412" s="51" t="n"/>
      <c r="D412" s="51" t="n"/>
      <c r="E412" s="51" t="n"/>
      <c r="F412" s="52" t="n"/>
      <c r="H412" s="51" t="n"/>
      <c r="I412" s="51" t="n"/>
      <c r="J412" s="51" t="n"/>
      <c r="K412" s="51" t="n"/>
    </row>
    <row r="413">
      <c r="B413" s="51" t="n"/>
      <c r="C413" s="51" t="n"/>
      <c r="D413" s="51" t="n"/>
      <c r="E413" s="51" t="n"/>
      <c r="F413" s="52" t="n"/>
      <c r="H413" s="51" t="n"/>
      <c r="I413" s="51" t="n"/>
      <c r="J413" s="51" t="n"/>
      <c r="K413" s="51" t="n"/>
    </row>
    <row r="414">
      <c r="B414" s="51" t="n"/>
      <c r="C414" s="51" t="n"/>
      <c r="D414" s="51" t="n"/>
      <c r="E414" s="51" t="n"/>
      <c r="F414" s="52" t="n"/>
      <c r="H414" s="51" t="n"/>
      <c r="I414" s="51" t="n"/>
      <c r="J414" s="51" t="n"/>
      <c r="K414" s="51" t="n"/>
    </row>
    <row r="415">
      <c r="B415" s="51" t="n"/>
      <c r="C415" s="51" t="n"/>
      <c r="D415" s="51" t="n"/>
      <c r="E415" s="51" t="n"/>
      <c r="F415" s="52" t="n"/>
      <c r="H415" s="51" t="n"/>
      <c r="I415" s="51" t="n"/>
      <c r="J415" s="51" t="n"/>
      <c r="K415" s="51" t="n"/>
    </row>
    <row r="416">
      <c r="B416" s="51" t="n"/>
      <c r="C416" s="51" t="n"/>
      <c r="D416" s="51" t="n"/>
      <c r="E416" s="51" t="n"/>
      <c r="F416" s="52" t="n"/>
      <c r="H416" s="51" t="n"/>
      <c r="I416" s="51" t="n"/>
      <c r="J416" s="51" t="n"/>
      <c r="K416" s="51" t="n"/>
    </row>
    <row r="417">
      <c r="B417" s="51" t="n"/>
      <c r="C417" s="51" t="n"/>
      <c r="D417" s="51" t="n"/>
      <c r="E417" s="51" t="n"/>
      <c r="F417" s="52" t="n"/>
      <c r="H417" s="51" t="n"/>
      <c r="I417" s="51" t="n"/>
      <c r="J417" s="51" t="n"/>
      <c r="K417" s="51" t="n"/>
    </row>
    <row r="418">
      <c r="B418" s="51" t="n"/>
      <c r="C418" s="51" t="n"/>
      <c r="D418" s="51" t="n"/>
      <c r="E418" s="51" t="n"/>
      <c r="F418" s="52" t="n"/>
      <c r="H418" s="51" t="n"/>
      <c r="I418" s="51" t="n"/>
      <c r="J418" s="51" t="n"/>
      <c r="K418" s="51" t="n"/>
    </row>
    <row r="419">
      <c r="B419" s="51" t="n"/>
      <c r="C419" s="51" t="n"/>
      <c r="D419" s="51" t="n"/>
      <c r="E419" s="51" t="n"/>
      <c r="F419" s="52" t="n"/>
      <c r="H419" s="51" t="n"/>
      <c r="I419" s="51" t="n"/>
      <c r="J419" s="51" t="n"/>
      <c r="K419" s="51" t="n"/>
    </row>
    <row r="420">
      <c r="B420" s="51" t="n"/>
      <c r="C420" s="51" t="n"/>
      <c r="D420" s="51" t="n"/>
      <c r="E420" s="51" t="n"/>
      <c r="F420" s="52" t="n"/>
      <c r="H420" s="51" t="n"/>
      <c r="I420" s="51" t="n"/>
      <c r="J420" s="51" t="n"/>
      <c r="K420" s="51" t="n"/>
    </row>
    <row r="421">
      <c r="B421" s="51" t="n"/>
      <c r="C421" s="51" t="n"/>
      <c r="D421" s="51" t="n"/>
      <c r="E421" s="51" t="n"/>
      <c r="F421" s="52" t="n"/>
      <c r="H421" s="51" t="n"/>
      <c r="I421" s="51" t="n"/>
      <c r="J421" s="51" t="n"/>
      <c r="K421" s="51" t="n"/>
    </row>
    <row r="422">
      <c r="B422" s="51" t="n"/>
      <c r="C422" s="51" t="n"/>
      <c r="D422" s="51" t="n"/>
      <c r="E422" s="51" t="n"/>
      <c r="F422" s="52" t="n"/>
      <c r="H422" s="51" t="n"/>
      <c r="I422" s="51" t="n"/>
      <c r="J422" s="51" t="n"/>
      <c r="K422" s="51" t="n"/>
    </row>
    <row r="423">
      <c r="B423" s="51" t="n"/>
      <c r="C423" s="51" t="n"/>
      <c r="D423" s="51" t="n"/>
      <c r="E423" s="51" t="n"/>
      <c r="F423" s="52" t="n"/>
      <c r="H423" s="51" t="n"/>
      <c r="I423" s="51" t="n"/>
      <c r="J423" s="51" t="n"/>
      <c r="K423" s="51" t="n"/>
    </row>
    <row r="424">
      <c r="B424" s="51" t="n"/>
      <c r="C424" s="51" t="n"/>
      <c r="D424" s="51" t="n"/>
      <c r="E424" s="51" t="n"/>
      <c r="F424" s="52" t="n"/>
      <c r="H424" s="51" t="n"/>
      <c r="I424" s="51" t="n"/>
      <c r="J424" s="51" t="n"/>
      <c r="K424" s="51" t="n"/>
    </row>
    <row r="425">
      <c r="B425" s="51" t="n"/>
      <c r="C425" s="51" t="n"/>
      <c r="D425" s="51" t="n"/>
      <c r="E425" s="51" t="n"/>
      <c r="F425" s="52" t="n"/>
      <c r="H425" s="51" t="n"/>
      <c r="I425" s="51" t="n"/>
      <c r="J425" s="51" t="n"/>
      <c r="K425" s="51" t="n"/>
    </row>
    <row r="426">
      <c r="B426" s="51" t="n"/>
      <c r="C426" s="51" t="n"/>
      <c r="D426" s="51" t="n"/>
      <c r="E426" s="51" t="n"/>
      <c r="F426" s="52" t="n"/>
      <c r="H426" s="51" t="n"/>
      <c r="I426" s="51" t="n"/>
      <c r="J426" s="51" t="n"/>
      <c r="K426" s="51" t="n"/>
    </row>
    <row r="427">
      <c r="B427" s="51" t="n"/>
      <c r="C427" s="51" t="n"/>
      <c r="D427" s="51" t="n"/>
      <c r="E427" s="51" t="n"/>
      <c r="F427" s="52" t="n"/>
      <c r="H427" s="51" t="n"/>
      <c r="I427" s="51" t="n"/>
      <c r="J427" s="51" t="n"/>
      <c r="K427" s="51" t="n"/>
    </row>
    <row r="428">
      <c r="B428" s="51" t="n"/>
      <c r="C428" s="51" t="n"/>
      <c r="D428" s="51" t="n"/>
      <c r="E428" s="51" t="n"/>
      <c r="F428" s="52" t="n"/>
      <c r="H428" s="51" t="n"/>
      <c r="I428" s="51" t="n"/>
      <c r="J428" s="51" t="n"/>
      <c r="K428" s="51" t="n"/>
    </row>
    <row r="429">
      <c r="B429" s="51" t="n"/>
      <c r="C429" s="51" t="n"/>
      <c r="D429" s="51" t="n"/>
      <c r="E429" s="51" t="n"/>
      <c r="F429" s="52" t="n"/>
      <c r="H429" s="51" t="n"/>
      <c r="I429" s="51" t="n"/>
      <c r="J429" s="51" t="n"/>
      <c r="K429" s="51" t="n"/>
    </row>
    <row r="430">
      <c r="B430" s="51" t="n"/>
      <c r="C430" s="51" t="n"/>
      <c r="D430" s="51" t="n"/>
      <c r="E430" s="51" t="n"/>
      <c r="F430" s="52" t="n"/>
      <c r="H430" s="51" t="n"/>
      <c r="I430" s="51" t="n"/>
      <c r="J430" s="51" t="n"/>
      <c r="K430" s="51" t="n"/>
    </row>
    <row r="431">
      <c r="B431" s="51" t="n"/>
      <c r="C431" s="51" t="n"/>
      <c r="D431" s="51" t="n"/>
      <c r="E431" s="51" t="n"/>
      <c r="F431" s="52" t="n"/>
      <c r="H431" s="51" t="n"/>
      <c r="I431" s="51" t="n"/>
      <c r="J431" s="51" t="n"/>
      <c r="K431" s="51" t="n"/>
    </row>
    <row r="432">
      <c r="B432" s="51" t="n"/>
      <c r="C432" s="51" t="n"/>
      <c r="D432" s="51" t="n"/>
      <c r="E432" s="51" t="n"/>
      <c r="F432" s="52" t="n"/>
      <c r="H432" s="51" t="n"/>
      <c r="I432" s="51" t="n"/>
      <c r="J432" s="51" t="n"/>
      <c r="K432" s="51" t="n"/>
    </row>
    <row r="433">
      <c r="B433" s="51" t="n"/>
      <c r="C433" s="51" t="n"/>
      <c r="D433" s="51" t="n"/>
      <c r="E433" s="51" t="n"/>
      <c r="F433" s="52" t="n"/>
      <c r="H433" s="51" t="n"/>
      <c r="I433" s="51" t="n"/>
      <c r="J433" s="51" t="n"/>
      <c r="K433" s="51" t="n"/>
    </row>
    <row r="434">
      <c r="B434" s="51" t="n"/>
      <c r="C434" s="51" t="n"/>
      <c r="D434" s="51" t="n"/>
      <c r="E434" s="51" t="n"/>
      <c r="F434" s="52" t="n"/>
      <c r="H434" s="51" t="n"/>
      <c r="I434" s="51" t="n"/>
      <c r="J434" s="51" t="n"/>
      <c r="K434" s="51" t="n"/>
    </row>
    <row r="435">
      <c r="B435" s="51" t="n"/>
      <c r="C435" s="51" t="n"/>
      <c r="D435" s="51" t="n"/>
      <c r="E435" s="51" t="n"/>
      <c r="F435" s="52" t="n"/>
      <c r="H435" s="51" t="n"/>
      <c r="I435" s="51" t="n"/>
      <c r="J435" s="51" t="n"/>
      <c r="K435" s="51" t="n"/>
    </row>
    <row r="436">
      <c r="B436" s="51" t="n"/>
      <c r="C436" s="51" t="n"/>
      <c r="D436" s="51" t="n"/>
      <c r="E436" s="51" t="n"/>
      <c r="F436" s="52" t="n"/>
      <c r="H436" s="51" t="n"/>
      <c r="I436" s="51" t="n"/>
      <c r="J436" s="51" t="n"/>
      <c r="K436" s="51" t="n"/>
    </row>
    <row r="437">
      <c r="B437" s="51" t="n"/>
      <c r="C437" s="51" t="n"/>
      <c r="D437" s="51" t="n"/>
      <c r="E437" s="51" t="n"/>
      <c r="F437" s="52" t="n"/>
      <c r="H437" s="51" t="n"/>
      <c r="I437" s="51" t="n"/>
      <c r="J437" s="51" t="n"/>
      <c r="K437" s="51" t="n"/>
    </row>
    <row r="438">
      <c r="B438" s="51" t="n"/>
      <c r="C438" s="51" t="n"/>
      <c r="D438" s="51" t="n"/>
      <c r="E438" s="51" t="n"/>
      <c r="F438" s="52" t="n"/>
      <c r="H438" s="51" t="n"/>
      <c r="I438" s="51" t="n"/>
      <c r="J438" s="51" t="n"/>
      <c r="K438" s="51" t="n"/>
    </row>
    <row r="439">
      <c r="B439" s="51" t="n"/>
      <c r="C439" s="51" t="n"/>
      <c r="D439" s="51" t="n"/>
      <c r="E439" s="51" t="n"/>
      <c r="F439" s="52" t="n"/>
      <c r="H439" s="51" t="n"/>
      <c r="I439" s="51" t="n"/>
      <c r="J439" s="51" t="n"/>
      <c r="K439" s="51" t="n"/>
    </row>
    <row r="440">
      <c r="B440" s="51" t="n"/>
      <c r="C440" s="51" t="n"/>
      <c r="D440" s="51" t="n"/>
      <c r="E440" s="51" t="n"/>
      <c r="F440" s="52" t="n"/>
      <c r="H440" s="51" t="n"/>
      <c r="I440" s="51" t="n"/>
      <c r="J440" s="51" t="n"/>
      <c r="K440" s="51" t="n"/>
    </row>
    <row r="441">
      <c r="B441" s="51" t="n"/>
      <c r="C441" s="51" t="n"/>
      <c r="D441" s="51" t="n"/>
      <c r="E441" s="51" t="n"/>
      <c r="F441" s="52" t="n"/>
      <c r="H441" s="51" t="n"/>
      <c r="I441" s="51" t="n"/>
      <c r="J441" s="51" t="n"/>
      <c r="K441" s="51" t="n"/>
    </row>
    <row r="442">
      <c r="B442" s="51" t="n"/>
      <c r="C442" s="51" t="n"/>
      <c r="D442" s="51" t="n"/>
      <c r="E442" s="51" t="n"/>
      <c r="F442" s="52" t="n"/>
      <c r="H442" s="51" t="n"/>
      <c r="I442" s="51" t="n"/>
      <c r="J442" s="51" t="n"/>
      <c r="K442" s="51" t="n"/>
    </row>
    <row r="443">
      <c r="B443" s="51" t="n"/>
      <c r="C443" s="51" t="n"/>
      <c r="D443" s="51" t="n"/>
      <c r="E443" s="51" t="n"/>
      <c r="F443" s="52" t="n"/>
      <c r="H443" s="51" t="n"/>
      <c r="I443" s="51" t="n"/>
      <c r="J443" s="51" t="n"/>
      <c r="K443" s="51" t="n"/>
    </row>
    <row r="444">
      <c r="B444" s="51" t="n"/>
      <c r="C444" s="51" t="n"/>
      <c r="D444" s="51" t="n"/>
      <c r="E444" s="51" t="n"/>
      <c r="F444" s="52" t="n"/>
      <c r="H444" s="51" t="n"/>
      <c r="I444" s="51" t="n"/>
      <c r="J444" s="51" t="n"/>
      <c r="K444" s="51" t="n"/>
    </row>
    <row r="445">
      <c r="B445" s="51" t="n"/>
      <c r="C445" s="51" t="n"/>
      <c r="D445" s="51" t="n"/>
      <c r="E445" s="51" t="n"/>
      <c r="F445" s="52" t="n"/>
      <c r="H445" s="51" t="n"/>
      <c r="I445" s="51" t="n"/>
      <c r="J445" s="51" t="n"/>
      <c r="K445" s="51" t="n"/>
    </row>
    <row r="446">
      <c r="B446" s="51" t="n"/>
      <c r="C446" s="51" t="n"/>
      <c r="D446" s="51" t="n"/>
      <c r="E446" s="51" t="n"/>
      <c r="F446" s="52" t="n"/>
      <c r="H446" s="51" t="n"/>
      <c r="I446" s="51" t="n"/>
      <c r="J446" s="51" t="n"/>
      <c r="K446" s="51" t="n"/>
    </row>
    <row r="447">
      <c r="B447" s="51" t="n"/>
      <c r="C447" s="51" t="n"/>
      <c r="D447" s="51" t="n"/>
      <c r="E447" s="51" t="n"/>
      <c r="F447" s="52" t="n"/>
      <c r="H447" s="51" t="n"/>
      <c r="I447" s="51" t="n"/>
      <c r="J447" s="51" t="n"/>
      <c r="K447" s="51" t="n"/>
    </row>
    <row r="448">
      <c r="B448" s="51" t="n"/>
      <c r="C448" s="51" t="n"/>
      <c r="D448" s="51" t="n"/>
      <c r="E448" s="51" t="n"/>
      <c r="F448" s="52" t="n"/>
      <c r="H448" s="51" t="n"/>
      <c r="I448" s="51" t="n"/>
      <c r="J448" s="51" t="n"/>
      <c r="K448" s="51" t="n"/>
    </row>
    <row r="449">
      <c r="B449" s="51" t="n"/>
      <c r="C449" s="51" t="n"/>
      <c r="D449" s="51" t="n"/>
      <c r="E449" s="51" t="n"/>
      <c r="F449" s="52" t="n"/>
      <c r="H449" s="51" t="n"/>
      <c r="I449" s="51" t="n"/>
      <c r="J449" s="51" t="n"/>
      <c r="K449" s="51" t="n"/>
    </row>
    <row r="450">
      <c r="B450" s="51" t="n"/>
      <c r="C450" s="51" t="n"/>
      <c r="D450" s="51" t="n"/>
      <c r="E450" s="51" t="n"/>
      <c r="F450" s="52" t="n"/>
      <c r="H450" s="51" t="n"/>
      <c r="I450" s="51" t="n"/>
      <c r="J450" s="51" t="n"/>
      <c r="K450" s="51" t="n"/>
    </row>
    <row r="451">
      <c r="B451" s="51" t="n"/>
      <c r="C451" s="51" t="n"/>
      <c r="D451" s="51" t="n"/>
      <c r="E451" s="51" t="n"/>
      <c r="F451" s="52" t="n"/>
      <c r="H451" s="51" t="n"/>
      <c r="I451" s="51" t="n"/>
      <c r="J451" s="51" t="n"/>
      <c r="K451" s="51" t="n"/>
    </row>
    <row r="452">
      <c r="B452" s="51" t="n"/>
      <c r="C452" s="51" t="n"/>
      <c r="D452" s="51" t="n"/>
      <c r="E452" s="51" t="n"/>
      <c r="F452" s="52" t="n"/>
      <c r="H452" s="51" t="n"/>
      <c r="I452" s="51" t="n"/>
      <c r="J452" s="51" t="n"/>
      <c r="K452" s="51" t="n"/>
    </row>
    <row r="453">
      <c r="B453" s="51" t="n"/>
      <c r="C453" s="51" t="n"/>
      <c r="D453" s="51" t="n"/>
      <c r="E453" s="51" t="n"/>
      <c r="F453" s="52" t="n"/>
      <c r="H453" s="51" t="n"/>
      <c r="I453" s="51" t="n"/>
      <c r="J453" s="51" t="n"/>
      <c r="K453" s="51" t="n"/>
    </row>
    <row r="454">
      <c r="B454" s="51" t="n"/>
      <c r="C454" s="51" t="n"/>
      <c r="D454" s="51" t="n"/>
      <c r="E454" s="51" t="n"/>
      <c r="F454" s="52" t="n"/>
      <c r="H454" s="51" t="n"/>
      <c r="I454" s="51" t="n"/>
      <c r="J454" s="51" t="n"/>
      <c r="K454" s="51" t="n"/>
    </row>
    <row r="455">
      <c r="B455" s="51" t="n"/>
      <c r="C455" s="51" t="n"/>
      <c r="D455" s="51" t="n"/>
      <c r="E455" s="51" t="n"/>
      <c r="F455" s="52" t="n"/>
      <c r="H455" s="51" t="n"/>
      <c r="I455" s="51" t="n"/>
      <c r="J455" s="51" t="n"/>
      <c r="K455" s="51" t="n"/>
    </row>
    <row r="456">
      <c r="B456" s="51" t="n"/>
      <c r="C456" s="51" t="n"/>
      <c r="D456" s="51" t="n"/>
      <c r="E456" s="51" t="n"/>
      <c r="F456" s="52" t="n"/>
      <c r="H456" s="51" t="n"/>
      <c r="I456" s="51" t="n"/>
      <c r="J456" s="51" t="n"/>
      <c r="K456" s="51" t="n"/>
    </row>
    <row r="457">
      <c r="B457" s="51" t="n"/>
      <c r="C457" s="51" t="n"/>
      <c r="D457" s="51" t="n"/>
      <c r="E457" s="51" t="n"/>
      <c r="F457" s="52" t="n"/>
      <c r="H457" s="51" t="n"/>
      <c r="I457" s="51" t="n"/>
      <c r="J457" s="51" t="n"/>
      <c r="K457" s="51" t="n"/>
    </row>
    <row r="458">
      <c r="B458" s="51" t="n"/>
      <c r="C458" s="51" t="n"/>
      <c r="D458" s="51" t="n"/>
      <c r="E458" s="51" t="n"/>
      <c r="F458" s="52" t="n"/>
      <c r="H458" s="51" t="n"/>
      <c r="I458" s="51" t="n"/>
      <c r="J458" s="51" t="n"/>
      <c r="K458" s="51" t="n"/>
    </row>
    <row r="459">
      <c r="B459" s="51" t="n"/>
      <c r="C459" s="51" t="n"/>
      <c r="D459" s="51" t="n"/>
      <c r="E459" s="51" t="n"/>
      <c r="F459" s="52" t="n"/>
      <c r="H459" s="51" t="n"/>
      <c r="I459" s="51" t="n"/>
      <c r="J459" s="51" t="n"/>
      <c r="K459" s="51" t="n"/>
    </row>
    <row r="460">
      <c r="B460" s="51" t="n"/>
      <c r="C460" s="51" t="n"/>
      <c r="D460" s="51" t="n"/>
      <c r="E460" s="51" t="n"/>
      <c r="F460" s="52" t="n"/>
      <c r="H460" s="51" t="n"/>
      <c r="I460" s="51" t="n"/>
      <c r="J460" s="51" t="n"/>
      <c r="K460" s="51" t="n"/>
    </row>
    <row r="461">
      <c r="B461" s="51" t="n"/>
      <c r="C461" s="51" t="n"/>
      <c r="D461" s="51" t="n"/>
      <c r="E461" s="51" t="n"/>
      <c r="F461" s="52" t="n"/>
      <c r="H461" s="51" t="n"/>
      <c r="I461" s="51" t="n"/>
      <c r="J461" s="51" t="n"/>
      <c r="K461" s="51" t="n"/>
    </row>
    <row r="462">
      <c r="B462" s="51" t="n"/>
      <c r="C462" s="51" t="n"/>
      <c r="D462" s="51" t="n"/>
      <c r="E462" s="51" t="n"/>
      <c r="F462" s="52" t="n"/>
      <c r="H462" s="51" t="n"/>
      <c r="I462" s="51" t="n"/>
      <c r="J462" s="51" t="n"/>
      <c r="K462" s="51" t="n"/>
    </row>
    <row r="463">
      <c r="B463" s="51" t="n"/>
      <c r="C463" s="51" t="n"/>
      <c r="D463" s="51" t="n"/>
      <c r="E463" s="51" t="n"/>
      <c r="F463" s="52" t="n"/>
      <c r="H463" s="51" t="n"/>
      <c r="I463" s="51" t="n"/>
      <c r="J463" s="51" t="n"/>
      <c r="K463" s="51" t="n"/>
    </row>
    <row r="464">
      <c r="B464" s="51" t="n"/>
      <c r="C464" s="51" t="n"/>
      <c r="D464" s="51" t="n"/>
      <c r="E464" s="51" t="n"/>
      <c r="F464" s="52" t="n"/>
      <c r="H464" s="51" t="n"/>
      <c r="I464" s="51" t="n"/>
      <c r="J464" s="51" t="n"/>
      <c r="K464" s="51" t="n"/>
    </row>
    <row r="465">
      <c r="B465" s="51" t="n"/>
      <c r="C465" s="51" t="n"/>
      <c r="D465" s="51" t="n"/>
      <c r="E465" s="51" t="n"/>
      <c r="F465" s="52" t="n"/>
      <c r="H465" s="51" t="n"/>
      <c r="I465" s="51" t="n"/>
      <c r="J465" s="51" t="n"/>
      <c r="K465" s="51" t="n"/>
    </row>
    <row r="466">
      <c r="B466" s="51" t="n"/>
      <c r="C466" s="51" t="n"/>
      <c r="D466" s="51" t="n"/>
      <c r="E466" s="51" t="n"/>
      <c r="F466" s="52" t="n"/>
      <c r="H466" s="51" t="n"/>
      <c r="I466" s="51" t="n"/>
      <c r="J466" s="51" t="n"/>
      <c r="K466" s="51" t="n"/>
    </row>
    <row r="467">
      <c r="B467" s="51" t="n"/>
      <c r="C467" s="51" t="n"/>
      <c r="D467" s="51" t="n"/>
      <c r="E467" s="51" t="n"/>
      <c r="F467" s="52" t="n"/>
      <c r="H467" s="51" t="n"/>
      <c r="I467" s="51" t="n"/>
      <c r="J467" s="51" t="n"/>
      <c r="K467" s="51" t="n"/>
    </row>
    <row r="468">
      <c r="B468" s="51" t="n"/>
      <c r="C468" s="51" t="n"/>
      <c r="D468" s="51" t="n"/>
      <c r="E468" s="51" t="n"/>
      <c r="F468" s="52" t="n"/>
      <c r="H468" s="51" t="n"/>
      <c r="I468" s="51" t="n"/>
      <c r="J468" s="51" t="n"/>
      <c r="K468" s="51" t="n"/>
    </row>
    <row r="469">
      <c r="B469" s="51" t="n"/>
      <c r="C469" s="51" t="n"/>
      <c r="D469" s="51" t="n"/>
      <c r="E469" s="51" t="n"/>
      <c r="F469" s="52" t="n"/>
      <c r="H469" s="51" t="n"/>
      <c r="I469" s="51" t="n"/>
      <c r="J469" s="51" t="n"/>
      <c r="K469" s="51" t="n"/>
    </row>
    <row r="470">
      <c r="B470" s="51" t="n"/>
      <c r="C470" s="51" t="n"/>
      <c r="D470" s="51" t="n"/>
      <c r="E470" s="51" t="n"/>
      <c r="F470" s="52" t="n"/>
      <c r="H470" s="51" t="n"/>
      <c r="I470" s="51" t="n"/>
      <c r="J470" s="51" t="n"/>
      <c r="K470" s="51" t="n"/>
    </row>
    <row r="471">
      <c r="B471" s="51" t="n"/>
      <c r="C471" s="51" t="n"/>
      <c r="D471" s="51" t="n"/>
      <c r="E471" s="51" t="n"/>
      <c r="F471" s="52" t="n"/>
      <c r="H471" s="51" t="n"/>
      <c r="I471" s="51" t="n"/>
      <c r="J471" s="51" t="n"/>
      <c r="K471" s="51" t="n"/>
    </row>
    <row r="472">
      <c r="B472" s="51" t="n"/>
      <c r="C472" s="51" t="n"/>
      <c r="D472" s="51" t="n"/>
      <c r="E472" s="51" t="n"/>
      <c r="F472" s="52" t="n"/>
      <c r="H472" s="51" t="n"/>
      <c r="I472" s="51" t="n"/>
      <c r="J472" s="51" t="n"/>
      <c r="K472" s="51" t="n"/>
    </row>
    <row r="473">
      <c r="B473" s="51" t="n"/>
      <c r="C473" s="51" t="n"/>
      <c r="D473" s="51" t="n"/>
      <c r="E473" s="51" t="n"/>
      <c r="F473" s="52" t="n"/>
      <c r="H473" s="51" t="n"/>
      <c r="I473" s="51" t="n"/>
      <c r="J473" s="51" t="n"/>
      <c r="K473" s="51" t="n"/>
    </row>
    <row r="474">
      <c r="B474" s="51" t="n"/>
      <c r="C474" s="51" t="n"/>
      <c r="D474" s="51" t="n"/>
      <c r="E474" s="51" t="n"/>
      <c r="F474" s="52" t="n"/>
      <c r="H474" s="51" t="n"/>
      <c r="I474" s="51" t="n"/>
      <c r="J474" s="51" t="n"/>
      <c r="K474" s="51" t="n"/>
    </row>
    <row r="475">
      <c r="B475" s="51" t="n"/>
      <c r="C475" s="51" t="n"/>
      <c r="D475" s="51" t="n"/>
      <c r="E475" s="51" t="n"/>
      <c r="F475" s="52" t="n"/>
      <c r="H475" s="51" t="n"/>
      <c r="I475" s="51" t="n"/>
      <c r="J475" s="51" t="n"/>
      <c r="K475" s="51" t="n"/>
    </row>
    <row r="476">
      <c r="B476" s="51" t="n"/>
      <c r="C476" s="51" t="n"/>
      <c r="D476" s="51" t="n"/>
      <c r="E476" s="51" t="n"/>
      <c r="F476" s="52" t="n"/>
      <c r="H476" s="51" t="n"/>
      <c r="I476" s="51" t="n"/>
      <c r="J476" s="51" t="n"/>
      <c r="K476" s="51" t="n"/>
    </row>
    <row r="477">
      <c r="B477" s="51" t="n"/>
      <c r="C477" s="51" t="n"/>
      <c r="D477" s="51" t="n"/>
      <c r="E477" s="51" t="n"/>
      <c r="F477" s="52" t="n"/>
      <c r="H477" s="51" t="n"/>
      <c r="I477" s="51" t="n"/>
      <c r="J477" s="51" t="n"/>
      <c r="K477" s="51" t="n"/>
    </row>
    <row r="478">
      <c r="B478" s="51" t="n"/>
      <c r="C478" s="51" t="n"/>
      <c r="D478" s="51" t="n"/>
      <c r="E478" s="51" t="n"/>
      <c r="F478" s="52" t="n"/>
      <c r="H478" s="51" t="n"/>
      <c r="I478" s="51" t="n"/>
      <c r="J478" s="51" t="n"/>
      <c r="K478" s="51" t="n"/>
    </row>
    <row r="479">
      <c r="B479" s="51" t="n"/>
      <c r="C479" s="51" t="n"/>
      <c r="D479" s="51" t="n"/>
      <c r="E479" s="51" t="n"/>
      <c r="F479" s="52" t="n"/>
      <c r="H479" s="51" t="n"/>
      <c r="I479" s="51" t="n"/>
      <c r="J479" s="51" t="n"/>
      <c r="K479" s="51" t="n"/>
    </row>
    <row r="480">
      <c r="B480" s="51" t="n"/>
      <c r="C480" s="51" t="n"/>
      <c r="D480" s="51" t="n"/>
      <c r="E480" s="51" t="n"/>
      <c r="F480" s="52" t="n"/>
      <c r="H480" s="51" t="n"/>
      <c r="I480" s="51" t="n"/>
      <c r="J480" s="51" t="n"/>
      <c r="K480" s="51" t="n"/>
    </row>
    <row r="481">
      <c r="B481" s="51" t="n"/>
      <c r="C481" s="51" t="n"/>
      <c r="D481" s="51" t="n"/>
      <c r="E481" s="51" t="n"/>
      <c r="F481" s="52" t="n"/>
      <c r="H481" s="51" t="n"/>
      <c r="I481" s="51" t="n"/>
      <c r="J481" s="51" t="n"/>
      <c r="K481" s="51" t="n"/>
    </row>
    <row r="482">
      <c r="B482" s="51" t="n"/>
      <c r="C482" s="51" t="n"/>
      <c r="D482" s="51" t="n"/>
      <c r="E482" s="51" t="n"/>
      <c r="F482" s="52" t="n"/>
      <c r="H482" s="51" t="n"/>
      <c r="I482" s="51" t="n"/>
      <c r="J482" s="51" t="n"/>
      <c r="K482" s="51" t="n"/>
    </row>
    <row r="483">
      <c r="B483" s="51" t="n"/>
      <c r="C483" s="51" t="n"/>
      <c r="D483" s="51" t="n"/>
      <c r="E483" s="51" t="n"/>
      <c r="F483" s="52" t="n"/>
      <c r="H483" s="51" t="n"/>
      <c r="I483" s="51" t="n"/>
      <c r="J483" s="51" t="n"/>
      <c r="K483" s="51" t="n"/>
    </row>
    <row r="484">
      <c r="B484" s="51" t="n"/>
      <c r="C484" s="51" t="n"/>
      <c r="D484" s="51" t="n"/>
      <c r="E484" s="51" t="n"/>
      <c r="F484" s="52" t="n"/>
      <c r="H484" s="51" t="n"/>
      <c r="I484" s="51" t="n"/>
      <c r="J484" s="51" t="n"/>
      <c r="K484" s="51" t="n"/>
    </row>
    <row r="485">
      <c r="B485" s="51" t="n"/>
      <c r="C485" s="51" t="n"/>
      <c r="D485" s="51" t="n"/>
      <c r="E485" s="51" t="n"/>
      <c r="F485" s="52" t="n"/>
      <c r="H485" s="51" t="n"/>
      <c r="I485" s="51" t="n"/>
      <c r="J485" s="51" t="n"/>
      <c r="K485" s="51" t="n"/>
    </row>
    <row r="486">
      <c r="B486" s="51" t="n"/>
      <c r="C486" s="51" t="n"/>
      <c r="D486" s="51" t="n"/>
      <c r="E486" s="51" t="n"/>
      <c r="F486" s="52" t="n"/>
      <c r="H486" s="51" t="n"/>
      <c r="I486" s="51" t="n"/>
      <c r="J486" s="51" t="n"/>
      <c r="K486" s="51" t="n"/>
    </row>
    <row r="487">
      <c r="B487" s="51" t="n"/>
      <c r="C487" s="51" t="n"/>
      <c r="D487" s="51" t="n"/>
      <c r="E487" s="51" t="n"/>
      <c r="F487" s="52" t="n"/>
      <c r="H487" s="51" t="n"/>
      <c r="I487" s="51" t="n"/>
      <c r="J487" s="51" t="n"/>
      <c r="K487" s="51" t="n"/>
    </row>
    <row r="488">
      <c r="B488" s="51" t="n"/>
      <c r="C488" s="51" t="n"/>
      <c r="D488" s="51" t="n"/>
      <c r="E488" s="51" t="n"/>
      <c r="F488" s="52" t="n"/>
      <c r="H488" s="51" t="n"/>
      <c r="I488" s="51" t="n"/>
      <c r="J488" s="51" t="n"/>
      <c r="K488" s="51" t="n"/>
    </row>
    <row r="489">
      <c r="B489" s="51" t="n"/>
      <c r="C489" s="51" t="n"/>
      <c r="D489" s="51" t="n"/>
      <c r="E489" s="51" t="n"/>
      <c r="F489" s="52" t="n"/>
      <c r="H489" s="51" t="n"/>
      <c r="I489" s="51" t="n"/>
      <c r="J489" s="51" t="n"/>
      <c r="K489" s="51" t="n"/>
    </row>
    <row r="490">
      <c r="B490" s="51" t="n"/>
      <c r="C490" s="51" t="n"/>
      <c r="D490" s="51" t="n"/>
      <c r="E490" s="51" t="n"/>
      <c r="F490" s="52" t="n"/>
      <c r="H490" s="51" t="n"/>
      <c r="I490" s="51" t="n"/>
      <c r="J490" s="51" t="n"/>
      <c r="K490" s="51" t="n"/>
    </row>
    <row r="491">
      <c r="B491" s="51" t="n"/>
      <c r="C491" s="51" t="n"/>
      <c r="D491" s="51" t="n"/>
      <c r="E491" s="51" t="n"/>
      <c r="F491" s="52" t="n"/>
      <c r="H491" s="51" t="n"/>
      <c r="I491" s="51" t="n"/>
      <c r="J491" s="51" t="n"/>
      <c r="K491" s="51" t="n"/>
    </row>
    <row r="492">
      <c r="B492" s="51" t="n"/>
      <c r="C492" s="51" t="n"/>
      <c r="D492" s="51" t="n"/>
      <c r="E492" s="51" t="n"/>
      <c r="F492" s="52" t="n"/>
      <c r="H492" s="51" t="n"/>
      <c r="I492" s="51" t="n"/>
      <c r="J492" s="51" t="n"/>
      <c r="K492" s="51" t="n"/>
    </row>
    <row r="493">
      <c r="B493" s="51" t="n"/>
      <c r="C493" s="51" t="n"/>
      <c r="D493" s="51" t="n"/>
      <c r="E493" s="51" t="n"/>
      <c r="F493" s="52" t="n"/>
      <c r="H493" s="51" t="n"/>
      <c r="I493" s="51" t="n"/>
      <c r="J493" s="51" t="n"/>
      <c r="K493" s="51" t="n"/>
    </row>
    <row r="494">
      <c r="B494" s="51" t="n"/>
      <c r="C494" s="51" t="n"/>
      <c r="D494" s="51" t="n"/>
      <c r="E494" s="51" t="n"/>
      <c r="F494" s="52" t="n"/>
      <c r="H494" s="51" t="n"/>
      <c r="I494" s="51" t="n"/>
      <c r="J494" s="51" t="n"/>
      <c r="K494" s="51" t="n"/>
    </row>
    <row r="495">
      <c r="B495" s="51" t="n"/>
      <c r="C495" s="51" t="n"/>
      <c r="D495" s="51" t="n"/>
      <c r="E495" s="51" t="n"/>
      <c r="F495" s="52" t="n"/>
      <c r="H495" s="51" t="n"/>
      <c r="I495" s="51" t="n"/>
      <c r="J495" s="51" t="n"/>
      <c r="K495" s="51" t="n"/>
    </row>
    <row r="496">
      <c r="B496" s="51" t="n"/>
      <c r="C496" s="51" t="n"/>
      <c r="D496" s="51" t="n"/>
      <c r="E496" s="51" t="n"/>
      <c r="F496" s="52" t="n"/>
      <c r="H496" s="51" t="n"/>
      <c r="I496" s="51" t="n"/>
      <c r="J496" s="51" t="n"/>
      <c r="K496" s="51" t="n"/>
    </row>
    <row r="497">
      <c r="B497" s="51" t="n"/>
      <c r="C497" s="51" t="n"/>
      <c r="D497" s="51" t="n"/>
      <c r="E497" s="51" t="n"/>
      <c r="F497" s="52" t="n"/>
      <c r="H497" s="51" t="n"/>
      <c r="I497" s="51" t="n"/>
      <c r="J497" s="51" t="n"/>
      <c r="K497" s="51" t="n"/>
    </row>
    <row r="498">
      <c r="B498" s="51" t="n"/>
      <c r="C498" s="51" t="n"/>
      <c r="D498" s="51" t="n"/>
      <c r="E498" s="51" t="n"/>
      <c r="F498" s="52" t="n"/>
      <c r="H498" s="51" t="n"/>
      <c r="I498" s="51" t="n"/>
      <c r="J498" s="51" t="n"/>
      <c r="K498" s="51" t="n"/>
    </row>
    <row r="499">
      <c r="B499" s="51" t="n"/>
      <c r="C499" s="51" t="n"/>
      <c r="D499" s="51" t="n"/>
      <c r="E499" s="51" t="n"/>
      <c r="F499" s="52" t="n"/>
      <c r="H499" s="51" t="n"/>
      <c r="I499" s="51" t="n"/>
      <c r="J499" s="51" t="n"/>
      <c r="K499" s="51" t="n"/>
    </row>
    <row r="500">
      <c r="B500" s="51" t="n"/>
      <c r="C500" s="51" t="n"/>
      <c r="D500" s="51" t="n"/>
      <c r="E500" s="51" t="n"/>
      <c r="F500" s="52" t="n"/>
      <c r="H500" s="51" t="n"/>
      <c r="I500" s="51" t="n"/>
      <c r="J500" s="51" t="n"/>
      <c r="K500" s="51" t="n"/>
    </row>
    <row r="501">
      <c r="B501" s="51" t="n"/>
      <c r="C501" s="51" t="n"/>
      <c r="D501" s="51" t="n"/>
      <c r="E501" s="51" t="n"/>
      <c r="F501" s="52" t="n"/>
      <c r="H501" s="51" t="n"/>
      <c r="I501" s="51" t="n"/>
      <c r="J501" s="51" t="n"/>
      <c r="K501" s="51" t="n"/>
    </row>
    <row r="502">
      <c r="B502" s="51" t="n"/>
      <c r="C502" s="51" t="n"/>
      <c r="D502" s="51" t="n"/>
      <c r="E502" s="51" t="n"/>
      <c r="F502" s="52" t="n"/>
      <c r="H502" s="51" t="n"/>
      <c r="I502" s="51" t="n"/>
      <c r="J502" s="51" t="n"/>
      <c r="K502" s="51" t="n"/>
    </row>
    <row r="503">
      <c r="B503" s="51" t="n"/>
      <c r="C503" s="51" t="n"/>
      <c r="D503" s="51" t="n"/>
      <c r="E503" s="51" t="n"/>
      <c r="F503" s="52" t="n"/>
      <c r="H503" s="51" t="n"/>
      <c r="I503" s="51" t="n"/>
      <c r="J503" s="51" t="n"/>
      <c r="K503" s="51" t="n"/>
    </row>
    <row r="504">
      <c r="B504" s="51" t="n"/>
      <c r="C504" s="51" t="n"/>
      <c r="D504" s="51" t="n"/>
      <c r="E504" s="51" t="n"/>
      <c r="F504" s="52" t="n"/>
      <c r="H504" s="51" t="n"/>
      <c r="I504" s="51" t="n"/>
      <c r="J504" s="51" t="n"/>
      <c r="K504" s="51" t="n"/>
    </row>
    <row r="505">
      <c r="B505" s="51" t="n"/>
      <c r="C505" s="51" t="n"/>
      <c r="D505" s="51" t="n"/>
      <c r="E505" s="51" t="n"/>
      <c r="F505" s="52" t="n"/>
      <c r="H505" s="51" t="n"/>
      <c r="I505" s="51" t="n"/>
      <c r="J505" s="51" t="n"/>
      <c r="K505" s="51" t="n"/>
    </row>
    <row r="506">
      <c r="B506" s="51" t="n"/>
      <c r="C506" s="51" t="n"/>
      <c r="D506" s="51" t="n"/>
      <c r="E506" s="51" t="n"/>
      <c r="F506" s="52" t="n"/>
      <c r="H506" s="51" t="n"/>
      <c r="I506" s="51" t="n"/>
      <c r="J506" s="51" t="n"/>
      <c r="K506" s="51" t="n"/>
    </row>
    <row r="507">
      <c r="B507" s="51" t="n"/>
      <c r="C507" s="51" t="n"/>
      <c r="D507" s="51" t="n"/>
      <c r="E507" s="51" t="n"/>
      <c r="F507" s="52" t="n"/>
      <c r="H507" s="51" t="n"/>
      <c r="I507" s="51" t="n"/>
      <c r="J507" s="51" t="n"/>
      <c r="K507" s="51" t="n"/>
    </row>
    <row r="508">
      <c r="B508" s="51" t="n"/>
      <c r="C508" s="51" t="n"/>
      <c r="D508" s="51" t="n"/>
      <c r="E508" s="51" t="n"/>
      <c r="F508" s="52" t="n"/>
      <c r="H508" s="51" t="n"/>
      <c r="I508" s="51" t="n"/>
      <c r="J508" s="51" t="n"/>
      <c r="K508" s="51" t="n"/>
    </row>
    <row r="509">
      <c r="B509" s="51" t="n"/>
      <c r="C509" s="51" t="n"/>
      <c r="D509" s="51" t="n"/>
      <c r="E509" s="51" t="n"/>
      <c r="F509" s="52" t="n"/>
      <c r="H509" s="51" t="n"/>
      <c r="I509" s="51" t="n"/>
      <c r="J509" s="51" t="n"/>
      <c r="K509" s="51" t="n"/>
    </row>
    <row r="510">
      <c r="B510" s="51" t="n"/>
      <c r="C510" s="51" t="n"/>
      <c r="D510" s="51" t="n"/>
      <c r="E510" s="51" t="n"/>
      <c r="F510" s="52" t="n"/>
      <c r="H510" s="51" t="n"/>
      <c r="I510" s="51" t="n"/>
      <c r="J510" s="51" t="n"/>
      <c r="K510" s="51" t="n"/>
    </row>
    <row r="511">
      <c r="B511" s="51" t="n"/>
      <c r="C511" s="51" t="n"/>
      <c r="D511" s="51" t="n"/>
      <c r="E511" s="51" t="n"/>
      <c r="F511" s="52" t="n"/>
      <c r="H511" s="51" t="n"/>
      <c r="I511" s="51" t="n"/>
      <c r="J511" s="51" t="n"/>
      <c r="K511" s="51" t="n"/>
    </row>
    <row r="512">
      <c r="B512" s="51" t="n"/>
      <c r="C512" s="51" t="n"/>
      <c r="D512" s="51" t="n"/>
      <c r="E512" s="51" t="n"/>
      <c r="F512" s="52" t="n"/>
      <c r="H512" s="51" t="n"/>
      <c r="I512" s="51" t="n"/>
      <c r="J512" s="51" t="n"/>
      <c r="K512" s="51" t="n"/>
    </row>
    <row r="513">
      <c r="B513" s="51" t="n"/>
      <c r="C513" s="51" t="n"/>
      <c r="D513" s="51" t="n"/>
      <c r="E513" s="51" t="n"/>
      <c r="F513" s="52" t="n"/>
      <c r="H513" s="51" t="n"/>
      <c r="I513" s="51" t="n"/>
      <c r="J513" s="51" t="n"/>
      <c r="K513" s="51" t="n"/>
    </row>
    <row r="514">
      <c r="B514" s="51" t="n"/>
      <c r="C514" s="51" t="n"/>
      <c r="D514" s="51" t="n"/>
      <c r="E514" s="51" t="n"/>
      <c r="F514" s="52" t="n"/>
      <c r="H514" s="51" t="n"/>
      <c r="I514" s="51" t="n"/>
      <c r="J514" s="51" t="n"/>
      <c r="K514" s="51" t="n"/>
    </row>
    <row r="515">
      <c r="B515" s="51" t="n"/>
      <c r="C515" s="51" t="n"/>
      <c r="D515" s="51" t="n"/>
      <c r="E515" s="51" t="n"/>
      <c r="F515" s="52" t="n"/>
      <c r="H515" s="51" t="n"/>
      <c r="I515" s="51" t="n"/>
      <c r="J515" s="51" t="n"/>
      <c r="K515" s="51" t="n"/>
    </row>
    <row r="516">
      <c r="B516" s="51" t="n"/>
      <c r="C516" s="51" t="n"/>
      <c r="D516" s="51" t="n"/>
      <c r="E516" s="51" t="n"/>
      <c r="F516" s="52" t="n"/>
      <c r="H516" s="51" t="n"/>
      <c r="I516" s="51" t="n"/>
      <c r="J516" s="51" t="n"/>
      <c r="K516" s="51" t="n"/>
    </row>
    <row r="517">
      <c r="B517" s="51" t="n"/>
      <c r="C517" s="51" t="n"/>
      <c r="D517" s="51" t="n"/>
      <c r="E517" s="51" t="n"/>
      <c r="F517" s="52" t="n"/>
      <c r="H517" s="51" t="n"/>
      <c r="I517" s="51" t="n"/>
      <c r="J517" s="51" t="n"/>
      <c r="K517" s="51" t="n"/>
    </row>
  </sheetData>
  <mergeCells count="8">
    <mergeCell ref="B4:K4"/>
    <mergeCell ref="D8:K8"/>
    <mergeCell ref="B10:C10"/>
    <mergeCell ref="B7:K7"/>
    <mergeCell ref="B6:K6"/>
    <mergeCell ref="B8:C8"/>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F17:F517">
    <cfRule type="expression" priority="4" dxfId="6">
      <formula>AND(LEN($B17&amp;$C17&amp;$D17&amp;$E17&amp;$F17&amp;$G17&amp;$H17&amp;$I17&amp;$J17&amp;$K17)&gt;0,F17="")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I17:I517">
    <cfRule type="expression" priority="7" dxfId="6">
      <formula>AND(LEN($B17&amp;$C17&amp;$D17&amp;$E17&amp;$F17&amp;$G17&amp;$H17&amp;$I17&amp;$J17&amp;$K17)&gt;0,I17="")</formula>
    </cfRule>
  </conditionalFormatting>
  <conditionalFormatting sqref="J17:J517">
    <cfRule type="expression" priority="8"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Event type" error="Choose a value of the list Accounting event (sheet Reference lists)." promptTitle="Event type" prompt="Yes. Event that the rule posts Allowed: List Accounting event: 90 values, see Reference lists" type="list" errorStyle="stop">
      <formula1>=LIST_ACCOUNTING_EVENT</formula1>
    </dataValidation>
    <dataValidation sqref="C17:C517" showDropDown="0" showInputMessage="1" showErrorMessage="0" allowBlank="1" promptTitle="Rule name" prompt="Yes. Name of the rule"/>
    <dataValidation sqref="D17:D517" showDropDown="0" showInputMessage="1" showErrorMessage="1" allowBlank="1" errorTitle="Business line" error="The code is not in D0-04, column Code. Enter it there first, or keep it if it is a code BIBS already holds." promptTitle="Business line" prompt="No. Line the rule applies to Allowed: A code of D0-04 Cost centres and business lines, column Code" type="list" errorStyle="warning">
      <formula1>=CODES_D0_04_CODE</formula1>
    </dataValidation>
    <dataValidation sqref="E17:E517" showDropDown="0" showInputMessage="1" showErrorMessage="0" allowBlank="1" promptTitle="Currency" prompt="No. Currency the rule applies to"/>
    <dataValidation sqref="F17:F517" showDropDown="0" showInputMessage="1" showErrorMessage="1" allowBlank="1" errorTitle="Effective from" error="Enter a date, for example 15-Jan-2028." promptTitle="Effective from" prompt="Yes. First posting date of the rule Allowed: A date, for example 15-Jan-2028" type="date" operator="greaterThan">
      <formula1>DATE(1900,1,1)</formula1>
    </dataValidation>
    <dataValidation sqref="G17:G517" showDropDown="0" showInputMessage="1" showErrorMessage="1" allowBlank="1" errorTitle="Line" error="Enter a whole number from 1 to 99." promptTitle="Line" prompt="Yes. Order of the line in the entry Allowed: A whole number from 1 to 99" type="whole" operator="between">
      <formula1>1</formula1>
      <formula2>99</formula2>
    </dataValidation>
    <dataValidation sqref="H17:H517" showDropDown="0" showInputMessage="1" showErrorMessage="1" allowBlank="1" errorTitle="Debit or credit" error="Choose a value of the list Debit or credit (sheet Reference lists)." promptTitle="Debit or credit" prompt="Yes. Side of the line Allowed: DEBIT, CREDIT (list Debit or credit)" type="list" errorStyle="stop">
      <formula1>=LIST_DEBIT_CREDIT</formula1>
    </dataValidation>
    <dataValidation sqref="I17:I517" showDropDown="0" showInputMessage="1" showErrorMessage="1" allowBlank="1" errorTitle="Account code" error="The code is not in D0-06, column Account Code. Enter it there first, or keep it if it is a code BIBS already holds." promptTitle="Account code" prompt="Yes. Account posted Allowed: A code of D0-06 Chart of accounts, column Account Code" type="list" errorStyle="warning">
      <formula1>=CODES_D0_06_ACCOUNT_CODE</formula1>
    </dataValidation>
    <dataValidation sqref="J17:J517" showDropDown="0" showInputMessage="1" showErrorMessage="0" allowBlank="1" promptTitle="Amount component" prompt="Yes. Amount the line posts"/>
    <dataValidation sqref="K17:K517" showDropDown="0" showInputMessage="1" showErrorMessage="0" allowBlank="1" promptTitle="Narration" prompt="No. Text of the journal line"/>
  </dataValidations>
  <hyperlinks>
    <hyperlink ref="A2" location="'Start here'!A1"/>
    <hyperlink ref="K2" location="'Questions and comments'!A1"/>
    <hyperlink ref="B8" location="'D0-04 Dimensions'!A1"/>
    <hyperlink ref="D8" location="'D0-06 Chart of accounts'!A1"/>
    <hyperlink ref="B14" location="'Reference lists'!A206"/>
    <hyperlink ref="D14" location="'D0-04 Dimensions'!C16"/>
    <hyperlink ref="H14" location="'Reference lists'!A296"/>
    <hyperlink ref="I14" location="'D0-06 Chart of account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7.27272727272727" customWidth="1" min="3" max="3"/>
    <col width="22" customWidth="1" min="4" max="4"/>
    <col width="23" customWidth="1" min="5" max="5"/>
    <col width="32" customWidth="1" min="6" max="6"/>
    <col width="12" customWidth="1" min="7" max="7"/>
  </cols>
  <sheetData>
    <row r="1" ht="26" customHeight="1">
      <c r="A1" s="27" t="inlineStr">
        <is>
          <t>D0-09 Legacy control accounts</t>
        </is>
      </c>
      <c r="G1" s="28" t="inlineStr">
        <is>
          <t>Step 19 of 31</t>
        </is>
      </c>
    </row>
    <row r="2">
      <c r="A2" s="29" t="inlineStr">
        <is>
          <t>← Back to Start here</t>
        </is>
      </c>
      <c r="B2" s="30" t="inlineStr">
        <is>
          <t>Step 19 of 31. Fill in one row per record below the column headers; the guide above each column says what to enter.</t>
        </is>
      </c>
      <c r="G2" s="31" t="inlineStr">
        <is>
          <t>Ask a question →</t>
        </is>
      </c>
    </row>
    <row r="3" outlineLevel="1" ht="15.5" customHeight="1">
      <c r="A3" s="32" t="inlineStr">
        <is>
          <t>Purpose</t>
        </is>
      </c>
      <c r="B3" s="33" t="inlineStr">
        <is>
          <t>The accounts that carry the migrated invoices and unapplied payments until they run off, and Migration Clearing</t>
        </is>
      </c>
    </row>
    <row r="4" outlineLevel="1" ht="15.5" customHeight="1">
      <c r="A4" s="32" t="inlineStr">
        <is>
          <t>Provided by</t>
        </is>
      </c>
      <c r="B4" s="33" t="inlineStr">
        <is>
          <t>Head, Comptrollership</t>
        </is>
      </c>
    </row>
    <row r="5" outlineLevel="1" ht="15.5" customHeight="1">
      <c r="A5" s="32" t="inlineStr">
        <is>
          <t>Due</t>
        </is>
      </c>
      <c r="B5" s="34" t="inlineStr">
        <is>
          <t>1-Dec-2026 – Drafts with the Drop 0 sign-off</t>
        </is>
      </c>
    </row>
    <row r="6" outlineLevel="1" ht="15.5" customHeight="1">
      <c r="A6" s="32" t="inlineStr">
        <is>
          <t>How it is loaded</t>
        </is>
      </c>
      <c r="B6" s="33" t="inlineStr">
        <is>
          <t>Created with the chart of accounts (D0-06); named in the accounting rules of the legacy items</t>
        </is>
      </c>
    </row>
    <row r="7" outlineLevel="1" ht="15.5" customHeight="1">
      <c r="A7" s="32" t="inlineStr">
        <is>
          <t>Source</t>
        </is>
      </c>
      <c r="B7" s="33" t="inlineStr">
        <is>
          <t>Proposed rule PR-DM-02 of the Data Migration set</t>
        </is>
      </c>
    </row>
    <row r="8" outlineLevel="1" ht="15" customHeight="1">
      <c r="A8" s="32" t="inlineStr">
        <is>
          <t>Depends on</t>
        </is>
      </c>
      <c r="B8" s="55" t="inlineStr">
        <is>
          <t>D0-06 Chart of accounts →</t>
        </is>
      </c>
    </row>
    <row r="9" ht="26" customHeight="1">
      <c r="A9" s="36" t="inlineStr">
        <is>
          <t>Progress</t>
        </is>
      </c>
      <c r="B9" s="37" t="inlineStr">
        <is>
          <t>Rows entered</t>
        </is>
      </c>
      <c r="C9" s="38">
        <f>SUMPRODUCT(((ROW($B$17:$B$517)&gt;17)+($B$17&lt;&gt;"Migration Clearing")&gt;0)*(LEN($B$17:$B$517&amp;$C$17:$C$517&amp;$D$17:$D$517&amp;$E$17:$E$517&amp;$F$17:$F$517)&gt;0))</f>
        <v/>
      </c>
      <c r="D9" s="37" t="inlineStr">
        <is>
          <t>Mandatory cells missing</t>
        </is>
      </c>
      <c r="E9" s="38">
        <f>SUMPRODUCT(((ROW($B$17:$B$517)&gt;17)+($B$17&lt;&gt;"Migration Clearing")&gt;0)*(LEN($B$17:$B$517&amp;$C$17:$C$517&amp;$D$17:$D$517&amp;$E$17:$E$517&amp;$F$17:$F$517)&gt;0)*(($B$17:$B$517="")+($D$17:$D$517="")))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30" customHeight="1">
      <c r="A12" s="43" t="inlineStr">
        <is>
          <t>Mandatory</t>
        </is>
      </c>
      <c r="B12" s="44" t="inlineStr">
        <is>
          <t>Yes</t>
        </is>
      </c>
      <c r="C12" s="45" t="inlineStr">
        <is>
          <t>Conditional: Premium Receivable - Legacy</t>
        </is>
      </c>
      <c r="D12" s="44" t="inlineStr">
        <is>
          <t>Yes</t>
        </is>
      </c>
      <c r="E12" s="45" t="inlineStr">
        <is>
          <t>No</t>
        </is>
      </c>
      <c r="F12" s="45" t="inlineStr">
        <is>
          <t>No</t>
        </is>
      </c>
    </row>
    <row r="13" ht="108" customHeight="1">
      <c r="A13" s="43" t="inlineStr">
        <is>
          <t>Format</t>
        </is>
      </c>
      <c r="B13" s="45" t="inlineStr">
        <is>
          <t>Premium Receivable - Legacy (per component), PR 2307 - Legacy, Due to Insurers - Legacy, Commission Receivable - Legacy, Unrealised Commission - Legacy, Deferred Output VAT - Legacy, Unapplied Collections - Legacy, Migration Clearing</t>
        </is>
      </c>
      <c r="C13" s="45" t="inlineStr">
        <is>
          <t>Basic premium, DST, premium tax or VAT, LGT, FST, other charges</t>
        </is>
      </c>
      <c r="D13" s="45" t="inlineStr">
        <is>
          <t>Account of D0-06</t>
        </is>
      </c>
      <c r="E13" s="45" t="inlineStr">
        <is>
          <t>EBIX and ISYS account codes separated by commas</t>
        </is>
      </c>
      <c r="F13" s="45" t="inlineStr">
        <is>
          <t>Text</t>
        </is>
      </c>
    </row>
    <row r="14" ht="43" customHeight="1">
      <c r="A14" s="43" t="inlineStr">
        <is>
          <t>Allowed values</t>
        </is>
      </c>
      <c r="B14" s="53" t="inlineStr">
        <is>
          <t>List Legacy control account: 8 values, see Reference lists</t>
        </is>
      </c>
      <c r="C14" s="45" t="inlineStr">
        <is>
          <t>Free entry</t>
        </is>
      </c>
      <c r="D14" s="53" t="inlineStr">
        <is>
          <t>A code of D0-06 Chart of accounts, column Account Code</t>
        </is>
      </c>
      <c r="E14" s="45" t="inlineStr">
        <is>
          <t>Free entry</t>
        </is>
      </c>
      <c r="F14" s="45" t="inlineStr">
        <is>
          <t>Free entry</t>
        </is>
      </c>
    </row>
    <row r="15" ht="43" customHeight="1">
      <c r="A15" s="43" t="inlineStr">
        <is>
          <t>What to enter</t>
        </is>
      </c>
      <c r="B15" s="45" t="inlineStr">
        <is>
          <t>One row per account</t>
        </is>
      </c>
      <c r="C15" s="45" t="inlineStr">
        <is>
          <t>Component the account holds</t>
        </is>
      </c>
      <c r="D15" s="45" t="inlineStr">
        <is>
          <t>Account in the production chart</t>
        </is>
      </c>
      <c r="E15" s="45" t="inlineStr">
        <is>
          <t>The legacy accounts it replaces (for the code map GL_ACCOUNT, R08)</t>
        </is>
      </c>
      <c r="F15" s="45" t="inlineStr">
        <is>
          <t>End state after the run-off</t>
        </is>
      </c>
    </row>
    <row r="16" ht="30" customHeight="1">
      <c r="A16" s="46" t="inlineStr">
        <is>
          <t>Row</t>
        </is>
      </c>
      <c r="B16" s="47" t="inlineStr">
        <is>
          <t>Legacy account *</t>
        </is>
      </c>
      <c r="C16" s="47" t="inlineStr">
        <is>
          <t>Component</t>
        </is>
      </c>
      <c r="D16" s="47" t="inlineStr">
        <is>
          <t>BIBS account code *</t>
        </is>
      </c>
      <c r="E16" s="47" t="inlineStr">
        <is>
          <t>Legacy GL accounts</t>
        </is>
      </c>
      <c r="F16" s="47" t="inlineStr">
        <is>
          <t>Remarks</t>
        </is>
      </c>
    </row>
    <row r="17" ht="18" customHeight="1">
      <c r="A17" s="48" t="inlineStr">
        <is>
          <t>Example – overwrite or delete</t>
        </is>
      </c>
      <c r="B17" s="49" t="inlineStr">
        <is>
          <t>Migration Clearing</t>
        </is>
      </c>
      <c r="C17" s="49" t="n"/>
      <c r="D17" s="49" t="inlineStr">
        <is>
          <t>1990.01</t>
        </is>
      </c>
      <c r="E17" s="49" t="inlineStr">
        <is>
          <t>1210-01</t>
        </is>
      </c>
      <c r="F17" s="49" t="inlineStr">
        <is>
          <t>Nets to 0.00 after the opening</t>
        </is>
      </c>
    </row>
    <row r="18">
      <c r="B18" s="51" t="n"/>
      <c r="C18" s="51" t="n"/>
      <c r="D18" s="51" t="n"/>
      <c r="E18" s="51" t="n"/>
      <c r="F18" s="51" t="n"/>
    </row>
    <row r="19">
      <c r="B19" s="51" t="n"/>
      <c r="C19" s="51" t="n"/>
      <c r="D19" s="51" t="n"/>
      <c r="E19" s="51" t="n"/>
      <c r="F19" s="51" t="n"/>
    </row>
    <row r="20">
      <c r="B20" s="51" t="n"/>
      <c r="C20" s="51" t="n"/>
      <c r="D20" s="51" t="n"/>
      <c r="E20" s="51" t="n"/>
      <c r="F20" s="51" t="n"/>
    </row>
    <row r="21">
      <c r="B21" s="51" t="n"/>
      <c r="C21" s="51" t="n"/>
      <c r="D21" s="51" t="n"/>
      <c r="E21" s="51" t="n"/>
      <c r="F21" s="51" t="n"/>
    </row>
    <row r="22">
      <c r="B22" s="51" t="n"/>
      <c r="C22" s="51" t="n"/>
      <c r="D22" s="51" t="n"/>
      <c r="E22" s="51" t="n"/>
      <c r="F22" s="51" t="n"/>
    </row>
    <row r="23">
      <c r="B23" s="51" t="n"/>
      <c r="C23" s="51" t="n"/>
      <c r="D23" s="51" t="n"/>
      <c r="E23" s="51" t="n"/>
      <c r="F23" s="51" t="n"/>
    </row>
    <row r="24">
      <c r="B24" s="51" t="n"/>
      <c r="C24" s="51" t="n"/>
      <c r="D24" s="51" t="n"/>
      <c r="E24" s="51" t="n"/>
      <c r="F24" s="51" t="n"/>
    </row>
    <row r="25">
      <c r="B25" s="51" t="n"/>
      <c r="C25" s="51" t="n"/>
      <c r="D25" s="51" t="n"/>
      <c r="E25" s="51" t="n"/>
      <c r="F25" s="51" t="n"/>
    </row>
    <row r="26">
      <c r="B26" s="51" t="n"/>
      <c r="C26" s="51" t="n"/>
      <c r="D26" s="51" t="n"/>
      <c r="E26" s="51" t="n"/>
      <c r="F26" s="51" t="n"/>
    </row>
    <row r="27">
      <c r="B27" s="51" t="n"/>
      <c r="C27" s="51" t="n"/>
      <c r="D27" s="51" t="n"/>
      <c r="E27" s="51" t="n"/>
      <c r="F27" s="51" t="n"/>
    </row>
    <row r="28">
      <c r="B28" s="51" t="n"/>
      <c r="C28" s="51" t="n"/>
      <c r="D28" s="51" t="n"/>
      <c r="E28" s="51" t="n"/>
      <c r="F28" s="51" t="n"/>
    </row>
    <row r="29">
      <c r="B29" s="51" t="n"/>
      <c r="C29" s="51" t="n"/>
      <c r="D29" s="51" t="n"/>
      <c r="E29" s="51" t="n"/>
      <c r="F29" s="51" t="n"/>
    </row>
    <row r="30">
      <c r="B30" s="51" t="n"/>
      <c r="C30" s="51" t="n"/>
      <c r="D30" s="51" t="n"/>
      <c r="E30" s="51" t="n"/>
      <c r="F30" s="51" t="n"/>
    </row>
    <row r="31">
      <c r="B31" s="51" t="n"/>
      <c r="C31" s="51" t="n"/>
      <c r="D31" s="51" t="n"/>
      <c r="E31" s="51" t="n"/>
      <c r="F31" s="51" t="n"/>
    </row>
    <row r="32">
      <c r="B32" s="51" t="n"/>
      <c r="C32" s="51" t="n"/>
      <c r="D32" s="51" t="n"/>
      <c r="E32" s="51" t="n"/>
      <c r="F32" s="51" t="n"/>
    </row>
    <row r="33">
      <c r="B33" s="51" t="n"/>
      <c r="C33" s="51" t="n"/>
      <c r="D33" s="51" t="n"/>
      <c r="E33" s="51" t="n"/>
      <c r="F33" s="51" t="n"/>
    </row>
    <row r="34">
      <c r="B34" s="51" t="n"/>
      <c r="C34" s="51" t="n"/>
      <c r="D34" s="51" t="n"/>
      <c r="E34" s="51" t="n"/>
      <c r="F34" s="51" t="n"/>
    </row>
    <row r="35">
      <c r="B35" s="51" t="n"/>
      <c r="C35" s="51" t="n"/>
      <c r="D35" s="51" t="n"/>
      <c r="E35" s="51" t="n"/>
      <c r="F35" s="51" t="n"/>
    </row>
    <row r="36">
      <c r="B36" s="51" t="n"/>
      <c r="C36" s="51" t="n"/>
      <c r="D36" s="51" t="n"/>
      <c r="E36" s="51" t="n"/>
      <c r="F36" s="51" t="n"/>
    </row>
    <row r="37">
      <c r="B37" s="51" t="n"/>
      <c r="C37" s="51" t="n"/>
      <c r="D37" s="51" t="n"/>
      <c r="E37" s="51" t="n"/>
      <c r="F37" s="51" t="n"/>
    </row>
    <row r="38">
      <c r="B38" s="51" t="n"/>
      <c r="C38" s="51" t="n"/>
      <c r="D38" s="51" t="n"/>
      <c r="E38" s="51" t="n"/>
      <c r="F38" s="51" t="n"/>
    </row>
    <row r="39">
      <c r="B39" s="51" t="n"/>
      <c r="C39" s="51" t="n"/>
      <c r="D39" s="51" t="n"/>
      <c r="E39" s="51" t="n"/>
      <c r="F39" s="51" t="n"/>
    </row>
    <row r="40">
      <c r="B40" s="51" t="n"/>
      <c r="C40" s="51" t="n"/>
      <c r="D40" s="51" t="n"/>
      <c r="E40" s="51" t="n"/>
      <c r="F40" s="51" t="n"/>
    </row>
    <row r="41">
      <c r="B41" s="51" t="n"/>
      <c r="C41" s="51" t="n"/>
      <c r="D41" s="51" t="n"/>
      <c r="E41" s="51" t="n"/>
      <c r="F41" s="51" t="n"/>
    </row>
    <row r="42">
      <c r="B42" s="51" t="n"/>
      <c r="C42" s="51" t="n"/>
      <c r="D42" s="51" t="n"/>
      <c r="E42" s="51" t="n"/>
      <c r="F42" s="51" t="n"/>
    </row>
    <row r="43">
      <c r="B43" s="51" t="n"/>
      <c r="C43" s="51" t="n"/>
      <c r="D43" s="51" t="n"/>
      <c r="E43" s="51" t="n"/>
      <c r="F43" s="51" t="n"/>
    </row>
    <row r="44">
      <c r="B44" s="51" t="n"/>
      <c r="C44" s="51" t="n"/>
      <c r="D44" s="51" t="n"/>
      <c r="E44" s="51" t="n"/>
      <c r="F44" s="51" t="n"/>
    </row>
    <row r="45">
      <c r="B45" s="51" t="n"/>
      <c r="C45" s="51" t="n"/>
      <c r="D45" s="51" t="n"/>
      <c r="E45" s="51" t="n"/>
      <c r="F45" s="51" t="n"/>
    </row>
    <row r="46">
      <c r="B46" s="51" t="n"/>
      <c r="C46" s="51" t="n"/>
      <c r="D46" s="51" t="n"/>
      <c r="E46" s="51" t="n"/>
      <c r="F46" s="51" t="n"/>
    </row>
    <row r="47">
      <c r="B47" s="51" t="n"/>
      <c r="C47" s="51" t="n"/>
      <c r="D47" s="51" t="n"/>
      <c r="E47" s="51" t="n"/>
      <c r="F47" s="51" t="n"/>
    </row>
    <row r="48">
      <c r="B48" s="51" t="n"/>
      <c r="C48" s="51" t="n"/>
      <c r="D48" s="51" t="n"/>
      <c r="E48" s="51" t="n"/>
      <c r="F48" s="51" t="n"/>
    </row>
    <row r="49">
      <c r="B49" s="51" t="n"/>
      <c r="C49" s="51" t="n"/>
      <c r="D49" s="51" t="n"/>
      <c r="E49" s="51" t="n"/>
      <c r="F49" s="51" t="n"/>
    </row>
    <row r="50">
      <c r="B50" s="51" t="n"/>
      <c r="C50" s="51" t="n"/>
      <c r="D50" s="51" t="n"/>
      <c r="E50" s="51" t="n"/>
      <c r="F50" s="51" t="n"/>
    </row>
    <row r="51">
      <c r="B51" s="51" t="n"/>
      <c r="C51" s="51" t="n"/>
      <c r="D51" s="51" t="n"/>
      <c r="E51" s="51" t="n"/>
      <c r="F51" s="51" t="n"/>
    </row>
    <row r="52">
      <c r="B52" s="51" t="n"/>
      <c r="C52" s="51" t="n"/>
      <c r="D52" s="51" t="n"/>
      <c r="E52" s="51" t="n"/>
      <c r="F52" s="51" t="n"/>
    </row>
    <row r="53">
      <c r="B53" s="51" t="n"/>
      <c r="C53" s="51" t="n"/>
      <c r="D53" s="51" t="n"/>
      <c r="E53" s="51" t="n"/>
      <c r="F53" s="51" t="n"/>
    </row>
    <row r="54">
      <c r="B54" s="51" t="n"/>
      <c r="C54" s="51" t="n"/>
      <c r="D54" s="51" t="n"/>
      <c r="E54" s="51" t="n"/>
      <c r="F54" s="51" t="n"/>
    </row>
    <row r="55">
      <c r="B55" s="51" t="n"/>
      <c r="C55" s="51" t="n"/>
      <c r="D55" s="51" t="n"/>
      <c r="E55" s="51" t="n"/>
      <c r="F55" s="51" t="n"/>
    </row>
    <row r="56">
      <c r="B56" s="51" t="n"/>
      <c r="C56" s="51" t="n"/>
      <c r="D56" s="51" t="n"/>
      <c r="E56" s="51" t="n"/>
      <c r="F56" s="51" t="n"/>
    </row>
    <row r="57">
      <c r="B57" s="51" t="n"/>
      <c r="C57" s="51" t="n"/>
      <c r="D57" s="51" t="n"/>
      <c r="E57" s="51" t="n"/>
      <c r="F57" s="51" t="n"/>
    </row>
    <row r="58">
      <c r="B58" s="51" t="n"/>
      <c r="C58" s="51" t="n"/>
      <c r="D58" s="51" t="n"/>
      <c r="E58" s="51" t="n"/>
      <c r="F58" s="51" t="n"/>
    </row>
    <row r="59">
      <c r="B59" s="51" t="n"/>
      <c r="C59" s="51" t="n"/>
      <c r="D59" s="51" t="n"/>
      <c r="E59" s="51" t="n"/>
      <c r="F59" s="51" t="n"/>
    </row>
    <row r="60">
      <c r="B60" s="51" t="n"/>
      <c r="C60" s="51" t="n"/>
      <c r="D60" s="51" t="n"/>
      <c r="E60" s="51" t="n"/>
      <c r="F60" s="51" t="n"/>
    </row>
    <row r="61">
      <c r="B61" s="51" t="n"/>
      <c r="C61" s="51" t="n"/>
      <c r="D61" s="51" t="n"/>
      <c r="E61" s="51" t="n"/>
      <c r="F61" s="51" t="n"/>
    </row>
    <row r="62">
      <c r="B62" s="51" t="n"/>
      <c r="C62" s="51" t="n"/>
      <c r="D62" s="51" t="n"/>
      <c r="E62" s="51" t="n"/>
      <c r="F62" s="51" t="n"/>
    </row>
    <row r="63">
      <c r="B63" s="51" t="n"/>
      <c r="C63" s="51" t="n"/>
      <c r="D63" s="51" t="n"/>
      <c r="E63" s="51" t="n"/>
      <c r="F63" s="51" t="n"/>
    </row>
    <row r="64">
      <c r="B64" s="51" t="n"/>
      <c r="C64" s="51" t="n"/>
      <c r="D64" s="51" t="n"/>
      <c r="E64" s="51" t="n"/>
      <c r="F64" s="51" t="n"/>
    </row>
    <row r="65">
      <c r="B65" s="51" t="n"/>
      <c r="C65" s="51" t="n"/>
      <c r="D65" s="51" t="n"/>
      <c r="E65" s="51" t="n"/>
      <c r="F65" s="51" t="n"/>
    </row>
    <row r="66">
      <c r="B66" s="51" t="n"/>
      <c r="C66" s="51" t="n"/>
      <c r="D66" s="51" t="n"/>
      <c r="E66" s="51" t="n"/>
      <c r="F66" s="51" t="n"/>
    </row>
    <row r="67">
      <c r="B67" s="51" t="n"/>
      <c r="C67" s="51" t="n"/>
      <c r="D67" s="51" t="n"/>
      <c r="E67" s="51" t="n"/>
      <c r="F67" s="51" t="n"/>
    </row>
    <row r="68">
      <c r="B68" s="51" t="n"/>
      <c r="C68" s="51" t="n"/>
      <c r="D68" s="51" t="n"/>
      <c r="E68" s="51" t="n"/>
      <c r="F68" s="51" t="n"/>
    </row>
    <row r="69">
      <c r="B69" s="51" t="n"/>
      <c r="C69" s="51" t="n"/>
      <c r="D69" s="51" t="n"/>
      <c r="E69" s="51" t="n"/>
      <c r="F69" s="51" t="n"/>
    </row>
    <row r="70">
      <c r="B70" s="51" t="n"/>
      <c r="C70" s="51" t="n"/>
      <c r="D70" s="51" t="n"/>
      <c r="E70" s="51" t="n"/>
      <c r="F70" s="51" t="n"/>
    </row>
    <row r="71">
      <c r="B71" s="51" t="n"/>
      <c r="C71" s="51" t="n"/>
      <c r="D71" s="51" t="n"/>
      <c r="E71" s="51" t="n"/>
      <c r="F71" s="51" t="n"/>
    </row>
    <row r="72">
      <c r="B72" s="51" t="n"/>
      <c r="C72" s="51" t="n"/>
      <c r="D72" s="51" t="n"/>
      <c r="E72" s="51" t="n"/>
      <c r="F72" s="51" t="n"/>
    </row>
    <row r="73">
      <c r="B73" s="51" t="n"/>
      <c r="C73" s="51" t="n"/>
      <c r="D73" s="51" t="n"/>
      <c r="E73" s="51" t="n"/>
      <c r="F73" s="51" t="n"/>
    </row>
    <row r="74">
      <c r="B74" s="51" t="n"/>
      <c r="C74" s="51" t="n"/>
      <c r="D74" s="51" t="n"/>
      <c r="E74" s="51" t="n"/>
      <c r="F74" s="51" t="n"/>
    </row>
    <row r="75">
      <c r="B75" s="51" t="n"/>
      <c r="C75" s="51" t="n"/>
      <c r="D75" s="51" t="n"/>
      <c r="E75" s="51" t="n"/>
      <c r="F75" s="51" t="n"/>
    </row>
    <row r="76">
      <c r="B76" s="51" t="n"/>
      <c r="C76" s="51" t="n"/>
      <c r="D76" s="51" t="n"/>
      <c r="E76" s="51" t="n"/>
      <c r="F76" s="51" t="n"/>
    </row>
    <row r="77">
      <c r="B77" s="51" t="n"/>
      <c r="C77" s="51" t="n"/>
      <c r="D77" s="51" t="n"/>
      <c r="E77" s="51" t="n"/>
      <c r="F77" s="51" t="n"/>
    </row>
    <row r="78">
      <c r="B78" s="51" t="n"/>
      <c r="C78" s="51" t="n"/>
      <c r="D78" s="51" t="n"/>
      <c r="E78" s="51" t="n"/>
      <c r="F78" s="51" t="n"/>
    </row>
    <row r="79">
      <c r="B79" s="51" t="n"/>
      <c r="C79" s="51" t="n"/>
      <c r="D79" s="51" t="n"/>
      <c r="E79" s="51" t="n"/>
      <c r="F79" s="51" t="n"/>
    </row>
    <row r="80">
      <c r="B80" s="51" t="n"/>
      <c r="C80" s="51" t="n"/>
      <c r="D80" s="51" t="n"/>
      <c r="E80" s="51" t="n"/>
      <c r="F80" s="51" t="n"/>
    </row>
    <row r="81">
      <c r="B81" s="51" t="n"/>
      <c r="C81" s="51" t="n"/>
      <c r="D81" s="51" t="n"/>
      <c r="E81" s="51" t="n"/>
      <c r="F81" s="51" t="n"/>
    </row>
    <row r="82">
      <c r="B82" s="51" t="n"/>
      <c r="C82" s="51" t="n"/>
      <c r="D82" s="51" t="n"/>
      <c r="E82" s="51" t="n"/>
      <c r="F82" s="51" t="n"/>
    </row>
    <row r="83">
      <c r="B83" s="51" t="n"/>
      <c r="C83" s="51" t="n"/>
      <c r="D83" s="51" t="n"/>
      <c r="E83" s="51" t="n"/>
      <c r="F83" s="51" t="n"/>
    </row>
    <row r="84">
      <c r="B84" s="51" t="n"/>
      <c r="C84" s="51" t="n"/>
      <c r="D84" s="51" t="n"/>
      <c r="E84" s="51" t="n"/>
      <c r="F84" s="51" t="n"/>
    </row>
    <row r="85">
      <c r="B85" s="51" t="n"/>
      <c r="C85" s="51" t="n"/>
      <c r="D85" s="51" t="n"/>
      <c r="E85" s="51" t="n"/>
      <c r="F85" s="51" t="n"/>
    </row>
    <row r="86">
      <c r="B86" s="51" t="n"/>
      <c r="C86" s="51" t="n"/>
      <c r="D86" s="51" t="n"/>
      <c r="E86" s="51" t="n"/>
      <c r="F86" s="51" t="n"/>
    </row>
    <row r="87">
      <c r="B87" s="51" t="n"/>
      <c r="C87" s="51" t="n"/>
      <c r="D87" s="51" t="n"/>
      <c r="E87" s="51" t="n"/>
      <c r="F87" s="51" t="n"/>
    </row>
    <row r="88">
      <c r="B88" s="51" t="n"/>
      <c r="C88" s="51" t="n"/>
      <c r="D88" s="51" t="n"/>
      <c r="E88" s="51" t="n"/>
      <c r="F88" s="51" t="n"/>
    </row>
    <row r="89">
      <c r="B89" s="51" t="n"/>
      <c r="C89" s="51" t="n"/>
      <c r="D89" s="51" t="n"/>
      <c r="E89" s="51" t="n"/>
      <c r="F89" s="51" t="n"/>
    </row>
    <row r="90">
      <c r="B90" s="51" t="n"/>
      <c r="C90" s="51" t="n"/>
      <c r="D90" s="51" t="n"/>
      <c r="E90" s="51" t="n"/>
      <c r="F90" s="51" t="n"/>
    </row>
    <row r="91">
      <c r="B91" s="51" t="n"/>
      <c r="C91" s="51" t="n"/>
      <c r="D91" s="51" t="n"/>
      <c r="E91" s="51" t="n"/>
      <c r="F91" s="51" t="n"/>
    </row>
    <row r="92">
      <c r="B92" s="51" t="n"/>
      <c r="C92" s="51" t="n"/>
      <c r="D92" s="51" t="n"/>
      <c r="E92" s="51" t="n"/>
      <c r="F92" s="51" t="n"/>
    </row>
    <row r="93">
      <c r="B93" s="51" t="n"/>
      <c r="C93" s="51" t="n"/>
      <c r="D93" s="51" t="n"/>
      <c r="E93" s="51" t="n"/>
      <c r="F93" s="51" t="n"/>
    </row>
    <row r="94">
      <c r="B94" s="51" t="n"/>
      <c r="C94" s="51" t="n"/>
      <c r="D94" s="51" t="n"/>
      <c r="E94" s="51" t="n"/>
      <c r="F94" s="51" t="n"/>
    </row>
    <row r="95">
      <c r="B95" s="51" t="n"/>
      <c r="C95" s="51" t="n"/>
      <c r="D95" s="51" t="n"/>
      <c r="E95" s="51" t="n"/>
      <c r="F95" s="51" t="n"/>
    </row>
    <row r="96">
      <c r="B96" s="51" t="n"/>
      <c r="C96" s="51" t="n"/>
      <c r="D96" s="51" t="n"/>
      <c r="E96" s="51" t="n"/>
      <c r="F96" s="51" t="n"/>
    </row>
    <row r="97">
      <c r="B97" s="51" t="n"/>
      <c r="C97" s="51" t="n"/>
      <c r="D97" s="51" t="n"/>
      <c r="E97" s="51" t="n"/>
      <c r="F97" s="51" t="n"/>
    </row>
    <row r="98">
      <c r="B98" s="51" t="n"/>
      <c r="C98" s="51" t="n"/>
      <c r="D98" s="51" t="n"/>
      <c r="E98" s="51" t="n"/>
      <c r="F98" s="51" t="n"/>
    </row>
    <row r="99">
      <c r="B99" s="51" t="n"/>
      <c r="C99" s="51" t="n"/>
      <c r="D99" s="51" t="n"/>
      <c r="E99" s="51" t="n"/>
      <c r="F99" s="51" t="n"/>
    </row>
    <row r="100">
      <c r="B100" s="51" t="n"/>
      <c r="C100" s="51" t="n"/>
      <c r="D100" s="51" t="n"/>
      <c r="E100" s="51" t="n"/>
      <c r="F100" s="51" t="n"/>
    </row>
    <row r="101">
      <c r="B101" s="51" t="n"/>
      <c r="C101" s="51" t="n"/>
      <c r="D101" s="51" t="n"/>
      <c r="E101" s="51" t="n"/>
      <c r="F101" s="51" t="n"/>
    </row>
    <row r="102">
      <c r="B102" s="51" t="n"/>
      <c r="C102" s="51" t="n"/>
      <c r="D102" s="51" t="n"/>
      <c r="E102" s="51" t="n"/>
      <c r="F102" s="51" t="n"/>
    </row>
    <row r="103">
      <c r="B103" s="51" t="n"/>
      <c r="C103" s="51" t="n"/>
      <c r="D103" s="51" t="n"/>
      <c r="E103" s="51" t="n"/>
      <c r="F103" s="51" t="n"/>
    </row>
    <row r="104">
      <c r="B104" s="51" t="n"/>
      <c r="C104" s="51" t="n"/>
      <c r="D104" s="51" t="n"/>
      <c r="E104" s="51" t="n"/>
      <c r="F104" s="51" t="n"/>
    </row>
    <row r="105">
      <c r="B105" s="51" t="n"/>
      <c r="C105" s="51" t="n"/>
      <c r="D105" s="51" t="n"/>
      <c r="E105" s="51" t="n"/>
      <c r="F105" s="51" t="n"/>
    </row>
    <row r="106">
      <c r="B106" s="51" t="n"/>
      <c r="C106" s="51" t="n"/>
      <c r="D106" s="51" t="n"/>
      <c r="E106" s="51" t="n"/>
      <c r="F106" s="51" t="n"/>
    </row>
    <row r="107">
      <c r="B107" s="51" t="n"/>
      <c r="C107" s="51" t="n"/>
      <c r="D107" s="51" t="n"/>
      <c r="E107" s="51" t="n"/>
      <c r="F107" s="51" t="n"/>
    </row>
    <row r="108">
      <c r="B108" s="51" t="n"/>
      <c r="C108" s="51" t="n"/>
      <c r="D108" s="51" t="n"/>
      <c r="E108" s="51" t="n"/>
      <c r="F108" s="51" t="n"/>
    </row>
    <row r="109">
      <c r="B109" s="51" t="n"/>
      <c r="C109" s="51" t="n"/>
      <c r="D109" s="51" t="n"/>
      <c r="E109" s="51" t="n"/>
      <c r="F109" s="51" t="n"/>
    </row>
    <row r="110">
      <c r="B110" s="51" t="n"/>
      <c r="C110" s="51" t="n"/>
      <c r="D110" s="51" t="n"/>
      <c r="E110" s="51" t="n"/>
      <c r="F110" s="51" t="n"/>
    </row>
    <row r="111">
      <c r="B111" s="51" t="n"/>
      <c r="C111" s="51" t="n"/>
      <c r="D111" s="51" t="n"/>
      <c r="E111" s="51" t="n"/>
      <c r="F111" s="51" t="n"/>
    </row>
    <row r="112">
      <c r="B112" s="51" t="n"/>
      <c r="C112" s="51" t="n"/>
      <c r="D112" s="51" t="n"/>
      <c r="E112" s="51" t="n"/>
      <c r="F112" s="51" t="n"/>
    </row>
    <row r="113">
      <c r="B113" s="51" t="n"/>
      <c r="C113" s="51" t="n"/>
      <c r="D113" s="51" t="n"/>
      <c r="E113" s="51" t="n"/>
      <c r="F113" s="51" t="n"/>
    </row>
    <row r="114">
      <c r="B114" s="51" t="n"/>
      <c r="C114" s="51" t="n"/>
      <c r="D114" s="51" t="n"/>
      <c r="E114" s="51" t="n"/>
      <c r="F114" s="51" t="n"/>
    </row>
    <row r="115">
      <c r="B115" s="51" t="n"/>
      <c r="C115" s="51" t="n"/>
      <c r="D115" s="51" t="n"/>
      <c r="E115" s="51" t="n"/>
      <c r="F115" s="51" t="n"/>
    </row>
    <row r="116">
      <c r="B116" s="51" t="n"/>
      <c r="C116" s="51" t="n"/>
      <c r="D116" s="51" t="n"/>
      <c r="E116" s="51" t="n"/>
      <c r="F116" s="51" t="n"/>
    </row>
    <row r="117">
      <c r="B117" s="51" t="n"/>
      <c r="C117" s="51" t="n"/>
      <c r="D117" s="51" t="n"/>
      <c r="E117" s="51" t="n"/>
      <c r="F117" s="51" t="n"/>
    </row>
    <row r="118">
      <c r="B118" s="51" t="n"/>
      <c r="C118" s="51" t="n"/>
      <c r="D118" s="51" t="n"/>
      <c r="E118" s="51" t="n"/>
      <c r="F118" s="51" t="n"/>
    </row>
    <row r="119">
      <c r="B119" s="51" t="n"/>
      <c r="C119" s="51" t="n"/>
      <c r="D119" s="51" t="n"/>
      <c r="E119" s="51" t="n"/>
      <c r="F119" s="51" t="n"/>
    </row>
    <row r="120">
      <c r="B120" s="51" t="n"/>
      <c r="C120" s="51" t="n"/>
      <c r="D120" s="51" t="n"/>
      <c r="E120" s="51" t="n"/>
      <c r="F120" s="51" t="n"/>
    </row>
    <row r="121">
      <c r="B121" s="51" t="n"/>
      <c r="C121" s="51" t="n"/>
      <c r="D121" s="51" t="n"/>
      <c r="E121" s="51" t="n"/>
      <c r="F121" s="51" t="n"/>
    </row>
    <row r="122">
      <c r="B122" s="51" t="n"/>
      <c r="C122" s="51" t="n"/>
      <c r="D122" s="51" t="n"/>
      <c r="E122" s="51" t="n"/>
      <c r="F122" s="51" t="n"/>
    </row>
    <row r="123">
      <c r="B123" s="51" t="n"/>
      <c r="C123" s="51" t="n"/>
      <c r="D123" s="51" t="n"/>
      <c r="E123" s="51" t="n"/>
      <c r="F123" s="51" t="n"/>
    </row>
    <row r="124">
      <c r="B124" s="51" t="n"/>
      <c r="C124" s="51" t="n"/>
      <c r="D124" s="51" t="n"/>
      <c r="E124" s="51" t="n"/>
      <c r="F124" s="51" t="n"/>
    </row>
    <row r="125">
      <c r="B125" s="51" t="n"/>
      <c r="C125" s="51" t="n"/>
      <c r="D125" s="51" t="n"/>
      <c r="E125" s="51" t="n"/>
      <c r="F125" s="51" t="n"/>
    </row>
    <row r="126">
      <c r="B126" s="51" t="n"/>
      <c r="C126" s="51" t="n"/>
      <c r="D126" s="51" t="n"/>
      <c r="E126" s="51" t="n"/>
      <c r="F126" s="51" t="n"/>
    </row>
    <row r="127">
      <c r="B127" s="51" t="n"/>
      <c r="C127" s="51" t="n"/>
      <c r="D127" s="51" t="n"/>
      <c r="E127" s="51" t="n"/>
      <c r="F127" s="51" t="n"/>
    </row>
    <row r="128">
      <c r="B128" s="51" t="n"/>
      <c r="C128" s="51" t="n"/>
      <c r="D128" s="51" t="n"/>
      <c r="E128" s="51" t="n"/>
      <c r="F128" s="51" t="n"/>
    </row>
    <row r="129">
      <c r="B129" s="51" t="n"/>
      <c r="C129" s="51" t="n"/>
      <c r="D129" s="51" t="n"/>
      <c r="E129" s="51" t="n"/>
      <c r="F129" s="51" t="n"/>
    </row>
    <row r="130">
      <c r="B130" s="51" t="n"/>
      <c r="C130" s="51" t="n"/>
      <c r="D130" s="51" t="n"/>
      <c r="E130" s="51" t="n"/>
      <c r="F130" s="51" t="n"/>
    </row>
    <row r="131">
      <c r="B131" s="51" t="n"/>
      <c r="C131" s="51" t="n"/>
      <c r="D131" s="51" t="n"/>
      <c r="E131" s="51" t="n"/>
      <c r="F131" s="51" t="n"/>
    </row>
    <row r="132">
      <c r="B132" s="51" t="n"/>
      <c r="C132" s="51" t="n"/>
      <c r="D132" s="51" t="n"/>
      <c r="E132" s="51" t="n"/>
      <c r="F132" s="51" t="n"/>
    </row>
    <row r="133">
      <c r="B133" s="51" t="n"/>
      <c r="C133" s="51" t="n"/>
      <c r="D133" s="51" t="n"/>
      <c r="E133" s="51" t="n"/>
      <c r="F133" s="51" t="n"/>
    </row>
    <row r="134">
      <c r="B134" s="51" t="n"/>
      <c r="C134" s="51" t="n"/>
      <c r="D134" s="51" t="n"/>
      <c r="E134" s="51" t="n"/>
      <c r="F134" s="51" t="n"/>
    </row>
    <row r="135">
      <c r="B135" s="51" t="n"/>
      <c r="C135" s="51" t="n"/>
      <c r="D135" s="51" t="n"/>
      <c r="E135" s="51" t="n"/>
      <c r="F135" s="51" t="n"/>
    </row>
    <row r="136">
      <c r="B136" s="51" t="n"/>
      <c r="C136" s="51" t="n"/>
      <c r="D136" s="51" t="n"/>
      <c r="E136" s="51" t="n"/>
      <c r="F136" s="51" t="n"/>
    </row>
    <row r="137">
      <c r="B137" s="51" t="n"/>
      <c r="C137" s="51" t="n"/>
      <c r="D137" s="51" t="n"/>
      <c r="E137" s="51" t="n"/>
      <c r="F137" s="51" t="n"/>
    </row>
    <row r="138">
      <c r="B138" s="51" t="n"/>
      <c r="C138" s="51" t="n"/>
      <c r="D138" s="51" t="n"/>
      <c r="E138" s="51" t="n"/>
      <c r="F138" s="51" t="n"/>
    </row>
    <row r="139">
      <c r="B139" s="51" t="n"/>
      <c r="C139" s="51" t="n"/>
      <c r="D139" s="51" t="n"/>
      <c r="E139" s="51" t="n"/>
      <c r="F139" s="51" t="n"/>
    </row>
    <row r="140">
      <c r="B140" s="51" t="n"/>
      <c r="C140" s="51" t="n"/>
      <c r="D140" s="51" t="n"/>
      <c r="E140" s="51" t="n"/>
      <c r="F140" s="51" t="n"/>
    </row>
    <row r="141">
      <c r="B141" s="51" t="n"/>
      <c r="C141" s="51" t="n"/>
      <c r="D141" s="51" t="n"/>
      <c r="E141" s="51" t="n"/>
      <c r="F141" s="51" t="n"/>
    </row>
    <row r="142">
      <c r="B142" s="51" t="n"/>
      <c r="C142" s="51" t="n"/>
      <c r="D142" s="51" t="n"/>
      <c r="E142" s="51" t="n"/>
      <c r="F142" s="51" t="n"/>
    </row>
    <row r="143">
      <c r="B143" s="51" t="n"/>
      <c r="C143" s="51" t="n"/>
      <c r="D143" s="51" t="n"/>
      <c r="E143" s="51" t="n"/>
      <c r="F143" s="51" t="n"/>
    </row>
    <row r="144">
      <c r="B144" s="51" t="n"/>
      <c r="C144" s="51" t="n"/>
      <c r="D144" s="51" t="n"/>
      <c r="E144" s="51" t="n"/>
      <c r="F144" s="51" t="n"/>
    </row>
    <row r="145">
      <c r="B145" s="51" t="n"/>
      <c r="C145" s="51" t="n"/>
      <c r="D145" s="51" t="n"/>
      <c r="E145" s="51" t="n"/>
      <c r="F145" s="51" t="n"/>
    </row>
    <row r="146">
      <c r="B146" s="51" t="n"/>
      <c r="C146" s="51" t="n"/>
      <c r="D146" s="51" t="n"/>
      <c r="E146" s="51" t="n"/>
      <c r="F146" s="51" t="n"/>
    </row>
    <row r="147">
      <c r="B147" s="51" t="n"/>
      <c r="C147" s="51" t="n"/>
      <c r="D147" s="51" t="n"/>
      <c r="E147" s="51" t="n"/>
      <c r="F147" s="51" t="n"/>
    </row>
    <row r="148">
      <c r="B148" s="51" t="n"/>
      <c r="C148" s="51" t="n"/>
      <c r="D148" s="51" t="n"/>
      <c r="E148" s="51" t="n"/>
      <c r="F148" s="51" t="n"/>
    </row>
    <row r="149">
      <c r="B149" s="51" t="n"/>
      <c r="C149" s="51" t="n"/>
      <c r="D149" s="51" t="n"/>
      <c r="E149" s="51" t="n"/>
      <c r="F149" s="51" t="n"/>
    </row>
    <row r="150">
      <c r="B150" s="51" t="n"/>
      <c r="C150" s="51" t="n"/>
      <c r="D150" s="51" t="n"/>
      <c r="E150" s="51" t="n"/>
      <c r="F150" s="51" t="n"/>
    </row>
    <row r="151">
      <c r="B151" s="51" t="n"/>
      <c r="C151" s="51" t="n"/>
      <c r="D151" s="51" t="n"/>
      <c r="E151" s="51" t="n"/>
      <c r="F151" s="51" t="n"/>
    </row>
    <row r="152">
      <c r="B152" s="51" t="n"/>
      <c r="C152" s="51" t="n"/>
      <c r="D152" s="51" t="n"/>
      <c r="E152" s="51" t="n"/>
      <c r="F152" s="51" t="n"/>
    </row>
    <row r="153">
      <c r="B153" s="51" t="n"/>
      <c r="C153" s="51" t="n"/>
      <c r="D153" s="51" t="n"/>
      <c r="E153" s="51" t="n"/>
      <c r="F153" s="51" t="n"/>
    </row>
    <row r="154">
      <c r="B154" s="51" t="n"/>
      <c r="C154" s="51" t="n"/>
      <c r="D154" s="51" t="n"/>
      <c r="E154" s="51" t="n"/>
      <c r="F154" s="51" t="n"/>
    </row>
    <row r="155">
      <c r="B155" s="51" t="n"/>
      <c r="C155" s="51" t="n"/>
      <c r="D155" s="51" t="n"/>
      <c r="E155" s="51" t="n"/>
      <c r="F155" s="51" t="n"/>
    </row>
    <row r="156">
      <c r="B156" s="51" t="n"/>
      <c r="C156" s="51" t="n"/>
      <c r="D156" s="51" t="n"/>
      <c r="E156" s="51" t="n"/>
      <c r="F156" s="51" t="n"/>
    </row>
    <row r="157">
      <c r="B157" s="51" t="n"/>
      <c r="C157" s="51" t="n"/>
      <c r="D157" s="51" t="n"/>
      <c r="E157" s="51" t="n"/>
      <c r="F157" s="51" t="n"/>
    </row>
    <row r="158">
      <c r="B158" s="51" t="n"/>
      <c r="C158" s="51" t="n"/>
      <c r="D158" s="51" t="n"/>
      <c r="E158" s="51" t="n"/>
      <c r="F158" s="51" t="n"/>
    </row>
    <row r="159">
      <c r="B159" s="51" t="n"/>
      <c r="C159" s="51" t="n"/>
      <c r="D159" s="51" t="n"/>
      <c r="E159" s="51" t="n"/>
      <c r="F159" s="51" t="n"/>
    </row>
    <row r="160">
      <c r="B160" s="51" t="n"/>
      <c r="C160" s="51" t="n"/>
      <c r="D160" s="51" t="n"/>
      <c r="E160" s="51" t="n"/>
      <c r="F160" s="51" t="n"/>
    </row>
    <row r="161">
      <c r="B161" s="51" t="n"/>
      <c r="C161" s="51" t="n"/>
      <c r="D161" s="51" t="n"/>
      <c r="E161" s="51" t="n"/>
      <c r="F161" s="51" t="n"/>
    </row>
    <row r="162">
      <c r="B162" s="51" t="n"/>
      <c r="C162" s="51" t="n"/>
      <c r="D162" s="51" t="n"/>
      <c r="E162" s="51" t="n"/>
      <c r="F162" s="51" t="n"/>
    </row>
    <row r="163">
      <c r="B163" s="51" t="n"/>
      <c r="C163" s="51" t="n"/>
      <c r="D163" s="51" t="n"/>
      <c r="E163" s="51" t="n"/>
      <c r="F163" s="51" t="n"/>
    </row>
    <row r="164">
      <c r="B164" s="51" t="n"/>
      <c r="C164" s="51" t="n"/>
      <c r="D164" s="51" t="n"/>
      <c r="E164" s="51" t="n"/>
      <c r="F164" s="51" t="n"/>
    </row>
    <row r="165">
      <c r="B165" s="51" t="n"/>
      <c r="C165" s="51" t="n"/>
      <c r="D165" s="51" t="n"/>
      <c r="E165" s="51" t="n"/>
      <c r="F165" s="51" t="n"/>
    </row>
    <row r="166">
      <c r="B166" s="51" t="n"/>
      <c r="C166" s="51" t="n"/>
      <c r="D166" s="51" t="n"/>
      <c r="E166" s="51" t="n"/>
      <c r="F166" s="51" t="n"/>
    </row>
    <row r="167">
      <c r="B167" s="51" t="n"/>
      <c r="C167" s="51" t="n"/>
      <c r="D167" s="51" t="n"/>
      <c r="E167" s="51" t="n"/>
      <c r="F167" s="51" t="n"/>
    </row>
    <row r="168">
      <c r="B168" s="51" t="n"/>
      <c r="C168" s="51" t="n"/>
      <c r="D168" s="51" t="n"/>
      <c r="E168" s="51" t="n"/>
      <c r="F168" s="51" t="n"/>
    </row>
    <row r="169">
      <c r="B169" s="51" t="n"/>
      <c r="C169" s="51" t="n"/>
      <c r="D169" s="51" t="n"/>
      <c r="E169" s="51" t="n"/>
      <c r="F169" s="51" t="n"/>
    </row>
    <row r="170">
      <c r="B170" s="51" t="n"/>
      <c r="C170" s="51" t="n"/>
      <c r="D170" s="51" t="n"/>
      <c r="E170" s="51" t="n"/>
      <c r="F170" s="51" t="n"/>
    </row>
    <row r="171">
      <c r="B171" s="51" t="n"/>
      <c r="C171" s="51" t="n"/>
      <c r="D171" s="51" t="n"/>
      <c r="E171" s="51" t="n"/>
      <c r="F171" s="51" t="n"/>
    </row>
    <row r="172">
      <c r="B172" s="51" t="n"/>
      <c r="C172" s="51" t="n"/>
      <c r="D172" s="51" t="n"/>
      <c r="E172" s="51" t="n"/>
      <c r="F172" s="51" t="n"/>
    </row>
    <row r="173">
      <c r="B173" s="51" t="n"/>
      <c r="C173" s="51" t="n"/>
      <c r="D173" s="51" t="n"/>
      <c r="E173" s="51" t="n"/>
      <c r="F173" s="51" t="n"/>
    </row>
    <row r="174">
      <c r="B174" s="51" t="n"/>
      <c r="C174" s="51" t="n"/>
      <c r="D174" s="51" t="n"/>
      <c r="E174" s="51" t="n"/>
      <c r="F174" s="51" t="n"/>
    </row>
    <row r="175">
      <c r="B175" s="51" t="n"/>
      <c r="C175" s="51" t="n"/>
      <c r="D175" s="51" t="n"/>
      <c r="E175" s="51" t="n"/>
      <c r="F175" s="51" t="n"/>
    </row>
    <row r="176">
      <c r="B176" s="51" t="n"/>
      <c r="C176" s="51" t="n"/>
      <c r="D176" s="51" t="n"/>
      <c r="E176" s="51" t="n"/>
      <c r="F176" s="51" t="n"/>
    </row>
    <row r="177">
      <c r="B177" s="51" t="n"/>
      <c r="C177" s="51" t="n"/>
      <c r="D177" s="51" t="n"/>
      <c r="E177" s="51" t="n"/>
      <c r="F177" s="51" t="n"/>
    </row>
    <row r="178">
      <c r="B178" s="51" t="n"/>
      <c r="C178" s="51" t="n"/>
      <c r="D178" s="51" t="n"/>
      <c r="E178" s="51" t="n"/>
      <c r="F178" s="51" t="n"/>
    </row>
    <row r="179">
      <c r="B179" s="51" t="n"/>
      <c r="C179" s="51" t="n"/>
      <c r="D179" s="51" t="n"/>
      <c r="E179" s="51" t="n"/>
      <c r="F179" s="51" t="n"/>
    </row>
    <row r="180">
      <c r="B180" s="51" t="n"/>
      <c r="C180" s="51" t="n"/>
      <c r="D180" s="51" t="n"/>
      <c r="E180" s="51" t="n"/>
      <c r="F180" s="51" t="n"/>
    </row>
    <row r="181">
      <c r="B181" s="51" t="n"/>
      <c r="C181" s="51" t="n"/>
      <c r="D181" s="51" t="n"/>
      <c r="E181" s="51" t="n"/>
      <c r="F181" s="51" t="n"/>
    </row>
    <row r="182">
      <c r="B182" s="51" t="n"/>
      <c r="C182" s="51" t="n"/>
      <c r="D182" s="51" t="n"/>
      <c r="E182" s="51" t="n"/>
      <c r="F182" s="51" t="n"/>
    </row>
    <row r="183">
      <c r="B183" s="51" t="n"/>
      <c r="C183" s="51" t="n"/>
      <c r="D183" s="51" t="n"/>
      <c r="E183" s="51" t="n"/>
      <c r="F183" s="51" t="n"/>
    </row>
    <row r="184">
      <c r="B184" s="51" t="n"/>
      <c r="C184" s="51" t="n"/>
      <c r="D184" s="51" t="n"/>
      <c r="E184" s="51" t="n"/>
      <c r="F184" s="51" t="n"/>
    </row>
    <row r="185">
      <c r="B185" s="51" t="n"/>
      <c r="C185" s="51" t="n"/>
      <c r="D185" s="51" t="n"/>
      <c r="E185" s="51" t="n"/>
      <c r="F185" s="51" t="n"/>
    </row>
    <row r="186">
      <c r="B186" s="51" t="n"/>
      <c r="C186" s="51" t="n"/>
      <c r="D186" s="51" t="n"/>
      <c r="E186" s="51" t="n"/>
      <c r="F186" s="51" t="n"/>
    </row>
    <row r="187">
      <c r="B187" s="51" t="n"/>
      <c r="C187" s="51" t="n"/>
      <c r="D187" s="51" t="n"/>
      <c r="E187" s="51" t="n"/>
      <c r="F187" s="51" t="n"/>
    </row>
    <row r="188">
      <c r="B188" s="51" t="n"/>
      <c r="C188" s="51" t="n"/>
      <c r="D188" s="51" t="n"/>
      <c r="E188" s="51" t="n"/>
      <c r="F188" s="51" t="n"/>
    </row>
    <row r="189">
      <c r="B189" s="51" t="n"/>
      <c r="C189" s="51" t="n"/>
      <c r="D189" s="51" t="n"/>
      <c r="E189" s="51" t="n"/>
      <c r="F189" s="51" t="n"/>
    </row>
    <row r="190">
      <c r="B190" s="51" t="n"/>
      <c r="C190" s="51" t="n"/>
      <c r="D190" s="51" t="n"/>
      <c r="E190" s="51" t="n"/>
      <c r="F190" s="51" t="n"/>
    </row>
    <row r="191">
      <c r="B191" s="51" t="n"/>
      <c r="C191" s="51" t="n"/>
      <c r="D191" s="51" t="n"/>
      <c r="E191" s="51" t="n"/>
      <c r="F191" s="51" t="n"/>
    </row>
    <row r="192">
      <c r="B192" s="51" t="n"/>
      <c r="C192" s="51" t="n"/>
      <c r="D192" s="51" t="n"/>
      <c r="E192" s="51" t="n"/>
      <c r="F192" s="51" t="n"/>
    </row>
    <row r="193">
      <c r="B193" s="51" t="n"/>
      <c r="C193" s="51" t="n"/>
      <c r="D193" s="51" t="n"/>
      <c r="E193" s="51" t="n"/>
      <c r="F193" s="51" t="n"/>
    </row>
    <row r="194">
      <c r="B194" s="51" t="n"/>
      <c r="C194" s="51" t="n"/>
      <c r="D194" s="51" t="n"/>
      <c r="E194" s="51" t="n"/>
      <c r="F194" s="51" t="n"/>
    </row>
    <row r="195">
      <c r="B195" s="51" t="n"/>
      <c r="C195" s="51" t="n"/>
      <c r="D195" s="51" t="n"/>
      <c r="E195" s="51" t="n"/>
      <c r="F195" s="51" t="n"/>
    </row>
    <row r="196">
      <c r="B196" s="51" t="n"/>
      <c r="C196" s="51" t="n"/>
      <c r="D196" s="51" t="n"/>
      <c r="E196" s="51" t="n"/>
      <c r="F196" s="51" t="n"/>
    </row>
    <row r="197">
      <c r="B197" s="51" t="n"/>
      <c r="C197" s="51" t="n"/>
      <c r="D197" s="51" t="n"/>
      <c r="E197" s="51" t="n"/>
      <c r="F197" s="51" t="n"/>
    </row>
    <row r="198">
      <c r="B198" s="51" t="n"/>
      <c r="C198" s="51" t="n"/>
      <c r="D198" s="51" t="n"/>
      <c r="E198" s="51" t="n"/>
      <c r="F198" s="51" t="n"/>
    </row>
    <row r="199">
      <c r="B199" s="51" t="n"/>
      <c r="C199" s="51" t="n"/>
      <c r="D199" s="51" t="n"/>
      <c r="E199" s="51" t="n"/>
      <c r="F199" s="51" t="n"/>
    </row>
    <row r="200">
      <c r="B200" s="51" t="n"/>
      <c r="C200" s="51" t="n"/>
      <c r="D200" s="51" t="n"/>
      <c r="E200" s="51" t="n"/>
      <c r="F200" s="51" t="n"/>
    </row>
    <row r="201">
      <c r="B201" s="51" t="n"/>
      <c r="C201" s="51" t="n"/>
      <c r="D201" s="51" t="n"/>
      <c r="E201" s="51" t="n"/>
      <c r="F201" s="51" t="n"/>
    </row>
    <row r="202">
      <c r="B202" s="51" t="n"/>
      <c r="C202" s="51" t="n"/>
      <c r="D202" s="51" t="n"/>
      <c r="E202" s="51" t="n"/>
      <c r="F202" s="51" t="n"/>
    </row>
    <row r="203">
      <c r="B203" s="51" t="n"/>
      <c r="C203" s="51" t="n"/>
      <c r="D203" s="51" t="n"/>
      <c r="E203" s="51" t="n"/>
      <c r="F203" s="51" t="n"/>
    </row>
    <row r="204">
      <c r="B204" s="51" t="n"/>
      <c r="C204" s="51" t="n"/>
      <c r="D204" s="51" t="n"/>
      <c r="E204" s="51" t="n"/>
      <c r="F204" s="51" t="n"/>
    </row>
    <row r="205">
      <c r="B205" s="51" t="n"/>
      <c r="C205" s="51" t="n"/>
      <c r="D205" s="51" t="n"/>
      <c r="E205" s="51" t="n"/>
      <c r="F205" s="51" t="n"/>
    </row>
    <row r="206">
      <c r="B206" s="51" t="n"/>
      <c r="C206" s="51" t="n"/>
      <c r="D206" s="51" t="n"/>
      <c r="E206" s="51" t="n"/>
      <c r="F206" s="51" t="n"/>
    </row>
    <row r="207">
      <c r="B207" s="51" t="n"/>
      <c r="C207" s="51" t="n"/>
      <c r="D207" s="51" t="n"/>
      <c r="E207" s="51" t="n"/>
      <c r="F207" s="51" t="n"/>
    </row>
    <row r="208">
      <c r="B208" s="51" t="n"/>
      <c r="C208" s="51" t="n"/>
      <c r="D208" s="51" t="n"/>
      <c r="E208" s="51" t="n"/>
      <c r="F208" s="51" t="n"/>
    </row>
    <row r="209">
      <c r="B209" s="51" t="n"/>
      <c r="C209" s="51" t="n"/>
      <c r="D209" s="51" t="n"/>
      <c r="E209" s="51" t="n"/>
      <c r="F209" s="51" t="n"/>
    </row>
    <row r="210">
      <c r="B210" s="51" t="n"/>
      <c r="C210" s="51" t="n"/>
      <c r="D210" s="51" t="n"/>
      <c r="E210" s="51" t="n"/>
      <c r="F210" s="51" t="n"/>
    </row>
    <row r="211">
      <c r="B211" s="51" t="n"/>
      <c r="C211" s="51" t="n"/>
      <c r="D211" s="51" t="n"/>
      <c r="E211" s="51" t="n"/>
      <c r="F211" s="51" t="n"/>
    </row>
    <row r="212">
      <c r="B212" s="51" t="n"/>
      <c r="C212" s="51" t="n"/>
      <c r="D212" s="51" t="n"/>
      <c r="E212" s="51" t="n"/>
      <c r="F212" s="51" t="n"/>
    </row>
    <row r="213">
      <c r="B213" s="51" t="n"/>
      <c r="C213" s="51" t="n"/>
      <c r="D213" s="51" t="n"/>
      <c r="E213" s="51" t="n"/>
      <c r="F213" s="51" t="n"/>
    </row>
    <row r="214">
      <c r="B214" s="51" t="n"/>
      <c r="C214" s="51" t="n"/>
      <c r="D214" s="51" t="n"/>
      <c r="E214" s="51" t="n"/>
      <c r="F214" s="51" t="n"/>
    </row>
    <row r="215">
      <c r="B215" s="51" t="n"/>
      <c r="C215" s="51" t="n"/>
      <c r="D215" s="51" t="n"/>
      <c r="E215" s="51" t="n"/>
      <c r="F215" s="51" t="n"/>
    </row>
    <row r="216">
      <c r="B216" s="51" t="n"/>
      <c r="C216" s="51" t="n"/>
      <c r="D216" s="51" t="n"/>
      <c r="E216" s="51" t="n"/>
      <c r="F216" s="51" t="n"/>
    </row>
    <row r="217">
      <c r="B217" s="51" t="n"/>
      <c r="C217" s="51" t="n"/>
      <c r="D217" s="51" t="n"/>
      <c r="E217" s="51" t="n"/>
      <c r="F217" s="51" t="n"/>
    </row>
    <row r="218">
      <c r="B218" s="51" t="n"/>
      <c r="C218" s="51" t="n"/>
      <c r="D218" s="51" t="n"/>
      <c r="E218" s="51" t="n"/>
      <c r="F218" s="51" t="n"/>
    </row>
    <row r="219">
      <c r="B219" s="51" t="n"/>
      <c r="C219" s="51" t="n"/>
      <c r="D219" s="51" t="n"/>
      <c r="E219" s="51" t="n"/>
      <c r="F219" s="51" t="n"/>
    </row>
    <row r="220">
      <c r="B220" s="51" t="n"/>
      <c r="C220" s="51" t="n"/>
      <c r="D220" s="51" t="n"/>
      <c r="E220" s="51" t="n"/>
      <c r="F220" s="51" t="n"/>
    </row>
    <row r="221">
      <c r="B221" s="51" t="n"/>
      <c r="C221" s="51" t="n"/>
      <c r="D221" s="51" t="n"/>
      <c r="E221" s="51" t="n"/>
      <c r="F221" s="51" t="n"/>
    </row>
    <row r="222">
      <c r="B222" s="51" t="n"/>
      <c r="C222" s="51" t="n"/>
      <c r="D222" s="51" t="n"/>
      <c r="E222" s="51" t="n"/>
      <c r="F222" s="51" t="n"/>
    </row>
    <row r="223">
      <c r="B223" s="51" t="n"/>
      <c r="C223" s="51" t="n"/>
      <c r="D223" s="51" t="n"/>
      <c r="E223" s="51" t="n"/>
      <c r="F223" s="51" t="n"/>
    </row>
    <row r="224">
      <c r="B224" s="51" t="n"/>
      <c r="C224" s="51" t="n"/>
      <c r="D224" s="51" t="n"/>
      <c r="E224" s="51" t="n"/>
      <c r="F224" s="51" t="n"/>
    </row>
    <row r="225">
      <c r="B225" s="51" t="n"/>
      <c r="C225" s="51" t="n"/>
      <c r="D225" s="51" t="n"/>
      <c r="E225" s="51" t="n"/>
      <c r="F225" s="51" t="n"/>
    </row>
    <row r="226">
      <c r="B226" s="51" t="n"/>
      <c r="C226" s="51" t="n"/>
      <c r="D226" s="51" t="n"/>
      <c r="E226" s="51" t="n"/>
      <c r="F226" s="51" t="n"/>
    </row>
    <row r="227">
      <c r="B227" s="51" t="n"/>
      <c r="C227" s="51" t="n"/>
      <c r="D227" s="51" t="n"/>
      <c r="E227" s="51" t="n"/>
      <c r="F227" s="51" t="n"/>
    </row>
    <row r="228">
      <c r="B228" s="51" t="n"/>
      <c r="C228" s="51" t="n"/>
      <c r="D228" s="51" t="n"/>
      <c r="E228" s="51" t="n"/>
      <c r="F228" s="51" t="n"/>
    </row>
    <row r="229">
      <c r="B229" s="51" t="n"/>
      <c r="C229" s="51" t="n"/>
      <c r="D229" s="51" t="n"/>
      <c r="E229" s="51" t="n"/>
      <c r="F229" s="51" t="n"/>
    </row>
    <row r="230">
      <c r="B230" s="51" t="n"/>
      <c r="C230" s="51" t="n"/>
      <c r="D230" s="51" t="n"/>
      <c r="E230" s="51" t="n"/>
      <c r="F230" s="51" t="n"/>
    </row>
    <row r="231">
      <c r="B231" s="51" t="n"/>
      <c r="C231" s="51" t="n"/>
      <c r="D231" s="51" t="n"/>
      <c r="E231" s="51" t="n"/>
      <c r="F231" s="51" t="n"/>
    </row>
    <row r="232">
      <c r="B232" s="51" t="n"/>
      <c r="C232" s="51" t="n"/>
      <c r="D232" s="51" t="n"/>
      <c r="E232" s="51" t="n"/>
      <c r="F232" s="51" t="n"/>
    </row>
    <row r="233">
      <c r="B233" s="51" t="n"/>
      <c r="C233" s="51" t="n"/>
      <c r="D233" s="51" t="n"/>
      <c r="E233" s="51" t="n"/>
      <c r="F233" s="51" t="n"/>
    </row>
    <row r="234">
      <c r="B234" s="51" t="n"/>
      <c r="C234" s="51" t="n"/>
      <c r="D234" s="51" t="n"/>
      <c r="E234" s="51" t="n"/>
      <c r="F234" s="51" t="n"/>
    </row>
    <row r="235">
      <c r="B235" s="51" t="n"/>
      <c r="C235" s="51" t="n"/>
      <c r="D235" s="51" t="n"/>
      <c r="E235" s="51" t="n"/>
      <c r="F235" s="51" t="n"/>
    </row>
    <row r="236">
      <c r="B236" s="51" t="n"/>
      <c r="C236" s="51" t="n"/>
      <c r="D236" s="51" t="n"/>
      <c r="E236" s="51" t="n"/>
      <c r="F236" s="51" t="n"/>
    </row>
    <row r="237">
      <c r="B237" s="51" t="n"/>
      <c r="C237" s="51" t="n"/>
      <c r="D237" s="51" t="n"/>
      <c r="E237" s="51" t="n"/>
      <c r="F237" s="51" t="n"/>
    </row>
    <row r="238">
      <c r="B238" s="51" t="n"/>
      <c r="C238" s="51" t="n"/>
      <c r="D238" s="51" t="n"/>
      <c r="E238" s="51" t="n"/>
      <c r="F238" s="51" t="n"/>
    </row>
    <row r="239">
      <c r="B239" s="51" t="n"/>
      <c r="C239" s="51" t="n"/>
      <c r="D239" s="51" t="n"/>
      <c r="E239" s="51" t="n"/>
      <c r="F239" s="51" t="n"/>
    </row>
    <row r="240">
      <c r="B240" s="51" t="n"/>
      <c r="C240" s="51" t="n"/>
      <c r="D240" s="51" t="n"/>
      <c r="E240" s="51" t="n"/>
      <c r="F240" s="51" t="n"/>
    </row>
    <row r="241">
      <c r="B241" s="51" t="n"/>
      <c r="C241" s="51" t="n"/>
      <c r="D241" s="51" t="n"/>
      <c r="E241" s="51" t="n"/>
      <c r="F241" s="51" t="n"/>
    </row>
    <row r="242">
      <c r="B242" s="51" t="n"/>
      <c r="C242" s="51" t="n"/>
      <c r="D242" s="51" t="n"/>
      <c r="E242" s="51" t="n"/>
      <c r="F242" s="51" t="n"/>
    </row>
    <row r="243">
      <c r="B243" s="51" t="n"/>
      <c r="C243" s="51" t="n"/>
      <c r="D243" s="51" t="n"/>
      <c r="E243" s="51" t="n"/>
      <c r="F243" s="51" t="n"/>
    </row>
    <row r="244">
      <c r="B244" s="51" t="n"/>
      <c r="C244" s="51" t="n"/>
      <c r="D244" s="51" t="n"/>
      <c r="E244" s="51" t="n"/>
      <c r="F244" s="51" t="n"/>
    </row>
    <row r="245">
      <c r="B245" s="51" t="n"/>
      <c r="C245" s="51" t="n"/>
      <c r="D245" s="51" t="n"/>
      <c r="E245" s="51" t="n"/>
      <c r="F245" s="51" t="n"/>
    </row>
    <row r="246">
      <c r="B246" s="51" t="n"/>
      <c r="C246" s="51" t="n"/>
      <c r="D246" s="51" t="n"/>
      <c r="E246" s="51" t="n"/>
      <c r="F246" s="51" t="n"/>
    </row>
    <row r="247">
      <c r="B247" s="51" t="n"/>
      <c r="C247" s="51" t="n"/>
      <c r="D247" s="51" t="n"/>
      <c r="E247" s="51" t="n"/>
      <c r="F247" s="51" t="n"/>
    </row>
    <row r="248">
      <c r="B248" s="51" t="n"/>
      <c r="C248" s="51" t="n"/>
      <c r="D248" s="51" t="n"/>
      <c r="E248" s="51" t="n"/>
      <c r="F248" s="51" t="n"/>
    </row>
    <row r="249">
      <c r="B249" s="51" t="n"/>
      <c r="C249" s="51" t="n"/>
      <c r="D249" s="51" t="n"/>
      <c r="E249" s="51" t="n"/>
      <c r="F249" s="51" t="n"/>
    </row>
    <row r="250">
      <c r="B250" s="51" t="n"/>
      <c r="C250" s="51" t="n"/>
      <c r="D250" s="51" t="n"/>
      <c r="E250" s="51" t="n"/>
      <c r="F250" s="51" t="n"/>
    </row>
    <row r="251">
      <c r="B251" s="51" t="n"/>
      <c r="C251" s="51" t="n"/>
      <c r="D251" s="51" t="n"/>
      <c r="E251" s="51" t="n"/>
      <c r="F251" s="51" t="n"/>
    </row>
    <row r="252">
      <c r="B252" s="51" t="n"/>
      <c r="C252" s="51" t="n"/>
      <c r="D252" s="51" t="n"/>
      <c r="E252" s="51" t="n"/>
      <c r="F252" s="51" t="n"/>
    </row>
    <row r="253">
      <c r="B253" s="51" t="n"/>
      <c r="C253" s="51" t="n"/>
      <c r="D253" s="51" t="n"/>
      <c r="E253" s="51" t="n"/>
      <c r="F253" s="51" t="n"/>
    </row>
    <row r="254">
      <c r="B254" s="51" t="n"/>
      <c r="C254" s="51" t="n"/>
      <c r="D254" s="51" t="n"/>
      <c r="E254" s="51" t="n"/>
      <c r="F254" s="51" t="n"/>
    </row>
    <row r="255">
      <c r="B255" s="51" t="n"/>
      <c r="C255" s="51" t="n"/>
      <c r="D255" s="51" t="n"/>
      <c r="E255" s="51" t="n"/>
      <c r="F255" s="51" t="n"/>
    </row>
    <row r="256">
      <c r="B256" s="51" t="n"/>
      <c r="C256" s="51" t="n"/>
      <c r="D256" s="51" t="n"/>
      <c r="E256" s="51" t="n"/>
      <c r="F256" s="51" t="n"/>
    </row>
    <row r="257">
      <c r="B257" s="51" t="n"/>
      <c r="C257" s="51" t="n"/>
      <c r="D257" s="51" t="n"/>
      <c r="E257" s="51" t="n"/>
      <c r="F257" s="51" t="n"/>
    </row>
    <row r="258">
      <c r="B258" s="51" t="n"/>
      <c r="C258" s="51" t="n"/>
      <c r="D258" s="51" t="n"/>
      <c r="E258" s="51" t="n"/>
      <c r="F258" s="51" t="n"/>
    </row>
    <row r="259">
      <c r="B259" s="51" t="n"/>
      <c r="C259" s="51" t="n"/>
      <c r="D259" s="51" t="n"/>
      <c r="E259" s="51" t="n"/>
      <c r="F259" s="51" t="n"/>
    </row>
    <row r="260">
      <c r="B260" s="51" t="n"/>
      <c r="C260" s="51" t="n"/>
      <c r="D260" s="51" t="n"/>
      <c r="E260" s="51" t="n"/>
      <c r="F260" s="51" t="n"/>
    </row>
    <row r="261">
      <c r="B261" s="51" t="n"/>
      <c r="C261" s="51" t="n"/>
      <c r="D261" s="51" t="n"/>
      <c r="E261" s="51" t="n"/>
      <c r="F261" s="51" t="n"/>
    </row>
    <row r="262">
      <c r="B262" s="51" t="n"/>
      <c r="C262" s="51" t="n"/>
      <c r="D262" s="51" t="n"/>
      <c r="E262" s="51" t="n"/>
      <c r="F262" s="51" t="n"/>
    </row>
    <row r="263">
      <c r="B263" s="51" t="n"/>
      <c r="C263" s="51" t="n"/>
      <c r="D263" s="51" t="n"/>
      <c r="E263" s="51" t="n"/>
      <c r="F263" s="51" t="n"/>
    </row>
    <row r="264">
      <c r="B264" s="51" t="n"/>
      <c r="C264" s="51" t="n"/>
      <c r="D264" s="51" t="n"/>
      <c r="E264" s="51" t="n"/>
      <c r="F264" s="51" t="n"/>
    </row>
    <row r="265">
      <c r="B265" s="51" t="n"/>
      <c r="C265" s="51" t="n"/>
      <c r="D265" s="51" t="n"/>
      <c r="E265" s="51" t="n"/>
      <c r="F265" s="51" t="n"/>
    </row>
    <row r="266">
      <c r="B266" s="51" t="n"/>
      <c r="C266" s="51" t="n"/>
      <c r="D266" s="51" t="n"/>
      <c r="E266" s="51" t="n"/>
      <c r="F266" s="51" t="n"/>
    </row>
    <row r="267">
      <c r="B267" s="51" t="n"/>
      <c r="C267" s="51" t="n"/>
      <c r="D267" s="51" t="n"/>
      <c r="E267" s="51" t="n"/>
      <c r="F267" s="51" t="n"/>
    </row>
    <row r="268">
      <c r="B268" s="51" t="n"/>
      <c r="C268" s="51" t="n"/>
      <c r="D268" s="51" t="n"/>
      <c r="E268" s="51" t="n"/>
      <c r="F268" s="51" t="n"/>
    </row>
    <row r="269">
      <c r="B269" s="51" t="n"/>
      <c r="C269" s="51" t="n"/>
      <c r="D269" s="51" t="n"/>
      <c r="E269" s="51" t="n"/>
      <c r="F269" s="51" t="n"/>
    </row>
    <row r="270">
      <c r="B270" s="51" t="n"/>
      <c r="C270" s="51" t="n"/>
      <c r="D270" s="51" t="n"/>
      <c r="E270" s="51" t="n"/>
      <c r="F270" s="51" t="n"/>
    </row>
    <row r="271">
      <c r="B271" s="51" t="n"/>
      <c r="C271" s="51" t="n"/>
      <c r="D271" s="51" t="n"/>
      <c r="E271" s="51" t="n"/>
      <c r="F271" s="51" t="n"/>
    </row>
    <row r="272">
      <c r="B272" s="51" t="n"/>
      <c r="C272" s="51" t="n"/>
      <c r="D272" s="51" t="n"/>
      <c r="E272" s="51" t="n"/>
      <c r="F272" s="51" t="n"/>
    </row>
    <row r="273">
      <c r="B273" s="51" t="n"/>
      <c r="C273" s="51" t="n"/>
      <c r="D273" s="51" t="n"/>
      <c r="E273" s="51" t="n"/>
      <c r="F273" s="51" t="n"/>
    </row>
    <row r="274">
      <c r="B274" s="51" t="n"/>
      <c r="C274" s="51" t="n"/>
      <c r="D274" s="51" t="n"/>
      <c r="E274" s="51" t="n"/>
      <c r="F274" s="51" t="n"/>
    </row>
    <row r="275">
      <c r="B275" s="51" t="n"/>
      <c r="C275" s="51" t="n"/>
      <c r="D275" s="51" t="n"/>
      <c r="E275" s="51" t="n"/>
      <c r="F275" s="51" t="n"/>
    </row>
    <row r="276">
      <c r="B276" s="51" t="n"/>
      <c r="C276" s="51" t="n"/>
      <c r="D276" s="51" t="n"/>
      <c r="E276" s="51" t="n"/>
      <c r="F276" s="51" t="n"/>
    </row>
    <row r="277">
      <c r="B277" s="51" t="n"/>
      <c r="C277" s="51" t="n"/>
      <c r="D277" s="51" t="n"/>
      <c r="E277" s="51" t="n"/>
      <c r="F277" s="51" t="n"/>
    </row>
    <row r="278">
      <c r="B278" s="51" t="n"/>
      <c r="C278" s="51" t="n"/>
      <c r="D278" s="51" t="n"/>
      <c r="E278" s="51" t="n"/>
      <c r="F278" s="51" t="n"/>
    </row>
    <row r="279">
      <c r="B279" s="51" t="n"/>
      <c r="C279" s="51" t="n"/>
      <c r="D279" s="51" t="n"/>
      <c r="E279" s="51" t="n"/>
      <c r="F279" s="51" t="n"/>
    </row>
    <row r="280">
      <c r="B280" s="51" t="n"/>
      <c r="C280" s="51" t="n"/>
      <c r="D280" s="51" t="n"/>
      <c r="E280" s="51" t="n"/>
      <c r="F280" s="51" t="n"/>
    </row>
    <row r="281">
      <c r="B281" s="51" t="n"/>
      <c r="C281" s="51" t="n"/>
      <c r="D281" s="51" t="n"/>
      <c r="E281" s="51" t="n"/>
      <c r="F281" s="51" t="n"/>
    </row>
    <row r="282">
      <c r="B282" s="51" t="n"/>
      <c r="C282" s="51" t="n"/>
      <c r="D282" s="51" t="n"/>
      <c r="E282" s="51" t="n"/>
      <c r="F282" s="51" t="n"/>
    </row>
    <row r="283">
      <c r="B283" s="51" t="n"/>
      <c r="C283" s="51" t="n"/>
      <c r="D283" s="51" t="n"/>
      <c r="E283" s="51" t="n"/>
      <c r="F283" s="51" t="n"/>
    </row>
    <row r="284">
      <c r="B284" s="51" t="n"/>
      <c r="C284" s="51" t="n"/>
      <c r="D284" s="51" t="n"/>
      <c r="E284" s="51" t="n"/>
      <c r="F284" s="51" t="n"/>
    </row>
    <row r="285">
      <c r="B285" s="51" t="n"/>
      <c r="C285" s="51" t="n"/>
      <c r="D285" s="51" t="n"/>
      <c r="E285" s="51" t="n"/>
      <c r="F285" s="51" t="n"/>
    </row>
    <row r="286">
      <c r="B286" s="51" t="n"/>
      <c r="C286" s="51" t="n"/>
      <c r="D286" s="51" t="n"/>
      <c r="E286" s="51" t="n"/>
      <c r="F286" s="51" t="n"/>
    </row>
    <row r="287">
      <c r="B287" s="51" t="n"/>
      <c r="C287" s="51" t="n"/>
      <c r="D287" s="51" t="n"/>
      <c r="E287" s="51" t="n"/>
      <c r="F287" s="51" t="n"/>
    </row>
    <row r="288">
      <c r="B288" s="51" t="n"/>
      <c r="C288" s="51" t="n"/>
      <c r="D288" s="51" t="n"/>
      <c r="E288" s="51" t="n"/>
      <c r="F288" s="51" t="n"/>
    </row>
    <row r="289">
      <c r="B289" s="51" t="n"/>
      <c r="C289" s="51" t="n"/>
      <c r="D289" s="51" t="n"/>
      <c r="E289" s="51" t="n"/>
      <c r="F289" s="51" t="n"/>
    </row>
    <row r="290">
      <c r="B290" s="51" t="n"/>
      <c r="C290" s="51" t="n"/>
      <c r="D290" s="51" t="n"/>
      <c r="E290" s="51" t="n"/>
      <c r="F290" s="51" t="n"/>
    </row>
    <row r="291">
      <c r="B291" s="51" t="n"/>
      <c r="C291" s="51" t="n"/>
      <c r="D291" s="51" t="n"/>
      <c r="E291" s="51" t="n"/>
      <c r="F291" s="51" t="n"/>
    </row>
    <row r="292">
      <c r="B292" s="51" t="n"/>
      <c r="C292" s="51" t="n"/>
      <c r="D292" s="51" t="n"/>
      <c r="E292" s="51" t="n"/>
      <c r="F292" s="51" t="n"/>
    </row>
    <row r="293">
      <c r="B293" s="51" t="n"/>
      <c r="C293" s="51" t="n"/>
      <c r="D293" s="51" t="n"/>
      <c r="E293" s="51" t="n"/>
      <c r="F293" s="51" t="n"/>
    </row>
    <row r="294">
      <c r="B294" s="51" t="n"/>
      <c r="C294" s="51" t="n"/>
      <c r="D294" s="51" t="n"/>
      <c r="E294" s="51" t="n"/>
      <c r="F294" s="51" t="n"/>
    </row>
    <row r="295">
      <c r="B295" s="51" t="n"/>
      <c r="C295" s="51" t="n"/>
      <c r="D295" s="51" t="n"/>
      <c r="E295" s="51" t="n"/>
      <c r="F295" s="51" t="n"/>
    </row>
    <row r="296">
      <c r="B296" s="51" t="n"/>
      <c r="C296" s="51" t="n"/>
      <c r="D296" s="51" t="n"/>
      <c r="E296" s="51" t="n"/>
      <c r="F296" s="51" t="n"/>
    </row>
    <row r="297">
      <c r="B297" s="51" t="n"/>
      <c r="C297" s="51" t="n"/>
      <c r="D297" s="51" t="n"/>
      <c r="E297" s="51" t="n"/>
      <c r="F297" s="51" t="n"/>
    </row>
    <row r="298">
      <c r="B298" s="51" t="n"/>
      <c r="C298" s="51" t="n"/>
      <c r="D298" s="51" t="n"/>
      <c r="E298" s="51" t="n"/>
      <c r="F298" s="51" t="n"/>
    </row>
    <row r="299">
      <c r="B299" s="51" t="n"/>
      <c r="C299" s="51" t="n"/>
      <c r="D299" s="51" t="n"/>
      <c r="E299" s="51" t="n"/>
      <c r="F299" s="51" t="n"/>
    </row>
    <row r="300">
      <c r="B300" s="51" t="n"/>
      <c r="C300" s="51" t="n"/>
      <c r="D300" s="51" t="n"/>
      <c r="E300" s="51" t="n"/>
      <c r="F300" s="51" t="n"/>
    </row>
    <row r="301">
      <c r="B301" s="51" t="n"/>
      <c r="C301" s="51" t="n"/>
      <c r="D301" s="51" t="n"/>
      <c r="E301" s="51" t="n"/>
      <c r="F301" s="51" t="n"/>
    </row>
    <row r="302">
      <c r="B302" s="51" t="n"/>
      <c r="C302" s="51" t="n"/>
      <c r="D302" s="51" t="n"/>
      <c r="E302" s="51" t="n"/>
      <c r="F302" s="51" t="n"/>
    </row>
    <row r="303">
      <c r="B303" s="51" t="n"/>
      <c r="C303" s="51" t="n"/>
      <c r="D303" s="51" t="n"/>
      <c r="E303" s="51" t="n"/>
      <c r="F303" s="51" t="n"/>
    </row>
    <row r="304">
      <c r="B304" s="51" t="n"/>
      <c r="C304" s="51" t="n"/>
      <c r="D304" s="51" t="n"/>
      <c r="E304" s="51" t="n"/>
      <c r="F304" s="51" t="n"/>
    </row>
    <row r="305">
      <c r="B305" s="51" t="n"/>
      <c r="C305" s="51" t="n"/>
      <c r="D305" s="51" t="n"/>
      <c r="E305" s="51" t="n"/>
      <c r="F305" s="51" t="n"/>
    </row>
    <row r="306">
      <c r="B306" s="51" t="n"/>
      <c r="C306" s="51" t="n"/>
      <c r="D306" s="51" t="n"/>
      <c r="E306" s="51" t="n"/>
      <c r="F306" s="51" t="n"/>
    </row>
    <row r="307">
      <c r="B307" s="51" t="n"/>
      <c r="C307" s="51" t="n"/>
      <c r="D307" s="51" t="n"/>
      <c r="E307" s="51" t="n"/>
      <c r="F307" s="51" t="n"/>
    </row>
    <row r="308">
      <c r="B308" s="51" t="n"/>
      <c r="C308" s="51" t="n"/>
      <c r="D308" s="51" t="n"/>
      <c r="E308" s="51" t="n"/>
      <c r="F308" s="51" t="n"/>
    </row>
    <row r="309">
      <c r="B309" s="51" t="n"/>
      <c r="C309" s="51" t="n"/>
      <c r="D309" s="51" t="n"/>
      <c r="E309" s="51" t="n"/>
      <c r="F309" s="51" t="n"/>
    </row>
    <row r="310">
      <c r="B310" s="51" t="n"/>
      <c r="C310" s="51" t="n"/>
      <c r="D310" s="51" t="n"/>
      <c r="E310" s="51" t="n"/>
      <c r="F310" s="51" t="n"/>
    </row>
    <row r="311">
      <c r="B311" s="51" t="n"/>
      <c r="C311" s="51" t="n"/>
      <c r="D311" s="51" t="n"/>
      <c r="E311" s="51" t="n"/>
      <c r="F311" s="51" t="n"/>
    </row>
    <row r="312">
      <c r="B312" s="51" t="n"/>
      <c r="C312" s="51" t="n"/>
      <c r="D312" s="51" t="n"/>
      <c r="E312" s="51" t="n"/>
      <c r="F312" s="51" t="n"/>
    </row>
    <row r="313">
      <c r="B313" s="51" t="n"/>
      <c r="C313" s="51" t="n"/>
      <c r="D313" s="51" t="n"/>
      <c r="E313" s="51" t="n"/>
      <c r="F313" s="51" t="n"/>
    </row>
    <row r="314">
      <c r="B314" s="51" t="n"/>
      <c r="C314" s="51" t="n"/>
      <c r="D314" s="51" t="n"/>
      <c r="E314" s="51" t="n"/>
      <c r="F314" s="51" t="n"/>
    </row>
    <row r="315">
      <c r="B315" s="51" t="n"/>
      <c r="C315" s="51" t="n"/>
      <c r="D315" s="51" t="n"/>
      <c r="E315" s="51" t="n"/>
      <c r="F315" s="51" t="n"/>
    </row>
    <row r="316">
      <c r="B316" s="51" t="n"/>
      <c r="C316" s="51" t="n"/>
      <c r="D316" s="51" t="n"/>
      <c r="E316" s="51" t="n"/>
      <c r="F316" s="51" t="n"/>
    </row>
    <row r="317">
      <c r="B317" s="51" t="n"/>
      <c r="C317" s="51" t="n"/>
      <c r="D317" s="51" t="n"/>
      <c r="E317" s="51" t="n"/>
      <c r="F317" s="51" t="n"/>
    </row>
    <row r="318">
      <c r="B318" s="51" t="n"/>
      <c r="C318" s="51" t="n"/>
      <c r="D318" s="51" t="n"/>
      <c r="E318" s="51" t="n"/>
      <c r="F318" s="51" t="n"/>
    </row>
    <row r="319">
      <c r="B319" s="51" t="n"/>
      <c r="C319" s="51" t="n"/>
      <c r="D319" s="51" t="n"/>
      <c r="E319" s="51" t="n"/>
      <c r="F319" s="51" t="n"/>
    </row>
    <row r="320">
      <c r="B320" s="51" t="n"/>
      <c r="C320" s="51" t="n"/>
      <c r="D320" s="51" t="n"/>
      <c r="E320" s="51" t="n"/>
      <c r="F320" s="51" t="n"/>
    </row>
    <row r="321">
      <c r="B321" s="51" t="n"/>
      <c r="C321" s="51" t="n"/>
      <c r="D321" s="51" t="n"/>
      <c r="E321" s="51" t="n"/>
      <c r="F321" s="51" t="n"/>
    </row>
    <row r="322">
      <c r="B322" s="51" t="n"/>
      <c r="C322" s="51" t="n"/>
      <c r="D322" s="51" t="n"/>
      <c r="E322" s="51" t="n"/>
      <c r="F322" s="51" t="n"/>
    </row>
    <row r="323">
      <c r="B323" s="51" t="n"/>
      <c r="C323" s="51" t="n"/>
      <c r="D323" s="51" t="n"/>
      <c r="E323" s="51" t="n"/>
      <c r="F323" s="51" t="n"/>
    </row>
    <row r="324">
      <c r="B324" s="51" t="n"/>
      <c r="C324" s="51" t="n"/>
      <c r="D324" s="51" t="n"/>
      <c r="E324" s="51" t="n"/>
      <c r="F324" s="51" t="n"/>
    </row>
    <row r="325">
      <c r="B325" s="51" t="n"/>
      <c r="C325" s="51" t="n"/>
      <c r="D325" s="51" t="n"/>
      <c r="E325" s="51" t="n"/>
      <c r="F325" s="51" t="n"/>
    </row>
    <row r="326">
      <c r="B326" s="51" t="n"/>
      <c r="C326" s="51" t="n"/>
      <c r="D326" s="51" t="n"/>
      <c r="E326" s="51" t="n"/>
      <c r="F326" s="51" t="n"/>
    </row>
    <row r="327">
      <c r="B327" s="51" t="n"/>
      <c r="C327" s="51" t="n"/>
      <c r="D327" s="51" t="n"/>
      <c r="E327" s="51" t="n"/>
      <c r="F327" s="51" t="n"/>
    </row>
    <row r="328">
      <c r="B328" s="51" t="n"/>
      <c r="C328" s="51" t="n"/>
      <c r="D328" s="51" t="n"/>
      <c r="E328" s="51" t="n"/>
      <c r="F328" s="51" t="n"/>
    </row>
    <row r="329">
      <c r="B329" s="51" t="n"/>
      <c r="C329" s="51" t="n"/>
      <c r="D329" s="51" t="n"/>
      <c r="E329" s="51" t="n"/>
      <c r="F329" s="51" t="n"/>
    </row>
    <row r="330">
      <c r="B330" s="51" t="n"/>
      <c r="C330" s="51" t="n"/>
      <c r="D330" s="51" t="n"/>
      <c r="E330" s="51" t="n"/>
      <c r="F330" s="51" t="n"/>
    </row>
    <row r="331">
      <c r="B331" s="51" t="n"/>
      <c r="C331" s="51" t="n"/>
      <c r="D331" s="51" t="n"/>
      <c r="E331" s="51" t="n"/>
      <c r="F331" s="51" t="n"/>
    </row>
    <row r="332">
      <c r="B332" s="51" t="n"/>
      <c r="C332" s="51" t="n"/>
      <c r="D332" s="51" t="n"/>
      <c r="E332" s="51" t="n"/>
      <c r="F332" s="51" t="n"/>
    </row>
    <row r="333">
      <c r="B333" s="51" t="n"/>
      <c r="C333" s="51" t="n"/>
      <c r="D333" s="51" t="n"/>
      <c r="E333" s="51" t="n"/>
      <c r="F333" s="51" t="n"/>
    </row>
    <row r="334">
      <c r="B334" s="51" t="n"/>
      <c r="C334" s="51" t="n"/>
      <c r="D334" s="51" t="n"/>
      <c r="E334" s="51" t="n"/>
      <c r="F334" s="51" t="n"/>
    </row>
    <row r="335">
      <c r="B335" s="51" t="n"/>
      <c r="C335" s="51" t="n"/>
      <c r="D335" s="51" t="n"/>
      <c r="E335" s="51" t="n"/>
      <c r="F335" s="51" t="n"/>
    </row>
    <row r="336">
      <c r="B336" s="51" t="n"/>
      <c r="C336" s="51" t="n"/>
      <c r="D336" s="51" t="n"/>
      <c r="E336" s="51" t="n"/>
      <c r="F336" s="51" t="n"/>
    </row>
    <row r="337">
      <c r="B337" s="51" t="n"/>
      <c r="C337" s="51" t="n"/>
      <c r="D337" s="51" t="n"/>
      <c r="E337" s="51" t="n"/>
      <c r="F337" s="51" t="n"/>
    </row>
    <row r="338">
      <c r="B338" s="51" t="n"/>
      <c r="C338" s="51" t="n"/>
      <c r="D338" s="51" t="n"/>
      <c r="E338" s="51" t="n"/>
      <c r="F338" s="51" t="n"/>
    </row>
    <row r="339">
      <c r="B339" s="51" t="n"/>
      <c r="C339" s="51" t="n"/>
      <c r="D339" s="51" t="n"/>
      <c r="E339" s="51" t="n"/>
      <c r="F339" s="51" t="n"/>
    </row>
    <row r="340">
      <c r="B340" s="51" t="n"/>
      <c r="C340" s="51" t="n"/>
      <c r="D340" s="51" t="n"/>
      <c r="E340" s="51" t="n"/>
      <c r="F340" s="51" t="n"/>
    </row>
    <row r="341">
      <c r="B341" s="51" t="n"/>
      <c r="C341" s="51" t="n"/>
      <c r="D341" s="51" t="n"/>
      <c r="E341" s="51" t="n"/>
      <c r="F341" s="51" t="n"/>
    </row>
    <row r="342">
      <c r="B342" s="51" t="n"/>
      <c r="C342" s="51" t="n"/>
      <c r="D342" s="51" t="n"/>
      <c r="E342" s="51" t="n"/>
      <c r="F342" s="51" t="n"/>
    </row>
    <row r="343">
      <c r="B343" s="51" t="n"/>
      <c r="C343" s="51" t="n"/>
      <c r="D343" s="51" t="n"/>
      <c r="E343" s="51" t="n"/>
      <c r="F343" s="51" t="n"/>
    </row>
    <row r="344">
      <c r="B344" s="51" t="n"/>
      <c r="C344" s="51" t="n"/>
      <c r="D344" s="51" t="n"/>
      <c r="E344" s="51" t="n"/>
      <c r="F344" s="51" t="n"/>
    </row>
    <row r="345">
      <c r="B345" s="51" t="n"/>
      <c r="C345" s="51" t="n"/>
      <c r="D345" s="51" t="n"/>
      <c r="E345" s="51" t="n"/>
      <c r="F345" s="51" t="n"/>
    </row>
    <row r="346">
      <c r="B346" s="51" t="n"/>
      <c r="C346" s="51" t="n"/>
      <c r="D346" s="51" t="n"/>
      <c r="E346" s="51" t="n"/>
      <c r="F346" s="51" t="n"/>
    </row>
    <row r="347">
      <c r="B347" s="51" t="n"/>
      <c r="C347" s="51" t="n"/>
      <c r="D347" s="51" t="n"/>
      <c r="E347" s="51" t="n"/>
      <c r="F347" s="51" t="n"/>
    </row>
    <row r="348">
      <c r="B348" s="51" t="n"/>
      <c r="C348" s="51" t="n"/>
      <c r="D348" s="51" t="n"/>
      <c r="E348" s="51" t="n"/>
      <c r="F348" s="51" t="n"/>
    </row>
    <row r="349">
      <c r="B349" s="51" t="n"/>
      <c r="C349" s="51" t="n"/>
      <c r="D349" s="51" t="n"/>
      <c r="E349" s="51" t="n"/>
      <c r="F349" s="51" t="n"/>
    </row>
    <row r="350">
      <c r="B350" s="51" t="n"/>
      <c r="C350" s="51" t="n"/>
      <c r="D350" s="51" t="n"/>
      <c r="E350" s="51" t="n"/>
      <c r="F350" s="51" t="n"/>
    </row>
    <row r="351">
      <c r="B351" s="51" t="n"/>
      <c r="C351" s="51" t="n"/>
      <c r="D351" s="51" t="n"/>
      <c r="E351" s="51" t="n"/>
      <c r="F351" s="51" t="n"/>
    </row>
    <row r="352">
      <c r="B352" s="51" t="n"/>
      <c r="C352" s="51" t="n"/>
      <c r="D352" s="51" t="n"/>
      <c r="E352" s="51" t="n"/>
      <c r="F352" s="51" t="n"/>
    </row>
    <row r="353">
      <c r="B353" s="51" t="n"/>
      <c r="C353" s="51" t="n"/>
      <c r="D353" s="51" t="n"/>
      <c r="E353" s="51" t="n"/>
      <c r="F353" s="51" t="n"/>
    </row>
    <row r="354">
      <c r="B354" s="51" t="n"/>
      <c r="C354" s="51" t="n"/>
      <c r="D354" s="51" t="n"/>
      <c r="E354" s="51" t="n"/>
      <c r="F354" s="51" t="n"/>
    </row>
    <row r="355">
      <c r="B355" s="51" t="n"/>
      <c r="C355" s="51" t="n"/>
      <c r="D355" s="51" t="n"/>
      <c r="E355" s="51" t="n"/>
      <c r="F355" s="51" t="n"/>
    </row>
    <row r="356">
      <c r="B356" s="51" t="n"/>
      <c r="C356" s="51" t="n"/>
      <c r="D356" s="51" t="n"/>
      <c r="E356" s="51" t="n"/>
      <c r="F356" s="51" t="n"/>
    </row>
    <row r="357">
      <c r="B357" s="51" t="n"/>
      <c r="C357" s="51" t="n"/>
      <c r="D357" s="51" t="n"/>
      <c r="E357" s="51" t="n"/>
      <c r="F357" s="51" t="n"/>
    </row>
    <row r="358">
      <c r="B358" s="51" t="n"/>
      <c r="C358" s="51" t="n"/>
      <c r="D358" s="51" t="n"/>
      <c r="E358" s="51" t="n"/>
      <c r="F358" s="51" t="n"/>
    </row>
    <row r="359">
      <c r="B359" s="51" t="n"/>
      <c r="C359" s="51" t="n"/>
      <c r="D359" s="51" t="n"/>
      <c r="E359" s="51" t="n"/>
      <c r="F359" s="51" t="n"/>
    </row>
    <row r="360">
      <c r="B360" s="51" t="n"/>
      <c r="C360" s="51" t="n"/>
      <c r="D360" s="51" t="n"/>
      <c r="E360" s="51" t="n"/>
      <c r="F360" s="51" t="n"/>
    </row>
    <row r="361">
      <c r="B361" s="51" t="n"/>
      <c r="C361" s="51" t="n"/>
      <c r="D361" s="51" t="n"/>
      <c r="E361" s="51" t="n"/>
      <c r="F361" s="51" t="n"/>
    </row>
    <row r="362">
      <c r="B362" s="51" t="n"/>
      <c r="C362" s="51" t="n"/>
      <c r="D362" s="51" t="n"/>
      <c r="E362" s="51" t="n"/>
      <c r="F362" s="51" t="n"/>
    </row>
    <row r="363">
      <c r="B363" s="51" t="n"/>
      <c r="C363" s="51" t="n"/>
      <c r="D363" s="51" t="n"/>
      <c r="E363" s="51" t="n"/>
      <c r="F363" s="51" t="n"/>
    </row>
    <row r="364">
      <c r="B364" s="51" t="n"/>
      <c r="C364" s="51" t="n"/>
      <c r="D364" s="51" t="n"/>
      <c r="E364" s="51" t="n"/>
      <c r="F364" s="51" t="n"/>
    </row>
    <row r="365">
      <c r="B365" s="51" t="n"/>
      <c r="C365" s="51" t="n"/>
      <c r="D365" s="51" t="n"/>
      <c r="E365" s="51" t="n"/>
      <c r="F365" s="51" t="n"/>
    </row>
    <row r="366">
      <c r="B366" s="51" t="n"/>
      <c r="C366" s="51" t="n"/>
      <c r="D366" s="51" t="n"/>
      <c r="E366" s="51" t="n"/>
      <c r="F366" s="51" t="n"/>
    </row>
    <row r="367">
      <c r="B367" s="51" t="n"/>
      <c r="C367" s="51" t="n"/>
      <c r="D367" s="51" t="n"/>
      <c r="E367" s="51" t="n"/>
      <c r="F367" s="51" t="n"/>
    </row>
    <row r="368">
      <c r="B368" s="51" t="n"/>
      <c r="C368" s="51" t="n"/>
      <c r="D368" s="51" t="n"/>
      <c r="E368" s="51" t="n"/>
      <c r="F368" s="51" t="n"/>
    </row>
    <row r="369">
      <c r="B369" s="51" t="n"/>
      <c r="C369" s="51" t="n"/>
      <c r="D369" s="51" t="n"/>
      <c r="E369" s="51" t="n"/>
      <c r="F369" s="51" t="n"/>
    </row>
    <row r="370">
      <c r="B370" s="51" t="n"/>
      <c r="C370" s="51" t="n"/>
      <c r="D370" s="51" t="n"/>
      <c r="E370" s="51" t="n"/>
      <c r="F370" s="51" t="n"/>
    </row>
    <row r="371">
      <c r="B371" s="51" t="n"/>
      <c r="C371" s="51" t="n"/>
      <c r="D371" s="51" t="n"/>
      <c r="E371" s="51" t="n"/>
      <c r="F371" s="51" t="n"/>
    </row>
    <row r="372">
      <c r="B372" s="51" t="n"/>
      <c r="C372" s="51" t="n"/>
      <c r="D372" s="51" t="n"/>
      <c r="E372" s="51" t="n"/>
      <c r="F372" s="51" t="n"/>
    </row>
    <row r="373">
      <c r="B373" s="51" t="n"/>
      <c r="C373" s="51" t="n"/>
      <c r="D373" s="51" t="n"/>
      <c r="E373" s="51" t="n"/>
      <c r="F373" s="51" t="n"/>
    </row>
    <row r="374">
      <c r="B374" s="51" t="n"/>
      <c r="C374" s="51" t="n"/>
      <c r="D374" s="51" t="n"/>
      <c r="E374" s="51" t="n"/>
      <c r="F374" s="51" t="n"/>
    </row>
    <row r="375">
      <c r="B375" s="51" t="n"/>
      <c r="C375" s="51" t="n"/>
      <c r="D375" s="51" t="n"/>
      <c r="E375" s="51" t="n"/>
      <c r="F375" s="51" t="n"/>
    </row>
    <row r="376">
      <c r="B376" s="51" t="n"/>
      <c r="C376" s="51" t="n"/>
      <c r="D376" s="51" t="n"/>
      <c r="E376" s="51" t="n"/>
      <c r="F376" s="51" t="n"/>
    </row>
    <row r="377">
      <c r="B377" s="51" t="n"/>
      <c r="C377" s="51" t="n"/>
      <c r="D377" s="51" t="n"/>
      <c r="E377" s="51" t="n"/>
      <c r="F377" s="51" t="n"/>
    </row>
    <row r="378">
      <c r="B378" s="51" t="n"/>
      <c r="C378" s="51" t="n"/>
      <c r="D378" s="51" t="n"/>
      <c r="E378" s="51" t="n"/>
      <c r="F378" s="51" t="n"/>
    </row>
    <row r="379">
      <c r="B379" s="51" t="n"/>
      <c r="C379" s="51" t="n"/>
      <c r="D379" s="51" t="n"/>
      <c r="E379" s="51" t="n"/>
      <c r="F379" s="51" t="n"/>
    </row>
    <row r="380">
      <c r="B380" s="51" t="n"/>
      <c r="C380" s="51" t="n"/>
      <c r="D380" s="51" t="n"/>
      <c r="E380" s="51" t="n"/>
      <c r="F380" s="51" t="n"/>
    </row>
    <row r="381">
      <c r="B381" s="51" t="n"/>
      <c r="C381" s="51" t="n"/>
      <c r="D381" s="51" t="n"/>
      <c r="E381" s="51" t="n"/>
      <c r="F381" s="51" t="n"/>
    </row>
    <row r="382">
      <c r="B382" s="51" t="n"/>
      <c r="C382" s="51" t="n"/>
      <c r="D382" s="51" t="n"/>
      <c r="E382" s="51" t="n"/>
      <c r="F382" s="51" t="n"/>
    </row>
    <row r="383">
      <c r="B383" s="51" t="n"/>
      <c r="C383" s="51" t="n"/>
      <c r="D383" s="51" t="n"/>
      <c r="E383" s="51" t="n"/>
      <c r="F383" s="51" t="n"/>
    </row>
    <row r="384">
      <c r="B384" s="51" t="n"/>
      <c r="C384" s="51" t="n"/>
      <c r="D384" s="51" t="n"/>
      <c r="E384" s="51" t="n"/>
      <c r="F384" s="51" t="n"/>
    </row>
    <row r="385">
      <c r="B385" s="51" t="n"/>
      <c r="C385" s="51" t="n"/>
      <c r="D385" s="51" t="n"/>
      <c r="E385" s="51" t="n"/>
      <c r="F385" s="51" t="n"/>
    </row>
    <row r="386">
      <c r="B386" s="51" t="n"/>
      <c r="C386" s="51" t="n"/>
      <c r="D386" s="51" t="n"/>
      <c r="E386" s="51" t="n"/>
      <c r="F386" s="51" t="n"/>
    </row>
    <row r="387">
      <c r="B387" s="51" t="n"/>
      <c r="C387" s="51" t="n"/>
      <c r="D387" s="51" t="n"/>
      <c r="E387" s="51" t="n"/>
      <c r="F387" s="51" t="n"/>
    </row>
    <row r="388">
      <c r="B388" s="51" t="n"/>
      <c r="C388" s="51" t="n"/>
      <c r="D388" s="51" t="n"/>
      <c r="E388" s="51" t="n"/>
      <c r="F388" s="51" t="n"/>
    </row>
    <row r="389">
      <c r="B389" s="51" t="n"/>
      <c r="C389" s="51" t="n"/>
      <c r="D389" s="51" t="n"/>
      <c r="E389" s="51" t="n"/>
      <c r="F389" s="51" t="n"/>
    </row>
    <row r="390">
      <c r="B390" s="51" t="n"/>
      <c r="C390" s="51" t="n"/>
      <c r="D390" s="51" t="n"/>
      <c r="E390" s="51" t="n"/>
      <c r="F390" s="51" t="n"/>
    </row>
    <row r="391">
      <c r="B391" s="51" t="n"/>
      <c r="C391" s="51" t="n"/>
      <c r="D391" s="51" t="n"/>
      <c r="E391" s="51" t="n"/>
      <c r="F391" s="51" t="n"/>
    </row>
    <row r="392">
      <c r="B392" s="51" t="n"/>
      <c r="C392" s="51" t="n"/>
      <c r="D392" s="51" t="n"/>
      <c r="E392" s="51" t="n"/>
      <c r="F392" s="51" t="n"/>
    </row>
    <row r="393">
      <c r="B393" s="51" t="n"/>
      <c r="C393" s="51" t="n"/>
      <c r="D393" s="51" t="n"/>
      <c r="E393" s="51" t="n"/>
      <c r="F393" s="51" t="n"/>
    </row>
    <row r="394">
      <c r="B394" s="51" t="n"/>
      <c r="C394" s="51" t="n"/>
      <c r="D394" s="51" t="n"/>
      <c r="E394" s="51" t="n"/>
      <c r="F394" s="51" t="n"/>
    </row>
    <row r="395">
      <c r="B395" s="51" t="n"/>
      <c r="C395" s="51" t="n"/>
      <c r="D395" s="51" t="n"/>
      <c r="E395" s="51" t="n"/>
      <c r="F395" s="51" t="n"/>
    </row>
    <row r="396">
      <c r="B396" s="51" t="n"/>
      <c r="C396" s="51" t="n"/>
      <c r="D396" s="51" t="n"/>
      <c r="E396" s="51" t="n"/>
      <c r="F396" s="51" t="n"/>
    </row>
    <row r="397">
      <c r="B397" s="51" t="n"/>
      <c r="C397" s="51" t="n"/>
      <c r="D397" s="51" t="n"/>
      <c r="E397" s="51" t="n"/>
      <c r="F397" s="51" t="n"/>
    </row>
    <row r="398">
      <c r="B398" s="51" t="n"/>
      <c r="C398" s="51" t="n"/>
      <c r="D398" s="51" t="n"/>
      <c r="E398" s="51" t="n"/>
      <c r="F398" s="51" t="n"/>
    </row>
    <row r="399">
      <c r="B399" s="51" t="n"/>
      <c r="C399" s="51" t="n"/>
      <c r="D399" s="51" t="n"/>
      <c r="E399" s="51" t="n"/>
      <c r="F399" s="51" t="n"/>
    </row>
    <row r="400">
      <c r="B400" s="51" t="n"/>
      <c r="C400" s="51" t="n"/>
      <c r="D400" s="51" t="n"/>
      <c r="E400" s="51" t="n"/>
      <c r="F400" s="51" t="n"/>
    </row>
    <row r="401">
      <c r="B401" s="51" t="n"/>
      <c r="C401" s="51" t="n"/>
      <c r="D401" s="51" t="n"/>
      <c r="E401" s="51" t="n"/>
      <c r="F401" s="51" t="n"/>
    </row>
    <row r="402">
      <c r="B402" s="51" t="n"/>
      <c r="C402" s="51" t="n"/>
      <c r="D402" s="51" t="n"/>
      <c r="E402" s="51" t="n"/>
      <c r="F402" s="51" t="n"/>
    </row>
    <row r="403">
      <c r="B403" s="51" t="n"/>
      <c r="C403" s="51" t="n"/>
      <c r="D403" s="51" t="n"/>
      <c r="E403" s="51" t="n"/>
      <c r="F403" s="51" t="n"/>
    </row>
    <row r="404">
      <c r="B404" s="51" t="n"/>
      <c r="C404" s="51" t="n"/>
      <c r="D404" s="51" t="n"/>
      <c r="E404" s="51" t="n"/>
      <c r="F404" s="51" t="n"/>
    </row>
    <row r="405">
      <c r="B405" s="51" t="n"/>
      <c r="C405" s="51" t="n"/>
      <c r="D405" s="51" t="n"/>
      <c r="E405" s="51" t="n"/>
      <c r="F405" s="51" t="n"/>
    </row>
    <row r="406">
      <c r="B406" s="51" t="n"/>
      <c r="C406" s="51" t="n"/>
      <c r="D406" s="51" t="n"/>
      <c r="E406" s="51" t="n"/>
      <c r="F406" s="51" t="n"/>
    </row>
    <row r="407">
      <c r="B407" s="51" t="n"/>
      <c r="C407" s="51" t="n"/>
      <c r="D407" s="51" t="n"/>
      <c r="E407" s="51" t="n"/>
      <c r="F407" s="51" t="n"/>
    </row>
    <row r="408">
      <c r="B408" s="51" t="n"/>
      <c r="C408" s="51" t="n"/>
      <c r="D408" s="51" t="n"/>
      <c r="E408" s="51" t="n"/>
      <c r="F408" s="51" t="n"/>
    </row>
    <row r="409">
      <c r="B409" s="51" t="n"/>
      <c r="C409" s="51" t="n"/>
      <c r="D409" s="51" t="n"/>
      <c r="E409" s="51" t="n"/>
      <c r="F409" s="51" t="n"/>
    </row>
    <row r="410">
      <c r="B410" s="51" t="n"/>
      <c r="C410" s="51" t="n"/>
      <c r="D410" s="51" t="n"/>
      <c r="E410" s="51" t="n"/>
      <c r="F410" s="51" t="n"/>
    </row>
    <row r="411">
      <c r="B411" s="51" t="n"/>
      <c r="C411" s="51" t="n"/>
      <c r="D411" s="51" t="n"/>
      <c r="E411" s="51" t="n"/>
      <c r="F411" s="51" t="n"/>
    </row>
    <row r="412">
      <c r="B412" s="51" t="n"/>
      <c r="C412" s="51" t="n"/>
      <c r="D412" s="51" t="n"/>
      <c r="E412" s="51" t="n"/>
      <c r="F412" s="51" t="n"/>
    </row>
    <row r="413">
      <c r="B413" s="51" t="n"/>
      <c r="C413" s="51" t="n"/>
      <c r="D413" s="51" t="n"/>
      <c r="E413" s="51" t="n"/>
      <c r="F413" s="51" t="n"/>
    </row>
    <row r="414">
      <c r="B414" s="51" t="n"/>
      <c r="C414" s="51" t="n"/>
      <c r="D414" s="51" t="n"/>
      <c r="E414" s="51" t="n"/>
      <c r="F414" s="51" t="n"/>
    </row>
    <row r="415">
      <c r="B415" s="51" t="n"/>
      <c r="C415" s="51" t="n"/>
      <c r="D415" s="51" t="n"/>
      <c r="E415" s="51" t="n"/>
      <c r="F415" s="51" t="n"/>
    </row>
    <row r="416">
      <c r="B416" s="51" t="n"/>
      <c r="C416" s="51" t="n"/>
      <c r="D416" s="51" t="n"/>
      <c r="E416" s="51" t="n"/>
      <c r="F416" s="51" t="n"/>
    </row>
    <row r="417">
      <c r="B417" s="51" t="n"/>
      <c r="C417" s="51" t="n"/>
      <c r="D417" s="51" t="n"/>
      <c r="E417" s="51" t="n"/>
      <c r="F417" s="51" t="n"/>
    </row>
    <row r="418">
      <c r="B418" s="51" t="n"/>
      <c r="C418" s="51" t="n"/>
      <c r="D418" s="51" t="n"/>
      <c r="E418" s="51" t="n"/>
      <c r="F418" s="51" t="n"/>
    </row>
    <row r="419">
      <c r="B419" s="51" t="n"/>
      <c r="C419" s="51" t="n"/>
      <c r="D419" s="51" t="n"/>
      <c r="E419" s="51" t="n"/>
      <c r="F419" s="51" t="n"/>
    </row>
    <row r="420">
      <c r="B420" s="51" t="n"/>
      <c r="C420" s="51" t="n"/>
      <c r="D420" s="51" t="n"/>
      <c r="E420" s="51" t="n"/>
      <c r="F420" s="51" t="n"/>
    </row>
    <row r="421">
      <c r="B421" s="51" t="n"/>
      <c r="C421" s="51" t="n"/>
      <c r="D421" s="51" t="n"/>
      <c r="E421" s="51" t="n"/>
      <c r="F421" s="51" t="n"/>
    </row>
    <row r="422">
      <c r="B422" s="51" t="n"/>
      <c r="C422" s="51" t="n"/>
      <c r="D422" s="51" t="n"/>
      <c r="E422" s="51" t="n"/>
      <c r="F422" s="51" t="n"/>
    </row>
    <row r="423">
      <c r="B423" s="51" t="n"/>
      <c r="C423" s="51" t="n"/>
      <c r="D423" s="51" t="n"/>
      <c r="E423" s="51" t="n"/>
      <c r="F423" s="51" t="n"/>
    </row>
    <row r="424">
      <c r="B424" s="51" t="n"/>
      <c r="C424" s="51" t="n"/>
      <c r="D424" s="51" t="n"/>
      <c r="E424" s="51" t="n"/>
      <c r="F424" s="51" t="n"/>
    </row>
    <row r="425">
      <c r="B425" s="51" t="n"/>
      <c r="C425" s="51" t="n"/>
      <c r="D425" s="51" t="n"/>
      <c r="E425" s="51" t="n"/>
      <c r="F425" s="51" t="n"/>
    </row>
    <row r="426">
      <c r="B426" s="51" t="n"/>
      <c r="C426" s="51" t="n"/>
      <c r="D426" s="51" t="n"/>
      <c r="E426" s="51" t="n"/>
      <c r="F426" s="51" t="n"/>
    </row>
    <row r="427">
      <c r="B427" s="51" t="n"/>
      <c r="C427" s="51" t="n"/>
      <c r="D427" s="51" t="n"/>
      <c r="E427" s="51" t="n"/>
      <c r="F427" s="51" t="n"/>
    </row>
    <row r="428">
      <c r="B428" s="51" t="n"/>
      <c r="C428" s="51" t="n"/>
      <c r="D428" s="51" t="n"/>
      <c r="E428" s="51" t="n"/>
      <c r="F428" s="51" t="n"/>
    </row>
    <row r="429">
      <c r="B429" s="51" t="n"/>
      <c r="C429" s="51" t="n"/>
      <c r="D429" s="51" t="n"/>
      <c r="E429" s="51" t="n"/>
      <c r="F429" s="51" t="n"/>
    </row>
    <row r="430">
      <c r="B430" s="51" t="n"/>
      <c r="C430" s="51" t="n"/>
      <c r="D430" s="51" t="n"/>
      <c r="E430" s="51" t="n"/>
      <c r="F430" s="51" t="n"/>
    </row>
    <row r="431">
      <c r="B431" s="51" t="n"/>
      <c r="C431" s="51" t="n"/>
      <c r="D431" s="51" t="n"/>
      <c r="E431" s="51" t="n"/>
      <c r="F431" s="51" t="n"/>
    </row>
    <row r="432">
      <c r="B432" s="51" t="n"/>
      <c r="C432" s="51" t="n"/>
      <c r="D432" s="51" t="n"/>
      <c r="E432" s="51" t="n"/>
      <c r="F432" s="51" t="n"/>
    </row>
    <row r="433">
      <c r="B433" s="51" t="n"/>
      <c r="C433" s="51" t="n"/>
      <c r="D433" s="51" t="n"/>
      <c r="E433" s="51" t="n"/>
      <c r="F433" s="51" t="n"/>
    </row>
    <row r="434">
      <c r="B434" s="51" t="n"/>
      <c r="C434" s="51" t="n"/>
      <c r="D434" s="51" t="n"/>
      <c r="E434" s="51" t="n"/>
      <c r="F434" s="51" t="n"/>
    </row>
    <row r="435">
      <c r="B435" s="51" t="n"/>
      <c r="C435" s="51" t="n"/>
      <c r="D435" s="51" t="n"/>
      <c r="E435" s="51" t="n"/>
      <c r="F435" s="51" t="n"/>
    </row>
    <row r="436">
      <c r="B436" s="51" t="n"/>
      <c r="C436" s="51" t="n"/>
      <c r="D436" s="51" t="n"/>
      <c r="E436" s="51" t="n"/>
      <c r="F436" s="51" t="n"/>
    </row>
    <row r="437">
      <c r="B437" s="51" t="n"/>
      <c r="C437" s="51" t="n"/>
      <c r="D437" s="51" t="n"/>
      <c r="E437" s="51" t="n"/>
      <c r="F437" s="51" t="n"/>
    </row>
    <row r="438">
      <c r="B438" s="51" t="n"/>
      <c r="C438" s="51" t="n"/>
      <c r="D438" s="51" t="n"/>
      <c r="E438" s="51" t="n"/>
      <c r="F438" s="51" t="n"/>
    </row>
    <row r="439">
      <c r="B439" s="51" t="n"/>
      <c r="C439" s="51" t="n"/>
      <c r="D439" s="51" t="n"/>
      <c r="E439" s="51" t="n"/>
      <c r="F439" s="51" t="n"/>
    </row>
    <row r="440">
      <c r="B440" s="51" t="n"/>
      <c r="C440" s="51" t="n"/>
      <c r="D440" s="51" t="n"/>
      <c r="E440" s="51" t="n"/>
      <c r="F440" s="51" t="n"/>
    </row>
    <row r="441">
      <c r="B441" s="51" t="n"/>
      <c r="C441" s="51" t="n"/>
      <c r="D441" s="51" t="n"/>
      <c r="E441" s="51" t="n"/>
      <c r="F441" s="51" t="n"/>
    </row>
    <row r="442">
      <c r="B442" s="51" t="n"/>
      <c r="C442" s="51" t="n"/>
      <c r="D442" s="51" t="n"/>
      <c r="E442" s="51" t="n"/>
      <c r="F442" s="51" t="n"/>
    </row>
    <row r="443">
      <c r="B443" s="51" t="n"/>
      <c r="C443" s="51" t="n"/>
      <c r="D443" s="51" t="n"/>
      <c r="E443" s="51" t="n"/>
      <c r="F443" s="51" t="n"/>
    </row>
    <row r="444">
      <c r="B444" s="51" t="n"/>
      <c r="C444" s="51" t="n"/>
      <c r="D444" s="51" t="n"/>
      <c r="E444" s="51" t="n"/>
      <c r="F444" s="51" t="n"/>
    </row>
    <row r="445">
      <c r="B445" s="51" t="n"/>
      <c r="C445" s="51" t="n"/>
      <c r="D445" s="51" t="n"/>
      <c r="E445" s="51" t="n"/>
      <c r="F445" s="51" t="n"/>
    </row>
    <row r="446">
      <c r="B446" s="51" t="n"/>
      <c r="C446" s="51" t="n"/>
      <c r="D446" s="51" t="n"/>
      <c r="E446" s="51" t="n"/>
      <c r="F446" s="51" t="n"/>
    </row>
    <row r="447">
      <c r="B447" s="51" t="n"/>
      <c r="C447" s="51" t="n"/>
      <c r="D447" s="51" t="n"/>
      <c r="E447" s="51" t="n"/>
      <c r="F447" s="51" t="n"/>
    </row>
    <row r="448">
      <c r="B448" s="51" t="n"/>
      <c r="C448" s="51" t="n"/>
      <c r="D448" s="51" t="n"/>
      <c r="E448" s="51" t="n"/>
      <c r="F448" s="51" t="n"/>
    </row>
    <row r="449">
      <c r="B449" s="51" t="n"/>
      <c r="C449" s="51" t="n"/>
      <c r="D449" s="51" t="n"/>
      <c r="E449" s="51" t="n"/>
      <c r="F449" s="51" t="n"/>
    </row>
    <row r="450">
      <c r="B450" s="51" t="n"/>
      <c r="C450" s="51" t="n"/>
      <c r="D450" s="51" t="n"/>
      <c r="E450" s="51" t="n"/>
      <c r="F450" s="51" t="n"/>
    </row>
    <row r="451">
      <c r="B451" s="51" t="n"/>
      <c r="C451" s="51" t="n"/>
      <c r="D451" s="51" t="n"/>
      <c r="E451" s="51" t="n"/>
      <c r="F451" s="51" t="n"/>
    </row>
    <row r="452">
      <c r="B452" s="51" t="n"/>
      <c r="C452" s="51" t="n"/>
      <c r="D452" s="51" t="n"/>
      <c r="E452" s="51" t="n"/>
      <c r="F452" s="51" t="n"/>
    </row>
    <row r="453">
      <c r="B453" s="51" t="n"/>
      <c r="C453" s="51" t="n"/>
      <c r="D453" s="51" t="n"/>
      <c r="E453" s="51" t="n"/>
      <c r="F453" s="51" t="n"/>
    </row>
    <row r="454">
      <c r="B454" s="51" t="n"/>
      <c r="C454" s="51" t="n"/>
      <c r="D454" s="51" t="n"/>
      <c r="E454" s="51" t="n"/>
      <c r="F454" s="51" t="n"/>
    </row>
    <row r="455">
      <c r="B455" s="51" t="n"/>
      <c r="C455" s="51" t="n"/>
      <c r="D455" s="51" t="n"/>
      <c r="E455" s="51" t="n"/>
      <c r="F455" s="51" t="n"/>
    </row>
    <row r="456">
      <c r="B456" s="51" t="n"/>
      <c r="C456" s="51" t="n"/>
      <c r="D456" s="51" t="n"/>
      <c r="E456" s="51" t="n"/>
      <c r="F456" s="51" t="n"/>
    </row>
    <row r="457">
      <c r="B457" s="51" t="n"/>
      <c r="C457" s="51" t="n"/>
      <c r="D457" s="51" t="n"/>
      <c r="E457" s="51" t="n"/>
      <c r="F457" s="51" t="n"/>
    </row>
    <row r="458">
      <c r="B458" s="51" t="n"/>
      <c r="C458" s="51" t="n"/>
      <c r="D458" s="51" t="n"/>
      <c r="E458" s="51" t="n"/>
      <c r="F458" s="51" t="n"/>
    </row>
    <row r="459">
      <c r="B459" s="51" t="n"/>
      <c r="C459" s="51" t="n"/>
      <c r="D459" s="51" t="n"/>
      <c r="E459" s="51" t="n"/>
      <c r="F459" s="51" t="n"/>
    </row>
    <row r="460">
      <c r="B460" s="51" t="n"/>
      <c r="C460" s="51" t="n"/>
      <c r="D460" s="51" t="n"/>
      <c r="E460" s="51" t="n"/>
      <c r="F460" s="51" t="n"/>
    </row>
    <row r="461">
      <c r="B461" s="51" t="n"/>
      <c r="C461" s="51" t="n"/>
      <c r="D461" s="51" t="n"/>
      <c r="E461" s="51" t="n"/>
      <c r="F461" s="51" t="n"/>
    </row>
    <row r="462">
      <c r="B462" s="51" t="n"/>
      <c r="C462" s="51" t="n"/>
      <c r="D462" s="51" t="n"/>
      <c r="E462" s="51" t="n"/>
      <c r="F462" s="51" t="n"/>
    </row>
    <row r="463">
      <c r="B463" s="51" t="n"/>
      <c r="C463" s="51" t="n"/>
      <c r="D463" s="51" t="n"/>
      <c r="E463" s="51" t="n"/>
      <c r="F463" s="51" t="n"/>
    </row>
    <row r="464">
      <c r="B464" s="51" t="n"/>
      <c r="C464" s="51" t="n"/>
      <c r="D464" s="51" t="n"/>
      <c r="E464" s="51" t="n"/>
      <c r="F464" s="51" t="n"/>
    </row>
    <row r="465">
      <c r="B465" s="51" t="n"/>
      <c r="C465" s="51" t="n"/>
      <c r="D465" s="51" t="n"/>
      <c r="E465" s="51" t="n"/>
      <c r="F465" s="51" t="n"/>
    </row>
    <row r="466">
      <c r="B466" s="51" t="n"/>
      <c r="C466" s="51" t="n"/>
      <c r="D466" s="51" t="n"/>
      <c r="E466" s="51" t="n"/>
      <c r="F466" s="51" t="n"/>
    </row>
    <row r="467">
      <c r="B467" s="51" t="n"/>
      <c r="C467" s="51" t="n"/>
      <c r="D467" s="51" t="n"/>
      <c r="E467" s="51" t="n"/>
      <c r="F467" s="51" t="n"/>
    </row>
    <row r="468">
      <c r="B468" s="51" t="n"/>
      <c r="C468" s="51" t="n"/>
      <c r="D468" s="51" t="n"/>
      <c r="E468" s="51" t="n"/>
      <c r="F468" s="51" t="n"/>
    </row>
    <row r="469">
      <c r="B469" s="51" t="n"/>
      <c r="C469" s="51" t="n"/>
      <c r="D469" s="51" t="n"/>
      <c r="E469" s="51" t="n"/>
      <c r="F469" s="51" t="n"/>
    </row>
    <row r="470">
      <c r="B470" s="51" t="n"/>
      <c r="C470" s="51" t="n"/>
      <c r="D470" s="51" t="n"/>
      <c r="E470" s="51" t="n"/>
      <c r="F470" s="51" t="n"/>
    </row>
    <row r="471">
      <c r="B471" s="51" t="n"/>
      <c r="C471" s="51" t="n"/>
      <c r="D471" s="51" t="n"/>
      <c r="E471" s="51" t="n"/>
      <c r="F471" s="51" t="n"/>
    </row>
    <row r="472">
      <c r="B472" s="51" t="n"/>
      <c r="C472" s="51" t="n"/>
      <c r="D472" s="51" t="n"/>
      <c r="E472" s="51" t="n"/>
      <c r="F472" s="51" t="n"/>
    </row>
    <row r="473">
      <c r="B473" s="51" t="n"/>
      <c r="C473" s="51" t="n"/>
      <c r="D473" s="51" t="n"/>
      <c r="E473" s="51" t="n"/>
      <c r="F473" s="51" t="n"/>
    </row>
    <row r="474">
      <c r="B474" s="51" t="n"/>
      <c r="C474" s="51" t="n"/>
      <c r="D474" s="51" t="n"/>
      <c r="E474" s="51" t="n"/>
      <c r="F474" s="51" t="n"/>
    </row>
    <row r="475">
      <c r="B475" s="51" t="n"/>
      <c r="C475" s="51" t="n"/>
      <c r="D475" s="51" t="n"/>
      <c r="E475" s="51" t="n"/>
      <c r="F475" s="51" t="n"/>
    </row>
    <row r="476">
      <c r="B476" s="51" t="n"/>
      <c r="C476" s="51" t="n"/>
      <c r="D476" s="51" t="n"/>
      <c r="E476" s="51" t="n"/>
      <c r="F476" s="51" t="n"/>
    </row>
    <row r="477">
      <c r="B477" s="51" t="n"/>
      <c r="C477" s="51" t="n"/>
      <c r="D477" s="51" t="n"/>
      <c r="E477" s="51" t="n"/>
      <c r="F477" s="51" t="n"/>
    </row>
    <row r="478">
      <c r="B478" s="51" t="n"/>
      <c r="C478" s="51" t="n"/>
      <c r="D478" s="51" t="n"/>
      <c r="E478" s="51" t="n"/>
      <c r="F478" s="51" t="n"/>
    </row>
    <row r="479">
      <c r="B479" s="51" t="n"/>
      <c r="C479" s="51" t="n"/>
      <c r="D479" s="51" t="n"/>
      <c r="E479" s="51" t="n"/>
      <c r="F479" s="51" t="n"/>
    </row>
    <row r="480">
      <c r="B480" s="51" t="n"/>
      <c r="C480" s="51" t="n"/>
      <c r="D480" s="51" t="n"/>
      <c r="E480" s="51" t="n"/>
      <c r="F480" s="51" t="n"/>
    </row>
    <row r="481">
      <c r="B481" s="51" t="n"/>
      <c r="C481" s="51" t="n"/>
      <c r="D481" s="51" t="n"/>
      <c r="E481" s="51" t="n"/>
      <c r="F481" s="51" t="n"/>
    </row>
    <row r="482">
      <c r="B482" s="51" t="n"/>
      <c r="C482" s="51" t="n"/>
      <c r="D482" s="51" t="n"/>
      <c r="E482" s="51" t="n"/>
      <c r="F482" s="51" t="n"/>
    </row>
    <row r="483">
      <c r="B483" s="51" t="n"/>
      <c r="C483" s="51" t="n"/>
      <c r="D483" s="51" t="n"/>
      <c r="E483" s="51" t="n"/>
      <c r="F483" s="51" t="n"/>
    </row>
    <row r="484">
      <c r="B484" s="51" t="n"/>
      <c r="C484" s="51" t="n"/>
      <c r="D484" s="51" t="n"/>
      <c r="E484" s="51" t="n"/>
      <c r="F484" s="51" t="n"/>
    </row>
    <row r="485">
      <c r="B485" s="51" t="n"/>
      <c r="C485" s="51" t="n"/>
      <c r="D485" s="51" t="n"/>
      <c r="E485" s="51" t="n"/>
      <c r="F485" s="51" t="n"/>
    </row>
    <row r="486">
      <c r="B486" s="51" t="n"/>
      <c r="C486" s="51" t="n"/>
      <c r="D486" s="51" t="n"/>
      <c r="E486" s="51" t="n"/>
      <c r="F486" s="51" t="n"/>
    </row>
    <row r="487">
      <c r="B487" s="51" t="n"/>
      <c r="C487" s="51" t="n"/>
      <c r="D487" s="51" t="n"/>
      <c r="E487" s="51" t="n"/>
      <c r="F487" s="51" t="n"/>
    </row>
    <row r="488">
      <c r="B488" s="51" t="n"/>
      <c r="C488" s="51" t="n"/>
      <c r="D488" s="51" t="n"/>
      <c r="E488" s="51" t="n"/>
      <c r="F488" s="51" t="n"/>
    </row>
    <row r="489">
      <c r="B489" s="51" t="n"/>
      <c r="C489" s="51" t="n"/>
      <c r="D489" s="51" t="n"/>
      <c r="E489" s="51" t="n"/>
      <c r="F489" s="51" t="n"/>
    </row>
    <row r="490">
      <c r="B490" s="51" t="n"/>
      <c r="C490" s="51" t="n"/>
      <c r="D490" s="51" t="n"/>
      <c r="E490" s="51" t="n"/>
      <c r="F490" s="51" t="n"/>
    </row>
    <row r="491">
      <c r="B491" s="51" t="n"/>
      <c r="C491" s="51" t="n"/>
      <c r="D491" s="51" t="n"/>
      <c r="E491" s="51" t="n"/>
      <c r="F491" s="51" t="n"/>
    </row>
    <row r="492">
      <c r="B492" s="51" t="n"/>
      <c r="C492" s="51" t="n"/>
      <c r="D492" s="51" t="n"/>
      <c r="E492" s="51" t="n"/>
      <c r="F492" s="51" t="n"/>
    </row>
    <row r="493">
      <c r="B493" s="51" t="n"/>
      <c r="C493" s="51" t="n"/>
      <c r="D493" s="51" t="n"/>
      <c r="E493" s="51" t="n"/>
      <c r="F493" s="51" t="n"/>
    </row>
    <row r="494">
      <c r="B494" s="51" t="n"/>
      <c r="C494" s="51" t="n"/>
      <c r="D494" s="51" t="n"/>
      <c r="E494" s="51" t="n"/>
      <c r="F494" s="51" t="n"/>
    </row>
    <row r="495">
      <c r="B495" s="51" t="n"/>
      <c r="C495" s="51" t="n"/>
      <c r="D495" s="51" t="n"/>
      <c r="E495" s="51" t="n"/>
      <c r="F495" s="51" t="n"/>
    </row>
    <row r="496">
      <c r="B496" s="51" t="n"/>
      <c r="C496" s="51" t="n"/>
      <c r="D496" s="51" t="n"/>
      <c r="E496" s="51" t="n"/>
      <c r="F496" s="51" t="n"/>
    </row>
    <row r="497">
      <c r="B497" s="51" t="n"/>
      <c r="C497" s="51" t="n"/>
      <c r="D497" s="51" t="n"/>
      <c r="E497" s="51" t="n"/>
      <c r="F497" s="51" t="n"/>
    </row>
    <row r="498">
      <c r="B498" s="51" t="n"/>
      <c r="C498" s="51" t="n"/>
      <c r="D498" s="51" t="n"/>
      <c r="E498" s="51" t="n"/>
      <c r="F498" s="51" t="n"/>
    </row>
    <row r="499">
      <c r="B499" s="51" t="n"/>
      <c r="C499" s="51" t="n"/>
      <c r="D499" s="51" t="n"/>
      <c r="E499" s="51" t="n"/>
      <c r="F499" s="51" t="n"/>
    </row>
    <row r="500">
      <c r="B500" s="51" t="n"/>
      <c r="C500" s="51" t="n"/>
      <c r="D500" s="51" t="n"/>
      <c r="E500" s="51" t="n"/>
      <c r="F500" s="51" t="n"/>
    </row>
    <row r="501">
      <c r="B501" s="51" t="n"/>
      <c r="C501" s="51" t="n"/>
      <c r="D501" s="51" t="n"/>
      <c r="E501" s="51" t="n"/>
      <c r="F501" s="51" t="n"/>
    </row>
    <row r="502">
      <c r="B502" s="51" t="n"/>
      <c r="C502" s="51" t="n"/>
      <c r="D502" s="51" t="n"/>
      <c r="E502" s="51" t="n"/>
      <c r="F502" s="51" t="n"/>
    </row>
    <row r="503">
      <c r="B503" s="51" t="n"/>
      <c r="C503" s="51" t="n"/>
      <c r="D503" s="51" t="n"/>
      <c r="E503" s="51" t="n"/>
      <c r="F503" s="51" t="n"/>
    </row>
    <row r="504">
      <c r="B504" s="51" t="n"/>
      <c r="C504" s="51" t="n"/>
      <c r="D504" s="51" t="n"/>
      <c r="E504" s="51" t="n"/>
      <c r="F504" s="51" t="n"/>
    </row>
    <row r="505">
      <c r="B505" s="51" t="n"/>
      <c r="C505" s="51" t="n"/>
      <c r="D505" s="51" t="n"/>
      <c r="E505" s="51" t="n"/>
      <c r="F505" s="51" t="n"/>
    </row>
    <row r="506">
      <c r="B506" s="51" t="n"/>
      <c r="C506" s="51" t="n"/>
      <c r="D506" s="51" t="n"/>
      <c r="E506" s="51" t="n"/>
      <c r="F506" s="51" t="n"/>
    </row>
    <row r="507">
      <c r="B507" s="51" t="n"/>
      <c r="C507" s="51" t="n"/>
      <c r="D507" s="51" t="n"/>
      <c r="E507" s="51" t="n"/>
      <c r="F507" s="51" t="n"/>
    </row>
    <row r="508">
      <c r="B508" s="51" t="n"/>
      <c r="C508" s="51" t="n"/>
      <c r="D508" s="51" t="n"/>
      <c r="E508" s="51" t="n"/>
      <c r="F508" s="51" t="n"/>
    </row>
    <row r="509">
      <c r="B509" s="51" t="n"/>
      <c r="C509" s="51" t="n"/>
      <c r="D509" s="51" t="n"/>
      <c r="E509" s="51" t="n"/>
      <c r="F509" s="51" t="n"/>
    </row>
    <row r="510">
      <c r="B510" s="51" t="n"/>
      <c r="C510" s="51" t="n"/>
      <c r="D510" s="51" t="n"/>
      <c r="E510" s="51" t="n"/>
      <c r="F510" s="51" t="n"/>
    </row>
    <row r="511">
      <c r="B511" s="51" t="n"/>
      <c r="C511" s="51" t="n"/>
      <c r="D511" s="51" t="n"/>
      <c r="E511" s="51" t="n"/>
      <c r="F511" s="51" t="n"/>
    </row>
    <row r="512">
      <c r="B512" s="51" t="n"/>
      <c r="C512" s="51" t="n"/>
      <c r="D512" s="51" t="n"/>
      <c r="E512" s="51" t="n"/>
      <c r="F512" s="51" t="n"/>
    </row>
    <row r="513">
      <c r="B513" s="51" t="n"/>
      <c r="C513" s="51" t="n"/>
      <c r="D513" s="51" t="n"/>
      <c r="E513" s="51" t="n"/>
      <c r="F513" s="51" t="n"/>
    </row>
    <row r="514">
      <c r="B514" s="51" t="n"/>
      <c r="C514" s="51" t="n"/>
      <c r="D514" s="51" t="n"/>
      <c r="E514" s="51" t="n"/>
      <c r="F514" s="51" t="n"/>
    </row>
    <row r="515">
      <c r="B515" s="51" t="n"/>
      <c r="C515" s="51" t="n"/>
      <c r="D515" s="51" t="n"/>
      <c r="E515" s="51" t="n"/>
      <c r="F515" s="51" t="n"/>
    </row>
    <row r="516">
      <c r="B516" s="51" t="n"/>
      <c r="C516" s="51" t="n"/>
      <c r="D516" s="51" t="n"/>
      <c r="E516" s="51" t="n"/>
      <c r="F516" s="51" t="n"/>
    </row>
    <row r="517">
      <c r="B517" s="51" t="n"/>
      <c r="C517" s="51" t="n"/>
      <c r="D517" s="51" t="n"/>
      <c r="E517" s="51" t="n"/>
      <c r="F517" s="51"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D17:D517">
    <cfRule type="expression" priority="3" dxfId="6">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egacy account" error="Choose a value of the list Legacy control account (sheet Reference lists)." promptTitle="Legacy account" prompt="Yes. One row per account Allowed: List Legacy control account: 8 values, see Reference lists" type="list" errorStyle="stop">
      <formula1>=LIST_LEGACY_ACCOUNT</formula1>
    </dataValidation>
    <dataValidation sqref="C17:C517" showDropDown="0" showInputMessage="1" showErrorMessage="0" allowBlank="1" promptTitle="Component" prompt="Conditional: Premium Receivable - Legacy. Component the account holds"/>
    <dataValidation sqref="D17:D517" showDropDown="0" showInputMessage="1" showErrorMessage="1" allowBlank="1" errorTitle="BIBS account code" error="The code is not in D0-06, column Account Code. Enter it there first, or keep it if it is a code BIBS already holds." promptTitle="BIBS account code" prompt="Yes. Account in the production chart Allowed: A code of D0-06 Chart of accounts, column Account Code" type="list" errorStyle="warning">
      <formula1>=CODES_D0_06_ACCOUNT_CODE</formula1>
    </dataValidation>
    <dataValidation sqref="E17:E517" showDropDown="0" showInputMessage="1" showErrorMessage="0" allowBlank="1" promptTitle="Legacy GL accounts" prompt="No. The legacy accounts it replaces (for the code map GL_ACCOUNT, R08)"/>
    <dataValidation sqref="F17:F517" showDropDown="0" showInputMessage="1" showErrorMessage="0" allowBlank="1" promptTitle="Remarks" prompt="No. End state after the run-off"/>
  </dataValidations>
  <hyperlinks>
    <hyperlink ref="A2" location="'Start here'!A1"/>
    <hyperlink ref="G2" location="'Questions and comments'!A1"/>
    <hyperlink ref="B8" location="'D0-06 Chart of accounts'!A1"/>
    <hyperlink ref="B14" location="'Reference lists'!A298"/>
    <hyperlink ref="D14" location="'D0-06 Chart of account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16" customWidth="1" min="3" max="3"/>
    <col width="13" customWidth="1" min="4" max="4"/>
    <col width="12" customWidth="1" min="5" max="5"/>
    <col width="16" customWidth="1" min="6" max="6"/>
    <col width="12" customWidth="1" min="7" max="7"/>
    <col width="15" customWidth="1" min="8" max="8"/>
    <col width="19" customWidth="1" min="9" max="9"/>
    <col width="19" customWidth="1" min="10" max="10"/>
    <col width="17" customWidth="1" min="11" max="11"/>
  </cols>
  <sheetData>
    <row r="1" ht="26" customHeight="1">
      <c r="A1" s="27" t="inlineStr">
        <is>
          <t>D0-10 Tax codes</t>
        </is>
      </c>
      <c r="K1" s="28" t="inlineStr">
        <is>
          <t>Step 20 of 31</t>
        </is>
      </c>
    </row>
    <row r="2">
      <c r="A2" s="29" t="inlineStr">
        <is>
          <t>← Back to Start here</t>
        </is>
      </c>
      <c r="B2" s="30" t="inlineStr">
        <is>
          <t>Step 20 of 31. Fill in one row per record below the column headers; the guide above each column says what to enter.</t>
        </is>
      </c>
      <c r="K2" s="31" t="inlineStr">
        <is>
          <t>Ask a question →</t>
        </is>
      </c>
    </row>
    <row r="3" outlineLevel="1" ht="15.5" customHeight="1">
      <c r="A3" s="32" t="inlineStr">
        <is>
          <t>Purpose</t>
        </is>
      </c>
      <c r="B3" s="33" t="inlineStr">
        <is>
          <t>The tax codes with their ATC, rate and GL account</t>
        </is>
      </c>
    </row>
    <row r="4" outlineLevel="1" ht="15.5" customHeight="1">
      <c r="A4" s="32" t="inlineStr">
        <is>
          <t>Provided by</t>
        </is>
      </c>
      <c r="B4" s="33" t="inlineStr">
        <is>
          <t>Head, Comptrollership (Tax)</t>
        </is>
      </c>
    </row>
    <row r="5" outlineLevel="1" ht="15.5" customHeight="1">
      <c r="A5" s="32" t="inlineStr">
        <is>
          <t>Due</t>
        </is>
      </c>
      <c r="B5" s="34" t="inlineStr">
        <is>
          <t>16-Jul-2027 – Values for UAT</t>
        </is>
      </c>
    </row>
    <row r="6" outlineLevel="1" ht="15.5" customHeight="1">
      <c r="A6" s="32" t="inlineStr">
        <is>
          <t>How it is loaded</t>
        </is>
      </c>
      <c r="B6" s="33" t="inlineStr">
        <is>
          <t>Tax Codes &amp; Forms (Tax &amp; Statutory), authorised by Comptrollership</t>
        </is>
      </c>
    </row>
    <row r="7" outlineLevel="1" ht="15.5" customHeight="1">
      <c r="A7" s="32" t="inlineStr">
        <is>
          <t>Source</t>
        </is>
      </c>
      <c r="B7" s="33" t="inlineStr">
        <is>
          <t>BIR ATC list; current tax set-up</t>
        </is>
      </c>
    </row>
    <row r="8" outlineLevel="1" ht="15" customHeight="1">
      <c r="A8" s="32" t="inlineStr">
        <is>
          <t>Depends on</t>
        </is>
      </c>
      <c r="B8" s="55" t="inlineStr">
        <is>
          <t>D0-06 Chart of accounts →</t>
        </is>
      </c>
    </row>
    <row r="9" ht="26" customHeight="1">
      <c r="A9" s="36" t="inlineStr">
        <is>
          <t>Progress</t>
        </is>
      </c>
      <c r="B9" s="37" t="inlineStr">
        <is>
          <t>Rows entered</t>
        </is>
      </c>
      <c r="C9" s="38">
        <f>SUMPRODUCT(((ROW($B$17:$B$517)&gt;17)+($B$17&lt;&gt;"EWT_WC158")&gt;0)*(LEN($B$17:$B$517&amp;$C$17:$C$517&amp;$D$17:$D$517&amp;$E$17:$E$517&amp;$F$17:$F$517&amp;$G$17:$G$517&amp;$H$17:$H$517&amp;$I$17:$I$517&amp;$J$17:$J$517&amp;$K$17:$K$517)&gt;0))</f>
        <v/>
      </c>
      <c r="D9" s="37" t="inlineStr">
        <is>
          <t>Mandatory cells missing</t>
        </is>
      </c>
      <c r="E9" s="38">
        <f>SUMPRODUCT(((ROW($B$17:$B$517)&gt;17)+($B$17&lt;&gt;"EWT_WC158")&gt;0)*(LEN($B$17:$B$517&amp;$C$17:$C$517&amp;$D$17:$D$517&amp;$E$17:$E$517&amp;$F$17:$F$517&amp;$G$17:$G$517&amp;$H$17:$H$517&amp;$I$17:$I$517&amp;$J$17:$J$517&amp;$K$17:$K$517)&gt;0)*(($B$17:$B$517="")+($C$17:$C$517="")+($D$17:$D$517="")+($G$17:$G$517="")+($H$17:$H$517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row>
    <row r="12" ht="30" customHeight="1">
      <c r="A12" s="43" t="inlineStr">
        <is>
          <t>Mandatory</t>
        </is>
      </c>
      <c r="B12" s="44" t="inlineStr">
        <is>
          <t>Yes</t>
        </is>
      </c>
      <c r="C12" s="44" t="inlineStr">
        <is>
          <t>Yes</t>
        </is>
      </c>
      <c r="D12" s="44" t="inlineStr">
        <is>
          <t>Yes</t>
        </is>
      </c>
      <c r="E12" s="45" t="inlineStr">
        <is>
          <t>Conditional: withholding</t>
        </is>
      </c>
      <c r="F12" s="45" t="inlineStr">
        <is>
          <t>No</t>
        </is>
      </c>
      <c r="G12" s="44" t="inlineStr">
        <is>
          <t>Yes</t>
        </is>
      </c>
      <c r="H12" s="44" t="inlineStr">
        <is>
          <t>Yes</t>
        </is>
      </c>
      <c r="I12" s="45" t="inlineStr">
        <is>
          <t>No</t>
        </is>
      </c>
      <c r="J12" s="44" t="inlineStr">
        <is>
          <t>Yes</t>
        </is>
      </c>
      <c r="K12" s="45" t="inlineStr">
        <is>
          <t>No</t>
        </is>
      </c>
    </row>
    <row r="13" ht="30" customHeight="1">
      <c r="A13" s="43" t="inlineStr">
        <is>
          <t>Format</t>
        </is>
      </c>
      <c r="B13" s="45" t="inlineStr">
        <is>
          <t>Up to 20 capitals</t>
        </is>
      </c>
      <c r="C13" s="45" t="inlineStr">
        <is>
          <t>Text</t>
        </is>
      </c>
      <c r="D13" s="45" t="inlineStr">
        <is>
          <t>EWT, FWT, VAT, PT</t>
        </is>
      </c>
      <c r="E13" s="45" t="inlineStr">
        <is>
          <t>BIR ATC</t>
        </is>
      </c>
      <c r="F13" s="45" t="inlineStr">
        <is>
          <t>List PAYEE_CLASS</t>
        </is>
      </c>
      <c r="G13" s="45" t="inlineStr">
        <is>
          <t>0 to 100</t>
        </is>
      </c>
      <c r="H13" s="45" t="inlineStr">
        <is>
          <t>Account of D0-06</t>
        </is>
      </c>
      <c r="I13" s="45" t="inlineStr">
        <is>
          <t>Text</t>
        </is>
      </c>
      <c r="J13" s="45" t="inlineStr">
        <is>
          <t>dd-MMM-yyyy</t>
        </is>
      </c>
      <c r="K13" s="45" t="inlineStr">
        <is>
          <t>dd-MMM-yyyy</t>
        </is>
      </c>
    </row>
    <row r="14" ht="69" customHeight="1">
      <c r="A14" s="43" t="inlineStr">
        <is>
          <t>Allowed values</t>
        </is>
      </c>
      <c r="B14" s="45" t="inlineStr">
        <is>
          <t>Free entry, up to 20 characters</t>
        </is>
      </c>
      <c r="C14" s="45" t="inlineStr">
        <is>
          <t>Free entry</t>
        </is>
      </c>
      <c r="D14" s="53" t="inlineStr">
        <is>
          <t>EWT, FWT, VAT, PT (list Tax type)</t>
        </is>
      </c>
      <c r="E14" s="45" t="inlineStr">
        <is>
          <t>Free entry</t>
        </is>
      </c>
      <c r="F14" s="53" t="inlineStr">
        <is>
          <t>SUPPLIER, INSURER, EMPLOYEE, CLIENT, GOVERNMENT, OTHER (list Payee class)</t>
        </is>
      </c>
      <c r="G14" s="45" t="inlineStr">
        <is>
          <t>A number from 0 to 100</t>
        </is>
      </c>
      <c r="H14" s="53" t="inlineStr">
        <is>
          <t>A code of D0-06 Chart of accounts, column Account Code</t>
        </is>
      </c>
      <c r="I14" s="45" t="inlineStr">
        <is>
          <t>Free entry</t>
        </is>
      </c>
      <c r="J14" s="45" t="inlineStr">
        <is>
          <t>A date, for example 15-Jan-2028</t>
        </is>
      </c>
      <c r="K14" s="45" t="inlineStr">
        <is>
          <t>A date, for example 15-Jan-2028</t>
        </is>
      </c>
    </row>
    <row r="15" ht="30" customHeight="1">
      <c r="A15" s="43" t="inlineStr">
        <is>
          <t>What to enter</t>
        </is>
      </c>
      <c r="B15" s="45" t="inlineStr">
        <is>
          <t>Code of the tax</t>
        </is>
      </c>
      <c r="C15" s="45" t="inlineStr">
        <is>
          <t>Name shown on screens</t>
        </is>
      </c>
      <c r="D15" s="45" t="inlineStr">
        <is>
          <t>Kind of tax</t>
        </is>
      </c>
      <c r="E15" s="45" t="inlineStr">
        <is>
          <t>Alphanumeric tax code</t>
        </is>
      </c>
      <c r="F15" s="45" t="inlineStr">
        <is>
          <t>Payees it applies to</t>
        </is>
      </c>
      <c r="G15" s="45" t="inlineStr">
        <is>
          <t>Rate of the tax</t>
        </is>
      </c>
      <c r="H15" s="45" t="inlineStr">
        <is>
          <t>Account of the tax</t>
        </is>
      </c>
      <c r="I15" s="45" t="inlineStr">
        <is>
          <t>Nature of the income payment</t>
        </is>
      </c>
      <c r="J15" s="45" t="inlineStr">
        <is>
          <t>First date of the rate</t>
        </is>
      </c>
      <c r="K15" s="45" t="inlineStr">
        <is>
          <t>Last date of the rate</t>
        </is>
      </c>
    </row>
    <row r="16" ht="30" customHeight="1">
      <c r="A16" s="46" t="inlineStr">
        <is>
          <t>Row</t>
        </is>
      </c>
      <c r="B16" s="47" t="inlineStr">
        <is>
          <t>Tax code *</t>
        </is>
      </c>
      <c r="C16" s="47" t="inlineStr">
        <is>
          <t>Name *</t>
        </is>
      </c>
      <c r="D16" s="47" t="inlineStr">
        <is>
          <t>Tax type *</t>
        </is>
      </c>
      <c r="E16" s="47" t="inlineStr">
        <is>
          <t>ATC</t>
        </is>
      </c>
      <c r="F16" s="47" t="inlineStr">
        <is>
          <t>Payee class</t>
        </is>
      </c>
      <c r="G16" s="47" t="inlineStr">
        <is>
          <t>Rate % *</t>
        </is>
      </c>
      <c r="H16" s="47" t="inlineStr">
        <is>
          <t>GL account *</t>
        </is>
      </c>
      <c r="I16" s="47" t="inlineStr">
        <is>
          <t>Income nature</t>
        </is>
      </c>
      <c r="J16" s="47" t="inlineStr">
        <is>
          <t>Effective from *</t>
        </is>
      </c>
      <c r="K16" s="47" t="inlineStr">
        <is>
          <t>Effective to</t>
        </is>
      </c>
    </row>
    <row r="17" ht="18" customHeight="1">
      <c r="A17" s="48" t="inlineStr">
        <is>
          <t>Example – overwrite or delete</t>
        </is>
      </c>
      <c r="B17" s="49" t="inlineStr">
        <is>
          <t>EWT_WC158</t>
        </is>
      </c>
      <c r="C17" s="49" t="inlineStr">
        <is>
          <t>EWT 1% - goods</t>
        </is>
      </c>
      <c r="D17" s="49" t="inlineStr">
        <is>
          <t>EWT</t>
        </is>
      </c>
      <c r="E17" s="49" t="inlineStr">
        <is>
          <t>WC158</t>
        </is>
      </c>
      <c r="F17" s="49" t="inlineStr">
        <is>
          <t>CORPORATE</t>
        </is>
      </c>
      <c r="G17" s="54" t="n">
        <v>1</v>
      </c>
      <c r="H17" s="49" t="inlineStr">
        <is>
          <t>2150.02</t>
        </is>
      </c>
      <c r="I17" s="49" t="inlineStr">
        <is>
          <t>Purchase of goods</t>
        </is>
      </c>
      <c r="J17" s="50" t="n">
        <v>46753</v>
      </c>
      <c r="K17" s="54" t="n"/>
    </row>
    <row r="18">
      <c r="B18" s="51" t="n"/>
      <c r="C18" s="51" t="n"/>
      <c r="D18" s="51" t="n"/>
      <c r="E18" s="51" t="n"/>
      <c r="F18" s="51" t="n"/>
      <c r="H18" s="51" t="n"/>
      <c r="I18" s="51" t="n"/>
      <c r="J18" s="52" t="n"/>
      <c r="K18" s="52" t="n"/>
    </row>
    <row r="19">
      <c r="B19" s="51" t="n"/>
      <c r="C19" s="51" t="n"/>
      <c r="D19" s="51" t="n"/>
      <c r="E19" s="51" t="n"/>
      <c r="F19" s="51" t="n"/>
      <c r="H19" s="51" t="n"/>
      <c r="I19" s="51" t="n"/>
      <c r="J19" s="52" t="n"/>
      <c r="K19" s="52" t="n"/>
    </row>
    <row r="20">
      <c r="B20" s="51" t="n"/>
      <c r="C20" s="51" t="n"/>
      <c r="D20" s="51" t="n"/>
      <c r="E20" s="51" t="n"/>
      <c r="F20" s="51" t="n"/>
      <c r="H20" s="51" t="n"/>
      <c r="I20" s="51" t="n"/>
      <c r="J20" s="52" t="n"/>
      <c r="K20" s="52" t="n"/>
    </row>
    <row r="21">
      <c r="B21" s="51" t="n"/>
      <c r="C21" s="51" t="n"/>
      <c r="D21" s="51" t="n"/>
      <c r="E21" s="51" t="n"/>
      <c r="F21" s="51" t="n"/>
      <c r="H21" s="51" t="n"/>
      <c r="I21" s="51" t="n"/>
      <c r="J21" s="52" t="n"/>
      <c r="K21" s="52" t="n"/>
    </row>
    <row r="22">
      <c r="B22" s="51" t="n"/>
      <c r="C22" s="51" t="n"/>
      <c r="D22" s="51" t="n"/>
      <c r="E22" s="51" t="n"/>
      <c r="F22" s="51" t="n"/>
      <c r="H22" s="51" t="n"/>
      <c r="I22" s="51" t="n"/>
      <c r="J22" s="52" t="n"/>
      <c r="K22" s="52" t="n"/>
    </row>
    <row r="23">
      <c r="B23" s="51" t="n"/>
      <c r="C23" s="51" t="n"/>
      <c r="D23" s="51" t="n"/>
      <c r="E23" s="51" t="n"/>
      <c r="F23" s="51" t="n"/>
      <c r="H23" s="51" t="n"/>
      <c r="I23" s="51" t="n"/>
      <c r="J23" s="52" t="n"/>
      <c r="K23" s="52" t="n"/>
    </row>
    <row r="24">
      <c r="B24" s="51" t="n"/>
      <c r="C24" s="51" t="n"/>
      <c r="D24" s="51" t="n"/>
      <c r="E24" s="51" t="n"/>
      <c r="F24" s="51" t="n"/>
      <c r="H24" s="51" t="n"/>
      <c r="I24" s="51" t="n"/>
      <c r="J24" s="52" t="n"/>
      <c r="K24" s="52" t="n"/>
    </row>
    <row r="25">
      <c r="B25" s="51" t="n"/>
      <c r="C25" s="51" t="n"/>
      <c r="D25" s="51" t="n"/>
      <c r="E25" s="51" t="n"/>
      <c r="F25" s="51" t="n"/>
      <c r="H25" s="51" t="n"/>
      <c r="I25" s="51" t="n"/>
      <c r="J25" s="52" t="n"/>
      <c r="K25" s="52" t="n"/>
    </row>
    <row r="26">
      <c r="B26" s="51" t="n"/>
      <c r="C26" s="51" t="n"/>
      <c r="D26" s="51" t="n"/>
      <c r="E26" s="51" t="n"/>
      <c r="F26" s="51" t="n"/>
      <c r="H26" s="51" t="n"/>
      <c r="I26" s="51" t="n"/>
      <c r="J26" s="52" t="n"/>
      <c r="K26" s="52" t="n"/>
    </row>
    <row r="27">
      <c r="B27" s="51" t="n"/>
      <c r="C27" s="51" t="n"/>
      <c r="D27" s="51" t="n"/>
      <c r="E27" s="51" t="n"/>
      <c r="F27" s="51" t="n"/>
      <c r="H27" s="51" t="n"/>
      <c r="I27" s="51" t="n"/>
      <c r="J27" s="52" t="n"/>
      <c r="K27" s="52" t="n"/>
    </row>
    <row r="28">
      <c r="B28" s="51" t="n"/>
      <c r="C28" s="51" t="n"/>
      <c r="D28" s="51" t="n"/>
      <c r="E28" s="51" t="n"/>
      <c r="F28" s="51" t="n"/>
      <c r="H28" s="51" t="n"/>
      <c r="I28" s="51" t="n"/>
      <c r="J28" s="52" t="n"/>
      <c r="K28" s="52" t="n"/>
    </row>
    <row r="29">
      <c r="B29" s="51" t="n"/>
      <c r="C29" s="51" t="n"/>
      <c r="D29" s="51" t="n"/>
      <c r="E29" s="51" t="n"/>
      <c r="F29" s="51" t="n"/>
      <c r="H29" s="51" t="n"/>
      <c r="I29" s="51" t="n"/>
      <c r="J29" s="52" t="n"/>
      <c r="K29" s="52" t="n"/>
    </row>
    <row r="30">
      <c r="B30" s="51" t="n"/>
      <c r="C30" s="51" t="n"/>
      <c r="D30" s="51" t="n"/>
      <c r="E30" s="51" t="n"/>
      <c r="F30" s="51" t="n"/>
      <c r="H30" s="51" t="n"/>
      <c r="I30" s="51" t="n"/>
      <c r="J30" s="52" t="n"/>
      <c r="K30" s="52" t="n"/>
    </row>
    <row r="31">
      <c r="B31" s="51" t="n"/>
      <c r="C31" s="51" t="n"/>
      <c r="D31" s="51" t="n"/>
      <c r="E31" s="51" t="n"/>
      <c r="F31" s="51" t="n"/>
      <c r="H31" s="51" t="n"/>
      <c r="I31" s="51" t="n"/>
      <c r="J31" s="52" t="n"/>
      <c r="K31" s="52" t="n"/>
    </row>
    <row r="32">
      <c r="B32" s="51" t="n"/>
      <c r="C32" s="51" t="n"/>
      <c r="D32" s="51" t="n"/>
      <c r="E32" s="51" t="n"/>
      <c r="F32" s="51" t="n"/>
      <c r="H32" s="51" t="n"/>
      <c r="I32" s="51" t="n"/>
      <c r="J32" s="52" t="n"/>
      <c r="K32" s="52" t="n"/>
    </row>
    <row r="33">
      <c r="B33" s="51" t="n"/>
      <c r="C33" s="51" t="n"/>
      <c r="D33" s="51" t="n"/>
      <c r="E33" s="51" t="n"/>
      <c r="F33" s="51" t="n"/>
      <c r="H33" s="51" t="n"/>
      <c r="I33" s="51" t="n"/>
      <c r="J33" s="52" t="n"/>
      <c r="K33" s="52" t="n"/>
    </row>
    <row r="34">
      <c r="B34" s="51" t="n"/>
      <c r="C34" s="51" t="n"/>
      <c r="D34" s="51" t="n"/>
      <c r="E34" s="51" t="n"/>
      <c r="F34" s="51" t="n"/>
      <c r="H34" s="51" t="n"/>
      <c r="I34" s="51" t="n"/>
      <c r="J34" s="52" t="n"/>
      <c r="K34" s="52" t="n"/>
    </row>
    <row r="35">
      <c r="B35" s="51" t="n"/>
      <c r="C35" s="51" t="n"/>
      <c r="D35" s="51" t="n"/>
      <c r="E35" s="51" t="n"/>
      <c r="F35" s="51" t="n"/>
      <c r="H35" s="51" t="n"/>
      <c r="I35" s="51" t="n"/>
      <c r="J35" s="52" t="n"/>
      <c r="K35" s="52" t="n"/>
    </row>
    <row r="36">
      <c r="B36" s="51" t="n"/>
      <c r="C36" s="51" t="n"/>
      <c r="D36" s="51" t="n"/>
      <c r="E36" s="51" t="n"/>
      <c r="F36" s="51" t="n"/>
      <c r="H36" s="51" t="n"/>
      <c r="I36" s="51" t="n"/>
      <c r="J36" s="52" t="n"/>
      <c r="K36" s="52" t="n"/>
    </row>
    <row r="37">
      <c r="B37" s="51" t="n"/>
      <c r="C37" s="51" t="n"/>
      <c r="D37" s="51" t="n"/>
      <c r="E37" s="51" t="n"/>
      <c r="F37" s="51" t="n"/>
      <c r="H37" s="51" t="n"/>
      <c r="I37" s="51" t="n"/>
      <c r="J37" s="52" t="n"/>
      <c r="K37" s="52" t="n"/>
    </row>
    <row r="38">
      <c r="B38" s="51" t="n"/>
      <c r="C38" s="51" t="n"/>
      <c r="D38" s="51" t="n"/>
      <c r="E38" s="51" t="n"/>
      <c r="F38" s="51" t="n"/>
      <c r="H38" s="51" t="n"/>
      <c r="I38" s="51" t="n"/>
      <c r="J38" s="52" t="n"/>
      <c r="K38" s="52" t="n"/>
    </row>
    <row r="39">
      <c r="B39" s="51" t="n"/>
      <c r="C39" s="51" t="n"/>
      <c r="D39" s="51" t="n"/>
      <c r="E39" s="51" t="n"/>
      <c r="F39" s="51" t="n"/>
      <c r="H39" s="51" t="n"/>
      <c r="I39" s="51" t="n"/>
      <c r="J39" s="52" t="n"/>
      <c r="K39" s="52" t="n"/>
    </row>
    <row r="40">
      <c r="B40" s="51" t="n"/>
      <c r="C40" s="51" t="n"/>
      <c r="D40" s="51" t="n"/>
      <c r="E40" s="51" t="n"/>
      <c r="F40" s="51" t="n"/>
      <c r="H40" s="51" t="n"/>
      <c r="I40" s="51" t="n"/>
      <c r="J40" s="52" t="n"/>
      <c r="K40" s="52" t="n"/>
    </row>
    <row r="41">
      <c r="B41" s="51" t="n"/>
      <c r="C41" s="51" t="n"/>
      <c r="D41" s="51" t="n"/>
      <c r="E41" s="51" t="n"/>
      <c r="F41" s="51" t="n"/>
      <c r="H41" s="51" t="n"/>
      <c r="I41" s="51" t="n"/>
      <c r="J41" s="52" t="n"/>
      <c r="K41" s="52" t="n"/>
    </row>
    <row r="42">
      <c r="B42" s="51" t="n"/>
      <c r="C42" s="51" t="n"/>
      <c r="D42" s="51" t="n"/>
      <c r="E42" s="51" t="n"/>
      <c r="F42" s="51" t="n"/>
      <c r="H42" s="51" t="n"/>
      <c r="I42" s="51" t="n"/>
      <c r="J42" s="52" t="n"/>
      <c r="K42" s="52" t="n"/>
    </row>
    <row r="43">
      <c r="B43" s="51" t="n"/>
      <c r="C43" s="51" t="n"/>
      <c r="D43" s="51" t="n"/>
      <c r="E43" s="51" t="n"/>
      <c r="F43" s="51" t="n"/>
      <c r="H43" s="51" t="n"/>
      <c r="I43" s="51" t="n"/>
      <c r="J43" s="52" t="n"/>
      <c r="K43" s="52" t="n"/>
    </row>
    <row r="44">
      <c r="B44" s="51" t="n"/>
      <c r="C44" s="51" t="n"/>
      <c r="D44" s="51" t="n"/>
      <c r="E44" s="51" t="n"/>
      <c r="F44" s="51" t="n"/>
      <c r="H44" s="51" t="n"/>
      <c r="I44" s="51" t="n"/>
      <c r="J44" s="52" t="n"/>
      <c r="K44" s="52" t="n"/>
    </row>
    <row r="45">
      <c r="B45" s="51" t="n"/>
      <c r="C45" s="51" t="n"/>
      <c r="D45" s="51" t="n"/>
      <c r="E45" s="51" t="n"/>
      <c r="F45" s="51" t="n"/>
      <c r="H45" s="51" t="n"/>
      <c r="I45" s="51" t="n"/>
      <c r="J45" s="52" t="n"/>
      <c r="K45" s="52" t="n"/>
    </row>
    <row r="46">
      <c r="B46" s="51" t="n"/>
      <c r="C46" s="51" t="n"/>
      <c r="D46" s="51" t="n"/>
      <c r="E46" s="51" t="n"/>
      <c r="F46" s="51" t="n"/>
      <c r="H46" s="51" t="n"/>
      <c r="I46" s="51" t="n"/>
      <c r="J46" s="52" t="n"/>
      <c r="K46" s="52" t="n"/>
    </row>
    <row r="47">
      <c r="B47" s="51" t="n"/>
      <c r="C47" s="51" t="n"/>
      <c r="D47" s="51" t="n"/>
      <c r="E47" s="51" t="n"/>
      <c r="F47" s="51" t="n"/>
      <c r="H47" s="51" t="n"/>
      <c r="I47" s="51" t="n"/>
      <c r="J47" s="52" t="n"/>
      <c r="K47" s="52" t="n"/>
    </row>
    <row r="48">
      <c r="B48" s="51" t="n"/>
      <c r="C48" s="51" t="n"/>
      <c r="D48" s="51" t="n"/>
      <c r="E48" s="51" t="n"/>
      <c r="F48" s="51" t="n"/>
      <c r="H48" s="51" t="n"/>
      <c r="I48" s="51" t="n"/>
      <c r="J48" s="52" t="n"/>
      <c r="K48" s="52" t="n"/>
    </row>
    <row r="49">
      <c r="B49" s="51" t="n"/>
      <c r="C49" s="51" t="n"/>
      <c r="D49" s="51" t="n"/>
      <c r="E49" s="51" t="n"/>
      <c r="F49" s="51" t="n"/>
      <c r="H49" s="51" t="n"/>
      <c r="I49" s="51" t="n"/>
      <c r="J49" s="52" t="n"/>
      <c r="K49" s="52" t="n"/>
    </row>
    <row r="50">
      <c r="B50" s="51" t="n"/>
      <c r="C50" s="51" t="n"/>
      <c r="D50" s="51" t="n"/>
      <c r="E50" s="51" t="n"/>
      <c r="F50" s="51" t="n"/>
      <c r="H50" s="51" t="n"/>
      <c r="I50" s="51" t="n"/>
      <c r="J50" s="52" t="n"/>
      <c r="K50" s="52" t="n"/>
    </row>
    <row r="51">
      <c r="B51" s="51" t="n"/>
      <c r="C51" s="51" t="n"/>
      <c r="D51" s="51" t="n"/>
      <c r="E51" s="51" t="n"/>
      <c r="F51" s="51" t="n"/>
      <c r="H51" s="51" t="n"/>
      <c r="I51" s="51" t="n"/>
      <c r="J51" s="52" t="n"/>
      <c r="K51" s="52" t="n"/>
    </row>
    <row r="52">
      <c r="B52" s="51" t="n"/>
      <c r="C52" s="51" t="n"/>
      <c r="D52" s="51" t="n"/>
      <c r="E52" s="51" t="n"/>
      <c r="F52" s="51" t="n"/>
      <c r="H52" s="51" t="n"/>
      <c r="I52" s="51" t="n"/>
      <c r="J52" s="52" t="n"/>
      <c r="K52" s="52" t="n"/>
    </row>
    <row r="53">
      <c r="B53" s="51" t="n"/>
      <c r="C53" s="51" t="n"/>
      <c r="D53" s="51" t="n"/>
      <c r="E53" s="51" t="n"/>
      <c r="F53" s="51" t="n"/>
      <c r="H53" s="51" t="n"/>
      <c r="I53" s="51" t="n"/>
      <c r="J53" s="52" t="n"/>
      <c r="K53" s="52" t="n"/>
    </row>
    <row r="54">
      <c r="B54" s="51" t="n"/>
      <c r="C54" s="51" t="n"/>
      <c r="D54" s="51" t="n"/>
      <c r="E54" s="51" t="n"/>
      <c r="F54" s="51" t="n"/>
      <c r="H54" s="51" t="n"/>
      <c r="I54" s="51" t="n"/>
      <c r="J54" s="52" t="n"/>
      <c r="K54" s="52" t="n"/>
    </row>
    <row r="55">
      <c r="B55" s="51" t="n"/>
      <c r="C55" s="51" t="n"/>
      <c r="D55" s="51" t="n"/>
      <c r="E55" s="51" t="n"/>
      <c r="F55" s="51" t="n"/>
      <c r="H55" s="51" t="n"/>
      <c r="I55" s="51" t="n"/>
      <c r="J55" s="52" t="n"/>
      <c r="K55" s="52" t="n"/>
    </row>
    <row r="56">
      <c r="B56" s="51" t="n"/>
      <c r="C56" s="51" t="n"/>
      <c r="D56" s="51" t="n"/>
      <c r="E56" s="51" t="n"/>
      <c r="F56" s="51" t="n"/>
      <c r="H56" s="51" t="n"/>
      <c r="I56" s="51" t="n"/>
      <c r="J56" s="52" t="n"/>
      <c r="K56" s="52" t="n"/>
    </row>
    <row r="57">
      <c r="B57" s="51" t="n"/>
      <c r="C57" s="51" t="n"/>
      <c r="D57" s="51" t="n"/>
      <c r="E57" s="51" t="n"/>
      <c r="F57" s="51" t="n"/>
      <c r="H57" s="51" t="n"/>
      <c r="I57" s="51" t="n"/>
      <c r="J57" s="52" t="n"/>
      <c r="K57" s="52" t="n"/>
    </row>
    <row r="58">
      <c r="B58" s="51" t="n"/>
      <c r="C58" s="51" t="n"/>
      <c r="D58" s="51" t="n"/>
      <c r="E58" s="51" t="n"/>
      <c r="F58" s="51" t="n"/>
      <c r="H58" s="51" t="n"/>
      <c r="I58" s="51" t="n"/>
      <c r="J58" s="52" t="n"/>
      <c r="K58" s="52" t="n"/>
    </row>
    <row r="59">
      <c r="B59" s="51" t="n"/>
      <c r="C59" s="51" t="n"/>
      <c r="D59" s="51" t="n"/>
      <c r="E59" s="51" t="n"/>
      <c r="F59" s="51" t="n"/>
      <c r="H59" s="51" t="n"/>
      <c r="I59" s="51" t="n"/>
      <c r="J59" s="52" t="n"/>
      <c r="K59" s="52" t="n"/>
    </row>
    <row r="60">
      <c r="B60" s="51" t="n"/>
      <c r="C60" s="51" t="n"/>
      <c r="D60" s="51" t="n"/>
      <c r="E60" s="51" t="n"/>
      <c r="F60" s="51" t="n"/>
      <c r="H60" s="51" t="n"/>
      <c r="I60" s="51" t="n"/>
      <c r="J60" s="52" t="n"/>
      <c r="K60" s="52" t="n"/>
    </row>
    <row r="61">
      <c r="B61" s="51" t="n"/>
      <c r="C61" s="51" t="n"/>
      <c r="D61" s="51" t="n"/>
      <c r="E61" s="51" t="n"/>
      <c r="F61" s="51" t="n"/>
      <c r="H61" s="51" t="n"/>
      <c r="I61" s="51" t="n"/>
      <c r="J61" s="52" t="n"/>
      <c r="K61" s="52" t="n"/>
    </row>
    <row r="62">
      <c r="B62" s="51" t="n"/>
      <c r="C62" s="51" t="n"/>
      <c r="D62" s="51" t="n"/>
      <c r="E62" s="51" t="n"/>
      <c r="F62" s="51" t="n"/>
      <c r="H62" s="51" t="n"/>
      <c r="I62" s="51" t="n"/>
      <c r="J62" s="52" t="n"/>
      <c r="K62" s="52" t="n"/>
    </row>
    <row r="63">
      <c r="B63" s="51" t="n"/>
      <c r="C63" s="51" t="n"/>
      <c r="D63" s="51" t="n"/>
      <c r="E63" s="51" t="n"/>
      <c r="F63" s="51" t="n"/>
      <c r="H63" s="51" t="n"/>
      <c r="I63" s="51" t="n"/>
      <c r="J63" s="52" t="n"/>
      <c r="K63" s="52" t="n"/>
    </row>
    <row r="64">
      <c r="B64" s="51" t="n"/>
      <c r="C64" s="51" t="n"/>
      <c r="D64" s="51" t="n"/>
      <c r="E64" s="51" t="n"/>
      <c r="F64" s="51" t="n"/>
      <c r="H64" s="51" t="n"/>
      <c r="I64" s="51" t="n"/>
      <c r="J64" s="52" t="n"/>
      <c r="K64" s="52" t="n"/>
    </row>
    <row r="65">
      <c r="B65" s="51" t="n"/>
      <c r="C65" s="51" t="n"/>
      <c r="D65" s="51" t="n"/>
      <c r="E65" s="51" t="n"/>
      <c r="F65" s="51" t="n"/>
      <c r="H65" s="51" t="n"/>
      <c r="I65" s="51" t="n"/>
      <c r="J65" s="52" t="n"/>
      <c r="K65" s="52" t="n"/>
    </row>
    <row r="66">
      <c r="B66" s="51" t="n"/>
      <c r="C66" s="51" t="n"/>
      <c r="D66" s="51" t="n"/>
      <c r="E66" s="51" t="n"/>
      <c r="F66" s="51" t="n"/>
      <c r="H66" s="51" t="n"/>
      <c r="I66" s="51" t="n"/>
      <c r="J66" s="52" t="n"/>
      <c r="K66" s="52" t="n"/>
    </row>
    <row r="67">
      <c r="B67" s="51" t="n"/>
      <c r="C67" s="51" t="n"/>
      <c r="D67" s="51" t="n"/>
      <c r="E67" s="51" t="n"/>
      <c r="F67" s="51" t="n"/>
      <c r="H67" s="51" t="n"/>
      <c r="I67" s="51" t="n"/>
      <c r="J67" s="52" t="n"/>
      <c r="K67" s="52" t="n"/>
    </row>
    <row r="68">
      <c r="B68" s="51" t="n"/>
      <c r="C68" s="51" t="n"/>
      <c r="D68" s="51" t="n"/>
      <c r="E68" s="51" t="n"/>
      <c r="F68" s="51" t="n"/>
      <c r="H68" s="51" t="n"/>
      <c r="I68" s="51" t="n"/>
      <c r="J68" s="52" t="n"/>
      <c r="K68" s="52" t="n"/>
    </row>
    <row r="69">
      <c r="B69" s="51" t="n"/>
      <c r="C69" s="51" t="n"/>
      <c r="D69" s="51" t="n"/>
      <c r="E69" s="51" t="n"/>
      <c r="F69" s="51" t="n"/>
      <c r="H69" s="51" t="n"/>
      <c r="I69" s="51" t="n"/>
      <c r="J69" s="52" t="n"/>
      <c r="K69" s="52" t="n"/>
    </row>
    <row r="70">
      <c r="B70" s="51" t="n"/>
      <c r="C70" s="51" t="n"/>
      <c r="D70" s="51" t="n"/>
      <c r="E70" s="51" t="n"/>
      <c r="F70" s="51" t="n"/>
      <c r="H70" s="51" t="n"/>
      <c r="I70" s="51" t="n"/>
      <c r="J70" s="52" t="n"/>
      <c r="K70" s="52" t="n"/>
    </row>
    <row r="71">
      <c r="B71" s="51" t="n"/>
      <c r="C71" s="51" t="n"/>
      <c r="D71" s="51" t="n"/>
      <c r="E71" s="51" t="n"/>
      <c r="F71" s="51" t="n"/>
      <c r="H71" s="51" t="n"/>
      <c r="I71" s="51" t="n"/>
      <c r="J71" s="52" t="n"/>
      <c r="K71" s="52" t="n"/>
    </row>
    <row r="72">
      <c r="B72" s="51" t="n"/>
      <c r="C72" s="51" t="n"/>
      <c r="D72" s="51" t="n"/>
      <c r="E72" s="51" t="n"/>
      <c r="F72" s="51" t="n"/>
      <c r="H72" s="51" t="n"/>
      <c r="I72" s="51" t="n"/>
      <c r="J72" s="52" t="n"/>
      <c r="K72" s="52" t="n"/>
    </row>
    <row r="73">
      <c r="B73" s="51" t="n"/>
      <c r="C73" s="51" t="n"/>
      <c r="D73" s="51" t="n"/>
      <c r="E73" s="51" t="n"/>
      <c r="F73" s="51" t="n"/>
      <c r="H73" s="51" t="n"/>
      <c r="I73" s="51" t="n"/>
      <c r="J73" s="52" t="n"/>
      <c r="K73" s="52" t="n"/>
    </row>
    <row r="74">
      <c r="B74" s="51" t="n"/>
      <c r="C74" s="51" t="n"/>
      <c r="D74" s="51" t="n"/>
      <c r="E74" s="51" t="n"/>
      <c r="F74" s="51" t="n"/>
      <c r="H74" s="51" t="n"/>
      <c r="I74" s="51" t="n"/>
      <c r="J74" s="52" t="n"/>
      <c r="K74" s="52" t="n"/>
    </row>
    <row r="75">
      <c r="B75" s="51" t="n"/>
      <c r="C75" s="51" t="n"/>
      <c r="D75" s="51" t="n"/>
      <c r="E75" s="51" t="n"/>
      <c r="F75" s="51" t="n"/>
      <c r="H75" s="51" t="n"/>
      <c r="I75" s="51" t="n"/>
      <c r="J75" s="52" t="n"/>
      <c r="K75" s="52" t="n"/>
    </row>
    <row r="76">
      <c r="B76" s="51" t="n"/>
      <c r="C76" s="51" t="n"/>
      <c r="D76" s="51" t="n"/>
      <c r="E76" s="51" t="n"/>
      <c r="F76" s="51" t="n"/>
      <c r="H76" s="51" t="n"/>
      <c r="I76" s="51" t="n"/>
      <c r="J76" s="52" t="n"/>
      <c r="K76" s="52" t="n"/>
    </row>
    <row r="77">
      <c r="B77" s="51" t="n"/>
      <c r="C77" s="51" t="n"/>
      <c r="D77" s="51" t="n"/>
      <c r="E77" s="51" t="n"/>
      <c r="F77" s="51" t="n"/>
      <c r="H77" s="51" t="n"/>
      <c r="I77" s="51" t="n"/>
      <c r="J77" s="52" t="n"/>
      <c r="K77" s="52" t="n"/>
    </row>
    <row r="78">
      <c r="B78" s="51" t="n"/>
      <c r="C78" s="51" t="n"/>
      <c r="D78" s="51" t="n"/>
      <c r="E78" s="51" t="n"/>
      <c r="F78" s="51" t="n"/>
      <c r="H78" s="51" t="n"/>
      <c r="I78" s="51" t="n"/>
      <c r="J78" s="52" t="n"/>
      <c r="K78" s="52" t="n"/>
    </row>
    <row r="79">
      <c r="B79" s="51" t="n"/>
      <c r="C79" s="51" t="n"/>
      <c r="D79" s="51" t="n"/>
      <c r="E79" s="51" t="n"/>
      <c r="F79" s="51" t="n"/>
      <c r="H79" s="51" t="n"/>
      <c r="I79" s="51" t="n"/>
      <c r="J79" s="52" t="n"/>
      <c r="K79" s="52" t="n"/>
    </row>
    <row r="80">
      <c r="B80" s="51" t="n"/>
      <c r="C80" s="51" t="n"/>
      <c r="D80" s="51" t="n"/>
      <c r="E80" s="51" t="n"/>
      <c r="F80" s="51" t="n"/>
      <c r="H80" s="51" t="n"/>
      <c r="I80" s="51" t="n"/>
      <c r="J80" s="52" t="n"/>
      <c r="K80" s="52" t="n"/>
    </row>
    <row r="81">
      <c r="B81" s="51" t="n"/>
      <c r="C81" s="51" t="n"/>
      <c r="D81" s="51" t="n"/>
      <c r="E81" s="51" t="n"/>
      <c r="F81" s="51" t="n"/>
      <c r="H81" s="51" t="n"/>
      <c r="I81" s="51" t="n"/>
      <c r="J81" s="52" t="n"/>
      <c r="K81" s="52" t="n"/>
    </row>
    <row r="82">
      <c r="B82" s="51" t="n"/>
      <c r="C82" s="51" t="n"/>
      <c r="D82" s="51" t="n"/>
      <c r="E82" s="51" t="n"/>
      <c r="F82" s="51" t="n"/>
      <c r="H82" s="51" t="n"/>
      <c r="I82" s="51" t="n"/>
      <c r="J82" s="52" t="n"/>
      <c r="K82" s="52" t="n"/>
    </row>
    <row r="83">
      <c r="B83" s="51" t="n"/>
      <c r="C83" s="51" t="n"/>
      <c r="D83" s="51" t="n"/>
      <c r="E83" s="51" t="n"/>
      <c r="F83" s="51" t="n"/>
      <c r="H83" s="51" t="n"/>
      <c r="I83" s="51" t="n"/>
      <c r="J83" s="52" t="n"/>
      <c r="K83" s="52" t="n"/>
    </row>
    <row r="84">
      <c r="B84" s="51" t="n"/>
      <c r="C84" s="51" t="n"/>
      <c r="D84" s="51" t="n"/>
      <c r="E84" s="51" t="n"/>
      <c r="F84" s="51" t="n"/>
      <c r="H84" s="51" t="n"/>
      <c r="I84" s="51" t="n"/>
      <c r="J84" s="52" t="n"/>
      <c r="K84" s="52" t="n"/>
    </row>
    <row r="85">
      <c r="B85" s="51" t="n"/>
      <c r="C85" s="51" t="n"/>
      <c r="D85" s="51" t="n"/>
      <c r="E85" s="51" t="n"/>
      <c r="F85" s="51" t="n"/>
      <c r="H85" s="51" t="n"/>
      <c r="I85" s="51" t="n"/>
      <c r="J85" s="52" t="n"/>
      <c r="K85" s="52" t="n"/>
    </row>
    <row r="86">
      <c r="B86" s="51" t="n"/>
      <c r="C86" s="51" t="n"/>
      <c r="D86" s="51" t="n"/>
      <c r="E86" s="51" t="n"/>
      <c r="F86" s="51" t="n"/>
      <c r="H86" s="51" t="n"/>
      <c r="I86" s="51" t="n"/>
      <c r="J86" s="52" t="n"/>
      <c r="K86" s="52" t="n"/>
    </row>
    <row r="87">
      <c r="B87" s="51" t="n"/>
      <c r="C87" s="51" t="n"/>
      <c r="D87" s="51" t="n"/>
      <c r="E87" s="51" t="n"/>
      <c r="F87" s="51" t="n"/>
      <c r="H87" s="51" t="n"/>
      <c r="I87" s="51" t="n"/>
      <c r="J87" s="52" t="n"/>
      <c r="K87" s="52" t="n"/>
    </row>
    <row r="88">
      <c r="B88" s="51" t="n"/>
      <c r="C88" s="51" t="n"/>
      <c r="D88" s="51" t="n"/>
      <c r="E88" s="51" t="n"/>
      <c r="F88" s="51" t="n"/>
      <c r="H88" s="51" t="n"/>
      <c r="I88" s="51" t="n"/>
      <c r="J88" s="52" t="n"/>
      <c r="K88" s="52" t="n"/>
    </row>
    <row r="89">
      <c r="B89" s="51" t="n"/>
      <c r="C89" s="51" t="n"/>
      <c r="D89" s="51" t="n"/>
      <c r="E89" s="51" t="n"/>
      <c r="F89" s="51" t="n"/>
      <c r="H89" s="51" t="n"/>
      <c r="I89" s="51" t="n"/>
      <c r="J89" s="52" t="n"/>
      <c r="K89" s="52" t="n"/>
    </row>
    <row r="90">
      <c r="B90" s="51" t="n"/>
      <c r="C90" s="51" t="n"/>
      <c r="D90" s="51" t="n"/>
      <c r="E90" s="51" t="n"/>
      <c r="F90" s="51" t="n"/>
      <c r="H90" s="51" t="n"/>
      <c r="I90" s="51" t="n"/>
      <c r="J90" s="52" t="n"/>
      <c r="K90" s="52" t="n"/>
    </row>
    <row r="91">
      <c r="B91" s="51" t="n"/>
      <c r="C91" s="51" t="n"/>
      <c r="D91" s="51" t="n"/>
      <c r="E91" s="51" t="n"/>
      <c r="F91" s="51" t="n"/>
      <c r="H91" s="51" t="n"/>
      <c r="I91" s="51" t="n"/>
      <c r="J91" s="52" t="n"/>
      <c r="K91" s="52" t="n"/>
    </row>
    <row r="92">
      <c r="B92" s="51" t="n"/>
      <c r="C92" s="51" t="n"/>
      <c r="D92" s="51" t="n"/>
      <c r="E92" s="51" t="n"/>
      <c r="F92" s="51" t="n"/>
      <c r="H92" s="51" t="n"/>
      <c r="I92" s="51" t="n"/>
      <c r="J92" s="52" t="n"/>
      <c r="K92" s="52" t="n"/>
    </row>
    <row r="93">
      <c r="B93" s="51" t="n"/>
      <c r="C93" s="51" t="n"/>
      <c r="D93" s="51" t="n"/>
      <c r="E93" s="51" t="n"/>
      <c r="F93" s="51" t="n"/>
      <c r="H93" s="51" t="n"/>
      <c r="I93" s="51" t="n"/>
      <c r="J93" s="52" t="n"/>
      <c r="K93" s="52" t="n"/>
    </row>
    <row r="94">
      <c r="B94" s="51" t="n"/>
      <c r="C94" s="51" t="n"/>
      <c r="D94" s="51" t="n"/>
      <c r="E94" s="51" t="n"/>
      <c r="F94" s="51" t="n"/>
      <c r="H94" s="51" t="n"/>
      <c r="I94" s="51" t="n"/>
      <c r="J94" s="52" t="n"/>
      <c r="K94" s="52" t="n"/>
    </row>
    <row r="95">
      <c r="B95" s="51" t="n"/>
      <c r="C95" s="51" t="n"/>
      <c r="D95" s="51" t="n"/>
      <c r="E95" s="51" t="n"/>
      <c r="F95" s="51" t="n"/>
      <c r="H95" s="51" t="n"/>
      <c r="I95" s="51" t="n"/>
      <c r="J95" s="52" t="n"/>
      <c r="K95" s="52" t="n"/>
    </row>
    <row r="96">
      <c r="B96" s="51" t="n"/>
      <c r="C96" s="51" t="n"/>
      <c r="D96" s="51" t="n"/>
      <c r="E96" s="51" t="n"/>
      <c r="F96" s="51" t="n"/>
      <c r="H96" s="51" t="n"/>
      <c r="I96" s="51" t="n"/>
      <c r="J96" s="52" t="n"/>
      <c r="K96" s="52" t="n"/>
    </row>
    <row r="97">
      <c r="B97" s="51" t="n"/>
      <c r="C97" s="51" t="n"/>
      <c r="D97" s="51" t="n"/>
      <c r="E97" s="51" t="n"/>
      <c r="F97" s="51" t="n"/>
      <c r="H97" s="51" t="n"/>
      <c r="I97" s="51" t="n"/>
      <c r="J97" s="52" t="n"/>
      <c r="K97" s="52" t="n"/>
    </row>
    <row r="98">
      <c r="B98" s="51" t="n"/>
      <c r="C98" s="51" t="n"/>
      <c r="D98" s="51" t="n"/>
      <c r="E98" s="51" t="n"/>
      <c r="F98" s="51" t="n"/>
      <c r="H98" s="51" t="n"/>
      <c r="I98" s="51" t="n"/>
      <c r="J98" s="52" t="n"/>
      <c r="K98" s="52" t="n"/>
    </row>
    <row r="99">
      <c r="B99" s="51" t="n"/>
      <c r="C99" s="51" t="n"/>
      <c r="D99" s="51" t="n"/>
      <c r="E99" s="51" t="n"/>
      <c r="F99" s="51" t="n"/>
      <c r="H99" s="51" t="n"/>
      <c r="I99" s="51" t="n"/>
      <c r="J99" s="52" t="n"/>
      <c r="K99" s="52" t="n"/>
    </row>
    <row r="100">
      <c r="B100" s="51" t="n"/>
      <c r="C100" s="51" t="n"/>
      <c r="D100" s="51" t="n"/>
      <c r="E100" s="51" t="n"/>
      <c r="F100" s="51" t="n"/>
      <c r="H100" s="51" t="n"/>
      <c r="I100" s="51" t="n"/>
      <c r="J100" s="52" t="n"/>
      <c r="K100" s="52" t="n"/>
    </row>
    <row r="101">
      <c r="B101" s="51" t="n"/>
      <c r="C101" s="51" t="n"/>
      <c r="D101" s="51" t="n"/>
      <c r="E101" s="51" t="n"/>
      <c r="F101" s="51" t="n"/>
      <c r="H101" s="51" t="n"/>
      <c r="I101" s="51" t="n"/>
      <c r="J101" s="52" t="n"/>
      <c r="K101" s="52" t="n"/>
    </row>
    <row r="102">
      <c r="B102" s="51" t="n"/>
      <c r="C102" s="51" t="n"/>
      <c r="D102" s="51" t="n"/>
      <c r="E102" s="51" t="n"/>
      <c r="F102" s="51" t="n"/>
      <c r="H102" s="51" t="n"/>
      <c r="I102" s="51" t="n"/>
      <c r="J102" s="52" t="n"/>
      <c r="K102" s="52" t="n"/>
    </row>
    <row r="103">
      <c r="B103" s="51" t="n"/>
      <c r="C103" s="51" t="n"/>
      <c r="D103" s="51" t="n"/>
      <c r="E103" s="51" t="n"/>
      <c r="F103" s="51" t="n"/>
      <c r="H103" s="51" t="n"/>
      <c r="I103" s="51" t="n"/>
      <c r="J103" s="52" t="n"/>
      <c r="K103" s="52" t="n"/>
    </row>
    <row r="104">
      <c r="B104" s="51" t="n"/>
      <c r="C104" s="51" t="n"/>
      <c r="D104" s="51" t="n"/>
      <c r="E104" s="51" t="n"/>
      <c r="F104" s="51" t="n"/>
      <c r="H104" s="51" t="n"/>
      <c r="I104" s="51" t="n"/>
      <c r="J104" s="52" t="n"/>
      <c r="K104" s="52" t="n"/>
    </row>
    <row r="105">
      <c r="B105" s="51" t="n"/>
      <c r="C105" s="51" t="n"/>
      <c r="D105" s="51" t="n"/>
      <c r="E105" s="51" t="n"/>
      <c r="F105" s="51" t="n"/>
      <c r="H105" s="51" t="n"/>
      <c r="I105" s="51" t="n"/>
      <c r="J105" s="52" t="n"/>
      <c r="K105" s="52" t="n"/>
    </row>
    <row r="106">
      <c r="B106" s="51" t="n"/>
      <c r="C106" s="51" t="n"/>
      <c r="D106" s="51" t="n"/>
      <c r="E106" s="51" t="n"/>
      <c r="F106" s="51" t="n"/>
      <c r="H106" s="51" t="n"/>
      <c r="I106" s="51" t="n"/>
      <c r="J106" s="52" t="n"/>
      <c r="K106" s="52" t="n"/>
    </row>
    <row r="107">
      <c r="B107" s="51" t="n"/>
      <c r="C107" s="51" t="n"/>
      <c r="D107" s="51" t="n"/>
      <c r="E107" s="51" t="n"/>
      <c r="F107" s="51" t="n"/>
      <c r="H107" s="51" t="n"/>
      <c r="I107" s="51" t="n"/>
      <c r="J107" s="52" t="n"/>
      <c r="K107" s="52" t="n"/>
    </row>
    <row r="108">
      <c r="B108" s="51" t="n"/>
      <c r="C108" s="51" t="n"/>
      <c r="D108" s="51" t="n"/>
      <c r="E108" s="51" t="n"/>
      <c r="F108" s="51" t="n"/>
      <c r="H108" s="51" t="n"/>
      <c r="I108" s="51" t="n"/>
      <c r="J108" s="52" t="n"/>
      <c r="K108" s="52" t="n"/>
    </row>
    <row r="109">
      <c r="B109" s="51" t="n"/>
      <c r="C109" s="51" t="n"/>
      <c r="D109" s="51" t="n"/>
      <c r="E109" s="51" t="n"/>
      <c r="F109" s="51" t="n"/>
      <c r="H109" s="51" t="n"/>
      <c r="I109" s="51" t="n"/>
      <c r="J109" s="52" t="n"/>
      <c r="K109" s="52" t="n"/>
    </row>
    <row r="110">
      <c r="B110" s="51" t="n"/>
      <c r="C110" s="51" t="n"/>
      <c r="D110" s="51" t="n"/>
      <c r="E110" s="51" t="n"/>
      <c r="F110" s="51" t="n"/>
      <c r="H110" s="51" t="n"/>
      <c r="I110" s="51" t="n"/>
      <c r="J110" s="52" t="n"/>
      <c r="K110" s="52" t="n"/>
    </row>
    <row r="111">
      <c r="B111" s="51" t="n"/>
      <c r="C111" s="51" t="n"/>
      <c r="D111" s="51" t="n"/>
      <c r="E111" s="51" t="n"/>
      <c r="F111" s="51" t="n"/>
      <c r="H111" s="51" t="n"/>
      <c r="I111" s="51" t="n"/>
      <c r="J111" s="52" t="n"/>
      <c r="K111" s="52" t="n"/>
    </row>
    <row r="112">
      <c r="B112" s="51" t="n"/>
      <c r="C112" s="51" t="n"/>
      <c r="D112" s="51" t="n"/>
      <c r="E112" s="51" t="n"/>
      <c r="F112" s="51" t="n"/>
      <c r="H112" s="51" t="n"/>
      <c r="I112" s="51" t="n"/>
      <c r="J112" s="52" t="n"/>
      <c r="K112" s="52" t="n"/>
    </row>
    <row r="113">
      <c r="B113" s="51" t="n"/>
      <c r="C113" s="51" t="n"/>
      <c r="D113" s="51" t="n"/>
      <c r="E113" s="51" t="n"/>
      <c r="F113" s="51" t="n"/>
      <c r="H113" s="51" t="n"/>
      <c r="I113" s="51" t="n"/>
      <c r="J113" s="52" t="n"/>
      <c r="K113" s="52" t="n"/>
    </row>
    <row r="114">
      <c r="B114" s="51" t="n"/>
      <c r="C114" s="51" t="n"/>
      <c r="D114" s="51" t="n"/>
      <c r="E114" s="51" t="n"/>
      <c r="F114" s="51" t="n"/>
      <c r="H114" s="51" t="n"/>
      <c r="I114" s="51" t="n"/>
      <c r="J114" s="52" t="n"/>
      <c r="K114" s="52" t="n"/>
    </row>
    <row r="115">
      <c r="B115" s="51" t="n"/>
      <c r="C115" s="51" t="n"/>
      <c r="D115" s="51" t="n"/>
      <c r="E115" s="51" t="n"/>
      <c r="F115" s="51" t="n"/>
      <c r="H115" s="51" t="n"/>
      <c r="I115" s="51" t="n"/>
      <c r="J115" s="52" t="n"/>
      <c r="K115" s="52" t="n"/>
    </row>
    <row r="116">
      <c r="B116" s="51" t="n"/>
      <c r="C116" s="51" t="n"/>
      <c r="D116" s="51" t="n"/>
      <c r="E116" s="51" t="n"/>
      <c r="F116" s="51" t="n"/>
      <c r="H116" s="51" t="n"/>
      <c r="I116" s="51" t="n"/>
      <c r="J116" s="52" t="n"/>
      <c r="K116" s="52" t="n"/>
    </row>
    <row r="117">
      <c r="B117" s="51" t="n"/>
      <c r="C117" s="51" t="n"/>
      <c r="D117" s="51" t="n"/>
      <c r="E117" s="51" t="n"/>
      <c r="F117" s="51" t="n"/>
      <c r="H117" s="51" t="n"/>
      <c r="I117" s="51" t="n"/>
      <c r="J117" s="52" t="n"/>
      <c r="K117" s="52" t="n"/>
    </row>
    <row r="118">
      <c r="B118" s="51" t="n"/>
      <c r="C118" s="51" t="n"/>
      <c r="D118" s="51" t="n"/>
      <c r="E118" s="51" t="n"/>
      <c r="F118" s="51" t="n"/>
      <c r="H118" s="51" t="n"/>
      <c r="I118" s="51" t="n"/>
      <c r="J118" s="52" t="n"/>
      <c r="K118" s="52" t="n"/>
    </row>
    <row r="119">
      <c r="B119" s="51" t="n"/>
      <c r="C119" s="51" t="n"/>
      <c r="D119" s="51" t="n"/>
      <c r="E119" s="51" t="n"/>
      <c r="F119" s="51" t="n"/>
      <c r="H119" s="51" t="n"/>
      <c r="I119" s="51" t="n"/>
      <c r="J119" s="52" t="n"/>
      <c r="K119" s="52" t="n"/>
    </row>
    <row r="120">
      <c r="B120" s="51" t="n"/>
      <c r="C120" s="51" t="n"/>
      <c r="D120" s="51" t="n"/>
      <c r="E120" s="51" t="n"/>
      <c r="F120" s="51" t="n"/>
      <c r="H120" s="51" t="n"/>
      <c r="I120" s="51" t="n"/>
      <c r="J120" s="52" t="n"/>
      <c r="K120" s="52" t="n"/>
    </row>
    <row r="121">
      <c r="B121" s="51" t="n"/>
      <c r="C121" s="51" t="n"/>
      <c r="D121" s="51" t="n"/>
      <c r="E121" s="51" t="n"/>
      <c r="F121" s="51" t="n"/>
      <c r="H121" s="51" t="n"/>
      <c r="I121" s="51" t="n"/>
      <c r="J121" s="52" t="n"/>
      <c r="K121" s="52" t="n"/>
    </row>
    <row r="122">
      <c r="B122" s="51" t="n"/>
      <c r="C122" s="51" t="n"/>
      <c r="D122" s="51" t="n"/>
      <c r="E122" s="51" t="n"/>
      <c r="F122" s="51" t="n"/>
      <c r="H122" s="51" t="n"/>
      <c r="I122" s="51" t="n"/>
      <c r="J122" s="52" t="n"/>
      <c r="K122" s="52" t="n"/>
    </row>
    <row r="123">
      <c r="B123" s="51" t="n"/>
      <c r="C123" s="51" t="n"/>
      <c r="D123" s="51" t="n"/>
      <c r="E123" s="51" t="n"/>
      <c r="F123" s="51" t="n"/>
      <c r="H123" s="51" t="n"/>
      <c r="I123" s="51" t="n"/>
      <c r="J123" s="52" t="n"/>
      <c r="K123" s="52" t="n"/>
    </row>
    <row r="124">
      <c r="B124" s="51" t="n"/>
      <c r="C124" s="51" t="n"/>
      <c r="D124" s="51" t="n"/>
      <c r="E124" s="51" t="n"/>
      <c r="F124" s="51" t="n"/>
      <c r="H124" s="51" t="n"/>
      <c r="I124" s="51" t="n"/>
      <c r="J124" s="52" t="n"/>
      <c r="K124" s="52" t="n"/>
    </row>
    <row r="125">
      <c r="B125" s="51" t="n"/>
      <c r="C125" s="51" t="n"/>
      <c r="D125" s="51" t="n"/>
      <c r="E125" s="51" t="n"/>
      <c r="F125" s="51" t="n"/>
      <c r="H125" s="51" t="n"/>
      <c r="I125" s="51" t="n"/>
      <c r="J125" s="52" t="n"/>
      <c r="K125" s="52" t="n"/>
    </row>
    <row r="126">
      <c r="B126" s="51" t="n"/>
      <c r="C126" s="51" t="n"/>
      <c r="D126" s="51" t="n"/>
      <c r="E126" s="51" t="n"/>
      <c r="F126" s="51" t="n"/>
      <c r="H126" s="51" t="n"/>
      <c r="I126" s="51" t="n"/>
      <c r="J126" s="52" t="n"/>
      <c r="K126" s="52" t="n"/>
    </row>
    <row r="127">
      <c r="B127" s="51" t="n"/>
      <c r="C127" s="51" t="n"/>
      <c r="D127" s="51" t="n"/>
      <c r="E127" s="51" t="n"/>
      <c r="F127" s="51" t="n"/>
      <c r="H127" s="51" t="n"/>
      <c r="I127" s="51" t="n"/>
      <c r="J127" s="52" t="n"/>
      <c r="K127" s="52" t="n"/>
    </row>
    <row r="128">
      <c r="B128" s="51" t="n"/>
      <c r="C128" s="51" t="n"/>
      <c r="D128" s="51" t="n"/>
      <c r="E128" s="51" t="n"/>
      <c r="F128" s="51" t="n"/>
      <c r="H128" s="51" t="n"/>
      <c r="I128" s="51" t="n"/>
      <c r="J128" s="52" t="n"/>
      <c r="K128" s="52" t="n"/>
    </row>
    <row r="129">
      <c r="B129" s="51" t="n"/>
      <c r="C129" s="51" t="n"/>
      <c r="D129" s="51" t="n"/>
      <c r="E129" s="51" t="n"/>
      <c r="F129" s="51" t="n"/>
      <c r="H129" s="51" t="n"/>
      <c r="I129" s="51" t="n"/>
      <c r="J129" s="52" t="n"/>
      <c r="K129" s="52" t="n"/>
    </row>
    <row r="130">
      <c r="B130" s="51" t="n"/>
      <c r="C130" s="51" t="n"/>
      <c r="D130" s="51" t="n"/>
      <c r="E130" s="51" t="n"/>
      <c r="F130" s="51" t="n"/>
      <c r="H130" s="51" t="n"/>
      <c r="I130" s="51" t="n"/>
      <c r="J130" s="52" t="n"/>
      <c r="K130" s="52" t="n"/>
    </row>
    <row r="131">
      <c r="B131" s="51" t="n"/>
      <c r="C131" s="51" t="n"/>
      <c r="D131" s="51" t="n"/>
      <c r="E131" s="51" t="n"/>
      <c r="F131" s="51" t="n"/>
      <c r="H131" s="51" t="n"/>
      <c r="I131" s="51" t="n"/>
      <c r="J131" s="52" t="n"/>
      <c r="K131" s="52" t="n"/>
    </row>
    <row r="132">
      <c r="B132" s="51" t="n"/>
      <c r="C132" s="51" t="n"/>
      <c r="D132" s="51" t="n"/>
      <c r="E132" s="51" t="n"/>
      <c r="F132" s="51" t="n"/>
      <c r="H132" s="51" t="n"/>
      <c r="I132" s="51" t="n"/>
      <c r="J132" s="52" t="n"/>
      <c r="K132" s="52" t="n"/>
    </row>
    <row r="133">
      <c r="B133" s="51" t="n"/>
      <c r="C133" s="51" t="n"/>
      <c r="D133" s="51" t="n"/>
      <c r="E133" s="51" t="n"/>
      <c r="F133" s="51" t="n"/>
      <c r="H133" s="51" t="n"/>
      <c r="I133" s="51" t="n"/>
      <c r="J133" s="52" t="n"/>
      <c r="K133" s="52" t="n"/>
    </row>
    <row r="134">
      <c r="B134" s="51" t="n"/>
      <c r="C134" s="51" t="n"/>
      <c r="D134" s="51" t="n"/>
      <c r="E134" s="51" t="n"/>
      <c r="F134" s="51" t="n"/>
      <c r="H134" s="51" t="n"/>
      <c r="I134" s="51" t="n"/>
      <c r="J134" s="52" t="n"/>
      <c r="K134" s="52" t="n"/>
    </row>
    <row r="135">
      <c r="B135" s="51" t="n"/>
      <c r="C135" s="51" t="n"/>
      <c r="D135" s="51" t="n"/>
      <c r="E135" s="51" t="n"/>
      <c r="F135" s="51" t="n"/>
      <c r="H135" s="51" t="n"/>
      <c r="I135" s="51" t="n"/>
      <c r="J135" s="52" t="n"/>
      <c r="K135" s="52" t="n"/>
    </row>
    <row r="136">
      <c r="B136" s="51" t="n"/>
      <c r="C136" s="51" t="n"/>
      <c r="D136" s="51" t="n"/>
      <c r="E136" s="51" t="n"/>
      <c r="F136" s="51" t="n"/>
      <c r="H136" s="51" t="n"/>
      <c r="I136" s="51" t="n"/>
      <c r="J136" s="52" t="n"/>
      <c r="K136" s="52" t="n"/>
    </row>
    <row r="137">
      <c r="B137" s="51" t="n"/>
      <c r="C137" s="51" t="n"/>
      <c r="D137" s="51" t="n"/>
      <c r="E137" s="51" t="n"/>
      <c r="F137" s="51" t="n"/>
      <c r="H137" s="51" t="n"/>
      <c r="I137" s="51" t="n"/>
      <c r="J137" s="52" t="n"/>
      <c r="K137" s="52" t="n"/>
    </row>
    <row r="138">
      <c r="B138" s="51" t="n"/>
      <c r="C138" s="51" t="n"/>
      <c r="D138" s="51" t="n"/>
      <c r="E138" s="51" t="n"/>
      <c r="F138" s="51" t="n"/>
      <c r="H138" s="51" t="n"/>
      <c r="I138" s="51" t="n"/>
      <c r="J138" s="52" t="n"/>
      <c r="K138" s="52" t="n"/>
    </row>
    <row r="139">
      <c r="B139" s="51" t="n"/>
      <c r="C139" s="51" t="n"/>
      <c r="D139" s="51" t="n"/>
      <c r="E139" s="51" t="n"/>
      <c r="F139" s="51" t="n"/>
      <c r="H139" s="51" t="n"/>
      <c r="I139" s="51" t="n"/>
      <c r="J139" s="52" t="n"/>
      <c r="K139" s="52" t="n"/>
    </row>
    <row r="140">
      <c r="B140" s="51" t="n"/>
      <c r="C140" s="51" t="n"/>
      <c r="D140" s="51" t="n"/>
      <c r="E140" s="51" t="n"/>
      <c r="F140" s="51" t="n"/>
      <c r="H140" s="51" t="n"/>
      <c r="I140" s="51" t="n"/>
      <c r="J140" s="52" t="n"/>
      <c r="K140" s="52" t="n"/>
    </row>
    <row r="141">
      <c r="B141" s="51" t="n"/>
      <c r="C141" s="51" t="n"/>
      <c r="D141" s="51" t="n"/>
      <c r="E141" s="51" t="n"/>
      <c r="F141" s="51" t="n"/>
      <c r="H141" s="51" t="n"/>
      <c r="I141" s="51" t="n"/>
      <c r="J141" s="52" t="n"/>
      <c r="K141" s="52" t="n"/>
    </row>
    <row r="142">
      <c r="B142" s="51" t="n"/>
      <c r="C142" s="51" t="n"/>
      <c r="D142" s="51" t="n"/>
      <c r="E142" s="51" t="n"/>
      <c r="F142" s="51" t="n"/>
      <c r="H142" s="51" t="n"/>
      <c r="I142" s="51" t="n"/>
      <c r="J142" s="52" t="n"/>
      <c r="K142" s="52" t="n"/>
    </row>
    <row r="143">
      <c r="B143" s="51" t="n"/>
      <c r="C143" s="51" t="n"/>
      <c r="D143" s="51" t="n"/>
      <c r="E143" s="51" t="n"/>
      <c r="F143" s="51" t="n"/>
      <c r="H143" s="51" t="n"/>
      <c r="I143" s="51" t="n"/>
      <c r="J143" s="52" t="n"/>
      <c r="K143" s="52" t="n"/>
    </row>
    <row r="144">
      <c r="B144" s="51" t="n"/>
      <c r="C144" s="51" t="n"/>
      <c r="D144" s="51" t="n"/>
      <c r="E144" s="51" t="n"/>
      <c r="F144" s="51" t="n"/>
      <c r="H144" s="51" t="n"/>
      <c r="I144" s="51" t="n"/>
      <c r="J144" s="52" t="n"/>
      <c r="K144" s="52" t="n"/>
    </row>
    <row r="145">
      <c r="B145" s="51" t="n"/>
      <c r="C145" s="51" t="n"/>
      <c r="D145" s="51" t="n"/>
      <c r="E145" s="51" t="n"/>
      <c r="F145" s="51" t="n"/>
      <c r="H145" s="51" t="n"/>
      <c r="I145" s="51" t="n"/>
      <c r="J145" s="52" t="n"/>
      <c r="K145" s="52" t="n"/>
    </row>
    <row r="146">
      <c r="B146" s="51" t="n"/>
      <c r="C146" s="51" t="n"/>
      <c r="D146" s="51" t="n"/>
      <c r="E146" s="51" t="n"/>
      <c r="F146" s="51" t="n"/>
      <c r="H146" s="51" t="n"/>
      <c r="I146" s="51" t="n"/>
      <c r="J146" s="52" t="n"/>
      <c r="K146" s="52" t="n"/>
    </row>
    <row r="147">
      <c r="B147" s="51" t="n"/>
      <c r="C147" s="51" t="n"/>
      <c r="D147" s="51" t="n"/>
      <c r="E147" s="51" t="n"/>
      <c r="F147" s="51" t="n"/>
      <c r="H147" s="51" t="n"/>
      <c r="I147" s="51" t="n"/>
      <c r="J147" s="52" t="n"/>
      <c r="K147" s="52" t="n"/>
    </row>
    <row r="148">
      <c r="B148" s="51" t="n"/>
      <c r="C148" s="51" t="n"/>
      <c r="D148" s="51" t="n"/>
      <c r="E148" s="51" t="n"/>
      <c r="F148" s="51" t="n"/>
      <c r="H148" s="51" t="n"/>
      <c r="I148" s="51" t="n"/>
      <c r="J148" s="52" t="n"/>
      <c r="K148" s="52" t="n"/>
    </row>
    <row r="149">
      <c r="B149" s="51" t="n"/>
      <c r="C149" s="51" t="n"/>
      <c r="D149" s="51" t="n"/>
      <c r="E149" s="51" t="n"/>
      <c r="F149" s="51" t="n"/>
      <c r="H149" s="51" t="n"/>
      <c r="I149" s="51" t="n"/>
      <c r="J149" s="52" t="n"/>
      <c r="K149" s="52" t="n"/>
    </row>
    <row r="150">
      <c r="B150" s="51" t="n"/>
      <c r="C150" s="51" t="n"/>
      <c r="D150" s="51" t="n"/>
      <c r="E150" s="51" t="n"/>
      <c r="F150" s="51" t="n"/>
      <c r="H150" s="51" t="n"/>
      <c r="I150" s="51" t="n"/>
      <c r="J150" s="52" t="n"/>
      <c r="K150" s="52" t="n"/>
    </row>
    <row r="151">
      <c r="B151" s="51" t="n"/>
      <c r="C151" s="51" t="n"/>
      <c r="D151" s="51" t="n"/>
      <c r="E151" s="51" t="n"/>
      <c r="F151" s="51" t="n"/>
      <c r="H151" s="51" t="n"/>
      <c r="I151" s="51" t="n"/>
      <c r="J151" s="52" t="n"/>
      <c r="K151" s="52" t="n"/>
    </row>
    <row r="152">
      <c r="B152" s="51" t="n"/>
      <c r="C152" s="51" t="n"/>
      <c r="D152" s="51" t="n"/>
      <c r="E152" s="51" t="n"/>
      <c r="F152" s="51" t="n"/>
      <c r="H152" s="51" t="n"/>
      <c r="I152" s="51" t="n"/>
      <c r="J152" s="52" t="n"/>
      <c r="K152" s="52" t="n"/>
    </row>
    <row r="153">
      <c r="B153" s="51" t="n"/>
      <c r="C153" s="51" t="n"/>
      <c r="D153" s="51" t="n"/>
      <c r="E153" s="51" t="n"/>
      <c r="F153" s="51" t="n"/>
      <c r="H153" s="51" t="n"/>
      <c r="I153" s="51" t="n"/>
      <c r="J153" s="52" t="n"/>
      <c r="K153" s="52" t="n"/>
    </row>
    <row r="154">
      <c r="B154" s="51" t="n"/>
      <c r="C154" s="51" t="n"/>
      <c r="D154" s="51" t="n"/>
      <c r="E154" s="51" t="n"/>
      <c r="F154" s="51" t="n"/>
      <c r="H154" s="51" t="n"/>
      <c r="I154" s="51" t="n"/>
      <c r="J154" s="52" t="n"/>
      <c r="K154" s="52" t="n"/>
    </row>
    <row r="155">
      <c r="B155" s="51" t="n"/>
      <c r="C155" s="51" t="n"/>
      <c r="D155" s="51" t="n"/>
      <c r="E155" s="51" t="n"/>
      <c r="F155" s="51" t="n"/>
      <c r="H155" s="51" t="n"/>
      <c r="I155" s="51" t="n"/>
      <c r="J155" s="52" t="n"/>
      <c r="K155" s="52" t="n"/>
    </row>
    <row r="156">
      <c r="B156" s="51" t="n"/>
      <c r="C156" s="51" t="n"/>
      <c r="D156" s="51" t="n"/>
      <c r="E156" s="51" t="n"/>
      <c r="F156" s="51" t="n"/>
      <c r="H156" s="51" t="n"/>
      <c r="I156" s="51" t="n"/>
      <c r="J156" s="52" t="n"/>
      <c r="K156" s="52" t="n"/>
    </row>
    <row r="157">
      <c r="B157" s="51" t="n"/>
      <c r="C157" s="51" t="n"/>
      <c r="D157" s="51" t="n"/>
      <c r="E157" s="51" t="n"/>
      <c r="F157" s="51" t="n"/>
      <c r="H157" s="51" t="n"/>
      <c r="I157" s="51" t="n"/>
      <c r="J157" s="52" t="n"/>
      <c r="K157" s="52" t="n"/>
    </row>
    <row r="158">
      <c r="B158" s="51" t="n"/>
      <c r="C158" s="51" t="n"/>
      <c r="D158" s="51" t="n"/>
      <c r="E158" s="51" t="n"/>
      <c r="F158" s="51" t="n"/>
      <c r="H158" s="51" t="n"/>
      <c r="I158" s="51" t="n"/>
      <c r="J158" s="52" t="n"/>
      <c r="K158" s="52" t="n"/>
    </row>
    <row r="159">
      <c r="B159" s="51" t="n"/>
      <c r="C159" s="51" t="n"/>
      <c r="D159" s="51" t="n"/>
      <c r="E159" s="51" t="n"/>
      <c r="F159" s="51" t="n"/>
      <c r="H159" s="51" t="n"/>
      <c r="I159" s="51" t="n"/>
      <c r="J159" s="52" t="n"/>
      <c r="K159" s="52" t="n"/>
    </row>
    <row r="160">
      <c r="B160" s="51" t="n"/>
      <c r="C160" s="51" t="n"/>
      <c r="D160" s="51" t="n"/>
      <c r="E160" s="51" t="n"/>
      <c r="F160" s="51" t="n"/>
      <c r="H160" s="51" t="n"/>
      <c r="I160" s="51" t="n"/>
      <c r="J160" s="52" t="n"/>
      <c r="K160" s="52" t="n"/>
    </row>
    <row r="161">
      <c r="B161" s="51" t="n"/>
      <c r="C161" s="51" t="n"/>
      <c r="D161" s="51" t="n"/>
      <c r="E161" s="51" t="n"/>
      <c r="F161" s="51" t="n"/>
      <c r="H161" s="51" t="n"/>
      <c r="I161" s="51" t="n"/>
      <c r="J161" s="52" t="n"/>
      <c r="K161" s="52" t="n"/>
    </row>
    <row r="162">
      <c r="B162" s="51" t="n"/>
      <c r="C162" s="51" t="n"/>
      <c r="D162" s="51" t="n"/>
      <c r="E162" s="51" t="n"/>
      <c r="F162" s="51" t="n"/>
      <c r="H162" s="51" t="n"/>
      <c r="I162" s="51" t="n"/>
      <c r="J162" s="52" t="n"/>
      <c r="K162" s="52" t="n"/>
    </row>
    <row r="163">
      <c r="B163" s="51" t="n"/>
      <c r="C163" s="51" t="n"/>
      <c r="D163" s="51" t="n"/>
      <c r="E163" s="51" t="n"/>
      <c r="F163" s="51" t="n"/>
      <c r="H163" s="51" t="n"/>
      <c r="I163" s="51" t="n"/>
      <c r="J163" s="52" t="n"/>
      <c r="K163" s="52" t="n"/>
    </row>
    <row r="164">
      <c r="B164" s="51" t="n"/>
      <c r="C164" s="51" t="n"/>
      <c r="D164" s="51" t="n"/>
      <c r="E164" s="51" t="n"/>
      <c r="F164" s="51" t="n"/>
      <c r="H164" s="51" t="n"/>
      <c r="I164" s="51" t="n"/>
      <c r="J164" s="52" t="n"/>
      <c r="K164" s="52" t="n"/>
    </row>
    <row r="165">
      <c r="B165" s="51" t="n"/>
      <c r="C165" s="51" t="n"/>
      <c r="D165" s="51" t="n"/>
      <c r="E165" s="51" t="n"/>
      <c r="F165" s="51" t="n"/>
      <c r="H165" s="51" t="n"/>
      <c r="I165" s="51" t="n"/>
      <c r="J165" s="52" t="n"/>
      <c r="K165" s="52" t="n"/>
    </row>
    <row r="166">
      <c r="B166" s="51" t="n"/>
      <c r="C166" s="51" t="n"/>
      <c r="D166" s="51" t="n"/>
      <c r="E166" s="51" t="n"/>
      <c r="F166" s="51" t="n"/>
      <c r="H166" s="51" t="n"/>
      <c r="I166" s="51" t="n"/>
      <c r="J166" s="52" t="n"/>
      <c r="K166" s="52" t="n"/>
    </row>
    <row r="167">
      <c r="B167" s="51" t="n"/>
      <c r="C167" s="51" t="n"/>
      <c r="D167" s="51" t="n"/>
      <c r="E167" s="51" t="n"/>
      <c r="F167" s="51" t="n"/>
      <c r="H167" s="51" t="n"/>
      <c r="I167" s="51" t="n"/>
      <c r="J167" s="52" t="n"/>
      <c r="K167" s="52" t="n"/>
    </row>
    <row r="168">
      <c r="B168" s="51" t="n"/>
      <c r="C168" s="51" t="n"/>
      <c r="D168" s="51" t="n"/>
      <c r="E168" s="51" t="n"/>
      <c r="F168" s="51" t="n"/>
      <c r="H168" s="51" t="n"/>
      <c r="I168" s="51" t="n"/>
      <c r="J168" s="52" t="n"/>
      <c r="K168" s="52" t="n"/>
    </row>
    <row r="169">
      <c r="B169" s="51" t="n"/>
      <c r="C169" s="51" t="n"/>
      <c r="D169" s="51" t="n"/>
      <c r="E169" s="51" t="n"/>
      <c r="F169" s="51" t="n"/>
      <c r="H169" s="51" t="n"/>
      <c r="I169" s="51" t="n"/>
      <c r="J169" s="52" t="n"/>
      <c r="K169" s="52" t="n"/>
    </row>
    <row r="170">
      <c r="B170" s="51" t="n"/>
      <c r="C170" s="51" t="n"/>
      <c r="D170" s="51" t="n"/>
      <c r="E170" s="51" t="n"/>
      <c r="F170" s="51" t="n"/>
      <c r="H170" s="51" t="n"/>
      <c r="I170" s="51" t="n"/>
      <c r="J170" s="52" t="n"/>
      <c r="K170" s="52" t="n"/>
    </row>
    <row r="171">
      <c r="B171" s="51" t="n"/>
      <c r="C171" s="51" t="n"/>
      <c r="D171" s="51" t="n"/>
      <c r="E171" s="51" t="n"/>
      <c r="F171" s="51" t="n"/>
      <c r="H171" s="51" t="n"/>
      <c r="I171" s="51" t="n"/>
      <c r="J171" s="52" t="n"/>
      <c r="K171" s="52" t="n"/>
    </row>
    <row r="172">
      <c r="B172" s="51" t="n"/>
      <c r="C172" s="51" t="n"/>
      <c r="D172" s="51" t="n"/>
      <c r="E172" s="51" t="n"/>
      <c r="F172" s="51" t="n"/>
      <c r="H172" s="51" t="n"/>
      <c r="I172" s="51" t="n"/>
      <c r="J172" s="52" t="n"/>
      <c r="K172" s="52" t="n"/>
    </row>
    <row r="173">
      <c r="B173" s="51" t="n"/>
      <c r="C173" s="51" t="n"/>
      <c r="D173" s="51" t="n"/>
      <c r="E173" s="51" t="n"/>
      <c r="F173" s="51" t="n"/>
      <c r="H173" s="51" t="n"/>
      <c r="I173" s="51" t="n"/>
      <c r="J173" s="52" t="n"/>
      <c r="K173" s="52" t="n"/>
    </row>
    <row r="174">
      <c r="B174" s="51" t="n"/>
      <c r="C174" s="51" t="n"/>
      <c r="D174" s="51" t="n"/>
      <c r="E174" s="51" t="n"/>
      <c r="F174" s="51" t="n"/>
      <c r="H174" s="51" t="n"/>
      <c r="I174" s="51" t="n"/>
      <c r="J174" s="52" t="n"/>
      <c r="K174" s="52" t="n"/>
    </row>
    <row r="175">
      <c r="B175" s="51" t="n"/>
      <c r="C175" s="51" t="n"/>
      <c r="D175" s="51" t="n"/>
      <c r="E175" s="51" t="n"/>
      <c r="F175" s="51" t="n"/>
      <c r="H175" s="51" t="n"/>
      <c r="I175" s="51" t="n"/>
      <c r="J175" s="52" t="n"/>
      <c r="K175" s="52" t="n"/>
    </row>
    <row r="176">
      <c r="B176" s="51" t="n"/>
      <c r="C176" s="51" t="n"/>
      <c r="D176" s="51" t="n"/>
      <c r="E176" s="51" t="n"/>
      <c r="F176" s="51" t="n"/>
      <c r="H176" s="51" t="n"/>
      <c r="I176" s="51" t="n"/>
      <c r="J176" s="52" t="n"/>
      <c r="K176" s="52" t="n"/>
    </row>
    <row r="177">
      <c r="B177" s="51" t="n"/>
      <c r="C177" s="51" t="n"/>
      <c r="D177" s="51" t="n"/>
      <c r="E177" s="51" t="n"/>
      <c r="F177" s="51" t="n"/>
      <c r="H177" s="51" t="n"/>
      <c r="I177" s="51" t="n"/>
      <c r="J177" s="52" t="n"/>
      <c r="K177" s="52" t="n"/>
    </row>
    <row r="178">
      <c r="B178" s="51" t="n"/>
      <c r="C178" s="51" t="n"/>
      <c r="D178" s="51" t="n"/>
      <c r="E178" s="51" t="n"/>
      <c r="F178" s="51" t="n"/>
      <c r="H178" s="51" t="n"/>
      <c r="I178" s="51" t="n"/>
      <c r="J178" s="52" t="n"/>
      <c r="K178" s="52" t="n"/>
    </row>
    <row r="179">
      <c r="B179" s="51" t="n"/>
      <c r="C179" s="51" t="n"/>
      <c r="D179" s="51" t="n"/>
      <c r="E179" s="51" t="n"/>
      <c r="F179" s="51" t="n"/>
      <c r="H179" s="51" t="n"/>
      <c r="I179" s="51" t="n"/>
      <c r="J179" s="52" t="n"/>
      <c r="K179" s="52" t="n"/>
    </row>
    <row r="180">
      <c r="B180" s="51" t="n"/>
      <c r="C180" s="51" t="n"/>
      <c r="D180" s="51" t="n"/>
      <c r="E180" s="51" t="n"/>
      <c r="F180" s="51" t="n"/>
      <c r="H180" s="51" t="n"/>
      <c r="I180" s="51" t="n"/>
      <c r="J180" s="52" t="n"/>
      <c r="K180" s="52" t="n"/>
    </row>
    <row r="181">
      <c r="B181" s="51" t="n"/>
      <c r="C181" s="51" t="n"/>
      <c r="D181" s="51" t="n"/>
      <c r="E181" s="51" t="n"/>
      <c r="F181" s="51" t="n"/>
      <c r="H181" s="51" t="n"/>
      <c r="I181" s="51" t="n"/>
      <c r="J181" s="52" t="n"/>
      <c r="K181" s="52" t="n"/>
    </row>
    <row r="182">
      <c r="B182" s="51" t="n"/>
      <c r="C182" s="51" t="n"/>
      <c r="D182" s="51" t="n"/>
      <c r="E182" s="51" t="n"/>
      <c r="F182" s="51" t="n"/>
      <c r="H182" s="51" t="n"/>
      <c r="I182" s="51" t="n"/>
      <c r="J182" s="52" t="n"/>
      <c r="K182" s="52" t="n"/>
    </row>
    <row r="183">
      <c r="B183" s="51" t="n"/>
      <c r="C183" s="51" t="n"/>
      <c r="D183" s="51" t="n"/>
      <c r="E183" s="51" t="n"/>
      <c r="F183" s="51" t="n"/>
      <c r="H183" s="51" t="n"/>
      <c r="I183" s="51" t="n"/>
      <c r="J183" s="52" t="n"/>
      <c r="K183" s="52" t="n"/>
    </row>
    <row r="184">
      <c r="B184" s="51" t="n"/>
      <c r="C184" s="51" t="n"/>
      <c r="D184" s="51" t="n"/>
      <c r="E184" s="51" t="n"/>
      <c r="F184" s="51" t="n"/>
      <c r="H184" s="51" t="n"/>
      <c r="I184" s="51" t="n"/>
      <c r="J184" s="52" t="n"/>
      <c r="K184" s="52" t="n"/>
    </row>
    <row r="185">
      <c r="B185" s="51" t="n"/>
      <c r="C185" s="51" t="n"/>
      <c r="D185" s="51" t="n"/>
      <c r="E185" s="51" t="n"/>
      <c r="F185" s="51" t="n"/>
      <c r="H185" s="51" t="n"/>
      <c r="I185" s="51" t="n"/>
      <c r="J185" s="52" t="n"/>
      <c r="K185" s="52" t="n"/>
    </row>
    <row r="186">
      <c r="B186" s="51" t="n"/>
      <c r="C186" s="51" t="n"/>
      <c r="D186" s="51" t="n"/>
      <c r="E186" s="51" t="n"/>
      <c r="F186" s="51" t="n"/>
      <c r="H186" s="51" t="n"/>
      <c r="I186" s="51" t="n"/>
      <c r="J186" s="52" t="n"/>
      <c r="K186" s="52" t="n"/>
    </row>
    <row r="187">
      <c r="B187" s="51" t="n"/>
      <c r="C187" s="51" t="n"/>
      <c r="D187" s="51" t="n"/>
      <c r="E187" s="51" t="n"/>
      <c r="F187" s="51" t="n"/>
      <c r="H187" s="51" t="n"/>
      <c r="I187" s="51" t="n"/>
      <c r="J187" s="52" t="n"/>
      <c r="K187" s="52" t="n"/>
    </row>
    <row r="188">
      <c r="B188" s="51" t="n"/>
      <c r="C188" s="51" t="n"/>
      <c r="D188" s="51" t="n"/>
      <c r="E188" s="51" t="n"/>
      <c r="F188" s="51" t="n"/>
      <c r="H188" s="51" t="n"/>
      <c r="I188" s="51" t="n"/>
      <c r="J188" s="52" t="n"/>
      <c r="K188" s="52" t="n"/>
    </row>
    <row r="189">
      <c r="B189" s="51" t="n"/>
      <c r="C189" s="51" t="n"/>
      <c r="D189" s="51" t="n"/>
      <c r="E189" s="51" t="n"/>
      <c r="F189" s="51" t="n"/>
      <c r="H189" s="51" t="n"/>
      <c r="I189" s="51" t="n"/>
      <c r="J189" s="52" t="n"/>
      <c r="K189" s="52" t="n"/>
    </row>
    <row r="190">
      <c r="B190" s="51" t="n"/>
      <c r="C190" s="51" t="n"/>
      <c r="D190" s="51" t="n"/>
      <c r="E190" s="51" t="n"/>
      <c r="F190" s="51" t="n"/>
      <c r="H190" s="51" t="n"/>
      <c r="I190" s="51" t="n"/>
      <c r="J190" s="52" t="n"/>
      <c r="K190" s="52" t="n"/>
    </row>
    <row r="191">
      <c r="B191" s="51" t="n"/>
      <c r="C191" s="51" t="n"/>
      <c r="D191" s="51" t="n"/>
      <c r="E191" s="51" t="n"/>
      <c r="F191" s="51" t="n"/>
      <c r="H191" s="51" t="n"/>
      <c r="I191" s="51" t="n"/>
      <c r="J191" s="52" t="n"/>
      <c r="K191" s="52" t="n"/>
    </row>
    <row r="192">
      <c r="B192" s="51" t="n"/>
      <c r="C192" s="51" t="n"/>
      <c r="D192" s="51" t="n"/>
      <c r="E192" s="51" t="n"/>
      <c r="F192" s="51" t="n"/>
      <c r="H192" s="51" t="n"/>
      <c r="I192" s="51" t="n"/>
      <c r="J192" s="52" t="n"/>
      <c r="K192" s="52" t="n"/>
    </row>
    <row r="193">
      <c r="B193" s="51" t="n"/>
      <c r="C193" s="51" t="n"/>
      <c r="D193" s="51" t="n"/>
      <c r="E193" s="51" t="n"/>
      <c r="F193" s="51" t="n"/>
      <c r="H193" s="51" t="n"/>
      <c r="I193" s="51" t="n"/>
      <c r="J193" s="52" t="n"/>
      <c r="K193" s="52" t="n"/>
    </row>
    <row r="194">
      <c r="B194" s="51" t="n"/>
      <c r="C194" s="51" t="n"/>
      <c r="D194" s="51" t="n"/>
      <c r="E194" s="51" t="n"/>
      <c r="F194" s="51" t="n"/>
      <c r="H194" s="51" t="n"/>
      <c r="I194" s="51" t="n"/>
      <c r="J194" s="52" t="n"/>
      <c r="K194" s="52" t="n"/>
    </row>
    <row r="195">
      <c r="B195" s="51" t="n"/>
      <c r="C195" s="51" t="n"/>
      <c r="D195" s="51" t="n"/>
      <c r="E195" s="51" t="n"/>
      <c r="F195" s="51" t="n"/>
      <c r="H195" s="51" t="n"/>
      <c r="I195" s="51" t="n"/>
      <c r="J195" s="52" t="n"/>
      <c r="K195" s="52" t="n"/>
    </row>
    <row r="196">
      <c r="B196" s="51" t="n"/>
      <c r="C196" s="51" t="n"/>
      <c r="D196" s="51" t="n"/>
      <c r="E196" s="51" t="n"/>
      <c r="F196" s="51" t="n"/>
      <c r="H196" s="51" t="n"/>
      <c r="I196" s="51" t="n"/>
      <c r="J196" s="52" t="n"/>
      <c r="K196" s="52" t="n"/>
    </row>
    <row r="197">
      <c r="B197" s="51" t="n"/>
      <c r="C197" s="51" t="n"/>
      <c r="D197" s="51" t="n"/>
      <c r="E197" s="51" t="n"/>
      <c r="F197" s="51" t="n"/>
      <c r="H197" s="51" t="n"/>
      <c r="I197" s="51" t="n"/>
      <c r="J197" s="52" t="n"/>
      <c r="K197" s="52" t="n"/>
    </row>
    <row r="198">
      <c r="B198" s="51" t="n"/>
      <c r="C198" s="51" t="n"/>
      <c r="D198" s="51" t="n"/>
      <c r="E198" s="51" t="n"/>
      <c r="F198" s="51" t="n"/>
      <c r="H198" s="51" t="n"/>
      <c r="I198" s="51" t="n"/>
      <c r="J198" s="52" t="n"/>
      <c r="K198" s="52" t="n"/>
    </row>
    <row r="199">
      <c r="B199" s="51" t="n"/>
      <c r="C199" s="51" t="n"/>
      <c r="D199" s="51" t="n"/>
      <c r="E199" s="51" t="n"/>
      <c r="F199" s="51" t="n"/>
      <c r="H199" s="51" t="n"/>
      <c r="I199" s="51" t="n"/>
      <c r="J199" s="52" t="n"/>
      <c r="K199" s="52" t="n"/>
    </row>
    <row r="200">
      <c r="B200" s="51" t="n"/>
      <c r="C200" s="51" t="n"/>
      <c r="D200" s="51" t="n"/>
      <c r="E200" s="51" t="n"/>
      <c r="F200" s="51" t="n"/>
      <c r="H200" s="51" t="n"/>
      <c r="I200" s="51" t="n"/>
      <c r="J200" s="52" t="n"/>
      <c r="K200" s="52" t="n"/>
    </row>
    <row r="201">
      <c r="B201" s="51" t="n"/>
      <c r="C201" s="51" t="n"/>
      <c r="D201" s="51" t="n"/>
      <c r="E201" s="51" t="n"/>
      <c r="F201" s="51" t="n"/>
      <c r="H201" s="51" t="n"/>
      <c r="I201" s="51" t="n"/>
      <c r="J201" s="52" t="n"/>
      <c r="K201" s="52" t="n"/>
    </row>
    <row r="202">
      <c r="B202" s="51" t="n"/>
      <c r="C202" s="51" t="n"/>
      <c r="D202" s="51" t="n"/>
      <c r="E202" s="51" t="n"/>
      <c r="F202" s="51" t="n"/>
      <c r="H202" s="51" t="n"/>
      <c r="I202" s="51" t="n"/>
      <c r="J202" s="52" t="n"/>
      <c r="K202" s="52" t="n"/>
    </row>
    <row r="203">
      <c r="B203" s="51" t="n"/>
      <c r="C203" s="51" t="n"/>
      <c r="D203" s="51" t="n"/>
      <c r="E203" s="51" t="n"/>
      <c r="F203" s="51" t="n"/>
      <c r="H203" s="51" t="n"/>
      <c r="I203" s="51" t="n"/>
      <c r="J203" s="52" t="n"/>
      <c r="K203" s="52" t="n"/>
    </row>
    <row r="204">
      <c r="B204" s="51" t="n"/>
      <c r="C204" s="51" t="n"/>
      <c r="D204" s="51" t="n"/>
      <c r="E204" s="51" t="n"/>
      <c r="F204" s="51" t="n"/>
      <c r="H204" s="51" t="n"/>
      <c r="I204" s="51" t="n"/>
      <c r="J204" s="52" t="n"/>
      <c r="K204" s="52" t="n"/>
    </row>
    <row r="205">
      <c r="B205" s="51" t="n"/>
      <c r="C205" s="51" t="n"/>
      <c r="D205" s="51" t="n"/>
      <c r="E205" s="51" t="n"/>
      <c r="F205" s="51" t="n"/>
      <c r="H205" s="51" t="n"/>
      <c r="I205" s="51" t="n"/>
      <c r="J205" s="52" t="n"/>
      <c r="K205" s="52" t="n"/>
    </row>
    <row r="206">
      <c r="B206" s="51" t="n"/>
      <c r="C206" s="51" t="n"/>
      <c r="D206" s="51" t="n"/>
      <c r="E206" s="51" t="n"/>
      <c r="F206" s="51" t="n"/>
      <c r="H206" s="51" t="n"/>
      <c r="I206" s="51" t="n"/>
      <c r="J206" s="52" t="n"/>
      <c r="K206" s="52" t="n"/>
    </row>
    <row r="207">
      <c r="B207" s="51" t="n"/>
      <c r="C207" s="51" t="n"/>
      <c r="D207" s="51" t="n"/>
      <c r="E207" s="51" t="n"/>
      <c r="F207" s="51" t="n"/>
      <c r="H207" s="51" t="n"/>
      <c r="I207" s="51" t="n"/>
      <c r="J207" s="52" t="n"/>
      <c r="K207" s="52" t="n"/>
    </row>
    <row r="208">
      <c r="B208" s="51" t="n"/>
      <c r="C208" s="51" t="n"/>
      <c r="D208" s="51" t="n"/>
      <c r="E208" s="51" t="n"/>
      <c r="F208" s="51" t="n"/>
      <c r="H208" s="51" t="n"/>
      <c r="I208" s="51" t="n"/>
      <c r="J208" s="52" t="n"/>
      <c r="K208" s="52" t="n"/>
    </row>
    <row r="209">
      <c r="B209" s="51" t="n"/>
      <c r="C209" s="51" t="n"/>
      <c r="D209" s="51" t="n"/>
      <c r="E209" s="51" t="n"/>
      <c r="F209" s="51" t="n"/>
      <c r="H209" s="51" t="n"/>
      <c r="I209" s="51" t="n"/>
      <c r="J209" s="52" t="n"/>
      <c r="K209" s="52" t="n"/>
    </row>
    <row r="210">
      <c r="B210" s="51" t="n"/>
      <c r="C210" s="51" t="n"/>
      <c r="D210" s="51" t="n"/>
      <c r="E210" s="51" t="n"/>
      <c r="F210" s="51" t="n"/>
      <c r="H210" s="51" t="n"/>
      <c r="I210" s="51" t="n"/>
      <c r="J210" s="52" t="n"/>
      <c r="K210" s="52" t="n"/>
    </row>
    <row r="211">
      <c r="B211" s="51" t="n"/>
      <c r="C211" s="51" t="n"/>
      <c r="D211" s="51" t="n"/>
      <c r="E211" s="51" t="n"/>
      <c r="F211" s="51" t="n"/>
      <c r="H211" s="51" t="n"/>
      <c r="I211" s="51" t="n"/>
      <c r="J211" s="52" t="n"/>
      <c r="K211" s="52" t="n"/>
    </row>
    <row r="212">
      <c r="B212" s="51" t="n"/>
      <c r="C212" s="51" t="n"/>
      <c r="D212" s="51" t="n"/>
      <c r="E212" s="51" t="n"/>
      <c r="F212" s="51" t="n"/>
      <c r="H212" s="51" t="n"/>
      <c r="I212" s="51" t="n"/>
      <c r="J212" s="52" t="n"/>
      <c r="K212" s="52" t="n"/>
    </row>
    <row r="213">
      <c r="B213" s="51" t="n"/>
      <c r="C213" s="51" t="n"/>
      <c r="D213" s="51" t="n"/>
      <c r="E213" s="51" t="n"/>
      <c r="F213" s="51" t="n"/>
      <c r="H213" s="51" t="n"/>
      <c r="I213" s="51" t="n"/>
      <c r="J213" s="52" t="n"/>
      <c r="K213" s="52" t="n"/>
    </row>
    <row r="214">
      <c r="B214" s="51" t="n"/>
      <c r="C214" s="51" t="n"/>
      <c r="D214" s="51" t="n"/>
      <c r="E214" s="51" t="n"/>
      <c r="F214" s="51" t="n"/>
      <c r="H214" s="51" t="n"/>
      <c r="I214" s="51" t="n"/>
      <c r="J214" s="52" t="n"/>
      <c r="K214" s="52" t="n"/>
    </row>
    <row r="215">
      <c r="B215" s="51" t="n"/>
      <c r="C215" s="51" t="n"/>
      <c r="D215" s="51" t="n"/>
      <c r="E215" s="51" t="n"/>
      <c r="F215" s="51" t="n"/>
      <c r="H215" s="51" t="n"/>
      <c r="I215" s="51" t="n"/>
      <c r="J215" s="52" t="n"/>
      <c r="K215" s="52" t="n"/>
    </row>
    <row r="216">
      <c r="B216" s="51" t="n"/>
      <c r="C216" s="51" t="n"/>
      <c r="D216" s="51" t="n"/>
      <c r="E216" s="51" t="n"/>
      <c r="F216" s="51" t="n"/>
      <c r="H216" s="51" t="n"/>
      <c r="I216" s="51" t="n"/>
      <c r="J216" s="52" t="n"/>
      <c r="K216" s="52" t="n"/>
    </row>
    <row r="217">
      <c r="B217" s="51" t="n"/>
      <c r="C217" s="51" t="n"/>
      <c r="D217" s="51" t="n"/>
      <c r="E217" s="51" t="n"/>
      <c r="F217" s="51" t="n"/>
      <c r="H217" s="51" t="n"/>
      <c r="I217" s="51" t="n"/>
      <c r="J217" s="52" t="n"/>
      <c r="K217" s="52" t="n"/>
    </row>
    <row r="218">
      <c r="B218" s="51" t="n"/>
      <c r="C218" s="51" t="n"/>
      <c r="D218" s="51" t="n"/>
      <c r="E218" s="51" t="n"/>
      <c r="F218" s="51" t="n"/>
      <c r="H218" s="51" t="n"/>
      <c r="I218" s="51" t="n"/>
      <c r="J218" s="52" t="n"/>
      <c r="K218" s="52" t="n"/>
    </row>
    <row r="219">
      <c r="B219" s="51" t="n"/>
      <c r="C219" s="51" t="n"/>
      <c r="D219" s="51" t="n"/>
      <c r="E219" s="51" t="n"/>
      <c r="F219" s="51" t="n"/>
      <c r="H219" s="51" t="n"/>
      <c r="I219" s="51" t="n"/>
      <c r="J219" s="52" t="n"/>
      <c r="K219" s="52" t="n"/>
    </row>
    <row r="220">
      <c r="B220" s="51" t="n"/>
      <c r="C220" s="51" t="n"/>
      <c r="D220" s="51" t="n"/>
      <c r="E220" s="51" t="n"/>
      <c r="F220" s="51" t="n"/>
      <c r="H220" s="51" t="n"/>
      <c r="I220" s="51" t="n"/>
      <c r="J220" s="52" t="n"/>
      <c r="K220" s="52" t="n"/>
    </row>
    <row r="221">
      <c r="B221" s="51" t="n"/>
      <c r="C221" s="51" t="n"/>
      <c r="D221" s="51" t="n"/>
      <c r="E221" s="51" t="n"/>
      <c r="F221" s="51" t="n"/>
      <c r="H221" s="51" t="n"/>
      <c r="I221" s="51" t="n"/>
      <c r="J221" s="52" t="n"/>
      <c r="K221" s="52" t="n"/>
    </row>
    <row r="222">
      <c r="B222" s="51" t="n"/>
      <c r="C222" s="51" t="n"/>
      <c r="D222" s="51" t="n"/>
      <c r="E222" s="51" t="n"/>
      <c r="F222" s="51" t="n"/>
      <c r="H222" s="51" t="n"/>
      <c r="I222" s="51" t="n"/>
      <c r="J222" s="52" t="n"/>
      <c r="K222" s="52" t="n"/>
    </row>
    <row r="223">
      <c r="B223" s="51" t="n"/>
      <c r="C223" s="51" t="n"/>
      <c r="D223" s="51" t="n"/>
      <c r="E223" s="51" t="n"/>
      <c r="F223" s="51" t="n"/>
      <c r="H223" s="51" t="n"/>
      <c r="I223" s="51" t="n"/>
      <c r="J223" s="52" t="n"/>
      <c r="K223" s="52" t="n"/>
    </row>
    <row r="224">
      <c r="B224" s="51" t="n"/>
      <c r="C224" s="51" t="n"/>
      <c r="D224" s="51" t="n"/>
      <c r="E224" s="51" t="n"/>
      <c r="F224" s="51" t="n"/>
      <c r="H224" s="51" t="n"/>
      <c r="I224" s="51" t="n"/>
      <c r="J224" s="52" t="n"/>
      <c r="K224" s="52" t="n"/>
    </row>
    <row r="225">
      <c r="B225" s="51" t="n"/>
      <c r="C225" s="51" t="n"/>
      <c r="D225" s="51" t="n"/>
      <c r="E225" s="51" t="n"/>
      <c r="F225" s="51" t="n"/>
      <c r="H225" s="51" t="n"/>
      <c r="I225" s="51" t="n"/>
      <c r="J225" s="52" t="n"/>
      <c r="K225" s="52" t="n"/>
    </row>
    <row r="226">
      <c r="B226" s="51" t="n"/>
      <c r="C226" s="51" t="n"/>
      <c r="D226" s="51" t="n"/>
      <c r="E226" s="51" t="n"/>
      <c r="F226" s="51" t="n"/>
      <c r="H226" s="51" t="n"/>
      <c r="I226" s="51" t="n"/>
      <c r="J226" s="52" t="n"/>
      <c r="K226" s="52" t="n"/>
    </row>
    <row r="227">
      <c r="B227" s="51" t="n"/>
      <c r="C227" s="51" t="n"/>
      <c r="D227" s="51" t="n"/>
      <c r="E227" s="51" t="n"/>
      <c r="F227" s="51" t="n"/>
      <c r="H227" s="51" t="n"/>
      <c r="I227" s="51" t="n"/>
      <c r="J227" s="52" t="n"/>
      <c r="K227" s="52" t="n"/>
    </row>
    <row r="228">
      <c r="B228" s="51" t="n"/>
      <c r="C228" s="51" t="n"/>
      <c r="D228" s="51" t="n"/>
      <c r="E228" s="51" t="n"/>
      <c r="F228" s="51" t="n"/>
      <c r="H228" s="51" t="n"/>
      <c r="I228" s="51" t="n"/>
      <c r="J228" s="52" t="n"/>
      <c r="K228" s="52" t="n"/>
    </row>
    <row r="229">
      <c r="B229" s="51" t="n"/>
      <c r="C229" s="51" t="n"/>
      <c r="D229" s="51" t="n"/>
      <c r="E229" s="51" t="n"/>
      <c r="F229" s="51" t="n"/>
      <c r="H229" s="51" t="n"/>
      <c r="I229" s="51" t="n"/>
      <c r="J229" s="52" t="n"/>
      <c r="K229" s="52" t="n"/>
    </row>
    <row r="230">
      <c r="B230" s="51" t="n"/>
      <c r="C230" s="51" t="n"/>
      <c r="D230" s="51" t="n"/>
      <c r="E230" s="51" t="n"/>
      <c r="F230" s="51" t="n"/>
      <c r="H230" s="51" t="n"/>
      <c r="I230" s="51" t="n"/>
      <c r="J230" s="52" t="n"/>
      <c r="K230" s="52" t="n"/>
    </row>
    <row r="231">
      <c r="B231" s="51" t="n"/>
      <c r="C231" s="51" t="n"/>
      <c r="D231" s="51" t="n"/>
      <c r="E231" s="51" t="n"/>
      <c r="F231" s="51" t="n"/>
      <c r="H231" s="51" t="n"/>
      <c r="I231" s="51" t="n"/>
      <c r="J231" s="52" t="n"/>
      <c r="K231" s="52" t="n"/>
    </row>
    <row r="232">
      <c r="B232" s="51" t="n"/>
      <c r="C232" s="51" t="n"/>
      <c r="D232" s="51" t="n"/>
      <c r="E232" s="51" t="n"/>
      <c r="F232" s="51" t="n"/>
      <c r="H232" s="51" t="n"/>
      <c r="I232" s="51" t="n"/>
      <c r="J232" s="52" t="n"/>
      <c r="K232" s="52" t="n"/>
    </row>
    <row r="233">
      <c r="B233" s="51" t="n"/>
      <c r="C233" s="51" t="n"/>
      <c r="D233" s="51" t="n"/>
      <c r="E233" s="51" t="n"/>
      <c r="F233" s="51" t="n"/>
      <c r="H233" s="51" t="n"/>
      <c r="I233" s="51" t="n"/>
      <c r="J233" s="52" t="n"/>
      <c r="K233" s="52" t="n"/>
    </row>
    <row r="234">
      <c r="B234" s="51" t="n"/>
      <c r="C234" s="51" t="n"/>
      <c r="D234" s="51" t="n"/>
      <c r="E234" s="51" t="n"/>
      <c r="F234" s="51" t="n"/>
      <c r="H234" s="51" t="n"/>
      <c r="I234" s="51" t="n"/>
      <c r="J234" s="52" t="n"/>
      <c r="K234" s="52" t="n"/>
    </row>
    <row r="235">
      <c r="B235" s="51" t="n"/>
      <c r="C235" s="51" t="n"/>
      <c r="D235" s="51" t="n"/>
      <c r="E235" s="51" t="n"/>
      <c r="F235" s="51" t="n"/>
      <c r="H235" s="51" t="n"/>
      <c r="I235" s="51" t="n"/>
      <c r="J235" s="52" t="n"/>
      <c r="K235" s="52" t="n"/>
    </row>
    <row r="236">
      <c r="B236" s="51" t="n"/>
      <c r="C236" s="51" t="n"/>
      <c r="D236" s="51" t="n"/>
      <c r="E236" s="51" t="n"/>
      <c r="F236" s="51" t="n"/>
      <c r="H236" s="51" t="n"/>
      <c r="I236" s="51" t="n"/>
      <c r="J236" s="52" t="n"/>
      <c r="K236" s="52" t="n"/>
    </row>
    <row r="237">
      <c r="B237" s="51" t="n"/>
      <c r="C237" s="51" t="n"/>
      <c r="D237" s="51" t="n"/>
      <c r="E237" s="51" t="n"/>
      <c r="F237" s="51" t="n"/>
      <c r="H237" s="51" t="n"/>
      <c r="I237" s="51" t="n"/>
      <c r="J237" s="52" t="n"/>
      <c r="K237" s="52" t="n"/>
    </row>
    <row r="238">
      <c r="B238" s="51" t="n"/>
      <c r="C238" s="51" t="n"/>
      <c r="D238" s="51" t="n"/>
      <c r="E238" s="51" t="n"/>
      <c r="F238" s="51" t="n"/>
      <c r="H238" s="51" t="n"/>
      <c r="I238" s="51" t="n"/>
      <c r="J238" s="52" t="n"/>
      <c r="K238" s="52" t="n"/>
    </row>
    <row r="239">
      <c r="B239" s="51" t="n"/>
      <c r="C239" s="51" t="n"/>
      <c r="D239" s="51" t="n"/>
      <c r="E239" s="51" t="n"/>
      <c r="F239" s="51" t="n"/>
      <c r="H239" s="51" t="n"/>
      <c r="I239" s="51" t="n"/>
      <c r="J239" s="52" t="n"/>
      <c r="K239" s="52" t="n"/>
    </row>
    <row r="240">
      <c r="B240" s="51" t="n"/>
      <c r="C240" s="51" t="n"/>
      <c r="D240" s="51" t="n"/>
      <c r="E240" s="51" t="n"/>
      <c r="F240" s="51" t="n"/>
      <c r="H240" s="51" t="n"/>
      <c r="I240" s="51" t="n"/>
      <c r="J240" s="52" t="n"/>
      <c r="K240" s="52" t="n"/>
    </row>
    <row r="241">
      <c r="B241" s="51" t="n"/>
      <c r="C241" s="51" t="n"/>
      <c r="D241" s="51" t="n"/>
      <c r="E241" s="51" t="n"/>
      <c r="F241" s="51" t="n"/>
      <c r="H241" s="51" t="n"/>
      <c r="I241" s="51" t="n"/>
      <c r="J241" s="52" t="n"/>
      <c r="K241" s="52" t="n"/>
    </row>
    <row r="242">
      <c r="B242" s="51" t="n"/>
      <c r="C242" s="51" t="n"/>
      <c r="D242" s="51" t="n"/>
      <c r="E242" s="51" t="n"/>
      <c r="F242" s="51" t="n"/>
      <c r="H242" s="51" t="n"/>
      <c r="I242" s="51" t="n"/>
      <c r="J242" s="52" t="n"/>
      <c r="K242" s="52" t="n"/>
    </row>
    <row r="243">
      <c r="B243" s="51" t="n"/>
      <c r="C243" s="51" t="n"/>
      <c r="D243" s="51" t="n"/>
      <c r="E243" s="51" t="n"/>
      <c r="F243" s="51" t="n"/>
      <c r="H243" s="51" t="n"/>
      <c r="I243" s="51" t="n"/>
      <c r="J243" s="52" t="n"/>
      <c r="K243" s="52" t="n"/>
    </row>
    <row r="244">
      <c r="B244" s="51" t="n"/>
      <c r="C244" s="51" t="n"/>
      <c r="D244" s="51" t="n"/>
      <c r="E244" s="51" t="n"/>
      <c r="F244" s="51" t="n"/>
      <c r="H244" s="51" t="n"/>
      <c r="I244" s="51" t="n"/>
      <c r="J244" s="52" t="n"/>
      <c r="K244" s="52" t="n"/>
    </row>
    <row r="245">
      <c r="B245" s="51" t="n"/>
      <c r="C245" s="51" t="n"/>
      <c r="D245" s="51" t="n"/>
      <c r="E245" s="51" t="n"/>
      <c r="F245" s="51" t="n"/>
      <c r="H245" s="51" t="n"/>
      <c r="I245" s="51" t="n"/>
      <c r="J245" s="52" t="n"/>
      <c r="K245" s="52" t="n"/>
    </row>
    <row r="246">
      <c r="B246" s="51" t="n"/>
      <c r="C246" s="51" t="n"/>
      <c r="D246" s="51" t="n"/>
      <c r="E246" s="51" t="n"/>
      <c r="F246" s="51" t="n"/>
      <c r="H246" s="51" t="n"/>
      <c r="I246" s="51" t="n"/>
      <c r="J246" s="52" t="n"/>
      <c r="K246" s="52" t="n"/>
    </row>
    <row r="247">
      <c r="B247" s="51" t="n"/>
      <c r="C247" s="51" t="n"/>
      <c r="D247" s="51" t="n"/>
      <c r="E247" s="51" t="n"/>
      <c r="F247" s="51" t="n"/>
      <c r="H247" s="51" t="n"/>
      <c r="I247" s="51" t="n"/>
      <c r="J247" s="52" t="n"/>
      <c r="K247" s="52" t="n"/>
    </row>
    <row r="248">
      <c r="B248" s="51" t="n"/>
      <c r="C248" s="51" t="n"/>
      <c r="D248" s="51" t="n"/>
      <c r="E248" s="51" t="n"/>
      <c r="F248" s="51" t="n"/>
      <c r="H248" s="51" t="n"/>
      <c r="I248" s="51" t="n"/>
      <c r="J248" s="52" t="n"/>
      <c r="K248" s="52" t="n"/>
    </row>
    <row r="249">
      <c r="B249" s="51" t="n"/>
      <c r="C249" s="51" t="n"/>
      <c r="D249" s="51" t="n"/>
      <c r="E249" s="51" t="n"/>
      <c r="F249" s="51" t="n"/>
      <c r="H249" s="51" t="n"/>
      <c r="I249" s="51" t="n"/>
      <c r="J249" s="52" t="n"/>
      <c r="K249" s="52" t="n"/>
    </row>
    <row r="250">
      <c r="B250" s="51" t="n"/>
      <c r="C250" s="51" t="n"/>
      <c r="D250" s="51" t="n"/>
      <c r="E250" s="51" t="n"/>
      <c r="F250" s="51" t="n"/>
      <c r="H250" s="51" t="n"/>
      <c r="I250" s="51" t="n"/>
      <c r="J250" s="52" t="n"/>
      <c r="K250" s="52" t="n"/>
    </row>
    <row r="251">
      <c r="B251" s="51" t="n"/>
      <c r="C251" s="51" t="n"/>
      <c r="D251" s="51" t="n"/>
      <c r="E251" s="51" t="n"/>
      <c r="F251" s="51" t="n"/>
      <c r="H251" s="51" t="n"/>
      <c r="I251" s="51" t="n"/>
      <c r="J251" s="52" t="n"/>
      <c r="K251" s="52" t="n"/>
    </row>
    <row r="252">
      <c r="B252" s="51" t="n"/>
      <c r="C252" s="51" t="n"/>
      <c r="D252" s="51" t="n"/>
      <c r="E252" s="51" t="n"/>
      <c r="F252" s="51" t="n"/>
      <c r="H252" s="51" t="n"/>
      <c r="I252" s="51" t="n"/>
      <c r="J252" s="52" t="n"/>
      <c r="K252" s="52" t="n"/>
    </row>
    <row r="253">
      <c r="B253" s="51" t="n"/>
      <c r="C253" s="51" t="n"/>
      <c r="D253" s="51" t="n"/>
      <c r="E253" s="51" t="n"/>
      <c r="F253" s="51" t="n"/>
      <c r="H253" s="51" t="n"/>
      <c r="I253" s="51" t="n"/>
      <c r="J253" s="52" t="n"/>
      <c r="K253" s="52" t="n"/>
    </row>
    <row r="254">
      <c r="B254" s="51" t="n"/>
      <c r="C254" s="51" t="n"/>
      <c r="D254" s="51" t="n"/>
      <c r="E254" s="51" t="n"/>
      <c r="F254" s="51" t="n"/>
      <c r="H254" s="51" t="n"/>
      <c r="I254" s="51" t="n"/>
      <c r="J254" s="52" t="n"/>
      <c r="K254" s="52" t="n"/>
    </row>
    <row r="255">
      <c r="B255" s="51" t="n"/>
      <c r="C255" s="51" t="n"/>
      <c r="D255" s="51" t="n"/>
      <c r="E255" s="51" t="n"/>
      <c r="F255" s="51" t="n"/>
      <c r="H255" s="51" t="n"/>
      <c r="I255" s="51" t="n"/>
      <c r="J255" s="52" t="n"/>
      <c r="K255" s="52" t="n"/>
    </row>
    <row r="256">
      <c r="B256" s="51" t="n"/>
      <c r="C256" s="51" t="n"/>
      <c r="D256" s="51" t="n"/>
      <c r="E256" s="51" t="n"/>
      <c r="F256" s="51" t="n"/>
      <c r="H256" s="51" t="n"/>
      <c r="I256" s="51" t="n"/>
      <c r="J256" s="52" t="n"/>
      <c r="K256" s="52" t="n"/>
    </row>
    <row r="257">
      <c r="B257" s="51" t="n"/>
      <c r="C257" s="51" t="n"/>
      <c r="D257" s="51" t="n"/>
      <c r="E257" s="51" t="n"/>
      <c r="F257" s="51" t="n"/>
      <c r="H257" s="51" t="n"/>
      <c r="I257" s="51" t="n"/>
      <c r="J257" s="52" t="n"/>
      <c r="K257" s="52" t="n"/>
    </row>
    <row r="258">
      <c r="B258" s="51" t="n"/>
      <c r="C258" s="51" t="n"/>
      <c r="D258" s="51" t="n"/>
      <c r="E258" s="51" t="n"/>
      <c r="F258" s="51" t="n"/>
      <c r="H258" s="51" t="n"/>
      <c r="I258" s="51" t="n"/>
      <c r="J258" s="52" t="n"/>
      <c r="K258" s="52" t="n"/>
    </row>
    <row r="259">
      <c r="B259" s="51" t="n"/>
      <c r="C259" s="51" t="n"/>
      <c r="D259" s="51" t="n"/>
      <c r="E259" s="51" t="n"/>
      <c r="F259" s="51" t="n"/>
      <c r="H259" s="51" t="n"/>
      <c r="I259" s="51" t="n"/>
      <c r="J259" s="52" t="n"/>
      <c r="K259" s="52" t="n"/>
    </row>
    <row r="260">
      <c r="B260" s="51" t="n"/>
      <c r="C260" s="51" t="n"/>
      <c r="D260" s="51" t="n"/>
      <c r="E260" s="51" t="n"/>
      <c r="F260" s="51" t="n"/>
      <c r="H260" s="51" t="n"/>
      <c r="I260" s="51" t="n"/>
      <c r="J260" s="52" t="n"/>
      <c r="K260" s="52" t="n"/>
    </row>
    <row r="261">
      <c r="B261" s="51" t="n"/>
      <c r="C261" s="51" t="n"/>
      <c r="D261" s="51" t="n"/>
      <c r="E261" s="51" t="n"/>
      <c r="F261" s="51" t="n"/>
      <c r="H261" s="51" t="n"/>
      <c r="I261" s="51" t="n"/>
      <c r="J261" s="52" t="n"/>
      <c r="K261" s="52" t="n"/>
    </row>
    <row r="262">
      <c r="B262" s="51" t="n"/>
      <c r="C262" s="51" t="n"/>
      <c r="D262" s="51" t="n"/>
      <c r="E262" s="51" t="n"/>
      <c r="F262" s="51" t="n"/>
      <c r="H262" s="51" t="n"/>
      <c r="I262" s="51" t="n"/>
      <c r="J262" s="52" t="n"/>
      <c r="K262" s="52" t="n"/>
    </row>
    <row r="263">
      <c r="B263" s="51" t="n"/>
      <c r="C263" s="51" t="n"/>
      <c r="D263" s="51" t="n"/>
      <c r="E263" s="51" t="n"/>
      <c r="F263" s="51" t="n"/>
      <c r="H263" s="51" t="n"/>
      <c r="I263" s="51" t="n"/>
      <c r="J263" s="52" t="n"/>
      <c r="K263" s="52" t="n"/>
    </row>
    <row r="264">
      <c r="B264" s="51" t="n"/>
      <c r="C264" s="51" t="n"/>
      <c r="D264" s="51" t="n"/>
      <c r="E264" s="51" t="n"/>
      <c r="F264" s="51" t="n"/>
      <c r="H264" s="51" t="n"/>
      <c r="I264" s="51" t="n"/>
      <c r="J264" s="52" t="n"/>
      <c r="K264" s="52" t="n"/>
    </row>
    <row r="265">
      <c r="B265" s="51" t="n"/>
      <c r="C265" s="51" t="n"/>
      <c r="D265" s="51" t="n"/>
      <c r="E265" s="51" t="n"/>
      <c r="F265" s="51" t="n"/>
      <c r="H265" s="51" t="n"/>
      <c r="I265" s="51" t="n"/>
      <c r="J265" s="52" t="n"/>
      <c r="K265" s="52" t="n"/>
    </row>
    <row r="266">
      <c r="B266" s="51" t="n"/>
      <c r="C266" s="51" t="n"/>
      <c r="D266" s="51" t="n"/>
      <c r="E266" s="51" t="n"/>
      <c r="F266" s="51" t="n"/>
      <c r="H266" s="51" t="n"/>
      <c r="I266" s="51" t="n"/>
      <c r="J266" s="52" t="n"/>
      <c r="K266" s="52" t="n"/>
    </row>
    <row r="267">
      <c r="B267" s="51" t="n"/>
      <c r="C267" s="51" t="n"/>
      <c r="D267" s="51" t="n"/>
      <c r="E267" s="51" t="n"/>
      <c r="F267" s="51" t="n"/>
      <c r="H267" s="51" t="n"/>
      <c r="I267" s="51" t="n"/>
      <c r="J267" s="52" t="n"/>
      <c r="K267" s="52" t="n"/>
    </row>
    <row r="268">
      <c r="B268" s="51" t="n"/>
      <c r="C268" s="51" t="n"/>
      <c r="D268" s="51" t="n"/>
      <c r="E268" s="51" t="n"/>
      <c r="F268" s="51" t="n"/>
      <c r="H268" s="51" t="n"/>
      <c r="I268" s="51" t="n"/>
      <c r="J268" s="52" t="n"/>
      <c r="K268" s="52" t="n"/>
    </row>
    <row r="269">
      <c r="B269" s="51" t="n"/>
      <c r="C269" s="51" t="n"/>
      <c r="D269" s="51" t="n"/>
      <c r="E269" s="51" t="n"/>
      <c r="F269" s="51" t="n"/>
      <c r="H269" s="51" t="n"/>
      <c r="I269" s="51" t="n"/>
      <c r="J269" s="52" t="n"/>
      <c r="K269" s="52" t="n"/>
    </row>
    <row r="270">
      <c r="B270" s="51" t="n"/>
      <c r="C270" s="51" t="n"/>
      <c r="D270" s="51" t="n"/>
      <c r="E270" s="51" t="n"/>
      <c r="F270" s="51" t="n"/>
      <c r="H270" s="51" t="n"/>
      <c r="I270" s="51" t="n"/>
      <c r="J270" s="52" t="n"/>
      <c r="K270" s="52" t="n"/>
    </row>
    <row r="271">
      <c r="B271" s="51" t="n"/>
      <c r="C271" s="51" t="n"/>
      <c r="D271" s="51" t="n"/>
      <c r="E271" s="51" t="n"/>
      <c r="F271" s="51" t="n"/>
      <c r="H271" s="51" t="n"/>
      <c r="I271" s="51" t="n"/>
      <c r="J271" s="52" t="n"/>
      <c r="K271" s="52" t="n"/>
    </row>
    <row r="272">
      <c r="B272" s="51" t="n"/>
      <c r="C272" s="51" t="n"/>
      <c r="D272" s="51" t="n"/>
      <c r="E272" s="51" t="n"/>
      <c r="F272" s="51" t="n"/>
      <c r="H272" s="51" t="n"/>
      <c r="I272" s="51" t="n"/>
      <c r="J272" s="52" t="n"/>
      <c r="K272" s="52" t="n"/>
    </row>
    <row r="273">
      <c r="B273" s="51" t="n"/>
      <c r="C273" s="51" t="n"/>
      <c r="D273" s="51" t="n"/>
      <c r="E273" s="51" t="n"/>
      <c r="F273" s="51" t="n"/>
      <c r="H273" s="51" t="n"/>
      <c r="I273" s="51" t="n"/>
      <c r="J273" s="52" t="n"/>
      <c r="K273" s="52" t="n"/>
    </row>
    <row r="274">
      <c r="B274" s="51" t="n"/>
      <c r="C274" s="51" t="n"/>
      <c r="D274" s="51" t="n"/>
      <c r="E274" s="51" t="n"/>
      <c r="F274" s="51" t="n"/>
      <c r="H274" s="51" t="n"/>
      <c r="I274" s="51" t="n"/>
      <c r="J274" s="52" t="n"/>
      <c r="K274" s="52" t="n"/>
    </row>
    <row r="275">
      <c r="B275" s="51" t="n"/>
      <c r="C275" s="51" t="n"/>
      <c r="D275" s="51" t="n"/>
      <c r="E275" s="51" t="n"/>
      <c r="F275" s="51" t="n"/>
      <c r="H275" s="51" t="n"/>
      <c r="I275" s="51" t="n"/>
      <c r="J275" s="52" t="n"/>
      <c r="K275" s="52" t="n"/>
    </row>
    <row r="276">
      <c r="B276" s="51" t="n"/>
      <c r="C276" s="51" t="n"/>
      <c r="D276" s="51" t="n"/>
      <c r="E276" s="51" t="n"/>
      <c r="F276" s="51" t="n"/>
      <c r="H276" s="51" t="n"/>
      <c r="I276" s="51" t="n"/>
      <c r="J276" s="52" t="n"/>
      <c r="K276" s="52" t="n"/>
    </row>
    <row r="277">
      <c r="B277" s="51" t="n"/>
      <c r="C277" s="51" t="n"/>
      <c r="D277" s="51" t="n"/>
      <c r="E277" s="51" t="n"/>
      <c r="F277" s="51" t="n"/>
      <c r="H277" s="51" t="n"/>
      <c r="I277" s="51" t="n"/>
      <c r="J277" s="52" t="n"/>
      <c r="K277" s="52" t="n"/>
    </row>
    <row r="278">
      <c r="B278" s="51" t="n"/>
      <c r="C278" s="51" t="n"/>
      <c r="D278" s="51" t="n"/>
      <c r="E278" s="51" t="n"/>
      <c r="F278" s="51" t="n"/>
      <c r="H278" s="51" t="n"/>
      <c r="I278" s="51" t="n"/>
      <c r="J278" s="52" t="n"/>
      <c r="K278" s="52" t="n"/>
    </row>
    <row r="279">
      <c r="B279" s="51" t="n"/>
      <c r="C279" s="51" t="n"/>
      <c r="D279" s="51" t="n"/>
      <c r="E279" s="51" t="n"/>
      <c r="F279" s="51" t="n"/>
      <c r="H279" s="51" t="n"/>
      <c r="I279" s="51" t="n"/>
      <c r="J279" s="52" t="n"/>
      <c r="K279" s="52" t="n"/>
    </row>
    <row r="280">
      <c r="B280" s="51" t="n"/>
      <c r="C280" s="51" t="n"/>
      <c r="D280" s="51" t="n"/>
      <c r="E280" s="51" t="n"/>
      <c r="F280" s="51" t="n"/>
      <c r="H280" s="51" t="n"/>
      <c r="I280" s="51" t="n"/>
      <c r="J280" s="52" t="n"/>
      <c r="K280" s="52" t="n"/>
    </row>
    <row r="281">
      <c r="B281" s="51" t="n"/>
      <c r="C281" s="51" t="n"/>
      <c r="D281" s="51" t="n"/>
      <c r="E281" s="51" t="n"/>
      <c r="F281" s="51" t="n"/>
      <c r="H281" s="51" t="n"/>
      <c r="I281" s="51" t="n"/>
      <c r="J281" s="52" t="n"/>
      <c r="K281" s="52" t="n"/>
    </row>
    <row r="282">
      <c r="B282" s="51" t="n"/>
      <c r="C282" s="51" t="n"/>
      <c r="D282" s="51" t="n"/>
      <c r="E282" s="51" t="n"/>
      <c r="F282" s="51" t="n"/>
      <c r="H282" s="51" t="n"/>
      <c r="I282" s="51" t="n"/>
      <c r="J282" s="52" t="n"/>
      <c r="K282" s="52" t="n"/>
    </row>
    <row r="283">
      <c r="B283" s="51" t="n"/>
      <c r="C283" s="51" t="n"/>
      <c r="D283" s="51" t="n"/>
      <c r="E283" s="51" t="n"/>
      <c r="F283" s="51" t="n"/>
      <c r="H283" s="51" t="n"/>
      <c r="I283" s="51" t="n"/>
      <c r="J283" s="52" t="n"/>
      <c r="K283" s="52" t="n"/>
    </row>
    <row r="284">
      <c r="B284" s="51" t="n"/>
      <c r="C284" s="51" t="n"/>
      <c r="D284" s="51" t="n"/>
      <c r="E284" s="51" t="n"/>
      <c r="F284" s="51" t="n"/>
      <c r="H284" s="51" t="n"/>
      <c r="I284" s="51" t="n"/>
      <c r="J284" s="52" t="n"/>
      <c r="K284" s="52" t="n"/>
    </row>
    <row r="285">
      <c r="B285" s="51" t="n"/>
      <c r="C285" s="51" t="n"/>
      <c r="D285" s="51" t="n"/>
      <c r="E285" s="51" t="n"/>
      <c r="F285" s="51" t="n"/>
      <c r="H285" s="51" t="n"/>
      <c r="I285" s="51" t="n"/>
      <c r="J285" s="52" t="n"/>
      <c r="K285" s="52" t="n"/>
    </row>
    <row r="286">
      <c r="B286" s="51" t="n"/>
      <c r="C286" s="51" t="n"/>
      <c r="D286" s="51" t="n"/>
      <c r="E286" s="51" t="n"/>
      <c r="F286" s="51" t="n"/>
      <c r="H286" s="51" t="n"/>
      <c r="I286" s="51" t="n"/>
      <c r="J286" s="52" t="n"/>
      <c r="K286" s="52" t="n"/>
    </row>
    <row r="287">
      <c r="B287" s="51" t="n"/>
      <c r="C287" s="51" t="n"/>
      <c r="D287" s="51" t="n"/>
      <c r="E287" s="51" t="n"/>
      <c r="F287" s="51" t="n"/>
      <c r="H287" s="51" t="n"/>
      <c r="I287" s="51" t="n"/>
      <c r="J287" s="52" t="n"/>
      <c r="K287" s="52" t="n"/>
    </row>
    <row r="288">
      <c r="B288" s="51" t="n"/>
      <c r="C288" s="51" t="n"/>
      <c r="D288" s="51" t="n"/>
      <c r="E288" s="51" t="n"/>
      <c r="F288" s="51" t="n"/>
      <c r="H288" s="51" t="n"/>
      <c r="I288" s="51" t="n"/>
      <c r="J288" s="52" t="n"/>
      <c r="K288" s="52" t="n"/>
    </row>
    <row r="289">
      <c r="B289" s="51" t="n"/>
      <c r="C289" s="51" t="n"/>
      <c r="D289" s="51" t="n"/>
      <c r="E289" s="51" t="n"/>
      <c r="F289" s="51" t="n"/>
      <c r="H289" s="51" t="n"/>
      <c r="I289" s="51" t="n"/>
      <c r="J289" s="52" t="n"/>
      <c r="K289" s="52" t="n"/>
    </row>
    <row r="290">
      <c r="B290" s="51" t="n"/>
      <c r="C290" s="51" t="n"/>
      <c r="D290" s="51" t="n"/>
      <c r="E290" s="51" t="n"/>
      <c r="F290" s="51" t="n"/>
      <c r="H290" s="51" t="n"/>
      <c r="I290" s="51" t="n"/>
      <c r="J290" s="52" t="n"/>
      <c r="K290" s="52" t="n"/>
    </row>
    <row r="291">
      <c r="B291" s="51" t="n"/>
      <c r="C291" s="51" t="n"/>
      <c r="D291" s="51" t="n"/>
      <c r="E291" s="51" t="n"/>
      <c r="F291" s="51" t="n"/>
      <c r="H291" s="51" t="n"/>
      <c r="I291" s="51" t="n"/>
      <c r="J291" s="52" t="n"/>
      <c r="K291" s="52" t="n"/>
    </row>
    <row r="292">
      <c r="B292" s="51" t="n"/>
      <c r="C292" s="51" t="n"/>
      <c r="D292" s="51" t="n"/>
      <c r="E292" s="51" t="n"/>
      <c r="F292" s="51" t="n"/>
      <c r="H292" s="51" t="n"/>
      <c r="I292" s="51" t="n"/>
      <c r="J292" s="52" t="n"/>
      <c r="K292" s="52" t="n"/>
    </row>
    <row r="293">
      <c r="B293" s="51" t="n"/>
      <c r="C293" s="51" t="n"/>
      <c r="D293" s="51" t="n"/>
      <c r="E293" s="51" t="n"/>
      <c r="F293" s="51" t="n"/>
      <c r="H293" s="51" t="n"/>
      <c r="I293" s="51" t="n"/>
      <c r="J293" s="52" t="n"/>
      <c r="K293" s="52" t="n"/>
    </row>
    <row r="294">
      <c r="B294" s="51" t="n"/>
      <c r="C294" s="51" t="n"/>
      <c r="D294" s="51" t="n"/>
      <c r="E294" s="51" t="n"/>
      <c r="F294" s="51" t="n"/>
      <c r="H294" s="51" t="n"/>
      <c r="I294" s="51" t="n"/>
      <c r="J294" s="52" t="n"/>
      <c r="K294" s="52" t="n"/>
    </row>
    <row r="295">
      <c r="B295" s="51" t="n"/>
      <c r="C295" s="51" t="n"/>
      <c r="D295" s="51" t="n"/>
      <c r="E295" s="51" t="n"/>
      <c r="F295" s="51" t="n"/>
      <c r="H295" s="51" t="n"/>
      <c r="I295" s="51" t="n"/>
      <c r="J295" s="52" t="n"/>
      <c r="K295" s="52" t="n"/>
    </row>
    <row r="296">
      <c r="B296" s="51" t="n"/>
      <c r="C296" s="51" t="n"/>
      <c r="D296" s="51" t="n"/>
      <c r="E296" s="51" t="n"/>
      <c r="F296" s="51" t="n"/>
      <c r="H296" s="51" t="n"/>
      <c r="I296" s="51" t="n"/>
      <c r="J296" s="52" t="n"/>
      <c r="K296" s="52" t="n"/>
    </row>
    <row r="297">
      <c r="B297" s="51" t="n"/>
      <c r="C297" s="51" t="n"/>
      <c r="D297" s="51" t="n"/>
      <c r="E297" s="51" t="n"/>
      <c r="F297" s="51" t="n"/>
      <c r="H297" s="51" t="n"/>
      <c r="I297" s="51" t="n"/>
      <c r="J297" s="52" t="n"/>
      <c r="K297" s="52" t="n"/>
    </row>
    <row r="298">
      <c r="B298" s="51" t="n"/>
      <c r="C298" s="51" t="n"/>
      <c r="D298" s="51" t="n"/>
      <c r="E298" s="51" t="n"/>
      <c r="F298" s="51" t="n"/>
      <c r="H298" s="51" t="n"/>
      <c r="I298" s="51" t="n"/>
      <c r="J298" s="52" t="n"/>
      <c r="K298" s="52" t="n"/>
    </row>
    <row r="299">
      <c r="B299" s="51" t="n"/>
      <c r="C299" s="51" t="n"/>
      <c r="D299" s="51" t="n"/>
      <c r="E299" s="51" t="n"/>
      <c r="F299" s="51" t="n"/>
      <c r="H299" s="51" t="n"/>
      <c r="I299" s="51" t="n"/>
      <c r="J299" s="52" t="n"/>
      <c r="K299" s="52" t="n"/>
    </row>
    <row r="300">
      <c r="B300" s="51" t="n"/>
      <c r="C300" s="51" t="n"/>
      <c r="D300" s="51" t="n"/>
      <c r="E300" s="51" t="n"/>
      <c r="F300" s="51" t="n"/>
      <c r="H300" s="51" t="n"/>
      <c r="I300" s="51" t="n"/>
      <c r="J300" s="52" t="n"/>
      <c r="K300" s="52" t="n"/>
    </row>
    <row r="301">
      <c r="B301" s="51" t="n"/>
      <c r="C301" s="51" t="n"/>
      <c r="D301" s="51" t="n"/>
      <c r="E301" s="51" t="n"/>
      <c r="F301" s="51" t="n"/>
      <c r="H301" s="51" t="n"/>
      <c r="I301" s="51" t="n"/>
      <c r="J301" s="52" t="n"/>
      <c r="K301" s="52" t="n"/>
    </row>
    <row r="302">
      <c r="B302" s="51" t="n"/>
      <c r="C302" s="51" t="n"/>
      <c r="D302" s="51" t="n"/>
      <c r="E302" s="51" t="n"/>
      <c r="F302" s="51" t="n"/>
      <c r="H302" s="51" t="n"/>
      <c r="I302" s="51" t="n"/>
      <c r="J302" s="52" t="n"/>
      <c r="K302" s="52" t="n"/>
    </row>
    <row r="303">
      <c r="B303" s="51" t="n"/>
      <c r="C303" s="51" t="n"/>
      <c r="D303" s="51" t="n"/>
      <c r="E303" s="51" t="n"/>
      <c r="F303" s="51" t="n"/>
      <c r="H303" s="51" t="n"/>
      <c r="I303" s="51" t="n"/>
      <c r="J303" s="52" t="n"/>
      <c r="K303" s="52" t="n"/>
    </row>
    <row r="304">
      <c r="B304" s="51" t="n"/>
      <c r="C304" s="51" t="n"/>
      <c r="D304" s="51" t="n"/>
      <c r="E304" s="51" t="n"/>
      <c r="F304" s="51" t="n"/>
      <c r="H304" s="51" t="n"/>
      <c r="I304" s="51" t="n"/>
      <c r="J304" s="52" t="n"/>
      <c r="K304" s="52" t="n"/>
    </row>
    <row r="305">
      <c r="B305" s="51" t="n"/>
      <c r="C305" s="51" t="n"/>
      <c r="D305" s="51" t="n"/>
      <c r="E305" s="51" t="n"/>
      <c r="F305" s="51" t="n"/>
      <c r="H305" s="51" t="n"/>
      <c r="I305" s="51" t="n"/>
      <c r="J305" s="52" t="n"/>
      <c r="K305" s="52" t="n"/>
    </row>
    <row r="306">
      <c r="B306" s="51" t="n"/>
      <c r="C306" s="51" t="n"/>
      <c r="D306" s="51" t="n"/>
      <c r="E306" s="51" t="n"/>
      <c r="F306" s="51" t="n"/>
      <c r="H306" s="51" t="n"/>
      <c r="I306" s="51" t="n"/>
      <c r="J306" s="52" t="n"/>
      <c r="K306" s="52" t="n"/>
    </row>
    <row r="307">
      <c r="B307" s="51" t="n"/>
      <c r="C307" s="51" t="n"/>
      <c r="D307" s="51" t="n"/>
      <c r="E307" s="51" t="n"/>
      <c r="F307" s="51" t="n"/>
      <c r="H307" s="51" t="n"/>
      <c r="I307" s="51" t="n"/>
      <c r="J307" s="52" t="n"/>
      <c r="K307" s="52" t="n"/>
    </row>
    <row r="308">
      <c r="B308" s="51" t="n"/>
      <c r="C308" s="51" t="n"/>
      <c r="D308" s="51" t="n"/>
      <c r="E308" s="51" t="n"/>
      <c r="F308" s="51" t="n"/>
      <c r="H308" s="51" t="n"/>
      <c r="I308" s="51" t="n"/>
      <c r="J308" s="52" t="n"/>
      <c r="K308" s="52" t="n"/>
    </row>
    <row r="309">
      <c r="B309" s="51" t="n"/>
      <c r="C309" s="51" t="n"/>
      <c r="D309" s="51" t="n"/>
      <c r="E309" s="51" t="n"/>
      <c r="F309" s="51" t="n"/>
      <c r="H309" s="51" t="n"/>
      <c r="I309" s="51" t="n"/>
      <c r="J309" s="52" t="n"/>
      <c r="K309" s="52" t="n"/>
    </row>
    <row r="310">
      <c r="B310" s="51" t="n"/>
      <c r="C310" s="51" t="n"/>
      <c r="D310" s="51" t="n"/>
      <c r="E310" s="51" t="n"/>
      <c r="F310" s="51" t="n"/>
      <c r="H310" s="51" t="n"/>
      <c r="I310" s="51" t="n"/>
      <c r="J310" s="52" t="n"/>
      <c r="K310" s="52" t="n"/>
    </row>
    <row r="311">
      <c r="B311" s="51" t="n"/>
      <c r="C311" s="51" t="n"/>
      <c r="D311" s="51" t="n"/>
      <c r="E311" s="51" t="n"/>
      <c r="F311" s="51" t="n"/>
      <c r="H311" s="51" t="n"/>
      <c r="I311" s="51" t="n"/>
      <c r="J311" s="52" t="n"/>
      <c r="K311" s="52" t="n"/>
    </row>
    <row r="312">
      <c r="B312" s="51" t="n"/>
      <c r="C312" s="51" t="n"/>
      <c r="D312" s="51" t="n"/>
      <c r="E312" s="51" t="n"/>
      <c r="F312" s="51" t="n"/>
      <c r="H312" s="51" t="n"/>
      <c r="I312" s="51" t="n"/>
      <c r="J312" s="52" t="n"/>
      <c r="K312" s="52" t="n"/>
    </row>
    <row r="313">
      <c r="B313" s="51" t="n"/>
      <c r="C313" s="51" t="n"/>
      <c r="D313" s="51" t="n"/>
      <c r="E313" s="51" t="n"/>
      <c r="F313" s="51" t="n"/>
      <c r="H313" s="51" t="n"/>
      <c r="I313" s="51" t="n"/>
      <c r="J313" s="52" t="n"/>
      <c r="K313" s="52" t="n"/>
    </row>
    <row r="314">
      <c r="B314" s="51" t="n"/>
      <c r="C314" s="51" t="n"/>
      <c r="D314" s="51" t="n"/>
      <c r="E314" s="51" t="n"/>
      <c r="F314" s="51" t="n"/>
      <c r="H314" s="51" t="n"/>
      <c r="I314" s="51" t="n"/>
      <c r="J314" s="52" t="n"/>
      <c r="K314" s="52" t="n"/>
    </row>
    <row r="315">
      <c r="B315" s="51" t="n"/>
      <c r="C315" s="51" t="n"/>
      <c r="D315" s="51" t="n"/>
      <c r="E315" s="51" t="n"/>
      <c r="F315" s="51" t="n"/>
      <c r="H315" s="51" t="n"/>
      <c r="I315" s="51" t="n"/>
      <c r="J315" s="52" t="n"/>
      <c r="K315" s="52" t="n"/>
    </row>
    <row r="316">
      <c r="B316" s="51" t="n"/>
      <c r="C316" s="51" t="n"/>
      <c r="D316" s="51" t="n"/>
      <c r="E316" s="51" t="n"/>
      <c r="F316" s="51" t="n"/>
      <c r="H316" s="51" t="n"/>
      <c r="I316" s="51" t="n"/>
      <c r="J316" s="52" t="n"/>
      <c r="K316" s="52" t="n"/>
    </row>
    <row r="317">
      <c r="B317" s="51" t="n"/>
      <c r="C317" s="51" t="n"/>
      <c r="D317" s="51" t="n"/>
      <c r="E317" s="51" t="n"/>
      <c r="F317" s="51" t="n"/>
      <c r="H317" s="51" t="n"/>
      <c r="I317" s="51" t="n"/>
      <c r="J317" s="52" t="n"/>
      <c r="K317" s="52" t="n"/>
    </row>
    <row r="318">
      <c r="B318" s="51" t="n"/>
      <c r="C318" s="51" t="n"/>
      <c r="D318" s="51" t="n"/>
      <c r="E318" s="51" t="n"/>
      <c r="F318" s="51" t="n"/>
      <c r="H318" s="51" t="n"/>
      <c r="I318" s="51" t="n"/>
      <c r="J318" s="52" t="n"/>
      <c r="K318" s="52" t="n"/>
    </row>
    <row r="319">
      <c r="B319" s="51" t="n"/>
      <c r="C319" s="51" t="n"/>
      <c r="D319" s="51" t="n"/>
      <c r="E319" s="51" t="n"/>
      <c r="F319" s="51" t="n"/>
      <c r="H319" s="51" t="n"/>
      <c r="I319" s="51" t="n"/>
      <c r="J319" s="52" t="n"/>
      <c r="K319" s="52" t="n"/>
    </row>
    <row r="320">
      <c r="B320" s="51" t="n"/>
      <c r="C320" s="51" t="n"/>
      <c r="D320" s="51" t="n"/>
      <c r="E320" s="51" t="n"/>
      <c r="F320" s="51" t="n"/>
      <c r="H320" s="51" t="n"/>
      <c r="I320" s="51" t="n"/>
      <c r="J320" s="52" t="n"/>
      <c r="K320" s="52" t="n"/>
    </row>
    <row r="321">
      <c r="B321" s="51" t="n"/>
      <c r="C321" s="51" t="n"/>
      <c r="D321" s="51" t="n"/>
      <c r="E321" s="51" t="n"/>
      <c r="F321" s="51" t="n"/>
      <c r="H321" s="51" t="n"/>
      <c r="I321" s="51" t="n"/>
      <c r="J321" s="52" t="n"/>
      <c r="K321" s="52" t="n"/>
    </row>
    <row r="322">
      <c r="B322" s="51" t="n"/>
      <c r="C322" s="51" t="n"/>
      <c r="D322" s="51" t="n"/>
      <c r="E322" s="51" t="n"/>
      <c r="F322" s="51" t="n"/>
      <c r="H322" s="51" t="n"/>
      <c r="I322" s="51" t="n"/>
      <c r="J322" s="52" t="n"/>
      <c r="K322" s="52" t="n"/>
    </row>
    <row r="323">
      <c r="B323" s="51" t="n"/>
      <c r="C323" s="51" t="n"/>
      <c r="D323" s="51" t="n"/>
      <c r="E323" s="51" t="n"/>
      <c r="F323" s="51" t="n"/>
      <c r="H323" s="51" t="n"/>
      <c r="I323" s="51" t="n"/>
      <c r="J323" s="52" t="n"/>
      <c r="K323" s="52" t="n"/>
    </row>
    <row r="324">
      <c r="B324" s="51" t="n"/>
      <c r="C324" s="51" t="n"/>
      <c r="D324" s="51" t="n"/>
      <c r="E324" s="51" t="n"/>
      <c r="F324" s="51" t="n"/>
      <c r="H324" s="51" t="n"/>
      <c r="I324" s="51" t="n"/>
      <c r="J324" s="52" t="n"/>
      <c r="K324" s="52" t="n"/>
    </row>
    <row r="325">
      <c r="B325" s="51" t="n"/>
      <c r="C325" s="51" t="n"/>
      <c r="D325" s="51" t="n"/>
      <c r="E325" s="51" t="n"/>
      <c r="F325" s="51" t="n"/>
      <c r="H325" s="51" t="n"/>
      <c r="I325" s="51" t="n"/>
      <c r="J325" s="52" t="n"/>
      <c r="K325" s="52" t="n"/>
    </row>
    <row r="326">
      <c r="B326" s="51" t="n"/>
      <c r="C326" s="51" t="n"/>
      <c r="D326" s="51" t="n"/>
      <c r="E326" s="51" t="n"/>
      <c r="F326" s="51" t="n"/>
      <c r="H326" s="51" t="n"/>
      <c r="I326" s="51" t="n"/>
      <c r="J326" s="52" t="n"/>
      <c r="K326" s="52" t="n"/>
    </row>
    <row r="327">
      <c r="B327" s="51" t="n"/>
      <c r="C327" s="51" t="n"/>
      <c r="D327" s="51" t="n"/>
      <c r="E327" s="51" t="n"/>
      <c r="F327" s="51" t="n"/>
      <c r="H327" s="51" t="n"/>
      <c r="I327" s="51" t="n"/>
      <c r="J327" s="52" t="n"/>
      <c r="K327" s="52" t="n"/>
    </row>
    <row r="328">
      <c r="B328" s="51" t="n"/>
      <c r="C328" s="51" t="n"/>
      <c r="D328" s="51" t="n"/>
      <c r="E328" s="51" t="n"/>
      <c r="F328" s="51" t="n"/>
      <c r="H328" s="51" t="n"/>
      <c r="I328" s="51" t="n"/>
      <c r="J328" s="52" t="n"/>
      <c r="K328" s="52" t="n"/>
    </row>
    <row r="329">
      <c r="B329" s="51" t="n"/>
      <c r="C329" s="51" t="n"/>
      <c r="D329" s="51" t="n"/>
      <c r="E329" s="51" t="n"/>
      <c r="F329" s="51" t="n"/>
      <c r="H329" s="51" t="n"/>
      <c r="I329" s="51" t="n"/>
      <c r="J329" s="52" t="n"/>
      <c r="K329" s="52" t="n"/>
    </row>
    <row r="330">
      <c r="B330" s="51" t="n"/>
      <c r="C330" s="51" t="n"/>
      <c r="D330" s="51" t="n"/>
      <c r="E330" s="51" t="n"/>
      <c r="F330" s="51" t="n"/>
      <c r="H330" s="51" t="n"/>
      <c r="I330" s="51" t="n"/>
      <c r="J330" s="52" t="n"/>
      <c r="K330" s="52" t="n"/>
    </row>
    <row r="331">
      <c r="B331" s="51" t="n"/>
      <c r="C331" s="51" t="n"/>
      <c r="D331" s="51" t="n"/>
      <c r="E331" s="51" t="n"/>
      <c r="F331" s="51" t="n"/>
      <c r="H331" s="51" t="n"/>
      <c r="I331" s="51" t="n"/>
      <c r="J331" s="52" t="n"/>
      <c r="K331" s="52" t="n"/>
    </row>
    <row r="332">
      <c r="B332" s="51" t="n"/>
      <c r="C332" s="51" t="n"/>
      <c r="D332" s="51" t="n"/>
      <c r="E332" s="51" t="n"/>
      <c r="F332" s="51" t="n"/>
      <c r="H332" s="51" t="n"/>
      <c r="I332" s="51" t="n"/>
      <c r="J332" s="52" t="n"/>
      <c r="K332" s="52" t="n"/>
    </row>
    <row r="333">
      <c r="B333" s="51" t="n"/>
      <c r="C333" s="51" t="n"/>
      <c r="D333" s="51" t="n"/>
      <c r="E333" s="51" t="n"/>
      <c r="F333" s="51" t="n"/>
      <c r="H333" s="51" t="n"/>
      <c r="I333" s="51" t="n"/>
      <c r="J333" s="52" t="n"/>
      <c r="K333" s="52" t="n"/>
    </row>
    <row r="334">
      <c r="B334" s="51" t="n"/>
      <c r="C334" s="51" t="n"/>
      <c r="D334" s="51" t="n"/>
      <c r="E334" s="51" t="n"/>
      <c r="F334" s="51" t="n"/>
      <c r="H334" s="51" t="n"/>
      <c r="I334" s="51" t="n"/>
      <c r="J334" s="52" t="n"/>
      <c r="K334" s="52" t="n"/>
    </row>
    <row r="335">
      <c r="B335" s="51" t="n"/>
      <c r="C335" s="51" t="n"/>
      <c r="D335" s="51" t="n"/>
      <c r="E335" s="51" t="n"/>
      <c r="F335" s="51" t="n"/>
      <c r="H335" s="51" t="n"/>
      <c r="I335" s="51" t="n"/>
      <c r="J335" s="52" t="n"/>
      <c r="K335" s="52" t="n"/>
    </row>
    <row r="336">
      <c r="B336" s="51" t="n"/>
      <c r="C336" s="51" t="n"/>
      <c r="D336" s="51" t="n"/>
      <c r="E336" s="51" t="n"/>
      <c r="F336" s="51" t="n"/>
      <c r="H336" s="51" t="n"/>
      <c r="I336" s="51" t="n"/>
      <c r="J336" s="52" t="n"/>
      <c r="K336" s="52" t="n"/>
    </row>
    <row r="337">
      <c r="B337" s="51" t="n"/>
      <c r="C337" s="51" t="n"/>
      <c r="D337" s="51" t="n"/>
      <c r="E337" s="51" t="n"/>
      <c r="F337" s="51" t="n"/>
      <c r="H337" s="51" t="n"/>
      <c r="I337" s="51" t="n"/>
      <c r="J337" s="52" t="n"/>
      <c r="K337" s="52" t="n"/>
    </row>
    <row r="338">
      <c r="B338" s="51" t="n"/>
      <c r="C338" s="51" t="n"/>
      <c r="D338" s="51" t="n"/>
      <c r="E338" s="51" t="n"/>
      <c r="F338" s="51" t="n"/>
      <c r="H338" s="51" t="n"/>
      <c r="I338" s="51" t="n"/>
      <c r="J338" s="52" t="n"/>
      <c r="K338" s="52" t="n"/>
    </row>
    <row r="339">
      <c r="B339" s="51" t="n"/>
      <c r="C339" s="51" t="n"/>
      <c r="D339" s="51" t="n"/>
      <c r="E339" s="51" t="n"/>
      <c r="F339" s="51" t="n"/>
      <c r="H339" s="51" t="n"/>
      <c r="I339" s="51" t="n"/>
      <c r="J339" s="52" t="n"/>
      <c r="K339" s="52" t="n"/>
    </row>
    <row r="340">
      <c r="B340" s="51" t="n"/>
      <c r="C340" s="51" t="n"/>
      <c r="D340" s="51" t="n"/>
      <c r="E340" s="51" t="n"/>
      <c r="F340" s="51" t="n"/>
      <c r="H340" s="51" t="n"/>
      <c r="I340" s="51" t="n"/>
      <c r="J340" s="52" t="n"/>
      <c r="K340" s="52" t="n"/>
    </row>
    <row r="341">
      <c r="B341" s="51" t="n"/>
      <c r="C341" s="51" t="n"/>
      <c r="D341" s="51" t="n"/>
      <c r="E341" s="51" t="n"/>
      <c r="F341" s="51" t="n"/>
      <c r="H341" s="51" t="n"/>
      <c r="I341" s="51" t="n"/>
      <c r="J341" s="52" t="n"/>
      <c r="K341" s="52" t="n"/>
    </row>
    <row r="342">
      <c r="B342" s="51" t="n"/>
      <c r="C342" s="51" t="n"/>
      <c r="D342" s="51" t="n"/>
      <c r="E342" s="51" t="n"/>
      <c r="F342" s="51" t="n"/>
      <c r="H342" s="51" t="n"/>
      <c r="I342" s="51" t="n"/>
      <c r="J342" s="52" t="n"/>
      <c r="K342" s="52" t="n"/>
    </row>
    <row r="343">
      <c r="B343" s="51" t="n"/>
      <c r="C343" s="51" t="n"/>
      <c r="D343" s="51" t="n"/>
      <c r="E343" s="51" t="n"/>
      <c r="F343" s="51" t="n"/>
      <c r="H343" s="51" t="n"/>
      <c r="I343" s="51" t="n"/>
      <c r="J343" s="52" t="n"/>
      <c r="K343" s="52" t="n"/>
    </row>
    <row r="344">
      <c r="B344" s="51" t="n"/>
      <c r="C344" s="51" t="n"/>
      <c r="D344" s="51" t="n"/>
      <c r="E344" s="51" t="n"/>
      <c r="F344" s="51" t="n"/>
      <c r="H344" s="51" t="n"/>
      <c r="I344" s="51" t="n"/>
      <c r="J344" s="52" t="n"/>
      <c r="K344" s="52" t="n"/>
    </row>
    <row r="345">
      <c r="B345" s="51" t="n"/>
      <c r="C345" s="51" t="n"/>
      <c r="D345" s="51" t="n"/>
      <c r="E345" s="51" t="n"/>
      <c r="F345" s="51" t="n"/>
      <c r="H345" s="51" t="n"/>
      <c r="I345" s="51" t="n"/>
      <c r="J345" s="52" t="n"/>
      <c r="K345" s="52" t="n"/>
    </row>
    <row r="346">
      <c r="B346" s="51" t="n"/>
      <c r="C346" s="51" t="n"/>
      <c r="D346" s="51" t="n"/>
      <c r="E346" s="51" t="n"/>
      <c r="F346" s="51" t="n"/>
      <c r="H346" s="51" t="n"/>
      <c r="I346" s="51" t="n"/>
      <c r="J346" s="52" t="n"/>
      <c r="K346" s="52" t="n"/>
    </row>
    <row r="347">
      <c r="B347" s="51" t="n"/>
      <c r="C347" s="51" t="n"/>
      <c r="D347" s="51" t="n"/>
      <c r="E347" s="51" t="n"/>
      <c r="F347" s="51" t="n"/>
      <c r="H347" s="51" t="n"/>
      <c r="I347" s="51" t="n"/>
      <c r="J347" s="52" t="n"/>
      <c r="K347" s="52" t="n"/>
    </row>
    <row r="348">
      <c r="B348" s="51" t="n"/>
      <c r="C348" s="51" t="n"/>
      <c r="D348" s="51" t="n"/>
      <c r="E348" s="51" t="n"/>
      <c r="F348" s="51" t="n"/>
      <c r="H348" s="51" t="n"/>
      <c r="I348" s="51" t="n"/>
      <c r="J348" s="52" t="n"/>
      <c r="K348" s="52" t="n"/>
    </row>
    <row r="349">
      <c r="B349" s="51" t="n"/>
      <c r="C349" s="51" t="n"/>
      <c r="D349" s="51" t="n"/>
      <c r="E349" s="51" t="n"/>
      <c r="F349" s="51" t="n"/>
      <c r="H349" s="51" t="n"/>
      <c r="I349" s="51" t="n"/>
      <c r="J349" s="52" t="n"/>
      <c r="K349" s="52" t="n"/>
    </row>
    <row r="350">
      <c r="B350" s="51" t="n"/>
      <c r="C350" s="51" t="n"/>
      <c r="D350" s="51" t="n"/>
      <c r="E350" s="51" t="n"/>
      <c r="F350" s="51" t="n"/>
      <c r="H350" s="51" t="n"/>
      <c r="I350" s="51" t="n"/>
      <c r="J350" s="52" t="n"/>
      <c r="K350" s="52" t="n"/>
    </row>
    <row r="351">
      <c r="B351" s="51" t="n"/>
      <c r="C351" s="51" t="n"/>
      <c r="D351" s="51" t="n"/>
      <c r="E351" s="51" t="n"/>
      <c r="F351" s="51" t="n"/>
      <c r="H351" s="51" t="n"/>
      <c r="I351" s="51" t="n"/>
      <c r="J351" s="52" t="n"/>
      <c r="K351" s="52" t="n"/>
    </row>
    <row r="352">
      <c r="B352" s="51" t="n"/>
      <c r="C352" s="51" t="n"/>
      <c r="D352" s="51" t="n"/>
      <c r="E352" s="51" t="n"/>
      <c r="F352" s="51" t="n"/>
      <c r="H352" s="51" t="n"/>
      <c r="I352" s="51" t="n"/>
      <c r="J352" s="52" t="n"/>
      <c r="K352" s="52" t="n"/>
    </row>
    <row r="353">
      <c r="B353" s="51" t="n"/>
      <c r="C353" s="51" t="n"/>
      <c r="D353" s="51" t="n"/>
      <c r="E353" s="51" t="n"/>
      <c r="F353" s="51" t="n"/>
      <c r="H353" s="51" t="n"/>
      <c r="I353" s="51" t="n"/>
      <c r="J353" s="52" t="n"/>
      <c r="K353" s="52" t="n"/>
    </row>
    <row r="354">
      <c r="B354" s="51" t="n"/>
      <c r="C354" s="51" t="n"/>
      <c r="D354" s="51" t="n"/>
      <c r="E354" s="51" t="n"/>
      <c r="F354" s="51" t="n"/>
      <c r="H354" s="51" t="n"/>
      <c r="I354" s="51" t="n"/>
      <c r="J354" s="52" t="n"/>
      <c r="K354" s="52" t="n"/>
    </row>
    <row r="355">
      <c r="B355" s="51" t="n"/>
      <c r="C355" s="51" t="n"/>
      <c r="D355" s="51" t="n"/>
      <c r="E355" s="51" t="n"/>
      <c r="F355" s="51" t="n"/>
      <c r="H355" s="51" t="n"/>
      <c r="I355" s="51" t="n"/>
      <c r="J355" s="52" t="n"/>
      <c r="K355" s="52" t="n"/>
    </row>
    <row r="356">
      <c r="B356" s="51" t="n"/>
      <c r="C356" s="51" t="n"/>
      <c r="D356" s="51" t="n"/>
      <c r="E356" s="51" t="n"/>
      <c r="F356" s="51" t="n"/>
      <c r="H356" s="51" t="n"/>
      <c r="I356" s="51" t="n"/>
      <c r="J356" s="52" t="n"/>
      <c r="K356" s="52" t="n"/>
    </row>
    <row r="357">
      <c r="B357" s="51" t="n"/>
      <c r="C357" s="51" t="n"/>
      <c r="D357" s="51" t="n"/>
      <c r="E357" s="51" t="n"/>
      <c r="F357" s="51" t="n"/>
      <c r="H357" s="51" t="n"/>
      <c r="I357" s="51" t="n"/>
      <c r="J357" s="52" t="n"/>
      <c r="K357" s="52" t="n"/>
    </row>
    <row r="358">
      <c r="B358" s="51" t="n"/>
      <c r="C358" s="51" t="n"/>
      <c r="D358" s="51" t="n"/>
      <c r="E358" s="51" t="n"/>
      <c r="F358" s="51" t="n"/>
      <c r="H358" s="51" t="n"/>
      <c r="I358" s="51" t="n"/>
      <c r="J358" s="52" t="n"/>
      <c r="K358" s="52" t="n"/>
    </row>
    <row r="359">
      <c r="B359" s="51" t="n"/>
      <c r="C359" s="51" t="n"/>
      <c r="D359" s="51" t="n"/>
      <c r="E359" s="51" t="n"/>
      <c r="F359" s="51" t="n"/>
      <c r="H359" s="51" t="n"/>
      <c r="I359" s="51" t="n"/>
      <c r="J359" s="52" t="n"/>
      <c r="K359" s="52" t="n"/>
    </row>
    <row r="360">
      <c r="B360" s="51" t="n"/>
      <c r="C360" s="51" t="n"/>
      <c r="D360" s="51" t="n"/>
      <c r="E360" s="51" t="n"/>
      <c r="F360" s="51" t="n"/>
      <c r="H360" s="51" t="n"/>
      <c r="I360" s="51" t="n"/>
      <c r="J360" s="52" t="n"/>
      <c r="K360" s="52" t="n"/>
    </row>
    <row r="361">
      <c r="B361" s="51" t="n"/>
      <c r="C361" s="51" t="n"/>
      <c r="D361" s="51" t="n"/>
      <c r="E361" s="51" t="n"/>
      <c r="F361" s="51" t="n"/>
      <c r="H361" s="51" t="n"/>
      <c r="I361" s="51" t="n"/>
      <c r="J361" s="52" t="n"/>
      <c r="K361" s="52" t="n"/>
    </row>
    <row r="362">
      <c r="B362" s="51" t="n"/>
      <c r="C362" s="51" t="n"/>
      <c r="D362" s="51" t="n"/>
      <c r="E362" s="51" t="n"/>
      <c r="F362" s="51" t="n"/>
      <c r="H362" s="51" t="n"/>
      <c r="I362" s="51" t="n"/>
      <c r="J362" s="52" t="n"/>
      <c r="K362" s="52" t="n"/>
    </row>
    <row r="363">
      <c r="B363" s="51" t="n"/>
      <c r="C363" s="51" t="n"/>
      <c r="D363" s="51" t="n"/>
      <c r="E363" s="51" t="n"/>
      <c r="F363" s="51" t="n"/>
      <c r="H363" s="51" t="n"/>
      <c r="I363" s="51" t="n"/>
      <c r="J363" s="52" t="n"/>
      <c r="K363" s="52" t="n"/>
    </row>
    <row r="364">
      <c r="B364" s="51" t="n"/>
      <c r="C364" s="51" t="n"/>
      <c r="D364" s="51" t="n"/>
      <c r="E364" s="51" t="n"/>
      <c r="F364" s="51" t="n"/>
      <c r="H364" s="51" t="n"/>
      <c r="I364" s="51" t="n"/>
      <c r="J364" s="52" t="n"/>
      <c r="K364" s="52" t="n"/>
    </row>
    <row r="365">
      <c r="B365" s="51" t="n"/>
      <c r="C365" s="51" t="n"/>
      <c r="D365" s="51" t="n"/>
      <c r="E365" s="51" t="n"/>
      <c r="F365" s="51" t="n"/>
      <c r="H365" s="51" t="n"/>
      <c r="I365" s="51" t="n"/>
      <c r="J365" s="52" t="n"/>
      <c r="K365" s="52" t="n"/>
    </row>
    <row r="366">
      <c r="B366" s="51" t="n"/>
      <c r="C366" s="51" t="n"/>
      <c r="D366" s="51" t="n"/>
      <c r="E366" s="51" t="n"/>
      <c r="F366" s="51" t="n"/>
      <c r="H366" s="51" t="n"/>
      <c r="I366" s="51" t="n"/>
      <c r="J366" s="52" t="n"/>
      <c r="K366" s="52" t="n"/>
    </row>
    <row r="367">
      <c r="B367" s="51" t="n"/>
      <c r="C367" s="51" t="n"/>
      <c r="D367" s="51" t="n"/>
      <c r="E367" s="51" t="n"/>
      <c r="F367" s="51" t="n"/>
      <c r="H367" s="51" t="n"/>
      <c r="I367" s="51" t="n"/>
      <c r="J367" s="52" t="n"/>
      <c r="K367" s="52" t="n"/>
    </row>
    <row r="368">
      <c r="B368" s="51" t="n"/>
      <c r="C368" s="51" t="n"/>
      <c r="D368" s="51" t="n"/>
      <c r="E368" s="51" t="n"/>
      <c r="F368" s="51" t="n"/>
      <c r="H368" s="51" t="n"/>
      <c r="I368" s="51" t="n"/>
      <c r="J368" s="52" t="n"/>
      <c r="K368" s="52" t="n"/>
    </row>
    <row r="369">
      <c r="B369" s="51" t="n"/>
      <c r="C369" s="51" t="n"/>
      <c r="D369" s="51" t="n"/>
      <c r="E369" s="51" t="n"/>
      <c r="F369" s="51" t="n"/>
      <c r="H369" s="51" t="n"/>
      <c r="I369" s="51" t="n"/>
      <c r="J369" s="52" t="n"/>
      <c r="K369" s="52" t="n"/>
    </row>
    <row r="370">
      <c r="B370" s="51" t="n"/>
      <c r="C370" s="51" t="n"/>
      <c r="D370" s="51" t="n"/>
      <c r="E370" s="51" t="n"/>
      <c r="F370" s="51" t="n"/>
      <c r="H370" s="51" t="n"/>
      <c r="I370" s="51" t="n"/>
      <c r="J370" s="52" t="n"/>
      <c r="K370" s="52" t="n"/>
    </row>
    <row r="371">
      <c r="B371" s="51" t="n"/>
      <c r="C371" s="51" t="n"/>
      <c r="D371" s="51" t="n"/>
      <c r="E371" s="51" t="n"/>
      <c r="F371" s="51" t="n"/>
      <c r="H371" s="51" t="n"/>
      <c r="I371" s="51" t="n"/>
      <c r="J371" s="52" t="n"/>
      <c r="K371" s="52" t="n"/>
    </row>
    <row r="372">
      <c r="B372" s="51" t="n"/>
      <c r="C372" s="51" t="n"/>
      <c r="D372" s="51" t="n"/>
      <c r="E372" s="51" t="n"/>
      <c r="F372" s="51" t="n"/>
      <c r="H372" s="51" t="n"/>
      <c r="I372" s="51" t="n"/>
      <c r="J372" s="52" t="n"/>
      <c r="K372" s="52" t="n"/>
    </row>
    <row r="373">
      <c r="B373" s="51" t="n"/>
      <c r="C373" s="51" t="n"/>
      <c r="D373" s="51" t="n"/>
      <c r="E373" s="51" t="n"/>
      <c r="F373" s="51" t="n"/>
      <c r="H373" s="51" t="n"/>
      <c r="I373" s="51" t="n"/>
      <c r="J373" s="52" t="n"/>
      <c r="K373" s="52" t="n"/>
    </row>
    <row r="374">
      <c r="B374" s="51" t="n"/>
      <c r="C374" s="51" t="n"/>
      <c r="D374" s="51" t="n"/>
      <c r="E374" s="51" t="n"/>
      <c r="F374" s="51" t="n"/>
      <c r="H374" s="51" t="n"/>
      <c r="I374" s="51" t="n"/>
      <c r="J374" s="52" t="n"/>
      <c r="K374" s="52" t="n"/>
    </row>
    <row r="375">
      <c r="B375" s="51" t="n"/>
      <c r="C375" s="51" t="n"/>
      <c r="D375" s="51" t="n"/>
      <c r="E375" s="51" t="n"/>
      <c r="F375" s="51" t="n"/>
      <c r="H375" s="51" t="n"/>
      <c r="I375" s="51" t="n"/>
      <c r="J375" s="52" t="n"/>
      <c r="K375" s="52" t="n"/>
    </row>
    <row r="376">
      <c r="B376" s="51" t="n"/>
      <c r="C376" s="51" t="n"/>
      <c r="D376" s="51" t="n"/>
      <c r="E376" s="51" t="n"/>
      <c r="F376" s="51" t="n"/>
      <c r="H376" s="51" t="n"/>
      <c r="I376" s="51" t="n"/>
      <c r="J376" s="52" t="n"/>
      <c r="K376" s="52" t="n"/>
    </row>
    <row r="377">
      <c r="B377" s="51" t="n"/>
      <c r="C377" s="51" t="n"/>
      <c r="D377" s="51" t="n"/>
      <c r="E377" s="51" t="n"/>
      <c r="F377" s="51" t="n"/>
      <c r="H377" s="51" t="n"/>
      <c r="I377" s="51" t="n"/>
      <c r="J377" s="52" t="n"/>
      <c r="K377" s="52" t="n"/>
    </row>
    <row r="378">
      <c r="B378" s="51" t="n"/>
      <c r="C378" s="51" t="n"/>
      <c r="D378" s="51" t="n"/>
      <c r="E378" s="51" t="n"/>
      <c r="F378" s="51" t="n"/>
      <c r="H378" s="51" t="n"/>
      <c r="I378" s="51" t="n"/>
      <c r="J378" s="52" t="n"/>
      <c r="K378" s="52" t="n"/>
    </row>
    <row r="379">
      <c r="B379" s="51" t="n"/>
      <c r="C379" s="51" t="n"/>
      <c r="D379" s="51" t="n"/>
      <c r="E379" s="51" t="n"/>
      <c r="F379" s="51" t="n"/>
      <c r="H379" s="51" t="n"/>
      <c r="I379" s="51" t="n"/>
      <c r="J379" s="52" t="n"/>
      <c r="K379" s="52" t="n"/>
    </row>
    <row r="380">
      <c r="B380" s="51" t="n"/>
      <c r="C380" s="51" t="n"/>
      <c r="D380" s="51" t="n"/>
      <c r="E380" s="51" t="n"/>
      <c r="F380" s="51" t="n"/>
      <c r="H380" s="51" t="n"/>
      <c r="I380" s="51" t="n"/>
      <c r="J380" s="52" t="n"/>
      <c r="K380" s="52" t="n"/>
    </row>
    <row r="381">
      <c r="B381" s="51" t="n"/>
      <c r="C381" s="51" t="n"/>
      <c r="D381" s="51" t="n"/>
      <c r="E381" s="51" t="n"/>
      <c r="F381" s="51" t="n"/>
      <c r="H381" s="51" t="n"/>
      <c r="I381" s="51" t="n"/>
      <c r="J381" s="52" t="n"/>
      <c r="K381" s="52" t="n"/>
    </row>
    <row r="382">
      <c r="B382" s="51" t="n"/>
      <c r="C382" s="51" t="n"/>
      <c r="D382" s="51" t="n"/>
      <c r="E382" s="51" t="n"/>
      <c r="F382" s="51" t="n"/>
      <c r="H382" s="51" t="n"/>
      <c r="I382" s="51" t="n"/>
      <c r="J382" s="52" t="n"/>
      <c r="K382" s="52" t="n"/>
    </row>
    <row r="383">
      <c r="B383" s="51" t="n"/>
      <c r="C383" s="51" t="n"/>
      <c r="D383" s="51" t="n"/>
      <c r="E383" s="51" t="n"/>
      <c r="F383" s="51" t="n"/>
      <c r="H383" s="51" t="n"/>
      <c r="I383" s="51" t="n"/>
      <c r="J383" s="52" t="n"/>
      <c r="K383" s="52" t="n"/>
    </row>
    <row r="384">
      <c r="B384" s="51" t="n"/>
      <c r="C384" s="51" t="n"/>
      <c r="D384" s="51" t="n"/>
      <c r="E384" s="51" t="n"/>
      <c r="F384" s="51" t="n"/>
      <c r="H384" s="51" t="n"/>
      <c r="I384" s="51" t="n"/>
      <c r="J384" s="52" t="n"/>
      <c r="K384" s="52" t="n"/>
    </row>
    <row r="385">
      <c r="B385" s="51" t="n"/>
      <c r="C385" s="51" t="n"/>
      <c r="D385" s="51" t="n"/>
      <c r="E385" s="51" t="n"/>
      <c r="F385" s="51" t="n"/>
      <c r="H385" s="51" t="n"/>
      <c r="I385" s="51" t="n"/>
      <c r="J385" s="52" t="n"/>
      <c r="K385" s="52" t="n"/>
    </row>
    <row r="386">
      <c r="B386" s="51" t="n"/>
      <c r="C386" s="51" t="n"/>
      <c r="D386" s="51" t="n"/>
      <c r="E386" s="51" t="n"/>
      <c r="F386" s="51" t="n"/>
      <c r="H386" s="51" t="n"/>
      <c r="I386" s="51" t="n"/>
      <c r="J386" s="52" t="n"/>
      <c r="K386" s="52" t="n"/>
    </row>
    <row r="387">
      <c r="B387" s="51" t="n"/>
      <c r="C387" s="51" t="n"/>
      <c r="D387" s="51" t="n"/>
      <c r="E387" s="51" t="n"/>
      <c r="F387" s="51" t="n"/>
      <c r="H387" s="51" t="n"/>
      <c r="I387" s="51" t="n"/>
      <c r="J387" s="52" t="n"/>
      <c r="K387" s="52" t="n"/>
    </row>
    <row r="388">
      <c r="B388" s="51" t="n"/>
      <c r="C388" s="51" t="n"/>
      <c r="D388" s="51" t="n"/>
      <c r="E388" s="51" t="n"/>
      <c r="F388" s="51" t="n"/>
      <c r="H388" s="51" t="n"/>
      <c r="I388" s="51" t="n"/>
      <c r="J388" s="52" t="n"/>
      <c r="K388" s="52" t="n"/>
    </row>
    <row r="389">
      <c r="B389" s="51" t="n"/>
      <c r="C389" s="51" t="n"/>
      <c r="D389" s="51" t="n"/>
      <c r="E389" s="51" t="n"/>
      <c r="F389" s="51" t="n"/>
      <c r="H389" s="51" t="n"/>
      <c r="I389" s="51" t="n"/>
      <c r="J389" s="52" t="n"/>
      <c r="K389" s="52" t="n"/>
    </row>
    <row r="390">
      <c r="B390" s="51" t="n"/>
      <c r="C390" s="51" t="n"/>
      <c r="D390" s="51" t="n"/>
      <c r="E390" s="51" t="n"/>
      <c r="F390" s="51" t="n"/>
      <c r="H390" s="51" t="n"/>
      <c r="I390" s="51" t="n"/>
      <c r="J390" s="52" t="n"/>
      <c r="K390" s="52" t="n"/>
    </row>
    <row r="391">
      <c r="B391" s="51" t="n"/>
      <c r="C391" s="51" t="n"/>
      <c r="D391" s="51" t="n"/>
      <c r="E391" s="51" t="n"/>
      <c r="F391" s="51" t="n"/>
      <c r="H391" s="51" t="n"/>
      <c r="I391" s="51" t="n"/>
      <c r="J391" s="52" t="n"/>
      <c r="K391" s="52" t="n"/>
    </row>
    <row r="392">
      <c r="B392" s="51" t="n"/>
      <c r="C392" s="51" t="n"/>
      <c r="D392" s="51" t="n"/>
      <c r="E392" s="51" t="n"/>
      <c r="F392" s="51" t="n"/>
      <c r="H392" s="51" t="n"/>
      <c r="I392" s="51" t="n"/>
      <c r="J392" s="52" t="n"/>
      <c r="K392" s="52" t="n"/>
    </row>
    <row r="393">
      <c r="B393" s="51" t="n"/>
      <c r="C393" s="51" t="n"/>
      <c r="D393" s="51" t="n"/>
      <c r="E393" s="51" t="n"/>
      <c r="F393" s="51" t="n"/>
      <c r="H393" s="51" t="n"/>
      <c r="I393" s="51" t="n"/>
      <c r="J393" s="52" t="n"/>
      <c r="K393" s="52" t="n"/>
    </row>
    <row r="394">
      <c r="B394" s="51" t="n"/>
      <c r="C394" s="51" t="n"/>
      <c r="D394" s="51" t="n"/>
      <c r="E394" s="51" t="n"/>
      <c r="F394" s="51" t="n"/>
      <c r="H394" s="51" t="n"/>
      <c r="I394" s="51" t="n"/>
      <c r="J394" s="52" t="n"/>
      <c r="K394" s="52" t="n"/>
    </row>
    <row r="395">
      <c r="B395" s="51" t="n"/>
      <c r="C395" s="51" t="n"/>
      <c r="D395" s="51" t="n"/>
      <c r="E395" s="51" t="n"/>
      <c r="F395" s="51" t="n"/>
      <c r="H395" s="51" t="n"/>
      <c r="I395" s="51" t="n"/>
      <c r="J395" s="52" t="n"/>
      <c r="K395" s="52" t="n"/>
    </row>
    <row r="396">
      <c r="B396" s="51" t="n"/>
      <c r="C396" s="51" t="n"/>
      <c r="D396" s="51" t="n"/>
      <c r="E396" s="51" t="n"/>
      <c r="F396" s="51" t="n"/>
      <c r="H396" s="51" t="n"/>
      <c r="I396" s="51" t="n"/>
      <c r="J396" s="52" t="n"/>
      <c r="K396" s="52" t="n"/>
    </row>
    <row r="397">
      <c r="B397" s="51" t="n"/>
      <c r="C397" s="51" t="n"/>
      <c r="D397" s="51" t="n"/>
      <c r="E397" s="51" t="n"/>
      <c r="F397" s="51" t="n"/>
      <c r="H397" s="51" t="n"/>
      <c r="I397" s="51" t="n"/>
      <c r="J397" s="52" t="n"/>
      <c r="K397" s="52" t="n"/>
    </row>
    <row r="398">
      <c r="B398" s="51" t="n"/>
      <c r="C398" s="51" t="n"/>
      <c r="D398" s="51" t="n"/>
      <c r="E398" s="51" t="n"/>
      <c r="F398" s="51" t="n"/>
      <c r="H398" s="51" t="n"/>
      <c r="I398" s="51" t="n"/>
      <c r="J398" s="52" t="n"/>
      <c r="K398" s="52" t="n"/>
    </row>
    <row r="399">
      <c r="B399" s="51" t="n"/>
      <c r="C399" s="51" t="n"/>
      <c r="D399" s="51" t="n"/>
      <c r="E399" s="51" t="n"/>
      <c r="F399" s="51" t="n"/>
      <c r="H399" s="51" t="n"/>
      <c r="I399" s="51" t="n"/>
      <c r="J399" s="52" t="n"/>
      <c r="K399" s="52" t="n"/>
    </row>
    <row r="400">
      <c r="B400" s="51" t="n"/>
      <c r="C400" s="51" t="n"/>
      <c r="D400" s="51" t="n"/>
      <c r="E400" s="51" t="n"/>
      <c r="F400" s="51" t="n"/>
      <c r="H400" s="51" t="n"/>
      <c r="I400" s="51" t="n"/>
      <c r="J400" s="52" t="n"/>
      <c r="K400" s="52" t="n"/>
    </row>
    <row r="401">
      <c r="B401" s="51" t="n"/>
      <c r="C401" s="51" t="n"/>
      <c r="D401" s="51" t="n"/>
      <c r="E401" s="51" t="n"/>
      <c r="F401" s="51" t="n"/>
      <c r="H401" s="51" t="n"/>
      <c r="I401" s="51" t="n"/>
      <c r="J401" s="52" t="n"/>
      <c r="K401" s="52" t="n"/>
    </row>
    <row r="402">
      <c r="B402" s="51" t="n"/>
      <c r="C402" s="51" t="n"/>
      <c r="D402" s="51" t="n"/>
      <c r="E402" s="51" t="n"/>
      <c r="F402" s="51" t="n"/>
      <c r="H402" s="51" t="n"/>
      <c r="I402" s="51" t="n"/>
      <c r="J402" s="52" t="n"/>
      <c r="K402" s="52" t="n"/>
    </row>
    <row r="403">
      <c r="B403" s="51" t="n"/>
      <c r="C403" s="51" t="n"/>
      <c r="D403" s="51" t="n"/>
      <c r="E403" s="51" t="n"/>
      <c r="F403" s="51" t="n"/>
      <c r="H403" s="51" t="n"/>
      <c r="I403" s="51" t="n"/>
      <c r="J403" s="52" t="n"/>
      <c r="K403" s="52" t="n"/>
    </row>
    <row r="404">
      <c r="B404" s="51" t="n"/>
      <c r="C404" s="51" t="n"/>
      <c r="D404" s="51" t="n"/>
      <c r="E404" s="51" t="n"/>
      <c r="F404" s="51" t="n"/>
      <c r="H404" s="51" t="n"/>
      <c r="I404" s="51" t="n"/>
      <c r="J404" s="52" t="n"/>
      <c r="K404" s="52" t="n"/>
    </row>
    <row r="405">
      <c r="B405" s="51" t="n"/>
      <c r="C405" s="51" t="n"/>
      <c r="D405" s="51" t="n"/>
      <c r="E405" s="51" t="n"/>
      <c r="F405" s="51" t="n"/>
      <c r="H405" s="51" t="n"/>
      <c r="I405" s="51" t="n"/>
      <c r="J405" s="52" t="n"/>
      <c r="K405" s="52" t="n"/>
    </row>
    <row r="406">
      <c r="B406" s="51" t="n"/>
      <c r="C406" s="51" t="n"/>
      <c r="D406" s="51" t="n"/>
      <c r="E406" s="51" t="n"/>
      <c r="F406" s="51" t="n"/>
      <c r="H406" s="51" t="n"/>
      <c r="I406" s="51" t="n"/>
      <c r="J406" s="52" t="n"/>
      <c r="K406" s="52" t="n"/>
    </row>
    <row r="407">
      <c r="B407" s="51" t="n"/>
      <c r="C407" s="51" t="n"/>
      <c r="D407" s="51" t="n"/>
      <c r="E407" s="51" t="n"/>
      <c r="F407" s="51" t="n"/>
      <c r="H407" s="51" t="n"/>
      <c r="I407" s="51" t="n"/>
      <c r="J407" s="52" t="n"/>
      <c r="K407" s="52" t="n"/>
    </row>
    <row r="408">
      <c r="B408" s="51" t="n"/>
      <c r="C408" s="51" t="n"/>
      <c r="D408" s="51" t="n"/>
      <c r="E408" s="51" t="n"/>
      <c r="F408" s="51" t="n"/>
      <c r="H408" s="51" t="n"/>
      <c r="I408" s="51" t="n"/>
      <c r="J408" s="52" t="n"/>
      <c r="K408" s="52" t="n"/>
    </row>
    <row r="409">
      <c r="B409" s="51" t="n"/>
      <c r="C409" s="51" t="n"/>
      <c r="D409" s="51" t="n"/>
      <c r="E409" s="51" t="n"/>
      <c r="F409" s="51" t="n"/>
      <c r="H409" s="51" t="n"/>
      <c r="I409" s="51" t="n"/>
      <c r="J409" s="52" t="n"/>
      <c r="K409" s="52" t="n"/>
    </row>
    <row r="410">
      <c r="B410" s="51" t="n"/>
      <c r="C410" s="51" t="n"/>
      <c r="D410" s="51" t="n"/>
      <c r="E410" s="51" t="n"/>
      <c r="F410" s="51" t="n"/>
      <c r="H410" s="51" t="n"/>
      <c r="I410" s="51" t="n"/>
      <c r="J410" s="52" t="n"/>
      <c r="K410" s="52" t="n"/>
    </row>
    <row r="411">
      <c r="B411" s="51" t="n"/>
      <c r="C411" s="51" t="n"/>
      <c r="D411" s="51" t="n"/>
      <c r="E411" s="51" t="n"/>
      <c r="F411" s="51" t="n"/>
      <c r="H411" s="51" t="n"/>
      <c r="I411" s="51" t="n"/>
      <c r="J411" s="52" t="n"/>
      <c r="K411" s="52" t="n"/>
    </row>
    <row r="412">
      <c r="B412" s="51" t="n"/>
      <c r="C412" s="51" t="n"/>
      <c r="D412" s="51" t="n"/>
      <c r="E412" s="51" t="n"/>
      <c r="F412" s="51" t="n"/>
      <c r="H412" s="51" t="n"/>
      <c r="I412" s="51" t="n"/>
      <c r="J412" s="52" t="n"/>
      <c r="K412" s="52" t="n"/>
    </row>
    <row r="413">
      <c r="B413" s="51" t="n"/>
      <c r="C413" s="51" t="n"/>
      <c r="D413" s="51" t="n"/>
      <c r="E413" s="51" t="n"/>
      <c r="F413" s="51" t="n"/>
      <c r="H413" s="51" t="n"/>
      <c r="I413" s="51" t="n"/>
      <c r="J413" s="52" t="n"/>
      <c r="K413" s="52" t="n"/>
    </row>
    <row r="414">
      <c r="B414" s="51" t="n"/>
      <c r="C414" s="51" t="n"/>
      <c r="D414" s="51" t="n"/>
      <c r="E414" s="51" t="n"/>
      <c r="F414" s="51" t="n"/>
      <c r="H414" s="51" t="n"/>
      <c r="I414" s="51" t="n"/>
      <c r="J414" s="52" t="n"/>
      <c r="K414" s="52" t="n"/>
    </row>
    <row r="415">
      <c r="B415" s="51" t="n"/>
      <c r="C415" s="51" t="n"/>
      <c r="D415" s="51" t="n"/>
      <c r="E415" s="51" t="n"/>
      <c r="F415" s="51" t="n"/>
      <c r="H415" s="51" t="n"/>
      <c r="I415" s="51" t="n"/>
      <c r="J415" s="52" t="n"/>
      <c r="K415" s="52" t="n"/>
    </row>
    <row r="416">
      <c r="B416" s="51" t="n"/>
      <c r="C416" s="51" t="n"/>
      <c r="D416" s="51" t="n"/>
      <c r="E416" s="51" t="n"/>
      <c r="F416" s="51" t="n"/>
      <c r="H416" s="51" t="n"/>
      <c r="I416" s="51" t="n"/>
      <c r="J416" s="52" t="n"/>
      <c r="K416" s="52" t="n"/>
    </row>
    <row r="417">
      <c r="B417" s="51" t="n"/>
      <c r="C417" s="51" t="n"/>
      <c r="D417" s="51" t="n"/>
      <c r="E417" s="51" t="n"/>
      <c r="F417" s="51" t="n"/>
      <c r="H417" s="51" t="n"/>
      <c r="I417" s="51" t="n"/>
      <c r="J417" s="52" t="n"/>
      <c r="K417" s="52" t="n"/>
    </row>
    <row r="418">
      <c r="B418" s="51" t="n"/>
      <c r="C418" s="51" t="n"/>
      <c r="D418" s="51" t="n"/>
      <c r="E418" s="51" t="n"/>
      <c r="F418" s="51" t="n"/>
      <c r="H418" s="51" t="n"/>
      <c r="I418" s="51" t="n"/>
      <c r="J418" s="52" t="n"/>
      <c r="K418" s="52" t="n"/>
    </row>
    <row r="419">
      <c r="B419" s="51" t="n"/>
      <c r="C419" s="51" t="n"/>
      <c r="D419" s="51" t="n"/>
      <c r="E419" s="51" t="n"/>
      <c r="F419" s="51" t="n"/>
      <c r="H419" s="51" t="n"/>
      <c r="I419" s="51" t="n"/>
      <c r="J419" s="52" t="n"/>
      <c r="K419" s="52" t="n"/>
    </row>
    <row r="420">
      <c r="B420" s="51" t="n"/>
      <c r="C420" s="51" t="n"/>
      <c r="D420" s="51" t="n"/>
      <c r="E420" s="51" t="n"/>
      <c r="F420" s="51" t="n"/>
      <c r="H420" s="51" t="n"/>
      <c r="I420" s="51" t="n"/>
      <c r="J420" s="52" t="n"/>
      <c r="K420" s="52" t="n"/>
    </row>
    <row r="421">
      <c r="B421" s="51" t="n"/>
      <c r="C421" s="51" t="n"/>
      <c r="D421" s="51" t="n"/>
      <c r="E421" s="51" t="n"/>
      <c r="F421" s="51" t="n"/>
      <c r="H421" s="51" t="n"/>
      <c r="I421" s="51" t="n"/>
      <c r="J421" s="52" t="n"/>
      <c r="K421" s="52" t="n"/>
    </row>
    <row r="422">
      <c r="B422" s="51" t="n"/>
      <c r="C422" s="51" t="n"/>
      <c r="D422" s="51" t="n"/>
      <c r="E422" s="51" t="n"/>
      <c r="F422" s="51" t="n"/>
      <c r="H422" s="51" t="n"/>
      <c r="I422" s="51" t="n"/>
      <c r="J422" s="52" t="n"/>
      <c r="K422" s="52" t="n"/>
    </row>
    <row r="423">
      <c r="B423" s="51" t="n"/>
      <c r="C423" s="51" t="n"/>
      <c r="D423" s="51" t="n"/>
      <c r="E423" s="51" t="n"/>
      <c r="F423" s="51" t="n"/>
      <c r="H423" s="51" t="n"/>
      <c r="I423" s="51" t="n"/>
      <c r="J423" s="52" t="n"/>
      <c r="K423" s="52" t="n"/>
    </row>
    <row r="424">
      <c r="B424" s="51" t="n"/>
      <c r="C424" s="51" t="n"/>
      <c r="D424" s="51" t="n"/>
      <c r="E424" s="51" t="n"/>
      <c r="F424" s="51" t="n"/>
      <c r="H424" s="51" t="n"/>
      <c r="I424" s="51" t="n"/>
      <c r="J424" s="52" t="n"/>
      <c r="K424" s="52" t="n"/>
    </row>
    <row r="425">
      <c r="B425" s="51" t="n"/>
      <c r="C425" s="51" t="n"/>
      <c r="D425" s="51" t="n"/>
      <c r="E425" s="51" t="n"/>
      <c r="F425" s="51" t="n"/>
      <c r="H425" s="51" t="n"/>
      <c r="I425" s="51" t="n"/>
      <c r="J425" s="52" t="n"/>
      <c r="K425" s="52" t="n"/>
    </row>
    <row r="426">
      <c r="B426" s="51" t="n"/>
      <c r="C426" s="51" t="n"/>
      <c r="D426" s="51" t="n"/>
      <c r="E426" s="51" t="n"/>
      <c r="F426" s="51" t="n"/>
      <c r="H426" s="51" t="n"/>
      <c r="I426" s="51" t="n"/>
      <c r="J426" s="52" t="n"/>
      <c r="K426" s="52" t="n"/>
    </row>
    <row r="427">
      <c r="B427" s="51" t="n"/>
      <c r="C427" s="51" t="n"/>
      <c r="D427" s="51" t="n"/>
      <c r="E427" s="51" t="n"/>
      <c r="F427" s="51" t="n"/>
      <c r="H427" s="51" t="n"/>
      <c r="I427" s="51" t="n"/>
      <c r="J427" s="52" t="n"/>
      <c r="K427" s="52" t="n"/>
    </row>
    <row r="428">
      <c r="B428" s="51" t="n"/>
      <c r="C428" s="51" t="n"/>
      <c r="D428" s="51" t="n"/>
      <c r="E428" s="51" t="n"/>
      <c r="F428" s="51" t="n"/>
      <c r="H428" s="51" t="n"/>
      <c r="I428" s="51" t="n"/>
      <c r="J428" s="52" t="n"/>
      <c r="K428" s="52" t="n"/>
    </row>
    <row r="429">
      <c r="B429" s="51" t="n"/>
      <c r="C429" s="51" t="n"/>
      <c r="D429" s="51" t="n"/>
      <c r="E429" s="51" t="n"/>
      <c r="F429" s="51" t="n"/>
      <c r="H429" s="51" t="n"/>
      <c r="I429" s="51" t="n"/>
      <c r="J429" s="52" t="n"/>
      <c r="K429" s="52" t="n"/>
    </row>
    <row r="430">
      <c r="B430" s="51" t="n"/>
      <c r="C430" s="51" t="n"/>
      <c r="D430" s="51" t="n"/>
      <c r="E430" s="51" t="n"/>
      <c r="F430" s="51" t="n"/>
      <c r="H430" s="51" t="n"/>
      <c r="I430" s="51" t="n"/>
      <c r="J430" s="52" t="n"/>
      <c r="K430" s="52" t="n"/>
    </row>
    <row r="431">
      <c r="B431" s="51" t="n"/>
      <c r="C431" s="51" t="n"/>
      <c r="D431" s="51" t="n"/>
      <c r="E431" s="51" t="n"/>
      <c r="F431" s="51" t="n"/>
      <c r="H431" s="51" t="n"/>
      <c r="I431" s="51" t="n"/>
      <c r="J431" s="52" t="n"/>
      <c r="K431" s="52" t="n"/>
    </row>
    <row r="432">
      <c r="B432" s="51" t="n"/>
      <c r="C432" s="51" t="n"/>
      <c r="D432" s="51" t="n"/>
      <c r="E432" s="51" t="n"/>
      <c r="F432" s="51" t="n"/>
      <c r="H432" s="51" t="n"/>
      <c r="I432" s="51" t="n"/>
      <c r="J432" s="52" t="n"/>
      <c r="K432" s="52" t="n"/>
    </row>
    <row r="433">
      <c r="B433" s="51" t="n"/>
      <c r="C433" s="51" t="n"/>
      <c r="D433" s="51" t="n"/>
      <c r="E433" s="51" t="n"/>
      <c r="F433" s="51" t="n"/>
      <c r="H433" s="51" t="n"/>
      <c r="I433" s="51" t="n"/>
      <c r="J433" s="52" t="n"/>
      <c r="K433" s="52" t="n"/>
    </row>
    <row r="434">
      <c r="B434" s="51" t="n"/>
      <c r="C434" s="51" t="n"/>
      <c r="D434" s="51" t="n"/>
      <c r="E434" s="51" t="n"/>
      <c r="F434" s="51" t="n"/>
      <c r="H434" s="51" t="n"/>
      <c r="I434" s="51" t="n"/>
      <c r="J434" s="52" t="n"/>
      <c r="K434" s="52" t="n"/>
    </row>
    <row r="435">
      <c r="B435" s="51" t="n"/>
      <c r="C435" s="51" t="n"/>
      <c r="D435" s="51" t="n"/>
      <c r="E435" s="51" t="n"/>
      <c r="F435" s="51" t="n"/>
      <c r="H435" s="51" t="n"/>
      <c r="I435" s="51" t="n"/>
      <c r="J435" s="52" t="n"/>
      <c r="K435" s="52" t="n"/>
    </row>
    <row r="436">
      <c r="B436" s="51" t="n"/>
      <c r="C436" s="51" t="n"/>
      <c r="D436" s="51" t="n"/>
      <c r="E436" s="51" t="n"/>
      <c r="F436" s="51" t="n"/>
      <c r="H436" s="51" t="n"/>
      <c r="I436" s="51" t="n"/>
      <c r="J436" s="52" t="n"/>
      <c r="K436" s="52" t="n"/>
    </row>
    <row r="437">
      <c r="B437" s="51" t="n"/>
      <c r="C437" s="51" t="n"/>
      <c r="D437" s="51" t="n"/>
      <c r="E437" s="51" t="n"/>
      <c r="F437" s="51" t="n"/>
      <c r="H437" s="51" t="n"/>
      <c r="I437" s="51" t="n"/>
      <c r="J437" s="52" t="n"/>
      <c r="K437" s="52" t="n"/>
    </row>
    <row r="438">
      <c r="B438" s="51" t="n"/>
      <c r="C438" s="51" t="n"/>
      <c r="D438" s="51" t="n"/>
      <c r="E438" s="51" t="n"/>
      <c r="F438" s="51" t="n"/>
      <c r="H438" s="51" t="n"/>
      <c r="I438" s="51" t="n"/>
      <c r="J438" s="52" t="n"/>
      <c r="K438" s="52" t="n"/>
    </row>
    <row r="439">
      <c r="B439" s="51" t="n"/>
      <c r="C439" s="51" t="n"/>
      <c r="D439" s="51" t="n"/>
      <c r="E439" s="51" t="n"/>
      <c r="F439" s="51" t="n"/>
      <c r="H439" s="51" t="n"/>
      <c r="I439" s="51" t="n"/>
      <c r="J439" s="52" t="n"/>
      <c r="K439" s="52" t="n"/>
    </row>
    <row r="440">
      <c r="B440" s="51" t="n"/>
      <c r="C440" s="51" t="n"/>
      <c r="D440" s="51" t="n"/>
      <c r="E440" s="51" t="n"/>
      <c r="F440" s="51" t="n"/>
      <c r="H440" s="51" t="n"/>
      <c r="I440" s="51" t="n"/>
      <c r="J440" s="52" t="n"/>
      <c r="K440" s="52" t="n"/>
    </row>
    <row r="441">
      <c r="B441" s="51" t="n"/>
      <c r="C441" s="51" t="n"/>
      <c r="D441" s="51" t="n"/>
      <c r="E441" s="51" t="n"/>
      <c r="F441" s="51" t="n"/>
      <c r="H441" s="51" t="n"/>
      <c r="I441" s="51" t="n"/>
      <c r="J441" s="52" t="n"/>
      <c r="K441" s="52" t="n"/>
    </row>
    <row r="442">
      <c r="B442" s="51" t="n"/>
      <c r="C442" s="51" t="n"/>
      <c r="D442" s="51" t="n"/>
      <c r="E442" s="51" t="n"/>
      <c r="F442" s="51" t="n"/>
      <c r="H442" s="51" t="n"/>
      <c r="I442" s="51" t="n"/>
      <c r="J442" s="52" t="n"/>
      <c r="K442" s="52" t="n"/>
    </row>
    <row r="443">
      <c r="B443" s="51" t="n"/>
      <c r="C443" s="51" t="n"/>
      <c r="D443" s="51" t="n"/>
      <c r="E443" s="51" t="n"/>
      <c r="F443" s="51" t="n"/>
      <c r="H443" s="51" t="n"/>
      <c r="I443" s="51" t="n"/>
      <c r="J443" s="52" t="n"/>
      <c r="K443" s="52" t="n"/>
    </row>
    <row r="444">
      <c r="B444" s="51" t="n"/>
      <c r="C444" s="51" t="n"/>
      <c r="D444" s="51" t="n"/>
      <c r="E444" s="51" t="n"/>
      <c r="F444" s="51" t="n"/>
      <c r="H444" s="51" t="n"/>
      <c r="I444" s="51" t="n"/>
      <c r="J444" s="52" t="n"/>
      <c r="K444" s="52" t="n"/>
    </row>
    <row r="445">
      <c r="B445" s="51" t="n"/>
      <c r="C445" s="51" t="n"/>
      <c r="D445" s="51" t="n"/>
      <c r="E445" s="51" t="n"/>
      <c r="F445" s="51" t="n"/>
      <c r="H445" s="51" t="n"/>
      <c r="I445" s="51" t="n"/>
      <c r="J445" s="52" t="n"/>
      <c r="K445" s="52" t="n"/>
    </row>
    <row r="446">
      <c r="B446" s="51" t="n"/>
      <c r="C446" s="51" t="n"/>
      <c r="D446" s="51" t="n"/>
      <c r="E446" s="51" t="n"/>
      <c r="F446" s="51" t="n"/>
      <c r="H446" s="51" t="n"/>
      <c r="I446" s="51" t="n"/>
      <c r="J446" s="52" t="n"/>
      <c r="K446" s="52" t="n"/>
    </row>
    <row r="447">
      <c r="B447" s="51" t="n"/>
      <c r="C447" s="51" t="n"/>
      <c r="D447" s="51" t="n"/>
      <c r="E447" s="51" t="n"/>
      <c r="F447" s="51" t="n"/>
      <c r="H447" s="51" t="n"/>
      <c r="I447" s="51" t="n"/>
      <c r="J447" s="52" t="n"/>
      <c r="K447" s="52" t="n"/>
    </row>
    <row r="448">
      <c r="B448" s="51" t="n"/>
      <c r="C448" s="51" t="n"/>
      <c r="D448" s="51" t="n"/>
      <c r="E448" s="51" t="n"/>
      <c r="F448" s="51" t="n"/>
      <c r="H448" s="51" t="n"/>
      <c r="I448" s="51" t="n"/>
      <c r="J448" s="52" t="n"/>
      <c r="K448" s="52" t="n"/>
    </row>
    <row r="449">
      <c r="B449" s="51" t="n"/>
      <c r="C449" s="51" t="n"/>
      <c r="D449" s="51" t="n"/>
      <c r="E449" s="51" t="n"/>
      <c r="F449" s="51" t="n"/>
      <c r="H449" s="51" t="n"/>
      <c r="I449" s="51" t="n"/>
      <c r="J449" s="52" t="n"/>
      <c r="K449" s="52" t="n"/>
    </row>
    <row r="450">
      <c r="B450" s="51" t="n"/>
      <c r="C450" s="51" t="n"/>
      <c r="D450" s="51" t="n"/>
      <c r="E450" s="51" t="n"/>
      <c r="F450" s="51" t="n"/>
      <c r="H450" s="51" t="n"/>
      <c r="I450" s="51" t="n"/>
      <c r="J450" s="52" t="n"/>
      <c r="K450" s="52" t="n"/>
    </row>
    <row r="451">
      <c r="B451" s="51" t="n"/>
      <c r="C451" s="51" t="n"/>
      <c r="D451" s="51" t="n"/>
      <c r="E451" s="51" t="n"/>
      <c r="F451" s="51" t="n"/>
      <c r="H451" s="51" t="n"/>
      <c r="I451" s="51" t="n"/>
      <c r="J451" s="52" t="n"/>
      <c r="K451" s="52" t="n"/>
    </row>
    <row r="452">
      <c r="B452" s="51" t="n"/>
      <c r="C452" s="51" t="n"/>
      <c r="D452" s="51" t="n"/>
      <c r="E452" s="51" t="n"/>
      <c r="F452" s="51" t="n"/>
      <c r="H452" s="51" t="n"/>
      <c r="I452" s="51" t="n"/>
      <c r="J452" s="52" t="n"/>
      <c r="K452" s="52" t="n"/>
    </row>
    <row r="453">
      <c r="B453" s="51" t="n"/>
      <c r="C453" s="51" t="n"/>
      <c r="D453" s="51" t="n"/>
      <c r="E453" s="51" t="n"/>
      <c r="F453" s="51" t="n"/>
      <c r="H453" s="51" t="n"/>
      <c r="I453" s="51" t="n"/>
      <c r="J453" s="52" t="n"/>
      <c r="K453" s="52" t="n"/>
    </row>
    <row r="454">
      <c r="B454" s="51" t="n"/>
      <c r="C454" s="51" t="n"/>
      <c r="D454" s="51" t="n"/>
      <c r="E454" s="51" t="n"/>
      <c r="F454" s="51" t="n"/>
      <c r="H454" s="51" t="n"/>
      <c r="I454" s="51" t="n"/>
      <c r="J454" s="52" t="n"/>
      <c r="K454" s="52" t="n"/>
    </row>
    <row r="455">
      <c r="B455" s="51" t="n"/>
      <c r="C455" s="51" t="n"/>
      <c r="D455" s="51" t="n"/>
      <c r="E455" s="51" t="n"/>
      <c r="F455" s="51" t="n"/>
      <c r="H455" s="51" t="n"/>
      <c r="I455" s="51" t="n"/>
      <c r="J455" s="52" t="n"/>
      <c r="K455" s="52" t="n"/>
    </row>
    <row r="456">
      <c r="B456" s="51" t="n"/>
      <c r="C456" s="51" t="n"/>
      <c r="D456" s="51" t="n"/>
      <c r="E456" s="51" t="n"/>
      <c r="F456" s="51" t="n"/>
      <c r="H456" s="51" t="n"/>
      <c r="I456" s="51" t="n"/>
      <c r="J456" s="52" t="n"/>
      <c r="K456" s="52" t="n"/>
    </row>
    <row r="457">
      <c r="B457" s="51" t="n"/>
      <c r="C457" s="51" t="n"/>
      <c r="D457" s="51" t="n"/>
      <c r="E457" s="51" t="n"/>
      <c r="F457" s="51" t="n"/>
      <c r="H457" s="51" t="n"/>
      <c r="I457" s="51" t="n"/>
      <c r="J457" s="52" t="n"/>
      <c r="K457" s="52" t="n"/>
    </row>
    <row r="458">
      <c r="B458" s="51" t="n"/>
      <c r="C458" s="51" t="n"/>
      <c r="D458" s="51" t="n"/>
      <c r="E458" s="51" t="n"/>
      <c r="F458" s="51" t="n"/>
      <c r="H458" s="51" t="n"/>
      <c r="I458" s="51" t="n"/>
      <c r="J458" s="52" t="n"/>
      <c r="K458" s="52" t="n"/>
    </row>
    <row r="459">
      <c r="B459" s="51" t="n"/>
      <c r="C459" s="51" t="n"/>
      <c r="D459" s="51" t="n"/>
      <c r="E459" s="51" t="n"/>
      <c r="F459" s="51" t="n"/>
      <c r="H459" s="51" t="n"/>
      <c r="I459" s="51" t="n"/>
      <c r="J459" s="52" t="n"/>
      <c r="K459" s="52" t="n"/>
    </row>
    <row r="460">
      <c r="B460" s="51" t="n"/>
      <c r="C460" s="51" t="n"/>
      <c r="D460" s="51" t="n"/>
      <c r="E460" s="51" t="n"/>
      <c r="F460" s="51" t="n"/>
      <c r="H460" s="51" t="n"/>
      <c r="I460" s="51" t="n"/>
      <c r="J460" s="52" t="n"/>
      <c r="K460" s="52" t="n"/>
    </row>
    <row r="461">
      <c r="B461" s="51" t="n"/>
      <c r="C461" s="51" t="n"/>
      <c r="D461" s="51" t="n"/>
      <c r="E461" s="51" t="n"/>
      <c r="F461" s="51" t="n"/>
      <c r="H461" s="51" t="n"/>
      <c r="I461" s="51" t="n"/>
      <c r="J461" s="52" t="n"/>
      <c r="K461" s="52" t="n"/>
    </row>
    <row r="462">
      <c r="B462" s="51" t="n"/>
      <c r="C462" s="51" t="n"/>
      <c r="D462" s="51" t="n"/>
      <c r="E462" s="51" t="n"/>
      <c r="F462" s="51" t="n"/>
      <c r="H462" s="51" t="n"/>
      <c r="I462" s="51" t="n"/>
      <c r="J462" s="52" t="n"/>
      <c r="K462" s="52" t="n"/>
    </row>
    <row r="463">
      <c r="B463" s="51" t="n"/>
      <c r="C463" s="51" t="n"/>
      <c r="D463" s="51" t="n"/>
      <c r="E463" s="51" t="n"/>
      <c r="F463" s="51" t="n"/>
      <c r="H463" s="51" t="n"/>
      <c r="I463" s="51" t="n"/>
      <c r="J463" s="52" t="n"/>
      <c r="K463" s="52" t="n"/>
    </row>
    <row r="464">
      <c r="B464" s="51" t="n"/>
      <c r="C464" s="51" t="n"/>
      <c r="D464" s="51" t="n"/>
      <c r="E464" s="51" t="n"/>
      <c r="F464" s="51" t="n"/>
      <c r="H464" s="51" t="n"/>
      <c r="I464" s="51" t="n"/>
      <c r="J464" s="52" t="n"/>
      <c r="K464" s="52" t="n"/>
    </row>
    <row r="465">
      <c r="B465" s="51" t="n"/>
      <c r="C465" s="51" t="n"/>
      <c r="D465" s="51" t="n"/>
      <c r="E465" s="51" t="n"/>
      <c r="F465" s="51" t="n"/>
      <c r="H465" s="51" t="n"/>
      <c r="I465" s="51" t="n"/>
      <c r="J465" s="52" t="n"/>
      <c r="K465" s="52" t="n"/>
    </row>
    <row r="466">
      <c r="B466" s="51" t="n"/>
      <c r="C466" s="51" t="n"/>
      <c r="D466" s="51" t="n"/>
      <c r="E466" s="51" t="n"/>
      <c r="F466" s="51" t="n"/>
      <c r="H466" s="51" t="n"/>
      <c r="I466" s="51" t="n"/>
      <c r="J466" s="52" t="n"/>
      <c r="K466" s="52" t="n"/>
    </row>
    <row r="467">
      <c r="B467" s="51" t="n"/>
      <c r="C467" s="51" t="n"/>
      <c r="D467" s="51" t="n"/>
      <c r="E467" s="51" t="n"/>
      <c r="F467" s="51" t="n"/>
      <c r="H467" s="51" t="n"/>
      <c r="I467" s="51" t="n"/>
      <c r="J467" s="52" t="n"/>
      <c r="K467" s="52" t="n"/>
    </row>
    <row r="468">
      <c r="B468" s="51" t="n"/>
      <c r="C468" s="51" t="n"/>
      <c r="D468" s="51" t="n"/>
      <c r="E468" s="51" t="n"/>
      <c r="F468" s="51" t="n"/>
      <c r="H468" s="51" t="n"/>
      <c r="I468" s="51" t="n"/>
      <c r="J468" s="52" t="n"/>
      <c r="K468" s="52" t="n"/>
    </row>
    <row r="469">
      <c r="B469" s="51" t="n"/>
      <c r="C469" s="51" t="n"/>
      <c r="D469" s="51" t="n"/>
      <c r="E469" s="51" t="n"/>
      <c r="F469" s="51" t="n"/>
      <c r="H469" s="51" t="n"/>
      <c r="I469" s="51" t="n"/>
      <c r="J469" s="52" t="n"/>
      <c r="K469" s="52" t="n"/>
    </row>
    <row r="470">
      <c r="B470" s="51" t="n"/>
      <c r="C470" s="51" t="n"/>
      <c r="D470" s="51" t="n"/>
      <c r="E470" s="51" t="n"/>
      <c r="F470" s="51" t="n"/>
      <c r="H470" s="51" t="n"/>
      <c r="I470" s="51" t="n"/>
      <c r="J470" s="52" t="n"/>
      <c r="K470" s="52" t="n"/>
    </row>
    <row r="471">
      <c r="B471" s="51" t="n"/>
      <c r="C471" s="51" t="n"/>
      <c r="D471" s="51" t="n"/>
      <c r="E471" s="51" t="n"/>
      <c r="F471" s="51" t="n"/>
      <c r="H471" s="51" t="n"/>
      <c r="I471" s="51" t="n"/>
      <c r="J471" s="52" t="n"/>
      <c r="K471" s="52" t="n"/>
    </row>
    <row r="472">
      <c r="B472" s="51" t="n"/>
      <c r="C472" s="51" t="n"/>
      <c r="D472" s="51" t="n"/>
      <c r="E472" s="51" t="n"/>
      <c r="F472" s="51" t="n"/>
      <c r="H472" s="51" t="n"/>
      <c r="I472" s="51" t="n"/>
      <c r="J472" s="52" t="n"/>
      <c r="K472" s="52" t="n"/>
    </row>
    <row r="473">
      <c r="B473" s="51" t="n"/>
      <c r="C473" s="51" t="n"/>
      <c r="D473" s="51" t="n"/>
      <c r="E473" s="51" t="n"/>
      <c r="F473" s="51" t="n"/>
      <c r="H473" s="51" t="n"/>
      <c r="I473" s="51" t="n"/>
      <c r="J473" s="52" t="n"/>
      <c r="K473" s="52" t="n"/>
    </row>
    <row r="474">
      <c r="B474" s="51" t="n"/>
      <c r="C474" s="51" t="n"/>
      <c r="D474" s="51" t="n"/>
      <c r="E474" s="51" t="n"/>
      <c r="F474" s="51" t="n"/>
      <c r="H474" s="51" t="n"/>
      <c r="I474" s="51" t="n"/>
      <c r="J474" s="52" t="n"/>
      <c r="K474" s="52" t="n"/>
    </row>
    <row r="475">
      <c r="B475" s="51" t="n"/>
      <c r="C475" s="51" t="n"/>
      <c r="D475" s="51" t="n"/>
      <c r="E475" s="51" t="n"/>
      <c r="F475" s="51" t="n"/>
      <c r="H475" s="51" t="n"/>
      <c r="I475" s="51" t="n"/>
      <c r="J475" s="52" t="n"/>
      <c r="K475" s="52" t="n"/>
    </row>
    <row r="476">
      <c r="B476" s="51" t="n"/>
      <c r="C476" s="51" t="n"/>
      <c r="D476" s="51" t="n"/>
      <c r="E476" s="51" t="n"/>
      <c r="F476" s="51" t="n"/>
      <c r="H476" s="51" t="n"/>
      <c r="I476" s="51" t="n"/>
      <c r="J476" s="52" t="n"/>
      <c r="K476" s="52" t="n"/>
    </row>
    <row r="477">
      <c r="B477" s="51" t="n"/>
      <c r="C477" s="51" t="n"/>
      <c r="D477" s="51" t="n"/>
      <c r="E477" s="51" t="n"/>
      <c r="F477" s="51" t="n"/>
      <c r="H477" s="51" t="n"/>
      <c r="I477" s="51" t="n"/>
      <c r="J477" s="52" t="n"/>
      <c r="K477" s="52" t="n"/>
    </row>
    <row r="478">
      <c r="B478" s="51" t="n"/>
      <c r="C478" s="51" t="n"/>
      <c r="D478" s="51" t="n"/>
      <c r="E478" s="51" t="n"/>
      <c r="F478" s="51" t="n"/>
      <c r="H478" s="51" t="n"/>
      <c r="I478" s="51" t="n"/>
      <c r="J478" s="52" t="n"/>
      <c r="K478" s="52" t="n"/>
    </row>
    <row r="479">
      <c r="B479" s="51" t="n"/>
      <c r="C479" s="51" t="n"/>
      <c r="D479" s="51" t="n"/>
      <c r="E479" s="51" t="n"/>
      <c r="F479" s="51" t="n"/>
      <c r="H479" s="51" t="n"/>
      <c r="I479" s="51" t="n"/>
      <c r="J479" s="52" t="n"/>
      <c r="K479" s="52" t="n"/>
    </row>
    <row r="480">
      <c r="B480" s="51" t="n"/>
      <c r="C480" s="51" t="n"/>
      <c r="D480" s="51" t="n"/>
      <c r="E480" s="51" t="n"/>
      <c r="F480" s="51" t="n"/>
      <c r="H480" s="51" t="n"/>
      <c r="I480" s="51" t="n"/>
      <c r="J480" s="52" t="n"/>
      <c r="K480" s="52" t="n"/>
    </row>
    <row r="481">
      <c r="B481" s="51" t="n"/>
      <c r="C481" s="51" t="n"/>
      <c r="D481" s="51" t="n"/>
      <c r="E481" s="51" t="n"/>
      <c r="F481" s="51" t="n"/>
      <c r="H481" s="51" t="n"/>
      <c r="I481" s="51" t="n"/>
      <c r="J481" s="52" t="n"/>
      <c r="K481" s="52" t="n"/>
    </row>
    <row r="482">
      <c r="B482" s="51" t="n"/>
      <c r="C482" s="51" t="n"/>
      <c r="D482" s="51" t="n"/>
      <c r="E482" s="51" t="n"/>
      <c r="F482" s="51" t="n"/>
      <c r="H482" s="51" t="n"/>
      <c r="I482" s="51" t="n"/>
      <c r="J482" s="52" t="n"/>
      <c r="K482" s="52" t="n"/>
    </row>
    <row r="483">
      <c r="B483" s="51" t="n"/>
      <c r="C483" s="51" t="n"/>
      <c r="D483" s="51" t="n"/>
      <c r="E483" s="51" t="n"/>
      <c r="F483" s="51" t="n"/>
      <c r="H483" s="51" t="n"/>
      <c r="I483" s="51" t="n"/>
      <c r="J483" s="52" t="n"/>
      <c r="K483" s="52" t="n"/>
    </row>
    <row r="484">
      <c r="B484" s="51" t="n"/>
      <c r="C484" s="51" t="n"/>
      <c r="D484" s="51" t="n"/>
      <c r="E484" s="51" t="n"/>
      <c r="F484" s="51" t="n"/>
      <c r="H484" s="51" t="n"/>
      <c r="I484" s="51" t="n"/>
      <c r="J484" s="52" t="n"/>
      <c r="K484" s="52" t="n"/>
    </row>
    <row r="485">
      <c r="B485" s="51" t="n"/>
      <c r="C485" s="51" t="n"/>
      <c r="D485" s="51" t="n"/>
      <c r="E485" s="51" t="n"/>
      <c r="F485" s="51" t="n"/>
      <c r="H485" s="51" t="n"/>
      <c r="I485" s="51" t="n"/>
      <c r="J485" s="52" t="n"/>
      <c r="K485" s="52" t="n"/>
    </row>
    <row r="486">
      <c r="B486" s="51" t="n"/>
      <c r="C486" s="51" t="n"/>
      <c r="D486" s="51" t="n"/>
      <c r="E486" s="51" t="n"/>
      <c r="F486" s="51" t="n"/>
      <c r="H486" s="51" t="n"/>
      <c r="I486" s="51" t="n"/>
      <c r="J486" s="52" t="n"/>
      <c r="K486" s="52" t="n"/>
    </row>
    <row r="487">
      <c r="B487" s="51" t="n"/>
      <c r="C487" s="51" t="n"/>
      <c r="D487" s="51" t="n"/>
      <c r="E487" s="51" t="n"/>
      <c r="F487" s="51" t="n"/>
      <c r="H487" s="51" t="n"/>
      <c r="I487" s="51" t="n"/>
      <c r="J487" s="52" t="n"/>
      <c r="K487" s="52" t="n"/>
    </row>
    <row r="488">
      <c r="B488" s="51" t="n"/>
      <c r="C488" s="51" t="n"/>
      <c r="D488" s="51" t="n"/>
      <c r="E488" s="51" t="n"/>
      <c r="F488" s="51" t="n"/>
      <c r="H488" s="51" t="n"/>
      <c r="I488" s="51" t="n"/>
      <c r="J488" s="52" t="n"/>
      <c r="K488" s="52" t="n"/>
    </row>
    <row r="489">
      <c r="B489" s="51" t="n"/>
      <c r="C489" s="51" t="n"/>
      <c r="D489" s="51" t="n"/>
      <c r="E489" s="51" t="n"/>
      <c r="F489" s="51" t="n"/>
      <c r="H489" s="51" t="n"/>
      <c r="I489" s="51" t="n"/>
      <c r="J489" s="52" t="n"/>
      <c r="K489" s="52" t="n"/>
    </row>
    <row r="490">
      <c r="B490" s="51" t="n"/>
      <c r="C490" s="51" t="n"/>
      <c r="D490" s="51" t="n"/>
      <c r="E490" s="51" t="n"/>
      <c r="F490" s="51" t="n"/>
      <c r="H490" s="51" t="n"/>
      <c r="I490" s="51" t="n"/>
      <c r="J490" s="52" t="n"/>
      <c r="K490" s="52" t="n"/>
    </row>
    <row r="491">
      <c r="B491" s="51" t="n"/>
      <c r="C491" s="51" t="n"/>
      <c r="D491" s="51" t="n"/>
      <c r="E491" s="51" t="n"/>
      <c r="F491" s="51" t="n"/>
      <c r="H491" s="51" t="n"/>
      <c r="I491" s="51" t="n"/>
      <c r="J491" s="52" t="n"/>
      <c r="K491" s="52" t="n"/>
    </row>
    <row r="492">
      <c r="B492" s="51" t="n"/>
      <c r="C492" s="51" t="n"/>
      <c r="D492" s="51" t="n"/>
      <c r="E492" s="51" t="n"/>
      <c r="F492" s="51" t="n"/>
      <c r="H492" s="51" t="n"/>
      <c r="I492" s="51" t="n"/>
      <c r="J492" s="52" t="n"/>
      <c r="K492" s="52" t="n"/>
    </row>
    <row r="493">
      <c r="B493" s="51" t="n"/>
      <c r="C493" s="51" t="n"/>
      <c r="D493" s="51" t="n"/>
      <c r="E493" s="51" t="n"/>
      <c r="F493" s="51" t="n"/>
      <c r="H493" s="51" t="n"/>
      <c r="I493" s="51" t="n"/>
      <c r="J493" s="52" t="n"/>
      <c r="K493" s="52" t="n"/>
    </row>
    <row r="494">
      <c r="B494" s="51" t="n"/>
      <c r="C494" s="51" t="n"/>
      <c r="D494" s="51" t="n"/>
      <c r="E494" s="51" t="n"/>
      <c r="F494" s="51" t="n"/>
      <c r="H494" s="51" t="n"/>
      <c r="I494" s="51" t="n"/>
      <c r="J494" s="52" t="n"/>
      <c r="K494" s="52" t="n"/>
    </row>
    <row r="495">
      <c r="B495" s="51" t="n"/>
      <c r="C495" s="51" t="n"/>
      <c r="D495" s="51" t="n"/>
      <c r="E495" s="51" t="n"/>
      <c r="F495" s="51" t="n"/>
      <c r="H495" s="51" t="n"/>
      <c r="I495" s="51" t="n"/>
      <c r="J495" s="52" t="n"/>
      <c r="K495" s="52" t="n"/>
    </row>
    <row r="496">
      <c r="B496" s="51" t="n"/>
      <c r="C496" s="51" t="n"/>
      <c r="D496" s="51" t="n"/>
      <c r="E496" s="51" t="n"/>
      <c r="F496" s="51" t="n"/>
      <c r="H496" s="51" t="n"/>
      <c r="I496" s="51" t="n"/>
      <c r="J496" s="52" t="n"/>
      <c r="K496" s="52" t="n"/>
    </row>
    <row r="497">
      <c r="B497" s="51" t="n"/>
      <c r="C497" s="51" t="n"/>
      <c r="D497" s="51" t="n"/>
      <c r="E497" s="51" t="n"/>
      <c r="F497" s="51" t="n"/>
      <c r="H497" s="51" t="n"/>
      <c r="I497" s="51" t="n"/>
      <c r="J497" s="52" t="n"/>
      <c r="K497" s="52" t="n"/>
    </row>
    <row r="498">
      <c r="B498" s="51" t="n"/>
      <c r="C498" s="51" t="n"/>
      <c r="D498" s="51" t="n"/>
      <c r="E498" s="51" t="n"/>
      <c r="F498" s="51" t="n"/>
      <c r="H498" s="51" t="n"/>
      <c r="I498" s="51" t="n"/>
      <c r="J498" s="52" t="n"/>
      <c r="K498" s="52" t="n"/>
    </row>
    <row r="499">
      <c r="B499" s="51" t="n"/>
      <c r="C499" s="51" t="n"/>
      <c r="D499" s="51" t="n"/>
      <c r="E499" s="51" t="n"/>
      <c r="F499" s="51" t="n"/>
      <c r="H499" s="51" t="n"/>
      <c r="I499" s="51" t="n"/>
      <c r="J499" s="52" t="n"/>
      <c r="K499" s="52" t="n"/>
    </row>
    <row r="500">
      <c r="B500" s="51" t="n"/>
      <c r="C500" s="51" t="n"/>
      <c r="D500" s="51" t="n"/>
      <c r="E500" s="51" t="n"/>
      <c r="F500" s="51" t="n"/>
      <c r="H500" s="51" t="n"/>
      <c r="I500" s="51" t="n"/>
      <c r="J500" s="52" t="n"/>
      <c r="K500" s="52" t="n"/>
    </row>
    <row r="501">
      <c r="B501" s="51" t="n"/>
      <c r="C501" s="51" t="n"/>
      <c r="D501" s="51" t="n"/>
      <c r="E501" s="51" t="n"/>
      <c r="F501" s="51" t="n"/>
      <c r="H501" s="51" t="n"/>
      <c r="I501" s="51" t="n"/>
      <c r="J501" s="52" t="n"/>
      <c r="K501" s="52" t="n"/>
    </row>
    <row r="502">
      <c r="B502" s="51" t="n"/>
      <c r="C502" s="51" t="n"/>
      <c r="D502" s="51" t="n"/>
      <c r="E502" s="51" t="n"/>
      <c r="F502" s="51" t="n"/>
      <c r="H502" s="51" t="n"/>
      <c r="I502" s="51" t="n"/>
      <c r="J502" s="52" t="n"/>
      <c r="K502" s="52" t="n"/>
    </row>
    <row r="503">
      <c r="B503" s="51" t="n"/>
      <c r="C503" s="51" t="n"/>
      <c r="D503" s="51" t="n"/>
      <c r="E503" s="51" t="n"/>
      <c r="F503" s="51" t="n"/>
      <c r="H503" s="51" t="n"/>
      <c r="I503" s="51" t="n"/>
      <c r="J503" s="52" t="n"/>
      <c r="K503" s="52" t="n"/>
    </row>
    <row r="504">
      <c r="B504" s="51" t="n"/>
      <c r="C504" s="51" t="n"/>
      <c r="D504" s="51" t="n"/>
      <c r="E504" s="51" t="n"/>
      <c r="F504" s="51" t="n"/>
      <c r="H504" s="51" t="n"/>
      <c r="I504" s="51" t="n"/>
      <c r="J504" s="52" t="n"/>
      <c r="K504" s="52" t="n"/>
    </row>
    <row r="505">
      <c r="B505" s="51" t="n"/>
      <c r="C505" s="51" t="n"/>
      <c r="D505" s="51" t="n"/>
      <c r="E505" s="51" t="n"/>
      <c r="F505" s="51" t="n"/>
      <c r="H505" s="51" t="n"/>
      <c r="I505" s="51" t="n"/>
      <c r="J505" s="52" t="n"/>
      <c r="K505" s="52" t="n"/>
    </row>
    <row r="506">
      <c r="B506" s="51" t="n"/>
      <c r="C506" s="51" t="n"/>
      <c r="D506" s="51" t="n"/>
      <c r="E506" s="51" t="n"/>
      <c r="F506" s="51" t="n"/>
      <c r="H506" s="51" t="n"/>
      <c r="I506" s="51" t="n"/>
      <c r="J506" s="52" t="n"/>
      <c r="K506" s="52" t="n"/>
    </row>
    <row r="507">
      <c r="B507" s="51" t="n"/>
      <c r="C507" s="51" t="n"/>
      <c r="D507" s="51" t="n"/>
      <c r="E507" s="51" t="n"/>
      <c r="F507" s="51" t="n"/>
      <c r="H507" s="51" t="n"/>
      <c r="I507" s="51" t="n"/>
      <c r="J507" s="52" t="n"/>
      <c r="K507" s="52" t="n"/>
    </row>
    <row r="508">
      <c r="B508" s="51" t="n"/>
      <c r="C508" s="51" t="n"/>
      <c r="D508" s="51" t="n"/>
      <c r="E508" s="51" t="n"/>
      <c r="F508" s="51" t="n"/>
      <c r="H508" s="51" t="n"/>
      <c r="I508" s="51" t="n"/>
      <c r="J508" s="52" t="n"/>
      <c r="K508" s="52" t="n"/>
    </row>
    <row r="509">
      <c r="B509" s="51" t="n"/>
      <c r="C509" s="51" t="n"/>
      <c r="D509" s="51" t="n"/>
      <c r="E509" s="51" t="n"/>
      <c r="F509" s="51" t="n"/>
      <c r="H509" s="51" t="n"/>
      <c r="I509" s="51" t="n"/>
      <c r="J509" s="52" t="n"/>
      <c r="K509" s="52" t="n"/>
    </row>
    <row r="510">
      <c r="B510" s="51" t="n"/>
      <c r="C510" s="51" t="n"/>
      <c r="D510" s="51" t="n"/>
      <c r="E510" s="51" t="n"/>
      <c r="F510" s="51" t="n"/>
      <c r="H510" s="51" t="n"/>
      <c r="I510" s="51" t="n"/>
      <c r="J510" s="52" t="n"/>
      <c r="K510" s="52" t="n"/>
    </row>
    <row r="511">
      <c r="B511" s="51" t="n"/>
      <c r="C511" s="51" t="n"/>
      <c r="D511" s="51" t="n"/>
      <c r="E511" s="51" t="n"/>
      <c r="F511" s="51" t="n"/>
      <c r="H511" s="51" t="n"/>
      <c r="I511" s="51" t="n"/>
      <c r="J511" s="52" t="n"/>
      <c r="K511" s="52" t="n"/>
    </row>
    <row r="512">
      <c r="B512" s="51" t="n"/>
      <c r="C512" s="51" t="n"/>
      <c r="D512" s="51" t="n"/>
      <c r="E512" s="51" t="n"/>
      <c r="F512" s="51" t="n"/>
      <c r="H512" s="51" t="n"/>
      <c r="I512" s="51" t="n"/>
      <c r="J512" s="52" t="n"/>
      <c r="K512" s="52" t="n"/>
    </row>
    <row r="513">
      <c r="B513" s="51" t="n"/>
      <c r="C513" s="51" t="n"/>
      <c r="D513" s="51" t="n"/>
      <c r="E513" s="51" t="n"/>
      <c r="F513" s="51" t="n"/>
      <c r="H513" s="51" t="n"/>
      <c r="I513" s="51" t="n"/>
      <c r="J513" s="52" t="n"/>
      <c r="K513" s="52" t="n"/>
    </row>
    <row r="514">
      <c r="B514" s="51" t="n"/>
      <c r="C514" s="51" t="n"/>
      <c r="D514" s="51" t="n"/>
      <c r="E514" s="51" t="n"/>
      <c r="F514" s="51" t="n"/>
      <c r="H514" s="51" t="n"/>
      <c r="I514" s="51" t="n"/>
      <c r="J514" s="52" t="n"/>
      <c r="K514" s="52" t="n"/>
    </row>
    <row r="515">
      <c r="B515" s="51" t="n"/>
      <c r="C515" s="51" t="n"/>
      <c r="D515" s="51" t="n"/>
      <c r="E515" s="51" t="n"/>
      <c r="F515" s="51" t="n"/>
      <c r="H515" s="51" t="n"/>
      <c r="I515" s="51" t="n"/>
      <c r="J515" s="52" t="n"/>
      <c r="K515" s="52" t="n"/>
    </row>
    <row r="516">
      <c r="B516" s="51" t="n"/>
      <c r="C516" s="51" t="n"/>
      <c r="D516" s="51" t="n"/>
      <c r="E516" s="51" t="n"/>
      <c r="F516" s="51" t="n"/>
      <c r="H516" s="51" t="n"/>
      <c r="I516" s="51" t="n"/>
      <c r="J516" s="52" t="n"/>
      <c r="K516" s="52" t="n"/>
    </row>
    <row r="517">
      <c r="B517" s="51" t="n"/>
      <c r="C517" s="51" t="n"/>
      <c r="D517" s="51" t="n"/>
      <c r="E517" s="51" t="n"/>
      <c r="F517" s="51" t="n"/>
      <c r="H517" s="51" t="n"/>
      <c r="I517" s="51" t="n"/>
      <c r="J517" s="52" t="n"/>
      <c r="K517" s="52"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G17:G517">
    <cfRule type="expression" priority="5" dxfId="6">
      <formula>AND(LEN($B17&amp;$C17&amp;$D17&amp;$E17&amp;$F17&amp;$G17&amp;$H17&amp;$I17&amp;$J17&amp;$K17)&gt;0,G17="")</formula>
    </cfRule>
  </conditionalFormatting>
  <conditionalFormatting sqref="H17:H517">
    <cfRule type="expression" priority="6" dxfId="6">
      <formula>AND(LEN($B17&amp;$C17&amp;$D17&amp;$E17&amp;$F17&amp;$G17&amp;$H17&amp;$I17&amp;$J17&amp;$K17)&gt;0,H17="")</formula>
    </cfRule>
  </conditionalFormatting>
  <conditionalFormatting sqref="J17:J517">
    <cfRule type="expression" priority="7" dxfId="6">
      <formula>AND(LEN($B17&amp;$C17&amp;$D17&amp;$E17&amp;$F17&amp;$G17&amp;$H17&amp;$I17&amp;$J17&amp;$K17)&gt;0,J17="")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x code" error="At most 20 characters." promptTitle="Tax code" prompt="Yes. Code of the tax Allowed: Free entry, up to 20 characters" type="textLength" operator="lessThanOrEqual">
      <formula1>20</formula1>
    </dataValidation>
    <dataValidation sqref="C17:C517" showDropDown="0" showInputMessage="1" showErrorMessage="0" allowBlank="1" promptTitle="Name" prompt="Yes. Name shown on screens"/>
    <dataValidation sqref="D17:D517" showDropDown="0" showInputMessage="1" showErrorMessage="1" allowBlank="1" errorTitle="Tax type" error="Choose a value of the list Tax type (sheet Reference lists)." promptTitle="Tax type" prompt="Yes. Kind of tax Allowed: EWT, FWT, VAT, PT (list Tax type)" type="list" errorStyle="stop">
      <formula1>=LIST_TAX_TYPE</formula1>
    </dataValidation>
    <dataValidation sqref="E17:E517" showDropDown="0" showInputMessage="1" showErrorMessage="0" allowBlank="1" promptTitle="ATC" prompt="Conditional: withholding. Alphanumeric tax code"/>
    <dataValidation sqref="F17:F517" showDropDown="0" showInputMessage="1" showErrorMessage="1" allowBlank="1" errorTitle="Payee class" error="The value is not in the list Payee class (sheet Reference lists). Keep it only for a new value you also add to its template." promptTitle="Payee class" prompt="No. Payees it applies to Allowed: SUPPLIER, INSURER, EMPLOYEE, CLIENT, GOVERNMENT, OTHER (list Payee class)" type="list" errorStyle="warning">
      <formula1>=LIST_PAYEE_CLASS</formula1>
    </dataValidation>
    <dataValidation sqref="G17:G517" showDropDown="0" showInputMessage="1" showErrorMessage="1" allowBlank="1" errorTitle="Rate %" error="Enter a number from 0 to 100." promptTitle="Rate %" prompt="Yes. Rate of the tax Allowed: A number from 0 to 100" type="decimal" operator="between">
      <formula1>0</formula1>
      <formula2>100</formula2>
    </dataValidation>
    <dataValidation sqref="H17:H517" showDropDown="0" showInputMessage="1" showErrorMessage="1" allowBlank="1" errorTitle="GL account" error="The code is not in D0-06, column Account Code. Enter it there first, or keep it if it is a code BIBS already holds." promptTitle="GL account" prompt="Yes. Account of the tax Allowed: A code of D0-06 Chart of accounts, column Account Code" type="list" errorStyle="warning">
      <formula1>=CODES_D0_06_ACCOUNT_CODE</formula1>
    </dataValidation>
    <dataValidation sqref="I17:I517" showDropDown="0" showInputMessage="1" showErrorMessage="0" allowBlank="1" promptTitle="Income nature" prompt="No. Nature of the income payment"/>
    <dataValidation sqref="J17:J517" showDropDown="0" showInputMessage="1" showErrorMessage="1" allowBlank="1" errorTitle="Effective from" error="Enter a date, for example 15-Jan-2028." promptTitle="Effective from" prompt="Yes. First date of the rate Allowed: A date, for example 15-Jan-2028" type="date" operator="greaterThan">
      <formula1>DATE(1900,1,1)</formula1>
    </dataValidation>
    <dataValidation sqref="K17:K517" showDropDown="0" showInputMessage="1" showErrorMessage="1" allowBlank="1" errorTitle="Effective to" error="Enter a date, for example 15-Jan-2028." promptTitle="Effective to" prompt="No. Last date of the rate Allowed: A date, for example 15-Jan-2028" type="date" operator="greaterThan">
      <formula1>DATE(1900,1,1)</formula1>
    </dataValidation>
  </dataValidations>
  <hyperlinks>
    <hyperlink ref="A2" location="'Start here'!A1"/>
    <hyperlink ref="K2" location="'Questions and comments'!A1"/>
    <hyperlink ref="B8" location="'D0-06 Chart of accounts'!A1"/>
    <hyperlink ref="D14" location="'Reference lists'!A306"/>
    <hyperlink ref="F14" location="'Reference lists'!A310"/>
    <hyperlink ref="H14" location="'D0-06 Chart of account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8" customWidth="1" min="3" max="3"/>
    <col width="25" customWidth="1" min="4" max="4"/>
    <col width="16" customWidth="1" min="5" max="5"/>
    <col width="14" customWidth="1" min="6" max="6"/>
    <col width="19" customWidth="1" min="7" max="7"/>
    <col width="18" customWidth="1" min="8" max="8"/>
    <col width="19" customWidth="1" min="9" max="9"/>
    <col width="20" customWidth="1" min="10" max="10"/>
  </cols>
  <sheetData>
    <row r="1" ht="26" customHeight="1">
      <c r="A1" s="27" t="inlineStr">
        <is>
          <t>D0-15 Approval limits and matrices</t>
        </is>
      </c>
      <c r="J1" s="28" t="inlineStr">
        <is>
          <t>Step 21 of 31</t>
        </is>
      </c>
    </row>
    <row r="2">
      <c r="A2" s="29" t="inlineStr">
        <is>
          <t>← Back to Start here</t>
        </is>
      </c>
      <c r="B2" s="30" t="inlineStr">
        <is>
          <t>Step 21 of 31. Fill in one row per record below the column headers; the guide above each column says what to enter.</t>
        </is>
      </c>
      <c r="J2" s="31" t="inlineStr">
        <is>
          <t>Ask a question →</t>
        </is>
      </c>
    </row>
    <row r="3" outlineLevel="1" ht="15.5" customHeight="1">
      <c r="A3" s="32" t="inlineStr">
        <is>
          <t>Purpose</t>
        </is>
      </c>
      <c r="B3" s="33" t="inlineStr">
        <is>
          <t>The approval levels by amount, sum insured or segment of the modules that approve by level</t>
        </is>
      </c>
    </row>
    <row r="4" outlineLevel="1" ht="15.5" customHeight="1">
      <c r="A4" s="32" t="inlineStr">
        <is>
          <t>Provided by</t>
        </is>
      </c>
      <c r="B4" s="33" t="inlineStr">
        <is>
          <t>Owners of the modules; Head, Comptrollership for the amounts</t>
        </is>
      </c>
    </row>
    <row r="5" outlineLevel="1" ht="15.5" customHeight="1">
      <c r="A5" s="32" t="inlineStr">
        <is>
          <t>Due</t>
        </is>
      </c>
      <c r="B5" s="34" t="inlineStr">
        <is>
          <t>16-Jul-2027 – Values for UAT</t>
        </is>
      </c>
    </row>
    <row r="6" outlineLevel="1" ht="15.5" customHeight="1">
      <c r="A6" s="32" t="inlineStr">
        <is>
          <t>How it is loaded</t>
        </is>
      </c>
      <c r="B6" s="33" t="inlineStr">
        <is>
          <t>Submitted Policies Setup, EB Setup, Compliance Setup (Configuration Versions) and Disbursement approver routing; the authorisation limit of a user is in UA-03</t>
        </is>
      </c>
    </row>
    <row r="7" outlineLevel="1" ht="15.5" customHeight="1">
      <c r="A7" s="32" t="inlineStr">
        <is>
          <t>Source</t>
        </is>
      </c>
      <c r="B7" s="33" t="inlineStr">
        <is>
          <t>BDOI approval matrix and signing authorities</t>
        </is>
      </c>
    </row>
    <row r="8" outlineLevel="1" ht="26" customHeight="1">
      <c r="A8" s="32" t="inlineStr">
        <is>
          <t>Depends on</t>
        </is>
      </c>
      <c r="B8" s="55" t="inlineStr">
        <is>
          <t>UA-02 Role-to-permission matrix →</t>
        </is>
      </c>
      <c r="C8" s="55" t="inlineStr">
        <is>
          <t>UA-01 Users and roles load →</t>
        </is>
      </c>
    </row>
    <row r="9" ht="26" customHeight="1">
      <c r="A9" s="36" t="inlineStr">
        <is>
          <t>Progress</t>
        </is>
      </c>
      <c r="B9" s="37" t="inlineStr">
        <is>
          <t>Rows entered</t>
        </is>
      </c>
      <c r="C9" s="38">
        <f>SUMPRODUCT(((ROW($B$17:$B$517)&gt;17)+($B$17&lt;&gt;"Submitted Policies")&gt;0)*(LEN($B$17:$B$517&amp;$C$17:$C$517&amp;$D$17:$D$517&amp;$E$17:$E$517&amp;$F$17:$F$517&amp;$G$17:$G$517&amp;$H$17:$H$517&amp;$I$17:$I$517&amp;$J$17:$J$517)&gt;0))</f>
        <v/>
      </c>
      <c r="D9" s="37" t="inlineStr">
        <is>
          <t>Mandatory cells missing</t>
        </is>
      </c>
      <c r="E9" s="38">
        <f>SUMPRODUCT(((ROW($B$17:$B$517)&gt;17)+($B$17&lt;&gt;"Submitted Policies")&gt;0)*(LEN($B$17:$B$517&amp;$C$17:$C$517&amp;$D$17:$D$517&amp;$E$17:$E$517&amp;$F$17:$F$517&amp;$G$17:$G$517&amp;$H$17:$H$517&amp;$I$17:$I$517&amp;$J$17:$J$517)&gt;0)*(($B$17:$B$517="")+($C$17:$C$517="")+($G$17:$G$517="")+($H$17:$H$517="")))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17" customHeight="1">
      <c r="A12" s="43" t="inlineStr">
        <is>
          <t>Mandatory</t>
        </is>
      </c>
      <c r="B12" s="44" t="inlineStr">
        <is>
          <t>Yes</t>
        </is>
      </c>
      <c r="C12" s="44" t="inlineStr">
        <is>
          <t>Yes</t>
        </is>
      </c>
      <c r="D12" s="45" t="inlineStr">
        <is>
          <t>No</t>
        </is>
      </c>
      <c r="E12" s="45" t="inlineStr">
        <is>
          <t>No</t>
        </is>
      </c>
      <c r="F12" s="45" t="inlineStr">
        <is>
          <t>No</t>
        </is>
      </c>
      <c r="G12" s="44" t="inlineStr">
        <is>
          <t>Yes</t>
        </is>
      </c>
      <c r="H12" s="44" t="inlineStr">
        <is>
          <t>Yes</t>
        </is>
      </c>
      <c r="I12" s="45" t="inlineStr">
        <is>
          <t>No</t>
        </is>
      </c>
      <c r="J12" s="45" t="inlineStr">
        <is>
          <t>No</t>
        </is>
      </c>
    </row>
    <row r="13" ht="43" customHeight="1">
      <c r="A13" s="43" t="inlineStr">
        <is>
          <t>Format</t>
        </is>
      </c>
      <c r="B13" s="45" t="inlineStr">
        <is>
          <t>Submitted Policies, Employee Benefits, Sanction Screening, Disbursement</t>
        </is>
      </c>
      <c r="C13" s="45" t="inlineStr">
        <is>
          <t>Text</t>
        </is>
      </c>
      <c r="D13" s="45" t="inlineStr">
        <is>
          <t>Segment, benefit line or case type</t>
        </is>
      </c>
      <c r="E13" s="45" t="inlineStr">
        <is>
          <t>PHP</t>
        </is>
      </c>
      <c r="F13" s="45" t="inlineStr">
        <is>
          <t>PHP; blank = no limit</t>
        </is>
      </c>
      <c r="G13" s="45" t="inlineStr">
        <is>
          <t>1, 2, 3</t>
        </is>
      </c>
      <c r="H13" s="45" t="inlineStr">
        <is>
          <t>Group profile of UA-02</t>
        </is>
      </c>
      <c r="I13" s="45" t="inlineStr">
        <is>
          <t>User ID of UA-01</t>
        </is>
      </c>
      <c r="J13" s="45" t="inlineStr">
        <is>
          <t>Text</t>
        </is>
      </c>
    </row>
    <row r="14" ht="56" customHeight="1">
      <c r="A14" s="43" t="inlineStr">
        <is>
          <t>Allowed values</t>
        </is>
      </c>
      <c r="B14" s="53" t="inlineStr">
        <is>
          <t>Submitted Policies, Employee Benefits, Sanction Screening, Disbursement (list Module of an approval matrix)</t>
        </is>
      </c>
      <c r="C14" s="45" t="inlineStr">
        <is>
          <t>Free entry</t>
        </is>
      </c>
      <c r="D14" s="45" t="inlineStr">
        <is>
          <t>Free entry</t>
        </is>
      </c>
      <c r="E14" s="45" t="inlineStr">
        <is>
          <t>A number</t>
        </is>
      </c>
      <c r="F14" s="45" t="inlineStr">
        <is>
          <t>A number</t>
        </is>
      </c>
      <c r="G14" s="45" t="inlineStr">
        <is>
          <t>A whole number from 1 to 9</t>
        </is>
      </c>
      <c r="H14" s="53" t="inlineStr">
        <is>
          <t>A code of UA-02 Role-to-permission matrix, column Group profile code</t>
        </is>
      </c>
      <c r="I14" s="53" t="inlineStr">
        <is>
          <t>A code of UA-01 Users and roles load, column User ID</t>
        </is>
      </c>
      <c r="J14" s="45" t="inlineStr">
        <is>
          <t>Free entry</t>
        </is>
      </c>
    </row>
    <row r="15" ht="43" customHeight="1">
      <c r="A15" s="43" t="inlineStr">
        <is>
          <t>What to enter</t>
        </is>
      </c>
      <c r="B15" s="45" t="inlineStr">
        <is>
          <t>Module of the approval</t>
        </is>
      </c>
      <c r="C15" s="45" t="inlineStr">
        <is>
          <t>What is approved</t>
        </is>
      </c>
      <c r="D15" s="45" t="inlineStr">
        <is>
          <t>Scope of the row</t>
        </is>
      </c>
      <c r="E15" s="45" t="inlineStr">
        <is>
          <t>Lower bound (sum insured, premium or amount)</t>
        </is>
      </c>
      <c r="F15" s="45" t="inlineStr">
        <is>
          <t>Upper bound</t>
        </is>
      </c>
      <c r="G15" s="45" t="inlineStr">
        <is>
          <t>Order of the approval</t>
        </is>
      </c>
      <c r="H15" s="45" t="inlineStr">
        <is>
          <t>Profile that approves</t>
        </is>
      </c>
      <c r="I15" s="45" t="inlineStr">
        <is>
          <t>Only when one person approves</t>
        </is>
      </c>
      <c r="J15" s="45" t="inlineStr">
        <is>
          <t>Title printed on the document</t>
        </is>
      </c>
    </row>
    <row r="16" ht="30" customHeight="1">
      <c r="A16" s="46" t="inlineStr">
        <is>
          <t>Row</t>
        </is>
      </c>
      <c r="B16" s="47" t="inlineStr">
        <is>
          <t>Module *</t>
        </is>
      </c>
      <c r="C16" s="47" t="inlineStr">
        <is>
          <t>Document or transaction *</t>
        </is>
      </c>
      <c r="D16" s="47" t="inlineStr">
        <is>
          <t>Segment or case type</t>
        </is>
      </c>
      <c r="E16" s="47" t="inlineStr">
        <is>
          <t>From amount</t>
        </is>
      </c>
      <c r="F16" s="47" t="inlineStr">
        <is>
          <t>To amount</t>
        </is>
      </c>
      <c r="G16" s="47" t="inlineStr">
        <is>
          <t>Approval level *</t>
        </is>
      </c>
      <c r="H16" s="47" t="inlineStr">
        <is>
          <t>Approver role *</t>
        </is>
      </c>
      <c r="I16" s="47" t="inlineStr">
        <is>
          <t>Named approver</t>
        </is>
      </c>
      <c r="J16" s="47" t="inlineStr">
        <is>
          <t>Signatory title</t>
        </is>
      </c>
    </row>
    <row r="17" ht="18" customHeight="1">
      <c r="A17" s="48" t="inlineStr">
        <is>
          <t>Example – overwrite or delete</t>
        </is>
      </c>
      <c r="B17" s="49" t="inlineStr">
        <is>
          <t>Submitted Policies</t>
        </is>
      </c>
      <c r="C17" s="49" t="inlineStr">
        <is>
          <t>Terms of reference</t>
        </is>
      </c>
      <c r="D17" s="49" t="inlineStr">
        <is>
          <t>CBG</t>
        </is>
      </c>
      <c r="E17" s="54" t="n">
        <v>0</v>
      </c>
      <c r="F17" s="54" t="n">
        <v>10000000</v>
      </c>
      <c r="G17" s="54" t="n">
        <v>1</v>
      </c>
      <c r="H17" s="49" t="inlineStr">
        <is>
          <t>SBM_APPROVER</t>
        </is>
      </c>
      <c r="I17" s="49" t="n"/>
      <c r="J17" s="49" t="inlineStr">
        <is>
          <t>Unit Head, Combank</t>
        </is>
      </c>
    </row>
    <row r="18">
      <c r="B18" s="51" t="n"/>
      <c r="C18" s="51" t="n"/>
      <c r="D18" s="51" t="n"/>
      <c r="H18" s="51" t="n"/>
      <c r="I18" s="51" t="n"/>
      <c r="J18" s="51" t="n"/>
    </row>
    <row r="19">
      <c r="B19" s="51" t="n"/>
      <c r="C19" s="51" t="n"/>
      <c r="D19" s="51" t="n"/>
      <c r="H19" s="51" t="n"/>
      <c r="I19" s="51" t="n"/>
      <c r="J19" s="51" t="n"/>
    </row>
    <row r="20">
      <c r="B20" s="51" t="n"/>
      <c r="C20" s="51" t="n"/>
      <c r="D20" s="51" t="n"/>
      <c r="H20" s="51" t="n"/>
      <c r="I20" s="51" t="n"/>
      <c r="J20" s="51" t="n"/>
    </row>
    <row r="21">
      <c r="B21" s="51" t="n"/>
      <c r="C21" s="51" t="n"/>
      <c r="D21" s="51" t="n"/>
      <c r="H21" s="51" t="n"/>
      <c r="I21" s="51" t="n"/>
      <c r="J21" s="51" t="n"/>
    </row>
    <row r="22">
      <c r="B22" s="51" t="n"/>
      <c r="C22" s="51" t="n"/>
      <c r="D22" s="51" t="n"/>
      <c r="H22" s="51" t="n"/>
      <c r="I22" s="51" t="n"/>
      <c r="J22" s="51" t="n"/>
    </row>
    <row r="23">
      <c r="B23" s="51" t="n"/>
      <c r="C23" s="51" t="n"/>
      <c r="D23" s="51" t="n"/>
      <c r="H23" s="51" t="n"/>
      <c r="I23" s="51" t="n"/>
      <c r="J23" s="51" t="n"/>
    </row>
    <row r="24">
      <c r="B24" s="51" t="n"/>
      <c r="C24" s="51" t="n"/>
      <c r="D24" s="51" t="n"/>
      <c r="H24" s="51" t="n"/>
      <c r="I24" s="51" t="n"/>
      <c r="J24" s="51" t="n"/>
    </row>
    <row r="25">
      <c r="B25" s="51" t="n"/>
      <c r="C25" s="51" t="n"/>
      <c r="D25" s="51" t="n"/>
      <c r="H25" s="51" t="n"/>
      <c r="I25" s="51" t="n"/>
      <c r="J25" s="51" t="n"/>
    </row>
    <row r="26">
      <c r="B26" s="51" t="n"/>
      <c r="C26" s="51" t="n"/>
      <c r="D26" s="51" t="n"/>
      <c r="H26" s="51" t="n"/>
      <c r="I26" s="51" t="n"/>
      <c r="J26" s="51" t="n"/>
    </row>
    <row r="27">
      <c r="B27" s="51" t="n"/>
      <c r="C27" s="51" t="n"/>
      <c r="D27" s="51" t="n"/>
      <c r="H27" s="51" t="n"/>
      <c r="I27" s="51" t="n"/>
      <c r="J27" s="51" t="n"/>
    </row>
    <row r="28">
      <c r="B28" s="51" t="n"/>
      <c r="C28" s="51" t="n"/>
      <c r="D28" s="51" t="n"/>
      <c r="H28" s="51" t="n"/>
      <c r="I28" s="51" t="n"/>
      <c r="J28" s="51" t="n"/>
    </row>
    <row r="29">
      <c r="B29" s="51" t="n"/>
      <c r="C29" s="51" t="n"/>
      <c r="D29" s="51" t="n"/>
      <c r="H29" s="51" t="n"/>
      <c r="I29" s="51" t="n"/>
      <c r="J29" s="51" t="n"/>
    </row>
    <row r="30">
      <c r="B30" s="51" t="n"/>
      <c r="C30" s="51" t="n"/>
      <c r="D30" s="51" t="n"/>
      <c r="H30" s="51" t="n"/>
      <c r="I30" s="51" t="n"/>
      <c r="J30" s="51" t="n"/>
    </row>
    <row r="31">
      <c r="B31" s="51" t="n"/>
      <c r="C31" s="51" t="n"/>
      <c r="D31" s="51" t="n"/>
      <c r="H31" s="51" t="n"/>
      <c r="I31" s="51" t="n"/>
      <c r="J31" s="51" t="n"/>
    </row>
    <row r="32">
      <c r="B32" s="51" t="n"/>
      <c r="C32" s="51" t="n"/>
      <c r="D32" s="51" t="n"/>
      <c r="H32" s="51" t="n"/>
      <c r="I32" s="51" t="n"/>
      <c r="J32" s="51" t="n"/>
    </row>
    <row r="33">
      <c r="B33" s="51" t="n"/>
      <c r="C33" s="51" t="n"/>
      <c r="D33" s="51" t="n"/>
      <c r="H33" s="51" t="n"/>
      <c r="I33" s="51" t="n"/>
      <c r="J33" s="51" t="n"/>
    </row>
    <row r="34">
      <c r="B34" s="51" t="n"/>
      <c r="C34" s="51" t="n"/>
      <c r="D34" s="51" t="n"/>
      <c r="H34" s="51" t="n"/>
      <c r="I34" s="51" t="n"/>
      <c r="J34" s="51" t="n"/>
    </row>
    <row r="35">
      <c r="B35" s="51" t="n"/>
      <c r="C35" s="51" t="n"/>
      <c r="D35" s="51" t="n"/>
      <c r="H35" s="51" t="n"/>
      <c r="I35" s="51" t="n"/>
      <c r="J35" s="51" t="n"/>
    </row>
    <row r="36">
      <c r="B36" s="51" t="n"/>
      <c r="C36" s="51" t="n"/>
      <c r="D36" s="51" t="n"/>
      <c r="H36" s="51" t="n"/>
      <c r="I36" s="51" t="n"/>
      <c r="J36" s="51" t="n"/>
    </row>
    <row r="37">
      <c r="B37" s="51" t="n"/>
      <c r="C37" s="51" t="n"/>
      <c r="D37" s="51" t="n"/>
      <c r="H37" s="51" t="n"/>
      <c r="I37" s="51" t="n"/>
      <c r="J37" s="51" t="n"/>
    </row>
    <row r="38">
      <c r="B38" s="51" t="n"/>
      <c r="C38" s="51" t="n"/>
      <c r="D38" s="51" t="n"/>
      <c r="H38" s="51" t="n"/>
      <c r="I38" s="51" t="n"/>
      <c r="J38" s="51" t="n"/>
    </row>
    <row r="39">
      <c r="B39" s="51" t="n"/>
      <c r="C39" s="51" t="n"/>
      <c r="D39" s="51" t="n"/>
      <c r="H39" s="51" t="n"/>
      <c r="I39" s="51" t="n"/>
      <c r="J39" s="51" t="n"/>
    </row>
    <row r="40">
      <c r="B40" s="51" t="n"/>
      <c r="C40" s="51" t="n"/>
      <c r="D40" s="51" t="n"/>
      <c r="H40" s="51" t="n"/>
      <c r="I40" s="51" t="n"/>
      <c r="J40" s="51" t="n"/>
    </row>
    <row r="41">
      <c r="B41" s="51" t="n"/>
      <c r="C41" s="51" t="n"/>
      <c r="D41" s="51" t="n"/>
      <c r="H41" s="51" t="n"/>
      <c r="I41" s="51" t="n"/>
      <c r="J41" s="51" t="n"/>
    </row>
    <row r="42">
      <c r="B42" s="51" t="n"/>
      <c r="C42" s="51" t="n"/>
      <c r="D42" s="51" t="n"/>
      <c r="H42" s="51" t="n"/>
      <c r="I42" s="51" t="n"/>
      <c r="J42" s="51" t="n"/>
    </row>
    <row r="43">
      <c r="B43" s="51" t="n"/>
      <c r="C43" s="51" t="n"/>
      <c r="D43" s="51" t="n"/>
      <c r="H43" s="51" t="n"/>
      <c r="I43" s="51" t="n"/>
      <c r="J43" s="51" t="n"/>
    </row>
    <row r="44">
      <c r="B44" s="51" t="n"/>
      <c r="C44" s="51" t="n"/>
      <c r="D44" s="51" t="n"/>
      <c r="H44" s="51" t="n"/>
      <c r="I44" s="51" t="n"/>
      <c r="J44" s="51" t="n"/>
    </row>
    <row r="45">
      <c r="B45" s="51" t="n"/>
      <c r="C45" s="51" t="n"/>
      <c r="D45" s="51" t="n"/>
      <c r="H45" s="51" t="n"/>
      <c r="I45" s="51" t="n"/>
      <c r="J45" s="51" t="n"/>
    </row>
    <row r="46">
      <c r="B46" s="51" t="n"/>
      <c r="C46" s="51" t="n"/>
      <c r="D46" s="51" t="n"/>
      <c r="H46" s="51" t="n"/>
      <c r="I46" s="51" t="n"/>
      <c r="J46" s="51" t="n"/>
    </row>
    <row r="47">
      <c r="B47" s="51" t="n"/>
      <c r="C47" s="51" t="n"/>
      <c r="D47" s="51" t="n"/>
      <c r="H47" s="51" t="n"/>
      <c r="I47" s="51" t="n"/>
      <c r="J47" s="51" t="n"/>
    </row>
    <row r="48">
      <c r="B48" s="51" t="n"/>
      <c r="C48" s="51" t="n"/>
      <c r="D48" s="51" t="n"/>
      <c r="H48" s="51" t="n"/>
      <c r="I48" s="51" t="n"/>
      <c r="J48" s="51" t="n"/>
    </row>
    <row r="49">
      <c r="B49" s="51" t="n"/>
      <c r="C49" s="51" t="n"/>
      <c r="D49" s="51" t="n"/>
      <c r="H49" s="51" t="n"/>
      <c r="I49" s="51" t="n"/>
      <c r="J49" s="51" t="n"/>
    </row>
    <row r="50">
      <c r="B50" s="51" t="n"/>
      <c r="C50" s="51" t="n"/>
      <c r="D50" s="51" t="n"/>
      <c r="H50" s="51" t="n"/>
      <c r="I50" s="51" t="n"/>
      <c r="J50" s="51" t="n"/>
    </row>
    <row r="51">
      <c r="B51" s="51" t="n"/>
      <c r="C51" s="51" t="n"/>
      <c r="D51" s="51" t="n"/>
      <c r="H51" s="51" t="n"/>
      <c r="I51" s="51" t="n"/>
      <c r="J51" s="51" t="n"/>
    </row>
    <row r="52">
      <c r="B52" s="51" t="n"/>
      <c r="C52" s="51" t="n"/>
      <c r="D52" s="51" t="n"/>
      <c r="H52" s="51" t="n"/>
      <c r="I52" s="51" t="n"/>
      <c r="J52" s="51" t="n"/>
    </row>
    <row r="53">
      <c r="B53" s="51" t="n"/>
      <c r="C53" s="51" t="n"/>
      <c r="D53" s="51" t="n"/>
      <c r="H53" s="51" t="n"/>
      <c r="I53" s="51" t="n"/>
      <c r="J53" s="51" t="n"/>
    </row>
    <row r="54">
      <c r="B54" s="51" t="n"/>
      <c r="C54" s="51" t="n"/>
      <c r="D54" s="51" t="n"/>
      <c r="H54" s="51" t="n"/>
      <c r="I54" s="51" t="n"/>
      <c r="J54" s="51" t="n"/>
    </row>
    <row r="55">
      <c r="B55" s="51" t="n"/>
      <c r="C55" s="51" t="n"/>
      <c r="D55" s="51" t="n"/>
      <c r="H55" s="51" t="n"/>
      <c r="I55" s="51" t="n"/>
      <c r="J55" s="51" t="n"/>
    </row>
    <row r="56">
      <c r="B56" s="51" t="n"/>
      <c r="C56" s="51" t="n"/>
      <c r="D56" s="51" t="n"/>
      <c r="H56" s="51" t="n"/>
      <c r="I56" s="51" t="n"/>
      <c r="J56" s="51" t="n"/>
    </row>
    <row r="57">
      <c r="B57" s="51" t="n"/>
      <c r="C57" s="51" t="n"/>
      <c r="D57" s="51" t="n"/>
      <c r="H57" s="51" t="n"/>
      <c r="I57" s="51" t="n"/>
      <c r="J57" s="51" t="n"/>
    </row>
    <row r="58">
      <c r="B58" s="51" t="n"/>
      <c r="C58" s="51" t="n"/>
      <c r="D58" s="51" t="n"/>
      <c r="H58" s="51" t="n"/>
      <c r="I58" s="51" t="n"/>
      <c r="J58" s="51" t="n"/>
    </row>
    <row r="59">
      <c r="B59" s="51" t="n"/>
      <c r="C59" s="51" t="n"/>
      <c r="D59" s="51" t="n"/>
      <c r="H59" s="51" t="n"/>
      <c r="I59" s="51" t="n"/>
      <c r="J59" s="51" t="n"/>
    </row>
    <row r="60">
      <c r="B60" s="51" t="n"/>
      <c r="C60" s="51" t="n"/>
      <c r="D60" s="51" t="n"/>
      <c r="H60" s="51" t="n"/>
      <c r="I60" s="51" t="n"/>
      <c r="J60" s="51" t="n"/>
    </row>
    <row r="61">
      <c r="B61" s="51" t="n"/>
      <c r="C61" s="51" t="n"/>
      <c r="D61" s="51" t="n"/>
      <c r="H61" s="51" t="n"/>
      <c r="I61" s="51" t="n"/>
      <c r="J61" s="51" t="n"/>
    </row>
    <row r="62">
      <c r="B62" s="51" t="n"/>
      <c r="C62" s="51" t="n"/>
      <c r="D62" s="51" t="n"/>
      <c r="H62" s="51" t="n"/>
      <c r="I62" s="51" t="n"/>
      <c r="J62" s="51" t="n"/>
    </row>
    <row r="63">
      <c r="B63" s="51" t="n"/>
      <c r="C63" s="51" t="n"/>
      <c r="D63" s="51" t="n"/>
      <c r="H63" s="51" t="n"/>
      <c r="I63" s="51" t="n"/>
      <c r="J63" s="51" t="n"/>
    </row>
    <row r="64">
      <c r="B64" s="51" t="n"/>
      <c r="C64" s="51" t="n"/>
      <c r="D64" s="51" t="n"/>
      <c r="H64" s="51" t="n"/>
      <c r="I64" s="51" t="n"/>
      <c r="J64" s="51" t="n"/>
    </row>
    <row r="65">
      <c r="B65" s="51" t="n"/>
      <c r="C65" s="51" t="n"/>
      <c r="D65" s="51" t="n"/>
      <c r="H65" s="51" t="n"/>
      <c r="I65" s="51" t="n"/>
      <c r="J65" s="51" t="n"/>
    </row>
    <row r="66">
      <c r="B66" s="51" t="n"/>
      <c r="C66" s="51" t="n"/>
      <c r="D66" s="51" t="n"/>
      <c r="H66" s="51" t="n"/>
      <c r="I66" s="51" t="n"/>
      <c r="J66" s="51" t="n"/>
    </row>
    <row r="67">
      <c r="B67" s="51" t="n"/>
      <c r="C67" s="51" t="n"/>
      <c r="D67" s="51" t="n"/>
      <c r="H67" s="51" t="n"/>
      <c r="I67" s="51" t="n"/>
      <c r="J67" s="51" t="n"/>
    </row>
    <row r="68">
      <c r="B68" s="51" t="n"/>
      <c r="C68" s="51" t="n"/>
      <c r="D68" s="51" t="n"/>
      <c r="H68" s="51" t="n"/>
      <c r="I68" s="51" t="n"/>
      <c r="J68" s="51" t="n"/>
    </row>
    <row r="69">
      <c r="B69" s="51" t="n"/>
      <c r="C69" s="51" t="n"/>
      <c r="D69" s="51" t="n"/>
      <c r="H69" s="51" t="n"/>
      <c r="I69" s="51" t="n"/>
      <c r="J69" s="51" t="n"/>
    </row>
    <row r="70">
      <c r="B70" s="51" t="n"/>
      <c r="C70" s="51" t="n"/>
      <c r="D70" s="51" t="n"/>
      <c r="H70" s="51" t="n"/>
      <c r="I70" s="51" t="n"/>
      <c r="J70" s="51" t="n"/>
    </row>
    <row r="71">
      <c r="B71" s="51" t="n"/>
      <c r="C71" s="51" t="n"/>
      <c r="D71" s="51" t="n"/>
      <c r="H71" s="51" t="n"/>
      <c r="I71" s="51" t="n"/>
      <c r="J71" s="51" t="n"/>
    </row>
    <row r="72">
      <c r="B72" s="51" t="n"/>
      <c r="C72" s="51" t="n"/>
      <c r="D72" s="51" t="n"/>
      <c r="H72" s="51" t="n"/>
      <c r="I72" s="51" t="n"/>
      <c r="J72" s="51" t="n"/>
    </row>
    <row r="73">
      <c r="B73" s="51" t="n"/>
      <c r="C73" s="51" t="n"/>
      <c r="D73" s="51" t="n"/>
      <c r="H73" s="51" t="n"/>
      <c r="I73" s="51" t="n"/>
      <c r="J73" s="51" t="n"/>
    </row>
    <row r="74">
      <c r="B74" s="51" t="n"/>
      <c r="C74" s="51" t="n"/>
      <c r="D74" s="51" t="n"/>
      <c r="H74" s="51" t="n"/>
      <c r="I74" s="51" t="n"/>
      <c r="J74" s="51" t="n"/>
    </row>
    <row r="75">
      <c r="B75" s="51" t="n"/>
      <c r="C75" s="51" t="n"/>
      <c r="D75" s="51" t="n"/>
      <c r="H75" s="51" t="n"/>
      <c r="I75" s="51" t="n"/>
      <c r="J75" s="51" t="n"/>
    </row>
    <row r="76">
      <c r="B76" s="51" t="n"/>
      <c r="C76" s="51" t="n"/>
      <c r="D76" s="51" t="n"/>
      <c r="H76" s="51" t="n"/>
      <c r="I76" s="51" t="n"/>
      <c r="J76" s="51" t="n"/>
    </row>
    <row r="77">
      <c r="B77" s="51" t="n"/>
      <c r="C77" s="51" t="n"/>
      <c r="D77" s="51" t="n"/>
      <c r="H77" s="51" t="n"/>
      <c r="I77" s="51" t="n"/>
      <c r="J77" s="51" t="n"/>
    </row>
    <row r="78">
      <c r="B78" s="51" t="n"/>
      <c r="C78" s="51" t="n"/>
      <c r="D78" s="51" t="n"/>
      <c r="H78" s="51" t="n"/>
      <c r="I78" s="51" t="n"/>
      <c r="J78" s="51" t="n"/>
    </row>
    <row r="79">
      <c r="B79" s="51" t="n"/>
      <c r="C79" s="51" t="n"/>
      <c r="D79" s="51" t="n"/>
      <c r="H79" s="51" t="n"/>
      <c r="I79" s="51" t="n"/>
      <c r="J79" s="51" t="n"/>
    </row>
    <row r="80">
      <c r="B80" s="51" t="n"/>
      <c r="C80" s="51" t="n"/>
      <c r="D80" s="51" t="n"/>
      <c r="H80" s="51" t="n"/>
      <c r="I80" s="51" t="n"/>
      <c r="J80" s="51" t="n"/>
    </row>
    <row r="81">
      <c r="B81" s="51" t="n"/>
      <c r="C81" s="51" t="n"/>
      <c r="D81" s="51" t="n"/>
      <c r="H81" s="51" t="n"/>
      <c r="I81" s="51" t="n"/>
      <c r="J81" s="51" t="n"/>
    </row>
    <row r="82">
      <c r="B82" s="51" t="n"/>
      <c r="C82" s="51" t="n"/>
      <c r="D82" s="51" t="n"/>
      <c r="H82" s="51" t="n"/>
      <c r="I82" s="51" t="n"/>
      <c r="J82" s="51" t="n"/>
    </row>
    <row r="83">
      <c r="B83" s="51" t="n"/>
      <c r="C83" s="51" t="n"/>
      <c r="D83" s="51" t="n"/>
      <c r="H83" s="51" t="n"/>
      <c r="I83" s="51" t="n"/>
      <c r="J83" s="51" t="n"/>
    </row>
    <row r="84">
      <c r="B84" s="51" t="n"/>
      <c r="C84" s="51" t="n"/>
      <c r="D84" s="51" t="n"/>
      <c r="H84" s="51" t="n"/>
      <c r="I84" s="51" t="n"/>
      <c r="J84" s="51" t="n"/>
    </row>
    <row r="85">
      <c r="B85" s="51" t="n"/>
      <c r="C85" s="51" t="n"/>
      <c r="D85" s="51" t="n"/>
      <c r="H85" s="51" t="n"/>
      <c r="I85" s="51" t="n"/>
      <c r="J85" s="51" t="n"/>
    </row>
    <row r="86">
      <c r="B86" s="51" t="n"/>
      <c r="C86" s="51" t="n"/>
      <c r="D86" s="51" t="n"/>
      <c r="H86" s="51" t="n"/>
      <c r="I86" s="51" t="n"/>
      <c r="J86" s="51" t="n"/>
    </row>
    <row r="87">
      <c r="B87" s="51" t="n"/>
      <c r="C87" s="51" t="n"/>
      <c r="D87" s="51" t="n"/>
      <c r="H87" s="51" t="n"/>
      <c r="I87" s="51" t="n"/>
      <c r="J87" s="51" t="n"/>
    </row>
    <row r="88">
      <c r="B88" s="51" t="n"/>
      <c r="C88" s="51" t="n"/>
      <c r="D88" s="51" t="n"/>
      <c r="H88" s="51" t="n"/>
      <c r="I88" s="51" t="n"/>
      <c r="J88" s="51" t="n"/>
    </row>
    <row r="89">
      <c r="B89" s="51" t="n"/>
      <c r="C89" s="51" t="n"/>
      <c r="D89" s="51" t="n"/>
      <c r="H89" s="51" t="n"/>
      <c r="I89" s="51" t="n"/>
      <c r="J89" s="51" t="n"/>
    </row>
    <row r="90">
      <c r="B90" s="51" t="n"/>
      <c r="C90" s="51" t="n"/>
      <c r="D90" s="51" t="n"/>
      <c r="H90" s="51" t="n"/>
      <c r="I90" s="51" t="n"/>
      <c r="J90" s="51" t="n"/>
    </row>
    <row r="91">
      <c r="B91" s="51" t="n"/>
      <c r="C91" s="51" t="n"/>
      <c r="D91" s="51" t="n"/>
      <c r="H91" s="51" t="n"/>
      <c r="I91" s="51" t="n"/>
      <c r="J91" s="51" t="n"/>
    </row>
    <row r="92">
      <c r="B92" s="51" t="n"/>
      <c r="C92" s="51" t="n"/>
      <c r="D92" s="51" t="n"/>
      <c r="H92" s="51" t="n"/>
      <c r="I92" s="51" t="n"/>
      <c r="J92" s="51" t="n"/>
    </row>
    <row r="93">
      <c r="B93" s="51" t="n"/>
      <c r="C93" s="51" t="n"/>
      <c r="D93" s="51" t="n"/>
      <c r="H93" s="51" t="n"/>
      <c r="I93" s="51" t="n"/>
      <c r="J93" s="51" t="n"/>
    </row>
    <row r="94">
      <c r="B94" s="51" t="n"/>
      <c r="C94" s="51" t="n"/>
      <c r="D94" s="51" t="n"/>
      <c r="H94" s="51" t="n"/>
      <c r="I94" s="51" t="n"/>
      <c r="J94" s="51" t="n"/>
    </row>
    <row r="95">
      <c r="B95" s="51" t="n"/>
      <c r="C95" s="51" t="n"/>
      <c r="D95" s="51" t="n"/>
      <c r="H95" s="51" t="n"/>
      <c r="I95" s="51" t="n"/>
      <c r="J95" s="51" t="n"/>
    </row>
    <row r="96">
      <c r="B96" s="51" t="n"/>
      <c r="C96" s="51" t="n"/>
      <c r="D96" s="51" t="n"/>
      <c r="H96" s="51" t="n"/>
      <c r="I96" s="51" t="n"/>
      <c r="J96" s="51" t="n"/>
    </row>
    <row r="97">
      <c r="B97" s="51" t="n"/>
      <c r="C97" s="51" t="n"/>
      <c r="D97" s="51" t="n"/>
      <c r="H97" s="51" t="n"/>
      <c r="I97" s="51" t="n"/>
      <c r="J97" s="51" t="n"/>
    </row>
    <row r="98">
      <c r="B98" s="51" t="n"/>
      <c r="C98" s="51" t="n"/>
      <c r="D98" s="51" t="n"/>
      <c r="H98" s="51" t="n"/>
      <c r="I98" s="51" t="n"/>
      <c r="J98" s="51" t="n"/>
    </row>
    <row r="99">
      <c r="B99" s="51" t="n"/>
      <c r="C99" s="51" t="n"/>
      <c r="D99" s="51" t="n"/>
      <c r="H99" s="51" t="n"/>
      <c r="I99" s="51" t="n"/>
      <c r="J99" s="51" t="n"/>
    </row>
    <row r="100">
      <c r="B100" s="51" t="n"/>
      <c r="C100" s="51" t="n"/>
      <c r="D100" s="51" t="n"/>
      <c r="H100" s="51" t="n"/>
      <c r="I100" s="51" t="n"/>
      <c r="J100" s="51" t="n"/>
    </row>
    <row r="101">
      <c r="B101" s="51" t="n"/>
      <c r="C101" s="51" t="n"/>
      <c r="D101" s="51" t="n"/>
      <c r="H101" s="51" t="n"/>
      <c r="I101" s="51" t="n"/>
      <c r="J101" s="51" t="n"/>
    </row>
    <row r="102">
      <c r="B102" s="51" t="n"/>
      <c r="C102" s="51" t="n"/>
      <c r="D102" s="51" t="n"/>
      <c r="H102" s="51" t="n"/>
      <c r="I102" s="51" t="n"/>
      <c r="J102" s="51" t="n"/>
    </row>
    <row r="103">
      <c r="B103" s="51" t="n"/>
      <c r="C103" s="51" t="n"/>
      <c r="D103" s="51" t="n"/>
      <c r="H103" s="51" t="n"/>
      <c r="I103" s="51" t="n"/>
      <c r="J103" s="51" t="n"/>
    </row>
    <row r="104">
      <c r="B104" s="51" t="n"/>
      <c r="C104" s="51" t="n"/>
      <c r="D104" s="51" t="n"/>
      <c r="H104" s="51" t="n"/>
      <c r="I104" s="51" t="n"/>
      <c r="J104" s="51" t="n"/>
    </row>
    <row r="105">
      <c r="B105" s="51" t="n"/>
      <c r="C105" s="51" t="n"/>
      <c r="D105" s="51" t="n"/>
      <c r="H105" s="51" t="n"/>
      <c r="I105" s="51" t="n"/>
      <c r="J105" s="51" t="n"/>
    </row>
    <row r="106">
      <c r="B106" s="51" t="n"/>
      <c r="C106" s="51" t="n"/>
      <c r="D106" s="51" t="n"/>
      <c r="H106" s="51" t="n"/>
      <c r="I106" s="51" t="n"/>
      <c r="J106" s="51" t="n"/>
    </row>
    <row r="107">
      <c r="B107" s="51" t="n"/>
      <c r="C107" s="51" t="n"/>
      <c r="D107" s="51" t="n"/>
      <c r="H107" s="51" t="n"/>
      <c r="I107" s="51" t="n"/>
      <c r="J107" s="51" t="n"/>
    </row>
    <row r="108">
      <c r="B108" s="51" t="n"/>
      <c r="C108" s="51" t="n"/>
      <c r="D108" s="51" t="n"/>
      <c r="H108" s="51" t="n"/>
      <c r="I108" s="51" t="n"/>
      <c r="J108" s="51" t="n"/>
    </row>
    <row r="109">
      <c r="B109" s="51" t="n"/>
      <c r="C109" s="51" t="n"/>
      <c r="D109" s="51" t="n"/>
      <c r="H109" s="51" t="n"/>
      <c r="I109" s="51" t="n"/>
      <c r="J109" s="51" t="n"/>
    </row>
    <row r="110">
      <c r="B110" s="51" t="n"/>
      <c r="C110" s="51" t="n"/>
      <c r="D110" s="51" t="n"/>
      <c r="H110" s="51" t="n"/>
      <c r="I110" s="51" t="n"/>
      <c r="J110" s="51" t="n"/>
    </row>
    <row r="111">
      <c r="B111" s="51" t="n"/>
      <c r="C111" s="51" t="n"/>
      <c r="D111" s="51" t="n"/>
      <c r="H111" s="51" t="n"/>
      <c r="I111" s="51" t="n"/>
      <c r="J111" s="51" t="n"/>
    </row>
    <row r="112">
      <c r="B112" s="51" t="n"/>
      <c r="C112" s="51" t="n"/>
      <c r="D112" s="51" t="n"/>
      <c r="H112" s="51" t="n"/>
      <c r="I112" s="51" t="n"/>
      <c r="J112" s="51" t="n"/>
    </row>
    <row r="113">
      <c r="B113" s="51" t="n"/>
      <c r="C113" s="51" t="n"/>
      <c r="D113" s="51" t="n"/>
      <c r="H113" s="51" t="n"/>
      <c r="I113" s="51" t="n"/>
      <c r="J113" s="51" t="n"/>
    </row>
    <row r="114">
      <c r="B114" s="51" t="n"/>
      <c r="C114" s="51" t="n"/>
      <c r="D114" s="51" t="n"/>
      <c r="H114" s="51" t="n"/>
      <c r="I114" s="51" t="n"/>
      <c r="J114" s="51" t="n"/>
    </row>
    <row r="115">
      <c r="B115" s="51" t="n"/>
      <c r="C115" s="51" t="n"/>
      <c r="D115" s="51" t="n"/>
      <c r="H115" s="51" t="n"/>
      <c r="I115" s="51" t="n"/>
      <c r="J115" s="51" t="n"/>
    </row>
    <row r="116">
      <c r="B116" s="51" t="n"/>
      <c r="C116" s="51" t="n"/>
      <c r="D116" s="51" t="n"/>
      <c r="H116" s="51" t="n"/>
      <c r="I116" s="51" t="n"/>
      <c r="J116" s="51" t="n"/>
    </row>
    <row r="117">
      <c r="B117" s="51" t="n"/>
      <c r="C117" s="51" t="n"/>
      <c r="D117" s="51" t="n"/>
      <c r="H117" s="51" t="n"/>
      <c r="I117" s="51" t="n"/>
      <c r="J117" s="51" t="n"/>
    </row>
    <row r="118">
      <c r="B118" s="51" t="n"/>
      <c r="C118" s="51" t="n"/>
      <c r="D118" s="51" t="n"/>
      <c r="H118" s="51" t="n"/>
      <c r="I118" s="51" t="n"/>
      <c r="J118" s="51" t="n"/>
    </row>
    <row r="119">
      <c r="B119" s="51" t="n"/>
      <c r="C119" s="51" t="n"/>
      <c r="D119" s="51" t="n"/>
      <c r="H119" s="51" t="n"/>
      <c r="I119" s="51" t="n"/>
      <c r="J119" s="51" t="n"/>
    </row>
    <row r="120">
      <c r="B120" s="51" t="n"/>
      <c r="C120" s="51" t="n"/>
      <c r="D120" s="51" t="n"/>
      <c r="H120" s="51" t="n"/>
      <c r="I120" s="51" t="n"/>
      <c r="J120" s="51" t="n"/>
    </row>
    <row r="121">
      <c r="B121" s="51" t="n"/>
      <c r="C121" s="51" t="n"/>
      <c r="D121" s="51" t="n"/>
      <c r="H121" s="51" t="n"/>
      <c r="I121" s="51" t="n"/>
      <c r="J121" s="51" t="n"/>
    </row>
    <row r="122">
      <c r="B122" s="51" t="n"/>
      <c r="C122" s="51" t="n"/>
      <c r="D122" s="51" t="n"/>
      <c r="H122" s="51" t="n"/>
      <c r="I122" s="51" t="n"/>
      <c r="J122" s="51" t="n"/>
    </row>
    <row r="123">
      <c r="B123" s="51" t="n"/>
      <c r="C123" s="51" t="n"/>
      <c r="D123" s="51" t="n"/>
      <c r="H123" s="51" t="n"/>
      <c r="I123" s="51" t="n"/>
      <c r="J123" s="51" t="n"/>
    </row>
    <row r="124">
      <c r="B124" s="51" t="n"/>
      <c r="C124" s="51" t="n"/>
      <c r="D124" s="51" t="n"/>
      <c r="H124" s="51" t="n"/>
      <c r="I124" s="51" t="n"/>
      <c r="J124" s="51" t="n"/>
    </row>
    <row r="125">
      <c r="B125" s="51" t="n"/>
      <c r="C125" s="51" t="n"/>
      <c r="D125" s="51" t="n"/>
      <c r="H125" s="51" t="n"/>
      <c r="I125" s="51" t="n"/>
      <c r="J125" s="51" t="n"/>
    </row>
    <row r="126">
      <c r="B126" s="51" t="n"/>
      <c r="C126" s="51" t="n"/>
      <c r="D126" s="51" t="n"/>
      <c r="H126" s="51" t="n"/>
      <c r="I126" s="51" t="n"/>
      <c r="J126" s="51" t="n"/>
    </row>
    <row r="127">
      <c r="B127" s="51" t="n"/>
      <c r="C127" s="51" t="n"/>
      <c r="D127" s="51" t="n"/>
      <c r="H127" s="51" t="n"/>
      <c r="I127" s="51" t="n"/>
      <c r="J127" s="51" t="n"/>
    </row>
    <row r="128">
      <c r="B128" s="51" t="n"/>
      <c r="C128" s="51" t="n"/>
      <c r="D128" s="51" t="n"/>
      <c r="H128" s="51" t="n"/>
      <c r="I128" s="51" t="n"/>
      <c r="J128" s="51" t="n"/>
    </row>
    <row r="129">
      <c r="B129" s="51" t="n"/>
      <c r="C129" s="51" t="n"/>
      <c r="D129" s="51" t="n"/>
      <c r="H129" s="51" t="n"/>
      <c r="I129" s="51" t="n"/>
      <c r="J129" s="51" t="n"/>
    </row>
    <row r="130">
      <c r="B130" s="51" t="n"/>
      <c r="C130" s="51" t="n"/>
      <c r="D130" s="51" t="n"/>
      <c r="H130" s="51" t="n"/>
      <c r="I130" s="51" t="n"/>
      <c r="J130" s="51" t="n"/>
    </row>
    <row r="131">
      <c r="B131" s="51" t="n"/>
      <c r="C131" s="51" t="n"/>
      <c r="D131" s="51" t="n"/>
      <c r="H131" s="51" t="n"/>
      <c r="I131" s="51" t="n"/>
      <c r="J131" s="51" t="n"/>
    </row>
    <row r="132">
      <c r="B132" s="51" t="n"/>
      <c r="C132" s="51" t="n"/>
      <c r="D132" s="51" t="n"/>
      <c r="H132" s="51" t="n"/>
      <c r="I132" s="51" t="n"/>
      <c r="J132" s="51" t="n"/>
    </row>
    <row r="133">
      <c r="B133" s="51" t="n"/>
      <c r="C133" s="51" t="n"/>
      <c r="D133" s="51" t="n"/>
      <c r="H133" s="51" t="n"/>
      <c r="I133" s="51" t="n"/>
      <c r="J133" s="51" t="n"/>
    </row>
    <row r="134">
      <c r="B134" s="51" t="n"/>
      <c r="C134" s="51" t="n"/>
      <c r="D134" s="51" t="n"/>
      <c r="H134" s="51" t="n"/>
      <c r="I134" s="51" t="n"/>
      <c r="J134" s="51" t="n"/>
    </row>
    <row r="135">
      <c r="B135" s="51" t="n"/>
      <c r="C135" s="51" t="n"/>
      <c r="D135" s="51" t="n"/>
      <c r="H135" s="51" t="n"/>
      <c r="I135" s="51" t="n"/>
      <c r="J135" s="51" t="n"/>
    </row>
    <row r="136">
      <c r="B136" s="51" t="n"/>
      <c r="C136" s="51" t="n"/>
      <c r="D136" s="51" t="n"/>
      <c r="H136" s="51" t="n"/>
      <c r="I136" s="51" t="n"/>
      <c r="J136" s="51" t="n"/>
    </row>
    <row r="137">
      <c r="B137" s="51" t="n"/>
      <c r="C137" s="51" t="n"/>
      <c r="D137" s="51" t="n"/>
      <c r="H137" s="51" t="n"/>
      <c r="I137" s="51" t="n"/>
      <c r="J137" s="51" t="n"/>
    </row>
    <row r="138">
      <c r="B138" s="51" t="n"/>
      <c r="C138" s="51" t="n"/>
      <c r="D138" s="51" t="n"/>
      <c r="H138" s="51" t="n"/>
      <c r="I138" s="51" t="n"/>
      <c r="J138" s="51" t="n"/>
    </row>
    <row r="139">
      <c r="B139" s="51" t="n"/>
      <c r="C139" s="51" t="n"/>
      <c r="D139" s="51" t="n"/>
      <c r="H139" s="51" t="n"/>
      <c r="I139" s="51" t="n"/>
      <c r="J139" s="51" t="n"/>
    </row>
    <row r="140">
      <c r="B140" s="51" t="n"/>
      <c r="C140" s="51" t="n"/>
      <c r="D140" s="51" t="n"/>
      <c r="H140" s="51" t="n"/>
      <c r="I140" s="51" t="n"/>
      <c r="J140" s="51" t="n"/>
    </row>
    <row r="141">
      <c r="B141" s="51" t="n"/>
      <c r="C141" s="51" t="n"/>
      <c r="D141" s="51" t="n"/>
      <c r="H141" s="51" t="n"/>
      <c r="I141" s="51" t="n"/>
      <c r="J141" s="51" t="n"/>
    </row>
    <row r="142">
      <c r="B142" s="51" t="n"/>
      <c r="C142" s="51" t="n"/>
      <c r="D142" s="51" t="n"/>
      <c r="H142" s="51" t="n"/>
      <c r="I142" s="51" t="n"/>
      <c r="J142" s="51" t="n"/>
    </row>
    <row r="143">
      <c r="B143" s="51" t="n"/>
      <c r="C143" s="51" t="n"/>
      <c r="D143" s="51" t="n"/>
      <c r="H143" s="51" t="n"/>
      <c r="I143" s="51" t="n"/>
      <c r="J143" s="51" t="n"/>
    </row>
    <row r="144">
      <c r="B144" s="51" t="n"/>
      <c r="C144" s="51" t="n"/>
      <c r="D144" s="51" t="n"/>
      <c r="H144" s="51" t="n"/>
      <c r="I144" s="51" t="n"/>
      <c r="J144" s="51" t="n"/>
    </row>
    <row r="145">
      <c r="B145" s="51" t="n"/>
      <c r="C145" s="51" t="n"/>
      <c r="D145" s="51" t="n"/>
      <c r="H145" s="51" t="n"/>
      <c r="I145" s="51" t="n"/>
      <c r="J145" s="51" t="n"/>
    </row>
    <row r="146">
      <c r="B146" s="51" t="n"/>
      <c r="C146" s="51" t="n"/>
      <c r="D146" s="51" t="n"/>
      <c r="H146" s="51" t="n"/>
      <c r="I146" s="51" t="n"/>
      <c r="J146" s="51" t="n"/>
    </row>
    <row r="147">
      <c r="B147" s="51" t="n"/>
      <c r="C147" s="51" t="n"/>
      <c r="D147" s="51" t="n"/>
      <c r="H147" s="51" t="n"/>
      <c r="I147" s="51" t="n"/>
      <c r="J147" s="51" t="n"/>
    </row>
    <row r="148">
      <c r="B148" s="51" t="n"/>
      <c r="C148" s="51" t="n"/>
      <c r="D148" s="51" t="n"/>
      <c r="H148" s="51" t="n"/>
      <c r="I148" s="51" t="n"/>
      <c r="J148" s="51" t="n"/>
    </row>
    <row r="149">
      <c r="B149" s="51" t="n"/>
      <c r="C149" s="51" t="n"/>
      <c r="D149" s="51" t="n"/>
      <c r="H149" s="51" t="n"/>
      <c r="I149" s="51" t="n"/>
      <c r="J149" s="51" t="n"/>
    </row>
    <row r="150">
      <c r="B150" s="51" t="n"/>
      <c r="C150" s="51" t="n"/>
      <c r="D150" s="51" t="n"/>
      <c r="H150" s="51" t="n"/>
      <c r="I150" s="51" t="n"/>
      <c r="J150" s="51" t="n"/>
    </row>
    <row r="151">
      <c r="B151" s="51" t="n"/>
      <c r="C151" s="51" t="n"/>
      <c r="D151" s="51" t="n"/>
      <c r="H151" s="51" t="n"/>
      <c r="I151" s="51" t="n"/>
      <c r="J151" s="51" t="n"/>
    </row>
    <row r="152">
      <c r="B152" s="51" t="n"/>
      <c r="C152" s="51" t="n"/>
      <c r="D152" s="51" t="n"/>
      <c r="H152" s="51" t="n"/>
      <c r="I152" s="51" t="n"/>
      <c r="J152" s="51" t="n"/>
    </row>
    <row r="153">
      <c r="B153" s="51" t="n"/>
      <c r="C153" s="51" t="n"/>
      <c r="D153" s="51" t="n"/>
      <c r="H153" s="51" t="n"/>
      <c r="I153" s="51" t="n"/>
      <c r="J153" s="51" t="n"/>
    </row>
    <row r="154">
      <c r="B154" s="51" t="n"/>
      <c r="C154" s="51" t="n"/>
      <c r="D154" s="51" t="n"/>
      <c r="H154" s="51" t="n"/>
      <c r="I154" s="51" t="n"/>
      <c r="J154" s="51" t="n"/>
    </row>
    <row r="155">
      <c r="B155" s="51" t="n"/>
      <c r="C155" s="51" t="n"/>
      <c r="D155" s="51" t="n"/>
      <c r="H155" s="51" t="n"/>
      <c r="I155" s="51" t="n"/>
      <c r="J155" s="51" t="n"/>
    </row>
    <row r="156">
      <c r="B156" s="51" t="n"/>
      <c r="C156" s="51" t="n"/>
      <c r="D156" s="51" t="n"/>
      <c r="H156" s="51" t="n"/>
      <c r="I156" s="51" t="n"/>
      <c r="J156" s="51" t="n"/>
    </row>
    <row r="157">
      <c r="B157" s="51" t="n"/>
      <c r="C157" s="51" t="n"/>
      <c r="D157" s="51" t="n"/>
      <c r="H157" s="51" t="n"/>
      <c r="I157" s="51" t="n"/>
      <c r="J157" s="51" t="n"/>
    </row>
    <row r="158">
      <c r="B158" s="51" t="n"/>
      <c r="C158" s="51" t="n"/>
      <c r="D158" s="51" t="n"/>
      <c r="H158" s="51" t="n"/>
      <c r="I158" s="51" t="n"/>
      <c r="J158" s="51" t="n"/>
    </row>
    <row r="159">
      <c r="B159" s="51" t="n"/>
      <c r="C159" s="51" t="n"/>
      <c r="D159" s="51" t="n"/>
      <c r="H159" s="51" t="n"/>
      <c r="I159" s="51" t="n"/>
      <c r="J159" s="51" t="n"/>
    </row>
    <row r="160">
      <c r="B160" s="51" t="n"/>
      <c r="C160" s="51" t="n"/>
      <c r="D160" s="51" t="n"/>
      <c r="H160" s="51" t="n"/>
      <c r="I160" s="51" t="n"/>
      <c r="J160" s="51" t="n"/>
    </row>
    <row r="161">
      <c r="B161" s="51" t="n"/>
      <c r="C161" s="51" t="n"/>
      <c r="D161" s="51" t="n"/>
      <c r="H161" s="51" t="n"/>
      <c r="I161" s="51" t="n"/>
      <c r="J161" s="51" t="n"/>
    </row>
    <row r="162">
      <c r="B162" s="51" t="n"/>
      <c r="C162" s="51" t="n"/>
      <c r="D162" s="51" t="n"/>
      <c r="H162" s="51" t="n"/>
      <c r="I162" s="51" t="n"/>
      <c r="J162" s="51" t="n"/>
    </row>
    <row r="163">
      <c r="B163" s="51" t="n"/>
      <c r="C163" s="51" t="n"/>
      <c r="D163" s="51" t="n"/>
      <c r="H163" s="51" t="n"/>
      <c r="I163" s="51" t="n"/>
      <c r="J163" s="51" t="n"/>
    </row>
    <row r="164">
      <c r="B164" s="51" t="n"/>
      <c r="C164" s="51" t="n"/>
      <c r="D164" s="51" t="n"/>
      <c r="H164" s="51" t="n"/>
      <c r="I164" s="51" t="n"/>
      <c r="J164" s="51" t="n"/>
    </row>
    <row r="165">
      <c r="B165" s="51" t="n"/>
      <c r="C165" s="51" t="n"/>
      <c r="D165" s="51" t="n"/>
      <c r="H165" s="51" t="n"/>
      <c r="I165" s="51" t="n"/>
      <c r="J165" s="51" t="n"/>
    </row>
    <row r="166">
      <c r="B166" s="51" t="n"/>
      <c r="C166" s="51" t="n"/>
      <c r="D166" s="51" t="n"/>
      <c r="H166" s="51" t="n"/>
      <c r="I166" s="51" t="n"/>
      <c r="J166" s="51" t="n"/>
    </row>
    <row r="167">
      <c r="B167" s="51" t="n"/>
      <c r="C167" s="51" t="n"/>
      <c r="D167" s="51" t="n"/>
      <c r="H167" s="51" t="n"/>
      <c r="I167" s="51" t="n"/>
      <c r="J167" s="51" t="n"/>
    </row>
    <row r="168">
      <c r="B168" s="51" t="n"/>
      <c r="C168" s="51" t="n"/>
      <c r="D168" s="51" t="n"/>
      <c r="H168" s="51" t="n"/>
      <c r="I168" s="51" t="n"/>
      <c r="J168" s="51" t="n"/>
    </row>
    <row r="169">
      <c r="B169" s="51" t="n"/>
      <c r="C169" s="51" t="n"/>
      <c r="D169" s="51" t="n"/>
      <c r="H169" s="51" t="n"/>
      <c r="I169" s="51" t="n"/>
      <c r="J169" s="51" t="n"/>
    </row>
    <row r="170">
      <c r="B170" s="51" t="n"/>
      <c r="C170" s="51" t="n"/>
      <c r="D170" s="51" t="n"/>
      <c r="H170" s="51" t="n"/>
      <c r="I170" s="51" t="n"/>
      <c r="J170" s="51" t="n"/>
    </row>
    <row r="171">
      <c r="B171" s="51" t="n"/>
      <c r="C171" s="51" t="n"/>
      <c r="D171" s="51" t="n"/>
      <c r="H171" s="51" t="n"/>
      <c r="I171" s="51" t="n"/>
      <c r="J171" s="51" t="n"/>
    </row>
    <row r="172">
      <c r="B172" s="51" t="n"/>
      <c r="C172" s="51" t="n"/>
      <c r="D172" s="51" t="n"/>
      <c r="H172" s="51" t="n"/>
      <c r="I172" s="51" t="n"/>
      <c r="J172" s="51" t="n"/>
    </row>
    <row r="173">
      <c r="B173" s="51" t="n"/>
      <c r="C173" s="51" t="n"/>
      <c r="D173" s="51" t="n"/>
      <c r="H173" s="51" t="n"/>
      <c r="I173" s="51" t="n"/>
      <c r="J173" s="51" t="n"/>
    </row>
    <row r="174">
      <c r="B174" s="51" t="n"/>
      <c r="C174" s="51" t="n"/>
      <c r="D174" s="51" t="n"/>
      <c r="H174" s="51" t="n"/>
      <c r="I174" s="51" t="n"/>
      <c r="J174" s="51" t="n"/>
    </row>
    <row r="175">
      <c r="B175" s="51" t="n"/>
      <c r="C175" s="51" t="n"/>
      <c r="D175" s="51" t="n"/>
      <c r="H175" s="51" t="n"/>
      <c r="I175" s="51" t="n"/>
      <c r="J175" s="51" t="n"/>
    </row>
    <row r="176">
      <c r="B176" s="51" t="n"/>
      <c r="C176" s="51" t="n"/>
      <c r="D176" s="51" t="n"/>
      <c r="H176" s="51" t="n"/>
      <c r="I176" s="51" t="n"/>
      <c r="J176" s="51" t="n"/>
    </row>
    <row r="177">
      <c r="B177" s="51" t="n"/>
      <c r="C177" s="51" t="n"/>
      <c r="D177" s="51" t="n"/>
      <c r="H177" s="51" t="n"/>
      <c r="I177" s="51" t="n"/>
      <c r="J177" s="51" t="n"/>
    </row>
    <row r="178">
      <c r="B178" s="51" t="n"/>
      <c r="C178" s="51" t="n"/>
      <c r="D178" s="51" t="n"/>
      <c r="H178" s="51" t="n"/>
      <c r="I178" s="51" t="n"/>
      <c r="J178" s="51" t="n"/>
    </row>
    <row r="179">
      <c r="B179" s="51" t="n"/>
      <c r="C179" s="51" t="n"/>
      <c r="D179" s="51" t="n"/>
      <c r="H179" s="51" t="n"/>
      <c r="I179" s="51" t="n"/>
      <c r="J179" s="51" t="n"/>
    </row>
    <row r="180">
      <c r="B180" s="51" t="n"/>
      <c r="C180" s="51" t="n"/>
      <c r="D180" s="51" t="n"/>
      <c r="H180" s="51" t="n"/>
      <c r="I180" s="51" t="n"/>
      <c r="J180" s="51" t="n"/>
    </row>
    <row r="181">
      <c r="B181" s="51" t="n"/>
      <c r="C181" s="51" t="n"/>
      <c r="D181" s="51" t="n"/>
      <c r="H181" s="51" t="n"/>
      <c r="I181" s="51" t="n"/>
      <c r="J181" s="51" t="n"/>
    </row>
    <row r="182">
      <c r="B182" s="51" t="n"/>
      <c r="C182" s="51" t="n"/>
      <c r="D182" s="51" t="n"/>
      <c r="H182" s="51" t="n"/>
      <c r="I182" s="51" t="n"/>
      <c r="J182" s="51" t="n"/>
    </row>
    <row r="183">
      <c r="B183" s="51" t="n"/>
      <c r="C183" s="51" t="n"/>
      <c r="D183" s="51" t="n"/>
      <c r="H183" s="51" t="n"/>
      <c r="I183" s="51" t="n"/>
      <c r="J183" s="51" t="n"/>
    </row>
    <row r="184">
      <c r="B184" s="51" t="n"/>
      <c r="C184" s="51" t="n"/>
      <c r="D184" s="51" t="n"/>
      <c r="H184" s="51" t="n"/>
      <c r="I184" s="51" t="n"/>
      <c r="J184" s="51" t="n"/>
    </row>
    <row r="185">
      <c r="B185" s="51" t="n"/>
      <c r="C185" s="51" t="n"/>
      <c r="D185" s="51" t="n"/>
      <c r="H185" s="51" t="n"/>
      <c r="I185" s="51" t="n"/>
      <c r="J185" s="51" t="n"/>
    </row>
    <row r="186">
      <c r="B186" s="51" t="n"/>
      <c r="C186" s="51" t="n"/>
      <c r="D186" s="51" t="n"/>
      <c r="H186" s="51" t="n"/>
      <c r="I186" s="51" t="n"/>
      <c r="J186" s="51" t="n"/>
    </row>
    <row r="187">
      <c r="B187" s="51" t="n"/>
      <c r="C187" s="51" t="n"/>
      <c r="D187" s="51" t="n"/>
      <c r="H187" s="51" t="n"/>
      <c r="I187" s="51" t="n"/>
      <c r="J187" s="51" t="n"/>
    </row>
    <row r="188">
      <c r="B188" s="51" t="n"/>
      <c r="C188" s="51" t="n"/>
      <c r="D188" s="51" t="n"/>
      <c r="H188" s="51" t="n"/>
      <c r="I188" s="51" t="n"/>
      <c r="J188" s="51" t="n"/>
    </row>
    <row r="189">
      <c r="B189" s="51" t="n"/>
      <c r="C189" s="51" t="n"/>
      <c r="D189" s="51" t="n"/>
      <c r="H189" s="51" t="n"/>
      <c r="I189" s="51" t="n"/>
      <c r="J189" s="51" t="n"/>
    </row>
    <row r="190">
      <c r="B190" s="51" t="n"/>
      <c r="C190" s="51" t="n"/>
      <c r="D190" s="51" t="n"/>
      <c r="H190" s="51" t="n"/>
      <c r="I190" s="51" t="n"/>
      <c r="J190" s="51" t="n"/>
    </row>
    <row r="191">
      <c r="B191" s="51" t="n"/>
      <c r="C191" s="51" t="n"/>
      <c r="D191" s="51" t="n"/>
      <c r="H191" s="51" t="n"/>
      <c r="I191" s="51" t="n"/>
      <c r="J191" s="51" t="n"/>
    </row>
    <row r="192">
      <c r="B192" s="51" t="n"/>
      <c r="C192" s="51" t="n"/>
      <c r="D192" s="51" t="n"/>
      <c r="H192" s="51" t="n"/>
      <c r="I192" s="51" t="n"/>
      <c r="J192" s="51" t="n"/>
    </row>
    <row r="193">
      <c r="B193" s="51" t="n"/>
      <c r="C193" s="51" t="n"/>
      <c r="D193" s="51" t="n"/>
      <c r="H193" s="51" t="n"/>
      <c r="I193" s="51" t="n"/>
      <c r="J193" s="51" t="n"/>
    </row>
    <row r="194">
      <c r="B194" s="51" t="n"/>
      <c r="C194" s="51" t="n"/>
      <c r="D194" s="51" t="n"/>
      <c r="H194" s="51" t="n"/>
      <c r="I194" s="51" t="n"/>
      <c r="J194" s="51" t="n"/>
    </row>
    <row r="195">
      <c r="B195" s="51" t="n"/>
      <c r="C195" s="51" t="n"/>
      <c r="D195" s="51" t="n"/>
      <c r="H195" s="51" t="n"/>
      <c r="I195" s="51" t="n"/>
      <c r="J195" s="51" t="n"/>
    </row>
    <row r="196">
      <c r="B196" s="51" t="n"/>
      <c r="C196" s="51" t="n"/>
      <c r="D196" s="51" t="n"/>
      <c r="H196" s="51" t="n"/>
      <c r="I196" s="51" t="n"/>
      <c r="J196" s="51" t="n"/>
    </row>
    <row r="197">
      <c r="B197" s="51" t="n"/>
      <c r="C197" s="51" t="n"/>
      <c r="D197" s="51" t="n"/>
      <c r="H197" s="51" t="n"/>
      <c r="I197" s="51" t="n"/>
      <c r="J197" s="51" t="n"/>
    </row>
    <row r="198">
      <c r="B198" s="51" t="n"/>
      <c r="C198" s="51" t="n"/>
      <c r="D198" s="51" t="n"/>
      <c r="H198" s="51" t="n"/>
      <c r="I198" s="51" t="n"/>
      <c r="J198" s="51" t="n"/>
    </row>
    <row r="199">
      <c r="B199" s="51" t="n"/>
      <c r="C199" s="51" t="n"/>
      <c r="D199" s="51" t="n"/>
      <c r="H199" s="51" t="n"/>
      <c r="I199" s="51" t="n"/>
      <c r="J199" s="51" t="n"/>
    </row>
    <row r="200">
      <c r="B200" s="51" t="n"/>
      <c r="C200" s="51" t="n"/>
      <c r="D200" s="51" t="n"/>
      <c r="H200" s="51" t="n"/>
      <c r="I200" s="51" t="n"/>
      <c r="J200" s="51" t="n"/>
    </row>
    <row r="201">
      <c r="B201" s="51" t="n"/>
      <c r="C201" s="51" t="n"/>
      <c r="D201" s="51" t="n"/>
      <c r="H201" s="51" t="n"/>
      <c r="I201" s="51" t="n"/>
      <c r="J201" s="51" t="n"/>
    </row>
    <row r="202">
      <c r="B202" s="51" t="n"/>
      <c r="C202" s="51" t="n"/>
      <c r="D202" s="51" t="n"/>
      <c r="H202" s="51" t="n"/>
      <c r="I202" s="51" t="n"/>
      <c r="J202" s="51" t="n"/>
    </row>
    <row r="203">
      <c r="B203" s="51" t="n"/>
      <c r="C203" s="51" t="n"/>
      <c r="D203" s="51" t="n"/>
      <c r="H203" s="51" t="n"/>
      <c r="I203" s="51" t="n"/>
      <c r="J203" s="51" t="n"/>
    </row>
    <row r="204">
      <c r="B204" s="51" t="n"/>
      <c r="C204" s="51" t="n"/>
      <c r="D204" s="51" t="n"/>
      <c r="H204" s="51" t="n"/>
      <c r="I204" s="51" t="n"/>
      <c r="J204" s="51" t="n"/>
    </row>
    <row r="205">
      <c r="B205" s="51" t="n"/>
      <c r="C205" s="51" t="n"/>
      <c r="D205" s="51" t="n"/>
      <c r="H205" s="51" t="n"/>
      <c r="I205" s="51" t="n"/>
      <c r="J205" s="51" t="n"/>
    </row>
    <row r="206">
      <c r="B206" s="51" t="n"/>
      <c r="C206" s="51" t="n"/>
      <c r="D206" s="51" t="n"/>
      <c r="H206" s="51" t="n"/>
      <c r="I206" s="51" t="n"/>
      <c r="J206" s="51" t="n"/>
    </row>
    <row r="207">
      <c r="B207" s="51" t="n"/>
      <c r="C207" s="51" t="n"/>
      <c r="D207" s="51" t="n"/>
      <c r="H207" s="51" t="n"/>
      <c r="I207" s="51" t="n"/>
      <c r="J207" s="51" t="n"/>
    </row>
    <row r="208">
      <c r="B208" s="51" t="n"/>
      <c r="C208" s="51" t="n"/>
      <c r="D208" s="51" t="n"/>
      <c r="H208" s="51" t="n"/>
      <c r="I208" s="51" t="n"/>
      <c r="J208" s="51" t="n"/>
    </row>
    <row r="209">
      <c r="B209" s="51" t="n"/>
      <c r="C209" s="51" t="n"/>
      <c r="D209" s="51" t="n"/>
      <c r="H209" s="51" t="n"/>
      <c r="I209" s="51" t="n"/>
      <c r="J209" s="51" t="n"/>
    </row>
    <row r="210">
      <c r="B210" s="51" t="n"/>
      <c r="C210" s="51" t="n"/>
      <c r="D210" s="51" t="n"/>
      <c r="H210" s="51" t="n"/>
      <c r="I210" s="51" t="n"/>
      <c r="J210" s="51" t="n"/>
    </row>
    <row r="211">
      <c r="B211" s="51" t="n"/>
      <c r="C211" s="51" t="n"/>
      <c r="D211" s="51" t="n"/>
      <c r="H211" s="51" t="n"/>
      <c r="I211" s="51" t="n"/>
      <c r="J211" s="51" t="n"/>
    </row>
    <row r="212">
      <c r="B212" s="51" t="n"/>
      <c r="C212" s="51" t="n"/>
      <c r="D212" s="51" t="n"/>
      <c r="H212" s="51" t="n"/>
      <c r="I212" s="51" t="n"/>
      <c r="J212" s="51" t="n"/>
    </row>
    <row r="213">
      <c r="B213" s="51" t="n"/>
      <c r="C213" s="51" t="n"/>
      <c r="D213" s="51" t="n"/>
      <c r="H213" s="51" t="n"/>
      <c r="I213" s="51" t="n"/>
      <c r="J213" s="51" t="n"/>
    </row>
    <row r="214">
      <c r="B214" s="51" t="n"/>
      <c r="C214" s="51" t="n"/>
      <c r="D214" s="51" t="n"/>
      <c r="H214" s="51" t="n"/>
      <c r="I214" s="51" t="n"/>
      <c r="J214" s="51" t="n"/>
    </row>
    <row r="215">
      <c r="B215" s="51" t="n"/>
      <c r="C215" s="51" t="n"/>
      <c r="D215" s="51" t="n"/>
      <c r="H215" s="51" t="n"/>
      <c r="I215" s="51" t="n"/>
      <c r="J215" s="51" t="n"/>
    </row>
    <row r="216">
      <c r="B216" s="51" t="n"/>
      <c r="C216" s="51" t="n"/>
      <c r="D216" s="51" t="n"/>
      <c r="H216" s="51" t="n"/>
      <c r="I216" s="51" t="n"/>
      <c r="J216" s="51" t="n"/>
    </row>
    <row r="217">
      <c r="B217" s="51" t="n"/>
      <c r="C217" s="51" t="n"/>
      <c r="D217" s="51" t="n"/>
      <c r="H217" s="51" t="n"/>
      <c r="I217" s="51" t="n"/>
      <c r="J217" s="51" t="n"/>
    </row>
    <row r="218">
      <c r="B218" s="51" t="n"/>
      <c r="C218" s="51" t="n"/>
      <c r="D218" s="51" t="n"/>
      <c r="H218" s="51" t="n"/>
      <c r="I218" s="51" t="n"/>
      <c r="J218" s="51" t="n"/>
    </row>
    <row r="219">
      <c r="B219" s="51" t="n"/>
      <c r="C219" s="51" t="n"/>
      <c r="D219" s="51" t="n"/>
      <c r="H219" s="51" t="n"/>
      <c r="I219" s="51" t="n"/>
      <c r="J219" s="51" t="n"/>
    </row>
    <row r="220">
      <c r="B220" s="51" t="n"/>
      <c r="C220" s="51" t="n"/>
      <c r="D220" s="51" t="n"/>
      <c r="H220" s="51" t="n"/>
      <c r="I220" s="51" t="n"/>
      <c r="J220" s="51" t="n"/>
    </row>
    <row r="221">
      <c r="B221" s="51" t="n"/>
      <c r="C221" s="51" t="n"/>
      <c r="D221" s="51" t="n"/>
      <c r="H221" s="51" t="n"/>
      <c r="I221" s="51" t="n"/>
      <c r="J221" s="51" t="n"/>
    </row>
    <row r="222">
      <c r="B222" s="51" t="n"/>
      <c r="C222" s="51" t="n"/>
      <c r="D222" s="51" t="n"/>
      <c r="H222" s="51" t="n"/>
      <c r="I222" s="51" t="n"/>
      <c r="J222" s="51" t="n"/>
    </row>
    <row r="223">
      <c r="B223" s="51" t="n"/>
      <c r="C223" s="51" t="n"/>
      <c r="D223" s="51" t="n"/>
      <c r="H223" s="51" t="n"/>
      <c r="I223" s="51" t="n"/>
      <c r="J223" s="51" t="n"/>
    </row>
    <row r="224">
      <c r="B224" s="51" t="n"/>
      <c r="C224" s="51" t="n"/>
      <c r="D224" s="51" t="n"/>
      <c r="H224" s="51" t="n"/>
      <c r="I224" s="51" t="n"/>
      <c r="J224" s="51" t="n"/>
    </row>
    <row r="225">
      <c r="B225" s="51" t="n"/>
      <c r="C225" s="51" t="n"/>
      <c r="D225" s="51" t="n"/>
      <c r="H225" s="51" t="n"/>
      <c r="I225" s="51" t="n"/>
      <c r="J225" s="51" t="n"/>
    </row>
    <row r="226">
      <c r="B226" s="51" t="n"/>
      <c r="C226" s="51" t="n"/>
      <c r="D226" s="51" t="n"/>
      <c r="H226" s="51" t="n"/>
      <c r="I226" s="51" t="n"/>
      <c r="J226" s="51" t="n"/>
    </row>
    <row r="227">
      <c r="B227" s="51" t="n"/>
      <c r="C227" s="51" t="n"/>
      <c r="D227" s="51" t="n"/>
      <c r="H227" s="51" t="n"/>
      <c r="I227" s="51" t="n"/>
      <c r="J227" s="51" t="n"/>
    </row>
    <row r="228">
      <c r="B228" s="51" t="n"/>
      <c r="C228" s="51" t="n"/>
      <c r="D228" s="51" t="n"/>
      <c r="H228" s="51" t="n"/>
      <c r="I228" s="51" t="n"/>
      <c r="J228" s="51" t="n"/>
    </row>
    <row r="229">
      <c r="B229" s="51" t="n"/>
      <c r="C229" s="51" t="n"/>
      <c r="D229" s="51" t="n"/>
      <c r="H229" s="51" t="n"/>
      <c r="I229" s="51" t="n"/>
      <c r="J229" s="51" t="n"/>
    </row>
    <row r="230">
      <c r="B230" s="51" t="n"/>
      <c r="C230" s="51" t="n"/>
      <c r="D230" s="51" t="n"/>
      <c r="H230" s="51" t="n"/>
      <c r="I230" s="51" t="n"/>
      <c r="J230" s="51" t="n"/>
    </row>
    <row r="231">
      <c r="B231" s="51" t="n"/>
      <c r="C231" s="51" t="n"/>
      <c r="D231" s="51" t="n"/>
      <c r="H231" s="51" t="n"/>
      <c r="I231" s="51" t="n"/>
      <c r="J231" s="51" t="n"/>
    </row>
    <row r="232">
      <c r="B232" s="51" t="n"/>
      <c r="C232" s="51" t="n"/>
      <c r="D232" s="51" t="n"/>
      <c r="H232" s="51" t="n"/>
      <c r="I232" s="51" t="n"/>
      <c r="J232" s="51" t="n"/>
    </row>
    <row r="233">
      <c r="B233" s="51" t="n"/>
      <c r="C233" s="51" t="n"/>
      <c r="D233" s="51" t="n"/>
      <c r="H233" s="51" t="n"/>
      <c r="I233" s="51" t="n"/>
      <c r="J233" s="51" t="n"/>
    </row>
    <row r="234">
      <c r="B234" s="51" t="n"/>
      <c r="C234" s="51" t="n"/>
      <c r="D234" s="51" t="n"/>
      <c r="H234" s="51" t="n"/>
      <c r="I234" s="51" t="n"/>
      <c r="J234" s="51" t="n"/>
    </row>
    <row r="235">
      <c r="B235" s="51" t="n"/>
      <c r="C235" s="51" t="n"/>
      <c r="D235" s="51" t="n"/>
      <c r="H235" s="51" t="n"/>
      <c r="I235" s="51" t="n"/>
      <c r="J235" s="51" t="n"/>
    </row>
    <row r="236">
      <c r="B236" s="51" t="n"/>
      <c r="C236" s="51" t="n"/>
      <c r="D236" s="51" t="n"/>
      <c r="H236" s="51" t="n"/>
      <c r="I236" s="51" t="n"/>
      <c r="J236" s="51" t="n"/>
    </row>
    <row r="237">
      <c r="B237" s="51" t="n"/>
      <c r="C237" s="51" t="n"/>
      <c r="D237" s="51" t="n"/>
      <c r="H237" s="51" t="n"/>
      <c r="I237" s="51" t="n"/>
      <c r="J237" s="51" t="n"/>
    </row>
    <row r="238">
      <c r="B238" s="51" t="n"/>
      <c r="C238" s="51" t="n"/>
      <c r="D238" s="51" t="n"/>
      <c r="H238" s="51" t="n"/>
      <c r="I238" s="51" t="n"/>
      <c r="J238" s="51" t="n"/>
    </row>
    <row r="239">
      <c r="B239" s="51" t="n"/>
      <c r="C239" s="51" t="n"/>
      <c r="D239" s="51" t="n"/>
      <c r="H239" s="51" t="n"/>
      <c r="I239" s="51" t="n"/>
      <c r="J239" s="51" t="n"/>
    </row>
    <row r="240">
      <c r="B240" s="51" t="n"/>
      <c r="C240" s="51" t="n"/>
      <c r="D240" s="51" t="n"/>
      <c r="H240" s="51" t="n"/>
      <c r="I240" s="51" t="n"/>
      <c r="J240" s="51" t="n"/>
    </row>
    <row r="241">
      <c r="B241" s="51" t="n"/>
      <c r="C241" s="51" t="n"/>
      <c r="D241" s="51" t="n"/>
      <c r="H241" s="51" t="n"/>
      <c r="I241" s="51" t="n"/>
      <c r="J241" s="51" t="n"/>
    </row>
    <row r="242">
      <c r="B242" s="51" t="n"/>
      <c r="C242" s="51" t="n"/>
      <c r="D242" s="51" t="n"/>
      <c r="H242" s="51" t="n"/>
      <c r="I242" s="51" t="n"/>
      <c r="J242" s="51" t="n"/>
    </row>
    <row r="243">
      <c r="B243" s="51" t="n"/>
      <c r="C243" s="51" t="n"/>
      <c r="D243" s="51" t="n"/>
      <c r="H243" s="51" t="n"/>
      <c r="I243" s="51" t="n"/>
      <c r="J243" s="51" t="n"/>
    </row>
    <row r="244">
      <c r="B244" s="51" t="n"/>
      <c r="C244" s="51" t="n"/>
      <c r="D244" s="51" t="n"/>
      <c r="H244" s="51" t="n"/>
      <c r="I244" s="51" t="n"/>
      <c r="J244" s="51" t="n"/>
    </row>
    <row r="245">
      <c r="B245" s="51" t="n"/>
      <c r="C245" s="51" t="n"/>
      <c r="D245" s="51" t="n"/>
      <c r="H245" s="51" t="n"/>
      <c r="I245" s="51" t="n"/>
      <c r="J245" s="51" t="n"/>
    </row>
    <row r="246">
      <c r="B246" s="51" t="n"/>
      <c r="C246" s="51" t="n"/>
      <c r="D246" s="51" t="n"/>
      <c r="H246" s="51" t="n"/>
      <c r="I246" s="51" t="n"/>
      <c r="J246" s="51" t="n"/>
    </row>
    <row r="247">
      <c r="B247" s="51" t="n"/>
      <c r="C247" s="51" t="n"/>
      <c r="D247" s="51" t="n"/>
      <c r="H247" s="51" t="n"/>
      <c r="I247" s="51" t="n"/>
      <c r="J247" s="51" t="n"/>
    </row>
    <row r="248">
      <c r="B248" s="51" t="n"/>
      <c r="C248" s="51" t="n"/>
      <c r="D248" s="51" t="n"/>
      <c r="H248" s="51" t="n"/>
      <c r="I248" s="51" t="n"/>
      <c r="J248" s="51" t="n"/>
    </row>
    <row r="249">
      <c r="B249" s="51" t="n"/>
      <c r="C249" s="51" t="n"/>
      <c r="D249" s="51" t="n"/>
      <c r="H249" s="51" t="n"/>
      <c r="I249" s="51" t="n"/>
      <c r="J249" s="51" t="n"/>
    </row>
    <row r="250">
      <c r="B250" s="51" t="n"/>
      <c r="C250" s="51" t="n"/>
      <c r="D250" s="51" t="n"/>
      <c r="H250" s="51" t="n"/>
      <c r="I250" s="51" t="n"/>
      <c r="J250" s="51" t="n"/>
    </row>
    <row r="251">
      <c r="B251" s="51" t="n"/>
      <c r="C251" s="51" t="n"/>
      <c r="D251" s="51" t="n"/>
      <c r="H251" s="51" t="n"/>
      <c r="I251" s="51" t="n"/>
      <c r="J251" s="51" t="n"/>
    </row>
    <row r="252">
      <c r="B252" s="51" t="n"/>
      <c r="C252" s="51" t="n"/>
      <c r="D252" s="51" t="n"/>
      <c r="H252" s="51" t="n"/>
      <c r="I252" s="51" t="n"/>
      <c r="J252" s="51" t="n"/>
    </row>
    <row r="253">
      <c r="B253" s="51" t="n"/>
      <c r="C253" s="51" t="n"/>
      <c r="D253" s="51" t="n"/>
      <c r="H253" s="51" t="n"/>
      <c r="I253" s="51" t="n"/>
      <c r="J253" s="51" t="n"/>
    </row>
    <row r="254">
      <c r="B254" s="51" t="n"/>
      <c r="C254" s="51" t="n"/>
      <c r="D254" s="51" t="n"/>
      <c r="H254" s="51" t="n"/>
      <c r="I254" s="51" t="n"/>
      <c r="J254" s="51" t="n"/>
    </row>
    <row r="255">
      <c r="B255" s="51" t="n"/>
      <c r="C255" s="51" t="n"/>
      <c r="D255" s="51" t="n"/>
      <c r="H255" s="51" t="n"/>
      <c r="I255" s="51" t="n"/>
      <c r="J255" s="51" t="n"/>
    </row>
    <row r="256">
      <c r="B256" s="51" t="n"/>
      <c r="C256" s="51" t="n"/>
      <c r="D256" s="51" t="n"/>
      <c r="H256" s="51" t="n"/>
      <c r="I256" s="51" t="n"/>
      <c r="J256" s="51" t="n"/>
    </row>
    <row r="257">
      <c r="B257" s="51" t="n"/>
      <c r="C257" s="51" t="n"/>
      <c r="D257" s="51" t="n"/>
      <c r="H257" s="51" t="n"/>
      <c r="I257" s="51" t="n"/>
      <c r="J257" s="51" t="n"/>
    </row>
    <row r="258">
      <c r="B258" s="51" t="n"/>
      <c r="C258" s="51" t="n"/>
      <c r="D258" s="51" t="n"/>
      <c r="H258" s="51" t="n"/>
      <c r="I258" s="51" t="n"/>
      <c r="J258" s="51" t="n"/>
    </row>
    <row r="259">
      <c r="B259" s="51" t="n"/>
      <c r="C259" s="51" t="n"/>
      <c r="D259" s="51" t="n"/>
      <c r="H259" s="51" t="n"/>
      <c r="I259" s="51" t="n"/>
      <c r="J259" s="51" t="n"/>
    </row>
    <row r="260">
      <c r="B260" s="51" t="n"/>
      <c r="C260" s="51" t="n"/>
      <c r="D260" s="51" t="n"/>
      <c r="H260" s="51" t="n"/>
      <c r="I260" s="51" t="n"/>
      <c r="J260" s="51" t="n"/>
    </row>
    <row r="261">
      <c r="B261" s="51" t="n"/>
      <c r="C261" s="51" t="n"/>
      <c r="D261" s="51" t="n"/>
      <c r="H261" s="51" t="n"/>
      <c r="I261" s="51" t="n"/>
      <c r="J261" s="51" t="n"/>
    </row>
    <row r="262">
      <c r="B262" s="51" t="n"/>
      <c r="C262" s="51" t="n"/>
      <c r="D262" s="51" t="n"/>
      <c r="H262" s="51" t="n"/>
      <c r="I262" s="51" t="n"/>
      <c r="J262" s="51" t="n"/>
    </row>
    <row r="263">
      <c r="B263" s="51" t="n"/>
      <c r="C263" s="51" t="n"/>
      <c r="D263" s="51" t="n"/>
      <c r="H263" s="51" t="n"/>
      <c r="I263" s="51" t="n"/>
      <c r="J263" s="51" t="n"/>
    </row>
    <row r="264">
      <c r="B264" s="51" t="n"/>
      <c r="C264" s="51" t="n"/>
      <c r="D264" s="51" t="n"/>
      <c r="H264" s="51" t="n"/>
      <c r="I264" s="51" t="n"/>
      <c r="J264" s="51" t="n"/>
    </row>
    <row r="265">
      <c r="B265" s="51" t="n"/>
      <c r="C265" s="51" t="n"/>
      <c r="D265" s="51" t="n"/>
      <c r="H265" s="51" t="n"/>
      <c r="I265" s="51" t="n"/>
      <c r="J265" s="51" t="n"/>
    </row>
    <row r="266">
      <c r="B266" s="51" t="n"/>
      <c r="C266" s="51" t="n"/>
      <c r="D266" s="51" t="n"/>
      <c r="H266" s="51" t="n"/>
      <c r="I266" s="51" t="n"/>
      <c r="J266" s="51" t="n"/>
    </row>
    <row r="267">
      <c r="B267" s="51" t="n"/>
      <c r="C267" s="51" t="n"/>
      <c r="D267" s="51" t="n"/>
      <c r="H267" s="51" t="n"/>
      <c r="I267" s="51" t="n"/>
      <c r="J267" s="51" t="n"/>
    </row>
    <row r="268">
      <c r="B268" s="51" t="n"/>
      <c r="C268" s="51" t="n"/>
      <c r="D268" s="51" t="n"/>
      <c r="H268" s="51" t="n"/>
      <c r="I268" s="51" t="n"/>
      <c r="J268" s="51" t="n"/>
    </row>
    <row r="269">
      <c r="B269" s="51" t="n"/>
      <c r="C269" s="51" t="n"/>
      <c r="D269" s="51" t="n"/>
      <c r="H269" s="51" t="n"/>
      <c r="I269" s="51" t="n"/>
      <c r="J269" s="51" t="n"/>
    </row>
    <row r="270">
      <c r="B270" s="51" t="n"/>
      <c r="C270" s="51" t="n"/>
      <c r="D270" s="51" t="n"/>
      <c r="H270" s="51" t="n"/>
      <c r="I270" s="51" t="n"/>
      <c r="J270" s="51" t="n"/>
    </row>
    <row r="271">
      <c r="B271" s="51" t="n"/>
      <c r="C271" s="51" t="n"/>
      <c r="D271" s="51" t="n"/>
      <c r="H271" s="51" t="n"/>
      <c r="I271" s="51" t="n"/>
      <c r="J271" s="51" t="n"/>
    </row>
    <row r="272">
      <c r="B272" s="51" t="n"/>
      <c r="C272" s="51" t="n"/>
      <c r="D272" s="51" t="n"/>
      <c r="H272" s="51" t="n"/>
      <c r="I272" s="51" t="n"/>
      <c r="J272" s="51" t="n"/>
    </row>
    <row r="273">
      <c r="B273" s="51" t="n"/>
      <c r="C273" s="51" t="n"/>
      <c r="D273" s="51" t="n"/>
      <c r="H273" s="51" t="n"/>
      <c r="I273" s="51" t="n"/>
      <c r="J273" s="51" t="n"/>
    </row>
    <row r="274">
      <c r="B274" s="51" t="n"/>
      <c r="C274" s="51" t="n"/>
      <c r="D274" s="51" t="n"/>
      <c r="H274" s="51" t="n"/>
      <c r="I274" s="51" t="n"/>
      <c r="J274" s="51" t="n"/>
    </row>
    <row r="275">
      <c r="B275" s="51" t="n"/>
      <c r="C275" s="51" t="n"/>
      <c r="D275" s="51" t="n"/>
      <c r="H275" s="51" t="n"/>
      <c r="I275" s="51" t="n"/>
      <c r="J275" s="51" t="n"/>
    </row>
    <row r="276">
      <c r="B276" s="51" t="n"/>
      <c r="C276" s="51" t="n"/>
      <c r="D276" s="51" t="n"/>
      <c r="H276" s="51" t="n"/>
      <c r="I276" s="51" t="n"/>
      <c r="J276" s="51" t="n"/>
    </row>
    <row r="277">
      <c r="B277" s="51" t="n"/>
      <c r="C277" s="51" t="n"/>
      <c r="D277" s="51" t="n"/>
      <c r="H277" s="51" t="n"/>
      <c r="I277" s="51" t="n"/>
      <c r="J277" s="51" t="n"/>
    </row>
    <row r="278">
      <c r="B278" s="51" t="n"/>
      <c r="C278" s="51" t="n"/>
      <c r="D278" s="51" t="n"/>
      <c r="H278" s="51" t="n"/>
      <c r="I278" s="51" t="n"/>
      <c r="J278" s="51" t="n"/>
    </row>
    <row r="279">
      <c r="B279" s="51" t="n"/>
      <c r="C279" s="51" t="n"/>
      <c r="D279" s="51" t="n"/>
      <c r="H279" s="51" t="n"/>
      <c r="I279" s="51" t="n"/>
      <c r="J279" s="51" t="n"/>
    </row>
    <row r="280">
      <c r="B280" s="51" t="n"/>
      <c r="C280" s="51" t="n"/>
      <c r="D280" s="51" t="n"/>
      <c r="H280" s="51" t="n"/>
      <c r="I280" s="51" t="n"/>
      <c r="J280" s="51" t="n"/>
    </row>
    <row r="281">
      <c r="B281" s="51" t="n"/>
      <c r="C281" s="51" t="n"/>
      <c r="D281" s="51" t="n"/>
      <c r="H281" s="51" t="n"/>
      <c r="I281" s="51" t="n"/>
      <c r="J281" s="51" t="n"/>
    </row>
    <row r="282">
      <c r="B282" s="51" t="n"/>
      <c r="C282" s="51" t="n"/>
      <c r="D282" s="51" t="n"/>
      <c r="H282" s="51" t="n"/>
      <c r="I282" s="51" t="n"/>
      <c r="J282" s="51" t="n"/>
    </row>
    <row r="283">
      <c r="B283" s="51" t="n"/>
      <c r="C283" s="51" t="n"/>
      <c r="D283" s="51" t="n"/>
      <c r="H283" s="51" t="n"/>
      <c r="I283" s="51" t="n"/>
      <c r="J283" s="51" t="n"/>
    </row>
    <row r="284">
      <c r="B284" s="51" t="n"/>
      <c r="C284" s="51" t="n"/>
      <c r="D284" s="51" t="n"/>
      <c r="H284" s="51" t="n"/>
      <c r="I284" s="51" t="n"/>
      <c r="J284" s="51" t="n"/>
    </row>
    <row r="285">
      <c r="B285" s="51" t="n"/>
      <c r="C285" s="51" t="n"/>
      <c r="D285" s="51" t="n"/>
      <c r="H285" s="51" t="n"/>
      <c r="I285" s="51" t="n"/>
      <c r="J285" s="51" t="n"/>
    </row>
    <row r="286">
      <c r="B286" s="51" t="n"/>
      <c r="C286" s="51" t="n"/>
      <c r="D286" s="51" t="n"/>
      <c r="H286" s="51" t="n"/>
      <c r="I286" s="51" t="n"/>
      <c r="J286" s="51" t="n"/>
    </row>
    <row r="287">
      <c r="B287" s="51" t="n"/>
      <c r="C287" s="51" t="n"/>
      <c r="D287" s="51" t="n"/>
      <c r="H287" s="51" t="n"/>
      <c r="I287" s="51" t="n"/>
      <c r="J287" s="51" t="n"/>
    </row>
    <row r="288">
      <c r="B288" s="51" t="n"/>
      <c r="C288" s="51" t="n"/>
      <c r="D288" s="51" t="n"/>
      <c r="H288" s="51" t="n"/>
      <c r="I288" s="51" t="n"/>
      <c r="J288" s="51" t="n"/>
    </row>
    <row r="289">
      <c r="B289" s="51" t="n"/>
      <c r="C289" s="51" t="n"/>
      <c r="D289" s="51" t="n"/>
      <c r="H289" s="51" t="n"/>
      <c r="I289" s="51" t="n"/>
      <c r="J289" s="51" t="n"/>
    </row>
    <row r="290">
      <c r="B290" s="51" t="n"/>
      <c r="C290" s="51" t="n"/>
      <c r="D290" s="51" t="n"/>
      <c r="H290" s="51" t="n"/>
      <c r="I290" s="51" t="n"/>
      <c r="J290" s="51" t="n"/>
    </row>
    <row r="291">
      <c r="B291" s="51" t="n"/>
      <c r="C291" s="51" t="n"/>
      <c r="D291" s="51" t="n"/>
      <c r="H291" s="51" t="n"/>
      <c r="I291" s="51" t="n"/>
      <c r="J291" s="51" t="n"/>
    </row>
    <row r="292">
      <c r="B292" s="51" t="n"/>
      <c r="C292" s="51" t="n"/>
      <c r="D292" s="51" t="n"/>
      <c r="H292" s="51" t="n"/>
      <c r="I292" s="51" t="n"/>
      <c r="J292" s="51" t="n"/>
    </row>
    <row r="293">
      <c r="B293" s="51" t="n"/>
      <c r="C293" s="51" t="n"/>
      <c r="D293" s="51" t="n"/>
      <c r="H293" s="51" t="n"/>
      <c r="I293" s="51" t="n"/>
      <c r="J293" s="51" t="n"/>
    </row>
    <row r="294">
      <c r="B294" s="51" t="n"/>
      <c r="C294" s="51" t="n"/>
      <c r="D294" s="51" t="n"/>
      <c r="H294" s="51" t="n"/>
      <c r="I294" s="51" t="n"/>
      <c r="J294" s="51" t="n"/>
    </row>
    <row r="295">
      <c r="B295" s="51" t="n"/>
      <c r="C295" s="51" t="n"/>
      <c r="D295" s="51" t="n"/>
      <c r="H295" s="51" t="n"/>
      <c r="I295" s="51" t="n"/>
      <c r="J295" s="51" t="n"/>
    </row>
    <row r="296">
      <c r="B296" s="51" t="n"/>
      <c r="C296" s="51" t="n"/>
      <c r="D296" s="51" t="n"/>
      <c r="H296" s="51" t="n"/>
      <c r="I296" s="51" t="n"/>
      <c r="J296" s="51" t="n"/>
    </row>
    <row r="297">
      <c r="B297" s="51" t="n"/>
      <c r="C297" s="51" t="n"/>
      <c r="D297" s="51" t="n"/>
      <c r="H297" s="51" t="n"/>
      <c r="I297" s="51" t="n"/>
      <c r="J297" s="51" t="n"/>
    </row>
    <row r="298">
      <c r="B298" s="51" t="n"/>
      <c r="C298" s="51" t="n"/>
      <c r="D298" s="51" t="n"/>
      <c r="H298" s="51" t="n"/>
      <c r="I298" s="51" t="n"/>
      <c r="J298" s="51" t="n"/>
    </row>
    <row r="299">
      <c r="B299" s="51" t="n"/>
      <c r="C299" s="51" t="n"/>
      <c r="D299" s="51" t="n"/>
      <c r="H299" s="51" t="n"/>
      <c r="I299" s="51" t="n"/>
      <c r="J299" s="51" t="n"/>
    </row>
    <row r="300">
      <c r="B300" s="51" t="n"/>
      <c r="C300" s="51" t="n"/>
      <c r="D300" s="51" t="n"/>
      <c r="H300" s="51" t="n"/>
      <c r="I300" s="51" t="n"/>
      <c r="J300" s="51" t="n"/>
    </row>
    <row r="301">
      <c r="B301" s="51" t="n"/>
      <c r="C301" s="51" t="n"/>
      <c r="D301" s="51" t="n"/>
      <c r="H301" s="51" t="n"/>
      <c r="I301" s="51" t="n"/>
      <c r="J301" s="51" t="n"/>
    </row>
    <row r="302">
      <c r="B302" s="51" t="n"/>
      <c r="C302" s="51" t="n"/>
      <c r="D302" s="51" t="n"/>
      <c r="H302" s="51" t="n"/>
      <c r="I302" s="51" t="n"/>
      <c r="J302" s="51" t="n"/>
    </row>
    <row r="303">
      <c r="B303" s="51" t="n"/>
      <c r="C303" s="51" t="n"/>
      <c r="D303" s="51" t="n"/>
      <c r="H303" s="51" t="n"/>
      <c r="I303" s="51" t="n"/>
      <c r="J303" s="51" t="n"/>
    </row>
    <row r="304">
      <c r="B304" s="51" t="n"/>
      <c r="C304" s="51" t="n"/>
      <c r="D304" s="51" t="n"/>
      <c r="H304" s="51" t="n"/>
      <c r="I304" s="51" t="n"/>
      <c r="J304" s="51" t="n"/>
    </row>
    <row r="305">
      <c r="B305" s="51" t="n"/>
      <c r="C305" s="51" t="n"/>
      <c r="D305" s="51" t="n"/>
      <c r="H305" s="51" t="n"/>
      <c r="I305" s="51" t="n"/>
      <c r="J305" s="51" t="n"/>
    </row>
    <row r="306">
      <c r="B306" s="51" t="n"/>
      <c r="C306" s="51" t="n"/>
      <c r="D306" s="51" t="n"/>
      <c r="H306" s="51" t="n"/>
      <c r="I306" s="51" t="n"/>
      <c r="J306" s="51" t="n"/>
    </row>
    <row r="307">
      <c r="B307" s="51" t="n"/>
      <c r="C307" s="51" t="n"/>
      <c r="D307" s="51" t="n"/>
      <c r="H307" s="51" t="n"/>
      <c r="I307" s="51" t="n"/>
      <c r="J307" s="51" t="n"/>
    </row>
    <row r="308">
      <c r="B308" s="51" t="n"/>
      <c r="C308" s="51" t="n"/>
      <c r="D308" s="51" t="n"/>
      <c r="H308" s="51" t="n"/>
      <c r="I308" s="51" t="n"/>
      <c r="J308" s="51" t="n"/>
    </row>
    <row r="309">
      <c r="B309" s="51" t="n"/>
      <c r="C309" s="51" t="n"/>
      <c r="D309" s="51" t="n"/>
      <c r="H309" s="51" t="n"/>
      <c r="I309" s="51" t="n"/>
      <c r="J309" s="51" t="n"/>
    </row>
    <row r="310">
      <c r="B310" s="51" t="n"/>
      <c r="C310" s="51" t="n"/>
      <c r="D310" s="51" t="n"/>
      <c r="H310" s="51" t="n"/>
      <c r="I310" s="51" t="n"/>
      <c r="J310" s="51" t="n"/>
    </row>
    <row r="311">
      <c r="B311" s="51" t="n"/>
      <c r="C311" s="51" t="n"/>
      <c r="D311" s="51" t="n"/>
      <c r="H311" s="51" t="n"/>
      <c r="I311" s="51" t="n"/>
      <c r="J311" s="51" t="n"/>
    </row>
    <row r="312">
      <c r="B312" s="51" t="n"/>
      <c r="C312" s="51" t="n"/>
      <c r="D312" s="51" t="n"/>
      <c r="H312" s="51" t="n"/>
      <c r="I312" s="51" t="n"/>
      <c r="J312" s="51" t="n"/>
    </row>
    <row r="313">
      <c r="B313" s="51" t="n"/>
      <c r="C313" s="51" t="n"/>
      <c r="D313" s="51" t="n"/>
      <c r="H313" s="51" t="n"/>
      <c r="I313" s="51" t="n"/>
      <c r="J313" s="51" t="n"/>
    </row>
    <row r="314">
      <c r="B314" s="51" t="n"/>
      <c r="C314" s="51" t="n"/>
      <c r="D314" s="51" t="n"/>
      <c r="H314" s="51" t="n"/>
      <c r="I314" s="51" t="n"/>
      <c r="J314" s="51" t="n"/>
    </row>
    <row r="315">
      <c r="B315" s="51" t="n"/>
      <c r="C315" s="51" t="n"/>
      <c r="D315" s="51" t="n"/>
      <c r="H315" s="51" t="n"/>
      <c r="I315" s="51" t="n"/>
      <c r="J315" s="51" t="n"/>
    </row>
    <row r="316">
      <c r="B316" s="51" t="n"/>
      <c r="C316" s="51" t="n"/>
      <c r="D316" s="51" t="n"/>
      <c r="H316" s="51" t="n"/>
      <c r="I316" s="51" t="n"/>
      <c r="J316" s="51" t="n"/>
    </row>
    <row r="317">
      <c r="B317" s="51" t="n"/>
      <c r="C317" s="51" t="n"/>
      <c r="D317" s="51" t="n"/>
      <c r="H317" s="51" t="n"/>
      <c r="I317" s="51" t="n"/>
      <c r="J317" s="51" t="n"/>
    </row>
    <row r="318">
      <c r="B318" s="51" t="n"/>
      <c r="C318" s="51" t="n"/>
      <c r="D318" s="51" t="n"/>
      <c r="H318" s="51" t="n"/>
      <c r="I318" s="51" t="n"/>
      <c r="J318" s="51" t="n"/>
    </row>
    <row r="319">
      <c r="B319" s="51" t="n"/>
      <c r="C319" s="51" t="n"/>
      <c r="D319" s="51" t="n"/>
      <c r="H319" s="51" t="n"/>
      <c r="I319" s="51" t="n"/>
      <c r="J319" s="51" t="n"/>
    </row>
    <row r="320">
      <c r="B320" s="51" t="n"/>
      <c r="C320" s="51" t="n"/>
      <c r="D320" s="51" t="n"/>
      <c r="H320" s="51" t="n"/>
      <c r="I320" s="51" t="n"/>
      <c r="J320" s="51" t="n"/>
    </row>
    <row r="321">
      <c r="B321" s="51" t="n"/>
      <c r="C321" s="51" t="n"/>
      <c r="D321" s="51" t="n"/>
      <c r="H321" s="51" t="n"/>
      <c r="I321" s="51" t="n"/>
      <c r="J321" s="51" t="n"/>
    </row>
    <row r="322">
      <c r="B322" s="51" t="n"/>
      <c r="C322" s="51" t="n"/>
      <c r="D322" s="51" t="n"/>
      <c r="H322" s="51" t="n"/>
      <c r="I322" s="51" t="n"/>
      <c r="J322" s="51" t="n"/>
    </row>
    <row r="323">
      <c r="B323" s="51" t="n"/>
      <c r="C323" s="51" t="n"/>
      <c r="D323" s="51" t="n"/>
      <c r="H323" s="51" t="n"/>
      <c r="I323" s="51" t="n"/>
      <c r="J323" s="51" t="n"/>
    </row>
    <row r="324">
      <c r="B324" s="51" t="n"/>
      <c r="C324" s="51" t="n"/>
      <c r="D324" s="51" t="n"/>
      <c r="H324" s="51" t="n"/>
      <c r="I324" s="51" t="n"/>
      <c r="J324" s="51" t="n"/>
    </row>
    <row r="325">
      <c r="B325" s="51" t="n"/>
      <c r="C325" s="51" t="n"/>
      <c r="D325" s="51" t="n"/>
      <c r="H325" s="51" t="n"/>
      <c r="I325" s="51" t="n"/>
      <c r="J325" s="51" t="n"/>
    </row>
    <row r="326">
      <c r="B326" s="51" t="n"/>
      <c r="C326" s="51" t="n"/>
      <c r="D326" s="51" t="n"/>
      <c r="H326" s="51" t="n"/>
      <c r="I326" s="51" t="n"/>
      <c r="J326" s="51" t="n"/>
    </row>
    <row r="327">
      <c r="B327" s="51" t="n"/>
      <c r="C327" s="51" t="n"/>
      <c r="D327" s="51" t="n"/>
      <c r="H327" s="51" t="n"/>
      <c r="I327" s="51" t="n"/>
      <c r="J327" s="51" t="n"/>
    </row>
    <row r="328">
      <c r="B328" s="51" t="n"/>
      <c r="C328" s="51" t="n"/>
      <c r="D328" s="51" t="n"/>
      <c r="H328" s="51" t="n"/>
      <c r="I328" s="51" t="n"/>
      <c r="J328" s="51" t="n"/>
    </row>
    <row r="329">
      <c r="B329" s="51" t="n"/>
      <c r="C329" s="51" t="n"/>
      <c r="D329" s="51" t="n"/>
      <c r="H329" s="51" t="n"/>
      <c r="I329" s="51" t="n"/>
      <c r="J329" s="51" t="n"/>
    </row>
    <row r="330">
      <c r="B330" s="51" t="n"/>
      <c r="C330" s="51" t="n"/>
      <c r="D330" s="51" t="n"/>
      <c r="H330" s="51" t="n"/>
      <c r="I330" s="51" t="n"/>
      <c r="J330" s="51" t="n"/>
    </row>
    <row r="331">
      <c r="B331" s="51" t="n"/>
      <c r="C331" s="51" t="n"/>
      <c r="D331" s="51" t="n"/>
      <c r="H331" s="51" t="n"/>
      <c r="I331" s="51" t="n"/>
      <c r="J331" s="51" t="n"/>
    </row>
    <row r="332">
      <c r="B332" s="51" t="n"/>
      <c r="C332" s="51" t="n"/>
      <c r="D332" s="51" t="n"/>
      <c r="H332" s="51" t="n"/>
      <c r="I332" s="51" t="n"/>
      <c r="J332" s="51" t="n"/>
    </row>
    <row r="333">
      <c r="B333" s="51" t="n"/>
      <c r="C333" s="51" t="n"/>
      <c r="D333" s="51" t="n"/>
      <c r="H333" s="51" t="n"/>
      <c r="I333" s="51" t="n"/>
      <c r="J333" s="51" t="n"/>
    </row>
    <row r="334">
      <c r="B334" s="51" t="n"/>
      <c r="C334" s="51" t="n"/>
      <c r="D334" s="51" t="n"/>
      <c r="H334" s="51" t="n"/>
      <c r="I334" s="51" t="n"/>
      <c r="J334" s="51" t="n"/>
    </row>
    <row r="335">
      <c r="B335" s="51" t="n"/>
      <c r="C335" s="51" t="n"/>
      <c r="D335" s="51" t="n"/>
      <c r="H335" s="51" t="n"/>
      <c r="I335" s="51" t="n"/>
      <c r="J335" s="51" t="n"/>
    </row>
    <row r="336">
      <c r="B336" s="51" t="n"/>
      <c r="C336" s="51" t="n"/>
      <c r="D336" s="51" t="n"/>
      <c r="H336" s="51" t="n"/>
      <c r="I336" s="51" t="n"/>
      <c r="J336" s="51" t="n"/>
    </row>
    <row r="337">
      <c r="B337" s="51" t="n"/>
      <c r="C337" s="51" t="n"/>
      <c r="D337" s="51" t="n"/>
      <c r="H337" s="51" t="n"/>
      <c r="I337" s="51" t="n"/>
      <c r="J337" s="51" t="n"/>
    </row>
    <row r="338">
      <c r="B338" s="51" t="n"/>
      <c r="C338" s="51" t="n"/>
      <c r="D338" s="51" t="n"/>
      <c r="H338" s="51" t="n"/>
      <c r="I338" s="51" t="n"/>
      <c r="J338" s="51" t="n"/>
    </row>
    <row r="339">
      <c r="B339" s="51" t="n"/>
      <c r="C339" s="51" t="n"/>
      <c r="D339" s="51" t="n"/>
      <c r="H339" s="51" t="n"/>
      <c r="I339" s="51" t="n"/>
      <c r="J339" s="51" t="n"/>
    </row>
    <row r="340">
      <c r="B340" s="51" t="n"/>
      <c r="C340" s="51" t="n"/>
      <c r="D340" s="51" t="n"/>
      <c r="H340" s="51" t="n"/>
      <c r="I340" s="51" t="n"/>
      <c r="J340" s="51" t="n"/>
    </row>
    <row r="341">
      <c r="B341" s="51" t="n"/>
      <c r="C341" s="51" t="n"/>
      <c r="D341" s="51" t="n"/>
      <c r="H341" s="51" t="n"/>
      <c r="I341" s="51" t="n"/>
      <c r="J341" s="51" t="n"/>
    </row>
    <row r="342">
      <c r="B342" s="51" t="n"/>
      <c r="C342" s="51" t="n"/>
      <c r="D342" s="51" t="n"/>
      <c r="H342" s="51" t="n"/>
      <c r="I342" s="51" t="n"/>
      <c r="J342" s="51" t="n"/>
    </row>
    <row r="343">
      <c r="B343" s="51" t="n"/>
      <c r="C343" s="51" t="n"/>
      <c r="D343" s="51" t="n"/>
      <c r="H343" s="51" t="n"/>
      <c r="I343" s="51" t="n"/>
      <c r="J343" s="51" t="n"/>
    </row>
    <row r="344">
      <c r="B344" s="51" t="n"/>
      <c r="C344" s="51" t="n"/>
      <c r="D344" s="51" t="n"/>
      <c r="H344" s="51" t="n"/>
      <c r="I344" s="51" t="n"/>
      <c r="J344" s="51" t="n"/>
    </row>
    <row r="345">
      <c r="B345" s="51" t="n"/>
      <c r="C345" s="51" t="n"/>
      <c r="D345" s="51" t="n"/>
      <c r="H345" s="51" t="n"/>
      <c r="I345" s="51" t="n"/>
      <c r="J345" s="51" t="n"/>
    </row>
    <row r="346">
      <c r="B346" s="51" t="n"/>
      <c r="C346" s="51" t="n"/>
      <c r="D346" s="51" t="n"/>
      <c r="H346" s="51" t="n"/>
      <c r="I346" s="51" t="n"/>
      <c r="J346" s="51" t="n"/>
    </row>
    <row r="347">
      <c r="B347" s="51" t="n"/>
      <c r="C347" s="51" t="n"/>
      <c r="D347" s="51" t="n"/>
      <c r="H347" s="51" t="n"/>
      <c r="I347" s="51" t="n"/>
      <c r="J347" s="51" t="n"/>
    </row>
    <row r="348">
      <c r="B348" s="51" t="n"/>
      <c r="C348" s="51" t="n"/>
      <c r="D348" s="51" t="n"/>
      <c r="H348" s="51" t="n"/>
      <c r="I348" s="51" t="n"/>
      <c r="J348" s="51" t="n"/>
    </row>
    <row r="349">
      <c r="B349" s="51" t="n"/>
      <c r="C349" s="51" t="n"/>
      <c r="D349" s="51" t="n"/>
      <c r="H349" s="51" t="n"/>
      <c r="I349" s="51" t="n"/>
      <c r="J349" s="51" t="n"/>
    </row>
    <row r="350">
      <c r="B350" s="51" t="n"/>
      <c r="C350" s="51" t="n"/>
      <c r="D350" s="51" t="n"/>
      <c r="H350" s="51" t="n"/>
      <c r="I350" s="51" t="n"/>
      <c r="J350" s="51" t="n"/>
    </row>
    <row r="351">
      <c r="B351" s="51" t="n"/>
      <c r="C351" s="51" t="n"/>
      <c r="D351" s="51" t="n"/>
      <c r="H351" s="51" t="n"/>
      <c r="I351" s="51" t="n"/>
      <c r="J351" s="51" t="n"/>
    </row>
    <row r="352">
      <c r="B352" s="51" t="n"/>
      <c r="C352" s="51" t="n"/>
      <c r="D352" s="51" t="n"/>
      <c r="H352" s="51" t="n"/>
      <c r="I352" s="51" t="n"/>
      <c r="J352" s="51" t="n"/>
    </row>
    <row r="353">
      <c r="B353" s="51" t="n"/>
      <c r="C353" s="51" t="n"/>
      <c r="D353" s="51" t="n"/>
      <c r="H353" s="51" t="n"/>
      <c r="I353" s="51" t="n"/>
      <c r="J353" s="51" t="n"/>
    </row>
    <row r="354">
      <c r="B354" s="51" t="n"/>
      <c r="C354" s="51" t="n"/>
      <c r="D354" s="51" t="n"/>
      <c r="H354" s="51" t="n"/>
      <c r="I354" s="51" t="n"/>
      <c r="J354" s="51" t="n"/>
    </row>
    <row r="355">
      <c r="B355" s="51" t="n"/>
      <c r="C355" s="51" t="n"/>
      <c r="D355" s="51" t="n"/>
      <c r="H355" s="51" t="n"/>
      <c r="I355" s="51" t="n"/>
      <c r="J355" s="51" t="n"/>
    </row>
    <row r="356">
      <c r="B356" s="51" t="n"/>
      <c r="C356" s="51" t="n"/>
      <c r="D356" s="51" t="n"/>
      <c r="H356" s="51" t="n"/>
      <c r="I356" s="51" t="n"/>
      <c r="J356" s="51" t="n"/>
    </row>
    <row r="357">
      <c r="B357" s="51" t="n"/>
      <c r="C357" s="51" t="n"/>
      <c r="D357" s="51" t="n"/>
      <c r="H357" s="51" t="n"/>
      <c r="I357" s="51" t="n"/>
      <c r="J357" s="51" t="n"/>
    </row>
    <row r="358">
      <c r="B358" s="51" t="n"/>
      <c r="C358" s="51" t="n"/>
      <c r="D358" s="51" t="n"/>
      <c r="H358" s="51" t="n"/>
      <c r="I358" s="51" t="n"/>
      <c r="J358" s="51" t="n"/>
    </row>
    <row r="359">
      <c r="B359" s="51" t="n"/>
      <c r="C359" s="51" t="n"/>
      <c r="D359" s="51" t="n"/>
      <c r="H359" s="51" t="n"/>
      <c r="I359" s="51" t="n"/>
      <c r="J359" s="51" t="n"/>
    </row>
    <row r="360">
      <c r="B360" s="51" t="n"/>
      <c r="C360" s="51" t="n"/>
      <c r="D360" s="51" t="n"/>
      <c r="H360" s="51" t="n"/>
      <c r="I360" s="51" t="n"/>
      <c r="J360" s="51" t="n"/>
    </row>
    <row r="361">
      <c r="B361" s="51" t="n"/>
      <c r="C361" s="51" t="n"/>
      <c r="D361" s="51" t="n"/>
      <c r="H361" s="51" t="n"/>
      <c r="I361" s="51" t="n"/>
      <c r="J361" s="51" t="n"/>
    </row>
    <row r="362">
      <c r="B362" s="51" t="n"/>
      <c r="C362" s="51" t="n"/>
      <c r="D362" s="51" t="n"/>
      <c r="H362" s="51" t="n"/>
      <c r="I362" s="51" t="n"/>
      <c r="J362" s="51" t="n"/>
    </row>
    <row r="363">
      <c r="B363" s="51" t="n"/>
      <c r="C363" s="51" t="n"/>
      <c r="D363" s="51" t="n"/>
      <c r="H363" s="51" t="n"/>
      <c r="I363" s="51" t="n"/>
      <c r="J363" s="51" t="n"/>
    </row>
    <row r="364">
      <c r="B364" s="51" t="n"/>
      <c r="C364" s="51" t="n"/>
      <c r="D364" s="51" t="n"/>
      <c r="H364" s="51" t="n"/>
      <c r="I364" s="51" t="n"/>
      <c r="J364" s="51" t="n"/>
    </row>
    <row r="365">
      <c r="B365" s="51" t="n"/>
      <c r="C365" s="51" t="n"/>
      <c r="D365" s="51" t="n"/>
      <c r="H365" s="51" t="n"/>
      <c r="I365" s="51" t="n"/>
      <c r="J365" s="51" t="n"/>
    </row>
    <row r="366">
      <c r="B366" s="51" t="n"/>
      <c r="C366" s="51" t="n"/>
      <c r="D366" s="51" t="n"/>
      <c r="H366" s="51" t="n"/>
      <c r="I366" s="51" t="n"/>
      <c r="J366" s="51" t="n"/>
    </row>
    <row r="367">
      <c r="B367" s="51" t="n"/>
      <c r="C367" s="51" t="n"/>
      <c r="D367" s="51" t="n"/>
      <c r="H367" s="51" t="n"/>
      <c r="I367" s="51" t="n"/>
      <c r="J367" s="51" t="n"/>
    </row>
    <row r="368">
      <c r="B368" s="51" t="n"/>
      <c r="C368" s="51" t="n"/>
      <c r="D368" s="51" t="n"/>
      <c r="H368" s="51" t="n"/>
      <c r="I368" s="51" t="n"/>
      <c r="J368" s="51" t="n"/>
    </row>
    <row r="369">
      <c r="B369" s="51" t="n"/>
      <c r="C369" s="51" t="n"/>
      <c r="D369" s="51" t="n"/>
      <c r="H369" s="51" t="n"/>
      <c r="I369" s="51" t="n"/>
      <c r="J369" s="51" t="n"/>
    </row>
    <row r="370">
      <c r="B370" s="51" t="n"/>
      <c r="C370" s="51" t="n"/>
      <c r="D370" s="51" t="n"/>
      <c r="H370" s="51" t="n"/>
      <c r="I370" s="51" t="n"/>
      <c r="J370" s="51" t="n"/>
    </row>
    <row r="371">
      <c r="B371" s="51" t="n"/>
      <c r="C371" s="51" t="n"/>
      <c r="D371" s="51" t="n"/>
      <c r="H371" s="51" t="n"/>
      <c r="I371" s="51" t="n"/>
      <c r="J371" s="51" t="n"/>
    </row>
    <row r="372">
      <c r="B372" s="51" t="n"/>
      <c r="C372" s="51" t="n"/>
      <c r="D372" s="51" t="n"/>
      <c r="H372" s="51" t="n"/>
      <c r="I372" s="51" t="n"/>
      <c r="J372" s="51" t="n"/>
    </row>
    <row r="373">
      <c r="B373" s="51" t="n"/>
      <c r="C373" s="51" t="n"/>
      <c r="D373" s="51" t="n"/>
      <c r="H373" s="51" t="n"/>
      <c r="I373" s="51" t="n"/>
      <c r="J373" s="51" t="n"/>
    </row>
    <row r="374">
      <c r="B374" s="51" t="n"/>
      <c r="C374" s="51" t="n"/>
      <c r="D374" s="51" t="n"/>
      <c r="H374" s="51" t="n"/>
      <c r="I374" s="51" t="n"/>
      <c r="J374" s="51" t="n"/>
    </row>
    <row r="375">
      <c r="B375" s="51" t="n"/>
      <c r="C375" s="51" t="n"/>
      <c r="D375" s="51" t="n"/>
      <c r="H375" s="51" t="n"/>
      <c r="I375" s="51" t="n"/>
      <c r="J375" s="51" t="n"/>
    </row>
    <row r="376">
      <c r="B376" s="51" t="n"/>
      <c r="C376" s="51" t="n"/>
      <c r="D376" s="51" t="n"/>
      <c r="H376" s="51" t="n"/>
      <c r="I376" s="51" t="n"/>
      <c r="J376" s="51" t="n"/>
    </row>
    <row r="377">
      <c r="B377" s="51" t="n"/>
      <c r="C377" s="51" t="n"/>
      <c r="D377" s="51" t="n"/>
      <c r="H377" s="51" t="n"/>
      <c r="I377" s="51" t="n"/>
      <c r="J377" s="51" t="n"/>
    </row>
    <row r="378">
      <c r="B378" s="51" t="n"/>
      <c r="C378" s="51" t="n"/>
      <c r="D378" s="51" t="n"/>
      <c r="H378" s="51" t="n"/>
      <c r="I378" s="51" t="n"/>
      <c r="J378" s="51" t="n"/>
    </row>
    <row r="379">
      <c r="B379" s="51" t="n"/>
      <c r="C379" s="51" t="n"/>
      <c r="D379" s="51" t="n"/>
      <c r="H379" s="51" t="n"/>
      <c r="I379" s="51" t="n"/>
      <c r="J379" s="51" t="n"/>
    </row>
    <row r="380">
      <c r="B380" s="51" t="n"/>
      <c r="C380" s="51" t="n"/>
      <c r="D380" s="51" t="n"/>
      <c r="H380" s="51" t="n"/>
      <c r="I380" s="51" t="n"/>
      <c r="J380" s="51" t="n"/>
    </row>
    <row r="381">
      <c r="B381" s="51" t="n"/>
      <c r="C381" s="51" t="n"/>
      <c r="D381" s="51" t="n"/>
      <c r="H381" s="51" t="n"/>
      <c r="I381" s="51" t="n"/>
      <c r="J381" s="51" t="n"/>
    </row>
    <row r="382">
      <c r="B382" s="51" t="n"/>
      <c r="C382" s="51" t="n"/>
      <c r="D382" s="51" t="n"/>
      <c r="H382" s="51" t="n"/>
      <c r="I382" s="51" t="n"/>
      <c r="J382" s="51" t="n"/>
    </row>
    <row r="383">
      <c r="B383" s="51" t="n"/>
      <c r="C383" s="51" t="n"/>
      <c r="D383" s="51" t="n"/>
      <c r="H383" s="51" t="n"/>
      <c r="I383" s="51" t="n"/>
      <c r="J383" s="51" t="n"/>
    </row>
    <row r="384">
      <c r="B384" s="51" t="n"/>
      <c r="C384" s="51" t="n"/>
      <c r="D384" s="51" t="n"/>
      <c r="H384" s="51" t="n"/>
      <c r="I384" s="51" t="n"/>
      <c r="J384" s="51" t="n"/>
    </row>
    <row r="385">
      <c r="B385" s="51" t="n"/>
      <c r="C385" s="51" t="n"/>
      <c r="D385" s="51" t="n"/>
      <c r="H385" s="51" t="n"/>
      <c r="I385" s="51" t="n"/>
      <c r="J385" s="51" t="n"/>
    </row>
    <row r="386">
      <c r="B386" s="51" t="n"/>
      <c r="C386" s="51" t="n"/>
      <c r="D386" s="51" t="n"/>
      <c r="H386" s="51" t="n"/>
      <c r="I386" s="51" t="n"/>
      <c r="J386" s="51" t="n"/>
    </row>
    <row r="387">
      <c r="B387" s="51" t="n"/>
      <c r="C387" s="51" t="n"/>
      <c r="D387" s="51" t="n"/>
      <c r="H387" s="51" t="n"/>
      <c r="I387" s="51" t="n"/>
      <c r="J387" s="51" t="n"/>
    </row>
    <row r="388">
      <c r="B388" s="51" t="n"/>
      <c r="C388" s="51" t="n"/>
      <c r="D388" s="51" t="n"/>
      <c r="H388" s="51" t="n"/>
      <c r="I388" s="51" t="n"/>
      <c r="J388" s="51" t="n"/>
    </row>
    <row r="389">
      <c r="B389" s="51" t="n"/>
      <c r="C389" s="51" t="n"/>
      <c r="D389" s="51" t="n"/>
      <c r="H389" s="51" t="n"/>
      <c r="I389" s="51" t="n"/>
      <c r="J389" s="51" t="n"/>
    </row>
    <row r="390">
      <c r="B390" s="51" t="n"/>
      <c r="C390" s="51" t="n"/>
      <c r="D390" s="51" t="n"/>
      <c r="H390" s="51" t="n"/>
      <c r="I390" s="51" t="n"/>
      <c r="J390" s="51" t="n"/>
    </row>
    <row r="391">
      <c r="B391" s="51" t="n"/>
      <c r="C391" s="51" t="n"/>
      <c r="D391" s="51" t="n"/>
      <c r="H391" s="51" t="n"/>
      <c r="I391" s="51" t="n"/>
      <c r="J391" s="51" t="n"/>
    </row>
    <row r="392">
      <c r="B392" s="51" t="n"/>
      <c r="C392" s="51" t="n"/>
      <c r="D392" s="51" t="n"/>
      <c r="H392" s="51" t="n"/>
      <c r="I392" s="51" t="n"/>
      <c r="J392" s="51" t="n"/>
    </row>
    <row r="393">
      <c r="B393" s="51" t="n"/>
      <c r="C393" s="51" t="n"/>
      <c r="D393" s="51" t="n"/>
      <c r="H393" s="51" t="n"/>
      <c r="I393" s="51" t="n"/>
      <c r="J393" s="51" t="n"/>
    </row>
    <row r="394">
      <c r="B394" s="51" t="n"/>
      <c r="C394" s="51" t="n"/>
      <c r="D394" s="51" t="n"/>
      <c r="H394" s="51" t="n"/>
      <c r="I394" s="51" t="n"/>
      <c r="J394" s="51" t="n"/>
    </row>
    <row r="395">
      <c r="B395" s="51" t="n"/>
      <c r="C395" s="51" t="n"/>
      <c r="D395" s="51" t="n"/>
      <c r="H395" s="51" t="n"/>
      <c r="I395" s="51" t="n"/>
      <c r="J395" s="51" t="n"/>
    </row>
    <row r="396">
      <c r="B396" s="51" t="n"/>
      <c r="C396" s="51" t="n"/>
      <c r="D396" s="51" t="n"/>
      <c r="H396" s="51" t="n"/>
      <c r="I396" s="51" t="n"/>
      <c r="J396" s="51" t="n"/>
    </row>
    <row r="397">
      <c r="B397" s="51" t="n"/>
      <c r="C397" s="51" t="n"/>
      <c r="D397" s="51" t="n"/>
      <c r="H397" s="51" t="n"/>
      <c r="I397" s="51" t="n"/>
      <c r="J397" s="51" t="n"/>
    </row>
    <row r="398">
      <c r="B398" s="51" t="n"/>
      <c r="C398" s="51" t="n"/>
      <c r="D398" s="51" t="n"/>
      <c r="H398" s="51" t="n"/>
      <c r="I398" s="51" t="n"/>
      <c r="J398" s="51" t="n"/>
    </row>
    <row r="399">
      <c r="B399" s="51" t="n"/>
      <c r="C399" s="51" t="n"/>
      <c r="D399" s="51" t="n"/>
      <c r="H399" s="51" t="n"/>
      <c r="I399" s="51" t="n"/>
      <c r="J399" s="51" t="n"/>
    </row>
    <row r="400">
      <c r="B400" s="51" t="n"/>
      <c r="C400" s="51" t="n"/>
      <c r="D400" s="51" t="n"/>
      <c r="H400" s="51" t="n"/>
      <c r="I400" s="51" t="n"/>
      <c r="J400" s="51" t="n"/>
    </row>
    <row r="401">
      <c r="B401" s="51" t="n"/>
      <c r="C401" s="51" t="n"/>
      <c r="D401" s="51" t="n"/>
      <c r="H401" s="51" t="n"/>
      <c r="I401" s="51" t="n"/>
      <c r="J401" s="51" t="n"/>
    </row>
    <row r="402">
      <c r="B402" s="51" t="n"/>
      <c r="C402" s="51" t="n"/>
      <c r="D402" s="51" t="n"/>
      <c r="H402" s="51" t="n"/>
      <c r="I402" s="51" t="n"/>
      <c r="J402" s="51" t="n"/>
    </row>
    <row r="403">
      <c r="B403" s="51" t="n"/>
      <c r="C403" s="51" t="n"/>
      <c r="D403" s="51" t="n"/>
      <c r="H403" s="51" t="n"/>
      <c r="I403" s="51" t="n"/>
      <c r="J403" s="51" t="n"/>
    </row>
    <row r="404">
      <c r="B404" s="51" t="n"/>
      <c r="C404" s="51" t="n"/>
      <c r="D404" s="51" t="n"/>
      <c r="H404" s="51" t="n"/>
      <c r="I404" s="51" t="n"/>
      <c r="J404" s="51" t="n"/>
    </row>
    <row r="405">
      <c r="B405" s="51" t="n"/>
      <c r="C405" s="51" t="n"/>
      <c r="D405" s="51" t="n"/>
      <c r="H405" s="51" t="n"/>
      <c r="I405" s="51" t="n"/>
      <c r="J405" s="51" t="n"/>
    </row>
    <row r="406">
      <c r="B406" s="51" t="n"/>
      <c r="C406" s="51" t="n"/>
      <c r="D406" s="51" t="n"/>
      <c r="H406" s="51" t="n"/>
      <c r="I406" s="51" t="n"/>
      <c r="J406" s="51" t="n"/>
    </row>
    <row r="407">
      <c r="B407" s="51" t="n"/>
      <c r="C407" s="51" t="n"/>
      <c r="D407" s="51" t="n"/>
      <c r="H407" s="51" t="n"/>
      <c r="I407" s="51" t="n"/>
      <c r="J407" s="51" t="n"/>
    </row>
    <row r="408">
      <c r="B408" s="51" t="n"/>
      <c r="C408" s="51" t="n"/>
      <c r="D408" s="51" t="n"/>
      <c r="H408" s="51" t="n"/>
      <c r="I408" s="51" t="n"/>
      <c r="J408" s="51" t="n"/>
    </row>
    <row r="409">
      <c r="B409" s="51" t="n"/>
      <c r="C409" s="51" t="n"/>
      <c r="D409" s="51" t="n"/>
      <c r="H409" s="51" t="n"/>
      <c r="I409" s="51" t="n"/>
      <c r="J409" s="51" t="n"/>
    </row>
    <row r="410">
      <c r="B410" s="51" t="n"/>
      <c r="C410" s="51" t="n"/>
      <c r="D410" s="51" t="n"/>
      <c r="H410" s="51" t="n"/>
      <c r="I410" s="51" t="n"/>
      <c r="J410" s="51" t="n"/>
    </row>
    <row r="411">
      <c r="B411" s="51" t="n"/>
      <c r="C411" s="51" t="n"/>
      <c r="D411" s="51" t="n"/>
      <c r="H411" s="51" t="n"/>
      <c r="I411" s="51" t="n"/>
      <c r="J411" s="51" t="n"/>
    </row>
    <row r="412">
      <c r="B412" s="51" t="n"/>
      <c r="C412" s="51" t="n"/>
      <c r="D412" s="51" t="n"/>
      <c r="H412" s="51" t="n"/>
      <c r="I412" s="51" t="n"/>
      <c r="J412" s="51" t="n"/>
    </row>
    <row r="413">
      <c r="B413" s="51" t="n"/>
      <c r="C413" s="51" t="n"/>
      <c r="D413" s="51" t="n"/>
      <c r="H413" s="51" t="n"/>
      <c r="I413" s="51" t="n"/>
      <c r="J413" s="51" t="n"/>
    </row>
    <row r="414">
      <c r="B414" s="51" t="n"/>
      <c r="C414" s="51" t="n"/>
      <c r="D414" s="51" t="n"/>
      <c r="H414" s="51" t="n"/>
      <c r="I414" s="51" t="n"/>
      <c r="J414" s="51" t="n"/>
    </row>
    <row r="415">
      <c r="B415" s="51" t="n"/>
      <c r="C415" s="51" t="n"/>
      <c r="D415" s="51" t="n"/>
      <c r="H415" s="51" t="n"/>
      <c r="I415" s="51" t="n"/>
      <c r="J415" s="51" t="n"/>
    </row>
    <row r="416">
      <c r="B416" s="51" t="n"/>
      <c r="C416" s="51" t="n"/>
      <c r="D416" s="51" t="n"/>
      <c r="H416" s="51" t="n"/>
      <c r="I416" s="51" t="n"/>
      <c r="J416" s="51" t="n"/>
    </row>
    <row r="417">
      <c r="B417" s="51" t="n"/>
      <c r="C417" s="51" t="n"/>
      <c r="D417" s="51" t="n"/>
      <c r="H417" s="51" t="n"/>
      <c r="I417" s="51" t="n"/>
      <c r="J417" s="51" t="n"/>
    </row>
    <row r="418">
      <c r="B418" s="51" t="n"/>
      <c r="C418" s="51" t="n"/>
      <c r="D418" s="51" t="n"/>
      <c r="H418" s="51" t="n"/>
      <c r="I418" s="51" t="n"/>
      <c r="J418" s="51" t="n"/>
    </row>
    <row r="419">
      <c r="B419" s="51" t="n"/>
      <c r="C419" s="51" t="n"/>
      <c r="D419" s="51" t="n"/>
      <c r="H419" s="51" t="n"/>
      <c r="I419" s="51" t="n"/>
      <c r="J419" s="51" t="n"/>
    </row>
    <row r="420">
      <c r="B420" s="51" t="n"/>
      <c r="C420" s="51" t="n"/>
      <c r="D420" s="51" t="n"/>
      <c r="H420" s="51" t="n"/>
      <c r="I420" s="51" t="n"/>
      <c r="J420" s="51" t="n"/>
    </row>
    <row r="421">
      <c r="B421" s="51" t="n"/>
      <c r="C421" s="51" t="n"/>
      <c r="D421" s="51" t="n"/>
      <c r="H421" s="51" t="n"/>
      <c r="I421" s="51" t="n"/>
      <c r="J421" s="51" t="n"/>
    </row>
    <row r="422">
      <c r="B422" s="51" t="n"/>
      <c r="C422" s="51" t="n"/>
      <c r="D422" s="51" t="n"/>
      <c r="H422" s="51" t="n"/>
      <c r="I422" s="51" t="n"/>
      <c r="J422" s="51" t="n"/>
    </row>
    <row r="423">
      <c r="B423" s="51" t="n"/>
      <c r="C423" s="51" t="n"/>
      <c r="D423" s="51" t="n"/>
      <c r="H423" s="51" t="n"/>
      <c r="I423" s="51" t="n"/>
      <c r="J423" s="51" t="n"/>
    </row>
    <row r="424">
      <c r="B424" s="51" t="n"/>
      <c r="C424" s="51" t="n"/>
      <c r="D424" s="51" t="n"/>
      <c r="H424" s="51" t="n"/>
      <c r="I424" s="51" t="n"/>
      <c r="J424" s="51" t="n"/>
    </row>
    <row r="425">
      <c r="B425" s="51" t="n"/>
      <c r="C425" s="51" t="n"/>
      <c r="D425" s="51" t="n"/>
      <c r="H425" s="51" t="n"/>
      <c r="I425" s="51" t="n"/>
      <c r="J425" s="51" t="n"/>
    </row>
    <row r="426">
      <c r="B426" s="51" t="n"/>
      <c r="C426" s="51" t="n"/>
      <c r="D426" s="51" t="n"/>
      <c r="H426" s="51" t="n"/>
      <c r="I426" s="51" t="n"/>
      <c r="J426" s="51" t="n"/>
    </row>
    <row r="427">
      <c r="B427" s="51" t="n"/>
      <c r="C427" s="51" t="n"/>
      <c r="D427" s="51" t="n"/>
      <c r="H427" s="51" t="n"/>
      <c r="I427" s="51" t="n"/>
      <c r="J427" s="51" t="n"/>
    </row>
    <row r="428">
      <c r="B428" s="51" t="n"/>
      <c r="C428" s="51" t="n"/>
      <c r="D428" s="51" t="n"/>
      <c r="H428" s="51" t="n"/>
      <c r="I428" s="51" t="n"/>
      <c r="J428" s="51" t="n"/>
    </row>
    <row r="429">
      <c r="B429" s="51" t="n"/>
      <c r="C429" s="51" t="n"/>
      <c r="D429" s="51" t="n"/>
      <c r="H429" s="51" t="n"/>
      <c r="I429" s="51" t="n"/>
      <c r="J429" s="51" t="n"/>
    </row>
    <row r="430">
      <c r="B430" s="51" t="n"/>
      <c r="C430" s="51" t="n"/>
      <c r="D430" s="51" t="n"/>
      <c r="H430" s="51" t="n"/>
      <c r="I430" s="51" t="n"/>
      <c r="J430" s="51" t="n"/>
    </row>
    <row r="431">
      <c r="B431" s="51" t="n"/>
      <c r="C431" s="51" t="n"/>
      <c r="D431" s="51" t="n"/>
      <c r="H431" s="51" t="n"/>
      <c r="I431" s="51" t="n"/>
      <c r="J431" s="51" t="n"/>
    </row>
    <row r="432">
      <c r="B432" s="51" t="n"/>
      <c r="C432" s="51" t="n"/>
      <c r="D432" s="51" t="n"/>
      <c r="H432" s="51" t="n"/>
      <c r="I432" s="51" t="n"/>
      <c r="J432" s="51" t="n"/>
    </row>
    <row r="433">
      <c r="B433" s="51" t="n"/>
      <c r="C433" s="51" t="n"/>
      <c r="D433" s="51" t="n"/>
      <c r="H433" s="51" t="n"/>
      <c r="I433" s="51" t="n"/>
      <c r="J433" s="51" t="n"/>
    </row>
    <row r="434">
      <c r="B434" s="51" t="n"/>
      <c r="C434" s="51" t="n"/>
      <c r="D434" s="51" t="n"/>
      <c r="H434" s="51" t="n"/>
      <c r="I434" s="51" t="n"/>
      <c r="J434" s="51" t="n"/>
    </row>
    <row r="435">
      <c r="B435" s="51" t="n"/>
      <c r="C435" s="51" t="n"/>
      <c r="D435" s="51" t="n"/>
      <c r="H435" s="51" t="n"/>
      <c r="I435" s="51" t="n"/>
      <c r="J435" s="51" t="n"/>
    </row>
    <row r="436">
      <c r="B436" s="51" t="n"/>
      <c r="C436" s="51" t="n"/>
      <c r="D436" s="51" t="n"/>
      <c r="H436" s="51" t="n"/>
      <c r="I436" s="51" t="n"/>
      <c r="J436" s="51" t="n"/>
    </row>
    <row r="437">
      <c r="B437" s="51" t="n"/>
      <c r="C437" s="51" t="n"/>
      <c r="D437" s="51" t="n"/>
      <c r="H437" s="51" t="n"/>
      <c r="I437" s="51" t="n"/>
      <c r="J437" s="51" t="n"/>
    </row>
    <row r="438">
      <c r="B438" s="51" t="n"/>
      <c r="C438" s="51" t="n"/>
      <c r="D438" s="51" t="n"/>
      <c r="H438" s="51" t="n"/>
      <c r="I438" s="51" t="n"/>
      <c r="J438" s="51" t="n"/>
    </row>
    <row r="439">
      <c r="B439" s="51" t="n"/>
      <c r="C439" s="51" t="n"/>
      <c r="D439" s="51" t="n"/>
      <c r="H439" s="51" t="n"/>
      <c r="I439" s="51" t="n"/>
      <c r="J439" s="51" t="n"/>
    </row>
    <row r="440">
      <c r="B440" s="51" t="n"/>
      <c r="C440" s="51" t="n"/>
      <c r="D440" s="51" t="n"/>
      <c r="H440" s="51" t="n"/>
      <c r="I440" s="51" t="n"/>
      <c r="J440" s="51" t="n"/>
    </row>
    <row r="441">
      <c r="B441" s="51" t="n"/>
      <c r="C441" s="51" t="n"/>
      <c r="D441" s="51" t="n"/>
      <c r="H441" s="51" t="n"/>
      <c r="I441" s="51" t="n"/>
      <c r="J441" s="51" t="n"/>
    </row>
    <row r="442">
      <c r="B442" s="51" t="n"/>
      <c r="C442" s="51" t="n"/>
      <c r="D442" s="51" t="n"/>
      <c r="H442" s="51" t="n"/>
      <c r="I442" s="51" t="n"/>
      <c r="J442" s="51" t="n"/>
    </row>
    <row r="443">
      <c r="B443" s="51" t="n"/>
      <c r="C443" s="51" t="n"/>
      <c r="D443" s="51" t="n"/>
      <c r="H443" s="51" t="n"/>
      <c r="I443" s="51" t="n"/>
      <c r="J443" s="51" t="n"/>
    </row>
    <row r="444">
      <c r="B444" s="51" t="n"/>
      <c r="C444" s="51" t="n"/>
      <c r="D444" s="51" t="n"/>
      <c r="H444" s="51" t="n"/>
      <c r="I444" s="51" t="n"/>
      <c r="J444" s="51" t="n"/>
    </row>
    <row r="445">
      <c r="B445" s="51" t="n"/>
      <c r="C445" s="51" t="n"/>
      <c r="D445" s="51" t="n"/>
      <c r="H445" s="51" t="n"/>
      <c r="I445" s="51" t="n"/>
      <c r="J445" s="51" t="n"/>
    </row>
    <row r="446">
      <c r="B446" s="51" t="n"/>
      <c r="C446" s="51" t="n"/>
      <c r="D446" s="51" t="n"/>
      <c r="H446" s="51" t="n"/>
      <c r="I446" s="51" t="n"/>
      <c r="J446" s="51" t="n"/>
    </row>
    <row r="447">
      <c r="B447" s="51" t="n"/>
      <c r="C447" s="51" t="n"/>
      <c r="D447" s="51" t="n"/>
      <c r="H447" s="51" t="n"/>
      <c r="I447" s="51" t="n"/>
      <c r="J447" s="51" t="n"/>
    </row>
    <row r="448">
      <c r="B448" s="51" t="n"/>
      <c r="C448" s="51" t="n"/>
      <c r="D448" s="51" t="n"/>
      <c r="H448" s="51" t="n"/>
      <c r="I448" s="51" t="n"/>
      <c r="J448" s="51" t="n"/>
    </row>
    <row r="449">
      <c r="B449" s="51" t="n"/>
      <c r="C449" s="51" t="n"/>
      <c r="D449" s="51" t="n"/>
      <c r="H449" s="51" t="n"/>
      <c r="I449" s="51" t="n"/>
      <c r="J449" s="51" t="n"/>
    </row>
    <row r="450">
      <c r="B450" s="51" t="n"/>
      <c r="C450" s="51" t="n"/>
      <c r="D450" s="51" t="n"/>
      <c r="H450" s="51" t="n"/>
      <c r="I450" s="51" t="n"/>
      <c r="J450" s="51" t="n"/>
    </row>
    <row r="451">
      <c r="B451" s="51" t="n"/>
      <c r="C451" s="51" t="n"/>
      <c r="D451" s="51" t="n"/>
      <c r="H451" s="51" t="n"/>
      <c r="I451" s="51" t="n"/>
      <c r="J451" s="51" t="n"/>
    </row>
    <row r="452">
      <c r="B452" s="51" t="n"/>
      <c r="C452" s="51" t="n"/>
      <c r="D452" s="51" t="n"/>
      <c r="H452" s="51" t="n"/>
      <c r="I452" s="51" t="n"/>
      <c r="J452" s="51" t="n"/>
    </row>
    <row r="453">
      <c r="B453" s="51" t="n"/>
      <c r="C453" s="51" t="n"/>
      <c r="D453" s="51" t="n"/>
      <c r="H453" s="51" t="n"/>
      <c r="I453" s="51" t="n"/>
      <c r="J453" s="51" t="n"/>
    </row>
    <row r="454">
      <c r="B454" s="51" t="n"/>
      <c r="C454" s="51" t="n"/>
      <c r="D454" s="51" t="n"/>
      <c r="H454" s="51" t="n"/>
      <c r="I454" s="51" t="n"/>
      <c r="J454" s="51" t="n"/>
    </row>
    <row r="455">
      <c r="B455" s="51" t="n"/>
      <c r="C455" s="51" t="n"/>
      <c r="D455" s="51" t="n"/>
      <c r="H455" s="51" t="n"/>
      <c r="I455" s="51" t="n"/>
      <c r="J455" s="51" t="n"/>
    </row>
    <row r="456">
      <c r="B456" s="51" t="n"/>
      <c r="C456" s="51" t="n"/>
      <c r="D456" s="51" t="n"/>
      <c r="H456" s="51" t="n"/>
      <c r="I456" s="51" t="n"/>
      <c r="J456" s="51" t="n"/>
    </row>
    <row r="457">
      <c r="B457" s="51" t="n"/>
      <c r="C457" s="51" t="n"/>
      <c r="D457" s="51" t="n"/>
      <c r="H457" s="51" t="n"/>
      <c r="I457" s="51" t="n"/>
      <c r="J457" s="51" t="n"/>
    </row>
    <row r="458">
      <c r="B458" s="51" t="n"/>
      <c r="C458" s="51" t="n"/>
      <c r="D458" s="51" t="n"/>
      <c r="H458" s="51" t="n"/>
      <c r="I458" s="51" t="n"/>
      <c r="J458" s="51" t="n"/>
    </row>
    <row r="459">
      <c r="B459" s="51" t="n"/>
      <c r="C459" s="51" t="n"/>
      <c r="D459" s="51" t="n"/>
      <c r="H459" s="51" t="n"/>
      <c r="I459" s="51" t="n"/>
      <c r="J459" s="51" t="n"/>
    </row>
    <row r="460">
      <c r="B460" s="51" t="n"/>
      <c r="C460" s="51" t="n"/>
      <c r="D460" s="51" t="n"/>
      <c r="H460" s="51" t="n"/>
      <c r="I460" s="51" t="n"/>
      <c r="J460" s="51" t="n"/>
    </row>
    <row r="461">
      <c r="B461" s="51" t="n"/>
      <c r="C461" s="51" t="n"/>
      <c r="D461" s="51" t="n"/>
      <c r="H461" s="51" t="n"/>
      <c r="I461" s="51" t="n"/>
      <c r="J461" s="51" t="n"/>
    </row>
    <row r="462">
      <c r="B462" s="51" t="n"/>
      <c r="C462" s="51" t="n"/>
      <c r="D462" s="51" t="n"/>
      <c r="H462" s="51" t="n"/>
      <c r="I462" s="51" t="n"/>
      <c r="J462" s="51" t="n"/>
    </row>
    <row r="463">
      <c r="B463" s="51" t="n"/>
      <c r="C463" s="51" t="n"/>
      <c r="D463" s="51" t="n"/>
      <c r="H463" s="51" t="n"/>
      <c r="I463" s="51" t="n"/>
      <c r="J463" s="51" t="n"/>
    </row>
    <row r="464">
      <c r="B464" s="51" t="n"/>
      <c r="C464" s="51" t="n"/>
      <c r="D464" s="51" t="n"/>
      <c r="H464" s="51" t="n"/>
      <c r="I464" s="51" t="n"/>
      <c r="J464" s="51" t="n"/>
    </row>
    <row r="465">
      <c r="B465" s="51" t="n"/>
      <c r="C465" s="51" t="n"/>
      <c r="D465" s="51" t="n"/>
      <c r="H465" s="51" t="n"/>
      <c r="I465" s="51" t="n"/>
      <c r="J465" s="51" t="n"/>
    </row>
    <row r="466">
      <c r="B466" s="51" t="n"/>
      <c r="C466" s="51" t="n"/>
      <c r="D466" s="51" t="n"/>
      <c r="H466" s="51" t="n"/>
      <c r="I466" s="51" t="n"/>
      <c r="J466" s="51" t="n"/>
    </row>
    <row r="467">
      <c r="B467" s="51" t="n"/>
      <c r="C467" s="51" t="n"/>
      <c r="D467" s="51" t="n"/>
      <c r="H467" s="51" t="n"/>
      <c r="I467" s="51" t="n"/>
      <c r="J467" s="51" t="n"/>
    </row>
    <row r="468">
      <c r="B468" s="51" t="n"/>
      <c r="C468" s="51" t="n"/>
      <c r="D468" s="51" t="n"/>
      <c r="H468" s="51" t="n"/>
      <c r="I468" s="51" t="n"/>
      <c r="J468" s="51" t="n"/>
    </row>
    <row r="469">
      <c r="B469" s="51" t="n"/>
      <c r="C469" s="51" t="n"/>
      <c r="D469" s="51" t="n"/>
      <c r="H469" s="51" t="n"/>
      <c r="I469" s="51" t="n"/>
      <c r="J469" s="51" t="n"/>
    </row>
    <row r="470">
      <c r="B470" s="51" t="n"/>
      <c r="C470" s="51" t="n"/>
      <c r="D470" s="51" t="n"/>
      <c r="H470" s="51" t="n"/>
      <c r="I470" s="51" t="n"/>
      <c r="J470" s="51" t="n"/>
    </row>
    <row r="471">
      <c r="B471" s="51" t="n"/>
      <c r="C471" s="51" t="n"/>
      <c r="D471" s="51" t="n"/>
      <c r="H471" s="51" t="n"/>
      <c r="I471" s="51" t="n"/>
      <c r="J471" s="51" t="n"/>
    </row>
    <row r="472">
      <c r="B472" s="51" t="n"/>
      <c r="C472" s="51" t="n"/>
      <c r="D472" s="51" t="n"/>
      <c r="H472" s="51" t="n"/>
      <c r="I472" s="51" t="n"/>
      <c r="J472" s="51" t="n"/>
    </row>
    <row r="473">
      <c r="B473" s="51" t="n"/>
      <c r="C473" s="51" t="n"/>
      <c r="D473" s="51" t="n"/>
      <c r="H473" s="51" t="n"/>
      <c r="I473" s="51" t="n"/>
      <c r="J473" s="51" t="n"/>
    </row>
    <row r="474">
      <c r="B474" s="51" t="n"/>
      <c r="C474" s="51" t="n"/>
      <c r="D474" s="51" t="n"/>
      <c r="H474" s="51" t="n"/>
      <c r="I474" s="51" t="n"/>
      <c r="J474" s="51" t="n"/>
    </row>
    <row r="475">
      <c r="B475" s="51" t="n"/>
      <c r="C475" s="51" t="n"/>
      <c r="D475" s="51" t="n"/>
      <c r="H475" s="51" t="n"/>
      <c r="I475" s="51" t="n"/>
      <c r="J475" s="51" t="n"/>
    </row>
    <row r="476">
      <c r="B476" s="51" t="n"/>
      <c r="C476" s="51" t="n"/>
      <c r="D476" s="51" t="n"/>
      <c r="H476" s="51" t="n"/>
      <c r="I476" s="51" t="n"/>
      <c r="J476" s="51" t="n"/>
    </row>
    <row r="477">
      <c r="B477" s="51" t="n"/>
      <c r="C477" s="51" t="n"/>
      <c r="D477" s="51" t="n"/>
      <c r="H477" s="51" t="n"/>
      <c r="I477" s="51" t="n"/>
      <c r="J477" s="51" t="n"/>
    </row>
    <row r="478">
      <c r="B478" s="51" t="n"/>
      <c r="C478" s="51" t="n"/>
      <c r="D478" s="51" t="n"/>
      <c r="H478" s="51" t="n"/>
      <c r="I478" s="51" t="n"/>
      <c r="J478" s="51" t="n"/>
    </row>
    <row r="479">
      <c r="B479" s="51" t="n"/>
      <c r="C479" s="51" t="n"/>
      <c r="D479" s="51" t="n"/>
      <c r="H479" s="51" t="n"/>
      <c r="I479" s="51" t="n"/>
      <c r="J479" s="51" t="n"/>
    </row>
    <row r="480">
      <c r="B480" s="51" t="n"/>
      <c r="C480" s="51" t="n"/>
      <c r="D480" s="51" t="n"/>
      <c r="H480" s="51" t="n"/>
      <c r="I480" s="51" t="n"/>
      <c r="J480" s="51" t="n"/>
    </row>
    <row r="481">
      <c r="B481" s="51" t="n"/>
      <c r="C481" s="51" t="n"/>
      <c r="D481" s="51" t="n"/>
      <c r="H481" s="51" t="n"/>
      <c r="I481" s="51" t="n"/>
      <c r="J481" s="51" t="n"/>
    </row>
    <row r="482">
      <c r="B482" s="51" t="n"/>
      <c r="C482" s="51" t="n"/>
      <c r="D482" s="51" t="n"/>
      <c r="H482" s="51" t="n"/>
      <c r="I482" s="51" t="n"/>
      <c r="J482" s="51" t="n"/>
    </row>
    <row r="483">
      <c r="B483" s="51" t="n"/>
      <c r="C483" s="51" t="n"/>
      <c r="D483" s="51" t="n"/>
      <c r="H483" s="51" t="n"/>
      <c r="I483" s="51" t="n"/>
      <c r="J483" s="51" t="n"/>
    </row>
    <row r="484">
      <c r="B484" s="51" t="n"/>
      <c r="C484" s="51" t="n"/>
      <c r="D484" s="51" t="n"/>
      <c r="H484" s="51" t="n"/>
      <c r="I484" s="51" t="n"/>
      <c r="J484" s="51" t="n"/>
    </row>
    <row r="485">
      <c r="B485" s="51" t="n"/>
      <c r="C485" s="51" t="n"/>
      <c r="D485" s="51" t="n"/>
      <c r="H485" s="51" t="n"/>
      <c r="I485" s="51" t="n"/>
      <c r="J485" s="51" t="n"/>
    </row>
    <row r="486">
      <c r="B486" s="51" t="n"/>
      <c r="C486" s="51" t="n"/>
      <c r="D486" s="51" t="n"/>
      <c r="H486" s="51" t="n"/>
      <c r="I486" s="51" t="n"/>
      <c r="J486" s="51" t="n"/>
    </row>
    <row r="487">
      <c r="B487" s="51" t="n"/>
      <c r="C487" s="51" t="n"/>
      <c r="D487" s="51" t="n"/>
      <c r="H487" s="51" t="n"/>
      <c r="I487" s="51" t="n"/>
      <c r="J487" s="51" t="n"/>
    </row>
    <row r="488">
      <c r="B488" s="51" t="n"/>
      <c r="C488" s="51" t="n"/>
      <c r="D488" s="51" t="n"/>
      <c r="H488" s="51" t="n"/>
      <c r="I488" s="51" t="n"/>
      <c r="J488" s="51" t="n"/>
    </row>
    <row r="489">
      <c r="B489" s="51" t="n"/>
      <c r="C489" s="51" t="n"/>
      <c r="D489" s="51" t="n"/>
      <c r="H489" s="51" t="n"/>
      <c r="I489" s="51" t="n"/>
      <c r="J489" s="51" t="n"/>
    </row>
    <row r="490">
      <c r="B490" s="51" t="n"/>
      <c r="C490" s="51" t="n"/>
      <c r="D490" s="51" t="n"/>
      <c r="H490" s="51" t="n"/>
      <c r="I490" s="51" t="n"/>
      <c r="J490" s="51" t="n"/>
    </row>
    <row r="491">
      <c r="B491" s="51" t="n"/>
      <c r="C491" s="51" t="n"/>
      <c r="D491" s="51" t="n"/>
      <c r="H491" s="51" t="n"/>
      <c r="I491" s="51" t="n"/>
      <c r="J491" s="51" t="n"/>
    </row>
    <row r="492">
      <c r="B492" s="51" t="n"/>
      <c r="C492" s="51" t="n"/>
      <c r="D492" s="51" t="n"/>
      <c r="H492" s="51" t="n"/>
      <c r="I492" s="51" t="n"/>
      <c r="J492" s="51" t="n"/>
    </row>
    <row r="493">
      <c r="B493" s="51" t="n"/>
      <c r="C493" s="51" t="n"/>
      <c r="D493" s="51" t="n"/>
      <c r="H493" s="51" t="n"/>
      <c r="I493" s="51" t="n"/>
      <c r="J493" s="51" t="n"/>
    </row>
    <row r="494">
      <c r="B494" s="51" t="n"/>
      <c r="C494" s="51" t="n"/>
      <c r="D494" s="51" t="n"/>
      <c r="H494" s="51" t="n"/>
      <c r="I494" s="51" t="n"/>
      <c r="J494" s="51" t="n"/>
    </row>
    <row r="495">
      <c r="B495" s="51" t="n"/>
      <c r="C495" s="51" t="n"/>
      <c r="D495" s="51" t="n"/>
      <c r="H495" s="51" t="n"/>
      <c r="I495" s="51" t="n"/>
      <c r="J495" s="51" t="n"/>
    </row>
    <row r="496">
      <c r="B496" s="51" t="n"/>
      <c r="C496" s="51" t="n"/>
      <c r="D496" s="51" t="n"/>
      <c r="H496" s="51" t="n"/>
      <c r="I496" s="51" t="n"/>
      <c r="J496" s="51" t="n"/>
    </row>
    <row r="497">
      <c r="B497" s="51" t="n"/>
      <c r="C497" s="51" t="n"/>
      <c r="D497" s="51" t="n"/>
      <c r="H497" s="51" t="n"/>
      <c r="I497" s="51" t="n"/>
      <c r="J497" s="51" t="n"/>
    </row>
    <row r="498">
      <c r="B498" s="51" t="n"/>
      <c r="C498" s="51" t="n"/>
      <c r="D498" s="51" t="n"/>
      <c r="H498" s="51" t="n"/>
      <c r="I498" s="51" t="n"/>
      <c r="J498" s="51" t="n"/>
    </row>
    <row r="499">
      <c r="B499" s="51" t="n"/>
      <c r="C499" s="51" t="n"/>
      <c r="D499" s="51" t="n"/>
      <c r="H499" s="51" t="n"/>
      <c r="I499" s="51" t="n"/>
      <c r="J499" s="51" t="n"/>
    </row>
    <row r="500">
      <c r="B500" s="51" t="n"/>
      <c r="C500" s="51" t="n"/>
      <c r="D500" s="51" t="n"/>
      <c r="H500" s="51" t="n"/>
      <c r="I500" s="51" t="n"/>
      <c r="J500" s="51" t="n"/>
    </row>
    <row r="501">
      <c r="B501" s="51" t="n"/>
      <c r="C501" s="51" t="n"/>
      <c r="D501" s="51" t="n"/>
      <c r="H501" s="51" t="n"/>
      <c r="I501" s="51" t="n"/>
      <c r="J501" s="51" t="n"/>
    </row>
    <row r="502">
      <c r="B502" s="51" t="n"/>
      <c r="C502" s="51" t="n"/>
      <c r="D502" s="51" t="n"/>
      <c r="H502" s="51" t="n"/>
      <c r="I502" s="51" t="n"/>
      <c r="J502" s="51" t="n"/>
    </row>
    <row r="503">
      <c r="B503" s="51" t="n"/>
      <c r="C503" s="51" t="n"/>
      <c r="D503" s="51" t="n"/>
      <c r="H503" s="51" t="n"/>
      <c r="I503" s="51" t="n"/>
      <c r="J503" s="51" t="n"/>
    </row>
    <row r="504">
      <c r="B504" s="51" t="n"/>
      <c r="C504" s="51" t="n"/>
      <c r="D504" s="51" t="n"/>
      <c r="H504" s="51" t="n"/>
      <c r="I504" s="51" t="n"/>
      <c r="J504" s="51" t="n"/>
    </row>
    <row r="505">
      <c r="B505" s="51" t="n"/>
      <c r="C505" s="51" t="n"/>
      <c r="D505" s="51" t="n"/>
      <c r="H505" s="51" t="n"/>
      <c r="I505" s="51" t="n"/>
      <c r="J505" s="51" t="n"/>
    </row>
    <row r="506">
      <c r="B506" s="51" t="n"/>
      <c r="C506" s="51" t="n"/>
      <c r="D506" s="51" t="n"/>
      <c r="H506" s="51" t="n"/>
      <c r="I506" s="51" t="n"/>
      <c r="J506" s="51" t="n"/>
    </row>
    <row r="507">
      <c r="B507" s="51" t="n"/>
      <c r="C507" s="51" t="n"/>
      <c r="D507" s="51" t="n"/>
      <c r="H507" s="51" t="n"/>
      <c r="I507" s="51" t="n"/>
      <c r="J507" s="51" t="n"/>
    </row>
    <row r="508">
      <c r="B508" s="51" t="n"/>
      <c r="C508" s="51" t="n"/>
      <c r="D508" s="51" t="n"/>
      <c r="H508" s="51" t="n"/>
      <c r="I508" s="51" t="n"/>
      <c r="J508" s="51" t="n"/>
    </row>
    <row r="509">
      <c r="B509" s="51" t="n"/>
      <c r="C509" s="51" t="n"/>
      <c r="D509" s="51" t="n"/>
      <c r="H509" s="51" t="n"/>
      <c r="I509" s="51" t="n"/>
      <c r="J509" s="51" t="n"/>
    </row>
    <row r="510">
      <c r="B510" s="51" t="n"/>
      <c r="C510" s="51" t="n"/>
      <c r="D510" s="51" t="n"/>
      <c r="H510" s="51" t="n"/>
      <c r="I510" s="51" t="n"/>
      <c r="J510" s="51" t="n"/>
    </row>
    <row r="511">
      <c r="B511" s="51" t="n"/>
      <c r="C511" s="51" t="n"/>
      <c r="D511" s="51" t="n"/>
      <c r="H511" s="51" t="n"/>
      <c r="I511" s="51" t="n"/>
      <c r="J511" s="51" t="n"/>
    </row>
    <row r="512">
      <c r="B512" s="51" t="n"/>
      <c r="C512" s="51" t="n"/>
      <c r="D512" s="51" t="n"/>
      <c r="H512" s="51" t="n"/>
      <c r="I512" s="51" t="n"/>
      <c r="J512" s="51" t="n"/>
    </row>
    <row r="513">
      <c r="B513" s="51" t="n"/>
      <c r="C513" s="51" t="n"/>
      <c r="D513" s="51" t="n"/>
      <c r="H513" s="51" t="n"/>
      <c r="I513" s="51" t="n"/>
      <c r="J513" s="51" t="n"/>
    </row>
    <row r="514">
      <c r="B514" s="51" t="n"/>
      <c r="C514" s="51" t="n"/>
      <c r="D514" s="51" t="n"/>
      <c r="H514" s="51" t="n"/>
      <c r="I514" s="51" t="n"/>
      <c r="J514" s="51" t="n"/>
    </row>
    <row r="515">
      <c r="B515" s="51" t="n"/>
      <c r="C515" s="51" t="n"/>
      <c r="D515" s="51" t="n"/>
      <c r="H515" s="51" t="n"/>
      <c r="I515" s="51" t="n"/>
      <c r="J515" s="51" t="n"/>
    </row>
    <row r="516">
      <c r="B516" s="51" t="n"/>
      <c r="C516" s="51" t="n"/>
      <c r="D516" s="51" t="n"/>
      <c r="H516" s="51" t="n"/>
      <c r="I516" s="51" t="n"/>
      <c r="J516" s="51" t="n"/>
    </row>
    <row r="517">
      <c r="B517" s="51" t="n"/>
      <c r="C517" s="51" t="n"/>
      <c r="D517" s="51" t="n"/>
      <c r="H517" s="51" t="n"/>
      <c r="I517" s="51" t="n"/>
      <c r="J517" s="51" t="n"/>
    </row>
  </sheetData>
  <mergeCells count="7">
    <mergeCell ref="B7:J7"/>
    <mergeCell ref="B3:J3"/>
    <mergeCell ref="B5:J5"/>
    <mergeCell ref="B10:C10"/>
    <mergeCell ref="B4:J4"/>
    <mergeCell ref="B6:J6"/>
    <mergeCell ref="C8:J8"/>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G17:G517">
    <cfRule type="expression" priority="4" dxfId="6">
      <formula>AND(LEN($B17&amp;$C17&amp;$D17&amp;$E17&amp;$F17&amp;$G17&amp;$H17&amp;$I17&amp;$J17)&gt;0,G17="")</formula>
    </cfRule>
  </conditionalFormatting>
  <conditionalFormatting sqref="H17:H517">
    <cfRule type="expression" priority="5" dxfId="6">
      <formula>AND(LEN($B17&amp;$C17&amp;$D17&amp;$E17&amp;$F17&amp;$G17&amp;$H17&amp;$I17&amp;$J17)&gt;0,H17="")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Module" error="Choose a value of the list Module of an approval matrix (sheet Reference lists)." promptTitle="Module" prompt="Yes. Module of the approval Allowed: Submitted Policies, Employee Benefits, Sanction Screening, Disbursement (list Module of an approval matrix)" type="list" errorStyle="stop">
      <formula1>=LIST_APPROVAL_MODULE</formula1>
    </dataValidation>
    <dataValidation sqref="C17:C517" showDropDown="0" showInputMessage="1" showErrorMessage="0" allowBlank="1" promptTitle="Document or transaction" prompt="Yes. What is approved"/>
    <dataValidation sqref="D17:D517" showDropDown="0" showInputMessage="1" showErrorMessage="0" allowBlank="1" promptTitle="Segment or case type" prompt="No. Scope of the row"/>
    <dataValidation sqref="E17:E517" showDropDown="0" showInputMessage="1" showErrorMessage="1" allowBlank="1" errorTitle="From amount" error="Enter a number." promptTitle="From amount" prompt="No. Lower bound (sum insured, premium or amount) Allowed: A number" type="decimal" operator="greaterThanOrEqual">
      <formula1>-1E+15</formula1>
    </dataValidation>
    <dataValidation sqref="F17:F517" showDropDown="0" showInputMessage="1" showErrorMessage="1" allowBlank="1" errorTitle="To amount" error="Enter a number." promptTitle="To amount" prompt="No. Upper bound Allowed: A number" type="decimal" operator="greaterThanOrEqual">
      <formula1>-1E+15</formula1>
    </dataValidation>
    <dataValidation sqref="G17:G517" showDropDown="0" showInputMessage="1" showErrorMessage="1" allowBlank="1" errorTitle="Approval level" error="Enter a whole number from 1 to 9." promptTitle="Approval level" prompt="Yes. Order of the approval Allowed: A whole number from 1 to 9" type="whole" operator="between">
      <formula1>1</formula1>
      <formula2>9</formula2>
    </dataValidation>
    <dataValidation sqref="H17:H517" showDropDown="0" showInputMessage="1" showErrorMessage="1" allowBlank="1" errorTitle="Approver role" error="The code is not in UA-02, column Group profile code. Enter it there first, or keep it if it is a code BIBS already holds." promptTitle="Approver role" prompt="Yes. Profile that approves Allowed: A code of UA-02 Role-to-permission matrix, column Group profile code" type="list" errorStyle="warning">
      <formula1>=CODES_UA_02_GROUP_PROFILE_CODE</formula1>
    </dataValidation>
    <dataValidation sqref="I17:I517" showDropDown="0" showInputMessage="1" showErrorMessage="1" allowBlank="1" errorTitle="Named approver" error="The code is not in UA-01, column User ID. Enter it there first, or keep it if it is a code BIBS already holds." promptTitle="Named approver" prompt="No. Only when one person approves Allowed: A code of UA-01 Users and roles load, column User ID" type="list" errorStyle="warning">
      <formula1>=CODES_UA_01_USER_ID</formula1>
    </dataValidation>
    <dataValidation sqref="J17:J517" showDropDown="0" showInputMessage="1" showErrorMessage="0" allowBlank="1" promptTitle="Signatory title" prompt="No. Title printed on the document"/>
  </dataValidations>
  <hyperlinks>
    <hyperlink ref="A2" location="'Start here'!A1"/>
    <hyperlink ref="J2" location="'Questions and comments'!A1"/>
    <hyperlink ref="B8" location="'UA-02 Role matrix'!A1"/>
    <hyperlink ref="C8" location="'UA-01 Users and roles'!A1"/>
    <hyperlink ref="B14" location="'Reference lists'!A316"/>
    <hyperlink ref="H14" location="'UA-02 Role matrix'!B16"/>
    <hyperlink ref="I14" location="'UA-01 Users and role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54545454545454" customWidth="1" min="2" max="2"/>
    <col width="24.54545454545454" customWidth="1" min="3" max="3"/>
    <col width="14" customWidth="1" min="4" max="4"/>
    <col width="13.18181818181818" customWidth="1" min="5" max="5"/>
    <col width="19" customWidth="1" min="6" max="6"/>
    <col width="31" customWidth="1" min="7" max="7"/>
    <col width="24" customWidth="1" min="8" max="8"/>
  </cols>
  <sheetData>
    <row r="1" ht="26" customHeight="1">
      <c r="A1" s="27" t="inlineStr">
        <is>
          <t>PM-04 Rate tables</t>
        </is>
      </c>
      <c r="H1" s="28" t="inlineStr">
        <is>
          <t>Step 22 of 31</t>
        </is>
      </c>
    </row>
    <row r="2">
      <c r="A2" s="29" t="inlineStr">
        <is>
          <t>← Back to Start here</t>
        </is>
      </c>
      <c r="B2" s="30" t="inlineStr">
        <is>
          <t>Step 22 of 31. Fill in one row per record below the column headers; the guide above each column says what to enter.</t>
        </is>
      </c>
      <c r="H2" s="31" t="inlineStr">
        <is>
          <t>Ask a question →</t>
        </is>
      </c>
    </row>
    <row r="3" outlineLevel="1" ht="15.5" customHeight="1">
      <c r="A3" s="32" t="inlineStr">
        <is>
          <t>Purpose</t>
        </is>
      </c>
      <c r="B3" s="33" t="inlineStr">
        <is>
          <t>Statutory charges and rating factors, the short-period table and the motor BI / PD limit premiums</t>
        </is>
      </c>
    </row>
    <row r="4" outlineLevel="1" ht="15.5" customHeight="1">
      <c r="A4" s="32" t="inlineStr">
        <is>
          <t>Provided by</t>
        </is>
      </c>
      <c r="B4" s="33" t="inlineStr">
        <is>
          <t>Product Owner, MBS; Comptrollership (taxes)</t>
        </is>
      </c>
    </row>
    <row r="5" outlineLevel="1" ht="15.5" customHeight="1">
      <c r="A5" s="32" t="inlineStr">
        <is>
          <t>Due</t>
        </is>
      </c>
      <c r="B5" s="34" t="inlineStr">
        <is>
          <t>16-Jul-2027 – Values for UAT</t>
        </is>
      </c>
    </row>
    <row r="6" outlineLevel="1" ht="15.5" customHeight="1">
      <c r="A6" s="32" t="inlineStr">
        <is>
          <t>How it is loaded</t>
        </is>
      </c>
      <c r="B6" s="33" t="inlineStr">
        <is>
          <t>Entered on Rates &amp; Taxes (SCR-PM-19), pending authorisation; not migrated (effective-dated from go-live)</t>
        </is>
      </c>
    </row>
    <row r="7" outlineLevel="1" ht="15.5" customHeight="1">
      <c r="A7" s="32" t="inlineStr">
        <is>
          <t>Source</t>
        </is>
      </c>
      <c r="B7" s="33" t="inlineStr">
        <is>
          <t>BIR and LGU rates; current rating tables</t>
        </is>
      </c>
    </row>
    <row r="8" outlineLevel="1" ht="15" customHeight="1">
      <c r="A8" s="32" t="inlineStr">
        <is>
          <t>Depends on</t>
        </is>
      </c>
      <c r="B8" s="55" t="inlineStr">
        <is>
          <t>PM-01 Product catalogue →</t>
        </is>
      </c>
    </row>
    <row r="9" ht="26" customHeight="1">
      <c r="A9" s="36" t="inlineStr">
        <is>
          <t>Progress</t>
        </is>
      </c>
      <c r="B9" s="37" t="inlineStr">
        <is>
          <t>Rows entered</t>
        </is>
      </c>
      <c r="C9" s="38">
        <f>SUMPRODUCT(((ROW($B$17:$B$517)&gt;17)+($B$17&lt;&gt;"TAX")&gt;0)*(LEN($B$17:$B$517&amp;$C$17:$C$517&amp;$D$17:$D$517&amp;$E$17:$E$517&amp;$F$17:$F$517&amp;$G$17:$G$517&amp;$H$17:$H$517)&gt;0))</f>
        <v/>
      </c>
      <c r="D9" s="37" t="inlineStr">
        <is>
          <t>Mandatory cells missing</t>
        </is>
      </c>
      <c r="E9" s="38">
        <f>SUMPRODUCT(((ROW($B$17:$B$517)&gt;17)+($B$17&lt;&gt;"TAX")&gt;0)*(LEN($B$17:$B$517&amp;$C$17:$C$517&amp;$D$17:$D$517&amp;$E$17:$E$517&amp;$F$17:$F$517&amp;$G$17:$G$517&amp;$H$17:$H$517)&gt;0)*(($B$17:$B$517="")+($H$17:$H$517="")))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row>
    <row r="12" ht="43" customHeight="1">
      <c r="A12" s="43" t="inlineStr">
        <is>
          <t>Mandatory</t>
        </is>
      </c>
      <c r="B12" s="44" t="inlineStr">
        <is>
          <t>Yes</t>
        </is>
      </c>
      <c r="C12" s="45" t="inlineStr">
        <is>
          <t>Conditional: TAX</t>
        </is>
      </c>
      <c r="D12" s="45" t="inlineStr">
        <is>
          <t>No</t>
        </is>
      </c>
      <c r="E12" s="45" t="inlineStr">
        <is>
          <t>Conditional: TAX, SHORT_PERIOD</t>
        </is>
      </c>
      <c r="F12" s="45" t="inlineStr">
        <is>
          <t>Conditional: SHORT_PERIOD</t>
        </is>
      </c>
      <c r="G12" s="45" t="inlineStr">
        <is>
          <t>Conditional: MOTOR_LIMIT</t>
        </is>
      </c>
      <c r="H12" s="44" t="inlineStr">
        <is>
          <t>Yes (from)</t>
        </is>
      </c>
    </row>
    <row r="13" ht="30" customHeight="1">
      <c r="A13" s="43" t="inlineStr">
        <is>
          <t>Format</t>
        </is>
      </c>
      <c r="B13" s="45" t="inlineStr">
        <is>
          <t>TAX, SHORT_PERIOD or MOTOR_LIMIT</t>
        </is>
      </c>
      <c r="C13" s="45" t="inlineStr">
        <is>
          <t>DST, premium tax, VAT, fire service tax, motor factors</t>
        </is>
      </c>
      <c r="D13" s="45" t="inlineStr">
        <is>
          <t>Line; blank = every line</t>
        </is>
      </c>
      <c r="E13" s="45" t="inlineStr">
        <is>
          <t>Up to four decimals, 0 to 100</t>
        </is>
      </c>
      <c r="F13" s="45" t="inlineStr">
        <is>
          <t>1 to 12</t>
        </is>
      </c>
      <c r="G13" s="45" t="inlineStr">
        <is>
          <t>BI or PD; amounts in PHP</t>
        </is>
      </c>
      <c r="H13" s="45" t="inlineStr">
        <is>
          <t>dd-MMM-yyyy</t>
        </is>
      </c>
    </row>
    <row r="14" ht="56" customHeight="1">
      <c r="A14" s="43" t="inlineStr">
        <is>
          <t>Allowed values</t>
        </is>
      </c>
      <c r="B14" s="53" t="inlineStr">
        <is>
          <t>TAX, SHORT_PERIOD, MOTOR_LIMIT (list Rate table)</t>
        </is>
      </c>
      <c r="C14" s="45" t="inlineStr">
        <is>
          <t>Free entry</t>
        </is>
      </c>
      <c r="D14" s="53" t="inlineStr">
        <is>
          <t>A code of PM-01 Product catalogue, column Line code</t>
        </is>
      </c>
      <c r="E14" s="45" t="inlineStr">
        <is>
          <t>A number from 0 to 100</t>
        </is>
      </c>
      <c r="F14" s="45" t="inlineStr">
        <is>
          <t>A whole number from 1 to 12</t>
        </is>
      </c>
      <c r="G14" s="45" t="inlineStr">
        <is>
          <t>Free entry</t>
        </is>
      </c>
      <c r="H14" s="45" t="inlineStr">
        <is>
          <t>Free entry</t>
        </is>
      </c>
    </row>
    <row r="15" ht="43" customHeight="1">
      <c r="A15" s="43" t="inlineStr">
        <is>
          <t>What to enter</t>
        </is>
      </c>
      <c r="B15" s="45" t="inlineStr">
        <is>
          <t>Table of the row</t>
        </is>
      </c>
      <c r="C15" s="45" t="inlineStr">
        <is>
          <t>Charge or factor</t>
        </is>
      </c>
      <c r="D15" s="45" t="inlineStr">
        <is>
          <t>Line the rate applies to</t>
        </is>
      </c>
      <c r="E15" s="45" t="inlineStr">
        <is>
          <t>Rate, or % of the annual premium</t>
        </is>
      </c>
      <c r="F15" s="45" t="inlineStr">
        <is>
          <t>Months covered, up to</t>
        </is>
      </c>
      <c r="G15" s="45" t="inlineStr">
        <is>
          <t>Limit and its premium</t>
        </is>
      </c>
      <c r="H15" s="45" t="inlineStr">
        <is>
          <t>Validity of the row</t>
        </is>
      </c>
    </row>
    <row r="16" ht="30" customHeight="1">
      <c r="A16" s="46" t="inlineStr">
        <is>
          <t>Row</t>
        </is>
      </c>
      <c r="B16" s="47" t="inlineStr">
        <is>
          <t>Table *</t>
        </is>
      </c>
      <c r="C16" s="47" t="inlineStr">
        <is>
          <t>Rate</t>
        </is>
      </c>
      <c r="D16" s="47" t="inlineStr">
        <is>
          <t>Line code</t>
        </is>
      </c>
      <c r="E16" s="47" t="inlineStr">
        <is>
          <t>Rate %</t>
        </is>
      </c>
      <c r="F16" s="47" t="inlineStr">
        <is>
          <t>Months covered</t>
        </is>
      </c>
      <c r="G16" s="47" t="inlineStr">
        <is>
          <t>Coverage / Limit / Premium</t>
        </is>
      </c>
      <c r="H16" s="47" t="inlineStr">
        <is>
          <t>Effective from / to *</t>
        </is>
      </c>
    </row>
    <row r="17" ht="18" customHeight="1">
      <c r="A17" s="48" t="inlineStr">
        <is>
          <t>Example – overwrite or delete</t>
        </is>
      </c>
      <c r="B17" s="49" t="inlineStr">
        <is>
          <t>TAX</t>
        </is>
      </c>
      <c r="C17" s="49" t="inlineStr">
        <is>
          <t>DST</t>
        </is>
      </c>
      <c r="D17" s="49" t="n"/>
      <c r="E17" s="54" t="n">
        <v>12.5</v>
      </c>
      <c r="F17" s="54" t="n">
        <v>6</v>
      </c>
      <c r="G17" s="49" t="inlineStr">
        <is>
          <t>BI; 100000.00; 350.00</t>
        </is>
      </c>
      <c r="H17" s="49" t="inlineStr">
        <is>
          <t>01-Jan-2028</t>
        </is>
      </c>
    </row>
    <row r="18">
      <c r="B18" s="51" t="n"/>
      <c r="C18" s="51" t="n"/>
      <c r="D18" s="51" t="n"/>
      <c r="G18" s="51" t="n"/>
      <c r="H18" s="51" t="n"/>
    </row>
    <row r="19">
      <c r="B19" s="51" t="n"/>
      <c r="C19" s="51" t="n"/>
      <c r="D19" s="51" t="n"/>
      <c r="G19" s="51" t="n"/>
      <c r="H19" s="51" t="n"/>
    </row>
    <row r="20">
      <c r="B20" s="51" t="n"/>
      <c r="C20" s="51" t="n"/>
      <c r="D20" s="51" t="n"/>
      <c r="G20" s="51" t="n"/>
      <c r="H20" s="51" t="n"/>
    </row>
    <row r="21">
      <c r="B21" s="51" t="n"/>
      <c r="C21" s="51" t="n"/>
      <c r="D21" s="51" t="n"/>
      <c r="G21" s="51" t="n"/>
      <c r="H21" s="51" t="n"/>
    </row>
    <row r="22">
      <c r="B22" s="51" t="n"/>
      <c r="C22" s="51" t="n"/>
      <c r="D22" s="51" t="n"/>
      <c r="G22" s="51" t="n"/>
      <c r="H22" s="51" t="n"/>
    </row>
    <row r="23">
      <c r="B23" s="51" t="n"/>
      <c r="C23" s="51" t="n"/>
      <c r="D23" s="51" t="n"/>
      <c r="G23" s="51" t="n"/>
      <c r="H23" s="51" t="n"/>
    </row>
    <row r="24">
      <c r="B24" s="51" t="n"/>
      <c r="C24" s="51" t="n"/>
      <c r="D24" s="51" t="n"/>
      <c r="G24" s="51" t="n"/>
      <c r="H24" s="51" t="n"/>
    </row>
    <row r="25">
      <c r="B25" s="51" t="n"/>
      <c r="C25" s="51" t="n"/>
      <c r="D25" s="51" t="n"/>
      <c r="G25" s="51" t="n"/>
      <c r="H25" s="51" t="n"/>
    </row>
    <row r="26">
      <c r="B26" s="51" t="n"/>
      <c r="C26" s="51" t="n"/>
      <c r="D26" s="51" t="n"/>
      <c r="G26" s="51" t="n"/>
      <c r="H26" s="51" t="n"/>
    </row>
    <row r="27">
      <c r="B27" s="51" t="n"/>
      <c r="C27" s="51" t="n"/>
      <c r="D27" s="51" t="n"/>
      <c r="G27" s="51" t="n"/>
      <c r="H27" s="51" t="n"/>
    </row>
    <row r="28">
      <c r="B28" s="51" t="n"/>
      <c r="C28" s="51" t="n"/>
      <c r="D28" s="51" t="n"/>
      <c r="G28" s="51" t="n"/>
      <c r="H28" s="51" t="n"/>
    </row>
    <row r="29">
      <c r="B29" s="51" t="n"/>
      <c r="C29" s="51" t="n"/>
      <c r="D29" s="51" t="n"/>
      <c r="G29" s="51" t="n"/>
      <c r="H29" s="51" t="n"/>
    </row>
    <row r="30">
      <c r="B30" s="51" t="n"/>
      <c r="C30" s="51" t="n"/>
      <c r="D30" s="51" t="n"/>
      <c r="G30" s="51" t="n"/>
      <c r="H30" s="51" t="n"/>
    </row>
    <row r="31">
      <c r="B31" s="51" t="n"/>
      <c r="C31" s="51" t="n"/>
      <c r="D31" s="51" t="n"/>
      <c r="G31" s="51" t="n"/>
      <c r="H31" s="51" t="n"/>
    </row>
    <row r="32">
      <c r="B32" s="51" t="n"/>
      <c r="C32" s="51" t="n"/>
      <c r="D32" s="51" t="n"/>
      <c r="G32" s="51" t="n"/>
      <c r="H32" s="51" t="n"/>
    </row>
    <row r="33">
      <c r="B33" s="51" t="n"/>
      <c r="C33" s="51" t="n"/>
      <c r="D33" s="51" t="n"/>
      <c r="G33" s="51" t="n"/>
      <c r="H33" s="51" t="n"/>
    </row>
    <row r="34">
      <c r="B34" s="51" t="n"/>
      <c r="C34" s="51" t="n"/>
      <c r="D34" s="51" t="n"/>
      <c r="G34" s="51" t="n"/>
      <c r="H34" s="51" t="n"/>
    </row>
    <row r="35">
      <c r="B35" s="51" t="n"/>
      <c r="C35" s="51" t="n"/>
      <c r="D35" s="51" t="n"/>
      <c r="G35" s="51" t="n"/>
      <c r="H35" s="51" t="n"/>
    </row>
    <row r="36">
      <c r="B36" s="51" t="n"/>
      <c r="C36" s="51" t="n"/>
      <c r="D36" s="51" t="n"/>
      <c r="G36" s="51" t="n"/>
      <c r="H36" s="51" t="n"/>
    </row>
    <row r="37">
      <c r="B37" s="51" t="n"/>
      <c r="C37" s="51" t="n"/>
      <c r="D37" s="51" t="n"/>
      <c r="G37" s="51" t="n"/>
      <c r="H37" s="51" t="n"/>
    </row>
    <row r="38">
      <c r="B38" s="51" t="n"/>
      <c r="C38" s="51" t="n"/>
      <c r="D38" s="51" t="n"/>
      <c r="G38" s="51" t="n"/>
      <c r="H38" s="51" t="n"/>
    </row>
    <row r="39">
      <c r="B39" s="51" t="n"/>
      <c r="C39" s="51" t="n"/>
      <c r="D39" s="51" t="n"/>
      <c r="G39" s="51" t="n"/>
      <c r="H39" s="51" t="n"/>
    </row>
    <row r="40">
      <c r="B40" s="51" t="n"/>
      <c r="C40" s="51" t="n"/>
      <c r="D40" s="51" t="n"/>
      <c r="G40" s="51" t="n"/>
      <c r="H40" s="51" t="n"/>
    </row>
    <row r="41">
      <c r="B41" s="51" t="n"/>
      <c r="C41" s="51" t="n"/>
      <c r="D41" s="51" t="n"/>
      <c r="G41" s="51" t="n"/>
      <c r="H41" s="51" t="n"/>
    </row>
    <row r="42">
      <c r="B42" s="51" t="n"/>
      <c r="C42" s="51" t="n"/>
      <c r="D42" s="51" t="n"/>
      <c r="G42" s="51" t="n"/>
      <c r="H42" s="51" t="n"/>
    </row>
    <row r="43">
      <c r="B43" s="51" t="n"/>
      <c r="C43" s="51" t="n"/>
      <c r="D43" s="51" t="n"/>
      <c r="G43" s="51" t="n"/>
      <c r="H43" s="51" t="n"/>
    </row>
    <row r="44">
      <c r="B44" s="51" t="n"/>
      <c r="C44" s="51" t="n"/>
      <c r="D44" s="51" t="n"/>
      <c r="G44" s="51" t="n"/>
      <c r="H44" s="51" t="n"/>
    </row>
    <row r="45">
      <c r="B45" s="51" t="n"/>
      <c r="C45" s="51" t="n"/>
      <c r="D45" s="51" t="n"/>
      <c r="G45" s="51" t="n"/>
      <c r="H45" s="51" t="n"/>
    </row>
    <row r="46">
      <c r="B46" s="51" t="n"/>
      <c r="C46" s="51" t="n"/>
      <c r="D46" s="51" t="n"/>
      <c r="G46" s="51" t="n"/>
      <c r="H46" s="51" t="n"/>
    </row>
    <row r="47">
      <c r="B47" s="51" t="n"/>
      <c r="C47" s="51" t="n"/>
      <c r="D47" s="51" t="n"/>
      <c r="G47" s="51" t="n"/>
      <c r="H47" s="51" t="n"/>
    </row>
    <row r="48">
      <c r="B48" s="51" t="n"/>
      <c r="C48" s="51" t="n"/>
      <c r="D48" s="51" t="n"/>
      <c r="G48" s="51" t="n"/>
      <c r="H48" s="51" t="n"/>
    </row>
    <row r="49">
      <c r="B49" s="51" t="n"/>
      <c r="C49" s="51" t="n"/>
      <c r="D49" s="51" t="n"/>
      <c r="G49" s="51" t="n"/>
      <c r="H49" s="51" t="n"/>
    </row>
    <row r="50">
      <c r="B50" s="51" t="n"/>
      <c r="C50" s="51" t="n"/>
      <c r="D50" s="51" t="n"/>
      <c r="G50" s="51" t="n"/>
      <c r="H50" s="51" t="n"/>
    </row>
    <row r="51">
      <c r="B51" s="51" t="n"/>
      <c r="C51" s="51" t="n"/>
      <c r="D51" s="51" t="n"/>
      <c r="G51" s="51" t="n"/>
      <c r="H51" s="51" t="n"/>
    </row>
    <row r="52">
      <c r="B52" s="51" t="n"/>
      <c r="C52" s="51" t="n"/>
      <c r="D52" s="51" t="n"/>
      <c r="G52" s="51" t="n"/>
      <c r="H52" s="51" t="n"/>
    </row>
    <row r="53">
      <c r="B53" s="51" t="n"/>
      <c r="C53" s="51" t="n"/>
      <c r="D53" s="51" t="n"/>
      <c r="G53" s="51" t="n"/>
      <c r="H53" s="51" t="n"/>
    </row>
    <row r="54">
      <c r="B54" s="51" t="n"/>
      <c r="C54" s="51" t="n"/>
      <c r="D54" s="51" t="n"/>
      <c r="G54" s="51" t="n"/>
      <c r="H54" s="51" t="n"/>
    </row>
    <row r="55">
      <c r="B55" s="51" t="n"/>
      <c r="C55" s="51" t="n"/>
      <c r="D55" s="51" t="n"/>
      <c r="G55" s="51" t="n"/>
      <c r="H55" s="51" t="n"/>
    </row>
    <row r="56">
      <c r="B56" s="51" t="n"/>
      <c r="C56" s="51" t="n"/>
      <c r="D56" s="51" t="n"/>
      <c r="G56" s="51" t="n"/>
      <c r="H56" s="51" t="n"/>
    </row>
    <row r="57">
      <c r="B57" s="51" t="n"/>
      <c r="C57" s="51" t="n"/>
      <c r="D57" s="51" t="n"/>
      <c r="G57" s="51" t="n"/>
      <c r="H57" s="51" t="n"/>
    </row>
    <row r="58">
      <c r="B58" s="51" t="n"/>
      <c r="C58" s="51" t="n"/>
      <c r="D58" s="51" t="n"/>
      <c r="G58" s="51" t="n"/>
      <c r="H58" s="51" t="n"/>
    </row>
    <row r="59">
      <c r="B59" s="51" t="n"/>
      <c r="C59" s="51" t="n"/>
      <c r="D59" s="51" t="n"/>
      <c r="G59" s="51" t="n"/>
      <c r="H59" s="51" t="n"/>
    </row>
    <row r="60">
      <c r="B60" s="51" t="n"/>
      <c r="C60" s="51" t="n"/>
      <c r="D60" s="51" t="n"/>
      <c r="G60" s="51" t="n"/>
      <c r="H60" s="51" t="n"/>
    </row>
    <row r="61">
      <c r="B61" s="51" t="n"/>
      <c r="C61" s="51" t="n"/>
      <c r="D61" s="51" t="n"/>
      <c r="G61" s="51" t="n"/>
      <c r="H61" s="51" t="n"/>
    </row>
    <row r="62">
      <c r="B62" s="51" t="n"/>
      <c r="C62" s="51" t="n"/>
      <c r="D62" s="51" t="n"/>
      <c r="G62" s="51" t="n"/>
      <c r="H62" s="51" t="n"/>
    </row>
    <row r="63">
      <c r="B63" s="51" t="n"/>
      <c r="C63" s="51" t="n"/>
      <c r="D63" s="51" t="n"/>
      <c r="G63" s="51" t="n"/>
      <c r="H63" s="51" t="n"/>
    </row>
    <row r="64">
      <c r="B64" s="51" t="n"/>
      <c r="C64" s="51" t="n"/>
      <c r="D64" s="51" t="n"/>
      <c r="G64" s="51" t="n"/>
      <c r="H64" s="51" t="n"/>
    </row>
    <row r="65">
      <c r="B65" s="51" t="n"/>
      <c r="C65" s="51" t="n"/>
      <c r="D65" s="51" t="n"/>
      <c r="G65" s="51" t="n"/>
      <c r="H65" s="51" t="n"/>
    </row>
    <row r="66">
      <c r="B66" s="51" t="n"/>
      <c r="C66" s="51" t="n"/>
      <c r="D66" s="51" t="n"/>
      <c r="G66" s="51" t="n"/>
      <c r="H66" s="51" t="n"/>
    </row>
    <row r="67">
      <c r="B67" s="51" t="n"/>
      <c r="C67" s="51" t="n"/>
      <c r="D67" s="51" t="n"/>
      <c r="G67" s="51" t="n"/>
      <c r="H67" s="51" t="n"/>
    </row>
    <row r="68">
      <c r="B68" s="51" t="n"/>
      <c r="C68" s="51" t="n"/>
      <c r="D68" s="51" t="n"/>
      <c r="G68" s="51" t="n"/>
      <c r="H68" s="51" t="n"/>
    </row>
    <row r="69">
      <c r="B69" s="51" t="n"/>
      <c r="C69" s="51" t="n"/>
      <c r="D69" s="51" t="n"/>
      <c r="G69" s="51" t="n"/>
      <c r="H69" s="51" t="n"/>
    </row>
    <row r="70">
      <c r="B70" s="51" t="n"/>
      <c r="C70" s="51" t="n"/>
      <c r="D70" s="51" t="n"/>
      <c r="G70" s="51" t="n"/>
      <c r="H70" s="51" t="n"/>
    </row>
    <row r="71">
      <c r="B71" s="51" t="n"/>
      <c r="C71" s="51" t="n"/>
      <c r="D71" s="51" t="n"/>
      <c r="G71" s="51" t="n"/>
      <c r="H71" s="51" t="n"/>
    </row>
    <row r="72">
      <c r="B72" s="51" t="n"/>
      <c r="C72" s="51" t="n"/>
      <c r="D72" s="51" t="n"/>
      <c r="G72" s="51" t="n"/>
      <c r="H72" s="51" t="n"/>
    </row>
    <row r="73">
      <c r="B73" s="51" t="n"/>
      <c r="C73" s="51" t="n"/>
      <c r="D73" s="51" t="n"/>
      <c r="G73" s="51" t="n"/>
      <c r="H73" s="51" t="n"/>
    </row>
    <row r="74">
      <c r="B74" s="51" t="n"/>
      <c r="C74" s="51" t="n"/>
      <c r="D74" s="51" t="n"/>
      <c r="G74" s="51" t="n"/>
      <c r="H74" s="51" t="n"/>
    </row>
    <row r="75">
      <c r="B75" s="51" t="n"/>
      <c r="C75" s="51" t="n"/>
      <c r="D75" s="51" t="n"/>
      <c r="G75" s="51" t="n"/>
      <c r="H75" s="51" t="n"/>
    </row>
    <row r="76">
      <c r="B76" s="51" t="n"/>
      <c r="C76" s="51" t="n"/>
      <c r="D76" s="51" t="n"/>
      <c r="G76" s="51" t="n"/>
      <c r="H76" s="51" t="n"/>
    </row>
    <row r="77">
      <c r="B77" s="51" t="n"/>
      <c r="C77" s="51" t="n"/>
      <c r="D77" s="51" t="n"/>
      <c r="G77" s="51" t="n"/>
      <c r="H77" s="51" t="n"/>
    </row>
    <row r="78">
      <c r="B78" s="51" t="n"/>
      <c r="C78" s="51" t="n"/>
      <c r="D78" s="51" t="n"/>
      <c r="G78" s="51" t="n"/>
      <c r="H78" s="51" t="n"/>
    </row>
    <row r="79">
      <c r="B79" s="51" t="n"/>
      <c r="C79" s="51" t="n"/>
      <c r="D79" s="51" t="n"/>
      <c r="G79" s="51" t="n"/>
      <c r="H79" s="51" t="n"/>
    </row>
    <row r="80">
      <c r="B80" s="51" t="n"/>
      <c r="C80" s="51" t="n"/>
      <c r="D80" s="51" t="n"/>
      <c r="G80" s="51" t="n"/>
      <c r="H80" s="51" t="n"/>
    </row>
    <row r="81">
      <c r="B81" s="51" t="n"/>
      <c r="C81" s="51" t="n"/>
      <c r="D81" s="51" t="n"/>
      <c r="G81" s="51" t="n"/>
      <c r="H81" s="51" t="n"/>
    </row>
    <row r="82">
      <c r="B82" s="51" t="n"/>
      <c r="C82" s="51" t="n"/>
      <c r="D82" s="51" t="n"/>
      <c r="G82" s="51" t="n"/>
      <c r="H82" s="51" t="n"/>
    </row>
    <row r="83">
      <c r="B83" s="51" t="n"/>
      <c r="C83" s="51" t="n"/>
      <c r="D83" s="51" t="n"/>
      <c r="G83" s="51" t="n"/>
      <c r="H83" s="51" t="n"/>
    </row>
    <row r="84">
      <c r="B84" s="51" t="n"/>
      <c r="C84" s="51" t="n"/>
      <c r="D84" s="51" t="n"/>
      <c r="G84" s="51" t="n"/>
      <c r="H84" s="51" t="n"/>
    </row>
    <row r="85">
      <c r="B85" s="51" t="n"/>
      <c r="C85" s="51" t="n"/>
      <c r="D85" s="51" t="n"/>
      <c r="G85" s="51" t="n"/>
      <c r="H85" s="51" t="n"/>
    </row>
    <row r="86">
      <c r="B86" s="51" t="n"/>
      <c r="C86" s="51" t="n"/>
      <c r="D86" s="51" t="n"/>
      <c r="G86" s="51" t="n"/>
      <c r="H86" s="51" t="n"/>
    </row>
    <row r="87">
      <c r="B87" s="51" t="n"/>
      <c r="C87" s="51" t="n"/>
      <c r="D87" s="51" t="n"/>
      <c r="G87" s="51" t="n"/>
      <c r="H87" s="51" t="n"/>
    </row>
    <row r="88">
      <c r="B88" s="51" t="n"/>
      <c r="C88" s="51" t="n"/>
      <c r="D88" s="51" t="n"/>
      <c r="G88" s="51" t="n"/>
      <c r="H88" s="51" t="n"/>
    </row>
    <row r="89">
      <c r="B89" s="51" t="n"/>
      <c r="C89" s="51" t="n"/>
      <c r="D89" s="51" t="n"/>
      <c r="G89" s="51" t="n"/>
      <c r="H89" s="51" t="n"/>
    </row>
    <row r="90">
      <c r="B90" s="51" t="n"/>
      <c r="C90" s="51" t="n"/>
      <c r="D90" s="51" t="n"/>
      <c r="G90" s="51" t="n"/>
      <c r="H90" s="51" t="n"/>
    </row>
    <row r="91">
      <c r="B91" s="51" t="n"/>
      <c r="C91" s="51" t="n"/>
      <c r="D91" s="51" t="n"/>
      <c r="G91" s="51" t="n"/>
      <c r="H91" s="51" t="n"/>
    </row>
    <row r="92">
      <c r="B92" s="51" t="n"/>
      <c r="C92" s="51" t="n"/>
      <c r="D92" s="51" t="n"/>
      <c r="G92" s="51" t="n"/>
      <c r="H92" s="51" t="n"/>
    </row>
    <row r="93">
      <c r="B93" s="51" t="n"/>
      <c r="C93" s="51" t="n"/>
      <c r="D93" s="51" t="n"/>
      <c r="G93" s="51" t="n"/>
      <c r="H93" s="51" t="n"/>
    </row>
    <row r="94">
      <c r="B94" s="51" t="n"/>
      <c r="C94" s="51" t="n"/>
      <c r="D94" s="51" t="n"/>
      <c r="G94" s="51" t="n"/>
      <c r="H94" s="51" t="n"/>
    </row>
    <row r="95">
      <c r="B95" s="51" t="n"/>
      <c r="C95" s="51" t="n"/>
      <c r="D95" s="51" t="n"/>
      <c r="G95" s="51" t="n"/>
      <c r="H95" s="51" t="n"/>
    </row>
    <row r="96">
      <c r="B96" s="51" t="n"/>
      <c r="C96" s="51" t="n"/>
      <c r="D96" s="51" t="n"/>
      <c r="G96" s="51" t="n"/>
      <c r="H96" s="51" t="n"/>
    </row>
    <row r="97">
      <c r="B97" s="51" t="n"/>
      <c r="C97" s="51" t="n"/>
      <c r="D97" s="51" t="n"/>
      <c r="G97" s="51" t="n"/>
      <c r="H97" s="51" t="n"/>
    </row>
    <row r="98">
      <c r="B98" s="51" t="n"/>
      <c r="C98" s="51" t="n"/>
      <c r="D98" s="51" t="n"/>
      <c r="G98" s="51" t="n"/>
      <c r="H98" s="51" t="n"/>
    </row>
    <row r="99">
      <c r="B99" s="51" t="n"/>
      <c r="C99" s="51" t="n"/>
      <c r="D99" s="51" t="n"/>
      <c r="G99" s="51" t="n"/>
      <c r="H99" s="51" t="n"/>
    </row>
    <row r="100">
      <c r="B100" s="51" t="n"/>
      <c r="C100" s="51" t="n"/>
      <c r="D100" s="51" t="n"/>
      <c r="G100" s="51" t="n"/>
      <c r="H100" s="51" t="n"/>
    </row>
    <row r="101">
      <c r="B101" s="51" t="n"/>
      <c r="C101" s="51" t="n"/>
      <c r="D101" s="51" t="n"/>
      <c r="G101" s="51" t="n"/>
      <c r="H101" s="51" t="n"/>
    </row>
    <row r="102">
      <c r="B102" s="51" t="n"/>
      <c r="C102" s="51" t="n"/>
      <c r="D102" s="51" t="n"/>
      <c r="G102" s="51" t="n"/>
      <c r="H102" s="51" t="n"/>
    </row>
    <row r="103">
      <c r="B103" s="51" t="n"/>
      <c r="C103" s="51" t="n"/>
      <c r="D103" s="51" t="n"/>
      <c r="G103" s="51" t="n"/>
      <c r="H103" s="51" t="n"/>
    </row>
    <row r="104">
      <c r="B104" s="51" t="n"/>
      <c r="C104" s="51" t="n"/>
      <c r="D104" s="51" t="n"/>
      <c r="G104" s="51" t="n"/>
      <c r="H104" s="51" t="n"/>
    </row>
    <row r="105">
      <c r="B105" s="51" t="n"/>
      <c r="C105" s="51" t="n"/>
      <c r="D105" s="51" t="n"/>
      <c r="G105" s="51" t="n"/>
      <c r="H105" s="51" t="n"/>
    </row>
    <row r="106">
      <c r="B106" s="51" t="n"/>
      <c r="C106" s="51" t="n"/>
      <c r="D106" s="51" t="n"/>
      <c r="G106" s="51" t="n"/>
      <c r="H106" s="51" t="n"/>
    </row>
    <row r="107">
      <c r="B107" s="51" t="n"/>
      <c r="C107" s="51" t="n"/>
      <c r="D107" s="51" t="n"/>
      <c r="G107" s="51" t="n"/>
      <c r="H107" s="51" t="n"/>
    </row>
    <row r="108">
      <c r="B108" s="51" t="n"/>
      <c r="C108" s="51" t="n"/>
      <c r="D108" s="51" t="n"/>
      <c r="G108" s="51" t="n"/>
      <c r="H108" s="51" t="n"/>
    </row>
    <row r="109">
      <c r="B109" s="51" t="n"/>
      <c r="C109" s="51" t="n"/>
      <c r="D109" s="51" t="n"/>
      <c r="G109" s="51" t="n"/>
      <c r="H109" s="51" t="n"/>
    </row>
    <row r="110">
      <c r="B110" s="51" t="n"/>
      <c r="C110" s="51" t="n"/>
      <c r="D110" s="51" t="n"/>
      <c r="G110" s="51" t="n"/>
      <c r="H110" s="51" t="n"/>
    </row>
    <row r="111">
      <c r="B111" s="51" t="n"/>
      <c r="C111" s="51" t="n"/>
      <c r="D111" s="51" t="n"/>
      <c r="G111" s="51" t="n"/>
      <c r="H111" s="51" t="n"/>
    </row>
    <row r="112">
      <c r="B112" s="51" t="n"/>
      <c r="C112" s="51" t="n"/>
      <c r="D112" s="51" t="n"/>
      <c r="G112" s="51" t="n"/>
      <c r="H112" s="51" t="n"/>
    </row>
    <row r="113">
      <c r="B113" s="51" t="n"/>
      <c r="C113" s="51" t="n"/>
      <c r="D113" s="51" t="n"/>
      <c r="G113" s="51" t="n"/>
      <c r="H113" s="51" t="n"/>
    </row>
    <row r="114">
      <c r="B114" s="51" t="n"/>
      <c r="C114" s="51" t="n"/>
      <c r="D114" s="51" t="n"/>
      <c r="G114" s="51" t="n"/>
      <c r="H114" s="51" t="n"/>
    </row>
    <row r="115">
      <c r="B115" s="51" t="n"/>
      <c r="C115" s="51" t="n"/>
      <c r="D115" s="51" t="n"/>
      <c r="G115" s="51" t="n"/>
      <c r="H115" s="51" t="n"/>
    </row>
    <row r="116">
      <c r="B116" s="51" t="n"/>
      <c r="C116" s="51" t="n"/>
      <c r="D116" s="51" t="n"/>
      <c r="G116" s="51" t="n"/>
      <c r="H116" s="51" t="n"/>
    </row>
    <row r="117">
      <c r="B117" s="51" t="n"/>
      <c r="C117" s="51" t="n"/>
      <c r="D117" s="51" t="n"/>
      <c r="G117" s="51" t="n"/>
      <c r="H117" s="51" t="n"/>
    </row>
    <row r="118">
      <c r="B118" s="51" t="n"/>
      <c r="C118" s="51" t="n"/>
      <c r="D118" s="51" t="n"/>
      <c r="G118" s="51" t="n"/>
      <c r="H118" s="51" t="n"/>
    </row>
    <row r="119">
      <c r="B119" s="51" t="n"/>
      <c r="C119" s="51" t="n"/>
      <c r="D119" s="51" t="n"/>
      <c r="G119" s="51" t="n"/>
      <c r="H119" s="51" t="n"/>
    </row>
    <row r="120">
      <c r="B120" s="51" t="n"/>
      <c r="C120" s="51" t="n"/>
      <c r="D120" s="51" t="n"/>
      <c r="G120" s="51" t="n"/>
      <c r="H120" s="51" t="n"/>
    </row>
    <row r="121">
      <c r="B121" s="51" t="n"/>
      <c r="C121" s="51" t="n"/>
      <c r="D121" s="51" t="n"/>
      <c r="G121" s="51" t="n"/>
      <c r="H121" s="51" t="n"/>
    </row>
    <row r="122">
      <c r="B122" s="51" t="n"/>
      <c r="C122" s="51" t="n"/>
      <c r="D122" s="51" t="n"/>
      <c r="G122" s="51" t="n"/>
      <c r="H122" s="51" t="n"/>
    </row>
    <row r="123">
      <c r="B123" s="51" t="n"/>
      <c r="C123" s="51" t="n"/>
      <c r="D123" s="51" t="n"/>
      <c r="G123" s="51" t="n"/>
      <c r="H123" s="51" t="n"/>
    </row>
    <row r="124">
      <c r="B124" s="51" t="n"/>
      <c r="C124" s="51" t="n"/>
      <c r="D124" s="51" t="n"/>
      <c r="G124" s="51" t="n"/>
      <c r="H124" s="51" t="n"/>
    </row>
    <row r="125">
      <c r="B125" s="51" t="n"/>
      <c r="C125" s="51" t="n"/>
      <c r="D125" s="51" t="n"/>
      <c r="G125" s="51" t="n"/>
      <c r="H125" s="51" t="n"/>
    </row>
    <row r="126">
      <c r="B126" s="51" t="n"/>
      <c r="C126" s="51" t="n"/>
      <c r="D126" s="51" t="n"/>
      <c r="G126" s="51" t="n"/>
      <c r="H126" s="51" t="n"/>
    </row>
    <row r="127">
      <c r="B127" s="51" t="n"/>
      <c r="C127" s="51" t="n"/>
      <c r="D127" s="51" t="n"/>
      <c r="G127" s="51" t="n"/>
      <c r="H127" s="51" t="n"/>
    </row>
    <row r="128">
      <c r="B128" s="51" t="n"/>
      <c r="C128" s="51" t="n"/>
      <c r="D128" s="51" t="n"/>
      <c r="G128" s="51" t="n"/>
      <c r="H128" s="51" t="n"/>
    </row>
    <row r="129">
      <c r="B129" s="51" t="n"/>
      <c r="C129" s="51" t="n"/>
      <c r="D129" s="51" t="n"/>
      <c r="G129" s="51" t="n"/>
      <c r="H129" s="51" t="n"/>
    </row>
    <row r="130">
      <c r="B130" s="51" t="n"/>
      <c r="C130" s="51" t="n"/>
      <c r="D130" s="51" t="n"/>
      <c r="G130" s="51" t="n"/>
      <c r="H130" s="51" t="n"/>
    </row>
    <row r="131">
      <c r="B131" s="51" t="n"/>
      <c r="C131" s="51" t="n"/>
      <c r="D131" s="51" t="n"/>
      <c r="G131" s="51" t="n"/>
      <c r="H131" s="51" t="n"/>
    </row>
    <row r="132">
      <c r="B132" s="51" t="n"/>
      <c r="C132" s="51" t="n"/>
      <c r="D132" s="51" t="n"/>
      <c r="G132" s="51" t="n"/>
      <c r="H132" s="51" t="n"/>
    </row>
    <row r="133">
      <c r="B133" s="51" t="n"/>
      <c r="C133" s="51" t="n"/>
      <c r="D133" s="51" t="n"/>
      <c r="G133" s="51" t="n"/>
      <c r="H133" s="51" t="n"/>
    </row>
    <row r="134">
      <c r="B134" s="51" t="n"/>
      <c r="C134" s="51" t="n"/>
      <c r="D134" s="51" t="n"/>
      <c r="G134" s="51" t="n"/>
      <c r="H134" s="51" t="n"/>
    </row>
    <row r="135">
      <c r="B135" s="51" t="n"/>
      <c r="C135" s="51" t="n"/>
      <c r="D135" s="51" t="n"/>
      <c r="G135" s="51" t="n"/>
      <c r="H135" s="51" t="n"/>
    </row>
    <row r="136">
      <c r="B136" s="51" t="n"/>
      <c r="C136" s="51" t="n"/>
      <c r="D136" s="51" t="n"/>
      <c r="G136" s="51" t="n"/>
      <c r="H136" s="51" t="n"/>
    </row>
    <row r="137">
      <c r="B137" s="51" t="n"/>
      <c r="C137" s="51" t="n"/>
      <c r="D137" s="51" t="n"/>
      <c r="G137" s="51" t="n"/>
      <c r="H137" s="51" t="n"/>
    </row>
    <row r="138">
      <c r="B138" s="51" t="n"/>
      <c r="C138" s="51" t="n"/>
      <c r="D138" s="51" t="n"/>
      <c r="G138" s="51" t="n"/>
      <c r="H138" s="51" t="n"/>
    </row>
    <row r="139">
      <c r="B139" s="51" t="n"/>
      <c r="C139" s="51" t="n"/>
      <c r="D139" s="51" t="n"/>
      <c r="G139" s="51" t="n"/>
      <c r="H139" s="51" t="n"/>
    </row>
    <row r="140">
      <c r="B140" s="51" t="n"/>
      <c r="C140" s="51" t="n"/>
      <c r="D140" s="51" t="n"/>
      <c r="G140" s="51" t="n"/>
      <c r="H140" s="51" t="n"/>
    </row>
    <row r="141">
      <c r="B141" s="51" t="n"/>
      <c r="C141" s="51" t="n"/>
      <c r="D141" s="51" t="n"/>
      <c r="G141" s="51" t="n"/>
      <c r="H141" s="51" t="n"/>
    </row>
    <row r="142">
      <c r="B142" s="51" t="n"/>
      <c r="C142" s="51" t="n"/>
      <c r="D142" s="51" t="n"/>
      <c r="G142" s="51" t="n"/>
      <c r="H142" s="51" t="n"/>
    </row>
    <row r="143">
      <c r="B143" s="51" t="n"/>
      <c r="C143" s="51" t="n"/>
      <c r="D143" s="51" t="n"/>
      <c r="G143" s="51" t="n"/>
      <c r="H143" s="51" t="n"/>
    </row>
    <row r="144">
      <c r="B144" s="51" t="n"/>
      <c r="C144" s="51" t="n"/>
      <c r="D144" s="51" t="n"/>
      <c r="G144" s="51" t="n"/>
      <c r="H144" s="51" t="n"/>
    </row>
    <row r="145">
      <c r="B145" s="51" t="n"/>
      <c r="C145" s="51" t="n"/>
      <c r="D145" s="51" t="n"/>
      <c r="G145" s="51" t="n"/>
      <c r="H145" s="51" t="n"/>
    </row>
    <row r="146">
      <c r="B146" s="51" t="n"/>
      <c r="C146" s="51" t="n"/>
      <c r="D146" s="51" t="n"/>
      <c r="G146" s="51" t="n"/>
      <c r="H146" s="51" t="n"/>
    </row>
    <row r="147">
      <c r="B147" s="51" t="n"/>
      <c r="C147" s="51" t="n"/>
      <c r="D147" s="51" t="n"/>
      <c r="G147" s="51" t="n"/>
      <c r="H147" s="51" t="n"/>
    </row>
    <row r="148">
      <c r="B148" s="51" t="n"/>
      <c r="C148" s="51" t="n"/>
      <c r="D148" s="51" t="n"/>
      <c r="G148" s="51" t="n"/>
      <c r="H148" s="51" t="n"/>
    </row>
    <row r="149">
      <c r="B149" s="51" t="n"/>
      <c r="C149" s="51" t="n"/>
      <c r="D149" s="51" t="n"/>
      <c r="G149" s="51" t="n"/>
      <c r="H149" s="51" t="n"/>
    </row>
    <row r="150">
      <c r="B150" s="51" t="n"/>
      <c r="C150" s="51" t="n"/>
      <c r="D150" s="51" t="n"/>
      <c r="G150" s="51" t="n"/>
      <c r="H150" s="51" t="n"/>
    </row>
    <row r="151">
      <c r="B151" s="51" t="n"/>
      <c r="C151" s="51" t="n"/>
      <c r="D151" s="51" t="n"/>
      <c r="G151" s="51" t="n"/>
      <c r="H151" s="51" t="n"/>
    </row>
    <row r="152">
      <c r="B152" s="51" t="n"/>
      <c r="C152" s="51" t="n"/>
      <c r="D152" s="51" t="n"/>
      <c r="G152" s="51" t="n"/>
      <c r="H152" s="51" t="n"/>
    </row>
    <row r="153">
      <c r="B153" s="51" t="n"/>
      <c r="C153" s="51" t="n"/>
      <c r="D153" s="51" t="n"/>
      <c r="G153" s="51" t="n"/>
      <c r="H153" s="51" t="n"/>
    </row>
    <row r="154">
      <c r="B154" s="51" t="n"/>
      <c r="C154" s="51" t="n"/>
      <c r="D154" s="51" t="n"/>
      <c r="G154" s="51" t="n"/>
      <c r="H154" s="51" t="n"/>
    </row>
    <row r="155">
      <c r="B155" s="51" t="n"/>
      <c r="C155" s="51" t="n"/>
      <c r="D155" s="51" t="n"/>
      <c r="G155" s="51" t="n"/>
      <c r="H155" s="51" t="n"/>
    </row>
    <row r="156">
      <c r="B156" s="51" t="n"/>
      <c r="C156" s="51" t="n"/>
      <c r="D156" s="51" t="n"/>
      <c r="G156" s="51" t="n"/>
      <c r="H156" s="51" t="n"/>
    </row>
    <row r="157">
      <c r="B157" s="51" t="n"/>
      <c r="C157" s="51" t="n"/>
      <c r="D157" s="51" t="n"/>
      <c r="G157" s="51" t="n"/>
      <c r="H157" s="51" t="n"/>
    </row>
    <row r="158">
      <c r="B158" s="51" t="n"/>
      <c r="C158" s="51" t="n"/>
      <c r="D158" s="51" t="n"/>
      <c r="G158" s="51" t="n"/>
      <c r="H158" s="51" t="n"/>
    </row>
    <row r="159">
      <c r="B159" s="51" t="n"/>
      <c r="C159" s="51" t="n"/>
      <c r="D159" s="51" t="n"/>
      <c r="G159" s="51" t="n"/>
      <c r="H159" s="51" t="n"/>
    </row>
    <row r="160">
      <c r="B160" s="51" t="n"/>
      <c r="C160" s="51" t="n"/>
      <c r="D160" s="51" t="n"/>
      <c r="G160" s="51" t="n"/>
      <c r="H160" s="51" t="n"/>
    </row>
    <row r="161">
      <c r="B161" s="51" t="n"/>
      <c r="C161" s="51" t="n"/>
      <c r="D161" s="51" t="n"/>
      <c r="G161" s="51" t="n"/>
      <c r="H161" s="51" t="n"/>
    </row>
    <row r="162">
      <c r="B162" s="51" t="n"/>
      <c r="C162" s="51" t="n"/>
      <c r="D162" s="51" t="n"/>
      <c r="G162" s="51" t="n"/>
      <c r="H162" s="51" t="n"/>
    </row>
    <row r="163">
      <c r="B163" s="51" t="n"/>
      <c r="C163" s="51" t="n"/>
      <c r="D163" s="51" t="n"/>
      <c r="G163" s="51" t="n"/>
      <c r="H163" s="51" t="n"/>
    </row>
    <row r="164">
      <c r="B164" s="51" t="n"/>
      <c r="C164" s="51" t="n"/>
      <c r="D164" s="51" t="n"/>
      <c r="G164" s="51" t="n"/>
      <c r="H164" s="51" t="n"/>
    </row>
    <row r="165">
      <c r="B165" s="51" t="n"/>
      <c r="C165" s="51" t="n"/>
      <c r="D165" s="51" t="n"/>
      <c r="G165" s="51" t="n"/>
      <c r="H165" s="51" t="n"/>
    </row>
    <row r="166">
      <c r="B166" s="51" t="n"/>
      <c r="C166" s="51" t="n"/>
      <c r="D166" s="51" t="n"/>
      <c r="G166" s="51" t="n"/>
      <c r="H166" s="51" t="n"/>
    </row>
    <row r="167">
      <c r="B167" s="51" t="n"/>
      <c r="C167" s="51" t="n"/>
      <c r="D167" s="51" t="n"/>
      <c r="G167" s="51" t="n"/>
      <c r="H167" s="51" t="n"/>
    </row>
    <row r="168">
      <c r="B168" s="51" t="n"/>
      <c r="C168" s="51" t="n"/>
      <c r="D168" s="51" t="n"/>
      <c r="G168" s="51" t="n"/>
      <c r="H168" s="51" t="n"/>
    </row>
    <row r="169">
      <c r="B169" s="51" t="n"/>
      <c r="C169" s="51" t="n"/>
      <c r="D169" s="51" t="n"/>
      <c r="G169" s="51" t="n"/>
      <c r="H169" s="51" t="n"/>
    </row>
    <row r="170">
      <c r="B170" s="51" t="n"/>
      <c r="C170" s="51" t="n"/>
      <c r="D170" s="51" t="n"/>
      <c r="G170" s="51" t="n"/>
      <c r="H170" s="51" t="n"/>
    </row>
    <row r="171">
      <c r="B171" s="51" t="n"/>
      <c r="C171" s="51" t="n"/>
      <c r="D171" s="51" t="n"/>
      <c r="G171" s="51" t="n"/>
      <c r="H171" s="51" t="n"/>
    </row>
    <row r="172">
      <c r="B172" s="51" t="n"/>
      <c r="C172" s="51" t="n"/>
      <c r="D172" s="51" t="n"/>
      <c r="G172" s="51" t="n"/>
      <c r="H172" s="51" t="n"/>
    </row>
    <row r="173">
      <c r="B173" s="51" t="n"/>
      <c r="C173" s="51" t="n"/>
      <c r="D173" s="51" t="n"/>
      <c r="G173" s="51" t="n"/>
      <c r="H173" s="51" t="n"/>
    </row>
    <row r="174">
      <c r="B174" s="51" t="n"/>
      <c r="C174" s="51" t="n"/>
      <c r="D174" s="51" t="n"/>
      <c r="G174" s="51" t="n"/>
      <c r="H174" s="51" t="n"/>
    </row>
    <row r="175">
      <c r="B175" s="51" t="n"/>
      <c r="C175" s="51" t="n"/>
      <c r="D175" s="51" t="n"/>
      <c r="G175" s="51" t="n"/>
      <c r="H175" s="51" t="n"/>
    </row>
    <row r="176">
      <c r="B176" s="51" t="n"/>
      <c r="C176" s="51" t="n"/>
      <c r="D176" s="51" t="n"/>
      <c r="G176" s="51" t="n"/>
      <c r="H176" s="51" t="n"/>
    </row>
    <row r="177">
      <c r="B177" s="51" t="n"/>
      <c r="C177" s="51" t="n"/>
      <c r="D177" s="51" t="n"/>
      <c r="G177" s="51" t="n"/>
      <c r="H177" s="51" t="n"/>
    </row>
    <row r="178">
      <c r="B178" s="51" t="n"/>
      <c r="C178" s="51" t="n"/>
      <c r="D178" s="51" t="n"/>
      <c r="G178" s="51" t="n"/>
      <c r="H178" s="51" t="n"/>
    </row>
    <row r="179">
      <c r="B179" s="51" t="n"/>
      <c r="C179" s="51" t="n"/>
      <c r="D179" s="51" t="n"/>
      <c r="G179" s="51" t="n"/>
      <c r="H179" s="51" t="n"/>
    </row>
    <row r="180">
      <c r="B180" s="51" t="n"/>
      <c r="C180" s="51" t="n"/>
      <c r="D180" s="51" t="n"/>
      <c r="G180" s="51" t="n"/>
      <c r="H180" s="51" t="n"/>
    </row>
    <row r="181">
      <c r="B181" s="51" t="n"/>
      <c r="C181" s="51" t="n"/>
      <c r="D181" s="51" t="n"/>
      <c r="G181" s="51" t="n"/>
      <c r="H181" s="51" t="n"/>
    </row>
    <row r="182">
      <c r="B182" s="51" t="n"/>
      <c r="C182" s="51" t="n"/>
      <c r="D182" s="51" t="n"/>
      <c r="G182" s="51" t="n"/>
      <c r="H182" s="51" t="n"/>
    </row>
    <row r="183">
      <c r="B183" s="51" t="n"/>
      <c r="C183" s="51" t="n"/>
      <c r="D183" s="51" t="n"/>
      <c r="G183" s="51" t="n"/>
      <c r="H183" s="51" t="n"/>
    </row>
    <row r="184">
      <c r="B184" s="51" t="n"/>
      <c r="C184" s="51" t="n"/>
      <c r="D184" s="51" t="n"/>
      <c r="G184" s="51" t="n"/>
      <c r="H184" s="51" t="n"/>
    </row>
    <row r="185">
      <c r="B185" s="51" t="n"/>
      <c r="C185" s="51" t="n"/>
      <c r="D185" s="51" t="n"/>
      <c r="G185" s="51" t="n"/>
      <c r="H185" s="51" t="n"/>
    </row>
    <row r="186">
      <c r="B186" s="51" t="n"/>
      <c r="C186" s="51" t="n"/>
      <c r="D186" s="51" t="n"/>
      <c r="G186" s="51" t="n"/>
      <c r="H186" s="51" t="n"/>
    </row>
    <row r="187">
      <c r="B187" s="51" t="n"/>
      <c r="C187" s="51" t="n"/>
      <c r="D187" s="51" t="n"/>
      <c r="G187" s="51" t="n"/>
      <c r="H187" s="51" t="n"/>
    </row>
    <row r="188">
      <c r="B188" s="51" t="n"/>
      <c r="C188" s="51" t="n"/>
      <c r="D188" s="51" t="n"/>
      <c r="G188" s="51" t="n"/>
      <c r="H188" s="51" t="n"/>
    </row>
    <row r="189">
      <c r="B189" s="51" t="n"/>
      <c r="C189" s="51" t="n"/>
      <c r="D189" s="51" t="n"/>
      <c r="G189" s="51" t="n"/>
      <c r="H189" s="51" t="n"/>
    </row>
    <row r="190">
      <c r="B190" s="51" t="n"/>
      <c r="C190" s="51" t="n"/>
      <c r="D190" s="51" t="n"/>
      <c r="G190" s="51" t="n"/>
      <c r="H190" s="51" t="n"/>
    </row>
    <row r="191">
      <c r="B191" s="51" t="n"/>
      <c r="C191" s="51" t="n"/>
      <c r="D191" s="51" t="n"/>
      <c r="G191" s="51" t="n"/>
      <c r="H191" s="51" t="n"/>
    </row>
    <row r="192">
      <c r="B192" s="51" t="n"/>
      <c r="C192" s="51" t="n"/>
      <c r="D192" s="51" t="n"/>
      <c r="G192" s="51" t="n"/>
      <c r="H192" s="51" t="n"/>
    </row>
    <row r="193">
      <c r="B193" s="51" t="n"/>
      <c r="C193" s="51" t="n"/>
      <c r="D193" s="51" t="n"/>
      <c r="G193" s="51" t="n"/>
      <c r="H193" s="51" t="n"/>
    </row>
    <row r="194">
      <c r="B194" s="51" t="n"/>
      <c r="C194" s="51" t="n"/>
      <c r="D194" s="51" t="n"/>
      <c r="G194" s="51" t="n"/>
      <c r="H194" s="51" t="n"/>
    </row>
    <row r="195">
      <c r="B195" s="51" t="n"/>
      <c r="C195" s="51" t="n"/>
      <c r="D195" s="51" t="n"/>
      <c r="G195" s="51" t="n"/>
      <c r="H195" s="51" t="n"/>
    </row>
    <row r="196">
      <c r="B196" s="51" t="n"/>
      <c r="C196" s="51" t="n"/>
      <c r="D196" s="51" t="n"/>
      <c r="G196" s="51" t="n"/>
      <c r="H196" s="51" t="n"/>
    </row>
    <row r="197">
      <c r="B197" s="51" t="n"/>
      <c r="C197" s="51" t="n"/>
      <c r="D197" s="51" t="n"/>
      <c r="G197" s="51" t="n"/>
      <c r="H197" s="51" t="n"/>
    </row>
    <row r="198">
      <c r="B198" s="51" t="n"/>
      <c r="C198" s="51" t="n"/>
      <c r="D198" s="51" t="n"/>
      <c r="G198" s="51" t="n"/>
      <c r="H198" s="51" t="n"/>
    </row>
    <row r="199">
      <c r="B199" s="51" t="n"/>
      <c r="C199" s="51" t="n"/>
      <c r="D199" s="51" t="n"/>
      <c r="G199" s="51" t="n"/>
      <c r="H199" s="51" t="n"/>
    </row>
    <row r="200">
      <c r="B200" s="51" t="n"/>
      <c r="C200" s="51" t="n"/>
      <c r="D200" s="51" t="n"/>
      <c r="G200" s="51" t="n"/>
      <c r="H200" s="51" t="n"/>
    </row>
    <row r="201">
      <c r="B201" s="51" t="n"/>
      <c r="C201" s="51" t="n"/>
      <c r="D201" s="51" t="n"/>
      <c r="G201" s="51" t="n"/>
      <c r="H201" s="51" t="n"/>
    </row>
    <row r="202">
      <c r="B202" s="51" t="n"/>
      <c r="C202" s="51" t="n"/>
      <c r="D202" s="51" t="n"/>
      <c r="G202" s="51" t="n"/>
      <c r="H202" s="51" t="n"/>
    </row>
    <row r="203">
      <c r="B203" s="51" t="n"/>
      <c r="C203" s="51" t="n"/>
      <c r="D203" s="51" t="n"/>
      <c r="G203" s="51" t="n"/>
      <c r="H203" s="51" t="n"/>
    </row>
    <row r="204">
      <c r="B204" s="51" t="n"/>
      <c r="C204" s="51" t="n"/>
      <c r="D204" s="51" t="n"/>
      <c r="G204" s="51" t="n"/>
      <c r="H204" s="51" t="n"/>
    </row>
    <row r="205">
      <c r="B205" s="51" t="n"/>
      <c r="C205" s="51" t="n"/>
      <c r="D205" s="51" t="n"/>
      <c r="G205" s="51" t="n"/>
      <c r="H205" s="51" t="n"/>
    </row>
    <row r="206">
      <c r="B206" s="51" t="n"/>
      <c r="C206" s="51" t="n"/>
      <c r="D206" s="51" t="n"/>
      <c r="G206" s="51" t="n"/>
      <c r="H206" s="51" t="n"/>
    </row>
    <row r="207">
      <c r="B207" s="51" t="n"/>
      <c r="C207" s="51" t="n"/>
      <c r="D207" s="51" t="n"/>
      <c r="G207" s="51" t="n"/>
      <c r="H207" s="51" t="n"/>
    </row>
    <row r="208">
      <c r="B208" s="51" t="n"/>
      <c r="C208" s="51" t="n"/>
      <c r="D208" s="51" t="n"/>
      <c r="G208" s="51" t="n"/>
      <c r="H208" s="51" t="n"/>
    </row>
    <row r="209">
      <c r="B209" s="51" t="n"/>
      <c r="C209" s="51" t="n"/>
      <c r="D209" s="51" t="n"/>
      <c r="G209" s="51" t="n"/>
      <c r="H209" s="51" t="n"/>
    </row>
    <row r="210">
      <c r="B210" s="51" t="n"/>
      <c r="C210" s="51" t="n"/>
      <c r="D210" s="51" t="n"/>
      <c r="G210" s="51" t="n"/>
      <c r="H210" s="51" t="n"/>
    </row>
    <row r="211">
      <c r="B211" s="51" t="n"/>
      <c r="C211" s="51" t="n"/>
      <c r="D211" s="51" t="n"/>
      <c r="G211" s="51" t="n"/>
      <c r="H211" s="51" t="n"/>
    </row>
    <row r="212">
      <c r="B212" s="51" t="n"/>
      <c r="C212" s="51" t="n"/>
      <c r="D212" s="51" t="n"/>
      <c r="G212" s="51" t="n"/>
      <c r="H212" s="51" t="n"/>
    </row>
    <row r="213">
      <c r="B213" s="51" t="n"/>
      <c r="C213" s="51" t="n"/>
      <c r="D213" s="51" t="n"/>
      <c r="G213" s="51" t="n"/>
      <c r="H213" s="51" t="n"/>
    </row>
    <row r="214">
      <c r="B214" s="51" t="n"/>
      <c r="C214" s="51" t="n"/>
      <c r="D214" s="51" t="n"/>
      <c r="G214" s="51" t="n"/>
      <c r="H214" s="51" t="n"/>
    </row>
    <row r="215">
      <c r="B215" s="51" t="n"/>
      <c r="C215" s="51" t="n"/>
      <c r="D215" s="51" t="n"/>
      <c r="G215" s="51" t="n"/>
      <c r="H215" s="51" t="n"/>
    </row>
    <row r="216">
      <c r="B216" s="51" t="n"/>
      <c r="C216" s="51" t="n"/>
      <c r="D216" s="51" t="n"/>
      <c r="G216" s="51" t="n"/>
      <c r="H216" s="51" t="n"/>
    </row>
    <row r="217">
      <c r="B217" s="51" t="n"/>
      <c r="C217" s="51" t="n"/>
      <c r="D217" s="51" t="n"/>
      <c r="G217" s="51" t="n"/>
      <c r="H217" s="51" t="n"/>
    </row>
    <row r="218">
      <c r="B218" s="51" t="n"/>
      <c r="C218" s="51" t="n"/>
      <c r="D218" s="51" t="n"/>
      <c r="G218" s="51" t="n"/>
      <c r="H218" s="51" t="n"/>
    </row>
    <row r="219">
      <c r="B219" s="51" t="n"/>
      <c r="C219" s="51" t="n"/>
      <c r="D219" s="51" t="n"/>
      <c r="G219" s="51" t="n"/>
      <c r="H219" s="51" t="n"/>
    </row>
    <row r="220">
      <c r="B220" s="51" t="n"/>
      <c r="C220" s="51" t="n"/>
      <c r="D220" s="51" t="n"/>
      <c r="G220" s="51" t="n"/>
      <c r="H220" s="51" t="n"/>
    </row>
    <row r="221">
      <c r="B221" s="51" t="n"/>
      <c r="C221" s="51" t="n"/>
      <c r="D221" s="51" t="n"/>
      <c r="G221" s="51" t="n"/>
      <c r="H221" s="51" t="n"/>
    </row>
    <row r="222">
      <c r="B222" s="51" t="n"/>
      <c r="C222" s="51" t="n"/>
      <c r="D222" s="51" t="n"/>
      <c r="G222" s="51" t="n"/>
      <c r="H222" s="51" t="n"/>
    </row>
    <row r="223">
      <c r="B223" s="51" t="n"/>
      <c r="C223" s="51" t="n"/>
      <c r="D223" s="51" t="n"/>
      <c r="G223" s="51" t="n"/>
      <c r="H223" s="51" t="n"/>
    </row>
    <row r="224">
      <c r="B224" s="51" t="n"/>
      <c r="C224" s="51" t="n"/>
      <c r="D224" s="51" t="n"/>
      <c r="G224" s="51" t="n"/>
      <c r="H224" s="51" t="n"/>
    </row>
    <row r="225">
      <c r="B225" s="51" t="n"/>
      <c r="C225" s="51" t="n"/>
      <c r="D225" s="51" t="n"/>
      <c r="G225" s="51" t="n"/>
      <c r="H225" s="51" t="n"/>
    </row>
    <row r="226">
      <c r="B226" s="51" t="n"/>
      <c r="C226" s="51" t="n"/>
      <c r="D226" s="51" t="n"/>
      <c r="G226" s="51" t="n"/>
      <c r="H226" s="51" t="n"/>
    </row>
    <row r="227">
      <c r="B227" s="51" t="n"/>
      <c r="C227" s="51" t="n"/>
      <c r="D227" s="51" t="n"/>
      <c r="G227" s="51" t="n"/>
      <c r="H227" s="51" t="n"/>
    </row>
    <row r="228">
      <c r="B228" s="51" t="n"/>
      <c r="C228" s="51" t="n"/>
      <c r="D228" s="51" t="n"/>
      <c r="G228" s="51" t="n"/>
      <c r="H228" s="51" t="n"/>
    </row>
    <row r="229">
      <c r="B229" s="51" t="n"/>
      <c r="C229" s="51" t="n"/>
      <c r="D229" s="51" t="n"/>
      <c r="G229" s="51" t="n"/>
      <c r="H229" s="51" t="n"/>
    </row>
    <row r="230">
      <c r="B230" s="51" t="n"/>
      <c r="C230" s="51" t="n"/>
      <c r="D230" s="51" t="n"/>
      <c r="G230" s="51" t="n"/>
      <c r="H230" s="51" t="n"/>
    </row>
    <row r="231">
      <c r="B231" s="51" t="n"/>
      <c r="C231" s="51" t="n"/>
      <c r="D231" s="51" t="n"/>
      <c r="G231" s="51" t="n"/>
      <c r="H231" s="51" t="n"/>
    </row>
    <row r="232">
      <c r="B232" s="51" t="n"/>
      <c r="C232" s="51" t="n"/>
      <c r="D232" s="51" t="n"/>
      <c r="G232" s="51" t="n"/>
      <c r="H232" s="51" t="n"/>
    </row>
    <row r="233">
      <c r="B233" s="51" t="n"/>
      <c r="C233" s="51" t="n"/>
      <c r="D233" s="51" t="n"/>
      <c r="G233" s="51" t="n"/>
      <c r="H233" s="51" t="n"/>
    </row>
    <row r="234">
      <c r="B234" s="51" t="n"/>
      <c r="C234" s="51" t="n"/>
      <c r="D234" s="51" t="n"/>
      <c r="G234" s="51" t="n"/>
      <c r="H234" s="51" t="n"/>
    </row>
    <row r="235">
      <c r="B235" s="51" t="n"/>
      <c r="C235" s="51" t="n"/>
      <c r="D235" s="51" t="n"/>
      <c r="G235" s="51" t="n"/>
      <c r="H235" s="51" t="n"/>
    </row>
    <row r="236">
      <c r="B236" s="51" t="n"/>
      <c r="C236" s="51" t="n"/>
      <c r="D236" s="51" t="n"/>
      <c r="G236" s="51" t="n"/>
      <c r="H236" s="51" t="n"/>
    </row>
    <row r="237">
      <c r="B237" s="51" t="n"/>
      <c r="C237" s="51" t="n"/>
      <c r="D237" s="51" t="n"/>
      <c r="G237" s="51" t="n"/>
      <c r="H237" s="51" t="n"/>
    </row>
    <row r="238">
      <c r="B238" s="51" t="n"/>
      <c r="C238" s="51" t="n"/>
      <c r="D238" s="51" t="n"/>
      <c r="G238" s="51" t="n"/>
      <c r="H238" s="51" t="n"/>
    </row>
    <row r="239">
      <c r="B239" s="51" t="n"/>
      <c r="C239" s="51" t="n"/>
      <c r="D239" s="51" t="n"/>
      <c r="G239" s="51" t="n"/>
      <c r="H239" s="51" t="n"/>
    </row>
    <row r="240">
      <c r="B240" s="51" t="n"/>
      <c r="C240" s="51" t="n"/>
      <c r="D240" s="51" t="n"/>
      <c r="G240" s="51" t="n"/>
      <c r="H240" s="51" t="n"/>
    </row>
    <row r="241">
      <c r="B241" s="51" t="n"/>
      <c r="C241" s="51" t="n"/>
      <c r="D241" s="51" t="n"/>
      <c r="G241" s="51" t="n"/>
      <c r="H241" s="51" t="n"/>
    </row>
    <row r="242">
      <c r="B242" s="51" t="n"/>
      <c r="C242" s="51" t="n"/>
      <c r="D242" s="51" t="n"/>
      <c r="G242" s="51" t="n"/>
      <c r="H242" s="51" t="n"/>
    </row>
    <row r="243">
      <c r="B243" s="51" t="n"/>
      <c r="C243" s="51" t="n"/>
      <c r="D243" s="51" t="n"/>
      <c r="G243" s="51" t="n"/>
      <c r="H243" s="51" t="n"/>
    </row>
    <row r="244">
      <c r="B244" s="51" t="n"/>
      <c r="C244" s="51" t="n"/>
      <c r="D244" s="51" t="n"/>
      <c r="G244" s="51" t="n"/>
      <c r="H244" s="51" t="n"/>
    </row>
    <row r="245">
      <c r="B245" s="51" t="n"/>
      <c r="C245" s="51" t="n"/>
      <c r="D245" s="51" t="n"/>
      <c r="G245" s="51" t="n"/>
      <c r="H245" s="51" t="n"/>
    </row>
    <row r="246">
      <c r="B246" s="51" t="n"/>
      <c r="C246" s="51" t="n"/>
      <c r="D246" s="51" t="n"/>
      <c r="G246" s="51" t="n"/>
      <c r="H246" s="51" t="n"/>
    </row>
    <row r="247">
      <c r="B247" s="51" t="n"/>
      <c r="C247" s="51" t="n"/>
      <c r="D247" s="51" t="n"/>
      <c r="G247" s="51" t="n"/>
      <c r="H247" s="51" t="n"/>
    </row>
    <row r="248">
      <c r="B248" s="51" t="n"/>
      <c r="C248" s="51" t="n"/>
      <c r="D248" s="51" t="n"/>
      <c r="G248" s="51" t="n"/>
      <c r="H248" s="51" t="n"/>
    </row>
    <row r="249">
      <c r="B249" s="51" t="n"/>
      <c r="C249" s="51" t="n"/>
      <c r="D249" s="51" t="n"/>
      <c r="G249" s="51" t="n"/>
      <c r="H249" s="51" t="n"/>
    </row>
    <row r="250">
      <c r="B250" s="51" t="n"/>
      <c r="C250" s="51" t="n"/>
      <c r="D250" s="51" t="n"/>
      <c r="G250" s="51" t="n"/>
      <c r="H250" s="51" t="n"/>
    </row>
    <row r="251">
      <c r="B251" s="51" t="n"/>
      <c r="C251" s="51" t="n"/>
      <c r="D251" s="51" t="n"/>
      <c r="G251" s="51" t="n"/>
      <c r="H251" s="51" t="n"/>
    </row>
    <row r="252">
      <c r="B252" s="51" t="n"/>
      <c r="C252" s="51" t="n"/>
      <c r="D252" s="51" t="n"/>
      <c r="G252" s="51" t="n"/>
      <c r="H252" s="51" t="n"/>
    </row>
    <row r="253">
      <c r="B253" s="51" t="n"/>
      <c r="C253" s="51" t="n"/>
      <c r="D253" s="51" t="n"/>
      <c r="G253" s="51" t="n"/>
      <c r="H253" s="51" t="n"/>
    </row>
    <row r="254">
      <c r="B254" s="51" t="n"/>
      <c r="C254" s="51" t="n"/>
      <c r="D254" s="51" t="n"/>
      <c r="G254" s="51" t="n"/>
      <c r="H254" s="51" t="n"/>
    </row>
    <row r="255">
      <c r="B255" s="51" t="n"/>
      <c r="C255" s="51" t="n"/>
      <c r="D255" s="51" t="n"/>
      <c r="G255" s="51" t="n"/>
      <c r="H255" s="51" t="n"/>
    </row>
    <row r="256">
      <c r="B256" s="51" t="n"/>
      <c r="C256" s="51" t="n"/>
      <c r="D256" s="51" t="n"/>
      <c r="G256" s="51" t="n"/>
      <c r="H256" s="51" t="n"/>
    </row>
    <row r="257">
      <c r="B257" s="51" t="n"/>
      <c r="C257" s="51" t="n"/>
      <c r="D257" s="51" t="n"/>
      <c r="G257" s="51" t="n"/>
      <c r="H257" s="51" t="n"/>
    </row>
    <row r="258">
      <c r="B258" s="51" t="n"/>
      <c r="C258" s="51" t="n"/>
      <c r="D258" s="51" t="n"/>
      <c r="G258" s="51" t="n"/>
      <c r="H258" s="51" t="n"/>
    </row>
    <row r="259">
      <c r="B259" s="51" t="n"/>
      <c r="C259" s="51" t="n"/>
      <c r="D259" s="51" t="n"/>
      <c r="G259" s="51" t="n"/>
      <c r="H259" s="51" t="n"/>
    </row>
    <row r="260">
      <c r="B260" s="51" t="n"/>
      <c r="C260" s="51" t="n"/>
      <c r="D260" s="51" t="n"/>
      <c r="G260" s="51" t="n"/>
      <c r="H260" s="51" t="n"/>
    </row>
    <row r="261">
      <c r="B261" s="51" t="n"/>
      <c r="C261" s="51" t="n"/>
      <c r="D261" s="51" t="n"/>
      <c r="G261" s="51" t="n"/>
      <c r="H261" s="51" t="n"/>
    </row>
    <row r="262">
      <c r="B262" s="51" t="n"/>
      <c r="C262" s="51" t="n"/>
      <c r="D262" s="51" t="n"/>
      <c r="G262" s="51" t="n"/>
      <c r="H262" s="51" t="n"/>
    </row>
    <row r="263">
      <c r="B263" s="51" t="n"/>
      <c r="C263" s="51" t="n"/>
      <c r="D263" s="51" t="n"/>
      <c r="G263" s="51" t="n"/>
      <c r="H263" s="51" t="n"/>
    </row>
    <row r="264">
      <c r="B264" s="51" t="n"/>
      <c r="C264" s="51" t="n"/>
      <c r="D264" s="51" t="n"/>
      <c r="G264" s="51" t="n"/>
      <c r="H264" s="51" t="n"/>
    </row>
    <row r="265">
      <c r="B265" s="51" t="n"/>
      <c r="C265" s="51" t="n"/>
      <c r="D265" s="51" t="n"/>
      <c r="G265" s="51" t="n"/>
      <c r="H265" s="51" t="n"/>
    </row>
    <row r="266">
      <c r="B266" s="51" t="n"/>
      <c r="C266" s="51" t="n"/>
      <c r="D266" s="51" t="n"/>
      <c r="G266" s="51" t="n"/>
      <c r="H266" s="51" t="n"/>
    </row>
    <row r="267">
      <c r="B267" s="51" t="n"/>
      <c r="C267" s="51" t="n"/>
      <c r="D267" s="51" t="n"/>
      <c r="G267" s="51" t="n"/>
      <c r="H267" s="51" t="n"/>
    </row>
    <row r="268">
      <c r="B268" s="51" t="n"/>
      <c r="C268" s="51" t="n"/>
      <c r="D268" s="51" t="n"/>
      <c r="G268" s="51" t="n"/>
      <c r="H268" s="51" t="n"/>
    </row>
    <row r="269">
      <c r="B269" s="51" t="n"/>
      <c r="C269" s="51" t="n"/>
      <c r="D269" s="51" t="n"/>
      <c r="G269" s="51" t="n"/>
      <c r="H269" s="51" t="n"/>
    </row>
    <row r="270">
      <c r="B270" s="51" t="n"/>
      <c r="C270" s="51" t="n"/>
      <c r="D270" s="51" t="n"/>
      <c r="G270" s="51" t="n"/>
      <c r="H270" s="51" t="n"/>
    </row>
    <row r="271">
      <c r="B271" s="51" t="n"/>
      <c r="C271" s="51" t="n"/>
      <c r="D271" s="51" t="n"/>
      <c r="G271" s="51" t="n"/>
      <c r="H271" s="51" t="n"/>
    </row>
    <row r="272">
      <c r="B272" s="51" t="n"/>
      <c r="C272" s="51" t="n"/>
      <c r="D272" s="51" t="n"/>
      <c r="G272" s="51" t="n"/>
      <c r="H272" s="51" t="n"/>
    </row>
    <row r="273">
      <c r="B273" s="51" t="n"/>
      <c r="C273" s="51" t="n"/>
      <c r="D273" s="51" t="n"/>
      <c r="G273" s="51" t="n"/>
      <c r="H273" s="51" t="n"/>
    </row>
    <row r="274">
      <c r="B274" s="51" t="n"/>
      <c r="C274" s="51" t="n"/>
      <c r="D274" s="51" t="n"/>
      <c r="G274" s="51" t="n"/>
      <c r="H274" s="51" t="n"/>
    </row>
    <row r="275">
      <c r="B275" s="51" t="n"/>
      <c r="C275" s="51" t="n"/>
      <c r="D275" s="51" t="n"/>
      <c r="G275" s="51" t="n"/>
      <c r="H275" s="51" t="n"/>
    </row>
    <row r="276">
      <c r="B276" s="51" t="n"/>
      <c r="C276" s="51" t="n"/>
      <c r="D276" s="51" t="n"/>
      <c r="G276" s="51" t="n"/>
      <c r="H276" s="51" t="n"/>
    </row>
    <row r="277">
      <c r="B277" s="51" t="n"/>
      <c r="C277" s="51" t="n"/>
      <c r="D277" s="51" t="n"/>
      <c r="G277" s="51" t="n"/>
      <c r="H277" s="51" t="n"/>
    </row>
    <row r="278">
      <c r="B278" s="51" t="n"/>
      <c r="C278" s="51" t="n"/>
      <c r="D278" s="51" t="n"/>
      <c r="G278" s="51" t="n"/>
      <c r="H278" s="51" t="n"/>
    </row>
    <row r="279">
      <c r="B279" s="51" t="n"/>
      <c r="C279" s="51" t="n"/>
      <c r="D279" s="51" t="n"/>
      <c r="G279" s="51" t="n"/>
      <c r="H279" s="51" t="n"/>
    </row>
    <row r="280">
      <c r="B280" s="51" t="n"/>
      <c r="C280" s="51" t="n"/>
      <c r="D280" s="51" t="n"/>
      <c r="G280" s="51" t="n"/>
      <c r="H280" s="51" t="n"/>
    </row>
    <row r="281">
      <c r="B281" s="51" t="n"/>
      <c r="C281" s="51" t="n"/>
      <c r="D281" s="51" t="n"/>
      <c r="G281" s="51" t="n"/>
      <c r="H281" s="51" t="n"/>
    </row>
    <row r="282">
      <c r="B282" s="51" t="n"/>
      <c r="C282" s="51" t="n"/>
      <c r="D282" s="51" t="n"/>
      <c r="G282" s="51" t="n"/>
      <c r="H282" s="51" t="n"/>
    </row>
    <row r="283">
      <c r="B283" s="51" t="n"/>
      <c r="C283" s="51" t="n"/>
      <c r="D283" s="51" t="n"/>
      <c r="G283" s="51" t="n"/>
      <c r="H283" s="51" t="n"/>
    </row>
    <row r="284">
      <c r="B284" s="51" t="n"/>
      <c r="C284" s="51" t="n"/>
      <c r="D284" s="51" t="n"/>
      <c r="G284" s="51" t="n"/>
      <c r="H284" s="51" t="n"/>
    </row>
    <row r="285">
      <c r="B285" s="51" t="n"/>
      <c r="C285" s="51" t="n"/>
      <c r="D285" s="51" t="n"/>
      <c r="G285" s="51" t="n"/>
      <c r="H285" s="51" t="n"/>
    </row>
    <row r="286">
      <c r="B286" s="51" t="n"/>
      <c r="C286" s="51" t="n"/>
      <c r="D286" s="51" t="n"/>
      <c r="G286" s="51" t="n"/>
      <c r="H286" s="51" t="n"/>
    </row>
    <row r="287">
      <c r="B287" s="51" t="n"/>
      <c r="C287" s="51" t="n"/>
      <c r="D287" s="51" t="n"/>
      <c r="G287" s="51" t="n"/>
      <c r="H287" s="51" t="n"/>
    </row>
    <row r="288">
      <c r="B288" s="51" t="n"/>
      <c r="C288" s="51" t="n"/>
      <c r="D288" s="51" t="n"/>
      <c r="G288" s="51" t="n"/>
      <c r="H288" s="51" t="n"/>
    </row>
    <row r="289">
      <c r="B289" s="51" t="n"/>
      <c r="C289" s="51" t="n"/>
      <c r="D289" s="51" t="n"/>
      <c r="G289" s="51" t="n"/>
      <c r="H289" s="51" t="n"/>
    </row>
    <row r="290">
      <c r="B290" s="51" t="n"/>
      <c r="C290" s="51" t="n"/>
      <c r="D290" s="51" t="n"/>
      <c r="G290" s="51" t="n"/>
      <c r="H290" s="51" t="n"/>
    </row>
    <row r="291">
      <c r="B291" s="51" t="n"/>
      <c r="C291" s="51" t="n"/>
      <c r="D291" s="51" t="n"/>
      <c r="G291" s="51" t="n"/>
      <c r="H291" s="51" t="n"/>
    </row>
    <row r="292">
      <c r="B292" s="51" t="n"/>
      <c r="C292" s="51" t="n"/>
      <c r="D292" s="51" t="n"/>
      <c r="G292" s="51" t="n"/>
      <c r="H292" s="51" t="n"/>
    </row>
    <row r="293">
      <c r="B293" s="51" t="n"/>
      <c r="C293" s="51" t="n"/>
      <c r="D293" s="51" t="n"/>
      <c r="G293" s="51" t="n"/>
      <c r="H293" s="51" t="n"/>
    </row>
    <row r="294">
      <c r="B294" s="51" t="n"/>
      <c r="C294" s="51" t="n"/>
      <c r="D294" s="51" t="n"/>
      <c r="G294" s="51" t="n"/>
      <c r="H294" s="51" t="n"/>
    </row>
    <row r="295">
      <c r="B295" s="51" t="n"/>
      <c r="C295" s="51" t="n"/>
      <c r="D295" s="51" t="n"/>
      <c r="G295" s="51" t="n"/>
      <c r="H295" s="51" t="n"/>
    </row>
    <row r="296">
      <c r="B296" s="51" t="n"/>
      <c r="C296" s="51" t="n"/>
      <c r="D296" s="51" t="n"/>
      <c r="G296" s="51" t="n"/>
      <c r="H296" s="51" t="n"/>
    </row>
    <row r="297">
      <c r="B297" s="51" t="n"/>
      <c r="C297" s="51" t="n"/>
      <c r="D297" s="51" t="n"/>
      <c r="G297" s="51" t="n"/>
      <c r="H297" s="51" t="n"/>
    </row>
    <row r="298">
      <c r="B298" s="51" t="n"/>
      <c r="C298" s="51" t="n"/>
      <c r="D298" s="51" t="n"/>
      <c r="G298" s="51" t="n"/>
      <c r="H298" s="51" t="n"/>
    </row>
    <row r="299">
      <c r="B299" s="51" t="n"/>
      <c r="C299" s="51" t="n"/>
      <c r="D299" s="51" t="n"/>
      <c r="G299" s="51" t="n"/>
      <c r="H299" s="51" t="n"/>
    </row>
    <row r="300">
      <c r="B300" s="51" t="n"/>
      <c r="C300" s="51" t="n"/>
      <c r="D300" s="51" t="n"/>
      <c r="G300" s="51" t="n"/>
      <c r="H300" s="51" t="n"/>
    </row>
    <row r="301">
      <c r="B301" s="51" t="n"/>
      <c r="C301" s="51" t="n"/>
      <c r="D301" s="51" t="n"/>
      <c r="G301" s="51" t="n"/>
      <c r="H301" s="51" t="n"/>
    </row>
    <row r="302">
      <c r="B302" s="51" t="n"/>
      <c r="C302" s="51" t="n"/>
      <c r="D302" s="51" t="n"/>
      <c r="G302" s="51" t="n"/>
      <c r="H302" s="51" t="n"/>
    </row>
    <row r="303">
      <c r="B303" s="51" t="n"/>
      <c r="C303" s="51" t="n"/>
      <c r="D303" s="51" t="n"/>
      <c r="G303" s="51" t="n"/>
      <c r="H303" s="51" t="n"/>
    </row>
    <row r="304">
      <c r="B304" s="51" t="n"/>
      <c r="C304" s="51" t="n"/>
      <c r="D304" s="51" t="n"/>
      <c r="G304" s="51" t="n"/>
      <c r="H304" s="51" t="n"/>
    </row>
    <row r="305">
      <c r="B305" s="51" t="n"/>
      <c r="C305" s="51" t="n"/>
      <c r="D305" s="51" t="n"/>
      <c r="G305" s="51" t="n"/>
      <c r="H305" s="51" t="n"/>
    </row>
    <row r="306">
      <c r="B306" s="51" t="n"/>
      <c r="C306" s="51" t="n"/>
      <c r="D306" s="51" t="n"/>
      <c r="G306" s="51" t="n"/>
      <c r="H306" s="51" t="n"/>
    </row>
    <row r="307">
      <c r="B307" s="51" t="n"/>
      <c r="C307" s="51" t="n"/>
      <c r="D307" s="51" t="n"/>
      <c r="G307" s="51" t="n"/>
      <c r="H307" s="51" t="n"/>
    </row>
    <row r="308">
      <c r="B308" s="51" t="n"/>
      <c r="C308" s="51" t="n"/>
      <c r="D308" s="51" t="n"/>
      <c r="G308" s="51" t="n"/>
      <c r="H308" s="51" t="n"/>
    </row>
    <row r="309">
      <c r="B309" s="51" t="n"/>
      <c r="C309" s="51" t="n"/>
      <c r="D309" s="51" t="n"/>
      <c r="G309" s="51" t="n"/>
      <c r="H309" s="51" t="n"/>
    </row>
    <row r="310">
      <c r="B310" s="51" t="n"/>
      <c r="C310" s="51" t="n"/>
      <c r="D310" s="51" t="n"/>
      <c r="G310" s="51" t="n"/>
      <c r="H310" s="51" t="n"/>
    </row>
    <row r="311">
      <c r="B311" s="51" t="n"/>
      <c r="C311" s="51" t="n"/>
      <c r="D311" s="51" t="n"/>
      <c r="G311" s="51" t="n"/>
      <c r="H311" s="51" t="n"/>
    </row>
    <row r="312">
      <c r="B312" s="51" t="n"/>
      <c r="C312" s="51" t="n"/>
      <c r="D312" s="51" t="n"/>
      <c r="G312" s="51" t="n"/>
      <c r="H312" s="51" t="n"/>
    </row>
    <row r="313">
      <c r="B313" s="51" t="n"/>
      <c r="C313" s="51" t="n"/>
      <c r="D313" s="51" t="n"/>
      <c r="G313" s="51" t="n"/>
      <c r="H313" s="51" t="n"/>
    </row>
    <row r="314">
      <c r="B314" s="51" t="n"/>
      <c r="C314" s="51" t="n"/>
      <c r="D314" s="51" t="n"/>
      <c r="G314" s="51" t="n"/>
      <c r="H314" s="51" t="n"/>
    </row>
    <row r="315">
      <c r="B315" s="51" t="n"/>
      <c r="C315" s="51" t="n"/>
      <c r="D315" s="51" t="n"/>
      <c r="G315" s="51" t="n"/>
      <c r="H315" s="51" t="n"/>
    </row>
    <row r="316">
      <c r="B316" s="51" t="n"/>
      <c r="C316" s="51" t="n"/>
      <c r="D316" s="51" t="n"/>
      <c r="G316" s="51" t="n"/>
      <c r="H316" s="51" t="n"/>
    </row>
    <row r="317">
      <c r="B317" s="51" t="n"/>
      <c r="C317" s="51" t="n"/>
      <c r="D317" s="51" t="n"/>
      <c r="G317" s="51" t="n"/>
      <c r="H317" s="51" t="n"/>
    </row>
    <row r="318">
      <c r="B318" s="51" t="n"/>
      <c r="C318" s="51" t="n"/>
      <c r="D318" s="51" t="n"/>
      <c r="G318" s="51" t="n"/>
      <c r="H318" s="51" t="n"/>
    </row>
    <row r="319">
      <c r="B319" s="51" t="n"/>
      <c r="C319" s="51" t="n"/>
      <c r="D319" s="51" t="n"/>
      <c r="G319" s="51" t="n"/>
      <c r="H319" s="51" t="n"/>
    </row>
    <row r="320">
      <c r="B320" s="51" t="n"/>
      <c r="C320" s="51" t="n"/>
      <c r="D320" s="51" t="n"/>
      <c r="G320" s="51" t="n"/>
      <c r="H320" s="51" t="n"/>
    </row>
    <row r="321">
      <c r="B321" s="51" t="n"/>
      <c r="C321" s="51" t="n"/>
      <c r="D321" s="51" t="n"/>
      <c r="G321" s="51" t="n"/>
      <c r="H321" s="51" t="n"/>
    </row>
    <row r="322">
      <c r="B322" s="51" t="n"/>
      <c r="C322" s="51" t="n"/>
      <c r="D322" s="51" t="n"/>
      <c r="G322" s="51" t="n"/>
      <c r="H322" s="51" t="n"/>
    </row>
    <row r="323">
      <c r="B323" s="51" t="n"/>
      <c r="C323" s="51" t="n"/>
      <c r="D323" s="51" t="n"/>
      <c r="G323" s="51" t="n"/>
      <c r="H323" s="51" t="n"/>
    </row>
    <row r="324">
      <c r="B324" s="51" t="n"/>
      <c r="C324" s="51" t="n"/>
      <c r="D324" s="51" t="n"/>
      <c r="G324" s="51" t="n"/>
      <c r="H324" s="51" t="n"/>
    </row>
    <row r="325">
      <c r="B325" s="51" t="n"/>
      <c r="C325" s="51" t="n"/>
      <c r="D325" s="51" t="n"/>
      <c r="G325" s="51" t="n"/>
      <c r="H325" s="51" t="n"/>
    </row>
    <row r="326">
      <c r="B326" s="51" t="n"/>
      <c r="C326" s="51" t="n"/>
      <c r="D326" s="51" t="n"/>
      <c r="G326" s="51" t="n"/>
      <c r="H326" s="51" t="n"/>
    </row>
    <row r="327">
      <c r="B327" s="51" t="n"/>
      <c r="C327" s="51" t="n"/>
      <c r="D327" s="51" t="n"/>
      <c r="G327" s="51" t="n"/>
      <c r="H327" s="51" t="n"/>
    </row>
    <row r="328">
      <c r="B328" s="51" t="n"/>
      <c r="C328" s="51" t="n"/>
      <c r="D328" s="51" t="n"/>
      <c r="G328" s="51" t="n"/>
      <c r="H328" s="51" t="n"/>
    </row>
    <row r="329">
      <c r="B329" s="51" t="n"/>
      <c r="C329" s="51" t="n"/>
      <c r="D329" s="51" t="n"/>
      <c r="G329" s="51" t="n"/>
      <c r="H329" s="51" t="n"/>
    </row>
    <row r="330">
      <c r="B330" s="51" t="n"/>
      <c r="C330" s="51" t="n"/>
      <c r="D330" s="51" t="n"/>
      <c r="G330" s="51" t="n"/>
      <c r="H330" s="51" t="n"/>
    </row>
    <row r="331">
      <c r="B331" s="51" t="n"/>
      <c r="C331" s="51" t="n"/>
      <c r="D331" s="51" t="n"/>
      <c r="G331" s="51" t="n"/>
      <c r="H331" s="51" t="n"/>
    </row>
    <row r="332">
      <c r="B332" s="51" t="n"/>
      <c r="C332" s="51" t="n"/>
      <c r="D332" s="51" t="n"/>
      <c r="G332" s="51" t="n"/>
      <c r="H332" s="51" t="n"/>
    </row>
    <row r="333">
      <c r="B333" s="51" t="n"/>
      <c r="C333" s="51" t="n"/>
      <c r="D333" s="51" t="n"/>
      <c r="G333" s="51" t="n"/>
      <c r="H333" s="51" t="n"/>
    </row>
    <row r="334">
      <c r="B334" s="51" t="n"/>
      <c r="C334" s="51" t="n"/>
      <c r="D334" s="51" t="n"/>
      <c r="G334" s="51" t="n"/>
      <c r="H334" s="51" t="n"/>
    </row>
    <row r="335">
      <c r="B335" s="51" t="n"/>
      <c r="C335" s="51" t="n"/>
      <c r="D335" s="51" t="n"/>
      <c r="G335" s="51" t="n"/>
      <c r="H335" s="51" t="n"/>
    </row>
    <row r="336">
      <c r="B336" s="51" t="n"/>
      <c r="C336" s="51" t="n"/>
      <c r="D336" s="51" t="n"/>
      <c r="G336" s="51" t="n"/>
      <c r="H336" s="51" t="n"/>
    </row>
    <row r="337">
      <c r="B337" s="51" t="n"/>
      <c r="C337" s="51" t="n"/>
      <c r="D337" s="51" t="n"/>
      <c r="G337" s="51" t="n"/>
      <c r="H337" s="51" t="n"/>
    </row>
    <row r="338">
      <c r="B338" s="51" t="n"/>
      <c r="C338" s="51" t="n"/>
      <c r="D338" s="51" t="n"/>
      <c r="G338" s="51" t="n"/>
      <c r="H338" s="51" t="n"/>
    </row>
    <row r="339">
      <c r="B339" s="51" t="n"/>
      <c r="C339" s="51" t="n"/>
      <c r="D339" s="51" t="n"/>
      <c r="G339" s="51" t="n"/>
      <c r="H339" s="51" t="n"/>
    </row>
    <row r="340">
      <c r="B340" s="51" t="n"/>
      <c r="C340" s="51" t="n"/>
      <c r="D340" s="51" t="n"/>
      <c r="G340" s="51" t="n"/>
      <c r="H340" s="51" t="n"/>
    </row>
    <row r="341">
      <c r="B341" s="51" t="n"/>
      <c r="C341" s="51" t="n"/>
      <c r="D341" s="51" t="n"/>
      <c r="G341" s="51" t="n"/>
      <c r="H341" s="51" t="n"/>
    </row>
    <row r="342">
      <c r="B342" s="51" t="n"/>
      <c r="C342" s="51" t="n"/>
      <c r="D342" s="51" t="n"/>
      <c r="G342" s="51" t="n"/>
      <c r="H342" s="51" t="n"/>
    </row>
    <row r="343">
      <c r="B343" s="51" t="n"/>
      <c r="C343" s="51" t="n"/>
      <c r="D343" s="51" t="n"/>
      <c r="G343" s="51" t="n"/>
      <c r="H343" s="51" t="n"/>
    </row>
    <row r="344">
      <c r="B344" s="51" t="n"/>
      <c r="C344" s="51" t="n"/>
      <c r="D344" s="51" t="n"/>
      <c r="G344" s="51" t="n"/>
      <c r="H344" s="51" t="n"/>
    </row>
    <row r="345">
      <c r="B345" s="51" t="n"/>
      <c r="C345" s="51" t="n"/>
      <c r="D345" s="51" t="n"/>
      <c r="G345" s="51" t="n"/>
      <c r="H345" s="51" t="n"/>
    </row>
    <row r="346">
      <c r="B346" s="51" t="n"/>
      <c r="C346" s="51" t="n"/>
      <c r="D346" s="51" t="n"/>
      <c r="G346" s="51" t="n"/>
      <c r="H346" s="51" t="n"/>
    </row>
    <row r="347">
      <c r="B347" s="51" t="n"/>
      <c r="C347" s="51" t="n"/>
      <c r="D347" s="51" t="n"/>
      <c r="G347" s="51" t="n"/>
      <c r="H347" s="51" t="n"/>
    </row>
    <row r="348">
      <c r="B348" s="51" t="n"/>
      <c r="C348" s="51" t="n"/>
      <c r="D348" s="51" t="n"/>
      <c r="G348" s="51" t="n"/>
      <c r="H348" s="51" t="n"/>
    </row>
    <row r="349">
      <c r="B349" s="51" t="n"/>
      <c r="C349" s="51" t="n"/>
      <c r="D349" s="51" t="n"/>
      <c r="G349" s="51" t="n"/>
      <c r="H349" s="51" t="n"/>
    </row>
    <row r="350">
      <c r="B350" s="51" t="n"/>
      <c r="C350" s="51" t="n"/>
      <c r="D350" s="51" t="n"/>
      <c r="G350" s="51" t="n"/>
      <c r="H350" s="51" t="n"/>
    </row>
    <row r="351">
      <c r="B351" s="51" t="n"/>
      <c r="C351" s="51" t="n"/>
      <c r="D351" s="51" t="n"/>
      <c r="G351" s="51" t="n"/>
      <c r="H351" s="51" t="n"/>
    </row>
    <row r="352">
      <c r="B352" s="51" t="n"/>
      <c r="C352" s="51" t="n"/>
      <c r="D352" s="51" t="n"/>
      <c r="G352" s="51" t="n"/>
      <c r="H352" s="51" t="n"/>
    </row>
    <row r="353">
      <c r="B353" s="51" t="n"/>
      <c r="C353" s="51" t="n"/>
      <c r="D353" s="51" t="n"/>
      <c r="G353" s="51" t="n"/>
      <c r="H353" s="51" t="n"/>
    </row>
    <row r="354">
      <c r="B354" s="51" t="n"/>
      <c r="C354" s="51" t="n"/>
      <c r="D354" s="51" t="n"/>
      <c r="G354" s="51" t="n"/>
      <c r="H354" s="51" t="n"/>
    </row>
    <row r="355">
      <c r="B355" s="51" t="n"/>
      <c r="C355" s="51" t="n"/>
      <c r="D355" s="51" t="n"/>
      <c r="G355" s="51" t="n"/>
      <c r="H355" s="51" t="n"/>
    </row>
    <row r="356">
      <c r="B356" s="51" t="n"/>
      <c r="C356" s="51" t="n"/>
      <c r="D356" s="51" t="n"/>
      <c r="G356" s="51" t="n"/>
      <c r="H356" s="51" t="n"/>
    </row>
    <row r="357">
      <c r="B357" s="51" t="n"/>
      <c r="C357" s="51" t="n"/>
      <c r="D357" s="51" t="n"/>
      <c r="G357" s="51" t="n"/>
      <c r="H357" s="51" t="n"/>
    </row>
    <row r="358">
      <c r="B358" s="51" t="n"/>
      <c r="C358" s="51" t="n"/>
      <c r="D358" s="51" t="n"/>
      <c r="G358" s="51" t="n"/>
      <c r="H358" s="51" t="n"/>
    </row>
    <row r="359">
      <c r="B359" s="51" t="n"/>
      <c r="C359" s="51" t="n"/>
      <c r="D359" s="51" t="n"/>
      <c r="G359" s="51" t="n"/>
      <c r="H359" s="51" t="n"/>
    </row>
    <row r="360">
      <c r="B360" s="51" t="n"/>
      <c r="C360" s="51" t="n"/>
      <c r="D360" s="51" t="n"/>
      <c r="G360" s="51" t="n"/>
      <c r="H360" s="51" t="n"/>
    </row>
    <row r="361">
      <c r="B361" s="51" t="n"/>
      <c r="C361" s="51" t="n"/>
      <c r="D361" s="51" t="n"/>
      <c r="G361" s="51" t="n"/>
      <c r="H361" s="51" t="n"/>
    </row>
    <row r="362">
      <c r="B362" s="51" t="n"/>
      <c r="C362" s="51" t="n"/>
      <c r="D362" s="51" t="n"/>
      <c r="G362" s="51" t="n"/>
      <c r="H362" s="51" t="n"/>
    </row>
    <row r="363">
      <c r="B363" s="51" t="n"/>
      <c r="C363" s="51" t="n"/>
      <c r="D363" s="51" t="n"/>
      <c r="G363" s="51" t="n"/>
      <c r="H363" s="51" t="n"/>
    </row>
    <row r="364">
      <c r="B364" s="51" t="n"/>
      <c r="C364" s="51" t="n"/>
      <c r="D364" s="51" t="n"/>
      <c r="G364" s="51" t="n"/>
      <c r="H364" s="51" t="n"/>
    </row>
    <row r="365">
      <c r="B365" s="51" t="n"/>
      <c r="C365" s="51" t="n"/>
      <c r="D365" s="51" t="n"/>
      <c r="G365" s="51" t="n"/>
      <c r="H365" s="51" t="n"/>
    </row>
    <row r="366">
      <c r="B366" s="51" t="n"/>
      <c r="C366" s="51" t="n"/>
      <c r="D366" s="51" t="n"/>
      <c r="G366" s="51" t="n"/>
      <c r="H366" s="51" t="n"/>
    </row>
    <row r="367">
      <c r="B367" s="51" t="n"/>
      <c r="C367" s="51" t="n"/>
      <c r="D367" s="51" t="n"/>
      <c r="G367" s="51" t="n"/>
      <c r="H367" s="51" t="n"/>
    </row>
    <row r="368">
      <c r="B368" s="51" t="n"/>
      <c r="C368" s="51" t="n"/>
      <c r="D368" s="51" t="n"/>
      <c r="G368" s="51" t="n"/>
      <c r="H368" s="51" t="n"/>
    </row>
    <row r="369">
      <c r="B369" s="51" t="n"/>
      <c r="C369" s="51" t="n"/>
      <c r="D369" s="51" t="n"/>
      <c r="G369" s="51" t="n"/>
      <c r="H369" s="51" t="n"/>
    </row>
    <row r="370">
      <c r="B370" s="51" t="n"/>
      <c r="C370" s="51" t="n"/>
      <c r="D370" s="51" t="n"/>
      <c r="G370" s="51" t="n"/>
      <c r="H370" s="51" t="n"/>
    </row>
    <row r="371">
      <c r="B371" s="51" t="n"/>
      <c r="C371" s="51" t="n"/>
      <c r="D371" s="51" t="n"/>
      <c r="G371" s="51" t="n"/>
      <c r="H371" s="51" t="n"/>
    </row>
    <row r="372">
      <c r="B372" s="51" t="n"/>
      <c r="C372" s="51" t="n"/>
      <c r="D372" s="51" t="n"/>
      <c r="G372" s="51" t="n"/>
      <c r="H372" s="51" t="n"/>
    </row>
    <row r="373">
      <c r="B373" s="51" t="n"/>
      <c r="C373" s="51" t="n"/>
      <c r="D373" s="51" t="n"/>
      <c r="G373" s="51" t="n"/>
      <c r="H373" s="51" t="n"/>
    </row>
    <row r="374">
      <c r="B374" s="51" t="n"/>
      <c r="C374" s="51" t="n"/>
      <c r="D374" s="51" t="n"/>
      <c r="G374" s="51" t="n"/>
      <c r="H374" s="51" t="n"/>
    </row>
    <row r="375">
      <c r="B375" s="51" t="n"/>
      <c r="C375" s="51" t="n"/>
      <c r="D375" s="51" t="n"/>
      <c r="G375" s="51" t="n"/>
      <c r="H375" s="51" t="n"/>
    </row>
    <row r="376">
      <c r="B376" s="51" t="n"/>
      <c r="C376" s="51" t="n"/>
      <c r="D376" s="51" t="n"/>
      <c r="G376" s="51" t="n"/>
      <c r="H376" s="51" t="n"/>
    </row>
    <row r="377">
      <c r="B377" s="51" t="n"/>
      <c r="C377" s="51" t="n"/>
      <c r="D377" s="51" t="n"/>
      <c r="G377" s="51" t="n"/>
      <c r="H377" s="51" t="n"/>
    </row>
    <row r="378">
      <c r="B378" s="51" t="n"/>
      <c r="C378" s="51" t="n"/>
      <c r="D378" s="51" t="n"/>
      <c r="G378" s="51" t="n"/>
      <c r="H378" s="51" t="n"/>
    </row>
    <row r="379">
      <c r="B379" s="51" t="n"/>
      <c r="C379" s="51" t="n"/>
      <c r="D379" s="51" t="n"/>
      <c r="G379" s="51" t="n"/>
      <c r="H379" s="51" t="n"/>
    </row>
    <row r="380">
      <c r="B380" s="51" t="n"/>
      <c r="C380" s="51" t="n"/>
      <c r="D380" s="51" t="n"/>
      <c r="G380" s="51" t="n"/>
      <c r="H380" s="51" t="n"/>
    </row>
    <row r="381">
      <c r="B381" s="51" t="n"/>
      <c r="C381" s="51" t="n"/>
      <c r="D381" s="51" t="n"/>
      <c r="G381" s="51" t="n"/>
      <c r="H381" s="51" t="n"/>
    </row>
    <row r="382">
      <c r="B382" s="51" t="n"/>
      <c r="C382" s="51" t="n"/>
      <c r="D382" s="51" t="n"/>
      <c r="G382" s="51" t="n"/>
      <c r="H382" s="51" t="n"/>
    </row>
    <row r="383">
      <c r="B383" s="51" t="n"/>
      <c r="C383" s="51" t="n"/>
      <c r="D383" s="51" t="n"/>
      <c r="G383" s="51" t="n"/>
      <c r="H383" s="51" t="n"/>
    </row>
    <row r="384">
      <c r="B384" s="51" t="n"/>
      <c r="C384" s="51" t="n"/>
      <c r="D384" s="51" t="n"/>
      <c r="G384" s="51" t="n"/>
      <c r="H384" s="51" t="n"/>
    </row>
    <row r="385">
      <c r="B385" s="51" t="n"/>
      <c r="C385" s="51" t="n"/>
      <c r="D385" s="51" t="n"/>
      <c r="G385" s="51" t="n"/>
      <c r="H385" s="51" t="n"/>
    </row>
    <row r="386">
      <c r="B386" s="51" t="n"/>
      <c r="C386" s="51" t="n"/>
      <c r="D386" s="51" t="n"/>
      <c r="G386" s="51" t="n"/>
      <c r="H386" s="51" t="n"/>
    </row>
    <row r="387">
      <c r="B387" s="51" t="n"/>
      <c r="C387" s="51" t="n"/>
      <c r="D387" s="51" t="n"/>
      <c r="G387" s="51" t="n"/>
      <c r="H387" s="51" t="n"/>
    </row>
    <row r="388">
      <c r="B388" s="51" t="n"/>
      <c r="C388" s="51" t="n"/>
      <c r="D388" s="51" t="n"/>
      <c r="G388" s="51" t="n"/>
      <c r="H388" s="51" t="n"/>
    </row>
    <row r="389">
      <c r="B389" s="51" t="n"/>
      <c r="C389" s="51" t="n"/>
      <c r="D389" s="51" t="n"/>
      <c r="G389" s="51" t="n"/>
      <c r="H389" s="51" t="n"/>
    </row>
    <row r="390">
      <c r="B390" s="51" t="n"/>
      <c r="C390" s="51" t="n"/>
      <c r="D390" s="51" t="n"/>
      <c r="G390" s="51" t="n"/>
      <c r="H390" s="51" t="n"/>
    </row>
    <row r="391">
      <c r="B391" s="51" t="n"/>
      <c r="C391" s="51" t="n"/>
      <c r="D391" s="51" t="n"/>
      <c r="G391" s="51" t="n"/>
      <c r="H391" s="51" t="n"/>
    </row>
    <row r="392">
      <c r="B392" s="51" t="n"/>
      <c r="C392" s="51" t="n"/>
      <c r="D392" s="51" t="n"/>
      <c r="G392" s="51" t="n"/>
      <c r="H392" s="51" t="n"/>
    </row>
    <row r="393">
      <c r="B393" s="51" t="n"/>
      <c r="C393" s="51" t="n"/>
      <c r="D393" s="51" t="n"/>
      <c r="G393" s="51" t="n"/>
      <c r="H393" s="51" t="n"/>
    </row>
    <row r="394">
      <c r="B394" s="51" t="n"/>
      <c r="C394" s="51" t="n"/>
      <c r="D394" s="51" t="n"/>
      <c r="G394" s="51" t="n"/>
      <c r="H394" s="51" t="n"/>
    </row>
    <row r="395">
      <c r="B395" s="51" t="n"/>
      <c r="C395" s="51" t="n"/>
      <c r="D395" s="51" t="n"/>
      <c r="G395" s="51" t="n"/>
      <c r="H395" s="51" t="n"/>
    </row>
    <row r="396">
      <c r="B396" s="51" t="n"/>
      <c r="C396" s="51" t="n"/>
      <c r="D396" s="51" t="n"/>
      <c r="G396" s="51" t="n"/>
      <c r="H396" s="51" t="n"/>
    </row>
    <row r="397">
      <c r="B397" s="51" t="n"/>
      <c r="C397" s="51" t="n"/>
      <c r="D397" s="51" t="n"/>
      <c r="G397" s="51" t="n"/>
      <c r="H397" s="51" t="n"/>
    </row>
    <row r="398">
      <c r="B398" s="51" t="n"/>
      <c r="C398" s="51" t="n"/>
      <c r="D398" s="51" t="n"/>
      <c r="G398" s="51" t="n"/>
      <c r="H398" s="51" t="n"/>
    </row>
    <row r="399">
      <c r="B399" s="51" t="n"/>
      <c r="C399" s="51" t="n"/>
      <c r="D399" s="51" t="n"/>
      <c r="G399" s="51" t="n"/>
      <c r="H399" s="51" t="n"/>
    </row>
    <row r="400">
      <c r="B400" s="51" t="n"/>
      <c r="C400" s="51" t="n"/>
      <c r="D400" s="51" t="n"/>
      <c r="G400" s="51" t="n"/>
      <c r="H400" s="51" t="n"/>
    </row>
    <row r="401">
      <c r="B401" s="51" t="n"/>
      <c r="C401" s="51" t="n"/>
      <c r="D401" s="51" t="n"/>
      <c r="G401" s="51" t="n"/>
      <c r="H401" s="51" t="n"/>
    </row>
    <row r="402">
      <c r="B402" s="51" t="n"/>
      <c r="C402" s="51" t="n"/>
      <c r="D402" s="51" t="n"/>
      <c r="G402" s="51" t="n"/>
      <c r="H402" s="51" t="n"/>
    </row>
    <row r="403">
      <c r="B403" s="51" t="n"/>
      <c r="C403" s="51" t="n"/>
      <c r="D403" s="51" t="n"/>
      <c r="G403" s="51" t="n"/>
      <c r="H403" s="51" t="n"/>
    </row>
    <row r="404">
      <c r="B404" s="51" t="n"/>
      <c r="C404" s="51" t="n"/>
      <c r="D404" s="51" t="n"/>
      <c r="G404" s="51" t="n"/>
      <c r="H404" s="51" t="n"/>
    </row>
    <row r="405">
      <c r="B405" s="51" t="n"/>
      <c r="C405" s="51" t="n"/>
      <c r="D405" s="51" t="n"/>
      <c r="G405" s="51" t="n"/>
      <c r="H405" s="51" t="n"/>
    </row>
    <row r="406">
      <c r="B406" s="51" t="n"/>
      <c r="C406" s="51" t="n"/>
      <c r="D406" s="51" t="n"/>
      <c r="G406" s="51" t="n"/>
      <c r="H406" s="51" t="n"/>
    </row>
    <row r="407">
      <c r="B407" s="51" t="n"/>
      <c r="C407" s="51" t="n"/>
      <c r="D407" s="51" t="n"/>
      <c r="G407" s="51" t="n"/>
      <c r="H407" s="51" t="n"/>
    </row>
    <row r="408">
      <c r="B408" s="51" t="n"/>
      <c r="C408" s="51" t="n"/>
      <c r="D408" s="51" t="n"/>
      <c r="G408" s="51" t="n"/>
      <c r="H408" s="51" t="n"/>
    </row>
    <row r="409">
      <c r="B409" s="51" t="n"/>
      <c r="C409" s="51" t="n"/>
      <c r="D409" s="51" t="n"/>
      <c r="G409" s="51" t="n"/>
      <c r="H409" s="51" t="n"/>
    </row>
    <row r="410">
      <c r="B410" s="51" t="n"/>
      <c r="C410" s="51" t="n"/>
      <c r="D410" s="51" t="n"/>
      <c r="G410" s="51" t="n"/>
      <c r="H410" s="51" t="n"/>
    </row>
    <row r="411">
      <c r="B411" s="51" t="n"/>
      <c r="C411" s="51" t="n"/>
      <c r="D411" s="51" t="n"/>
      <c r="G411" s="51" t="n"/>
      <c r="H411" s="51" t="n"/>
    </row>
    <row r="412">
      <c r="B412" s="51" t="n"/>
      <c r="C412" s="51" t="n"/>
      <c r="D412" s="51" t="n"/>
      <c r="G412" s="51" t="n"/>
      <c r="H412" s="51" t="n"/>
    </row>
    <row r="413">
      <c r="B413" s="51" t="n"/>
      <c r="C413" s="51" t="n"/>
      <c r="D413" s="51" t="n"/>
      <c r="G413" s="51" t="n"/>
      <c r="H413" s="51" t="n"/>
    </row>
    <row r="414">
      <c r="B414" s="51" t="n"/>
      <c r="C414" s="51" t="n"/>
      <c r="D414" s="51" t="n"/>
      <c r="G414" s="51" t="n"/>
      <c r="H414" s="51" t="n"/>
    </row>
    <row r="415">
      <c r="B415" s="51" t="n"/>
      <c r="C415" s="51" t="n"/>
      <c r="D415" s="51" t="n"/>
      <c r="G415" s="51" t="n"/>
      <c r="H415" s="51" t="n"/>
    </row>
    <row r="416">
      <c r="B416" s="51" t="n"/>
      <c r="C416" s="51" t="n"/>
      <c r="D416" s="51" t="n"/>
      <c r="G416" s="51" t="n"/>
      <c r="H416" s="51" t="n"/>
    </row>
    <row r="417">
      <c r="B417" s="51" t="n"/>
      <c r="C417" s="51" t="n"/>
      <c r="D417" s="51" t="n"/>
      <c r="G417" s="51" t="n"/>
      <c r="H417" s="51" t="n"/>
    </row>
    <row r="418">
      <c r="B418" s="51" t="n"/>
      <c r="C418" s="51" t="n"/>
      <c r="D418" s="51" t="n"/>
      <c r="G418" s="51" t="n"/>
      <c r="H418" s="51" t="n"/>
    </row>
    <row r="419">
      <c r="B419" s="51" t="n"/>
      <c r="C419" s="51" t="n"/>
      <c r="D419" s="51" t="n"/>
      <c r="G419" s="51" t="n"/>
      <c r="H419" s="51" t="n"/>
    </row>
    <row r="420">
      <c r="B420" s="51" t="n"/>
      <c r="C420" s="51" t="n"/>
      <c r="D420" s="51" t="n"/>
      <c r="G420" s="51" t="n"/>
      <c r="H420" s="51" t="n"/>
    </row>
    <row r="421">
      <c r="B421" s="51" t="n"/>
      <c r="C421" s="51" t="n"/>
      <c r="D421" s="51" t="n"/>
      <c r="G421" s="51" t="n"/>
      <c r="H421" s="51" t="n"/>
    </row>
    <row r="422">
      <c r="B422" s="51" t="n"/>
      <c r="C422" s="51" t="n"/>
      <c r="D422" s="51" t="n"/>
      <c r="G422" s="51" t="n"/>
      <c r="H422" s="51" t="n"/>
    </row>
    <row r="423">
      <c r="B423" s="51" t="n"/>
      <c r="C423" s="51" t="n"/>
      <c r="D423" s="51" t="n"/>
      <c r="G423" s="51" t="n"/>
      <c r="H423" s="51" t="n"/>
    </row>
    <row r="424">
      <c r="B424" s="51" t="n"/>
      <c r="C424" s="51" t="n"/>
      <c r="D424" s="51" t="n"/>
      <c r="G424" s="51" t="n"/>
      <c r="H424" s="51" t="n"/>
    </row>
    <row r="425">
      <c r="B425" s="51" t="n"/>
      <c r="C425" s="51" t="n"/>
      <c r="D425" s="51" t="n"/>
      <c r="G425" s="51" t="n"/>
      <c r="H425" s="51" t="n"/>
    </row>
    <row r="426">
      <c r="B426" s="51" t="n"/>
      <c r="C426" s="51" t="n"/>
      <c r="D426" s="51" t="n"/>
      <c r="G426" s="51" t="n"/>
      <c r="H426" s="51" t="n"/>
    </row>
    <row r="427">
      <c r="B427" s="51" t="n"/>
      <c r="C427" s="51" t="n"/>
      <c r="D427" s="51" t="n"/>
      <c r="G427" s="51" t="n"/>
      <c r="H427" s="51" t="n"/>
    </row>
    <row r="428">
      <c r="B428" s="51" t="n"/>
      <c r="C428" s="51" t="n"/>
      <c r="D428" s="51" t="n"/>
      <c r="G428" s="51" t="n"/>
      <c r="H428" s="51" t="n"/>
    </row>
    <row r="429">
      <c r="B429" s="51" t="n"/>
      <c r="C429" s="51" t="n"/>
      <c r="D429" s="51" t="n"/>
      <c r="G429" s="51" t="n"/>
      <c r="H429" s="51" t="n"/>
    </row>
    <row r="430">
      <c r="B430" s="51" t="n"/>
      <c r="C430" s="51" t="n"/>
      <c r="D430" s="51" t="n"/>
      <c r="G430" s="51" t="n"/>
      <c r="H430" s="51" t="n"/>
    </row>
    <row r="431">
      <c r="B431" s="51" t="n"/>
      <c r="C431" s="51" t="n"/>
      <c r="D431" s="51" t="n"/>
      <c r="G431" s="51" t="n"/>
      <c r="H431" s="51" t="n"/>
    </row>
    <row r="432">
      <c r="B432" s="51" t="n"/>
      <c r="C432" s="51" t="n"/>
      <c r="D432" s="51" t="n"/>
      <c r="G432" s="51" t="n"/>
      <c r="H432" s="51" t="n"/>
    </row>
    <row r="433">
      <c r="B433" s="51" t="n"/>
      <c r="C433" s="51" t="n"/>
      <c r="D433" s="51" t="n"/>
      <c r="G433" s="51" t="n"/>
      <c r="H433" s="51" t="n"/>
    </row>
    <row r="434">
      <c r="B434" s="51" t="n"/>
      <c r="C434" s="51" t="n"/>
      <c r="D434" s="51" t="n"/>
      <c r="G434" s="51" t="n"/>
      <c r="H434" s="51" t="n"/>
    </row>
    <row r="435">
      <c r="B435" s="51" t="n"/>
      <c r="C435" s="51" t="n"/>
      <c r="D435" s="51" t="n"/>
      <c r="G435" s="51" t="n"/>
      <c r="H435" s="51" t="n"/>
    </row>
    <row r="436">
      <c r="B436" s="51" t="n"/>
      <c r="C436" s="51" t="n"/>
      <c r="D436" s="51" t="n"/>
      <c r="G436" s="51" t="n"/>
      <c r="H436" s="51" t="n"/>
    </row>
    <row r="437">
      <c r="B437" s="51" t="n"/>
      <c r="C437" s="51" t="n"/>
      <c r="D437" s="51" t="n"/>
      <c r="G437" s="51" t="n"/>
      <c r="H437" s="51" t="n"/>
    </row>
    <row r="438">
      <c r="B438" s="51" t="n"/>
      <c r="C438" s="51" t="n"/>
      <c r="D438" s="51" t="n"/>
      <c r="G438" s="51" t="n"/>
      <c r="H438" s="51" t="n"/>
    </row>
    <row r="439">
      <c r="B439" s="51" t="n"/>
      <c r="C439" s="51" t="n"/>
      <c r="D439" s="51" t="n"/>
      <c r="G439" s="51" t="n"/>
      <c r="H439" s="51" t="n"/>
    </row>
    <row r="440">
      <c r="B440" s="51" t="n"/>
      <c r="C440" s="51" t="n"/>
      <c r="D440" s="51" t="n"/>
      <c r="G440" s="51" t="n"/>
      <c r="H440" s="51" t="n"/>
    </row>
    <row r="441">
      <c r="B441" s="51" t="n"/>
      <c r="C441" s="51" t="n"/>
      <c r="D441" s="51" t="n"/>
      <c r="G441" s="51" t="n"/>
      <c r="H441" s="51" t="n"/>
    </row>
    <row r="442">
      <c r="B442" s="51" t="n"/>
      <c r="C442" s="51" t="n"/>
      <c r="D442" s="51" t="n"/>
      <c r="G442" s="51" t="n"/>
      <c r="H442" s="51" t="n"/>
    </row>
    <row r="443">
      <c r="B443" s="51" t="n"/>
      <c r="C443" s="51" t="n"/>
      <c r="D443" s="51" t="n"/>
      <c r="G443" s="51" t="n"/>
      <c r="H443" s="51" t="n"/>
    </row>
    <row r="444">
      <c r="B444" s="51" t="n"/>
      <c r="C444" s="51" t="n"/>
      <c r="D444" s="51" t="n"/>
      <c r="G444" s="51" t="n"/>
      <c r="H444" s="51" t="n"/>
    </row>
    <row r="445">
      <c r="B445" s="51" t="n"/>
      <c r="C445" s="51" t="n"/>
      <c r="D445" s="51" t="n"/>
      <c r="G445" s="51" t="n"/>
      <c r="H445" s="51" t="n"/>
    </row>
    <row r="446">
      <c r="B446" s="51" t="n"/>
      <c r="C446" s="51" t="n"/>
      <c r="D446" s="51" t="n"/>
      <c r="G446" s="51" t="n"/>
      <c r="H446" s="51" t="n"/>
    </row>
    <row r="447">
      <c r="B447" s="51" t="n"/>
      <c r="C447" s="51" t="n"/>
      <c r="D447" s="51" t="n"/>
      <c r="G447" s="51" t="n"/>
      <c r="H447" s="51" t="n"/>
    </row>
    <row r="448">
      <c r="B448" s="51" t="n"/>
      <c r="C448" s="51" t="n"/>
      <c r="D448" s="51" t="n"/>
      <c r="G448" s="51" t="n"/>
      <c r="H448" s="51" t="n"/>
    </row>
    <row r="449">
      <c r="B449" s="51" t="n"/>
      <c r="C449" s="51" t="n"/>
      <c r="D449" s="51" t="n"/>
      <c r="G449" s="51" t="n"/>
      <c r="H449" s="51" t="n"/>
    </row>
    <row r="450">
      <c r="B450" s="51" t="n"/>
      <c r="C450" s="51" t="n"/>
      <c r="D450" s="51" t="n"/>
      <c r="G450" s="51" t="n"/>
      <c r="H450" s="51" t="n"/>
    </row>
    <row r="451">
      <c r="B451" s="51" t="n"/>
      <c r="C451" s="51" t="n"/>
      <c r="D451" s="51" t="n"/>
      <c r="G451" s="51" t="n"/>
      <c r="H451" s="51" t="n"/>
    </row>
    <row r="452">
      <c r="B452" s="51" t="n"/>
      <c r="C452" s="51" t="n"/>
      <c r="D452" s="51" t="n"/>
      <c r="G452" s="51" t="n"/>
      <c r="H452" s="51" t="n"/>
    </row>
    <row r="453">
      <c r="B453" s="51" t="n"/>
      <c r="C453" s="51" t="n"/>
      <c r="D453" s="51" t="n"/>
      <c r="G453" s="51" t="n"/>
      <c r="H453" s="51" t="n"/>
    </row>
    <row r="454">
      <c r="B454" s="51" t="n"/>
      <c r="C454" s="51" t="n"/>
      <c r="D454" s="51" t="n"/>
      <c r="G454" s="51" t="n"/>
      <c r="H454" s="51" t="n"/>
    </row>
    <row r="455">
      <c r="B455" s="51" t="n"/>
      <c r="C455" s="51" t="n"/>
      <c r="D455" s="51" t="n"/>
      <c r="G455" s="51" t="n"/>
      <c r="H455" s="51" t="n"/>
    </row>
    <row r="456">
      <c r="B456" s="51" t="n"/>
      <c r="C456" s="51" t="n"/>
      <c r="D456" s="51" t="n"/>
      <c r="G456" s="51" t="n"/>
      <c r="H456" s="51" t="n"/>
    </row>
    <row r="457">
      <c r="B457" s="51" t="n"/>
      <c r="C457" s="51" t="n"/>
      <c r="D457" s="51" t="n"/>
      <c r="G457" s="51" t="n"/>
      <c r="H457" s="51" t="n"/>
    </row>
    <row r="458">
      <c r="B458" s="51" t="n"/>
      <c r="C458" s="51" t="n"/>
      <c r="D458" s="51" t="n"/>
      <c r="G458" s="51" t="n"/>
      <c r="H458" s="51" t="n"/>
    </row>
    <row r="459">
      <c r="B459" s="51" t="n"/>
      <c r="C459" s="51" t="n"/>
      <c r="D459" s="51" t="n"/>
      <c r="G459" s="51" t="n"/>
      <c r="H459" s="51" t="n"/>
    </row>
    <row r="460">
      <c r="B460" s="51" t="n"/>
      <c r="C460" s="51" t="n"/>
      <c r="D460" s="51" t="n"/>
      <c r="G460" s="51" t="n"/>
      <c r="H460" s="51" t="n"/>
    </row>
    <row r="461">
      <c r="B461" s="51" t="n"/>
      <c r="C461" s="51" t="n"/>
      <c r="D461" s="51" t="n"/>
      <c r="G461" s="51" t="n"/>
      <c r="H461" s="51" t="n"/>
    </row>
    <row r="462">
      <c r="B462" s="51" t="n"/>
      <c r="C462" s="51" t="n"/>
      <c r="D462" s="51" t="n"/>
      <c r="G462" s="51" t="n"/>
      <c r="H462" s="51" t="n"/>
    </row>
    <row r="463">
      <c r="B463" s="51" t="n"/>
      <c r="C463" s="51" t="n"/>
      <c r="D463" s="51" t="n"/>
      <c r="G463" s="51" t="n"/>
      <c r="H463" s="51" t="n"/>
    </row>
    <row r="464">
      <c r="B464" s="51" t="n"/>
      <c r="C464" s="51" t="n"/>
      <c r="D464" s="51" t="n"/>
      <c r="G464" s="51" t="n"/>
      <c r="H464" s="51" t="n"/>
    </row>
    <row r="465">
      <c r="B465" s="51" t="n"/>
      <c r="C465" s="51" t="n"/>
      <c r="D465" s="51" t="n"/>
      <c r="G465" s="51" t="n"/>
      <c r="H465" s="51" t="n"/>
    </row>
    <row r="466">
      <c r="B466" s="51" t="n"/>
      <c r="C466" s="51" t="n"/>
      <c r="D466" s="51" t="n"/>
      <c r="G466" s="51" t="n"/>
      <c r="H466" s="51" t="n"/>
    </row>
    <row r="467">
      <c r="B467" s="51" t="n"/>
      <c r="C467" s="51" t="n"/>
      <c r="D467" s="51" t="n"/>
      <c r="G467" s="51" t="n"/>
      <c r="H467" s="51" t="n"/>
    </row>
    <row r="468">
      <c r="B468" s="51" t="n"/>
      <c r="C468" s="51" t="n"/>
      <c r="D468" s="51" t="n"/>
      <c r="G468" s="51" t="n"/>
      <c r="H468" s="51" t="n"/>
    </row>
    <row r="469">
      <c r="B469" s="51" t="n"/>
      <c r="C469" s="51" t="n"/>
      <c r="D469" s="51" t="n"/>
      <c r="G469" s="51" t="n"/>
      <c r="H469" s="51" t="n"/>
    </row>
    <row r="470">
      <c r="B470" s="51" t="n"/>
      <c r="C470" s="51" t="n"/>
      <c r="D470" s="51" t="n"/>
      <c r="G470" s="51" t="n"/>
      <c r="H470" s="51" t="n"/>
    </row>
    <row r="471">
      <c r="B471" s="51" t="n"/>
      <c r="C471" s="51" t="n"/>
      <c r="D471" s="51" t="n"/>
      <c r="G471" s="51" t="n"/>
      <c r="H471" s="51" t="n"/>
    </row>
    <row r="472">
      <c r="B472" s="51" t="n"/>
      <c r="C472" s="51" t="n"/>
      <c r="D472" s="51" t="n"/>
      <c r="G472" s="51" t="n"/>
      <c r="H472" s="51" t="n"/>
    </row>
    <row r="473">
      <c r="B473" s="51" t="n"/>
      <c r="C473" s="51" t="n"/>
      <c r="D473" s="51" t="n"/>
      <c r="G473" s="51" t="n"/>
      <c r="H473" s="51" t="n"/>
    </row>
    <row r="474">
      <c r="B474" s="51" t="n"/>
      <c r="C474" s="51" t="n"/>
      <c r="D474" s="51" t="n"/>
      <c r="G474" s="51" t="n"/>
      <c r="H474" s="51" t="n"/>
    </row>
    <row r="475">
      <c r="B475" s="51" t="n"/>
      <c r="C475" s="51" t="n"/>
      <c r="D475" s="51" t="n"/>
      <c r="G475" s="51" t="n"/>
      <c r="H475" s="51" t="n"/>
    </row>
    <row r="476">
      <c r="B476" s="51" t="n"/>
      <c r="C476" s="51" t="n"/>
      <c r="D476" s="51" t="n"/>
      <c r="G476" s="51" t="n"/>
      <c r="H476" s="51" t="n"/>
    </row>
    <row r="477">
      <c r="B477" s="51" t="n"/>
      <c r="C477" s="51" t="n"/>
      <c r="D477" s="51" t="n"/>
      <c r="G477" s="51" t="n"/>
      <c r="H477" s="51" t="n"/>
    </row>
    <row r="478">
      <c r="B478" s="51" t="n"/>
      <c r="C478" s="51" t="n"/>
      <c r="D478" s="51" t="n"/>
      <c r="G478" s="51" t="n"/>
      <c r="H478" s="51" t="n"/>
    </row>
    <row r="479">
      <c r="B479" s="51" t="n"/>
      <c r="C479" s="51" t="n"/>
      <c r="D479" s="51" t="n"/>
      <c r="G479" s="51" t="n"/>
      <c r="H479" s="51" t="n"/>
    </row>
    <row r="480">
      <c r="B480" s="51" t="n"/>
      <c r="C480" s="51" t="n"/>
      <c r="D480" s="51" t="n"/>
      <c r="G480" s="51" t="n"/>
      <c r="H480" s="51" t="n"/>
    </row>
    <row r="481">
      <c r="B481" s="51" t="n"/>
      <c r="C481" s="51" t="n"/>
      <c r="D481" s="51" t="n"/>
      <c r="G481" s="51" t="n"/>
      <c r="H481" s="51" t="n"/>
    </row>
    <row r="482">
      <c r="B482" s="51" t="n"/>
      <c r="C482" s="51" t="n"/>
      <c r="D482" s="51" t="n"/>
      <c r="G482" s="51" t="n"/>
      <c r="H482" s="51" t="n"/>
    </row>
    <row r="483">
      <c r="B483" s="51" t="n"/>
      <c r="C483" s="51" t="n"/>
      <c r="D483" s="51" t="n"/>
      <c r="G483" s="51" t="n"/>
      <c r="H483" s="51" t="n"/>
    </row>
    <row r="484">
      <c r="B484" s="51" t="n"/>
      <c r="C484" s="51" t="n"/>
      <c r="D484" s="51" t="n"/>
      <c r="G484" s="51" t="n"/>
      <c r="H484" s="51" t="n"/>
    </row>
    <row r="485">
      <c r="B485" s="51" t="n"/>
      <c r="C485" s="51" t="n"/>
      <c r="D485" s="51" t="n"/>
      <c r="G485" s="51" t="n"/>
      <c r="H485" s="51" t="n"/>
    </row>
    <row r="486">
      <c r="B486" s="51" t="n"/>
      <c r="C486" s="51" t="n"/>
      <c r="D486" s="51" t="n"/>
      <c r="G486" s="51" t="n"/>
      <c r="H486" s="51" t="n"/>
    </row>
    <row r="487">
      <c r="B487" s="51" t="n"/>
      <c r="C487" s="51" t="n"/>
      <c r="D487" s="51" t="n"/>
      <c r="G487" s="51" t="n"/>
      <c r="H487" s="51" t="n"/>
    </row>
    <row r="488">
      <c r="B488" s="51" t="n"/>
      <c r="C488" s="51" t="n"/>
      <c r="D488" s="51" t="n"/>
      <c r="G488" s="51" t="n"/>
      <c r="H488" s="51" t="n"/>
    </row>
    <row r="489">
      <c r="B489" s="51" t="n"/>
      <c r="C489" s="51" t="n"/>
      <c r="D489" s="51" t="n"/>
      <c r="G489" s="51" t="n"/>
      <c r="H489" s="51" t="n"/>
    </row>
    <row r="490">
      <c r="B490" s="51" t="n"/>
      <c r="C490" s="51" t="n"/>
      <c r="D490" s="51" t="n"/>
      <c r="G490" s="51" t="n"/>
      <c r="H490" s="51" t="n"/>
    </row>
    <row r="491">
      <c r="B491" s="51" t="n"/>
      <c r="C491" s="51" t="n"/>
      <c r="D491" s="51" t="n"/>
      <c r="G491" s="51" t="n"/>
      <c r="H491" s="51" t="n"/>
    </row>
    <row r="492">
      <c r="B492" s="51" t="n"/>
      <c r="C492" s="51" t="n"/>
      <c r="D492" s="51" t="n"/>
      <c r="G492" s="51" t="n"/>
      <c r="H492" s="51" t="n"/>
    </row>
    <row r="493">
      <c r="B493" s="51" t="n"/>
      <c r="C493" s="51" t="n"/>
      <c r="D493" s="51" t="n"/>
      <c r="G493" s="51" t="n"/>
      <c r="H493" s="51" t="n"/>
    </row>
    <row r="494">
      <c r="B494" s="51" t="n"/>
      <c r="C494" s="51" t="n"/>
      <c r="D494" s="51" t="n"/>
      <c r="G494" s="51" t="n"/>
      <c r="H494" s="51" t="n"/>
    </row>
    <row r="495">
      <c r="B495" s="51" t="n"/>
      <c r="C495" s="51" t="n"/>
      <c r="D495" s="51" t="n"/>
      <c r="G495" s="51" t="n"/>
      <c r="H495" s="51" t="n"/>
    </row>
    <row r="496">
      <c r="B496" s="51" t="n"/>
      <c r="C496" s="51" t="n"/>
      <c r="D496" s="51" t="n"/>
      <c r="G496" s="51" t="n"/>
      <c r="H496" s="51" t="n"/>
    </row>
    <row r="497">
      <c r="B497" s="51" t="n"/>
      <c r="C497" s="51" t="n"/>
      <c r="D497" s="51" t="n"/>
      <c r="G497" s="51" t="n"/>
      <c r="H497" s="51" t="n"/>
    </row>
    <row r="498">
      <c r="B498" s="51" t="n"/>
      <c r="C498" s="51" t="n"/>
      <c r="D498" s="51" t="n"/>
      <c r="G498" s="51" t="n"/>
      <c r="H498" s="51" t="n"/>
    </row>
    <row r="499">
      <c r="B499" s="51" t="n"/>
      <c r="C499" s="51" t="n"/>
      <c r="D499" s="51" t="n"/>
      <c r="G499" s="51" t="n"/>
      <c r="H499" s="51" t="n"/>
    </row>
    <row r="500">
      <c r="B500" s="51" t="n"/>
      <c r="C500" s="51" t="n"/>
      <c r="D500" s="51" t="n"/>
      <c r="G500" s="51" t="n"/>
      <c r="H500" s="51" t="n"/>
    </row>
    <row r="501">
      <c r="B501" s="51" t="n"/>
      <c r="C501" s="51" t="n"/>
      <c r="D501" s="51" t="n"/>
      <c r="G501" s="51" t="n"/>
      <c r="H501" s="51" t="n"/>
    </row>
    <row r="502">
      <c r="B502" s="51" t="n"/>
      <c r="C502" s="51" t="n"/>
      <c r="D502" s="51" t="n"/>
      <c r="G502" s="51" t="n"/>
      <c r="H502" s="51" t="n"/>
    </row>
    <row r="503">
      <c r="B503" s="51" t="n"/>
      <c r="C503" s="51" t="n"/>
      <c r="D503" s="51" t="n"/>
      <c r="G503" s="51" t="n"/>
      <c r="H503" s="51" t="n"/>
    </row>
    <row r="504">
      <c r="B504" s="51" t="n"/>
      <c r="C504" s="51" t="n"/>
      <c r="D504" s="51" t="n"/>
      <c r="G504" s="51" t="n"/>
      <c r="H504" s="51" t="n"/>
    </row>
    <row r="505">
      <c r="B505" s="51" t="n"/>
      <c r="C505" s="51" t="n"/>
      <c r="D505" s="51" t="n"/>
      <c r="G505" s="51" t="n"/>
      <c r="H505" s="51" t="n"/>
    </row>
    <row r="506">
      <c r="B506" s="51" t="n"/>
      <c r="C506" s="51" t="n"/>
      <c r="D506" s="51" t="n"/>
      <c r="G506" s="51" t="n"/>
      <c r="H506" s="51" t="n"/>
    </row>
    <row r="507">
      <c r="B507" s="51" t="n"/>
      <c r="C507" s="51" t="n"/>
      <c r="D507" s="51" t="n"/>
      <c r="G507" s="51" t="n"/>
      <c r="H507" s="51" t="n"/>
    </row>
    <row r="508">
      <c r="B508" s="51" t="n"/>
      <c r="C508" s="51" t="n"/>
      <c r="D508" s="51" t="n"/>
      <c r="G508" s="51" t="n"/>
      <c r="H508" s="51" t="n"/>
    </row>
    <row r="509">
      <c r="B509" s="51" t="n"/>
      <c r="C509" s="51" t="n"/>
      <c r="D509" s="51" t="n"/>
      <c r="G509" s="51" t="n"/>
      <c r="H509" s="51" t="n"/>
    </row>
    <row r="510">
      <c r="B510" s="51" t="n"/>
      <c r="C510" s="51" t="n"/>
      <c r="D510" s="51" t="n"/>
      <c r="G510" s="51" t="n"/>
      <c r="H510" s="51" t="n"/>
    </row>
    <row r="511">
      <c r="B511" s="51" t="n"/>
      <c r="C511" s="51" t="n"/>
      <c r="D511" s="51" t="n"/>
      <c r="G511" s="51" t="n"/>
      <c r="H511" s="51" t="n"/>
    </row>
    <row r="512">
      <c r="B512" s="51" t="n"/>
      <c r="C512" s="51" t="n"/>
      <c r="D512" s="51" t="n"/>
      <c r="G512" s="51" t="n"/>
      <c r="H512" s="51" t="n"/>
    </row>
    <row r="513">
      <c r="B513" s="51" t="n"/>
      <c r="C513" s="51" t="n"/>
      <c r="D513" s="51" t="n"/>
      <c r="G513" s="51" t="n"/>
      <c r="H513" s="51" t="n"/>
    </row>
    <row r="514">
      <c r="B514" s="51" t="n"/>
      <c r="C514" s="51" t="n"/>
      <c r="D514" s="51" t="n"/>
      <c r="G514" s="51" t="n"/>
      <c r="H514" s="51" t="n"/>
    </row>
    <row r="515">
      <c r="B515" s="51" t="n"/>
      <c r="C515" s="51" t="n"/>
      <c r="D515" s="51" t="n"/>
      <c r="G515" s="51" t="n"/>
      <c r="H515" s="51" t="n"/>
    </row>
    <row r="516">
      <c r="B516" s="51" t="n"/>
      <c r="C516" s="51" t="n"/>
      <c r="D516" s="51" t="n"/>
      <c r="G516" s="51" t="n"/>
      <c r="H516" s="51" t="n"/>
    </row>
    <row r="517">
      <c r="B517" s="51" t="n"/>
      <c r="C517" s="51" t="n"/>
      <c r="D517" s="51" t="n"/>
      <c r="G517" s="51" t="n"/>
      <c r="H517" s="51" t="n"/>
    </row>
  </sheetData>
  <mergeCells count="7">
    <mergeCell ref="B8:H8"/>
    <mergeCell ref="B4:H4"/>
    <mergeCell ref="B10:C10"/>
    <mergeCell ref="B6:H6"/>
    <mergeCell ref="B7:H7"/>
    <mergeCell ref="B3:H3"/>
    <mergeCell ref="B5:H5"/>
  </mergeCells>
  <conditionalFormatting sqref="E9">
    <cfRule type="cellIs" priority="1" operator="greaterThan" dxfId="5">
      <formula>0</formula>
    </cfRule>
  </conditionalFormatting>
  <conditionalFormatting sqref="B17:B517">
    <cfRule type="expression" priority="2" dxfId="6">
      <formula>AND(LEN($B17&amp;$C17&amp;$D17&amp;$E17&amp;$F17&amp;$G17&amp;$H17)&gt;0,B17="")</formula>
    </cfRule>
  </conditionalFormatting>
  <conditionalFormatting sqref="H17:H517">
    <cfRule type="expression" priority="3" dxfId="6">
      <formula>AND(LEN($B17&amp;$C17&amp;$D17&amp;$E17&amp;$F17&amp;$G17&amp;$H17)&gt;0,H17="")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ble" error="Choose a value of the list Rate table (sheet Reference lists)." promptTitle="Table" prompt="Yes. Table of the row Allowed: TAX, SHORT_PERIOD, MOTOR_LIMIT (list Rate table)" type="list" errorStyle="stop">
      <formula1>=LIST_RATE_TABLE</formula1>
    </dataValidation>
    <dataValidation sqref="C17:C517" showDropDown="0" showInputMessage="1" showErrorMessage="0" allowBlank="1" promptTitle="Rate" prompt="Conditional: TAX. Charge or factor"/>
    <dataValidation sqref="D17:D517" showDropDown="0" showInputMessage="1" showErrorMessage="1" allowBlank="1" errorTitle="Line code" error="The code is not in PM-01, column Line code. Enter it there first, or keep it if it is a code BIBS already holds." promptTitle="Line code" prompt="No. Line the rate applies to Allowed: A code of PM-01 Product catalogue, column Line code" type="list" errorStyle="warning">
      <formula1>=CODES_PM_01_LINE_CODE</formula1>
    </dataValidation>
    <dataValidation sqref="E17:E517" showDropDown="0" showInputMessage="1" showErrorMessage="1" allowBlank="1" errorTitle="Rate %" error="Enter a number from 0 to 100." promptTitle="Rate %" prompt="Conditional: TAX, SHORT_PERIOD. Rate, or % of the annual premium Allowed: A number from 0 to 100" type="decimal" operator="between">
      <formula1>0</formula1>
      <formula2>100</formula2>
    </dataValidation>
    <dataValidation sqref="F17:F517" showDropDown="0" showInputMessage="1" showErrorMessage="1" allowBlank="1" errorTitle="Months covered" error="Enter a whole number from 1 to 12." promptTitle="Months covered" prompt="Conditional: SHORT_PERIOD. Months covered, up to Allowed: A whole number from 1 to 12" type="whole" operator="between">
      <formula1>1</formula1>
      <formula2>12</formula2>
    </dataValidation>
    <dataValidation sqref="G17:G517" showDropDown="0" showInputMessage="1" showErrorMessage="0" allowBlank="1" promptTitle="Coverage / Limit / Premium" prompt="Conditional: MOTOR_LIMIT. Limit and its premium"/>
    <dataValidation sqref="H17:H517" showDropDown="0" showInputMessage="1" showErrorMessage="0" allowBlank="1" promptTitle="Effective from / to" prompt="Yes (from). Validity of the row"/>
  </dataValidations>
  <hyperlinks>
    <hyperlink ref="A2" location="'Start here'!A1"/>
    <hyperlink ref="H2" location="'Questions and comments'!A1"/>
    <hyperlink ref="B8" location="'PM-01 Product catalogue'!A1"/>
    <hyperlink ref="B14" location="'Reference lists'!A87"/>
    <hyperlink ref="D14" location="'PM-01 Product catalogue'!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2.27272727272727" customWidth="1" min="5" max="5"/>
    <col width="40" customWidth="1" min="6" max="6"/>
    <col width="24" customWidth="1" min="7" max="7"/>
  </cols>
  <sheetData>
    <row r="1" ht="26" customHeight="1">
      <c r="A1" s="27" t="inlineStr">
        <is>
          <t>PM-10 Incentive criteria</t>
        </is>
      </c>
      <c r="G1" s="28" t="inlineStr">
        <is>
          <t>Step 23 of 31</t>
        </is>
      </c>
    </row>
    <row r="2">
      <c r="A2" s="29" t="inlineStr">
        <is>
          <t>← Back to Start here</t>
        </is>
      </c>
      <c r="B2" s="30" t="inlineStr">
        <is>
          <t>Step 23 of 31. Fill in one row per record below the column headers; the guide above each column says what to enter.</t>
        </is>
      </c>
      <c r="G2" s="31" t="inlineStr">
        <is>
          <t>Ask a question →</t>
        </is>
      </c>
    </row>
    <row r="3" outlineLevel="1" ht="15.5" customHeight="1">
      <c r="A3" s="32" t="inlineStr">
        <is>
          <t>Purpose</t>
        </is>
      </c>
      <c r="B3" s="33" t="inlineStr">
        <is>
          <t>The incentive criteria (for example CPC2) with their value, the products matrix and the effective dates</t>
        </is>
      </c>
    </row>
    <row r="4" outlineLevel="1" ht="15.5" customHeight="1">
      <c r="A4" s="32" t="inlineStr">
        <is>
          <t>Provided by</t>
        </is>
      </c>
      <c r="B4" s="33" t="inlineStr">
        <is>
          <t>Incentive Maintenance user (MBS); Comptrollership (CPC2 definition, PQ04)</t>
        </is>
      </c>
    </row>
    <row r="5" outlineLevel="1" ht="15.5" customHeight="1">
      <c r="A5" s="32" t="inlineStr">
        <is>
          <t>Due</t>
        </is>
      </c>
      <c r="B5" s="34" t="inlineStr">
        <is>
          <t>16-Jul-2027 – Values for UAT</t>
        </is>
      </c>
    </row>
    <row r="6" outlineLevel="1" ht="15.5" customHeight="1">
      <c r="A6" s="32" t="inlineStr">
        <is>
          <t>How it is loaded</t>
        </is>
      </c>
      <c r="B6" s="33" t="inlineStr">
        <is>
          <t>Entered on Incentive Criteria (SCR-PM-16), pending authorisation; the copied booking rules are reviewed there</t>
        </is>
      </c>
    </row>
    <row r="7" outlineLevel="1" ht="15.5" customHeight="1">
      <c r="A7" s="32" t="inlineStr">
        <is>
          <t>Source</t>
        </is>
      </c>
      <c r="B7" s="33" t="inlineStr">
        <is>
          <t>Current incentive programmes; the booking incentive rules copied into the catalogue</t>
        </is>
      </c>
    </row>
    <row r="8" outlineLevel="1" ht="26" customHeight="1">
      <c r="A8" s="32" t="inlineStr">
        <is>
          <t>Depends on</t>
        </is>
      </c>
      <c r="B8" s="55" t="inlineStr">
        <is>
          <t>PM-09 Lists of values and parameters →</t>
        </is>
      </c>
      <c r="C8" s="55" t="inlineStr">
        <is>
          <t>PM-01 Product catalogue →</t>
        </is>
      </c>
    </row>
    <row r="9" ht="26" customHeight="1">
      <c r="A9" s="36" t="inlineStr">
        <is>
          <t>Progress</t>
        </is>
      </c>
      <c r="B9" s="37" t="inlineStr">
        <is>
          <t>Rows entered</t>
        </is>
      </c>
      <c r="C9" s="38">
        <f>SUMPRODUCT(((ROW($B$17:$B$517)&gt;17)+($B$17&lt;&gt;"CPC2; CPC2 campaign 2028")&gt;0)*(LEN($B$17:$B$517&amp;$C$17:$C$517&amp;$D$17:$D$517&amp;$E$17:$E$517&amp;$F$17:$F$517&amp;$G$17:$G$517)&gt;0))</f>
        <v/>
      </c>
      <c r="D9" s="37" t="inlineStr">
        <is>
          <t>Mandatory cells missing</t>
        </is>
      </c>
      <c r="E9" s="38">
        <f>SUMPRODUCT(((ROW($B$17:$B$517)&gt;17)+($B$17&lt;&gt;"CPC2; CPC2 campaign 2028")&gt;0)*(LEN($B$17:$B$517&amp;$C$17:$C$517&amp;$D$17:$D$517&amp;$E$17:$E$517&amp;$F$17:$F$517&amp;$G$17:$G$517)&gt;0)*(($B$17:$B$517="")+($C$17:$C$517="")+($D$17:$D$517="")+($F$17:$F$517="")+($G$17:$G$517="")))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 (basis)</t>
        </is>
      </c>
      <c r="E12" s="45" t="inlineStr">
        <is>
          <t>No</t>
        </is>
      </c>
      <c r="F12" s="44" t="inlineStr">
        <is>
          <t>Yes (one product)</t>
        </is>
      </c>
      <c r="G12" s="44" t="inlineStr">
        <is>
          <t>Yes (from)</t>
        </is>
      </c>
    </row>
    <row r="13" ht="30" customHeight="1">
      <c r="A13" s="43" t="inlineStr">
        <is>
          <t>Format</t>
        </is>
      </c>
      <c r="B13" s="45" t="inlineStr">
        <is>
          <t>A-Z, 0-9, _ and -; text</t>
        </is>
      </c>
      <c r="C13" s="45" t="inlineStr">
        <is>
          <t>List INCENTIVE_TYPE</t>
        </is>
      </c>
      <c r="D13" s="45" t="inlineStr">
        <is>
          <t>Rate (%), Fixed amount or Rule; number</t>
        </is>
      </c>
      <c r="E13" s="45" t="inlineStr">
        <is>
          <t>Parameter and value pairs separated by semicolons</t>
        </is>
      </c>
      <c r="F13" s="45" t="inlineStr">
        <is>
          <t>Active risk codes; segment or blank</t>
        </is>
      </c>
      <c r="G13" s="45" t="inlineStr">
        <is>
          <t>dd-MMM-yyyy</t>
        </is>
      </c>
    </row>
    <row r="14" ht="30" customHeight="1">
      <c r="A14" s="43" t="inlineStr">
        <is>
          <t>Allowed values</t>
        </is>
      </c>
      <c r="B14" s="45" t="inlineStr">
        <is>
          <t>Free entry</t>
        </is>
      </c>
      <c r="C14" s="53" t="inlineStr">
        <is>
          <t>OTHERS, MIGRATED (list Incentive type)</t>
        </is>
      </c>
      <c r="D14" s="45" t="inlineStr">
        <is>
          <t>Free entry</t>
        </is>
      </c>
      <c r="E14" s="45" t="inlineStr">
        <is>
          <t>Free entry</t>
        </is>
      </c>
      <c r="F14" s="53" t="inlineStr">
        <is>
          <t>Codes of PM-01 Product catalogue, column Risk code (one or more)</t>
        </is>
      </c>
      <c r="G14" s="45" t="inlineStr">
        <is>
          <t>Free entry</t>
        </is>
      </c>
    </row>
    <row r="15" ht="43" customHeight="1">
      <c r="A15" s="43" t="inlineStr">
        <is>
          <t>What to enter</t>
        </is>
      </c>
      <c r="B15" s="45" t="inlineStr">
        <is>
          <t>Criterion</t>
        </is>
      </c>
      <c r="C15" s="45" t="inlineStr">
        <is>
          <t>Type of criterion</t>
        </is>
      </c>
      <c r="D15" s="45" t="inlineStr">
        <is>
          <t>Value of the criterion</t>
        </is>
      </c>
      <c r="E15" s="45" t="inlineStr">
        <is>
          <t>Parameters of a rule criterion, as agreed with Comptrollership</t>
        </is>
      </c>
      <c r="F15" s="45" t="inlineStr">
        <is>
          <t>Products and segments the criterion applies to</t>
        </is>
      </c>
      <c r="G15" s="45" t="inlineStr">
        <is>
          <t>Validity; no overlap with another row of the code</t>
        </is>
      </c>
    </row>
    <row r="16" ht="30" customHeight="1">
      <c r="A16" s="46" t="inlineStr">
        <is>
          <t>Row</t>
        </is>
      </c>
      <c r="B16" s="47" t="inlineStr">
        <is>
          <t>Code / Name *</t>
        </is>
      </c>
      <c r="C16" s="47" t="inlineStr">
        <is>
          <t>Incentive type *</t>
        </is>
      </c>
      <c r="D16" s="47" t="inlineStr">
        <is>
          <t>Value basis / Value *</t>
        </is>
      </c>
      <c r="E16" s="47" t="inlineStr">
        <is>
          <t>Rule parameters</t>
        </is>
      </c>
      <c r="F16" s="47" t="inlineStr">
        <is>
          <t>Products matrix: risk code / segment *</t>
        </is>
      </c>
      <c r="G16" s="47" t="inlineStr">
        <is>
          <t>Effective from / to *</t>
        </is>
      </c>
    </row>
    <row r="17" ht="18" customHeight="1">
      <c r="A17" s="48" t="inlineStr">
        <is>
          <t>Example – overwrite or delete</t>
        </is>
      </c>
      <c r="B17" s="49" t="inlineStr">
        <is>
          <t>CPC2; CPC2 campaign 2028</t>
        </is>
      </c>
      <c r="C17" s="49" t="inlineStr">
        <is>
          <t>CAMPAIGN</t>
        </is>
      </c>
      <c r="D17" s="49" t="inlineStr">
        <is>
          <t>Rate (%); 1.00</t>
        </is>
      </c>
      <c r="E17" s="49" t="inlineStr">
        <is>
          <t>Minimum premium 5000</t>
        </is>
      </c>
      <c r="F17" s="49" t="inlineStr">
        <is>
          <t>MTR30; COMBANK</t>
        </is>
      </c>
      <c r="G17" s="49" t="inlineStr">
        <is>
          <t>01-Jan-2028</t>
        </is>
      </c>
    </row>
    <row r="18">
      <c r="B18" s="51" t="n"/>
      <c r="C18" s="51" t="n"/>
      <c r="D18" s="51" t="n"/>
      <c r="E18" s="51" t="n"/>
      <c r="F18" s="51" t="n"/>
      <c r="G18" s="51" t="n"/>
    </row>
    <row r="19">
      <c r="B19" s="51" t="n"/>
      <c r="C19" s="51" t="n"/>
      <c r="D19" s="51" t="n"/>
      <c r="E19" s="51" t="n"/>
      <c r="F19" s="51" t="n"/>
      <c r="G19" s="51" t="n"/>
    </row>
    <row r="20">
      <c r="B20" s="51" t="n"/>
      <c r="C20" s="51" t="n"/>
      <c r="D20" s="51" t="n"/>
      <c r="E20" s="51" t="n"/>
      <c r="F20" s="51" t="n"/>
      <c r="G20" s="51" t="n"/>
    </row>
    <row r="21">
      <c r="B21" s="51" t="n"/>
      <c r="C21" s="51" t="n"/>
      <c r="D21" s="51" t="n"/>
      <c r="E21" s="51" t="n"/>
      <c r="F21" s="51" t="n"/>
      <c r="G21" s="51" t="n"/>
    </row>
    <row r="22">
      <c r="B22" s="51" t="n"/>
      <c r="C22" s="51" t="n"/>
      <c r="D22" s="51" t="n"/>
      <c r="E22" s="51" t="n"/>
      <c r="F22" s="51" t="n"/>
      <c r="G22" s="51" t="n"/>
    </row>
    <row r="23">
      <c r="B23" s="51" t="n"/>
      <c r="C23" s="51" t="n"/>
      <c r="D23" s="51" t="n"/>
      <c r="E23" s="51" t="n"/>
      <c r="F23" s="51" t="n"/>
      <c r="G23" s="51" t="n"/>
    </row>
    <row r="24">
      <c r="B24" s="51" t="n"/>
      <c r="C24" s="51" t="n"/>
      <c r="D24" s="51" t="n"/>
      <c r="E24" s="51" t="n"/>
      <c r="F24" s="51" t="n"/>
      <c r="G24" s="51" t="n"/>
    </row>
    <row r="25">
      <c r="B25" s="51" t="n"/>
      <c r="C25" s="51" t="n"/>
      <c r="D25" s="51" t="n"/>
      <c r="E25" s="51" t="n"/>
      <c r="F25" s="51" t="n"/>
      <c r="G25" s="51" t="n"/>
    </row>
    <row r="26">
      <c r="B26" s="51" t="n"/>
      <c r="C26" s="51" t="n"/>
      <c r="D26" s="51" t="n"/>
      <c r="E26" s="51" t="n"/>
      <c r="F26" s="51" t="n"/>
      <c r="G26" s="51" t="n"/>
    </row>
    <row r="27">
      <c r="B27" s="51" t="n"/>
      <c r="C27" s="51" t="n"/>
      <c r="D27" s="51" t="n"/>
      <c r="E27" s="51" t="n"/>
      <c r="F27" s="51" t="n"/>
      <c r="G27" s="51" t="n"/>
    </row>
    <row r="28">
      <c r="B28" s="51" t="n"/>
      <c r="C28" s="51" t="n"/>
      <c r="D28" s="51" t="n"/>
      <c r="E28" s="51" t="n"/>
      <c r="F28" s="51" t="n"/>
      <c r="G28" s="51" t="n"/>
    </row>
    <row r="29">
      <c r="B29" s="51" t="n"/>
      <c r="C29" s="51" t="n"/>
      <c r="D29" s="51" t="n"/>
      <c r="E29" s="51" t="n"/>
      <c r="F29" s="51" t="n"/>
      <c r="G29" s="51" t="n"/>
    </row>
    <row r="30">
      <c r="B30" s="51" t="n"/>
      <c r="C30" s="51" t="n"/>
      <c r="D30" s="51" t="n"/>
      <c r="E30" s="51" t="n"/>
      <c r="F30" s="51" t="n"/>
      <c r="G30" s="51" t="n"/>
    </row>
    <row r="31">
      <c r="B31" s="51" t="n"/>
      <c r="C31" s="51" t="n"/>
      <c r="D31" s="51" t="n"/>
      <c r="E31" s="51" t="n"/>
      <c r="F31" s="51" t="n"/>
      <c r="G31" s="51" t="n"/>
    </row>
    <row r="32">
      <c r="B32" s="51" t="n"/>
      <c r="C32" s="51" t="n"/>
      <c r="D32" s="51" t="n"/>
      <c r="E32" s="51" t="n"/>
      <c r="F32" s="51" t="n"/>
      <c r="G32" s="51" t="n"/>
    </row>
    <row r="33">
      <c r="B33" s="51" t="n"/>
      <c r="C33" s="51" t="n"/>
      <c r="D33" s="51" t="n"/>
      <c r="E33" s="51" t="n"/>
      <c r="F33" s="51" t="n"/>
      <c r="G33" s="51" t="n"/>
    </row>
    <row r="34">
      <c r="B34" s="51" t="n"/>
      <c r="C34" s="51" t="n"/>
      <c r="D34" s="51" t="n"/>
      <c r="E34" s="51" t="n"/>
      <c r="F34" s="51" t="n"/>
      <c r="G34" s="51" t="n"/>
    </row>
    <row r="35">
      <c r="B35" s="51" t="n"/>
      <c r="C35" s="51" t="n"/>
      <c r="D35" s="51" t="n"/>
      <c r="E35" s="51" t="n"/>
      <c r="F35" s="51" t="n"/>
      <c r="G35" s="51" t="n"/>
    </row>
    <row r="36">
      <c r="B36" s="51" t="n"/>
      <c r="C36" s="51" t="n"/>
      <c r="D36" s="51" t="n"/>
      <c r="E36" s="51" t="n"/>
      <c r="F36" s="51" t="n"/>
      <c r="G36" s="51" t="n"/>
    </row>
    <row r="37">
      <c r="B37" s="51" t="n"/>
      <c r="C37" s="51" t="n"/>
      <c r="D37" s="51" t="n"/>
      <c r="E37" s="51" t="n"/>
      <c r="F37" s="51" t="n"/>
      <c r="G37" s="51" t="n"/>
    </row>
    <row r="38">
      <c r="B38" s="51" t="n"/>
      <c r="C38" s="51" t="n"/>
      <c r="D38" s="51" t="n"/>
      <c r="E38" s="51" t="n"/>
      <c r="F38" s="51" t="n"/>
      <c r="G38" s="51" t="n"/>
    </row>
    <row r="39">
      <c r="B39" s="51" t="n"/>
      <c r="C39" s="51" t="n"/>
      <c r="D39" s="51" t="n"/>
      <c r="E39" s="51" t="n"/>
      <c r="F39" s="51" t="n"/>
      <c r="G39" s="51" t="n"/>
    </row>
    <row r="40">
      <c r="B40" s="51" t="n"/>
      <c r="C40" s="51" t="n"/>
      <c r="D40" s="51" t="n"/>
      <c r="E40" s="51" t="n"/>
      <c r="F40" s="51" t="n"/>
      <c r="G40" s="51" t="n"/>
    </row>
    <row r="41">
      <c r="B41" s="51" t="n"/>
      <c r="C41" s="51" t="n"/>
      <c r="D41" s="51" t="n"/>
      <c r="E41" s="51" t="n"/>
      <c r="F41" s="51" t="n"/>
      <c r="G41" s="51" t="n"/>
    </row>
    <row r="42">
      <c r="B42" s="51" t="n"/>
      <c r="C42" s="51" t="n"/>
      <c r="D42" s="51" t="n"/>
      <c r="E42" s="51" t="n"/>
      <c r="F42" s="51" t="n"/>
      <c r="G42" s="51" t="n"/>
    </row>
    <row r="43">
      <c r="B43" s="51" t="n"/>
      <c r="C43" s="51" t="n"/>
      <c r="D43" s="51" t="n"/>
      <c r="E43" s="51" t="n"/>
      <c r="F43" s="51" t="n"/>
      <c r="G43" s="51" t="n"/>
    </row>
    <row r="44">
      <c r="B44" s="51" t="n"/>
      <c r="C44" s="51" t="n"/>
      <c r="D44" s="51" t="n"/>
      <c r="E44" s="51" t="n"/>
      <c r="F44" s="51" t="n"/>
      <c r="G44" s="51" t="n"/>
    </row>
    <row r="45">
      <c r="B45" s="51" t="n"/>
      <c r="C45" s="51" t="n"/>
      <c r="D45" s="51" t="n"/>
      <c r="E45" s="51" t="n"/>
      <c r="F45" s="51" t="n"/>
      <c r="G45" s="51" t="n"/>
    </row>
    <row r="46">
      <c r="B46" s="51" t="n"/>
      <c r="C46" s="51" t="n"/>
      <c r="D46" s="51" t="n"/>
      <c r="E46" s="51" t="n"/>
      <c r="F46" s="51" t="n"/>
      <c r="G46" s="51" t="n"/>
    </row>
    <row r="47">
      <c r="B47" s="51" t="n"/>
      <c r="C47" s="51" t="n"/>
      <c r="D47" s="51" t="n"/>
      <c r="E47" s="51" t="n"/>
      <c r="F47" s="51" t="n"/>
      <c r="G47" s="51" t="n"/>
    </row>
    <row r="48">
      <c r="B48" s="51" t="n"/>
      <c r="C48" s="51" t="n"/>
      <c r="D48" s="51" t="n"/>
      <c r="E48" s="51" t="n"/>
      <c r="F48" s="51" t="n"/>
      <c r="G48" s="51" t="n"/>
    </row>
    <row r="49">
      <c r="B49" s="51" t="n"/>
      <c r="C49" s="51" t="n"/>
      <c r="D49" s="51" t="n"/>
      <c r="E49" s="51" t="n"/>
      <c r="F49" s="51" t="n"/>
      <c r="G49" s="51" t="n"/>
    </row>
    <row r="50">
      <c r="B50" s="51" t="n"/>
      <c r="C50" s="51" t="n"/>
      <c r="D50" s="51" t="n"/>
      <c r="E50" s="51" t="n"/>
      <c r="F50" s="51" t="n"/>
      <c r="G50" s="51" t="n"/>
    </row>
    <row r="51">
      <c r="B51" s="51" t="n"/>
      <c r="C51" s="51" t="n"/>
      <c r="D51" s="51" t="n"/>
      <c r="E51" s="51" t="n"/>
      <c r="F51" s="51" t="n"/>
      <c r="G51" s="51" t="n"/>
    </row>
    <row r="52">
      <c r="B52" s="51" t="n"/>
      <c r="C52" s="51" t="n"/>
      <c r="D52" s="51" t="n"/>
      <c r="E52" s="51" t="n"/>
      <c r="F52" s="51" t="n"/>
      <c r="G52" s="51" t="n"/>
    </row>
    <row r="53">
      <c r="B53" s="51" t="n"/>
      <c r="C53" s="51" t="n"/>
      <c r="D53" s="51" t="n"/>
      <c r="E53" s="51" t="n"/>
      <c r="F53" s="51" t="n"/>
      <c r="G53" s="51" t="n"/>
    </row>
    <row r="54">
      <c r="B54" s="51" t="n"/>
      <c r="C54" s="51" t="n"/>
      <c r="D54" s="51" t="n"/>
      <c r="E54" s="51" t="n"/>
      <c r="F54" s="51" t="n"/>
      <c r="G54" s="51" t="n"/>
    </row>
    <row r="55">
      <c r="B55" s="51" t="n"/>
      <c r="C55" s="51" t="n"/>
      <c r="D55" s="51" t="n"/>
      <c r="E55" s="51" t="n"/>
      <c r="F55" s="51" t="n"/>
      <c r="G55" s="51" t="n"/>
    </row>
    <row r="56">
      <c r="B56" s="51" t="n"/>
      <c r="C56" s="51" t="n"/>
      <c r="D56" s="51" t="n"/>
      <c r="E56" s="51" t="n"/>
      <c r="F56" s="51" t="n"/>
      <c r="G56" s="51" t="n"/>
    </row>
    <row r="57">
      <c r="B57" s="51" t="n"/>
      <c r="C57" s="51" t="n"/>
      <c r="D57" s="51" t="n"/>
      <c r="E57" s="51" t="n"/>
      <c r="F57" s="51" t="n"/>
      <c r="G57" s="51" t="n"/>
    </row>
    <row r="58">
      <c r="B58" s="51" t="n"/>
      <c r="C58" s="51" t="n"/>
      <c r="D58" s="51" t="n"/>
      <c r="E58" s="51" t="n"/>
      <c r="F58" s="51" t="n"/>
      <c r="G58" s="51" t="n"/>
    </row>
    <row r="59">
      <c r="B59" s="51" t="n"/>
      <c r="C59" s="51" t="n"/>
      <c r="D59" s="51" t="n"/>
      <c r="E59" s="51" t="n"/>
      <c r="F59" s="51" t="n"/>
      <c r="G59" s="51" t="n"/>
    </row>
    <row r="60">
      <c r="B60" s="51" t="n"/>
      <c r="C60" s="51" t="n"/>
      <c r="D60" s="51" t="n"/>
      <c r="E60" s="51" t="n"/>
      <c r="F60" s="51" t="n"/>
      <c r="G60" s="51" t="n"/>
    </row>
    <row r="61">
      <c r="B61" s="51" t="n"/>
      <c r="C61" s="51" t="n"/>
      <c r="D61" s="51" t="n"/>
      <c r="E61" s="51" t="n"/>
      <c r="F61" s="51" t="n"/>
      <c r="G61" s="51" t="n"/>
    </row>
    <row r="62">
      <c r="B62" s="51" t="n"/>
      <c r="C62" s="51" t="n"/>
      <c r="D62" s="51" t="n"/>
      <c r="E62" s="51" t="n"/>
      <c r="F62" s="51" t="n"/>
      <c r="G62" s="51" t="n"/>
    </row>
    <row r="63">
      <c r="B63" s="51" t="n"/>
      <c r="C63" s="51" t="n"/>
      <c r="D63" s="51" t="n"/>
      <c r="E63" s="51" t="n"/>
      <c r="F63" s="51" t="n"/>
      <c r="G63" s="51" t="n"/>
    </row>
    <row r="64">
      <c r="B64" s="51" t="n"/>
      <c r="C64" s="51" t="n"/>
      <c r="D64" s="51" t="n"/>
      <c r="E64" s="51" t="n"/>
      <c r="F64" s="51" t="n"/>
      <c r="G64" s="51" t="n"/>
    </row>
    <row r="65">
      <c r="B65" s="51" t="n"/>
      <c r="C65" s="51" t="n"/>
      <c r="D65" s="51" t="n"/>
      <c r="E65" s="51" t="n"/>
      <c r="F65" s="51" t="n"/>
      <c r="G65" s="51" t="n"/>
    </row>
    <row r="66">
      <c r="B66" s="51" t="n"/>
      <c r="C66" s="51" t="n"/>
      <c r="D66" s="51" t="n"/>
      <c r="E66" s="51" t="n"/>
      <c r="F66" s="51" t="n"/>
      <c r="G66" s="51" t="n"/>
    </row>
    <row r="67">
      <c r="B67" s="51" t="n"/>
      <c r="C67" s="51" t="n"/>
      <c r="D67" s="51" t="n"/>
      <c r="E67" s="51" t="n"/>
      <c r="F67" s="51" t="n"/>
      <c r="G67" s="51" t="n"/>
    </row>
    <row r="68">
      <c r="B68" s="51" t="n"/>
      <c r="C68" s="51" t="n"/>
      <c r="D68" s="51" t="n"/>
      <c r="E68" s="51" t="n"/>
      <c r="F68" s="51" t="n"/>
      <c r="G68" s="51" t="n"/>
    </row>
    <row r="69">
      <c r="B69" s="51" t="n"/>
      <c r="C69" s="51" t="n"/>
      <c r="D69" s="51" t="n"/>
      <c r="E69" s="51" t="n"/>
      <c r="F69" s="51" t="n"/>
      <c r="G69" s="51" t="n"/>
    </row>
    <row r="70">
      <c r="B70" s="51" t="n"/>
      <c r="C70" s="51" t="n"/>
      <c r="D70" s="51" t="n"/>
      <c r="E70" s="51" t="n"/>
      <c r="F70" s="51" t="n"/>
      <c r="G70" s="51" t="n"/>
    </row>
    <row r="71">
      <c r="B71" s="51" t="n"/>
      <c r="C71" s="51" t="n"/>
      <c r="D71" s="51" t="n"/>
      <c r="E71" s="51" t="n"/>
      <c r="F71" s="51" t="n"/>
      <c r="G71" s="51" t="n"/>
    </row>
    <row r="72">
      <c r="B72" s="51" t="n"/>
      <c r="C72" s="51" t="n"/>
      <c r="D72" s="51" t="n"/>
      <c r="E72" s="51" t="n"/>
      <c r="F72" s="51" t="n"/>
      <c r="G72" s="51" t="n"/>
    </row>
    <row r="73">
      <c r="B73" s="51" t="n"/>
      <c r="C73" s="51" t="n"/>
      <c r="D73" s="51" t="n"/>
      <c r="E73" s="51" t="n"/>
      <c r="F73" s="51" t="n"/>
      <c r="G73" s="51" t="n"/>
    </row>
    <row r="74">
      <c r="B74" s="51" t="n"/>
      <c r="C74" s="51" t="n"/>
      <c r="D74" s="51" t="n"/>
      <c r="E74" s="51" t="n"/>
      <c r="F74" s="51" t="n"/>
      <c r="G74" s="51" t="n"/>
    </row>
    <row r="75">
      <c r="B75" s="51" t="n"/>
      <c r="C75" s="51" t="n"/>
      <c r="D75" s="51" t="n"/>
      <c r="E75" s="51" t="n"/>
      <c r="F75" s="51" t="n"/>
      <c r="G75" s="51" t="n"/>
    </row>
    <row r="76">
      <c r="B76" s="51" t="n"/>
      <c r="C76" s="51" t="n"/>
      <c r="D76" s="51" t="n"/>
      <c r="E76" s="51" t="n"/>
      <c r="F76" s="51" t="n"/>
      <c r="G76" s="51" t="n"/>
    </row>
    <row r="77">
      <c r="B77" s="51" t="n"/>
      <c r="C77" s="51" t="n"/>
      <c r="D77" s="51" t="n"/>
      <c r="E77" s="51" t="n"/>
      <c r="F77" s="51" t="n"/>
      <c r="G77" s="51" t="n"/>
    </row>
    <row r="78">
      <c r="B78" s="51" t="n"/>
      <c r="C78" s="51" t="n"/>
      <c r="D78" s="51" t="n"/>
      <c r="E78" s="51" t="n"/>
      <c r="F78" s="51" t="n"/>
      <c r="G78" s="51" t="n"/>
    </row>
    <row r="79">
      <c r="B79" s="51" t="n"/>
      <c r="C79" s="51" t="n"/>
      <c r="D79" s="51" t="n"/>
      <c r="E79" s="51" t="n"/>
      <c r="F79" s="51" t="n"/>
      <c r="G79" s="51" t="n"/>
    </row>
    <row r="80">
      <c r="B80" s="51" t="n"/>
      <c r="C80" s="51" t="n"/>
      <c r="D80" s="51" t="n"/>
      <c r="E80" s="51" t="n"/>
      <c r="F80" s="51" t="n"/>
      <c r="G80" s="51" t="n"/>
    </row>
    <row r="81">
      <c r="B81" s="51" t="n"/>
      <c r="C81" s="51" t="n"/>
      <c r="D81" s="51" t="n"/>
      <c r="E81" s="51" t="n"/>
      <c r="F81" s="51" t="n"/>
      <c r="G81" s="51" t="n"/>
    </row>
    <row r="82">
      <c r="B82" s="51" t="n"/>
      <c r="C82" s="51" t="n"/>
      <c r="D82" s="51" t="n"/>
      <c r="E82" s="51" t="n"/>
      <c r="F82" s="51" t="n"/>
      <c r="G82" s="51" t="n"/>
    </row>
    <row r="83">
      <c r="B83" s="51" t="n"/>
      <c r="C83" s="51" t="n"/>
      <c r="D83" s="51" t="n"/>
      <c r="E83" s="51" t="n"/>
      <c r="F83" s="51" t="n"/>
      <c r="G83" s="51" t="n"/>
    </row>
    <row r="84">
      <c r="B84" s="51" t="n"/>
      <c r="C84" s="51" t="n"/>
      <c r="D84" s="51" t="n"/>
      <c r="E84" s="51" t="n"/>
      <c r="F84" s="51" t="n"/>
      <c r="G84" s="51" t="n"/>
    </row>
    <row r="85">
      <c r="B85" s="51" t="n"/>
      <c r="C85" s="51" t="n"/>
      <c r="D85" s="51" t="n"/>
      <c r="E85" s="51" t="n"/>
      <c r="F85" s="51" t="n"/>
      <c r="G85" s="51" t="n"/>
    </row>
    <row r="86">
      <c r="B86" s="51" t="n"/>
      <c r="C86" s="51" t="n"/>
      <c r="D86" s="51" t="n"/>
      <c r="E86" s="51" t="n"/>
      <c r="F86" s="51" t="n"/>
      <c r="G86" s="51" t="n"/>
    </row>
    <row r="87">
      <c r="B87" s="51" t="n"/>
      <c r="C87" s="51" t="n"/>
      <c r="D87" s="51" t="n"/>
      <c r="E87" s="51" t="n"/>
      <c r="F87" s="51" t="n"/>
      <c r="G87" s="51" t="n"/>
    </row>
    <row r="88">
      <c r="B88" s="51" t="n"/>
      <c r="C88" s="51" t="n"/>
      <c r="D88" s="51" t="n"/>
      <c r="E88" s="51" t="n"/>
      <c r="F88" s="51" t="n"/>
      <c r="G88" s="51" t="n"/>
    </row>
    <row r="89">
      <c r="B89" s="51" t="n"/>
      <c r="C89" s="51" t="n"/>
      <c r="D89" s="51" t="n"/>
      <c r="E89" s="51" t="n"/>
      <c r="F89" s="51" t="n"/>
      <c r="G89" s="51" t="n"/>
    </row>
    <row r="90">
      <c r="B90" s="51" t="n"/>
      <c r="C90" s="51" t="n"/>
      <c r="D90" s="51" t="n"/>
      <c r="E90" s="51" t="n"/>
      <c r="F90" s="51" t="n"/>
      <c r="G90" s="51" t="n"/>
    </row>
    <row r="91">
      <c r="B91" s="51" t="n"/>
      <c r="C91" s="51" t="n"/>
      <c r="D91" s="51" t="n"/>
      <c r="E91" s="51" t="n"/>
      <c r="F91" s="51" t="n"/>
      <c r="G91" s="51" t="n"/>
    </row>
    <row r="92">
      <c r="B92" s="51" t="n"/>
      <c r="C92" s="51" t="n"/>
      <c r="D92" s="51" t="n"/>
      <c r="E92" s="51" t="n"/>
      <c r="F92" s="51" t="n"/>
      <c r="G92" s="51" t="n"/>
    </row>
    <row r="93">
      <c r="B93" s="51" t="n"/>
      <c r="C93" s="51" t="n"/>
      <c r="D93" s="51" t="n"/>
      <c r="E93" s="51" t="n"/>
      <c r="F93" s="51" t="n"/>
      <c r="G93" s="51" t="n"/>
    </row>
    <row r="94">
      <c r="B94" s="51" t="n"/>
      <c r="C94" s="51" t="n"/>
      <c r="D94" s="51" t="n"/>
      <c r="E94" s="51" t="n"/>
      <c r="F94" s="51" t="n"/>
      <c r="G94" s="51" t="n"/>
    </row>
    <row r="95">
      <c r="B95" s="51" t="n"/>
      <c r="C95" s="51" t="n"/>
      <c r="D95" s="51" t="n"/>
      <c r="E95" s="51" t="n"/>
      <c r="F95" s="51" t="n"/>
      <c r="G95" s="51" t="n"/>
    </row>
    <row r="96">
      <c r="B96" s="51" t="n"/>
      <c r="C96" s="51" t="n"/>
      <c r="D96" s="51" t="n"/>
      <c r="E96" s="51" t="n"/>
      <c r="F96" s="51" t="n"/>
      <c r="G96" s="51" t="n"/>
    </row>
    <row r="97">
      <c r="B97" s="51" t="n"/>
      <c r="C97" s="51" t="n"/>
      <c r="D97" s="51" t="n"/>
      <c r="E97" s="51" t="n"/>
      <c r="F97" s="51" t="n"/>
      <c r="G97" s="51" t="n"/>
    </row>
    <row r="98">
      <c r="B98" s="51" t="n"/>
      <c r="C98" s="51" t="n"/>
      <c r="D98" s="51" t="n"/>
      <c r="E98" s="51" t="n"/>
      <c r="F98" s="51" t="n"/>
      <c r="G98" s="51" t="n"/>
    </row>
    <row r="99">
      <c r="B99" s="51" t="n"/>
      <c r="C99" s="51" t="n"/>
      <c r="D99" s="51" t="n"/>
      <c r="E99" s="51" t="n"/>
      <c r="F99" s="51" t="n"/>
      <c r="G99" s="51" t="n"/>
    </row>
    <row r="100">
      <c r="B100" s="51" t="n"/>
      <c r="C100" s="51" t="n"/>
      <c r="D100" s="51" t="n"/>
      <c r="E100" s="51" t="n"/>
      <c r="F100" s="51" t="n"/>
      <c r="G100" s="51" t="n"/>
    </row>
    <row r="101">
      <c r="B101" s="51" t="n"/>
      <c r="C101" s="51" t="n"/>
      <c r="D101" s="51" t="n"/>
      <c r="E101" s="51" t="n"/>
      <c r="F101" s="51" t="n"/>
      <c r="G101" s="51" t="n"/>
    </row>
    <row r="102">
      <c r="B102" s="51" t="n"/>
      <c r="C102" s="51" t="n"/>
      <c r="D102" s="51" t="n"/>
      <c r="E102" s="51" t="n"/>
      <c r="F102" s="51" t="n"/>
      <c r="G102" s="51" t="n"/>
    </row>
    <row r="103">
      <c r="B103" s="51" t="n"/>
      <c r="C103" s="51" t="n"/>
      <c r="D103" s="51" t="n"/>
      <c r="E103" s="51" t="n"/>
      <c r="F103" s="51" t="n"/>
      <c r="G103" s="51" t="n"/>
    </row>
    <row r="104">
      <c r="B104" s="51" t="n"/>
      <c r="C104" s="51" t="n"/>
      <c r="D104" s="51" t="n"/>
      <c r="E104" s="51" t="n"/>
      <c r="F104" s="51" t="n"/>
      <c r="G104" s="51" t="n"/>
    </row>
    <row r="105">
      <c r="B105" s="51" t="n"/>
      <c r="C105" s="51" t="n"/>
      <c r="D105" s="51" t="n"/>
      <c r="E105" s="51" t="n"/>
      <c r="F105" s="51" t="n"/>
      <c r="G105" s="51" t="n"/>
    </row>
    <row r="106">
      <c r="B106" s="51" t="n"/>
      <c r="C106" s="51" t="n"/>
      <c r="D106" s="51" t="n"/>
      <c r="E106" s="51" t="n"/>
      <c r="F106" s="51" t="n"/>
      <c r="G106" s="51" t="n"/>
    </row>
    <row r="107">
      <c r="B107" s="51" t="n"/>
      <c r="C107" s="51" t="n"/>
      <c r="D107" s="51" t="n"/>
      <c r="E107" s="51" t="n"/>
      <c r="F107" s="51" t="n"/>
      <c r="G107" s="51" t="n"/>
    </row>
    <row r="108">
      <c r="B108" s="51" t="n"/>
      <c r="C108" s="51" t="n"/>
      <c r="D108" s="51" t="n"/>
      <c r="E108" s="51" t="n"/>
      <c r="F108" s="51" t="n"/>
      <c r="G108" s="51" t="n"/>
    </row>
    <row r="109">
      <c r="B109" s="51" t="n"/>
      <c r="C109" s="51" t="n"/>
      <c r="D109" s="51" t="n"/>
      <c r="E109" s="51" t="n"/>
      <c r="F109" s="51" t="n"/>
      <c r="G109" s="51" t="n"/>
    </row>
    <row r="110">
      <c r="B110" s="51" t="n"/>
      <c r="C110" s="51" t="n"/>
      <c r="D110" s="51" t="n"/>
      <c r="E110" s="51" t="n"/>
      <c r="F110" s="51" t="n"/>
      <c r="G110" s="51" t="n"/>
    </row>
    <row r="111">
      <c r="B111" s="51" t="n"/>
      <c r="C111" s="51" t="n"/>
      <c r="D111" s="51" t="n"/>
      <c r="E111" s="51" t="n"/>
      <c r="F111" s="51" t="n"/>
      <c r="G111" s="51" t="n"/>
    </row>
    <row r="112">
      <c r="B112" s="51" t="n"/>
      <c r="C112" s="51" t="n"/>
      <c r="D112" s="51" t="n"/>
      <c r="E112" s="51" t="n"/>
      <c r="F112" s="51" t="n"/>
      <c r="G112" s="51" t="n"/>
    </row>
    <row r="113">
      <c r="B113" s="51" t="n"/>
      <c r="C113" s="51" t="n"/>
      <c r="D113" s="51" t="n"/>
      <c r="E113" s="51" t="n"/>
      <c r="F113" s="51" t="n"/>
      <c r="G113" s="51" t="n"/>
    </row>
    <row r="114">
      <c r="B114" s="51" t="n"/>
      <c r="C114" s="51" t="n"/>
      <c r="D114" s="51" t="n"/>
      <c r="E114" s="51" t="n"/>
      <c r="F114" s="51" t="n"/>
      <c r="G114" s="51" t="n"/>
    </row>
    <row r="115">
      <c r="B115" s="51" t="n"/>
      <c r="C115" s="51" t="n"/>
      <c r="D115" s="51" t="n"/>
      <c r="E115" s="51" t="n"/>
      <c r="F115" s="51" t="n"/>
      <c r="G115" s="51" t="n"/>
    </row>
    <row r="116">
      <c r="B116" s="51" t="n"/>
      <c r="C116" s="51" t="n"/>
      <c r="D116" s="51" t="n"/>
      <c r="E116" s="51" t="n"/>
      <c r="F116" s="51" t="n"/>
      <c r="G116" s="51" t="n"/>
    </row>
    <row r="117">
      <c r="B117" s="51" t="n"/>
      <c r="C117" s="51" t="n"/>
      <c r="D117" s="51" t="n"/>
      <c r="E117" s="51" t="n"/>
      <c r="F117" s="51" t="n"/>
      <c r="G117" s="51" t="n"/>
    </row>
    <row r="118">
      <c r="B118" s="51" t="n"/>
      <c r="C118" s="51" t="n"/>
      <c r="D118" s="51" t="n"/>
      <c r="E118" s="51" t="n"/>
      <c r="F118" s="51" t="n"/>
      <c r="G118" s="51" t="n"/>
    </row>
    <row r="119">
      <c r="B119" s="51" t="n"/>
      <c r="C119" s="51" t="n"/>
      <c r="D119" s="51" t="n"/>
      <c r="E119" s="51" t="n"/>
      <c r="F119" s="51" t="n"/>
      <c r="G119" s="51" t="n"/>
    </row>
    <row r="120">
      <c r="B120" s="51" t="n"/>
      <c r="C120" s="51" t="n"/>
      <c r="D120" s="51" t="n"/>
      <c r="E120" s="51" t="n"/>
      <c r="F120" s="51" t="n"/>
      <c r="G120" s="51" t="n"/>
    </row>
    <row r="121">
      <c r="B121" s="51" t="n"/>
      <c r="C121" s="51" t="n"/>
      <c r="D121" s="51" t="n"/>
      <c r="E121" s="51" t="n"/>
      <c r="F121" s="51" t="n"/>
      <c r="G121" s="51" t="n"/>
    </row>
    <row r="122">
      <c r="B122" s="51" t="n"/>
      <c r="C122" s="51" t="n"/>
      <c r="D122" s="51" t="n"/>
      <c r="E122" s="51" t="n"/>
      <c r="F122" s="51" t="n"/>
      <c r="G122" s="51" t="n"/>
    </row>
    <row r="123">
      <c r="B123" s="51" t="n"/>
      <c r="C123" s="51" t="n"/>
      <c r="D123" s="51" t="n"/>
      <c r="E123" s="51" t="n"/>
      <c r="F123" s="51" t="n"/>
      <c r="G123" s="51" t="n"/>
    </row>
    <row r="124">
      <c r="B124" s="51" t="n"/>
      <c r="C124" s="51" t="n"/>
      <c r="D124" s="51" t="n"/>
      <c r="E124" s="51" t="n"/>
      <c r="F124" s="51" t="n"/>
      <c r="G124" s="51" t="n"/>
    </row>
    <row r="125">
      <c r="B125" s="51" t="n"/>
      <c r="C125" s="51" t="n"/>
      <c r="D125" s="51" t="n"/>
      <c r="E125" s="51" t="n"/>
      <c r="F125" s="51" t="n"/>
      <c r="G125" s="51" t="n"/>
    </row>
    <row r="126">
      <c r="B126" s="51" t="n"/>
      <c r="C126" s="51" t="n"/>
      <c r="D126" s="51" t="n"/>
      <c r="E126" s="51" t="n"/>
      <c r="F126" s="51" t="n"/>
      <c r="G126" s="51" t="n"/>
    </row>
    <row r="127">
      <c r="B127" s="51" t="n"/>
      <c r="C127" s="51" t="n"/>
      <c r="D127" s="51" t="n"/>
      <c r="E127" s="51" t="n"/>
      <c r="F127" s="51" t="n"/>
      <c r="G127" s="51" t="n"/>
    </row>
    <row r="128">
      <c r="B128" s="51" t="n"/>
      <c r="C128" s="51" t="n"/>
      <c r="D128" s="51" t="n"/>
      <c r="E128" s="51" t="n"/>
      <c r="F128" s="51" t="n"/>
      <c r="G128" s="51" t="n"/>
    </row>
    <row r="129">
      <c r="B129" s="51" t="n"/>
      <c r="C129" s="51" t="n"/>
      <c r="D129" s="51" t="n"/>
      <c r="E129" s="51" t="n"/>
      <c r="F129" s="51" t="n"/>
      <c r="G129" s="51" t="n"/>
    </row>
    <row r="130">
      <c r="B130" s="51" t="n"/>
      <c r="C130" s="51" t="n"/>
      <c r="D130" s="51" t="n"/>
      <c r="E130" s="51" t="n"/>
      <c r="F130" s="51" t="n"/>
      <c r="G130" s="51" t="n"/>
    </row>
    <row r="131">
      <c r="B131" s="51" t="n"/>
      <c r="C131" s="51" t="n"/>
      <c r="D131" s="51" t="n"/>
      <c r="E131" s="51" t="n"/>
      <c r="F131" s="51" t="n"/>
      <c r="G131" s="51" t="n"/>
    </row>
    <row r="132">
      <c r="B132" s="51" t="n"/>
      <c r="C132" s="51" t="n"/>
      <c r="D132" s="51" t="n"/>
      <c r="E132" s="51" t="n"/>
      <c r="F132" s="51" t="n"/>
      <c r="G132" s="51" t="n"/>
    </row>
    <row r="133">
      <c r="B133" s="51" t="n"/>
      <c r="C133" s="51" t="n"/>
      <c r="D133" s="51" t="n"/>
      <c r="E133" s="51" t="n"/>
      <c r="F133" s="51" t="n"/>
      <c r="G133" s="51" t="n"/>
    </row>
    <row r="134">
      <c r="B134" s="51" t="n"/>
      <c r="C134" s="51" t="n"/>
      <c r="D134" s="51" t="n"/>
      <c r="E134" s="51" t="n"/>
      <c r="F134" s="51" t="n"/>
      <c r="G134" s="51" t="n"/>
    </row>
    <row r="135">
      <c r="B135" s="51" t="n"/>
      <c r="C135" s="51" t="n"/>
      <c r="D135" s="51" t="n"/>
      <c r="E135" s="51" t="n"/>
      <c r="F135" s="51" t="n"/>
      <c r="G135" s="51" t="n"/>
    </row>
    <row r="136">
      <c r="B136" s="51" t="n"/>
      <c r="C136" s="51" t="n"/>
      <c r="D136" s="51" t="n"/>
      <c r="E136" s="51" t="n"/>
      <c r="F136" s="51" t="n"/>
      <c r="G136" s="51" t="n"/>
    </row>
    <row r="137">
      <c r="B137" s="51" t="n"/>
      <c r="C137" s="51" t="n"/>
      <c r="D137" s="51" t="n"/>
      <c r="E137" s="51" t="n"/>
      <c r="F137" s="51" t="n"/>
      <c r="G137" s="51" t="n"/>
    </row>
    <row r="138">
      <c r="B138" s="51" t="n"/>
      <c r="C138" s="51" t="n"/>
      <c r="D138" s="51" t="n"/>
      <c r="E138" s="51" t="n"/>
      <c r="F138" s="51" t="n"/>
      <c r="G138" s="51" t="n"/>
    </row>
    <row r="139">
      <c r="B139" s="51" t="n"/>
      <c r="C139" s="51" t="n"/>
      <c r="D139" s="51" t="n"/>
      <c r="E139" s="51" t="n"/>
      <c r="F139" s="51" t="n"/>
      <c r="G139" s="51" t="n"/>
    </row>
    <row r="140">
      <c r="B140" s="51" t="n"/>
      <c r="C140" s="51" t="n"/>
      <c r="D140" s="51" t="n"/>
      <c r="E140" s="51" t="n"/>
      <c r="F140" s="51" t="n"/>
      <c r="G140" s="51" t="n"/>
    </row>
    <row r="141">
      <c r="B141" s="51" t="n"/>
      <c r="C141" s="51" t="n"/>
      <c r="D141" s="51" t="n"/>
      <c r="E141" s="51" t="n"/>
      <c r="F141" s="51" t="n"/>
      <c r="G141" s="51" t="n"/>
    </row>
    <row r="142">
      <c r="B142" s="51" t="n"/>
      <c r="C142" s="51" t="n"/>
      <c r="D142" s="51" t="n"/>
      <c r="E142" s="51" t="n"/>
      <c r="F142" s="51" t="n"/>
      <c r="G142" s="51" t="n"/>
    </row>
    <row r="143">
      <c r="B143" s="51" t="n"/>
      <c r="C143" s="51" t="n"/>
      <c r="D143" s="51" t="n"/>
      <c r="E143" s="51" t="n"/>
      <c r="F143" s="51" t="n"/>
      <c r="G143" s="51" t="n"/>
    </row>
    <row r="144">
      <c r="B144" s="51" t="n"/>
      <c r="C144" s="51" t="n"/>
      <c r="D144" s="51" t="n"/>
      <c r="E144" s="51" t="n"/>
      <c r="F144" s="51" t="n"/>
      <c r="G144" s="51" t="n"/>
    </row>
    <row r="145">
      <c r="B145" s="51" t="n"/>
      <c r="C145" s="51" t="n"/>
      <c r="D145" s="51" t="n"/>
      <c r="E145" s="51" t="n"/>
      <c r="F145" s="51" t="n"/>
      <c r="G145" s="51" t="n"/>
    </row>
    <row r="146">
      <c r="B146" s="51" t="n"/>
      <c r="C146" s="51" t="n"/>
      <c r="D146" s="51" t="n"/>
      <c r="E146" s="51" t="n"/>
      <c r="F146" s="51" t="n"/>
      <c r="G146" s="51" t="n"/>
    </row>
    <row r="147">
      <c r="B147" s="51" t="n"/>
      <c r="C147" s="51" t="n"/>
      <c r="D147" s="51" t="n"/>
      <c r="E147" s="51" t="n"/>
      <c r="F147" s="51" t="n"/>
      <c r="G147" s="51" t="n"/>
    </row>
    <row r="148">
      <c r="B148" s="51" t="n"/>
      <c r="C148" s="51" t="n"/>
      <c r="D148" s="51" t="n"/>
      <c r="E148" s="51" t="n"/>
      <c r="F148" s="51" t="n"/>
      <c r="G148" s="51" t="n"/>
    </row>
    <row r="149">
      <c r="B149" s="51" t="n"/>
      <c r="C149" s="51" t="n"/>
      <c r="D149" s="51" t="n"/>
      <c r="E149" s="51" t="n"/>
      <c r="F149" s="51" t="n"/>
      <c r="G149" s="51" t="n"/>
    </row>
    <row r="150">
      <c r="B150" s="51" t="n"/>
      <c r="C150" s="51" t="n"/>
      <c r="D150" s="51" t="n"/>
      <c r="E150" s="51" t="n"/>
      <c r="F150" s="51" t="n"/>
      <c r="G150" s="51" t="n"/>
    </row>
    <row r="151">
      <c r="B151" s="51" t="n"/>
      <c r="C151" s="51" t="n"/>
      <c r="D151" s="51" t="n"/>
      <c r="E151" s="51" t="n"/>
      <c r="F151" s="51" t="n"/>
      <c r="G151" s="51" t="n"/>
    </row>
    <row r="152">
      <c r="B152" s="51" t="n"/>
      <c r="C152" s="51" t="n"/>
      <c r="D152" s="51" t="n"/>
      <c r="E152" s="51" t="n"/>
      <c r="F152" s="51" t="n"/>
      <c r="G152" s="51" t="n"/>
    </row>
    <row r="153">
      <c r="B153" s="51" t="n"/>
      <c r="C153" s="51" t="n"/>
      <c r="D153" s="51" t="n"/>
      <c r="E153" s="51" t="n"/>
      <c r="F153" s="51" t="n"/>
      <c r="G153" s="51" t="n"/>
    </row>
    <row r="154">
      <c r="B154" s="51" t="n"/>
      <c r="C154" s="51" t="n"/>
      <c r="D154" s="51" t="n"/>
      <c r="E154" s="51" t="n"/>
      <c r="F154" s="51" t="n"/>
      <c r="G154" s="51" t="n"/>
    </row>
    <row r="155">
      <c r="B155" s="51" t="n"/>
      <c r="C155" s="51" t="n"/>
      <c r="D155" s="51" t="n"/>
      <c r="E155" s="51" t="n"/>
      <c r="F155" s="51" t="n"/>
      <c r="G155" s="51" t="n"/>
    </row>
    <row r="156">
      <c r="B156" s="51" t="n"/>
      <c r="C156" s="51" t="n"/>
      <c r="D156" s="51" t="n"/>
      <c r="E156" s="51" t="n"/>
      <c r="F156" s="51" t="n"/>
      <c r="G156" s="51" t="n"/>
    </row>
    <row r="157">
      <c r="B157" s="51" t="n"/>
      <c r="C157" s="51" t="n"/>
      <c r="D157" s="51" t="n"/>
      <c r="E157" s="51" t="n"/>
      <c r="F157" s="51" t="n"/>
      <c r="G157" s="51" t="n"/>
    </row>
    <row r="158">
      <c r="B158" s="51" t="n"/>
      <c r="C158" s="51" t="n"/>
      <c r="D158" s="51" t="n"/>
      <c r="E158" s="51" t="n"/>
      <c r="F158" s="51" t="n"/>
      <c r="G158" s="51" t="n"/>
    </row>
    <row r="159">
      <c r="B159" s="51" t="n"/>
      <c r="C159" s="51" t="n"/>
      <c r="D159" s="51" t="n"/>
      <c r="E159" s="51" t="n"/>
      <c r="F159" s="51" t="n"/>
      <c r="G159" s="51" t="n"/>
    </row>
    <row r="160">
      <c r="B160" s="51" t="n"/>
      <c r="C160" s="51" t="n"/>
      <c r="D160" s="51" t="n"/>
      <c r="E160" s="51" t="n"/>
      <c r="F160" s="51" t="n"/>
      <c r="G160" s="51" t="n"/>
    </row>
    <row r="161">
      <c r="B161" s="51" t="n"/>
      <c r="C161" s="51" t="n"/>
      <c r="D161" s="51" t="n"/>
      <c r="E161" s="51" t="n"/>
      <c r="F161" s="51" t="n"/>
      <c r="G161" s="51" t="n"/>
    </row>
    <row r="162">
      <c r="B162" s="51" t="n"/>
      <c r="C162" s="51" t="n"/>
      <c r="D162" s="51" t="n"/>
      <c r="E162" s="51" t="n"/>
      <c r="F162" s="51" t="n"/>
      <c r="G162" s="51" t="n"/>
    </row>
    <row r="163">
      <c r="B163" s="51" t="n"/>
      <c r="C163" s="51" t="n"/>
      <c r="D163" s="51" t="n"/>
      <c r="E163" s="51" t="n"/>
      <c r="F163" s="51" t="n"/>
      <c r="G163" s="51" t="n"/>
    </row>
    <row r="164">
      <c r="B164" s="51" t="n"/>
      <c r="C164" s="51" t="n"/>
      <c r="D164" s="51" t="n"/>
      <c r="E164" s="51" t="n"/>
      <c r="F164" s="51" t="n"/>
      <c r="G164" s="51" t="n"/>
    </row>
    <row r="165">
      <c r="B165" s="51" t="n"/>
      <c r="C165" s="51" t="n"/>
      <c r="D165" s="51" t="n"/>
      <c r="E165" s="51" t="n"/>
      <c r="F165" s="51" t="n"/>
      <c r="G165" s="51" t="n"/>
    </row>
    <row r="166">
      <c r="B166" s="51" t="n"/>
      <c r="C166" s="51" t="n"/>
      <c r="D166" s="51" t="n"/>
      <c r="E166" s="51" t="n"/>
      <c r="F166" s="51" t="n"/>
      <c r="G166" s="51" t="n"/>
    </row>
    <row r="167">
      <c r="B167" s="51" t="n"/>
      <c r="C167" s="51" t="n"/>
      <c r="D167" s="51" t="n"/>
      <c r="E167" s="51" t="n"/>
      <c r="F167" s="51" t="n"/>
      <c r="G167" s="51" t="n"/>
    </row>
    <row r="168">
      <c r="B168" s="51" t="n"/>
      <c r="C168" s="51" t="n"/>
      <c r="D168" s="51" t="n"/>
      <c r="E168" s="51" t="n"/>
      <c r="F168" s="51" t="n"/>
      <c r="G168" s="51" t="n"/>
    </row>
    <row r="169">
      <c r="B169" s="51" t="n"/>
      <c r="C169" s="51" t="n"/>
      <c r="D169" s="51" t="n"/>
      <c r="E169" s="51" t="n"/>
      <c r="F169" s="51" t="n"/>
      <c r="G169" s="51" t="n"/>
    </row>
    <row r="170">
      <c r="B170" s="51" t="n"/>
      <c r="C170" s="51" t="n"/>
      <c r="D170" s="51" t="n"/>
      <c r="E170" s="51" t="n"/>
      <c r="F170" s="51" t="n"/>
      <c r="G170" s="51" t="n"/>
    </row>
    <row r="171">
      <c r="B171" s="51" t="n"/>
      <c r="C171" s="51" t="n"/>
      <c r="D171" s="51" t="n"/>
      <c r="E171" s="51" t="n"/>
      <c r="F171" s="51" t="n"/>
      <c r="G171" s="51" t="n"/>
    </row>
    <row r="172">
      <c r="B172" s="51" t="n"/>
      <c r="C172" s="51" t="n"/>
      <c r="D172" s="51" t="n"/>
      <c r="E172" s="51" t="n"/>
      <c r="F172" s="51" t="n"/>
      <c r="G172" s="51" t="n"/>
    </row>
    <row r="173">
      <c r="B173" s="51" t="n"/>
      <c r="C173" s="51" t="n"/>
      <c r="D173" s="51" t="n"/>
      <c r="E173" s="51" t="n"/>
      <c r="F173" s="51" t="n"/>
      <c r="G173" s="51" t="n"/>
    </row>
    <row r="174">
      <c r="B174" s="51" t="n"/>
      <c r="C174" s="51" t="n"/>
      <c r="D174" s="51" t="n"/>
      <c r="E174" s="51" t="n"/>
      <c r="F174" s="51" t="n"/>
      <c r="G174" s="51" t="n"/>
    </row>
    <row r="175">
      <c r="B175" s="51" t="n"/>
      <c r="C175" s="51" t="n"/>
      <c r="D175" s="51" t="n"/>
      <c r="E175" s="51" t="n"/>
      <c r="F175" s="51" t="n"/>
      <c r="G175" s="51" t="n"/>
    </row>
    <row r="176">
      <c r="B176" s="51" t="n"/>
      <c r="C176" s="51" t="n"/>
      <c r="D176" s="51" t="n"/>
      <c r="E176" s="51" t="n"/>
      <c r="F176" s="51" t="n"/>
      <c r="G176" s="51" t="n"/>
    </row>
    <row r="177">
      <c r="B177" s="51" t="n"/>
      <c r="C177" s="51" t="n"/>
      <c r="D177" s="51" t="n"/>
      <c r="E177" s="51" t="n"/>
      <c r="F177" s="51" t="n"/>
      <c r="G177" s="51" t="n"/>
    </row>
    <row r="178">
      <c r="B178" s="51" t="n"/>
      <c r="C178" s="51" t="n"/>
      <c r="D178" s="51" t="n"/>
      <c r="E178" s="51" t="n"/>
      <c r="F178" s="51" t="n"/>
      <c r="G178" s="51" t="n"/>
    </row>
    <row r="179">
      <c r="B179" s="51" t="n"/>
      <c r="C179" s="51" t="n"/>
      <c r="D179" s="51" t="n"/>
      <c r="E179" s="51" t="n"/>
      <c r="F179" s="51" t="n"/>
      <c r="G179" s="51" t="n"/>
    </row>
    <row r="180">
      <c r="B180" s="51" t="n"/>
      <c r="C180" s="51" t="n"/>
      <c r="D180" s="51" t="n"/>
      <c r="E180" s="51" t="n"/>
      <c r="F180" s="51" t="n"/>
      <c r="G180" s="51" t="n"/>
    </row>
    <row r="181">
      <c r="B181" s="51" t="n"/>
      <c r="C181" s="51" t="n"/>
      <c r="D181" s="51" t="n"/>
      <c r="E181" s="51" t="n"/>
      <c r="F181" s="51" t="n"/>
      <c r="G181" s="51" t="n"/>
    </row>
    <row r="182">
      <c r="B182" s="51" t="n"/>
      <c r="C182" s="51" t="n"/>
      <c r="D182" s="51" t="n"/>
      <c r="E182" s="51" t="n"/>
      <c r="F182" s="51" t="n"/>
      <c r="G182" s="51" t="n"/>
    </row>
    <row r="183">
      <c r="B183" s="51" t="n"/>
      <c r="C183" s="51" t="n"/>
      <c r="D183" s="51" t="n"/>
      <c r="E183" s="51" t="n"/>
      <c r="F183" s="51" t="n"/>
      <c r="G183" s="51" t="n"/>
    </row>
    <row r="184">
      <c r="B184" s="51" t="n"/>
      <c r="C184" s="51" t="n"/>
      <c r="D184" s="51" t="n"/>
      <c r="E184" s="51" t="n"/>
      <c r="F184" s="51" t="n"/>
      <c r="G184" s="51" t="n"/>
    </row>
    <row r="185">
      <c r="B185" s="51" t="n"/>
      <c r="C185" s="51" t="n"/>
      <c r="D185" s="51" t="n"/>
      <c r="E185" s="51" t="n"/>
      <c r="F185" s="51" t="n"/>
      <c r="G185" s="51" t="n"/>
    </row>
    <row r="186">
      <c r="B186" s="51" t="n"/>
      <c r="C186" s="51" t="n"/>
      <c r="D186" s="51" t="n"/>
      <c r="E186" s="51" t="n"/>
      <c r="F186" s="51" t="n"/>
      <c r="G186" s="51" t="n"/>
    </row>
    <row r="187">
      <c r="B187" s="51" t="n"/>
      <c r="C187" s="51" t="n"/>
      <c r="D187" s="51" t="n"/>
      <c r="E187" s="51" t="n"/>
      <c r="F187" s="51" t="n"/>
      <c r="G187" s="51" t="n"/>
    </row>
    <row r="188">
      <c r="B188" s="51" t="n"/>
      <c r="C188" s="51" t="n"/>
      <c r="D188" s="51" t="n"/>
      <c r="E188" s="51" t="n"/>
      <c r="F188" s="51" t="n"/>
      <c r="G188" s="51" t="n"/>
    </row>
    <row r="189">
      <c r="B189" s="51" t="n"/>
      <c r="C189" s="51" t="n"/>
      <c r="D189" s="51" t="n"/>
      <c r="E189" s="51" t="n"/>
      <c r="F189" s="51" t="n"/>
      <c r="G189" s="51" t="n"/>
    </row>
    <row r="190">
      <c r="B190" s="51" t="n"/>
      <c r="C190" s="51" t="n"/>
      <c r="D190" s="51" t="n"/>
      <c r="E190" s="51" t="n"/>
      <c r="F190" s="51" t="n"/>
      <c r="G190" s="51" t="n"/>
    </row>
    <row r="191">
      <c r="B191" s="51" t="n"/>
      <c r="C191" s="51" t="n"/>
      <c r="D191" s="51" t="n"/>
      <c r="E191" s="51" t="n"/>
      <c r="F191" s="51" t="n"/>
      <c r="G191" s="51" t="n"/>
    </row>
    <row r="192">
      <c r="B192" s="51" t="n"/>
      <c r="C192" s="51" t="n"/>
      <c r="D192" s="51" t="n"/>
      <c r="E192" s="51" t="n"/>
      <c r="F192" s="51" t="n"/>
      <c r="G192" s="51" t="n"/>
    </row>
    <row r="193">
      <c r="B193" s="51" t="n"/>
      <c r="C193" s="51" t="n"/>
      <c r="D193" s="51" t="n"/>
      <c r="E193" s="51" t="n"/>
      <c r="F193" s="51" t="n"/>
      <c r="G193" s="51" t="n"/>
    </row>
    <row r="194">
      <c r="B194" s="51" t="n"/>
      <c r="C194" s="51" t="n"/>
      <c r="D194" s="51" t="n"/>
      <c r="E194" s="51" t="n"/>
      <c r="F194" s="51" t="n"/>
      <c r="G194" s="51" t="n"/>
    </row>
    <row r="195">
      <c r="B195" s="51" t="n"/>
      <c r="C195" s="51" t="n"/>
      <c r="D195" s="51" t="n"/>
      <c r="E195" s="51" t="n"/>
      <c r="F195" s="51" t="n"/>
      <c r="G195" s="51" t="n"/>
    </row>
    <row r="196">
      <c r="B196" s="51" t="n"/>
      <c r="C196" s="51" t="n"/>
      <c r="D196" s="51" t="n"/>
      <c r="E196" s="51" t="n"/>
      <c r="F196" s="51" t="n"/>
      <c r="G196" s="51" t="n"/>
    </row>
    <row r="197">
      <c r="B197" s="51" t="n"/>
      <c r="C197" s="51" t="n"/>
      <c r="D197" s="51" t="n"/>
      <c r="E197" s="51" t="n"/>
      <c r="F197" s="51" t="n"/>
      <c r="G197" s="51" t="n"/>
    </row>
    <row r="198">
      <c r="B198" s="51" t="n"/>
      <c r="C198" s="51" t="n"/>
      <c r="D198" s="51" t="n"/>
      <c r="E198" s="51" t="n"/>
      <c r="F198" s="51" t="n"/>
      <c r="G198" s="51" t="n"/>
    </row>
    <row r="199">
      <c r="B199" s="51" t="n"/>
      <c r="C199" s="51" t="n"/>
      <c r="D199" s="51" t="n"/>
      <c r="E199" s="51" t="n"/>
      <c r="F199" s="51" t="n"/>
      <c r="G199" s="51" t="n"/>
    </row>
    <row r="200">
      <c r="B200" s="51" t="n"/>
      <c r="C200" s="51" t="n"/>
      <c r="D200" s="51" t="n"/>
      <c r="E200" s="51" t="n"/>
      <c r="F200" s="51" t="n"/>
      <c r="G200" s="51" t="n"/>
    </row>
    <row r="201">
      <c r="B201" s="51" t="n"/>
      <c r="C201" s="51" t="n"/>
      <c r="D201" s="51" t="n"/>
      <c r="E201" s="51" t="n"/>
      <c r="F201" s="51" t="n"/>
      <c r="G201" s="51" t="n"/>
    </row>
    <row r="202">
      <c r="B202" s="51" t="n"/>
      <c r="C202" s="51" t="n"/>
      <c r="D202" s="51" t="n"/>
      <c r="E202" s="51" t="n"/>
      <c r="F202" s="51" t="n"/>
      <c r="G202" s="51" t="n"/>
    </row>
    <row r="203">
      <c r="B203" s="51" t="n"/>
      <c r="C203" s="51" t="n"/>
      <c r="D203" s="51" t="n"/>
      <c r="E203" s="51" t="n"/>
      <c r="F203" s="51" t="n"/>
      <c r="G203" s="51" t="n"/>
    </row>
    <row r="204">
      <c r="B204" s="51" t="n"/>
      <c r="C204" s="51" t="n"/>
      <c r="D204" s="51" t="n"/>
      <c r="E204" s="51" t="n"/>
      <c r="F204" s="51" t="n"/>
      <c r="G204" s="51" t="n"/>
    </row>
    <row r="205">
      <c r="B205" s="51" t="n"/>
      <c r="C205" s="51" t="n"/>
      <c r="D205" s="51" t="n"/>
      <c r="E205" s="51" t="n"/>
      <c r="F205" s="51" t="n"/>
      <c r="G205" s="51" t="n"/>
    </row>
    <row r="206">
      <c r="B206" s="51" t="n"/>
      <c r="C206" s="51" t="n"/>
      <c r="D206" s="51" t="n"/>
      <c r="E206" s="51" t="n"/>
      <c r="F206" s="51" t="n"/>
      <c r="G206" s="51" t="n"/>
    </row>
    <row r="207">
      <c r="B207" s="51" t="n"/>
      <c r="C207" s="51" t="n"/>
      <c r="D207" s="51" t="n"/>
      <c r="E207" s="51" t="n"/>
      <c r="F207" s="51" t="n"/>
      <c r="G207" s="51" t="n"/>
    </row>
    <row r="208">
      <c r="B208" s="51" t="n"/>
      <c r="C208" s="51" t="n"/>
      <c r="D208" s="51" t="n"/>
      <c r="E208" s="51" t="n"/>
      <c r="F208" s="51" t="n"/>
      <c r="G208" s="51" t="n"/>
    </row>
    <row r="209">
      <c r="B209" s="51" t="n"/>
      <c r="C209" s="51" t="n"/>
      <c r="D209" s="51" t="n"/>
      <c r="E209" s="51" t="n"/>
      <c r="F209" s="51" t="n"/>
      <c r="G209" s="51" t="n"/>
    </row>
    <row r="210">
      <c r="B210" s="51" t="n"/>
      <c r="C210" s="51" t="n"/>
      <c r="D210" s="51" t="n"/>
      <c r="E210" s="51" t="n"/>
      <c r="F210" s="51" t="n"/>
      <c r="G210" s="51" t="n"/>
    </row>
    <row r="211">
      <c r="B211" s="51" t="n"/>
      <c r="C211" s="51" t="n"/>
      <c r="D211" s="51" t="n"/>
      <c r="E211" s="51" t="n"/>
      <c r="F211" s="51" t="n"/>
      <c r="G211" s="51" t="n"/>
    </row>
    <row r="212">
      <c r="B212" s="51" t="n"/>
      <c r="C212" s="51" t="n"/>
      <c r="D212" s="51" t="n"/>
      <c r="E212" s="51" t="n"/>
      <c r="F212" s="51" t="n"/>
      <c r="G212" s="51" t="n"/>
    </row>
    <row r="213">
      <c r="B213" s="51" t="n"/>
      <c r="C213" s="51" t="n"/>
      <c r="D213" s="51" t="n"/>
      <c r="E213" s="51" t="n"/>
      <c r="F213" s="51" t="n"/>
      <c r="G213" s="51" t="n"/>
    </row>
    <row r="214">
      <c r="B214" s="51" t="n"/>
      <c r="C214" s="51" t="n"/>
      <c r="D214" s="51" t="n"/>
      <c r="E214" s="51" t="n"/>
      <c r="F214" s="51" t="n"/>
      <c r="G214" s="51" t="n"/>
    </row>
    <row r="215">
      <c r="B215" s="51" t="n"/>
      <c r="C215" s="51" t="n"/>
      <c r="D215" s="51" t="n"/>
      <c r="E215" s="51" t="n"/>
      <c r="F215" s="51" t="n"/>
      <c r="G215" s="51" t="n"/>
    </row>
    <row r="216">
      <c r="B216" s="51" t="n"/>
      <c r="C216" s="51" t="n"/>
      <c r="D216" s="51" t="n"/>
      <c r="E216" s="51" t="n"/>
      <c r="F216" s="51" t="n"/>
      <c r="G216" s="51" t="n"/>
    </row>
    <row r="217">
      <c r="B217" s="51" t="n"/>
      <c r="C217" s="51" t="n"/>
      <c r="D217" s="51" t="n"/>
      <c r="E217" s="51" t="n"/>
      <c r="F217" s="51" t="n"/>
      <c r="G217" s="51" t="n"/>
    </row>
    <row r="218">
      <c r="B218" s="51" t="n"/>
      <c r="C218" s="51" t="n"/>
      <c r="D218" s="51" t="n"/>
      <c r="E218" s="51" t="n"/>
      <c r="F218" s="51" t="n"/>
      <c r="G218" s="51" t="n"/>
    </row>
    <row r="219">
      <c r="B219" s="51" t="n"/>
      <c r="C219" s="51" t="n"/>
      <c r="D219" s="51" t="n"/>
      <c r="E219" s="51" t="n"/>
      <c r="F219" s="51" t="n"/>
      <c r="G219" s="51" t="n"/>
    </row>
    <row r="220">
      <c r="B220" s="51" t="n"/>
      <c r="C220" s="51" t="n"/>
      <c r="D220" s="51" t="n"/>
      <c r="E220" s="51" t="n"/>
      <c r="F220" s="51" t="n"/>
      <c r="G220" s="51" t="n"/>
    </row>
    <row r="221">
      <c r="B221" s="51" t="n"/>
      <c r="C221" s="51" t="n"/>
      <c r="D221" s="51" t="n"/>
      <c r="E221" s="51" t="n"/>
      <c r="F221" s="51" t="n"/>
      <c r="G221" s="51" t="n"/>
    </row>
    <row r="222">
      <c r="B222" s="51" t="n"/>
      <c r="C222" s="51" t="n"/>
      <c r="D222" s="51" t="n"/>
      <c r="E222" s="51" t="n"/>
      <c r="F222" s="51" t="n"/>
      <c r="G222" s="51" t="n"/>
    </row>
    <row r="223">
      <c r="B223" s="51" t="n"/>
      <c r="C223" s="51" t="n"/>
      <c r="D223" s="51" t="n"/>
      <c r="E223" s="51" t="n"/>
      <c r="F223" s="51" t="n"/>
      <c r="G223" s="51" t="n"/>
    </row>
    <row r="224">
      <c r="B224" s="51" t="n"/>
      <c r="C224" s="51" t="n"/>
      <c r="D224" s="51" t="n"/>
      <c r="E224" s="51" t="n"/>
      <c r="F224" s="51" t="n"/>
      <c r="G224" s="51" t="n"/>
    </row>
    <row r="225">
      <c r="B225" s="51" t="n"/>
      <c r="C225" s="51" t="n"/>
      <c r="D225" s="51" t="n"/>
      <c r="E225" s="51" t="n"/>
      <c r="F225" s="51" t="n"/>
      <c r="G225" s="51" t="n"/>
    </row>
    <row r="226">
      <c r="B226" s="51" t="n"/>
      <c r="C226" s="51" t="n"/>
      <c r="D226" s="51" t="n"/>
      <c r="E226" s="51" t="n"/>
      <c r="F226" s="51" t="n"/>
      <c r="G226" s="51" t="n"/>
    </row>
    <row r="227">
      <c r="B227" s="51" t="n"/>
      <c r="C227" s="51" t="n"/>
      <c r="D227" s="51" t="n"/>
      <c r="E227" s="51" t="n"/>
      <c r="F227" s="51" t="n"/>
      <c r="G227" s="51" t="n"/>
    </row>
    <row r="228">
      <c r="B228" s="51" t="n"/>
      <c r="C228" s="51" t="n"/>
      <c r="D228" s="51" t="n"/>
      <c r="E228" s="51" t="n"/>
      <c r="F228" s="51" t="n"/>
      <c r="G228" s="51" t="n"/>
    </row>
    <row r="229">
      <c r="B229" s="51" t="n"/>
      <c r="C229" s="51" t="n"/>
      <c r="D229" s="51" t="n"/>
      <c r="E229" s="51" t="n"/>
      <c r="F229" s="51" t="n"/>
      <c r="G229" s="51" t="n"/>
    </row>
    <row r="230">
      <c r="B230" s="51" t="n"/>
      <c r="C230" s="51" t="n"/>
      <c r="D230" s="51" t="n"/>
      <c r="E230" s="51" t="n"/>
      <c r="F230" s="51" t="n"/>
      <c r="G230" s="51" t="n"/>
    </row>
    <row r="231">
      <c r="B231" s="51" t="n"/>
      <c r="C231" s="51" t="n"/>
      <c r="D231" s="51" t="n"/>
      <c r="E231" s="51" t="n"/>
      <c r="F231" s="51" t="n"/>
      <c r="G231" s="51" t="n"/>
    </row>
    <row r="232">
      <c r="B232" s="51" t="n"/>
      <c r="C232" s="51" t="n"/>
      <c r="D232" s="51" t="n"/>
      <c r="E232" s="51" t="n"/>
      <c r="F232" s="51" t="n"/>
      <c r="G232" s="51" t="n"/>
    </row>
    <row r="233">
      <c r="B233" s="51" t="n"/>
      <c r="C233" s="51" t="n"/>
      <c r="D233" s="51" t="n"/>
      <c r="E233" s="51" t="n"/>
      <c r="F233" s="51" t="n"/>
      <c r="G233" s="51" t="n"/>
    </row>
    <row r="234">
      <c r="B234" s="51" t="n"/>
      <c r="C234" s="51" t="n"/>
      <c r="D234" s="51" t="n"/>
      <c r="E234" s="51" t="n"/>
      <c r="F234" s="51" t="n"/>
      <c r="G234" s="51" t="n"/>
    </row>
    <row r="235">
      <c r="B235" s="51" t="n"/>
      <c r="C235" s="51" t="n"/>
      <c r="D235" s="51" t="n"/>
      <c r="E235" s="51" t="n"/>
      <c r="F235" s="51" t="n"/>
      <c r="G235" s="51" t="n"/>
    </row>
    <row r="236">
      <c r="B236" s="51" t="n"/>
      <c r="C236" s="51" t="n"/>
      <c r="D236" s="51" t="n"/>
      <c r="E236" s="51" t="n"/>
      <c r="F236" s="51" t="n"/>
      <c r="G236" s="51" t="n"/>
    </row>
    <row r="237">
      <c r="B237" s="51" t="n"/>
      <c r="C237" s="51" t="n"/>
      <c r="D237" s="51" t="n"/>
      <c r="E237" s="51" t="n"/>
      <c r="F237" s="51" t="n"/>
      <c r="G237" s="51" t="n"/>
    </row>
    <row r="238">
      <c r="B238" s="51" t="n"/>
      <c r="C238" s="51" t="n"/>
      <c r="D238" s="51" t="n"/>
      <c r="E238" s="51" t="n"/>
      <c r="F238" s="51" t="n"/>
      <c r="G238" s="51" t="n"/>
    </row>
    <row r="239">
      <c r="B239" s="51" t="n"/>
      <c r="C239" s="51" t="n"/>
      <c r="D239" s="51" t="n"/>
      <c r="E239" s="51" t="n"/>
      <c r="F239" s="51" t="n"/>
      <c r="G239" s="51" t="n"/>
    </row>
    <row r="240">
      <c r="B240" s="51" t="n"/>
      <c r="C240" s="51" t="n"/>
      <c r="D240" s="51" t="n"/>
      <c r="E240" s="51" t="n"/>
      <c r="F240" s="51" t="n"/>
      <c r="G240" s="51" t="n"/>
    </row>
    <row r="241">
      <c r="B241" s="51" t="n"/>
      <c r="C241" s="51" t="n"/>
      <c r="D241" s="51" t="n"/>
      <c r="E241" s="51" t="n"/>
      <c r="F241" s="51" t="n"/>
      <c r="G241" s="51" t="n"/>
    </row>
    <row r="242">
      <c r="B242" s="51" t="n"/>
      <c r="C242" s="51" t="n"/>
      <c r="D242" s="51" t="n"/>
      <c r="E242" s="51" t="n"/>
      <c r="F242" s="51" t="n"/>
      <c r="G242" s="51" t="n"/>
    </row>
    <row r="243">
      <c r="B243" s="51" t="n"/>
      <c r="C243" s="51" t="n"/>
      <c r="D243" s="51" t="n"/>
      <c r="E243" s="51" t="n"/>
      <c r="F243" s="51" t="n"/>
      <c r="G243" s="51" t="n"/>
    </row>
    <row r="244">
      <c r="B244" s="51" t="n"/>
      <c r="C244" s="51" t="n"/>
      <c r="D244" s="51" t="n"/>
      <c r="E244" s="51" t="n"/>
      <c r="F244" s="51" t="n"/>
      <c r="G244" s="51" t="n"/>
    </row>
    <row r="245">
      <c r="B245" s="51" t="n"/>
      <c r="C245" s="51" t="n"/>
      <c r="D245" s="51" t="n"/>
      <c r="E245" s="51" t="n"/>
      <c r="F245" s="51" t="n"/>
      <c r="G245" s="51" t="n"/>
    </row>
    <row r="246">
      <c r="B246" s="51" t="n"/>
      <c r="C246" s="51" t="n"/>
      <c r="D246" s="51" t="n"/>
      <c r="E246" s="51" t="n"/>
      <c r="F246" s="51" t="n"/>
      <c r="G246" s="51" t="n"/>
    </row>
    <row r="247">
      <c r="B247" s="51" t="n"/>
      <c r="C247" s="51" t="n"/>
      <c r="D247" s="51" t="n"/>
      <c r="E247" s="51" t="n"/>
      <c r="F247" s="51" t="n"/>
      <c r="G247" s="51" t="n"/>
    </row>
    <row r="248">
      <c r="B248" s="51" t="n"/>
      <c r="C248" s="51" t="n"/>
      <c r="D248" s="51" t="n"/>
      <c r="E248" s="51" t="n"/>
      <c r="F248" s="51" t="n"/>
      <c r="G248" s="51" t="n"/>
    </row>
    <row r="249">
      <c r="B249" s="51" t="n"/>
      <c r="C249" s="51" t="n"/>
      <c r="D249" s="51" t="n"/>
      <c r="E249" s="51" t="n"/>
      <c r="F249" s="51" t="n"/>
      <c r="G249" s="51" t="n"/>
    </row>
    <row r="250">
      <c r="B250" s="51" t="n"/>
      <c r="C250" s="51" t="n"/>
      <c r="D250" s="51" t="n"/>
      <c r="E250" s="51" t="n"/>
      <c r="F250" s="51" t="n"/>
      <c r="G250" s="51" t="n"/>
    </row>
    <row r="251">
      <c r="B251" s="51" t="n"/>
      <c r="C251" s="51" t="n"/>
      <c r="D251" s="51" t="n"/>
      <c r="E251" s="51" t="n"/>
      <c r="F251" s="51" t="n"/>
      <c r="G251" s="51" t="n"/>
    </row>
    <row r="252">
      <c r="B252" s="51" t="n"/>
      <c r="C252" s="51" t="n"/>
      <c r="D252" s="51" t="n"/>
      <c r="E252" s="51" t="n"/>
      <c r="F252" s="51" t="n"/>
      <c r="G252" s="51" t="n"/>
    </row>
    <row r="253">
      <c r="B253" s="51" t="n"/>
      <c r="C253" s="51" t="n"/>
      <c r="D253" s="51" t="n"/>
      <c r="E253" s="51" t="n"/>
      <c r="F253" s="51" t="n"/>
      <c r="G253" s="51" t="n"/>
    </row>
    <row r="254">
      <c r="B254" s="51" t="n"/>
      <c r="C254" s="51" t="n"/>
      <c r="D254" s="51" t="n"/>
      <c r="E254" s="51" t="n"/>
      <c r="F254" s="51" t="n"/>
      <c r="G254" s="51" t="n"/>
    </row>
    <row r="255">
      <c r="B255" s="51" t="n"/>
      <c r="C255" s="51" t="n"/>
      <c r="D255" s="51" t="n"/>
      <c r="E255" s="51" t="n"/>
      <c r="F255" s="51" t="n"/>
      <c r="G255" s="51" t="n"/>
    </row>
    <row r="256">
      <c r="B256" s="51" t="n"/>
      <c r="C256" s="51" t="n"/>
      <c r="D256" s="51" t="n"/>
      <c r="E256" s="51" t="n"/>
      <c r="F256" s="51" t="n"/>
      <c r="G256" s="51" t="n"/>
    </row>
    <row r="257">
      <c r="B257" s="51" t="n"/>
      <c r="C257" s="51" t="n"/>
      <c r="D257" s="51" t="n"/>
      <c r="E257" s="51" t="n"/>
      <c r="F257" s="51" t="n"/>
      <c r="G257" s="51" t="n"/>
    </row>
    <row r="258">
      <c r="B258" s="51" t="n"/>
      <c r="C258" s="51" t="n"/>
      <c r="D258" s="51" t="n"/>
      <c r="E258" s="51" t="n"/>
      <c r="F258" s="51" t="n"/>
      <c r="G258" s="51" t="n"/>
    </row>
    <row r="259">
      <c r="B259" s="51" t="n"/>
      <c r="C259" s="51" t="n"/>
      <c r="D259" s="51" t="n"/>
      <c r="E259" s="51" t="n"/>
      <c r="F259" s="51" t="n"/>
      <c r="G259" s="51" t="n"/>
    </row>
    <row r="260">
      <c r="B260" s="51" t="n"/>
      <c r="C260" s="51" t="n"/>
      <c r="D260" s="51" t="n"/>
      <c r="E260" s="51" t="n"/>
      <c r="F260" s="51" t="n"/>
      <c r="G260" s="51" t="n"/>
    </row>
    <row r="261">
      <c r="B261" s="51" t="n"/>
      <c r="C261" s="51" t="n"/>
      <c r="D261" s="51" t="n"/>
      <c r="E261" s="51" t="n"/>
      <c r="F261" s="51" t="n"/>
      <c r="G261" s="51" t="n"/>
    </row>
    <row r="262">
      <c r="B262" s="51" t="n"/>
      <c r="C262" s="51" t="n"/>
      <c r="D262" s="51" t="n"/>
      <c r="E262" s="51" t="n"/>
      <c r="F262" s="51" t="n"/>
      <c r="G262" s="51" t="n"/>
    </row>
    <row r="263">
      <c r="B263" s="51" t="n"/>
      <c r="C263" s="51" t="n"/>
      <c r="D263" s="51" t="n"/>
      <c r="E263" s="51" t="n"/>
      <c r="F263" s="51" t="n"/>
      <c r="G263" s="51" t="n"/>
    </row>
    <row r="264">
      <c r="B264" s="51" t="n"/>
      <c r="C264" s="51" t="n"/>
      <c r="D264" s="51" t="n"/>
      <c r="E264" s="51" t="n"/>
      <c r="F264" s="51" t="n"/>
      <c r="G264" s="51" t="n"/>
    </row>
    <row r="265">
      <c r="B265" s="51" t="n"/>
      <c r="C265" s="51" t="n"/>
      <c r="D265" s="51" t="n"/>
      <c r="E265" s="51" t="n"/>
      <c r="F265" s="51" t="n"/>
      <c r="G265" s="51" t="n"/>
    </row>
    <row r="266">
      <c r="B266" s="51" t="n"/>
      <c r="C266" s="51" t="n"/>
      <c r="D266" s="51" t="n"/>
      <c r="E266" s="51" t="n"/>
      <c r="F266" s="51" t="n"/>
      <c r="G266" s="51" t="n"/>
    </row>
    <row r="267">
      <c r="B267" s="51" t="n"/>
      <c r="C267" s="51" t="n"/>
      <c r="D267" s="51" t="n"/>
      <c r="E267" s="51" t="n"/>
      <c r="F267" s="51" t="n"/>
      <c r="G267" s="51" t="n"/>
    </row>
    <row r="268">
      <c r="B268" s="51" t="n"/>
      <c r="C268" s="51" t="n"/>
      <c r="D268" s="51" t="n"/>
      <c r="E268" s="51" t="n"/>
      <c r="F268" s="51" t="n"/>
      <c r="G268" s="51" t="n"/>
    </row>
    <row r="269">
      <c r="B269" s="51" t="n"/>
      <c r="C269" s="51" t="n"/>
      <c r="D269" s="51" t="n"/>
      <c r="E269" s="51" t="n"/>
      <c r="F269" s="51" t="n"/>
      <c r="G269" s="51" t="n"/>
    </row>
    <row r="270">
      <c r="B270" s="51" t="n"/>
      <c r="C270" s="51" t="n"/>
      <c r="D270" s="51" t="n"/>
      <c r="E270" s="51" t="n"/>
      <c r="F270" s="51" t="n"/>
      <c r="G270" s="51" t="n"/>
    </row>
    <row r="271">
      <c r="B271" s="51" t="n"/>
      <c r="C271" s="51" t="n"/>
      <c r="D271" s="51" t="n"/>
      <c r="E271" s="51" t="n"/>
      <c r="F271" s="51" t="n"/>
      <c r="G271" s="51" t="n"/>
    </row>
    <row r="272">
      <c r="B272" s="51" t="n"/>
      <c r="C272" s="51" t="n"/>
      <c r="D272" s="51" t="n"/>
      <c r="E272" s="51" t="n"/>
      <c r="F272" s="51" t="n"/>
      <c r="G272" s="51" t="n"/>
    </row>
    <row r="273">
      <c r="B273" s="51" t="n"/>
      <c r="C273" s="51" t="n"/>
      <c r="D273" s="51" t="n"/>
      <c r="E273" s="51" t="n"/>
      <c r="F273" s="51" t="n"/>
      <c r="G273" s="51" t="n"/>
    </row>
    <row r="274">
      <c r="B274" s="51" t="n"/>
      <c r="C274" s="51" t="n"/>
      <c r="D274" s="51" t="n"/>
      <c r="E274" s="51" t="n"/>
      <c r="F274" s="51" t="n"/>
      <c r="G274" s="51" t="n"/>
    </row>
    <row r="275">
      <c r="B275" s="51" t="n"/>
      <c r="C275" s="51" t="n"/>
      <c r="D275" s="51" t="n"/>
      <c r="E275" s="51" t="n"/>
      <c r="F275" s="51" t="n"/>
      <c r="G275" s="51" t="n"/>
    </row>
    <row r="276">
      <c r="B276" s="51" t="n"/>
      <c r="C276" s="51" t="n"/>
      <c r="D276" s="51" t="n"/>
      <c r="E276" s="51" t="n"/>
      <c r="F276" s="51" t="n"/>
      <c r="G276" s="51" t="n"/>
    </row>
    <row r="277">
      <c r="B277" s="51" t="n"/>
      <c r="C277" s="51" t="n"/>
      <c r="D277" s="51" t="n"/>
      <c r="E277" s="51" t="n"/>
      <c r="F277" s="51" t="n"/>
      <c r="G277" s="51" t="n"/>
    </row>
    <row r="278">
      <c r="B278" s="51" t="n"/>
      <c r="C278" s="51" t="n"/>
      <c r="D278" s="51" t="n"/>
      <c r="E278" s="51" t="n"/>
      <c r="F278" s="51" t="n"/>
      <c r="G278" s="51" t="n"/>
    </row>
    <row r="279">
      <c r="B279" s="51" t="n"/>
      <c r="C279" s="51" t="n"/>
      <c r="D279" s="51" t="n"/>
      <c r="E279" s="51" t="n"/>
      <c r="F279" s="51" t="n"/>
      <c r="G279" s="51" t="n"/>
    </row>
    <row r="280">
      <c r="B280" s="51" t="n"/>
      <c r="C280" s="51" t="n"/>
      <c r="D280" s="51" t="n"/>
      <c r="E280" s="51" t="n"/>
      <c r="F280" s="51" t="n"/>
      <c r="G280" s="51" t="n"/>
    </row>
    <row r="281">
      <c r="B281" s="51" t="n"/>
      <c r="C281" s="51" t="n"/>
      <c r="D281" s="51" t="n"/>
      <c r="E281" s="51" t="n"/>
      <c r="F281" s="51" t="n"/>
      <c r="G281" s="51" t="n"/>
    </row>
    <row r="282">
      <c r="B282" s="51" t="n"/>
      <c r="C282" s="51" t="n"/>
      <c r="D282" s="51" t="n"/>
      <c r="E282" s="51" t="n"/>
      <c r="F282" s="51" t="n"/>
      <c r="G282" s="51" t="n"/>
    </row>
    <row r="283">
      <c r="B283" s="51" t="n"/>
      <c r="C283" s="51" t="n"/>
      <c r="D283" s="51" t="n"/>
      <c r="E283" s="51" t="n"/>
      <c r="F283" s="51" t="n"/>
      <c r="G283" s="51" t="n"/>
    </row>
    <row r="284">
      <c r="B284" s="51" t="n"/>
      <c r="C284" s="51" t="n"/>
      <c r="D284" s="51" t="n"/>
      <c r="E284" s="51" t="n"/>
      <c r="F284" s="51" t="n"/>
      <c r="G284" s="51" t="n"/>
    </row>
    <row r="285">
      <c r="B285" s="51" t="n"/>
      <c r="C285" s="51" t="n"/>
      <c r="D285" s="51" t="n"/>
      <c r="E285" s="51" t="n"/>
      <c r="F285" s="51" t="n"/>
      <c r="G285" s="51" t="n"/>
    </row>
    <row r="286">
      <c r="B286" s="51" t="n"/>
      <c r="C286" s="51" t="n"/>
      <c r="D286" s="51" t="n"/>
      <c r="E286" s="51" t="n"/>
      <c r="F286" s="51" t="n"/>
      <c r="G286" s="51" t="n"/>
    </row>
    <row r="287">
      <c r="B287" s="51" t="n"/>
      <c r="C287" s="51" t="n"/>
      <c r="D287" s="51" t="n"/>
      <c r="E287" s="51" t="n"/>
      <c r="F287" s="51" t="n"/>
      <c r="G287" s="51" t="n"/>
    </row>
    <row r="288">
      <c r="B288" s="51" t="n"/>
      <c r="C288" s="51" t="n"/>
      <c r="D288" s="51" t="n"/>
      <c r="E288" s="51" t="n"/>
      <c r="F288" s="51" t="n"/>
      <c r="G288" s="51" t="n"/>
    </row>
    <row r="289">
      <c r="B289" s="51" t="n"/>
      <c r="C289" s="51" t="n"/>
      <c r="D289" s="51" t="n"/>
      <c r="E289" s="51" t="n"/>
      <c r="F289" s="51" t="n"/>
      <c r="G289" s="51" t="n"/>
    </row>
    <row r="290">
      <c r="B290" s="51" t="n"/>
      <c r="C290" s="51" t="n"/>
      <c r="D290" s="51" t="n"/>
      <c r="E290" s="51" t="n"/>
      <c r="F290" s="51" t="n"/>
      <c r="G290" s="51" t="n"/>
    </row>
    <row r="291">
      <c r="B291" s="51" t="n"/>
      <c r="C291" s="51" t="n"/>
      <c r="D291" s="51" t="n"/>
      <c r="E291" s="51" t="n"/>
      <c r="F291" s="51" t="n"/>
      <c r="G291" s="51" t="n"/>
    </row>
    <row r="292">
      <c r="B292" s="51" t="n"/>
      <c r="C292" s="51" t="n"/>
      <c r="D292" s="51" t="n"/>
      <c r="E292" s="51" t="n"/>
      <c r="F292" s="51" t="n"/>
      <c r="G292" s="51" t="n"/>
    </row>
    <row r="293">
      <c r="B293" s="51" t="n"/>
      <c r="C293" s="51" t="n"/>
      <c r="D293" s="51" t="n"/>
      <c r="E293" s="51" t="n"/>
      <c r="F293" s="51" t="n"/>
      <c r="G293" s="51" t="n"/>
    </row>
    <row r="294">
      <c r="B294" s="51" t="n"/>
      <c r="C294" s="51" t="n"/>
      <c r="D294" s="51" t="n"/>
      <c r="E294" s="51" t="n"/>
      <c r="F294" s="51" t="n"/>
      <c r="G294" s="51" t="n"/>
    </row>
    <row r="295">
      <c r="B295" s="51" t="n"/>
      <c r="C295" s="51" t="n"/>
      <c r="D295" s="51" t="n"/>
      <c r="E295" s="51" t="n"/>
      <c r="F295" s="51" t="n"/>
      <c r="G295" s="51" t="n"/>
    </row>
    <row r="296">
      <c r="B296" s="51" t="n"/>
      <c r="C296" s="51" t="n"/>
      <c r="D296" s="51" t="n"/>
      <c r="E296" s="51" t="n"/>
      <c r="F296" s="51" t="n"/>
      <c r="G296" s="51" t="n"/>
    </row>
    <row r="297">
      <c r="B297" s="51" t="n"/>
      <c r="C297" s="51" t="n"/>
      <c r="D297" s="51" t="n"/>
      <c r="E297" s="51" t="n"/>
      <c r="F297" s="51" t="n"/>
      <c r="G297" s="51" t="n"/>
    </row>
    <row r="298">
      <c r="B298" s="51" t="n"/>
      <c r="C298" s="51" t="n"/>
      <c r="D298" s="51" t="n"/>
      <c r="E298" s="51" t="n"/>
      <c r="F298" s="51" t="n"/>
      <c r="G298" s="51" t="n"/>
    </row>
    <row r="299">
      <c r="B299" s="51" t="n"/>
      <c r="C299" s="51" t="n"/>
      <c r="D299" s="51" t="n"/>
      <c r="E299" s="51" t="n"/>
      <c r="F299" s="51" t="n"/>
      <c r="G299" s="51" t="n"/>
    </row>
    <row r="300">
      <c r="B300" s="51" t="n"/>
      <c r="C300" s="51" t="n"/>
      <c r="D300" s="51" t="n"/>
      <c r="E300" s="51" t="n"/>
      <c r="F300" s="51" t="n"/>
      <c r="G300" s="51" t="n"/>
    </row>
    <row r="301">
      <c r="B301" s="51" t="n"/>
      <c r="C301" s="51" t="n"/>
      <c r="D301" s="51" t="n"/>
      <c r="E301" s="51" t="n"/>
      <c r="F301" s="51" t="n"/>
      <c r="G301" s="51" t="n"/>
    </row>
    <row r="302">
      <c r="B302" s="51" t="n"/>
      <c r="C302" s="51" t="n"/>
      <c r="D302" s="51" t="n"/>
      <c r="E302" s="51" t="n"/>
      <c r="F302" s="51" t="n"/>
      <c r="G302" s="51" t="n"/>
    </row>
    <row r="303">
      <c r="B303" s="51" t="n"/>
      <c r="C303" s="51" t="n"/>
      <c r="D303" s="51" t="n"/>
      <c r="E303" s="51" t="n"/>
      <c r="F303" s="51" t="n"/>
      <c r="G303" s="51" t="n"/>
    </row>
    <row r="304">
      <c r="B304" s="51" t="n"/>
      <c r="C304" s="51" t="n"/>
      <c r="D304" s="51" t="n"/>
      <c r="E304" s="51" t="n"/>
      <c r="F304" s="51" t="n"/>
      <c r="G304" s="51" t="n"/>
    </row>
    <row r="305">
      <c r="B305" s="51" t="n"/>
      <c r="C305" s="51" t="n"/>
      <c r="D305" s="51" t="n"/>
      <c r="E305" s="51" t="n"/>
      <c r="F305" s="51" t="n"/>
      <c r="G305" s="51" t="n"/>
    </row>
    <row r="306">
      <c r="B306" s="51" t="n"/>
      <c r="C306" s="51" t="n"/>
      <c r="D306" s="51" t="n"/>
      <c r="E306" s="51" t="n"/>
      <c r="F306" s="51" t="n"/>
      <c r="G306" s="51" t="n"/>
    </row>
    <row r="307">
      <c r="B307" s="51" t="n"/>
      <c r="C307" s="51" t="n"/>
      <c r="D307" s="51" t="n"/>
      <c r="E307" s="51" t="n"/>
      <c r="F307" s="51" t="n"/>
      <c r="G307" s="51" t="n"/>
    </row>
    <row r="308">
      <c r="B308" s="51" t="n"/>
      <c r="C308" s="51" t="n"/>
      <c r="D308" s="51" t="n"/>
      <c r="E308" s="51" t="n"/>
      <c r="F308" s="51" t="n"/>
      <c r="G308" s="51" t="n"/>
    </row>
    <row r="309">
      <c r="B309" s="51" t="n"/>
      <c r="C309" s="51" t="n"/>
      <c r="D309" s="51" t="n"/>
      <c r="E309" s="51" t="n"/>
      <c r="F309" s="51" t="n"/>
      <c r="G309" s="51" t="n"/>
    </row>
    <row r="310">
      <c r="B310" s="51" t="n"/>
      <c r="C310" s="51" t="n"/>
      <c r="D310" s="51" t="n"/>
      <c r="E310" s="51" t="n"/>
      <c r="F310" s="51" t="n"/>
      <c r="G310" s="51" t="n"/>
    </row>
    <row r="311">
      <c r="B311" s="51" t="n"/>
      <c r="C311" s="51" t="n"/>
      <c r="D311" s="51" t="n"/>
      <c r="E311" s="51" t="n"/>
      <c r="F311" s="51" t="n"/>
      <c r="G311" s="51" t="n"/>
    </row>
    <row r="312">
      <c r="B312" s="51" t="n"/>
      <c r="C312" s="51" t="n"/>
      <c r="D312" s="51" t="n"/>
      <c r="E312" s="51" t="n"/>
      <c r="F312" s="51" t="n"/>
      <c r="G312" s="51" t="n"/>
    </row>
    <row r="313">
      <c r="B313" s="51" t="n"/>
      <c r="C313" s="51" t="n"/>
      <c r="D313" s="51" t="n"/>
      <c r="E313" s="51" t="n"/>
      <c r="F313" s="51" t="n"/>
      <c r="G313" s="51" t="n"/>
    </row>
    <row r="314">
      <c r="B314" s="51" t="n"/>
      <c r="C314" s="51" t="n"/>
      <c r="D314" s="51" t="n"/>
      <c r="E314" s="51" t="n"/>
      <c r="F314" s="51" t="n"/>
      <c r="G314" s="51" t="n"/>
    </row>
    <row r="315">
      <c r="B315" s="51" t="n"/>
      <c r="C315" s="51" t="n"/>
      <c r="D315" s="51" t="n"/>
      <c r="E315" s="51" t="n"/>
      <c r="F315" s="51" t="n"/>
      <c r="G315" s="51" t="n"/>
    </row>
    <row r="316">
      <c r="B316" s="51" t="n"/>
      <c r="C316" s="51" t="n"/>
      <c r="D316" s="51" t="n"/>
      <c r="E316" s="51" t="n"/>
      <c r="F316" s="51" t="n"/>
      <c r="G316" s="51" t="n"/>
    </row>
    <row r="317">
      <c r="B317" s="51" t="n"/>
      <c r="C317" s="51" t="n"/>
      <c r="D317" s="51" t="n"/>
      <c r="E317" s="51" t="n"/>
      <c r="F317" s="51" t="n"/>
      <c r="G317" s="51" t="n"/>
    </row>
    <row r="318">
      <c r="B318" s="51" t="n"/>
      <c r="C318" s="51" t="n"/>
      <c r="D318" s="51" t="n"/>
      <c r="E318" s="51" t="n"/>
      <c r="F318" s="51" t="n"/>
      <c r="G318" s="51" t="n"/>
    </row>
    <row r="319">
      <c r="B319" s="51" t="n"/>
      <c r="C319" s="51" t="n"/>
      <c r="D319" s="51" t="n"/>
      <c r="E319" s="51" t="n"/>
      <c r="F319" s="51" t="n"/>
      <c r="G319" s="51" t="n"/>
    </row>
    <row r="320">
      <c r="B320" s="51" t="n"/>
      <c r="C320" s="51" t="n"/>
      <c r="D320" s="51" t="n"/>
      <c r="E320" s="51" t="n"/>
      <c r="F320" s="51" t="n"/>
      <c r="G320" s="51" t="n"/>
    </row>
    <row r="321">
      <c r="B321" s="51" t="n"/>
      <c r="C321" s="51" t="n"/>
      <c r="D321" s="51" t="n"/>
      <c r="E321" s="51" t="n"/>
      <c r="F321" s="51" t="n"/>
      <c r="G321" s="51" t="n"/>
    </row>
    <row r="322">
      <c r="B322" s="51" t="n"/>
      <c r="C322" s="51" t="n"/>
      <c r="D322" s="51" t="n"/>
      <c r="E322" s="51" t="n"/>
      <c r="F322" s="51" t="n"/>
      <c r="G322" s="51" t="n"/>
    </row>
    <row r="323">
      <c r="B323" s="51" t="n"/>
      <c r="C323" s="51" t="n"/>
      <c r="D323" s="51" t="n"/>
      <c r="E323" s="51" t="n"/>
      <c r="F323" s="51" t="n"/>
      <c r="G323" s="51" t="n"/>
    </row>
    <row r="324">
      <c r="B324" s="51" t="n"/>
      <c r="C324" s="51" t="n"/>
      <c r="D324" s="51" t="n"/>
      <c r="E324" s="51" t="n"/>
      <c r="F324" s="51" t="n"/>
      <c r="G324" s="51" t="n"/>
    </row>
    <row r="325">
      <c r="B325" s="51" t="n"/>
      <c r="C325" s="51" t="n"/>
      <c r="D325" s="51" t="n"/>
      <c r="E325" s="51" t="n"/>
      <c r="F325" s="51" t="n"/>
      <c r="G325" s="51" t="n"/>
    </row>
    <row r="326">
      <c r="B326" s="51" t="n"/>
      <c r="C326" s="51" t="n"/>
      <c r="D326" s="51" t="n"/>
      <c r="E326" s="51" t="n"/>
      <c r="F326" s="51" t="n"/>
      <c r="G326" s="51" t="n"/>
    </row>
    <row r="327">
      <c r="B327" s="51" t="n"/>
      <c r="C327" s="51" t="n"/>
      <c r="D327" s="51" t="n"/>
      <c r="E327" s="51" t="n"/>
      <c r="F327" s="51" t="n"/>
      <c r="G327" s="51" t="n"/>
    </row>
    <row r="328">
      <c r="B328" s="51" t="n"/>
      <c r="C328" s="51" t="n"/>
      <c r="D328" s="51" t="n"/>
      <c r="E328" s="51" t="n"/>
      <c r="F328" s="51" t="n"/>
      <c r="G328" s="51" t="n"/>
    </row>
    <row r="329">
      <c r="B329" s="51" t="n"/>
      <c r="C329" s="51" t="n"/>
      <c r="D329" s="51" t="n"/>
      <c r="E329" s="51" t="n"/>
      <c r="F329" s="51" t="n"/>
      <c r="G329" s="51" t="n"/>
    </row>
    <row r="330">
      <c r="B330" s="51" t="n"/>
      <c r="C330" s="51" t="n"/>
      <c r="D330" s="51" t="n"/>
      <c r="E330" s="51" t="n"/>
      <c r="F330" s="51" t="n"/>
      <c r="G330" s="51" t="n"/>
    </row>
    <row r="331">
      <c r="B331" s="51" t="n"/>
      <c r="C331" s="51" t="n"/>
      <c r="D331" s="51" t="n"/>
      <c r="E331" s="51" t="n"/>
      <c r="F331" s="51" t="n"/>
      <c r="G331" s="51" t="n"/>
    </row>
    <row r="332">
      <c r="B332" s="51" t="n"/>
      <c r="C332" s="51" t="n"/>
      <c r="D332" s="51" t="n"/>
      <c r="E332" s="51" t="n"/>
      <c r="F332" s="51" t="n"/>
      <c r="G332" s="51" t="n"/>
    </row>
    <row r="333">
      <c r="B333" s="51" t="n"/>
      <c r="C333" s="51" t="n"/>
      <c r="D333" s="51" t="n"/>
      <c r="E333" s="51" t="n"/>
      <c r="F333" s="51" t="n"/>
      <c r="G333" s="51" t="n"/>
    </row>
    <row r="334">
      <c r="B334" s="51" t="n"/>
      <c r="C334" s="51" t="n"/>
      <c r="D334" s="51" t="n"/>
      <c r="E334" s="51" t="n"/>
      <c r="F334" s="51" t="n"/>
      <c r="G334" s="51" t="n"/>
    </row>
    <row r="335">
      <c r="B335" s="51" t="n"/>
      <c r="C335" s="51" t="n"/>
      <c r="D335" s="51" t="n"/>
      <c r="E335" s="51" t="n"/>
      <c r="F335" s="51" t="n"/>
      <c r="G335" s="51" t="n"/>
    </row>
    <row r="336">
      <c r="B336" s="51" t="n"/>
      <c r="C336" s="51" t="n"/>
      <c r="D336" s="51" t="n"/>
      <c r="E336" s="51" t="n"/>
      <c r="F336" s="51" t="n"/>
      <c r="G336" s="51" t="n"/>
    </row>
    <row r="337">
      <c r="B337" s="51" t="n"/>
      <c r="C337" s="51" t="n"/>
      <c r="D337" s="51" t="n"/>
      <c r="E337" s="51" t="n"/>
      <c r="F337" s="51" t="n"/>
      <c r="G337" s="51" t="n"/>
    </row>
    <row r="338">
      <c r="B338" s="51" t="n"/>
      <c r="C338" s="51" t="n"/>
      <c r="D338" s="51" t="n"/>
      <c r="E338" s="51" t="n"/>
      <c r="F338" s="51" t="n"/>
      <c r="G338" s="51" t="n"/>
    </row>
    <row r="339">
      <c r="B339" s="51" t="n"/>
      <c r="C339" s="51" t="n"/>
      <c r="D339" s="51" t="n"/>
      <c r="E339" s="51" t="n"/>
      <c r="F339" s="51" t="n"/>
      <c r="G339" s="51" t="n"/>
    </row>
    <row r="340">
      <c r="B340" s="51" t="n"/>
      <c r="C340" s="51" t="n"/>
      <c r="D340" s="51" t="n"/>
      <c r="E340" s="51" t="n"/>
      <c r="F340" s="51" t="n"/>
      <c r="G340" s="51" t="n"/>
    </row>
    <row r="341">
      <c r="B341" s="51" t="n"/>
      <c r="C341" s="51" t="n"/>
      <c r="D341" s="51" t="n"/>
      <c r="E341" s="51" t="n"/>
      <c r="F341" s="51" t="n"/>
      <c r="G341" s="51" t="n"/>
    </row>
    <row r="342">
      <c r="B342" s="51" t="n"/>
      <c r="C342" s="51" t="n"/>
      <c r="D342" s="51" t="n"/>
      <c r="E342" s="51" t="n"/>
      <c r="F342" s="51" t="n"/>
      <c r="G342" s="51" t="n"/>
    </row>
    <row r="343">
      <c r="B343" s="51" t="n"/>
      <c r="C343" s="51" t="n"/>
      <c r="D343" s="51" t="n"/>
      <c r="E343" s="51" t="n"/>
      <c r="F343" s="51" t="n"/>
      <c r="G343" s="51" t="n"/>
    </row>
    <row r="344">
      <c r="B344" s="51" t="n"/>
      <c r="C344" s="51" t="n"/>
      <c r="D344" s="51" t="n"/>
      <c r="E344" s="51" t="n"/>
      <c r="F344" s="51" t="n"/>
      <c r="G344" s="51" t="n"/>
    </row>
    <row r="345">
      <c r="B345" s="51" t="n"/>
      <c r="C345" s="51" t="n"/>
      <c r="D345" s="51" t="n"/>
      <c r="E345" s="51" t="n"/>
      <c r="F345" s="51" t="n"/>
      <c r="G345" s="51" t="n"/>
    </row>
    <row r="346">
      <c r="B346" s="51" t="n"/>
      <c r="C346" s="51" t="n"/>
      <c r="D346" s="51" t="n"/>
      <c r="E346" s="51" t="n"/>
      <c r="F346" s="51" t="n"/>
      <c r="G346" s="51" t="n"/>
    </row>
    <row r="347">
      <c r="B347" s="51" t="n"/>
      <c r="C347" s="51" t="n"/>
      <c r="D347" s="51" t="n"/>
      <c r="E347" s="51" t="n"/>
      <c r="F347" s="51" t="n"/>
      <c r="G347" s="51" t="n"/>
    </row>
    <row r="348">
      <c r="B348" s="51" t="n"/>
      <c r="C348" s="51" t="n"/>
      <c r="D348" s="51" t="n"/>
      <c r="E348" s="51" t="n"/>
      <c r="F348" s="51" t="n"/>
      <c r="G348" s="51" t="n"/>
    </row>
    <row r="349">
      <c r="B349" s="51" t="n"/>
      <c r="C349" s="51" t="n"/>
      <c r="D349" s="51" t="n"/>
      <c r="E349" s="51" t="n"/>
      <c r="F349" s="51" t="n"/>
      <c r="G349" s="51" t="n"/>
    </row>
    <row r="350">
      <c r="B350" s="51" t="n"/>
      <c r="C350" s="51" t="n"/>
      <c r="D350" s="51" t="n"/>
      <c r="E350" s="51" t="n"/>
      <c r="F350" s="51" t="n"/>
      <c r="G350" s="51" t="n"/>
    </row>
    <row r="351">
      <c r="B351" s="51" t="n"/>
      <c r="C351" s="51" t="n"/>
      <c r="D351" s="51" t="n"/>
      <c r="E351" s="51" t="n"/>
      <c r="F351" s="51" t="n"/>
      <c r="G351" s="51" t="n"/>
    </row>
    <row r="352">
      <c r="B352" s="51" t="n"/>
      <c r="C352" s="51" t="n"/>
      <c r="D352" s="51" t="n"/>
      <c r="E352" s="51" t="n"/>
      <c r="F352" s="51" t="n"/>
      <c r="G352" s="51" t="n"/>
    </row>
    <row r="353">
      <c r="B353" s="51" t="n"/>
      <c r="C353" s="51" t="n"/>
      <c r="D353" s="51" t="n"/>
      <c r="E353" s="51" t="n"/>
      <c r="F353" s="51" t="n"/>
      <c r="G353" s="51" t="n"/>
    </row>
    <row r="354">
      <c r="B354" s="51" t="n"/>
      <c r="C354" s="51" t="n"/>
      <c r="D354" s="51" t="n"/>
      <c r="E354" s="51" t="n"/>
      <c r="F354" s="51" t="n"/>
      <c r="G354" s="51" t="n"/>
    </row>
    <row r="355">
      <c r="B355" s="51" t="n"/>
      <c r="C355" s="51" t="n"/>
      <c r="D355" s="51" t="n"/>
      <c r="E355" s="51" t="n"/>
      <c r="F355" s="51" t="n"/>
      <c r="G355" s="51" t="n"/>
    </row>
    <row r="356">
      <c r="B356" s="51" t="n"/>
      <c r="C356" s="51" t="n"/>
      <c r="D356" s="51" t="n"/>
      <c r="E356" s="51" t="n"/>
      <c r="F356" s="51" t="n"/>
      <c r="G356" s="51" t="n"/>
    </row>
    <row r="357">
      <c r="B357" s="51" t="n"/>
      <c r="C357" s="51" t="n"/>
      <c r="D357" s="51" t="n"/>
      <c r="E357" s="51" t="n"/>
      <c r="F357" s="51" t="n"/>
      <c r="G357" s="51" t="n"/>
    </row>
    <row r="358">
      <c r="B358" s="51" t="n"/>
      <c r="C358" s="51" t="n"/>
      <c r="D358" s="51" t="n"/>
      <c r="E358" s="51" t="n"/>
      <c r="F358" s="51" t="n"/>
      <c r="G358" s="51" t="n"/>
    </row>
    <row r="359">
      <c r="B359" s="51" t="n"/>
      <c r="C359" s="51" t="n"/>
      <c r="D359" s="51" t="n"/>
      <c r="E359" s="51" t="n"/>
      <c r="F359" s="51" t="n"/>
      <c r="G359" s="51" t="n"/>
    </row>
    <row r="360">
      <c r="B360" s="51" t="n"/>
      <c r="C360" s="51" t="n"/>
      <c r="D360" s="51" t="n"/>
      <c r="E360" s="51" t="n"/>
      <c r="F360" s="51" t="n"/>
      <c r="G360" s="51" t="n"/>
    </row>
    <row r="361">
      <c r="B361" s="51" t="n"/>
      <c r="C361" s="51" t="n"/>
      <c r="D361" s="51" t="n"/>
      <c r="E361" s="51" t="n"/>
      <c r="F361" s="51" t="n"/>
      <c r="G361" s="51" t="n"/>
    </row>
    <row r="362">
      <c r="B362" s="51" t="n"/>
      <c r="C362" s="51" t="n"/>
      <c r="D362" s="51" t="n"/>
      <c r="E362" s="51" t="n"/>
      <c r="F362" s="51" t="n"/>
      <c r="G362" s="51" t="n"/>
    </row>
    <row r="363">
      <c r="B363" s="51" t="n"/>
      <c r="C363" s="51" t="n"/>
      <c r="D363" s="51" t="n"/>
      <c r="E363" s="51" t="n"/>
      <c r="F363" s="51" t="n"/>
      <c r="G363" s="51" t="n"/>
    </row>
    <row r="364">
      <c r="B364" s="51" t="n"/>
      <c r="C364" s="51" t="n"/>
      <c r="D364" s="51" t="n"/>
      <c r="E364" s="51" t="n"/>
      <c r="F364" s="51" t="n"/>
      <c r="G364" s="51" t="n"/>
    </row>
    <row r="365">
      <c r="B365" s="51" t="n"/>
      <c r="C365" s="51" t="n"/>
      <c r="D365" s="51" t="n"/>
      <c r="E365" s="51" t="n"/>
      <c r="F365" s="51" t="n"/>
      <c r="G365" s="51" t="n"/>
    </row>
    <row r="366">
      <c r="B366" s="51" t="n"/>
      <c r="C366" s="51" t="n"/>
      <c r="D366" s="51" t="n"/>
      <c r="E366" s="51" t="n"/>
      <c r="F366" s="51" t="n"/>
      <c r="G366" s="51" t="n"/>
    </row>
    <row r="367">
      <c r="B367" s="51" t="n"/>
      <c r="C367" s="51" t="n"/>
      <c r="D367" s="51" t="n"/>
      <c r="E367" s="51" t="n"/>
      <c r="F367" s="51" t="n"/>
      <c r="G367" s="51" t="n"/>
    </row>
    <row r="368">
      <c r="B368" s="51" t="n"/>
      <c r="C368" s="51" t="n"/>
      <c r="D368" s="51" t="n"/>
      <c r="E368" s="51" t="n"/>
      <c r="F368" s="51" t="n"/>
      <c r="G368" s="51" t="n"/>
    </row>
    <row r="369">
      <c r="B369" s="51" t="n"/>
      <c r="C369" s="51" t="n"/>
      <c r="D369" s="51" t="n"/>
      <c r="E369" s="51" t="n"/>
      <c r="F369" s="51" t="n"/>
      <c r="G369" s="51" t="n"/>
    </row>
    <row r="370">
      <c r="B370" s="51" t="n"/>
      <c r="C370" s="51" t="n"/>
      <c r="D370" s="51" t="n"/>
      <c r="E370" s="51" t="n"/>
      <c r="F370" s="51" t="n"/>
      <c r="G370" s="51" t="n"/>
    </row>
    <row r="371">
      <c r="B371" s="51" t="n"/>
      <c r="C371" s="51" t="n"/>
      <c r="D371" s="51" t="n"/>
      <c r="E371" s="51" t="n"/>
      <c r="F371" s="51" t="n"/>
      <c r="G371" s="51" t="n"/>
    </row>
    <row r="372">
      <c r="B372" s="51" t="n"/>
      <c r="C372" s="51" t="n"/>
      <c r="D372" s="51" t="n"/>
      <c r="E372" s="51" t="n"/>
      <c r="F372" s="51" t="n"/>
      <c r="G372" s="51" t="n"/>
    </row>
    <row r="373">
      <c r="B373" s="51" t="n"/>
      <c r="C373" s="51" t="n"/>
      <c r="D373" s="51" t="n"/>
      <c r="E373" s="51" t="n"/>
      <c r="F373" s="51" t="n"/>
      <c r="G373" s="51" t="n"/>
    </row>
    <row r="374">
      <c r="B374" s="51" t="n"/>
      <c r="C374" s="51" t="n"/>
      <c r="D374" s="51" t="n"/>
      <c r="E374" s="51" t="n"/>
      <c r="F374" s="51" t="n"/>
      <c r="G374" s="51" t="n"/>
    </row>
    <row r="375">
      <c r="B375" s="51" t="n"/>
      <c r="C375" s="51" t="n"/>
      <c r="D375" s="51" t="n"/>
      <c r="E375" s="51" t="n"/>
      <c r="F375" s="51" t="n"/>
      <c r="G375" s="51" t="n"/>
    </row>
    <row r="376">
      <c r="B376" s="51" t="n"/>
      <c r="C376" s="51" t="n"/>
      <c r="D376" s="51" t="n"/>
      <c r="E376" s="51" t="n"/>
      <c r="F376" s="51" t="n"/>
      <c r="G376" s="51" t="n"/>
    </row>
    <row r="377">
      <c r="B377" s="51" t="n"/>
      <c r="C377" s="51" t="n"/>
      <c r="D377" s="51" t="n"/>
      <c r="E377" s="51" t="n"/>
      <c r="F377" s="51" t="n"/>
      <c r="G377" s="51" t="n"/>
    </row>
    <row r="378">
      <c r="B378" s="51" t="n"/>
      <c r="C378" s="51" t="n"/>
      <c r="D378" s="51" t="n"/>
      <c r="E378" s="51" t="n"/>
      <c r="F378" s="51" t="n"/>
      <c r="G378" s="51" t="n"/>
    </row>
    <row r="379">
      <c r="B379" s="51" t="n"/>
      <c r="C379" s="51" t="n"/>
      <c r="D379" s="51" t="n"/>
      <c r="E379" s="51" t="n"/>
      <c r="F379" s="51" t="n"/>
      <c r="G379" s="51" t="n"/>
    </row>
    <row r="380">
      <c r="B380" s="51" t="n"/>
      <c r="C380" s="51" t="n"/>
      <c r="D380" s="51" t="n"/>
      <c r="E380" s="51" t="n"/>
      <c r="F380" s="51" t="n"/>
      <c r="G380" s="51" t="n"/>
    </row>
    <row r="381">
      <c r="B381" s="51" t="n"/>
      <c r="C381" s="51" t="n"/>
      <c r="D381" s="51" t="n"/>
      <c r="E381" s="51" t="n"/>
      <c r="F381" s="51" t="n"/>
      <c r="G381" s="51" t="n"/>
    </row>
    <row r="382">
      <c r="B382" s="51" t="n"/>
      <c r="C382" s="51" t="n"/>
      <c r="D382" s="51" t="n"/>
      <c r="E382" s="51" t="n"/>
      <c r="F382" s="51" t="n"/>
      <c r="G382" s="51" t="n"/>
    </row>
    <row r="383">
      <c r="B383" s="51" t="n"/>
      <c r="C383" s="51" t="n"/>
      <c r="D383" s="51" t="n"/>
      <c r="E383" s="51" t="n"/>
      <c r="F383" s="51" t="n"/>
      <c r="G383" s="51" t="n"/>
    </row>
    <row r="384">
      <c r="B384" s="51" t="n"/>
      <c r="C384" s="51" t="n"/>
      <c r="D384" s="51" t="n"/>
      <c r="E384" s="51" t="n"/>
      <c r="F384" s="51" t="n"/>
      <c r="G384" s="51" t="n"/>
    </row>
    <row r="385">
      <c r="B385" s="51" t="n"/>
      <c r="C385" s="51" t="n"/>
      <c r="D385" s="51" t="n"/>
      <c r="E385" s="51" t="n"/>
      <c r="F385" s="51" t="n"/>
      <c r="G385" s="51" t="n"/>
    </row>
    <row r="386">
      <c r="B386" s="51" t="n"/>
      <c r="C386" s="51" t="n"/>
      <c r="D386" s="51" t="n"/>
      <c r="E386" s="51" t="n"/>
      <c r="F386" s="51" t="n"/>
      <c r="G386" s="51" t="n"/>
    </row>
    <row r="387">
      <c r="B387" s="51" t="n"/>
      <c r="C387" s="51" t="n"/>
      <c r="D387" s="51" t="n"/>
      <c r="E387" s="51" t="n"/>
      <c r="F387" s="51" t="n"/>
      <c r="G387" s="51" t="n"/>
    </row>
    <row r="388">
      <c r="B388" s="51" t="n"/>
      <c r="C388" s="51" t="n"/>
      <c r="D388" s="51" t="n"/>
      <c r="E388" s="51" t="n"/>
      <c r="F388" s="51" t="n"/>
      <c r="G388" s="51" t="n"/>
    </row>
    <row r="389">
      <c r="B389" s="51" t="n"/>
      <c r="C389" s="51" t="n"/>
      <c r="D389" s="51" t="n"/>
      <c r="E389" s="51" t="n"/>
      <c r="F389" s="51" t="n"/>
      <c r="G389" s="51" t="n"/>
    </row>
    <row r="390">
      <c r="B390" s="51" t="n"/>
      <c r="C390" s="51" t="n"/>
      <c r="D390" s="51" t="n"/>
      <c r="E390" s="51" t="n"/>
      <c r="F390" s="51" t="n"/>
      <c r="G390" s="51" t="n"/>
    </row>
    <row r="391">
      <c r="B391" s="51" t="n"/>
      <c r="C391" s="51" t="n"/>
      <c r="D391" s="51" t="n"/>
      <c r="E391" s="51" t="n"/>
      <c r="F391" s="51" t="n"/>
      <c r="G391" s="51" t="n"/>
    </row>
    <row r="392">
      <c r="B392" s="51" t="n"/>
      <c r="C392" s="51" t="n"/>
      <c r="D392" s="51" t="n"/>
      <c r="E392" s="51" t="n"/>
      <c r="F392" s="51" t="n"/>
      <c r="G392" s="51" t="n"/>
    </row>
    <row r="393">
      <c r="B393" s="51" t="n"/>
      <c r="C393" s="51" t="n"/>
      <c r="D393" s="51" t="n"/>
      <c r="E393" s="51" t="n"/>
      <c r="F393" s="51" t="n"/>
      <c r="G393" s="51" t="n"/>
    </row>
    <row r="394">
      <c r="B394" s="51" t="n"/>
      <c r="C394" s="51" t="n"/>
      <c r="D394" s="51" t="n"/>
      <c r="E394" s="51" t="n"/>
      <c r="F394" s="51" t="n"/>
      <c r="G394" s="51" t="n"/>
    </row>
    <row r="395">
      <c r="B395" s="51" t="n"/>
      <c r="C395" s="51" t="n"/>
      <c r="D395" s="51" t="n"/>
      <c r="E395" s="51" t="n"/>
      <c r="F395" s="51" t="n"/>
      <c r="G395" s="51" t="n"/>
    </row>
    <row r="396">
      <c r="B396" s="51" t="n"/>
      <c r="C396" s="51" t="n"/>
      <c r="D396" s="51" t="n"/>
      <c r="E396" s="51" t="n"/>
      <c r="F396" s="51" t="n"/>
      <c r="G396" s="51" t="n"/>
    </row>
    <row r="397">
      <c r="B397" s="51" t="n"/>
      <c r="C397" s="51" t="n"/>
      <c r="D397" s="51" t="n"/>
      <c r="E397" s="51" t="n"/>
      <c r="F397" s="51" t="n"/>
      <c r="G397" s="51" t="n"/>
    </row>
    <row r="398">
      <c r="B398" s="51" t="n"/>
      <c r="C398" s="51" t="n"/>
      <c r="D398" s="51" t="n"/>
      <c r="E398" s="51" t="n"/>
      <c r="F398" s="51" t="n"/>
      <c r="G398" s="51" t="n"/>
    </row>
    <row r="399">
      <c r="B399" s="51" t="n"/>
      <c r="C399" s="51" t="n"/>
      <c r="D399" s="51" t="n"/>
      <c r="E399" s="51" t="n"/>
      <c r="F399" s="51" t="n"/>
      <c r="G399" s="51" t="n"/>
    </row>
    <row r="400">
      <c r="B400" s="51" t="n"/>
      <c r="C400" s="51" t="n"/>
      <c r="D400" s="51" t="n"/>
      <c r="E400" s="51" t="n"/>
      <c r="F400" s="51" t="n"/>
      <c r="G400" s="51" t="n"/>
    </row>
    <row r="401">
      <c r="B401" s="51" t="n"/>
      <c r="C401" s="51" t="n"/>
      <c r="D401" s="51" t="n"/>
      <c r="E401" s="51" t="n"/>
      <c r="F401" s="51" t="n"/>
      <c r="G401" s="51" t="n"/>
    </row>
    <row r="402">
      <c r="B402" s="51" t="n"/>
      <c r="C402" s="51" t="n"/>
      <c r="D402" s="51" t="n"/>
      <c r="E402" s="51" t="n"/>
      <c r="F402" s="51" t="n"/>
      <c r="G402" s="51" t="n"/>
    </row>
    <row r="403">
      <c r="B403" s="51" t="n"/>
      <c r="C403" s="51" t="n"/>
      <c r="D403" s="51" t="n"/>
      <c r="E403" s="51" t="n"/>
      <c r="F403" s="51" t="n"/>
      <c r="G403" s="51" t="n"/>
    </row>
    <row r="404">
      <c r="B404" s="51" t="n"/>
      <c r="C404" s="51" t="n"/>
      <c r="D404" s="51" t="n"/>
      <c r="E404" s="51" t="n"/>
      <c r="F404" s="51" t="n"/>
      <c r="G404" s="51" t="n"/>
    </row>
    <row r="405">
      <c r="B405" s="51" t="n"/>
      <c r="C405" s="51" t="n"/>
      <c r="D405" s="51" t="n"/>
      <c r="E405" s="51" t="n"/>
      <c r="F405" s="51" t="n"/>
      <c r="G405" s="51" t="n"/>
    </row>
    <row r="406">
      <c r="B406" s="51" t="n"/>
      <c r="C406" s="51" t="n"/>
      <c r="D406" s="51" t="n"/>
      <c r="E406" s="51" t="n"/>
      <c r="F406" s="51" t="n"/>
      <c r="G406" s="51" t="n"/>
    </row>
    <row r="407">
      <c r="B407" s="51" t="n"/>
      <c r="C407" s="51" t="n"/>
      <c r="D407" s="51" t="n"/>
      <c r="E407" s="51" t="n"/>
      <c r="F407" s="51" t="n"/>
      <c r="G407" s="51" t="n"/>
    </row>
    <row r="408">
      <c r="B408" s="51" t="n"/>
      <c r="C408" s="51" t="n"/>
      <c r="D408" s="51" t="n"/>
      <c r="E408" s="51" t="n"/>
      <c r="F408" s="51" t="n"/>
      <c r="G408" s="51" t="n"/>
    </row>
    <row r="409">
      <c r="B409" s="51" t="n"/>
      <c r="C409" s="51" t="n"/>
      <c r="D409" s="51" t="n"/>
      <c r="E409" s="51" t="n"/>
      <c r="F409" s="51" t="n"/>
      <c r="G409" s="51" t="n"/>
    </row>
    <row r="410">
      <c r="B410" s="51" t="n"/>
      <c r="C410" s="51" t="n"/>
      <c r="D410" s="51" t="n"/>
      <c r="E410" s="51" t="n"/>
      <c r="F410" s="51" t="n"/>
      <c r="G410" s="51" t="n"/>
    </row>
    <row r="411">
      <c r="B411" s="51" t="n"/>
      <c r="C411" s="51" t="n"/>
      <c r="D411" s="51" t="n"/>
      <c r="E411" s="51" t="n"/>
      <c r="F411" s="51" t="n"/>
      <c r="G411" s="51" t="n"/>
    </row>
    <row r="412">
      <c r="B412" s="51" t="n"/>
      <c r="C412" s="51" t="n"/>
      <c r="D412" s="51" t="n"/>
      <c r="E412" s="51" t="n"/>
      <c r="F412" s="51" t="n"/>
      <c r="G412" s="51" t="n"/>
    </row>
    <row r="413">
      <c r="B413" s="51" t="n"/>
      <c r="C413" s="51" t="n"/>
      <c r="D413" s="51" t="n"/>
      <c r="E413" s="51" t="n"/>
      <c r="F413" s="51" t="n"/>
      <c r="G413" s="51" t="n"/>
    </row>
    <row r="414">
      <c r="B414" s="51" t="n"/>
      <c r="C414" s="51" t="n"/>
      <c r="D414" s="51" t="n"/>
      <c r="E414" s="51" t="n"/>
      <c r="F414" s="51" t="n"/>
      <c r="G414" s="51" t="n"/>
    </row>
    <row r="415">
      <c r="B415" s="51" t="n"/>
      <c r="C415" s="51" t="n"/>
      <c r="D415" s="51" t="n"/>
      <c r="E415" s="51" t="n"/>
      <c r="F415" s="51" t="n"/>
      <c r="G415" s="51" t="n"/>
    </row>
    <row r="416">
      <c r="B416" s="51" t="n"/>
      <c r="C416" s="51" t="n"/>
      <c r="D416" s="51" t="n"/>
      <c r="E416" s="51" t="n"/>
      <c r="F416" s="51" t="n"/>
      <c r="G416" s="51" t="n"/>
    </row>
    <row r="417">
      <c r="B417" s="51" t="n"/>
      <c r="C417" s="51" t="n"/>
      <c r="D417" s="51" t="n"/>
      <c r="E417" s="51" t="n"/>
      <c r="F417" s="51" t="n"/>
      <c r="G417" s="51" t="n"/>
    </row>
    <row r="418">
      <c r="B418" s="51" t="n"/>
      <c r="C418" s="51" t="n"/>
      <c r="D418" s="51" t="n"/>
      <c r="E418" s="51" t="n"/>
      <c r="F418" s="51" t="n"/>
      <c r="G418" s="51" t="n"/>
    </row>
    <row r="419">
      <c r="B419" s="51" t="n"/>
      <c r="C419" s="51" t="n"/>
      <c r="D419" s="51" t="n"/>
      <c r="E419" s="51" t="n"/>
      <c r="F419" s="51" t="n"/>
      <c r="G419" s="51" t="n"/>
    </row>
    <row r="420">
      <c r="B420" s="51" t="n"/>
      <c r="C420" s="51" t="n"/>
      <c r="D420" s="51" t="n"/>
      <c r="E420" s="51" t="n"/>
      <c r="F420" s="51" t="n"/>
      <c r="G420" s="51" t="n"/>
    </row>
    <row r="421">
      <c r="B421" s="51" t="n"/>
      <c r="C421" s="51" t="n"/>
      <c r="D421" s="51" t="n"/>
      <c r="E421" s="51" t="n"/>
      <c r="F421" s="51" t="n"/>
      <c r="G421" s="51" t="n"/>
    </row>
    <row r="422">
      <c r="B422" s="51" t="n"/>
      <c r="C422" s="51" t="n"/>
      <c r="D422" s="51" t="n"/>
      <c r="E422" s="51" t="n"/>
      <c r="F422" s="51" t="n"/>
      <c r="G422" s="51" t="n"/>
    </row>
    <row r="423">
      <c r="B423" s="51" t="n"/>
      <c r="C423" s="51" t="n"/>
      <c r="D423" s="51" t="n"/>
      <c r="E423" s="51" t="n"/>
      <c r="F423" s="51" t="n"/>
      <c r="G423" s="51" t="n"/>
    </row>
    <row r="424">
      <c r="B424" s="51" t="n"/>
      <c r="C424" s="51" t="n"/>
      <c r="D424" s="51" t="n"/>
      <c r="E424" s="51" t="n"/>
      <c r="F424" s="51" t="n"/>
      <c r="G424" s="51" t="n"/>
    </row>
    <row r="425">
      <c r="B425" s="51" t="n"/>
      <c r="C425" s="51" t="n"/>
      <c r="D425" s="51" t="n"/>
      <c r="E425" s="51" t="n"/>
      <c r="F425" s="51" t="n"/>
      <c r="G425" s="51" t="n"/>
    </row>
    <row r="426">
      <c r="B426" s="51" t="n"/>
      <c r="C426" s="51" t="n"/>
      <c r="D426" s="51" t="n"/>
      <c r="E426" s="51" t="n"/>
      <c r="F426" s="51" t="n"/>
      <c r="G426" s="51" t="n"/>
    </row>
    <row r="427">
      <c r="B427" s="51" t="n"/>
      <c r="C427" s="51" t="n"/>
      <c r="D427" s="51" t="n"/>
      <c r="E427" s="51" t="n"/>
      <c r="F427" s="51" t="n"/>
      <c r="G427" s="51" t="n"/>
    </row>
    <row r="428">
      <c r="B428" s="51" t="n"/>
      <c r="C428" s="51" t="n"/>
      <c r="D428" s="51" t="n"/>
      <c r="E428" s="51" t="n"/>
      <c r="F428" s="51" t="n"/>
      <c r="G428" s="51" t="n"/>
    </row>
    <row r="429">
      <c r="B429" s="51" t="n"/>
      <c r="C429" s="51" t="n"/>
      <c r="D429" s="51" t="n"/>
      <c r="E429" s="51" t="n"/>
      <c r="F429" s="51" t="n"/>
      <c r="G429" s="51" t="n"/>
    </row>
    <row r="430">
      <c r="B430" s="51" t="n"/>
      <c r="C430" s="51" t="n"/>
      <c r="D430" s="51" t="n"/>
      <c r="E430" s="51" t="n"/>
      <c r="F430" s="51" t="n"/>
      <c r="G430" s="51" t="n"/>
    </row>
    <row r="431">
      <c r="B431" s="51" t="n"/>
      <c r="C431" s="51" t="n"/>
      <c r="D431" s="51" t="n"/>
      <c r="E431" s="51" t="n"/>
      <c r="F431" s="51" t="n"/>
      <c r="G431" s="51" t="n"/>
    </row>
    <row r="432">
      <c r="B432" s="51" t="n"/>
      <c r="C432" s="51" t="n"/>
      <c r="D432" s="51" t="n"/>
      <c r="E432" s="51" t="n"/>
      <c r="F432" s="51" t="n"/>
      <c r="G432" s="51" t="n"/>
    </row>
    <row r="433">
      <c r="B433" s="51" t="n"/>
      <c r="C433" s="51" t="n"/>
      <c r="D433" s="51" t="n"/>
      <c r="E433" s="51" t="n"/>
      <c r="F433" s="51" t="n"/>
      <c r="G433" s="51" t="n"/>
    </row>
    <row r="434">
      <c r="B434" s="51" t="n"/>
      <c r="C434" s="51" t="n"/>
      <c r="D434" s="51" t="n"/>
      <c r="E434" s="51" t="n"/>
      <c r="F434" s="51" t="n"/>
      <c r="G434" s="51" t="n"/>
    </row>
    <row r="435">
      <c r="B435" s="51" t="n"/>
      <c r="C435" s="51" t="n"/>
      <c r="D435" s="51" t="n"/>
      <c r="E435" s="51" t="n"/>
      <c r="F435" s="51" t="n"/>
      <c r="G435" s="51" t="n"/>
    </row>
    <row r="436">
      <c r="B436" s="51" t="n"/>
      <c r="C436" s="51" t="n"/>
      <c r="D436" s="51" t="n"/>
      <c r="E436" s="51" t="n"/>
      <c r="F436" s="51" t="n"/>
      <c r="G436" s="51" t="n"/>
    </row>
    <row r="437">
      <c r="B437" s="51" t="n"/>
      <c r="C437" s="51" t="n"/>
      <c r="D437" s="51" t="n"/>
      <c r="E437" s="51" t="n"/>
      <c r="F437" s="51" t="n"/>
      <c r="G437" s="51" t="n"/>
    </row>
    <row r="438">
      <c r="B438" s="51" t="n"/>
      <c r="C438" s="51" t="n"/>
      <c r="D438" s="51" t="n"/>
      <c r="E438" s="51" t="n"/>
      <c r="F438" s="51" t="n"/>
      <c r="G438" s="51" t="n"/>
    </row>
    <row r="439">
      <c r="B439" s="51" t="n"/>
      <c r="C439" s="51" t="n"/>
      <c r="D439" s="51" t="n"/>
      <c r="E439" s="51" t="n"/>
      <c r="F439" s="51" t="n"/>
      <c r="G439" s="51" t="n"/>
    </row>
    <row r="440">
      <c r="B440" s="51" t="n"/>
      <c r="C440" s="51" t="n"/>
      <c r="D440" s="51" t="n"/>
      <c r="E440" s="51" t="n"/>
      <c r="F440" s="51" t="n"/>
      <c r="G440" s="51" t="n"/>
    </row>
    <row r="441">
      <c r="B441" s="51" t="n"/>
      <c r="C441" s="51" t="n"/>
      <c r="D441" s="51" t="n"/>
      <c r="E441" s="51" t="n"/>
      <c r="F441" s="51" t="n"/>
      <c r="G441" s="51" t="n"/>
    </row>
    <row r="442">
      <c r="B442" s="51" t="n"/>
      <c r="C442" s="51" t="n"/>
      <c r="D442" s="51" t="n"/>
      <c r="E442" s="51" t="n"/>
      <c r="F442" s="51" t="n"/>
      <c r="G442" s="51" t="n"/>
    </row>
    <row r="443">
      <c r="B443" s="51" t="n"/>
      <c r="C443" s="51" t="n"/>
      <c r="D443" s="51" t="n"/>
      <c r="E443" s="51" t="n"/>
      <c r="F443" s="51" t="n"/>
      <c r="G443" s="51" t="n"/>
    </row>
    <row r="444">
      <c r="B444" s="51" t="n"/>
      <c r="C444" s="51" t="n"/>
      <c r="D444" s="51" t="n"/>
      <c r="E444" s="51" t="n"/>
      <c r="F444" s="51" t="n"/>
      <c r="G444" s="51" t="n"/>
    </row>
    <row r="445">
      <c r="B445" s="51" t="n"/>
      <c r="C445" s="51" t="n"/>
      <c r="D445" s="51" t="n"/>
      <c r="E445" s="51" t="n"/>
      <c r="F445" s="51" t="n"/>
      <c r="G445" s="51" t="n"/>
    </row>
    <row r="446">
      <c r="B446" s="51" t="n"/>
      <c r="C446" s="51" t="n"/>
      <c r="D446" s="51" t="n"/>
      <c r="E446" s="51" t="n"/>
      <c r="F446" s="51" t="n"/>
      <c r="G446" s="51" t="n"/>
    </row>
    <row r="447">
      <c r="B447" s="51" t="n"/>
      <c r="C447" s="51" t="n"/>
      <c r="D447" s="51" t="n"/>
      <c r="E447" s="51" t="n"/>
      <c r="F447" s="51" t="n"/>
      <c r="G447" s="51" t="n"/>
    </row>
    <row r="448">
      <c r="B448" s="51" t="n"/>
      <c r="C448" s="51" t="n"/>
      <c r="D448" s="51" t="n"/>
      <c r="E448" s="51" t="n"/>
      <c r="F448" s="51" t="n"/>
      <c r="G448" s="51" t="n"/>
    </row>
    <row r="449">
      <c r="B449" s="51" t="n"/>
      <c r="C449" s="51" t="n"/>
      <c r="D449" s="51" t="n"/>
      <c r="E449" s="51" t="n"/>
      <c r="F449" s="51" t="n"/>
      <c r="G449" s="51" t="n"/>
    </row>
    <row r="450">
      <c r="B450" s="51" t="n"/>
      <c r="C450" s="51" t="n"/>
      <c r="D450" s="51" t="n"/>
      <c r="E450" s="51" t="n"/>
      <c r="F450" s="51" t="n"/>
      <c r="G450" s="51" t="n"/>
    </row>
    <row r="451">
      <c r="B451" s="51" t="n"/>
      <c r="C451" s="51" t="n"/>
      <c r="D451" s="51" t="n"/>
      <c r="E451" s="51" t="n"/>
      <c r="F451" s="51" t="n"/>
      <c r="G451" s="51" t="n"/>
    </row>
    <row r="452">
      <c r="B452" s="51" t="n"/>
      <c r="C452" s="51" t="n"/>
      <c r="D452" s="51" t="n"/>
      <c r="E452" s="51" t="n"/>
      <c r="F452" s="51" t="n"/>
      <c r="G452" s="51" t="n"/>
    </row>
    <row r="453">
      <c r="B453" s="51" t="n"/>
      <c r="C453" s="51" t="n"/>
      <c r="D453" s="51" t="n"/>
      <c r="E453" s="51" t="n"/>
      <c r="F453" s="51" t="n"/>
      <c r="G453" s="51" t="n"/>
    </row>
    <row r="454">
      <c r="B454" s="51" t="n"/>
      <c r="C454" s="51" t="n"/>
      <c r="D454" s="51" t="n"/>
      <c r="E454" s="51" t="n"/>
      <c r="F454" s="51" t="n"/>
      <c r="G454" s="51" t="n"/>
    </row>
    <row r="455">
      <c r="B455" s="51" t="n"/>
      <c r="C455" s="51" t="n"/>
      <c r="D455" s="51" t="n"/>
      <c r="E455" s="51" t="n"/>
      <c r="F455" s="51" t="n"/>
      <c r="G455" s="51" t="n"/>
    </row>
    <row r="456">
      <c r="B456" s="51" t="n"/>
      <c r="C456" s="51" t="n"/>
      <c r="D456" s="51" t="n"/>
      <c r="E456" s="51" t="n"/>
      <c r="F456" s="51" t="n"/>
      <c r="G456" s="51" t="n"/>
    </row>
    <row r="457">
      <c r="B457" s="51" t="n"/>
      <c r="C457" s="51" t="n"/>
      <c r="D457" s="51" t="n"/>
      <c r="E457" s="51" t="n"/>
      <c r="F457" s="51" t="n"/>
      <c r="G457" s="51" t="n"/>
    </row>
    <row r="458">
      <c r="B458" s="51" t="n"/>
      <c r="C458" s="51" t="n"/>
      <c r="D458" s="51" t="n"/>
      <c r="E458" s="51" t="n"/>
      <c r="F458" s="51" t="n"/>
      <c r="G458" s="51" t="n"/>
    </row>
    <row r="459">
      <c r="B459" s="51" t="n"/>
      <c r="C459" s="51" t="n"/>
      <c r="D459" s="51" t="n"/>
      <c r="E459" s="51" t="n"/>
      <c r="F459" s="51" t="n"/>
      <c r="G459" s="51" t="n"/>
    </row>
    <row r="460">
      <c r="B460" s="51" t="n"/>
      <c r="C460" s="51" t="n"/>
      <c r="D460" s="51" t="n"/>
      <c r="E460" s="51" t="n"/>
      <c r="F460" s="51" t="n"/>
      <c r="G460" s="51" t="n"/>
    </row>
    <row r="461">
      <c r="B461" s="51" t="n"/>
      <c r="C461" s="51" t="n"/>
      <c r="D461" s="51" t="n"/>
      <c r="E461" s="51" t="n"/>
      <c r="F461" s="51" t="n"/>
      <c r="G461" s="51" t="n"/>
    </row>
    <row r="462">
      <c r="B462" s="51" t="n"/>
      <c r="C462" s="51" t="n"/>
      <c r="D462" s="51" t="n"/>
      <c r="E462" s="51" t="n"/>
      <c r="F462" s="51" t="n"/>
      <c r="G462" s="51" t="n"/>
    </row>
    <row r="463">
      <c r="B463" s="51" t="n"/>
      <c r="C463" s="51" t="n"/>
      <c r="D463" s="51" t="n"/>
      <c r="E463" s="51" t="n"/>
      <c r="F463" s="51" t="n"/>
      <c r="G463" s="51" t="n"/>
    </row>
    <row r="464">
      <c r="B464" s="51" t="n"/>
      <c r="C464" s="51" t="n"/>
      <c r="D464" s="51" t="n"/>
      <c r="E464" s="51" t="n"/>
      <c r="F464" s="51" t="n"/>
      <c r="G464" s="51" t="n"/>
    </row>
    <row r="465">
      <c r="B465" s="51" t="n"/>
      <c r="C465" s="51" t="n"/>
      <c r="D465" s="51" t="n"/>
      <c r="E465" s="51" t="n"/>
      <c r="F465" s="51" t="n"/>
      <c r="G465" s="51" t="n"/>
    </row>
    <row r="466">
      <c r="B466" s="51" t="n"/>
      <c r="C466" s="51" t="n"/>
      <c r="D466" s="51" t="n"/>
      <c r="E466" s="51" t="n"/>
      <c r="F466" s="51" t="n"/>
      <c r="G466" s="51" t="n"/>
    </row>
    <row r="467">
      <c r="B467" s="51" t="n"/>
      <c r="C467" s="51" t="n"/>
      <c r="D467" s="51" t="n"/>
      <c r="E467" s="51" t="n"/>
      <c r="F467" s="51" t="n"/>
      <c r="G467" s="51" t="n"/>
    </row>
    <row r="468">
      <c r="B468" s="51" t="n"/>
      <c r="C468" s="51" t="n"/>
      <c r="D468" s="51" t="n"/>
      <c r="E468" s="51" t="n"/>
      <c r="F468" s="51" t="n"/>
      <c r="G468" s="51" t="n"/>
    </row>
    <row r="469">
      <c r="B469" s="51" t="n"/>
      <c r="C469" s="51" t="n"/>
      <c r="D469" s="51" t="n"/>
      <c r="E469" s="51" t="n"/>
      <c r="F469" s="51" t="n"/>
      <c r="G469" s="51" t="n"/>
    </row>
    <row r="470">
      <c r="B470" s="51" t="n"/>
      <c r="C470" s="51" t="n"/>
      <c r="D470" s="51" t="n"/>
      <c r="E470" s="51" t="n"/>
      <c r="F470" s="51" t="n"/>
      <c r="G470" s="51" t="n"/>
    </row>
    <row r="471">
      <c r="B471" s="51" t="n"/>
      <c r="C471" s="51" t="n"/>
      <c r="D471" s="51" t="n"/>
      <c r="E471" s="51" t="n"/>
      <c r="F471" s="51" t="n"/>
      <c r="G471" s="51" t="n"/>
    </row>
    <row r="472">
      <c r="B472" s="51" t="n"/>
      <c r="C472" s="51" t="n"/>
      <c r="D472" s="51" t="n"/>
      <c r="E472" s="51" t="n"/>
      <c r="F472" s="51" t="n"/>
      <c r="G472" s="51" t="n"/>
    </row>
    <row r="473">
      <c r="B473" s="51" t="n"/>
      <c r="C473" s="51" t="n"/>
      <c r="D473" s="51" t="n"/>
      <c r="E473" s="51" t="n"/>
      <c r="F473" s="51" t="n"/>
      <c r="G473" s="51" t="n"/>
    </row>
    <row r="474">
      <c r="B474" s="51" t="n"/>
      <c r="C474" s="51" t="n"/>
      <c r="D474" s="51" t="n"/>
      <c r="E474" s="51" t="n"/>
      <c r="F474" s="51" t="n"/>
      <c r="G474" s="51" t="n"/>
    </row>
    <row r="475">
      <c r="B475" s="51" t="n"/>
      <c r="C475" s="51" t="n"/>
      <c r="D475" s="51" t="n"/>
      <c r="E475" s="51" t="n"/>
      <c r="F475" s="51" t="n"/>
      <c r="G475" s="51" t="n"/>
    </row>
    <row r="476">
      <c r="B476" s="51" t="n"/>
      <c r="C476" s="51" t="n"/>
      <c r="D476" s="51" t="n"/>
      <c r="E476" s="51" t="n"/>
      <c r="F476" s="51" t="n"/>
      <c r="G476" s="51" t="n"/>
    </row>
    <row r="477">
      <c r="B477" s="51" t="n"/>
      <c r="C477" s="51" t="n"/>
      <c r="D477" s="51" t="n"/>
      <c r="E477" s="51" t="n"/>
      <c r="F477" s="51" t="n"/>
      <c r="G477" s="51" t="n"/>
    </row>
    <row r="478">
      <c r="B478" s="51" t="n"/>
      <c r="C478" s="51" t="n"/>
      <c r="D478" s="51" t="n"/>
      <c r="E478" s="51" t="n"/>
      <c r="F478" s="51" t="n"/>
      <c r="G478" s="51" t="n"/>
    </row>
    <row r="479">
      <c r="B479" s="51" t="n"/>
      <c r="C479" s="51" t="n"/>
      <c r="D479" s="51" t="n"/>
      <c r="E479" s="51" t="n"/>
      <c r="F479" s="51" t="n"/>
      <c r="G479" s="51" t="n"/>
    </row>
    <row r="480">
      <c r="B480" s="51" t="n"/>
      <c r="C480" s="51" t="n"/>
      <c r="D480" s="51" t="n"/>
      <c r="E480" s="51" t="n"/>
      <c r="F480" s="51" t="n"/>
      <c r="G480" s="51" t="n"/>
    </row>
    <row r="481">
      <c r="B481" s="51" t="n"/>
      <c r="C481" s="51" t="n"/>
      <c r="D481" s="51" t="n"/>
      <c r="E481" s="51" t="n"/>
      <c r="F481" s="51" t="n"/>
      <c r="G481" s="51" t="n"/>
    </row>
    <row r="482">
      <c r="B482" s="51" t="n"/>
      <c r="C482" s="51" t="n"/>
      <c r="D482" s="51" t="n"/>
      <c r="E482" s="51" t="n"/>
      <c r="F482" s="51" t="n"/>
      <c r="G482" s="51" t="n"/>
    </row>
    <row r="483">
      <c r="B483" s="51" t="n"/>
      <c r="C483" s="51" t="n"/>
      <c r="D483" s="51" t="n"/>
      <c r="E483" s="51" t="n"/>
      <c r="F483" s="51" t="n"/>
      <c r="G483" s="51" t="n"/>
    </row>
    <row r="484">
      <c r="B484" s="51" t="n"/>
      <c r="C484" s="51" t="n"/>
      <c r="D484" s="51" t="n"/>
      <c r="E484" s="51" t="n"/>
      <c r="F484" s="51" t="n"/>
      <c r="G484" s="51" t="n"/>
    </row>
    <row r="485">
      <c r="B485" s="51" t="n"/>
      <c r="C485" s="51" t="n"/>
      <c r="D485" s="51" t="n"/>
      <c r="E485" s="51" t="n"/>
      <c r="F485" s="51" t="n"/>
      <c r="G485" s="51" t="n"/>
    </row>
    <row r="486">
      <c r="B486" s="51" t="n"/>
      <c r="C486" s="51" t="n"/>
      <c r="D486" s="51" t="n"/>
      <c r="E486" s="51" t="n"/>
      <c r="F486" s="51" t="n"/>
      <c r="G486" s="51" t="n"/>
    </row>
    <row r="487">
      <c r="B487" s="51" t="n"/>
      <c r="C487" s="51" t="n"/>
      <c r="D487" s="51" t="n"/>
      <c r="E487" s="51" t="n"/>
      <c r="F487" s="51" t="n"/>
      <c r="G487" s="51" t="n"/>
    </row>
    <row r="488">
      <c r="B488" s="51" t="n"/>
      <c r="C488" s="51" t="n"/>
      <c r="D488" s="51" t="n"/>
      <c r="E488" s="51" t="n"/>
      <c r="F488" s="51" t="n"/>
      <c r="G488" s="51" t="n"/>
    </row>
    <row r="489">
      <c r="B489" s="51" t="n"/>
      <c r="C489" s="51" t="n"/>
      <c r="D489" s="51" t="n"/>
      <c r="E489" s="51" t="n"/>
      <c r="F489" s="51" t="n"/>
      <c r="G489" s="51" t="n"/>
    </row>
    <row r="490">
      <c r="B490" s="51" t="n"/>
      <c r="C490" s="51" t="n"/>
      <c r="D490" s="51" t="n"/>
      <c r="E490" s="51" t="n"/>
      <c r="F490" s="51" t="n"/>
      <c r="G490" s="51" t="n"/>
    </row>
    <row r="491">
      <c r="B491" s="51" t="n"/>
      <c r="C491" s="51" t="n"/>
      <c r="D491" s="51" t="n"/>
      <c r="E491" s="51" t="n"/>
      <c r="F491" s="51" t="n"/>
      <c r="G491" s="51" t="n"/>
    </row>
    <row r="492">
      <c r="B492" s="51" t="n"/>
      <c r="C492" s="51" t="n"/>
      <c r="D492" s="51" t="n"/>
      <c r="E492" s="51" t="n"/>
      <c r="F492" s="51" t="n"/>
      <c r="G492" s="51" t="n"/>
    </row>
    <row r="493">
      <c r="B493" s="51" t="n"/>
      <c r="C493" s="51" t="n"/>
      <c r="D493" s="51" t="n"/>
      <c r="E493" s="51" t="n"/>
      <c r="F493" s="51" t="n"/>
      <c r="G493" s="51" t="n"/>
    </row>
    <row r="494">
      <c r="B494" s="51" t="n"/>
      <c r="C494" s="51" t="n"/>
      <c r="D494" s="51" t="n"/>
      <c r="E494" s="51" t="n"/>
      <c r="F494" s="51" t="n"/>
      <c r="G494" s="51" t="n"/>
    </row>
    <row r="495">
      <c r="B495" s="51" t="n"/>
      <c r="C495" s="51" t="n"/>
      <c r="D495" s="51" t="n"/>
      <c r="E495" s="51" t="n"/>
      <c r="F495" s="51" t="n"/>
      <c r="G495" s="51" t="n"/>
    </row>
    <row r="496">
      <c r="B496" s="51" t="n"/>
      <c r="C496" s="51" t="n"/>
      <c r="D496" s="51" t="n"/>
      <c r="E496" s="51" t="n"/>
      <c r="F496" s="51" t="n"/>
      <c r="G496" s="51" t="n"/>
    </row>
    <row r="497">
      <c r="B497" s="51" t="n"/>
      <c r="C497" s="51" t="n"/>
      <c r="D497" s="51" t="n"/>
      <c r="E497" s="51" t="n"/>
      <c r="F497" s="51" t="n"/>
      <c r="G497" s="51" t="n"/>
    </row>
    <row r="498">
      <c r="B498" s="51" t="n"/>
      <c r="C498" s="51" t="n"/>
      <c r="D498" s="51" t="n"/>
      <c r="E498" s="51" t="n"/>
      <c r="F498" s="51" t="n"/>
      <c r="G498" s="51" t="n"/>
    </row>
    <row r="499">
      <c r="B499" s="51" t="n"/>
      <c r="C499" s="51" t="n"/>
      <c r="D499" s="51" t="n"/>
      <c r="E499" s="51" t="n"/>
      <c r="F499" s="51" t="n"/>
      <c r="G499" s="51" t="n"/>
    </row>
    <row r="500">
      <c r="B500" s="51" t="n"/>
      <c r="C500" s="51" t="n"/>
      <c r="D500" s="51" t="n"/>
      <c r="E500" s="51" t="n"/>
      <c r="F500" s="51" t="n"/>
      <c r="G500" s="51" t="n"/>
    </row>
    <row r="501">
      <c r="B501" s="51" t="n"/>
      <c r="C501" s="51" t="n"/>
      <c r="D501" s="51" t="n"/>
      <c r="E501" s="51" t="n"/>
      <c r="F501" s="51" t="n"/>
      <c r="G501" s="51" t="n"/>
    </row>
    <row r="502">
      <c r="B502" s="51" t="n"/>
      <c r="C502" s="51" t="n"/>
      <c r="D502" s="51" t="n"/>
      <c r="E502" s="51" t="n"/>
      <c r="F502" s="51" t="n"/>
      <c r="G502" s="51" t="n"/>
    </row>
    <row r="503">
      <c r="B503" s="51" t="n"/>
      <c r="C503" s="51" t="n"/>
      <c r="D503" s="51" t="n"/>
      <c r="E503" s="51" t="n"/>
      <c r="F503" s="51" t="n"/>
      <c r="G503" s="51" t="n"/>
    </row>
    <row r="504">
      <c r="B504" s="51" t="n"/>
      <c r="C504" s="51" t="n"/>
      <c r="D504" s="51" t="n"/>
      <c r="E504" s="51" t="n"/>
      <c r="F504" s="51" t="n"/>
      <c r="G504" s="51" t="n"/>
    </row>
    <row r="505">
      <c r="B505" s="51" t="n"/>
      <c r="C505" s="51" t="n"/>
      <c r="D505" s="51" t="n"/>
      <c r="E505" s="51" t="n"/>
      <c r="F505" s="51" t="n"/>
      <c r="G505" s="51" t="n"/>
    </row>
    <row r="506">
      <c r="B506" s="51" t="n"/>
      <c r="C506" s="51" t="n"/>
      <c r="D506" s="51" t="n"/>
      <c r="E506" s="51" t="n"/>
      <c r="F506" s="51" t="n"/>
      <c r="G506" s="51" t="n"/>
    </row>
    <row r="507">
      <c r="B507" s="51" t="n"/>
      <c r="C507" s="51" t="n"/>
      <c r="D507" s="51" t="n"/>
      <c r="E507" s="51" t="n"/>
      <c r="F507" s="51" t="n"/>
      <c r="G507" s="51" t="n"/>
    </row>
    <row r="508">
      <c r="B508" s="51" t="n"/>
      <c r="C508" s="51" t="n"/>
      <c r="D508" s="51" t="n"/>
      <c r="E508" s="51" t="n"/>
      <c r="F508" s="51" t="n"/>
      <c r="G508" s="51" t="n"/>
    </row>
    <row r="509">
      <c r="B509" s="51" t="n"/>
      <c r="C509" s="51" t="n"/>
      <c r="D509" s="51" t="n"/>
      <c r="E509" s="51" t="n"/>
      <c r="F509" s="51" t="n"/>
      <c r="G509" s="51" t="n"/>
    </row>
    <row r="510">
      <c r="B510" s="51" t="n"/>
      <c r="C510" s="51" t="n"/>
      <c r="D510" s="51" t="n"/>
      <c r="E510" s="51" t="n"/>
      <c r="F510" s="51" t="n"/>
      <c r="G510" s="51" t="n"/>
    </row>
    <row r="511">
      <c r="B511" s="51" t="n"/>
      <c r="C511" s="51" t="n"/>
      <c r="D511" s="51" t="n"/>
      <c r="E511" s="51" t="n"/>
      <c r="F511" s="51" t="n"/>
      <c r="G511" s="51" t="n"/>
    </row>
    <row r="512">
      <c r="B512" s="51" t="n"/>
      <c r="C512" s="51" t="n"/>
      <c r="D512" s="51" t="n"/>
      <c r="E512" s="51" t="n"/>
      <c r="F512" s="51" t="n"/>
      <c r="G512" s="51" t="n"/>
    </row>
    <row r="513">
      <c r="B513" s="51" t="n"/>
      <c r="C513" s="51" t="n"/>
      <c r="D513" s="51" t="n"/>
      <c r="E513" s="51" t="n"/>
      <c r="F513" s="51" t="n"/>
      <c r="G513" s="51" t="n"/>
    </row>
    <row r="514">
      <c r="B514" s="51" t="n"/>
      <c r="C514" s="51" t="n"/>
      <c r="D514" s="51" t="n"/>
      <c r="E514" s="51" t="n"/>
      <c r="F514" s="51" t="n"/>
      <c r="G514" s="51" t="n"/>
    </row>
    <row r="515">
      <c r="B515" s="51" t="n"/>
      <c r="C515" s="51" t="n"/>
      <c r="D515" s="51" t="n"/>
      <c r="E515" s="51" t="n"/>
      <c r="F515" s="51" t="n"/>
      <c r="G515" s="51" t="n"/>
    </row>
    <row r="516">
      <c r="B516" s="51" t="n"/>
      <c r="C516" s="51" t="n"/>
      <c r="D516" s="51" t="n"/>
      <c r="E516" s="51" t="n"/>
      <c r="F516" s="51" t="n"/>
      <c r="G516" s="51" t="n"/>
    </row>
    <row r="517">
      <c r="B517" s="51" t="n"/>
      <c r="C517" s="51" t="n"/>
      <c r="D517" s="51" t="n"/>
      <c r="E517" s="51" t="n"/>
      <c r="F517" s="51" t="n"/>
      <c r="G517" s="51" t="n"/>
    </row>
  </sheetData>
  <mergeCells count="7">
    <mergeCell ref="B3:G3"/>
    <mergeCell ref="B5:G5"/>
    <mergeCell ref="B10:C10"/>
    <mergeCell ref="B4:G4"/>
    <mergeCell ref="C8:G8"/>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conditionalFormatting sqref="F17:F517">
    <cfRule type="expression" priority="5" dxfId="6">
      <formula>AND(LEN($B17&amp;$C17&amp;$D17&amp;$E17&amp;$F17&amp;$G17)&gt;0,F17="")</formula>
    </cfRule>
  </conditionalFormatting>
  <conditionalFormatting sqref="G17:G517">
    <cfRule type="expression" priority="6" dxfId="6">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riterion"/>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Type of criterion Allowed: OTHERS, MIGRATED (list Incentive type)" type="list" errorStyle="warning">
      <formula1>=LIST_INCENTIVE_TYPE</formula1>
    </dataValidation>
    <dataValidation sqref="D17:D517" showDropDown="0" showInputMessage="1" showErrorMessage="0" allowBlank="1" promptTitle="Value basis / Value" prompt="Yes (basis). Value of the criterion"/>
    <dataValidation sqref="E17:E517" showDropDown="0" showInputMessage="1" showErrorMessage="0" allowBlank="1" promptTitle="Rule parameters" prompt="No. Parameters of a rule criterion, as agreed with Comptrollership"/>
    <dataValidation sqref="F17:F517" showDropDown="0" showInputMessage="1" showErrorMessage="0" allowBlank="1" promptTitle="Products matrix: risk code / seg" prompt="Yes (one product). Products and segments the criterion applies to Allowed: Codes of PM-01 Product catalogue, column Risk code (one or more)"/>
    <dataValidation sqref="G17:G517" showDropDown="0" showInputMessage="1" showErrorMessage="0" allowBlank="1" promptTitle="Effective from / to" prompt="Yes (from). Validity; no overlap with another row of the code"/>
  </dataValidations>
  <hyperlinks>
    <hyperlink ref="A2" location="'Start here'!A1"/>
    <hyperlink ref="G2" location="'Questions and comments'!A1"/>
    <hyperlink ref="B8" location="'PM-09 Lists and parameters'!A1"/>
    <hyperlink ref="C8" location="'PM-01 Product catalogue'!A1"/>
    <hyperlink ref="C14" location="'Reference lists'!A138"/>
    <hyperlink ref="F14" location="'PM-01 Product catalogue'!H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2" customWidth="1" min="3" max="3"/>
    <col width="19" customWidth="1" min="4" max="4"/>
    <col width="38" customWidth="1" min="5" max="5"/>
    <col width="28" customWidth="1" min="6" max="6"/>
    <col width="24" customWidth="1" min="7" max="7"/>
  </cols>
  <sheetData>
    <row r="1" ht="26" customHeight="1">
      <c r="A1" s="27" t="inlineStr">
        <is>
          <t>UA-03 Approvers, approval rules and limits</t>
        </is>
      </c>
      <c r="G1" s="28" t="inlineStr">
        <is>
          <t>Step 24 of 31</t>
        </is>
      </c>
    </row>
    <row r="2">
      <c r="A2" s="29" t="inlineStr">
        <is>
          <t>← Back to Start here</t>
        </is>
      </c>
      <c r="B2" s="30" t="inlineStr">
        <is>
          <t>Step 24 of 31. Fill in one row per record below the column headers; the guide above each column says what to enter.</t>
        </is>
      </c>
      <c r="G2" s="31" t="inlineStr">
        <is>
          <t>Ask a question →</t>
        </is>
      </c>
    </row>
    <row r="3" outlineLevel="1" ht="28" customHeight="1">
      <c r="A3" s="32" t="inlineStr">
        <is>
          <t>Purpose</t>
        </is>
      </c>
      <c r="B3" s="33" t="inlineStr">
        <is>
          <t>Who requests and who approves user access, the order of the approvers of group-profile requests, the second approvers, the implementers, and the authorisation limits of the users whose work other modules approve by amount</t>
        </is>
      </c>
    </row>
    <row r="4" outlineLevel="1" ht="15.5" customHeight="1">
      <c r="A4" s="32" t="inlineStr">
        <is>
          <t>Provided by</t>
        </is>
      </c>
      <c r="B4" s="33" t="inlineStr">
        <is>
          <t>Business Administration; BDOI Information Security for the second approval; Comptrollership for the authorisation limits</t>
        </is>
      </c>
    </row>
    <row r="5" outlineLevel="1" ht="15.5" customHeight="1">
      <c r="A5" s="32" t="inlineStr">
        <is>
          <t>Due</t>
        </is>
      </c>
      <c r="B5" s="34" t="inlineStr">
        <is>
          <t>16-Jul-2027 – Values for UAT</t>
        </is>
      </c>
    </row>
    <row r="6" outlineLevel="1" ht="40.5" customHeight="1">
      <c r="A6" s="32" t="inlineStr">
        <is>
          <t>How it is loaded</t>
        </is>
      </c>
      <c r="B6" s="33" t="inlineStr">
        <is>
          <t>The users are given the Requestor, Approver, Second Approver and System Administrator profiles by requests (CI-01); the approvers are chosen on each request; UAM_ANY_APPROVER is set on System Parameters. The authorisation limit is set by an Enrol new user or Modify user request (field Authorisation Limit) decided by an approver; the bulk file has no limit column, so the limits are requested after the users are loaded</t>
        </is>
      </c>
    </row>
    <row r="7" outlineLevel="1" ht="15.5" customHeight="1">
      <c r="A7" s="32" t="inlineStr">
        <is>
          <t>Source</t>
        </is>
      </c>
      <c r="B7" s="33" t="inlineStr">
        <is>
          <t>BDOI's approval matrix (UQ01, UQ02)</t>
        </is>
      </c>
    </row>
    <row r="8" outlineLevel="1" ht="26" customHeight="1">
      <c r="A8" s="32" t="inlineStr">
        <is>
          <t>Depends on</t>
        </is>
      </c>
      <c r="B8" s="55" t="inlineStr">
        <is>
          <t>UA-01 Users and roles load →</t>
        </is>
      </c>
    </row>
    <row r="9" ht="26" customHeight="1">
      <c r="A9" s="36" t="inlineStr">
        <is>
          <t>Progress</t>
        </is>
      </c>
      <c r="B9" s="37" t="inlineStr">
        <is>
          <t>Rows entered</t>
        </is>
      </c>
      <c r="C9" s="38">
        <f>SUMPRODUCT(((ROW($B$17:$B$517)&gt;17)+($B$17&lt;&gt;"Approver")&gt;0)*(LEN($B$17:$B$517&amp;$C$17:$C$517&amp;$D$17:$D$517&amp;$E$17:$E$517&amp;$F$17:$F$517&amp;$G$17:$G$517)&gt;0))</f>
        <v/>
      </c>
      <c r="D9" s="37" t="inlineStr">
        <is>
          <t>Mandatory cells missing</t>
        </is>
      </c>
      <c r="E9" s="38">
        <f>SUMPRODUCT(((ROW($B$17:$B$517)&gt;17)+($B$17&lt;&gt;"Approver")&gt;0)*(LEN($B$17:$B$517&amp;$C$17:$C$517&amp;$D$17:$D$517&amp;$E$17:$E$517&amp;$F$17:$F$517&amp;$G$17:$G$517)&gt;0)*(($B$17:$B$517="")+($C$17:$C$517="")+($D$17:$D$517="")))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t>
        </is>
      </c>
      <c r="E12" s="45" t="inlineStr">
        <is>
          <t>Conditional: Approver</t>
        </is>
      </c>
      <c r="F12" s="45" t="inlineStr">
        <is>
          <t>No</t>
        </is>
      </c>
      <c r="G12" s="45" t="inlineStr">
        <is>
          <t>No</t>
        </is>
      </c>
    </row>
    <row r="13" ht="43" customHeight="1">
      <c r="A13" s="43" t="inlineStr">
        <is>
          <t>Format</t>
        </is>
      </c>
      <c r="B13" s="45" t="inlineStr">
        <is>
          <t>Requestor, Approver, Second Approver, Group-profile requester, Implementer</t>
        </is>
      </c>
      <c r="C13" s="45" t="inlineStr">
        <is>
          <t>User ID of CI-01</t>
        </is>
      </c>
      <c r="D13" s="45" t="inlineStr">
        <is>
          <t>Business unit</t>
        </is>
      </c>
      <c r="E13" s="45" t="inlineStr">
        <is>
          <t>1, 2, 3</t>
        </is>
      </c>
      <c r="F13" s="45" t="inlineStr">
        <is>
          <t>Y or N</t>
        </is>
      </c>
      <c r="G13" s="45" t="inlineStr">
        <is>
          <t>Amount in PHP; blank = unlimited</t>
        </is>
      </c>
    </row>
    <row r="14" ht="56" customHeight="1">
      <c r="A14" s="43" t="inlineStr">
        <is>
          <t>Allowed values</t>
        </is>
      </c>
      <c r="B14" s="53" t="inlineStr">
        <is>
          <t>Requestor, Approver, Second Approver, Group-profile requester, Implementer (list Role in user access)</t>
        </is>
      </c>
      <c r="C14" s="53" t="inlineStr">
        <is>
          <t>A code of UA-01 Users and roles load, column User ID</t>
        </is>
      </c>
      <c r="D14" s="45" t="inlineStr">
        <is>
          <t>Free entry</t>
        </is>
      </c>
      <c r="E14" s="45" t="inlineStr">
        <is>
          <t>A whole number from 1 to 9</t>
        </is>
      </c>
      <c r="F14" s="45" t="inlineStr">
        <is>
          <t>Y or N</t>
        </is>
      </c>
      <c r="G14" s="45" t="inlineStr">
        <is>
          <t>A number</t>
        </is>
      </c>
    </row>
    <row r="15" ht="56" customHeight="1">
      <c r="A15" s="43" t="inlineStr">
        <is>
          <t>What to enter</t>
        </is>
      </c>
      <c r="B15" s="45" t="inlineStr">
        <is>
          <t>The user access role of the user</t>
        </is>
      </c>
      <c r="C15" s="45" t="inlineStr">
        <is>
          <t>The user who holds the role</t>
        </is>
      </c>
      <c r="D15" s="45" t="inlineStr">
        <is>
          <t>Unit the user requests or approves for</t>
        </is>
      </c>
      <c r="E15" s="45" t="inlineStr">
        <is>
          <t>Usual order of the approvers of a group-profile request</t>
        </is>
      </c>
      <c r="F15" s="45" t="inlineStr">
        <is>
          <t>Y sets UAM_ANY_APPROVER: any approver decides any request, not only the chosen one</t>
        </is>
      </c>
      <c r="G15" s="45" t="inlineStr">
        <is>
          <t>Limit of the user's approvals by amount in the modules that use it (journals, payables)</t>
        </is>
      </c>
    </row>
    <row r="16" ht="30" customHeight="1">
      <c r="A16" s="46" t="inlineStr">
        <is>
          <t>Row</t>
        </is>
      </c>
      <c r="B16" s="47" t="inlineStr">
        <is>
          <t>Role in user access *</t>
        </is>
      </c>
      <c r="C16" s="47" t="inlineStr">
        <is>
          <t>User ID *</t>
        </is>
      </c>
      <c r="D16" s="47" t="inlineStr">
        <is>
          <t>Unit *</t>
        </is>
      </c>
      <c r="E16" s="47" t="inlineStr">
        <is>
          <t>Approver order for group profiles</t>
        </is>
      </c>
      <c r="F16" s="47" t="inlineStr">
        <is>
          <t>Any approver may decide</t>
        </is>
      </c>
      <c r="G16" s="47" t="inlineStr">
        <is>
          <t>Authorisation limit</t>
        </is>
      </c>
    </row>
    <row r="17" ht="18" customHeight="1">
      <c r="A17" s="48" t="inlineStr">
        <is>
          <t>Example – overwrite or delete</t>
        </is>
      </c>
      <c r="B17" s="49" t="inlineStr">
        <is>
          <t>Approver</t>
        </is>
      </c>
      <c r="C17" s="49" t="inlineStr">
        <is>
          <t>a013000205</t>
        </is>
      </c>
      <c r="D17" s="49" t="inlineStr">
        <is>
          <t>Combank Marketing</t>
        </is>
      </c>
      <c r="E17" s="54" t="n">
        <v>1</v>
      </c>
      <c r="F17" s="49" t="inlineStr">
        <is>
          <t>N</t>
        </is>
      </c>
      <c r="G17" s="54" t="n">
        <v>500000</v>
      </c>
    </row>
    <row r="18">
      <c r="B18" s="51" t="n"/>
      <c r="C18" s="51" t="n"/>
      <c r="D18" s="51" t="n"/>
      <c r="F18" s="51" t="n"/>
    </row>
    <row r="19">
      <c r="B19" s="51" t="n"/>
      <c r="C19" s="51" t="n"/>
      <c r="D19" s="51" t="n"/>
      <c r="F19" s="51" t="n"/>
    </row>
    <row r="20">
      <c r="B20" s="51" t="n"/>
      <c r="C20" s="51" t="n"/>
      <c r="D20" s="51" t="n"/>
      <c r="F20" s="51" t="n"/>
    </row>
    <row r="21">
      <c r="B21" s="51" t="n"/>
      <c r="C21" s="51" t="n"/>
      <c r="D21" s="51" t="n"/>
      <c r="F21" s="51" t="n"/>
    </row>
    <row r="22">
      <c r="B22" s="51" t="n"/>
      <c r="C22" s="51" t="n"/>
      <c r="D22" s="51" t="n"/>
      <c r="F22" s="51" t="n"/>
    </row>
    <row r="23">
      <c r="B23" s="51" t="n"/>
      <c r="C23" s="51" t="n"/>
      <c r="D23" s="51" t="n"/>
      <c r="F23" s="51" t="n"/>
    </row>
    <row r="24">
      <c r="B24" s="51" t="n"/>
      <c r="C24" s="51" t="n"/>
      <c r="D24" s="51" t="n"/>
      <c r="F24" s="51" t="n"/>
    </row>
    <row r="25">
      <c r="B25" s="51" t="n"/>
      <c r="C25" s="51" t="n"/>
      <c r="D25" s="51" t="n"/>
      <c r="F25" s="51" t="n"/>
    </row>
    <row r="26">
      <c r="B26" s="51" t="n"/>
      <c r="C26" s="51" t="n"/>
      <c r="D26" s="51" t="n"/>
      <c r="F26" s="51" t="n"/>
    </row>
    <row r="27">
      <c r="B27" s="51" t="n"/>
      <c r="C27" s="51" t="n"/>
      <c r="D27" s="51" t="n"/>
      <c r="F27" s="51" t="n"/>
    </row>
    <row r="28">
      <c r="B28" s="51" t="n"/>
      <c r="C28" s="51" t="n"/>
      <c r="D28" s="51" t="n"/>
      <c r="F28" s="51" t="n"/>
    </row>
    <row r="29">
      <c r="B29" s="51" t="n"/>
      <c r="C29" s="51" t="n"/>
      <c r="D29" s="51" t="n"/>
      <c r="F29" s="51" t="n"/>
    </row>
    <row r="30">
      <c r="B30" s="51" t="n"/>
      <c r="C30" s="51" t="n"/>
      <c r="D30" s="51" t="n"/>
      <c r="F30" s="51" t="n"/>
    </row>
    <row r="31">
      <c r="B31" s="51" t="n"/>
      <c r="C31" s="51" t="n"/>
      <c r="D31" s="51" t="n"/>
      <c r="F31" s="51" t="n"/>
    </row>
    <row r="32">
      <c r="B32" s="51" t="n"/>
      <c r="C32" s="51" t="n"/>
      <c r="D32" s="51" t="n"/>
      <c r="F32" s="51" t="n"/>
    </row>
    <row r="33">
      <c r="B33" s="51" t="n"/>
      <c r="C33" s="51" t="n"/>
      <c r="D33" s="51" t="n"/>
      <c r="F33" s="51" t="n"/>
    </row>
    <row r="34">
      <c r="B34" s="51" t="n"/>
      <c r="C34" s="51" t="n"/>
      <c r="D34" s="51" t="n"/>
      <c r="F34" s="51" t="n"/>
    </row>
    <row r="35">
      <c r="B35" s="51" t="n"/>
      <c r="C35" s="51" t="n"/>
      <c r="D35" s="51" t="n"/>
      <c r="F35" s="51" t="n"/>
    </row>
    <row r="36">
      <c r="B36" s="51" t="n"/>
      <c r="C36" s="51" t="n"/>
      <c r="D36" s="51" t="n"/>
      <c r="F36" s="51" t="n"/>
    </row>
    <row r="37">
      <c r="B37" s="51" t="n"/>
      <c r="C37" s="51" t="n"/>
      <c r="D37" s="51" t="n"/>
      <c r="F37" s="51" t="n"/>
    </row>
    <row r="38">
      <c r="B38" s="51" t="n"/>
      <c r="C38" s="51" t="n"/>
      <c r="D38" s="51" t="n"/>
      <c r="F38" s="51" t="n"/>
    </row>
    <row r="39">
      <c r="B39" s="51" t="n"/>
      <c r="C39" s="51" t="n"/>
      <c r="D39" s="51" t="n"/>
      <c r="F39" s="51" t="n"/>
    </row>
    <row r="40">
      <c r="B40" s="51" t="n"/>
      <c r="C40" s="51" t="n"/>
      <c r="D40" s="51" t="n"/>
      <c r="F40" s="51" t="n"/>
    </row>
    <row r="41">
      <c r="B41" s="51" t="n"/>
      <c r="C41" s="51" t="n"/>
      <c r="D41" s="51" t="n"/>
      <c r="F41" s="51" t="n"/>
    </row>
    <row r="42">
      <c r="B42" s="51" t="n"/>
      <c r="C42" s="51" t="n"/>
      <c r="D42" s="51" t="n"/>
      <c r="F42" s="51" t="n"/>
    </row>
    <row r="43">
      <c r="B43" s="51" t="n"/>
      <c r="C43" s="51" t="n"/>
      <c r="D43" s="51" t="n"/>
      <c r="F43" s="51" t="n"/>
    </row>
    <row r="44">
      <c r="B44" s="51" t="n"/>
      <c r="C44" s="51" t="n"/>
      <c r="D44" s="51" t="n"/>
      <c r="F44" s="51" t="n"/>
    </row>
    <row r="45">
      <c r="B45" s="51" t="n"/>
      <c r="C45" s="51" t="n"/>
      <c r="D45" s="51" t="n"/>
      <c r="F45" s="51" t="n"/>
    </row>
    <row r="46">
      <c r="B46" s="51" t="n"/>
      <c r="C46" s="51" t="n"/>
      <c r="D46" s="51" t="n"/>
      <c r="F46" s="51" t="n"/>
    </row>
    <row r="47">
      <c r="B47" s="51" t="n"/>
      <c r="C47" s="51" t="n"/>
      <c r="D47" s="51" t="n"/>
      <c r="F47" s="51" t="n"/>
    </row>
    <row r="48">
      <c r="B48" s="51" t="n"/>
      <c r="C48" s="51" t="n"/>
      <c r="D48" s="51" t="n"/>
      <c r="F48" s="51" t="n"/>
    </row>
    <row r="49">
      <c r="B49" s="51" t="n"/>
      <c r="C49" s="51" t="n"/>
      <c r="D49" s="51" t="n"/>
      <c r="F49" s="51" t="n"/>
    </row>
    <row r="50">
      <c r="B50" s="51" t="n"/>
      <c r="C50" s="51" t="n"/>
      <c r="D50" s="51" t="n"/>
      <c r="F50" s="51" t="n"/>
    </row>
    <row r="51">
      <c r="B51" s="51" t="n"/>
      <c r="C51" s="51" t="n"/>
      <c r="D51" s="51" t="n"/>
      <c r="F51" s="51" t="n"/>
    </row>
    <row r="52">
      <c r="B52" s="51" t="n"/>
      <c r="C52" s="51" t="n"/>
      <c r="D52" s="51" t="n"/>
      <c r="F52" s="51" t="n"/>
    </row>
    <row r="53">
      <c r="B53" s="51" t="n"/>
      <c r="C53" s="51" t="n"/>
      <c r="D53" s="51" t="n"/>
      <c r="F53" s="51" t="n"/>
    </row>
    <row r="54">
      <c r="B54" s="51" t="n"/>
      <c r="C54" s="51" t="n"/>
      <c r="D54" s="51" t="n"/>
      <c r="F54" s="51" t="n"/>
    </row>
    <row r="55">
      <c r="B55" s="51" t="n"/>
      <c r="C55" s="51" t="n"/>
      <c r="D55" s="51" t="n"/>
      <c r="F55" s="51" t="n"/>
    </row>
    <row r="56">
      <c r="B56" s="51" t="n"/>
      <c r="C56" s="51" t="n"/>
      <c r="D56" s="51" t="n"/>
      <c r="F56" s="51" t="n"/>
    </row>
    <row r="57">
      <c r="B57" s="51" t="n"/>
      <c r="C57" s="51" t="n"/>
      <c r="D57" s="51" t="n"/>
      <c r="F57" s="51" t="n"/>
    </row>
    <row r="58">
      <c r="B58" s="51" t="n"/>
      <c r="C58" s="51" t="n"/>
      <c r="D58" s="51" t="n"/>
      <c r="F58" s="51" t="n"/>
    </row>
    <row r="59">
      <c r="B59" s="51" t="n"/>
      <c r="C59" s="51" t="n"/>
      <c r="D59" s="51" t="n"/>
      <c r="F59" s="51" t="n"/>
    </row>
    <row r="60">
      <c r="B60" s="51" t="n"/>
      <c r="C60" s="51" t="n"/>
      <c r="D60" s="51" t="n"/>
      <c r="F60" s="51" t="n"/>
    </row>
    <row r="61">
      <c r="B61" s="51" t="n"/>
      <c r="C61" s="51" t="n"/>
      <c r="D61" s="51" t="n"/>
      <c r="F61" s="51" t="n"/>
    </row>
    <row r="62">
      <c r="B62" s="51" t="n"/>
      <c r="C62" s="51" t="n"/>
      <c r="D62" s="51" t="n"/>
      <c r="F62" s="51" t="n"/>
    </row>
    <row r="63">
      <c r="B63" s="51" t="n"/>
      <c r="C63" s="51" t="n"/>
      <c r="D63" s="51" t="n"/>
      <c r="F63" s="51" t="n"/>
    </row>
    <row r="64">
      <c r="B64" s="51" t="n"/>
      <c r="C64" s="51" t="n"/>
      <c r="D64" s="51" t="n"/>
      <c r="F64" s="51" t="n"/>
    </row>
    <row r="65">
      <c r="B65" s="51" t="n"/>
      <c r="C65" s="51" t="n"/>
      <c r="D65" s="51" t="n"/>
      <c r="F65" s="51" t="n"/>
    </row>
    <row r="66">
      <c r="B66" s="51" t="n"/>
      <c r="C66" s="51" t="n"/>
      <c r="D66" s="51" t="n"/>
      <c r="F66" s="51" t="n"/>
    </row>
    <row r="67">
      <c r="B67" s="51" t="n"/>
      <c r="C67" s="51" t="n"/>
      <c r="D67" s="51" t="n"/>
      <c r="F67" s="51" t="n"/>
    </row>
    <row r="68">
      <c r="B68" s="51" t="n"/>
      <c r="C68" s="51" t="n"/>
      <c r="D68" s="51" t="n"/>
      <c r="F68" s="51" t="n"/>
    </row>
    <row r="69">
      <c r="B69" s="51" t="n"/>
      <c r="C69" s="51" t="n"/>
      <c r="D69" s="51" t="n"/>
      <c r="F69" s="51" t="n"/>
    </row>
    <row r="70">
      <c r="B70" s="51" t="n"/>
      <c r="C70" s="51" t="n"/>
      <c r="D70" s="51" t="n"/>
      <c r="F70" s="51" t="n"/>
    </row>
    <row r="71">
      <c r="B71" s="51" t="n"/>
      <c r="C71" s="51" t="n"/>
      <c r="D71" s="51" t="n"/>
      <c r="F71" s="51" t="n"/>
    </row>
    <row r="72">
      <c r="B72" s="51" t="n"/>
      <c r="C72" s="51" t="n"/>
      <c r="D72" s="51" t="n"/>
      <c r="F72" s="51" t="n"/>
    </row>
    <row r="73">
      <c r="B73" s="51" t="n"/>
      <c r="C73" s="51" t="n"/>
      <c r="D73" s="51" t="n"/>
      <c r="F73" s="51" t="n"/>
    </row>
    <row r="74">
      <c r="B74" s="51" t="n"/>
      <c r="C74" s="51" t="n"/>
      <c r="D74" s="51" t="n"/>
      <c r="F74" s="51" t="n"/>
    </row>
    <row r="75">
      <c r="B75" s="51" t="n"/>
      <c r="C75" s="51" t="n"/>
      <c r="D75" s="51" t="n"/>
      <c r="F75" s="51" t="n"/>
    </row>
    <row r="76">
      <c r="B76" s="51" t="n"/>
      <c r="C76" s="51" t="n"/>
      <c r="D76" s="51" t="n"/>
      <c r="F76" s="51" t="n"/>
    </row>
    <row r="77">
      <c r="B77" s="51" t="n"/>
      <c r="C77" s="51" t="n"/>
      <c r="D77" s="51" t="n"/>
      <c r="F77" s="51" t="n"/>
    </row>
    <row r="78">
      <c r="B78" s="51" t="n"/>
      <c r="C78" s="51" t="n"/>
      <c r="D78" s="51" t="n"/>
      <c r="F78" s="51" t="n"/>
    </row>
    <row r="79">
      <c r="B79" s="51" t="n"/>
      <c r="C79" s="51" t="n"/>
      <c r="D79" s="51" t="n"/>
      <c r="F79" s="51" t="n"/>
    </row>
    <row r="80">
      <c r="B80" s="51" t="n"/>
      <c r="C80" s="51" t="n"/>
      <c r="D80" s="51" t="n"/>
      <c r="F80" s="51" t="n"/>
    </row>
    <row r="81">
      <c r="B81" s="51" t="n"/>
      <c r="C81" s="51" t="n"/>
      <c r="D81" s="51" t="n"/>
      <c r="F81" s="51" t="n"/>
    </row>
    <row r="82">
      <c r="B82" s="51" t="n"/>
      <c r="C82" s="51" t="n"/>
      <c r="D82" s="51" t="n"/>
      <c r="F82" s="51" t="n"/>
    </row>
    <row r="83">
      <c r="B83" s="51" t="n"/>
      <c r="C83" s="51" t="n"/>
      <c r="D83" s="51" t="n"/>
      <c r="F83" s="51" t="n"/>
    </row>
    <row r="84">
      <c r="B84" s="51" t="n"/>
      <c r="C84" s="51" t="n"/>
      <c r="D84" s="51" t="n"/>
      <c r="F84" s="51" t="n"/>
    </row>
    <row r="85">
      <c r="B85" s="51" t="n"/>
      <c r="C85" s="51" t="n"/>
      <c r="D85" s="51" t="n"/>
      <c r="F85" s="51" t="n"/>
    </row>
    <row r="86">
      <c r="B86" s="51" t="n"/>
      <c r="C86" s="51" t="n"/>
      <c r="D86" s="51" t="n"/>
      <c r="F86" s="51" t="n"/>
    </row>
    <row r="87">
      <c r="B87" s="51" t="n"/>
      <c r="C87" s="51" t="n"/>
      <c r="D87" s="51" t="n"/>
      <c r="F87" s="51" t="n"/>
    </row>
    <row r="88">
      <c r="B88" s="51" t="n"/>
      <c r="C88" s="51" t="n"/>
      <c r="D88" s="51" t="n"/>
      <c r="F88" s="51" t="n"/>
    </row>
    <row r="89">
      <c r="B89" s="51" t="n"/>
      <c r="C89" s="51" t="n"/>
      <c r="D89" s="51" t="n"/>
      <c r="F89" s="51" t="n"/>
    </row>
    <row r="90">
      <c r="B90" s="51" t="n"/>
      <c r="C90" s="51" t="n"/>
      <c r="D90" s="51" t="n"/>
      <c r="F90" s="51" t="n"/>
    </row>
    <row r="91">
      <c r="B91" s="51" t="n"/>
      <c r="C91" s="51" t="n"/>
      <c r="D91" s="51" t="n"/>
      <c r="F91" s="51" t="n"/>
    </row>
    <row r="92">
      <c r="B92" s="51" t="n"/>
      <c r="C92" s="51" t="n"/>
      <c r="D92" s="51" t="n"/>
      <c r="F92" s="51" t="n"/>
    </row>
    <row r="93">
      <c r="B93" s="51" t="n"/>
      <c r="C93" s="51" t="n"/>
      <c r="D93" s="51" t="n"/>
      <c r="F93" s="51" t="n"/>
    </row>
    <row r="94">
      <c r="B94" s="51" t="n"/>
      <c r="C94" s="51" t="n"/>
      <c r="D94" s="51" t="n"/>
      <c r="F94" s="51" t="n"/>
    </row>
    <row r="95">
      <c r="B95" s="51" t="n"/>
      <c r="C95" s="51" t="n"/>
      <c r="D95" s="51" t="n"/>
      <c r="F95" s="51" t="n"/>
    </row>
    <row r="96">
      <c r="B96" s="51" t="n"/>
      <c r="C96" s="51" t="n"/>
      <c r="D96" s="51" t="n"/>
      <c r="F96" s="51" t="n"/>
    </row>
    <row r="97">
      <c r="B97" s="51" t="n"/>
      <c r="C97" s="51" t="n"/>
      <c r="D97" s="51" t="n"/>
      <c r="F97" s="51" t="n"/>
    </row>
    <row r="98">
      <c r="B98" s="51" t="n"/>
      <c r="C98" s="51" t="n"/>
      <c r="D98" s="51" t="n"/>
      <c r="F98" s="51" t="n"/>
    </row>
    <row r="99">
      <c r="B99" s="51" t="n"/>
      <c r="C99" s="51" t="n"/>
      <c r="D99" s="51" t="n"/>
      <c r="F99" s="51" t="n"/>
    </row>
    <row r="100">
      <c r="B100" s="51" t="n"/>
      <c r="C100" s="51" t="n"/>
      <c r="D100" s="51" t="n"/>
      <c r="F100" s="51" t="n"/>
    </row>
    <row r="101">
      <c r="B101" s="51" t="n"/>
      <c r="C101" s="51" t="n"/>
      <c r="D101" s="51" t="n"/>
      <c r="F101" s="51" t="n"/>
    </row>
    <row r="102">
      <c r="B102" s="51" t="n"/>
      <c r="C102" s="51" t="n"/>
      <c r="D102" s="51" t="n"/>
      <c r="F102" s="51" t="n"/>
    </row>
    <row r="103">
      <c r="B103" s="51" t="n"/>
      <c r="C103" s="51" t="n"/>
      <c r="D103" s="51" t="n"/>
      <c r="F103" s="51" t="n"/>
    </row>
    <row r="104">
      <c r="B104" s="51" t="n"/>
      <c r="C104" s="51" t="n"/>
      <c r="D104" s="51" t="n"/>
      <c r="F104" s="51" t="n"/>
    </row>
    <row r="105">
      <c r="B105" s="51" t="n"/>
      <c r="C105" s="51" t="n"/>
      <c r="D105" s="51" t="n"/>
      <c r="F105" s="51" t="n"/>
    </row>
    <row r="106">
      <c r="B106" s="51" t="n"/>
      <c r="C106" s="51" t="n"/>
      <c r="D106" s="51" t="n"/>
      <c r="F106" s="51" t="n"/>
    </row>
    <row r="107">
      <c r="B107" s="51" t="n"/>
      <c r="C107" s="51" t="n"/>
      <c r="D107" s="51" t="n"/>
      <c r="F107" s="51" t="n"/>
    </row>
    <row r="108">
      <c r="B108" s="51" t="n"/>
      <c r="C108" s="51" t="n"/>
      <c r="D108" s="51" t="n"/>
      <c r="F108" s="51" t="n"/>
    </row>
    <row r="109">
      <c r="B109" s="51" t="n"/>
      <c r="C109" s="51" t="n"/>
      <c r="D109" s="51" t="n"/>
      <c r="F109" s="51" t="n"/>
    </row>
    <row r="110">
      <c r="B110" s="51" t="n"/>
      <c r="C110" s="51" t="n"/>
      <c r="D110" s="51" t="n"/>
      <c r="F110" s="51" t="n"/>
    </row>
    <row r="111">
      <c r="B111" s="51" t="n"/>
      <c r="C111" s="51" t="n"/>
      <c r="D111" s="51" t="n"/>
      <c r="F111" s="51" t="n"/>
    </row>
    <row r="112">
      <c r="B112" s="51" t="n"/>
      <c r="C112" s="51" t="n"/>
      <c r="D112" s="51" t="n"/>
      <c r="F112" s="51" t="n"/>
    </row>
    <row r="113">
      <c r="B113" s="51" t="n"/>
      <c r="C113" s="51" t="n"/>
      <c r="D113" s="51" t="n"/>
      <c r="F113" s="51" t="n"/>
    </row>
    <row r="114">
      <c r="B114" s="51" t="n"/>
      <c r="C114" s="51" t="n"/>
      <c r="D114" s="51" t="n"/>
      <c r="F114" s="51" t="n"/>
    </row>
    <row r="115">
      <c r="B115" s="51" t="n"/>
      <c r="C115" s="51" t="n"/>
      <c r="D115" s="51" t="n"/>
      <c r="F115" s="51" t="n"/>
    </row>
    <row r="116">
      <c r="B116" s="51" t="n"/>
      <c r="C116" s="51" t="n"/>
      <c r="D116" s="51" t="n"/>
      <c r="F116" s="51" t="n"/>
    </row>
    <row r="117">
      <c r="B117" s="51" t="n"/>
      <c r="C117" s="51" t="n"/>
      <c r="D117" s="51" t="n"/>
      <c r="F117" s="51" t="n"/>
    </row>
    <row r="118">
      <c r="B118" s="51" t="n"/>
      <c r="C118" s="51" t="n"/>
      <c r="D118" s="51" t="n"/>
      <c r="F118" s="51" t="n"/>
    </row>
    <row r="119">
      <c r="B119" s="51" t="n"/>
      <c r="C119" s="51" t="n"/>
      <c r="D119" s="51" t="n"/>
      <c r="F119" s="51" t="n"/>
    </row>
    <row r="120">
      <c r="B120" s="51" t="n"/>
      <c r="C120" s="51" t="n"/>
      <c r="D120" s="51" t="n"/>
      <c r="F120" s="51" t="n"/>
    </row>
    <row r="121">
      <c r="B121" s="51" t="n"/>
      <c r="C121" s="51" t="n"/>
      <c r="D121" s="51" t="n"/>
      <c r="F121" s="51" t="n"/>
    </row>
    <row r="122">
      <c r="B122" s="51" t="n"/>
      <c r="C122" s="51" t="n"/>
      <c r="D122" s="51" t="n"/>
      <c r="F122" s="51" t="n"/>
    </row>
    <row r="123">
      <c r="B123" s="51" t="n"/>
      <c r="C123" s="51" t="n"/>
      <c r="D123" s="51" t="n"/>
      <c r="F123" s="51" t="n"/>
    </row>
    <row r="124">
      <c r="B124" s="51" t="n"/>
      <c r="C124" s="51" t="n"/>
      <c r="D124" s="51" t="n"/>
      <c r="F124" s="51" t="n"/>
    </row>
    <row r="125">
      <c r="B125" s="51" t="n"/>
      <c r="C125" s="51" t="n"/>
      <c r="D125" s="51" t="n"/>
      <c r="F125" s="51" t="n"/>
    </row>
    <row r="126">
      <c r="B126" s="51" t="n"/>
      <c r="C126" s="51" t="n"/>
      <c r="D126" s="51" t="n"/>
      <c r="F126" s="51" t="n"/>
    </row>
    <row r="127">
      <c r="B127" s="51" t="n"/>
      <c r="C127" s="51" t="n"/>
      <c r="D127" s="51" t="n"/>
      <c r="F127" s="51" t="n"/>
    </row>
    <row r="128">
      <c r="B128" s="51" t="n"/>
      <c r="C128" s="51" t="n"/>
      <c r="D128" s="51" t="n"/>
      <c r="F128" s="51" t="n"/>
    </row>
    <row r="129">
      <c r="B129" s="51" t="n"/>
      <c r="C129" s="51" t="n"/>
      <c r="D129" s="51" t="n"/>
      <c r="F129" s="51" t="n"/>
    </row>
    <row r="130">
      <c r="B130" s="51" t="n"/>
      <c r="C130" s="51" t="n"/>
      <c r="D130" s="51" t="n"/>
      <c r="F130" s="51" t="n"/>
    </row>
    <row r="131">
      <c r="B131" s="51" t="n"/>
      <c r="C131" s="51" t="n"/>
      <c r="D131" s="51" t="n"/>
      <c r="F131" s="51" t="n"/>
    </row>
    <row r="132">
      <c r="B132" s="51" t="n"/>
      <c r="C132" s="51" t="n"/>
      <c r="D132" s="51" t="n"/>
      <c r="F132" s="51" t="n"/>
    </row>
    <row r="133">
      <c r="B133" s="51" t="n"/>
      <c r="C133" s="51" t="n"/>
      <c r="D133" s="51" t="n"/>
      <c r="F133" s="51" t="n"/>
    </row>
    <row r="134">
      <c r="B134" s="51" t="n"/>
      <c r="C134" s="51" t="n"/>
      <c r="D134" s="51" t="n"/>
      <c r="F134" s="51" t="n"/>
    </row>
    <row r="135">
      <c r="B135" s="51" t="n"/>
      <c r="C135" s="51" t="n"/>
      <c r="D135" s="51" t="n"/>
      <c r="F135" s="51" t="n"/>
    </row>
    <row r="136">
      <c r="B136" s="51" t="n"/>
      <c r="C136" s="51" t="n"/>
      <c r="D136" s="51" t="n"/>
      <c r="F136" s="51" t="n"/>
    </row>
    <row r="137">
      <c r="B137" s="51" t="n"/>
      <c r="C137" s="51" t="n"/>
      <c r="D137" s="51" t="n"/>
      <c r="F137" s="51" t="n"/>
    </row>
    <row r="138">
      <c r="B138" s="51" t="n"/>
      <c r="C138" s="51" t="n"/>
      <c r="D138" s="51" t="n"/>
      <c r="F138" s="51" t="n"/>
    </row>
    <row r="139">
      <c r="B139" s="51" t="n"/>
      <c r="C139" s="51" t="n"/>
      <c r="D139" s="51" t="n"/>
      <c r="F139" s="51" t="n"/>
    </row>
    <row r="140">
      <c r="B140" s="51" t="n"/>
      <c r="C140" s="51" t="n"/>
      <c r="D140" s="51" t="n"/>
      <c r="F140" s="51" t="n"/>
    </row>
    <row r="141">
      <c r="B141" s="51" t="n"/>
      <c r="C141" s="51" t="n"/>
      <c r="D141" s="51" t="n"/>
      <c r="F141" s="51" t="n"/>
    </row>
    <row r="142">
      <c r="B142" s="51" t="n"/>
      <c r="C142" s="51" t="n"/>
      <c r="D142" s="51" t="n"/>
      <c r="F142" s="51" t="n"/>
    </row>
    <row r="143">
      <c r="B143" s="51" t="n"/>
      <c r="C143" s="51" t="n"/>
      <c r="D143" s="51" t="n"/>
      <c r="F143" s="51" t="n"/>
    </row>
    <row r="144">
      <c r="B144" s="51" t="n"/>
      <c r="C144" s="51" t="n"/>
      <c r="D144" s="51" t="n"/>
      <c r="F144" s="51" t="n"/>
    </row>
    <row r="145">
      <c r="B145" s="51" t="n"/>
      <c r="C145" s="51" t="n"/>
      <c r="D145" s="51" t="n"/>
      <c r="F145" s="51" t="n"/>
    </row>
    <row r="146">
      <c r="B146" s="51" t="n"/>
      <c r="C146" s="51" t="n"/>
      <c r="D146" s="51" t="n"/>
      <c r="F146" s="51" t="n"/>
    </row>
    <row r="147">
      <c r="B147" s="51" t="n"/>
      <c r="C147" s="51" t="n"/>
      <c r="D147" s="51" t="n"/>
      <c r="F147" s="51" t="n"/>
    </row>
    <row r="148">
      <c r="B148" s="51" t="n"/>
      <c r="C148" s="51" t="n"/>
      <c r="D148" s="51" t="n"/>
      <c r="F148" s="51" t="n"/>
    </row>
    <row r="149">
      <c r="B149" s="51" t="n"/>
      <c r="C149" s="51" t="n"/>
      <c r="D149" s="51" t="n"/>
      <c r="F149" s="51" t="n"/>
    </row>
    <row r="150">
      <c r="B150" s="51" t="n"/>
      <c r="C150" s="51" t="n"/>
      <c r="D150" s="51" t="n"/>
      <c r="F150" s="51" t="n"/>
    </row>
    <row r="151">
      <c r="B151" s="51" t="n"/>
      <c r="C151" s="51" t="n"/>
      <c r="D151" s="51" t="n"/>
      <c r="F151" s="51" t="n"/>
    </row>
    <row r="152">
      <c r="B152" s="51" t="n"/>
      <c r="C152" s="51" t="n"/>
      <c r="D152" s="51" t="n"/>
      <c r="F152" s="51" t="n"/>
    </row>
    <row r="153">
      <c r="B153" s="51" t="n"/>
      <c r="C153" s="51" t="n"/>
      <c r="D153" s="51" t="n"/>
      <c r="F153" s="51" t="n"/>
    </row>
    <row r="154">
      <c r="B154" s="51" t="n"/>
      <c r="C154" s="51" t="n"/>
      <c r="D154" s="51" t="n"/>
      <c r="F154" s="51" t="n"/>
    </row>
    <row r="155">
      <c r="B155" s="51" t="n"/>
      <c r="C155" s="51" t="n"/>
      <c r="D155" s="51" t="n"/>
      <c r="F155" s="51" t="n"/>
    </row>
    <row r="156">
      <c r="B156" s="51" t="n"/>
      <c r="C156" s="51" t="n"/>
      <c r="D156" s="51" t="n"/>
      <c r="F156" s="51" t="n"/>
    </row>
    <row r="157">
      <c r="B157" s="51" t="n"/>
      <c r="C157" s="51" t="n"/>
      <c r="D157" s="51" t="n"/>
      <c r="F157" s="51" t="n"/>
    </row>
    <row r="158">
      <c r="B158" s="51" t="n"/>
      <c r="C158" s="51" t="n"/>
      <c r="D158" s="51" t="n"/>
      <c r="F158" s="51" t="n"/>
    </row>
    <row r="159">
      <c r="B159" s="51" t="n"/>
      <c r="C159" s="51" t="n"/>
      <c r="D159" s="51" t="n"/>
      <c r="F159" s="51" t="n"/>
    </row>
    <row r="160">
      <c r="B160" s="51" t="n"/>
      <c r="C160" s="51" t="n"/>
      <c r="D160" s="51" t="n"/>
      <c r="F160" s="51" t="n"/>
    </row>
    <row r="161">
      <c r="B161" s="51" t="n"/>
      <c r="C161" s="51" t="n"/>
      <c r="D161" s="51" t="n"/>
      <c r="F161" s="51" t="n"/>
    </row>
    <row r="162">
      <c r="B162" s="51" t="n"/>
      <c r="C162" s="51" t="n"/>
      <c r="D162" s="51" t="n"/>
      <c r="F162" s="51" t="n"/>
    </row>
    <row r="163">
      <c r="B163" s="51" t="n"/>
      <c r="C163" s="51" t="n"/>
      <c r="D163" s="51" t="n"/>
      <c r="F163" s="51" t="n"/>
    </row>
    <row r="164">
      <c r="B164" s="51" t="n"/>
      <c r="C164" s="51" t="n"/>
      <c r="D164" s="51" t="n"/>
      <c r="F164" s="51" t="n"/>
    </row>
    <row r="165">
      <c r="B165" s="51" t="n"/>
      <c r="C165" s="51" t="n"/>
      <c r="D165" s="51" t="n"/>
      <c r="F165" s="51" t="n"/>
    </row>
    <row r="166">
      <c r="B166" s="51" t="n"/>
      <c r="C166" s="51" t="n"/>
      <c r="D166" s="51" t="n"/>
      <c r="F166" s="51" t="n"/>
    </row>
    <row r="167">
      <c r="B167" s="51" t="n"/>
      <c r="C167" s="51" t="n"/>
      <c r="D167" s="51" t="n"/>
      <c r="F167" s="51" t="n"/>
    </row>
    <row r="168">
      <c r="B168" s="51" t="n"/>
      <c r="C168" s="51" t="n"/>
      <c r="D168" s="51" t="n"/>
      <c r="F168" s="51" t="n"/>
    </row>
    <row r="169">
      <c r="B169" s="51" t="n"/>
      <c r="C169" s="51" t="n"/>
      <c r="D169" s="51" t="n"/>
      <c r="F169" s="51" t="n"/>
    </row>
    <row r="170">
      <c r="B170" s="51" t="n"/>
      <c r="C170" s="51" t="n"/>
      <c r="D170" s="51" t="n"/>
      <c r="F170" s="51" t="n"/>
    </row>
    <row r="171">
      <c r="B171" s="51" t="n"/>
      <c r="C171" s="51" t="n"/>
      <c r="D171" s="51" t="n"/>
      <c r="F171" s="51" t="n"/>
    </row>
    <row r="172">
      <c r="B172" s="51" t="n"/>
      <c r="C172" s="51" t="n"/>
      <c r="D172" s="51" t="n"/>
      <c r="F172" s="51" t="n"/>
    </row>
    <row r="173">
      <c r="B173" s="51" t="n"/>
      <c r="C173" s="51" t="n"/>
      <c r="D173" s="51" t="n"/>
      <c r="F173" s="51" t="n"/>
    </row>
    <row r="174">
      <c r="B174" s="51" t="n"/>
      <c r="C174" s="51" t="n"/>
      <c r="D174" s="51" t="n"/>
      <c r="F174" s="51" t="n"/>
    </row>
    <row r="175">
      <c r="B175" s="51" t="n"/>
      <c r="C175" s="51" t="n"/>
      <c r="D175" s="51" t="n"/>
      <c r="F175" s="51" t="n"/>
    </row>
    <row r="176">
      <c r="B176" s="51" t="n"/>
      <c r="C176" s="51" t="n"/>
      <c r="D176" s="51" t="n"/>
      <c r="F176" s="51" t="n"/>
    </row>
    <row r="177">
      <c r="B177" s="51" t="n"/>
      <c r="C177" s="51" t="n"/>
      <c r="D177" s="51" t="n"/>
      <c r="F177" s="51" t="n"/>
    </row>
    <row r="178">
      <c r="B178" s="51" t="n"/>
      <c r="C178" s="51" t="n"/>
      <c r="D178" s="51" t="n"/>
      <c r="F178" s="51" t="n"/>
    </row>
    <row r="179">
      <c r="B179" s="51" t="n"/>
      <c r="C179" s="51" t="n"/>
      <c r="D179" s="51" t="n"/>
      <c r="F179" s="51" t="n"/>
    </row>
    <row r="180">
      <c r="B180" s="51" t="n"/>
      <c r="C180" s="51" t="n"/>
      <c r="D180" s="51" t="n"/>
      <c r="F180" s="51" t="n"/>
    </row>
    <row r="181">
      <c r="B181" s="51" t="n"/>
      <c r="C181" s="51" t="n"/>
      <c r="D181" s="51" t="n"/>
      <c r="F181" s="51" t="n"/>
    </row>
    <row r="182">
      <c r="B182" s="51" t="n"/>
      <c r="C182" s="51" t="n"/>
      <c r="D182" s="51" t="n"/>
      <c r="F182" s="51" t="n"/>
    </row>
    <row r="183">
      <c r="B183" s="51" t="n"/>
      <c r="C183" s="51" t="n"/>
      <c r="D183" s="51" t="n"/>
      <c r="F183" s="51" t="n"/>
    </row>
    <row r="184">
      <c r="B184" s="51" t="n"/>
      <c r="C184" s="51" t="n"/>
      <c r="D184" s="51" t="n"/>
      <c r="F184" s="51" t="n"/>
    </row>
    <row r="185">
      <c r="B185" s="51" t="n"/>
      <c r="C185" s="51" t="n"/>
      <c r="D185" s="51" t="n"/>
      <c r="F185" s="51" t="n"/>
    </row>
    <row r="186">
      <c r="B186" s="51" t="n"/>
      <c r="C186" s="51" t="n"/>
      <c r="D186" s="51" t="n"/>
      <c r="F186" s="51" t="n"/>
    </row>
    <row r="187">
      <c r="B187" s="51" t="n"/>
      <c r="C187" s="51" t="n"/>
      <c r="D187" s="51" t="n"/>
      <c r="F187" s="51" t="n"/>
    </row>
    <row r="188">
      <c r="B188" s="51" t="n"/>
      <c r="C188" s="51" t="n"/>
      <c r="D188" s="51" t="n"/>
      <c r="F188" s="51" t="n"/>
    </row>
    <row r="189">
      <c r="B189" s="51" t="n"/>
      <c r="C189" s="51" t="n"/>
      <c r="D189" s="51" t="n"/>
      <c r="F189" s="51" t="n"/>
    </row>
    <row r="190">
      <c r="B190" s="51" t="n"/>
      <c r="C190" s="51" t="n"/>
      <c r="D190" s="51" t="n"/>
      <c r="F190" s="51" t="n"/>
    </row>
    <row r="191">
      <c r="B191" s="51" t="n"/>
      <c r="C191" s="51" t="n"/>
      <c r="D191" s="51" t="n"/>
      <c r="F191" s="51" t="n"/>
    </row>
    <row r="192">
      <c r="B192" s="51" t="n"/>
      <c r="C192" s="51" t="n"/>
      <c r="D192" s="51" t="n"/>
      <c r="F192" s="51" t="n"/>
    </row>
    <row r="193">
      <c r="B193" s="51" t="n"/>
      <c r="C193" s="51" t="n"/>
      <c r="D193" s="51" t="n"/>
      <c r="F193" s="51" t="n"/>
    </row>
    <row r="194">
      <c r="B194" s="51" t="n"/>
      <c r="C194" s="51" t="n"/>
      <c r="D194" s="51" t="n"/>
      <c r="F194" s="51" t="n"/>
    </row>
    <row r="195">
      <c r="B195" s="51" t="n"/>
      <c r="C195" s="51" t="n"/>
      <c r="D195" s="51" t="n"/>
      <c r="F195" s="51" t="n"/>
    </row>
    <row r="196">
      <c r="B196" s="51" t="n"/>
      <c r="C196" s="51" t="n"/>
      <c r="D196" s="51" t="n"/>
      <c r="F196" s="51" t="n"/>
    </row>
    <row r="197">
      <c r="B197" s="51" t="n"/>
      <c r="C197" s="51" t="n"/>
      <c r="D197" s="51" t="n"/>
      <c r="F197" s="51" t="n"/>
    </row>
    <row r="198">
      <c r="B198" s="51" t="n"/>
      <c r="C198" s="51" t="n"/>
      <c r="D198" s="51" t="n"/>
      <c r="F198" s="51" t="n"/>
    </row>
    <row r="199">
      <c r="B199" s="51" t="n"/>
      <c r="C199" s="51" t="n"/>
      <c r="D199" s="51" t="n"/>
      <c r="F199" s="51" t="n"/>
    </row>
    <row r="200">
      <c r="B200" s="51" t="n"/>
      <c r="C200" s="51" t="n"/>
      <c r="D200" s="51" t="n"/>
      <c r="F200" s="51" t="n"/>
    </row>
    <row r="201">
      <c r="B201" s="51" t="n"/>
      <c r="C201" s="51" t="n"/>
      <c r="D201" s="51" t="n"/>
      <c r="F201" s="51" t="n"/>
    </row>
    <row r="202">
      <c r="B202" s="51" t="n"/>
      <c r="C202" s="51" t="n"/>
      <c r="D202" s="51" t="n"/>
      <c r="F202" s="51" t="n"/>
    </row>
    <row r="203">
      <c r="B203" s="51" t="n"/>
      <c r="C203" s="51" t="n"/>
      <c r="D203" s="51" t="n"/>
      <c r="F203" s="51" t="n"/>
    </row>
    <row r="204">
      <c r="B204" s="51" t="n"/>
      <c r="C204" s="51" t="n"/>
      <c r="D204" s="51" t="n"/>
      <c r="F204" s="51" t="n"/>
    </row>
    <row r="205">
      <c r="B205" s="51" t="n"/>
      <c r="C205" s="51" t="n"/>
      <c r="D205" s="51" t="n"/>
      <c r="F205" s="51" t="n"/>
    </row>
    <row r="206">
      <c r="B206" s="51" t="n"/>
      <c r="C206" s="51" t="n"/>
      <c r="D206" s="51" t="n"/>
      <c r="F206" s="51" t="n"/>
    </row>
    <row r="207">
      <c r="B207" s="51" t="n"/>
      <c r="C207" s="51" t="n"/>
      <c r="D207" s="51" t="n"/>
      <c r="F207" s="51" t="n"/>
    </row>
    <row r="208">
      <c r="B208" s="51" t="n"/>
      <c r="C208" s="51" t="n"/>
      <c r="D208" s="51" t="n"/>
      <c r="F208" s="51" t="n"/>
    </row>
    <row r="209">
      <c r="B209" s="51" t="n"/>
      <c r="C209" s="51" t="n"/>
      <c r="D209" s="51" t="n"/>
      <c r="F209" s="51" t="n"/>
    </row>
    <row r="210">
      <c r="B210" s="51" t="n"/>
      <c r="C210" s="51" t="n"/>
      <c r="D210" s="51" t="n"/>
      <c r="F210" s="51" t="n"/>
    </row>
    <row r="211">
      <c r="B211" s="51" t="n"/>
      <c r="C211" s="51" t="n"/>
      <c r="D211" s="51" t="n"/>
      <c r="F211" s="51" t="n"/>
    </row>
    <row r="212">
      <c r="B212" s="51" t="n"/>
      <c r="C212" s="51" t="n"/>
      <c r="D212" s="51" t="n"/>
      <c r="F212" s="51" t="n"/>
    </row>
    <row r="213">
      <c r="B213" s="51" t="n"/>
      <c r="C213" s="51" t="n"/>
      <c r="D213" s="51" t="n"/>
      <c r="F213" s="51" t="n"/>
    </row>
    <row r="214">
      <c r="B214" s="51" t="n"/>
      <c r="C214" s="51" t="n"/>
      <c r="D214" s="51" t="n"/>
      <c r="F214" s="51" t="n"/>
    </row>
    <row r="215">
      <c r="B215" s="51" t="n"/>
      <c r="C215" s="51" t="n"/>
      <c r="D215" s="51" t="n"/>
      <c r="F215" s="51" t="n"/>
    </row>
    <row r="216">
      <c r="B216" s="51" t="n"/>
      <c r="C216" s="51" t="n"/>
      <c r="D216" s="51" t="n"/>
      <c r="F216" s="51" t="n"/>
    </row>
    <row r="217">
      <c r="B217" s="51" t="n"/>
      <c r="C217" s="51" t="n"/>
      <c r="D217" s="51" t="n"/>
      <c r="F217" s="51" t="n"/>
    </row>
    <row r="218">
      <c r="B218" s="51" t="n"/>
      <c r="C218" s="51" t="n"/>
      <c r="D218" s="51" t="n"/>
      <c r="F218" s="51" t="n"/>
    </row>
    <row r="219">
      <c r="B219" s="51" t="n"/>
      <c r="C219" s="51" t="n"/>
      <c r="D219" s="51" t="n"/>
      <c r="F219" s="51" t="n"/>
    </row>
    <row r="220">
      <c r="B220" s="51" t="n"/>
      <c r="C220" s="51" t="n"/>
      <c r="D220" s="51" t="n"/>
      <c r="F220" s="51" t="n"/>
    </row>
    <row r="221">
      <c r="B221" s="51" t="n"/>
      <c r="C221" s="51" t="n"/>
      <c r="D221" s="51" t="n"/>
      <c r="F221" s="51" t="n"/>
    </row>
    <row r="222">
      <c r="B222" s="51" t="n"/>
      <c r="C222" s="51" t="n"/>
      <c r="D222" s="51" t="n"/>
      <c r="F222" s="51" t="n"/>
    </row>
    <row r="223">
      <c r="B223" s="51" t="n"/>
      <c r="C223" s="51" t="n"/>
      <c r="D223" s="51" t="n"/>
      <c r="F223" s="51" t="n"/>
    </row>
    <row r="224">
      <c r="B224" s="51" t="n"/>
      <c r="C224" s="51" t="n"/>
      <c r="D224" s="51" t="n"/>
      <c r="F224" s="51" t="n"/>
    </row>
    <row r="225">
      <c r="B225" s="51" t="n"/>
      <c r="C225" s="51" t="n"/>
      <c r="D225" s="51" t="n"/>
      <c r="F225" s="51" t="n"/>
    </row>
    <row r="226">
      <c r="B226" s="51" t="n"/>
      <c r="C226" s="51" t="n"/>
      <c r="D226" s="51" t="n"/>
      <c r="F226" s="51" t="n"/>
    </row>
    <row r="227">
      <c r="B227" s="51" t="n"/>
      <c r="C227" s="51" t="n"/>
      <c r="D227" s="51" t="n"/>
      <c r="F227" s="51" t="n"/>
    </row>
    <row r="228">
      <c r="B228" s="51" t="n"/>
      <c r="C228" s="51" t="n"/>
      <c r="D228" s="51" t="n"/>
      <c r="F228" s="51" t="n"/>
    </row>
    <row r="229">
      <c r="B229" s="51" t="n"/>
      <c r="C229" s="51" t="n"/>
      <c r="D229" s="51" t="n"/>
      <c r="F229" s="51" t="n"/>
    </row>
    <row r="230">
      <c r="B230" s="51" t="n"/>
      <c r="C230" s="51" t="n"/>
      <c r="D230" s="51" t="n"/>
      <c r="F230" s="51" t="n"/>
    </row>
    <row r="231">
      <c r="B231" s="51" t="n"/>
      <c r="C231" s="51" t="n"/>
      <c r="D231" s="51" t="n"/>
      <c r="F231" s="51" t="n"/>
    </row>
    <row r="232">
      <c r="B232" s="51" t="n"/>
      <c r="C232" s="51" t="n"/>
      <c r="D232" s="51" t="n"/>
      <c r="F232" s="51" t="n"/>
    </row>
    <row r="233">
      <c r="B233" s="51" t="n"/>
      <c r="C233" s="51" t="n"/>
      <c r="D233" s="51" t="n"/>
      <c r="F233" s="51" t="n"/>
    </row>
    <row r="234">
      <c r="B234" s="51" t="n"/>
      <c r="C234" s="51" t="n"/>
      <c r="D234" s="51" t="n"/>
      <c r="F234" s="51" t="n"/>
    </row>
    <row r="235">
      <c r="B235" s="51" t="n"/>
      <c r="C235" s="51" t="n"/>
      <c r="D235" s="51" t="n"/>
      <c r="F235" s="51" t="n"/>
    </row>
    <row r="236">
      <c r="B236" s="51" t="n"/>
      <c r="C236" s="51" t="n"/>
      <c r="D236" s="51" t="n"/>
      <c r="F236" s="51" t="n"/>
    </row>
    <row r="237">
      <c r="B237" s="51" t="n"/>
      <c r="C237" s="51" t="n"/>
      <c r="D237" s="51" t="n"/>
      <c r="F237" s="51" t="n"/>
    </row>
    <row r="238">
      <c r="B238" s="51" t="n"/>
      <c r="C238" s="51" t="n"/>
      <c r="D238" s="51" t="n"/>
      <c r="F238" s="51" t="n"/>
    </row>
    <row r="239">
      <c r="B239" s="51" t="n"/>
      <c r="C239" s="51" t="n"/>
      <c r="D239" s="51" t="n"/>
      <c r="F239" s="51" t="n"/>
    </row>
    <row r="240">
      <c r="B240" s="51" t="n"/>
      <c r="C240" s="51" t="n"/>
      <c r="D240" s="51" t="n"/>
      <c r="F240" s="51" t="n"/>
    </row>
    <row r="241">
      <c r="B241" s="51" t="n"/>
      <c r="C241" s="51" t="n"/>
      <c r="D241" s="51" t="n"/>
      <c r="F241" s="51" t="n"/>
    </row>
    <row r="242">
      <c r="B242" s="51" t="n"/>
      <c r="C242" s="51" t="n"/>
      <c r="D242" s="51" t="n"/>
      <c r="F242" s="51" t="n"/>
    </row>
    <row r="243">
      <c r="B243" s="51" t="n"/>
      <c r="C243" s="51" t="n"/>
      <c r="D243" s="51" t="n"/>
      <c r="F243" s="51" t="n"/>
    </row>
    <row r="244">
      <c r="B244" s="51" t="n"/>
      <c r="C244" s="51" t="n"/>
      <c r="D244" s="51" t="n"/>
      <c r="F244" s="51" t="n"/>
    </row>
    <row r="245">
      <c r="B245" s="51" t="n"/>
      <c r="C245" s="51" t="n"/>
      <c r="D245" s="51" t="n"/>
      <c r="F245" s="51" t="n"/>
    </row>
    <row r="246">
      <c r="B246" s="51" t="n"/>
      <c r="C246" s="51" t="n"/>
      <c r="D246" s="51" t="n"/>
      <c r="F246" s="51" t="n"/>
    </row>
    <row r="247">
      <c r="B247" s="51" t="n"/>
      <c r="C247" s="51" t="n"/>
      <c r="D247" s="51" t="n"/>
      <c r="F247" s="51" t="n"/>
    </row>
    <row r="248">
      <c r="B248" s="51" t="n"/>
      <c r="C248" s="51" t="n"/>
      <c r="D248" s="51" t="n"/>
      <c r="F248" s="51" t="n"/>
    </row>
    <row r="249">
      <c r="B249" s="51" t="n"/>
      <c r="C249" s="51" t="n"/>
      <c r="D249" s="51" t="n"/>
      <c r="F249" s="51" t="n"/>
    </row>
    <row r="250">
      <c r="B250" s="51" t="n"/>
      <c r="C250" s="51" t="n"/>
      <c r="D250" s="51" t="n"/>
      <c r="F250" s="51" t="n"/>
    </row>
    <row r="251">
      <c r="B251" s="51" t="n"/>
      <c r="C251" s="51" t="n"/>
      <c r="D251" s="51" t="n"/>
      <c r="F251" s="51" t="n"/>
    </row>
    <row r="252">
      <c r="B252" s="51" t="n"/>
      <c r="C252" s="51" t="n"/>
      <c r="D252" s="51" t="n"/>
      <c r="F252" s="51" t="n"/>
    </row>
    <row r="253">
      <c r="B253" s="51" t="n"/>
      <c r="C253" s="51" t="n"/>
      <c r="D253" s="51" t="n"/>
      <c r="F253" s="51" t="n"/>
    </row>
    <row r="254">
      <c r="B254" s="51" t="n"/>
      <c r="C254" s="51" t="n"/>
      <c r="D254" s="51" t="n"/>
      <c r="F254" s="51" t="n"/>
    </row>
    <row r="255">
      <c r="B255" s="51" t="n"/>
      <c r="C255" s="51" t="n"/>
      <c r="D255" s="51" t="n"/>
      <c r="F255" s="51" t="n"/>
    </row>
    <row r="256">
      <c r="B256" s="51" t="n"/>
      <c r="C256" s="51" t="n"/>
      <c r="D256" s="51" t="n"/>
      <c r="F256" s="51" t="n"/>
    </row>
    <row r="257">
      <c r="B257" s="51" t="n"/>
      <c r="C257" s="51" t="n"/>
      <c r="D257" s="51" t="n"/>
      <c r="F257" s="51" t="n"/>
    </row>
    <row r="258">
      <c r="B258" s="51" t="n"/>
      <c r="C258" s="51" t="n"/>
      <c r="D258" s="51" t="n"/>
      <c r="F258" s="51" t="n"/>
    </row>
    <row r="259">
      <c r="B259" s="51" t="n"/>
      <c r="C259" s="51" t="n"/>
      <c r="D259" s="51" t="n"/>
      <c r="F259" s="51" t="n"/>
    </row>
    <row r="260">
      <c r="B260" s="51" t="n"/>
      <c r="C260" s="51" t="n"/>
      <c r="D260" s="51" t="n"/>
      <c r="F260" s="51" t="n"/>
    </row>
    <row r="261">
      <c r="B261" s="51" t="n"/>
      <c r="C261" s="51" t="n"/>
      <c r="D261" s="51" t="n"/>
      <c r="F261" s="51" t="n"/>
    </row>
    <row r="262">
      <c r="B262" s="51" t="n"/>
      <c r="C262" s="51" t="n"/>
      <c r="D262" s="51" t="n"/>
      <c r="F262" s="51" t="n"/>
    </row>
    <row r="263">
      <c r="B263" s="51" t="n"/>
      <c r="C263" s="51" t="n"/>
      <c r="D263" s="51" t="n"/>
      <c r="F263" s="51" t="n"/>
    </row>
    <row r="264">
      <c r="B264" s="51" t="n"/>
      <c r="C264" s="51" t="n"/>
      <c r="D264" s="51" t="n"/>
      <c r="F264" s="51" t="n"/>
    </row>
    <row r="265">
      <c r="B265" s="51" t="n"/>
      <c r="C265" s="51" t="n"/>
      <c r="D265" s="51" t="n"/>
      <c r="F265" s="51" t="n"/>
    </row>
    <row r="266">
      <c r="B266" s="51" t="n"/>
      <c r="C266" s="51" t="n"/>
      <c r="D266" s="51" t="n"/>
      <c r="F266" s="51" t="n"/>
    </row>
    <row r="267">
      <c r="B267" s="51" t="n"/>
      <c r="C267" s="51" t="n"/>
      <c r="D267" s="51" t="n"/>
      <c r="F267" s="51" t="n"/>
    </row>
    <row r="268">
      <c r="B268" s="51" t="n"/>
      <c r="C268" s="51" t="n"/>
      <c r="D268" s="51" t="n"/>
      <c r="F268" s="51" t="n"/>
    </row>
    <row r="269">
      <c r="B269" s="51" t="n"/>
      <c r="C269" s="51" t="n"/>
      <c r="D269" s="51" t="n"/>
      <c r="F269" s="51" t="n"/>
    </row>
    <row r="270">
      <c r="B270" s="51" t="n"/>
      <c r="C270" s="51" t="n"/>
      <c r="D270" s="51" t="n"/>
      <c r="F270" s="51" t="n"/>
    </row>
    <row r="271">
      <c r="B271" s="51" t="n"/>
      <c r="C271" s="51" t="n"/>
      <c r="D271" s="51" t="n"/>
      <c r="F271" s="51" t="n"/>
    </row>
    <row r="272">
      <c r="B272" s="51" t="n"/>
      <c r="C272" s="51" t="n"/>
      <c r="D272" s="51" t="n"/>
      <c r="F272" s="51" t="n"/>
    </row>
    <row r="273">
      <c r="B273" s="51" t="n"/>
      <c r="C273" s="51" t="n"/>
      <c r="D273" s="51" t="n"/>
      <c r="F273" s="51" t="n"/>
    </row>
    <row r="274">
      <c r="B274" s="51" t="n"/>
      <c r="C274" s="51" t="n"/>
      <c r="D274" s="51" t="n"/>
      <c r="F274" s="51" t="n"/>
    </row>
    <row r="275">
      <c r="B275" s="51" t="n"/>
      <c r="C275" s="51" t="n"/>
      <c r="D275" s="51" t="n"/>
      <c r="F275" s="51" t="n"/>
    </row>
    <row r="276">
      <c r="B276" s="51" t="n"/>
      <c r="C276" s="51" t="n"/>
      <c r="D276" s="51" t="n"/>
      <c r="F276" s="51" t="n"/>
    </row>
    <row r="277">
      <c r="B277" s="51" t="n"/>
      <c r="C277" s="51" t="n"/>
      <c r="D277" s="51" t="n"/>
      <c r="F277" s="51" t="n"/>
    </row>
    <row r="278">
      <c r="B278" s="51" t="n"/>
      <c r="C278" s="51" t="n"/>
      <c r="D278" s="51" t="n"/>
      <c r="F278" s="51" t="n"/>
    </row>
    <row r="279">
      <c r="B279" s="51" t="n"/>
      <c r="C279" s="51" t="n"/>
      <c r="D279" s="51" t="n"/>
      <c r="F279" s="51" t="n"/>
    </row>
    <row r="280">
      <c r="B280" s="51" t="n"/>
      <c r="C280" s="51" t="n"/>
      <c r="D280" s="51" t="n"/>
      <c r="F280" s="51" t="n"/>
    </row>
    <row r="281">
      <c r="B281" s="51" t="n"/>
      <c r="C281" s="51" t="n"/>
      <c r="D281" s="51" t="n"/>
      <c r="F281" s="51" t="n"/>
    </row>
    <row r="282">
      <c r="B282" s="51" t="n"/>
      <c r="C282" s="51" t="n"/>
      <c r="D282" s="51" t="n"/>
      <c r="F282" s="51" t="n"/>
    </row>
    <row r="283">
      <c r="B283" s="51" t="n"/>
      <c r="C283" s="51" t="n"/>
      <c r="D283" s="51" t="n"/>
      <c r="F283" s="51" t="n"/>
    </row>
    <row r="284">
      <c r="B284" s="51" t="n"/>
      <c r="C284" s="51" t="n"/>
      <c r="D284" s="51" t="n"/>
      <c r="F284" s="51" t="n"/>
    </row>
    <row r="285">
      <c r="B285" s="51" t="n"/>
      <c r="C285" s="51" t="n"/>
      <c r="D285" s="51" t="n"/>
      <c r="F285" s="51" t="n"/>
    </row>
    <row r="286">
      <c r="B286" s="51" t="n"/>
      <c r="C286" s="51" t="n"/>
      <c r="D286" s="51" t="n"/>
      <c r="F286" s="51" t="n"/>
    </row>
    <row r="287">
      <c r="B287" s="51" t="n"/>
      <c r="C287" s="51" t="n"/>
      <c r="D287" s="51" t="n"/>
      <c r="F287" s="51" t="n"/>
    </row>
    <row r="288">
      <c r="B288" s="51" t="n"/>
      <c r="C288" s="51" t="n"/>
      <c r="D288" s="51" t="n"/>
      <c r="F288" s="51" t="n"/>
    </row>
    <row r="289">
      <c r="B289" s="51" t="n"/>
      <c r="C289" s="51" t="n"/>
      <c r="D289" s="51" t="n"/>
      <c r="F289" s="51" t="n"/>
    </row>
    <row r="290">
      <c r="B290" s="51" t="n"/>
      <c r="C290" s="51" t="n"/>
      <c r="D290" s="51" t="n"/>
      <c r="F290" s="51" t="n"/>
    </row>
    <row r="291">
      <c r="B291" s="51" t="n"/>
      <c r="C291" s="51" t="n"/>
      <c r="D291" s="51" t="n"/>
      <c r="F291" s="51" t="n"/>
    </row>
    <row r="292">
      <c r="B292" s="51" t="n"/>
      <c r="C292" s="51" t="n"/>
      <c r="D292" s="51" t="n"/>
      <c r="F292" s="51" t="n"/>
    </row>
    <row r="293">
      <c r="B293" s="51" t="n"/>
      <c r="C293" s="51" t="n"/>
      <c r="D293" s="51" t="n"/>
      <c r="F293" s="51" t="n"/>
    </row>
    <row r="294">
      <c r="B294" s="51" t="n"/>
      <c r="C294" s="51" t="n"/>
      <c r="D294" s="51" t="n"/>
      <c r="F294" s="51" t="n"/>
    </row>
    <row r="295">
      <c r="B295" s="51" t="n"/>
      <c r="C295" s="51" t="n"/>
      <c r="D295" s="51" t="n"/>
      <c r="F295" s="51" t="n"/>
    </row>
    <row r="296">
      <c r="B296" s="51" t="n"/>
      <c r="C296" s="51" t="n"/>
      <c r="D296" s="51" t="n"/>
      <c r="F296" s="51" t="n"/>
    </row>
    <row r="297">
      <c r="B297" s="51" t="n"/>
      <c r="C297" s="51" t="n"/>
      <c r="D297" s="51" t="n"/>
      <c r="F297" s="51" t="n"/>
    </row>
    <row r="298">
      <c r="B298" s="51" t="n"/>
      <c r="C298" s="51" t="n"/>
      <c r="D298" s="51" t="n"/>
      <c r="F298" s="51" t="n"/>
    </row>
    <row r="299">
      <c r="B299" s="51" t="n"/>
      <c r="C299" s="51" t="n"/>
      <c r="D299" s="51" t="n"/>
      <c r="F299" s="51" t="n"/>
    </row>
    <row r="300">
      <c r="B300" s="51" t="n"/>
      <c r="C300" s="51" t="n"/>
      <c r="D300" s="51" t="n"/>
      <c r="F300" s="51" t="n"/>
    </row>
    <row r="301">
      <c r="B301" s="51" t="n"/>
      <c r="C301" s="51" t="n"/>
      <c r="D301" s="51" t="n"/>
      <c r="F301" s="51" t="n"/>
    </row>
    <row r="302">
      <c r="B302" s="51" t="n"/>
      <c r="C302" s="51" t="n"/>
      <c r="D302" s="51" t="n"/>
      <c r="F302" s="51" t="n"/>
    </row>
    <row r="303">
      <c r="B303" s="51" t="n"/>
      <c r="C303" s="51" t="n"/>
      <c r="D303" s="51" t="n"/>
      <c r="F303" s="51" t="n"/>
    </row>
    <row r="304">
      <c r="B304" s="51" t="n"/>
      <c r="C304" s="51" t="n"/>
      <c r="D304" s="51" t="n"/>
      <c r="F304" s="51" t="n"/>
    </row>
    <row r="305">
      <c r="B305" s="51" t="n"/>
      <c r="C305" s="51" t="n"/>
      <c r="D305" s="51" t="n"/>
      <c r="F305" s="51" t="n"/>
    </row>
    <row r="306">
      <c r="B306" s="51" t="n"/>
      <c r="C306" s="51" t="n"/>
      <c r="D306" s="51" t="n"/>
      <c r="F306" s="51" t="n"/>
    </row>
    <row r="307">
      <c r="B307" s="51" t="n"/>
      <c r="C307" s="51" t="n"/>
      <c r="D307" s="51" t="n"/>
      <c r="F307" s="51" t="n"/>
    </row>
    <row r="308">
      <c r="B308" s="51" t="n"/>
      <c r="C308" s="51" t="n"/>
      <c r="D308" s="51" t="n"/>
      <c r="F308" s="51" t="n"/>
    </row>
    <row r="309">
      <c r="B309" s="51" t="n"/>
      <c r="C309" s="51" t="n"/>
      <c r="D309" s="51" t="n"/>
      <c r="F309" s="51" t="n"/>
    </row>
    <row r="310">
      <c r="B310" s="51" t="n"/>
      <c r="C310" s="51" t="n"/>
      <c r="D310" s="51" t="n"/>
      <c r="F310" s="51" t="n"/>
    </row>
    <row r="311">
      <c r="B311" s="51" t="n"/>
      <c r="C311" s="51" t="n"/>
      <c r="D311" s="51" t="n"/>
      <c r="F311" s="51" t="n"/>
    </row>
    <row r="312">
      <c r="B312" s="51" t="n"/>
      <c r="C312" s="51" t="n"/>
      <c r="D312" s="51" t="n"/>
      <c r="F312" s="51" t="n"/>
    </row>
    <row r="313">
      <c r="B313" s="51" t="n"/>
      <c r="C313" s="51" t="n"/>
      <c r="D313" s="51" t="n"/>
      <c r="F313" s="51" t="n"/>
    </row>
    <row r="314">
      <c r="B314" s="51" t="n"/>
      <c r="C314" s="51" t="n"/>
      <c r="D314" s="51" t="n"/>
      <c r="F314" s="51" t="n"/>
    </row>
    <row r="315">
      <c r="B315" s="51" t="n"/>
      <c r="C315" s="51" t="n"/>
      <c r="D315" s="51" t="n"/>
      <c r="F315" s="51" t="n"/>
    </row>
    <row r="316">
      <c r="B316" s="51" t="n"/>
      <c r="C316" s="51" t="n"/>
      <c r="D316" s="51" t="n"/>
      <c r="F316" s="51" t="n"/>
    </row>
    <row r="317">
      <c r="B317" s="51" t="n"/>
      <c r="C317" s="51" t="n"/>
      <c r="D317" s="51" t="n"/>
      <c r="F317" s="51" t="n"/>
    </row>
    <row r="318">
      <c r="B318" s="51" t="n"/>
      <c r="C318" s="51" t="n"/>
      <c r="D318" s="51" t="n"/>
      <c r="F318" s="51" t="n"/>
    </row>
    <row r="319">
      <c r="B319" s="51" t="n"/>
      <c r="C319" s="51" t="n"/>
      <c r="D319" s="51" t="n"/>
      <c r="F319" s="51" t="n"/>
    </row>
    <row r="320">
      <c r="B320" s="51" t="n"/>
      <c r="C320" s="51" t="n"/>
      <c r="D320" s="51" t="n"/>
      <c r="F320" s="51" t="n"/>
    </row>
    <row r="321">
      <c r="B321" s="51" t="n"/>
      <c r="C321" s="51" t="n"/>
      <c r="D321" s="51" t="n"/>
      <c r="F321" s="51" t="n"/>
    </row>
    <row r="322">
      <c r="B322" s="51" t="n"/>
      <c r="C322" s="51" t="n"/>
      <c r="D322" s="51" t="n"/>
      <c r="F322" s="51" t="n"/>
    </row>
    <row r="323">
      <c r="B323" s="51" t="n"/>
      <c r="C323" s="51" t="n"/>
      <c r="D323" s="51" t="n"/>
      <c r="F323" s="51" t="n"/>
    </row>
    <row r="324">
      <c r="B324" s="51" t="n"/>
      <c r="C324" s="51" t="n"/>
      <c r="D324" s="51" t="n"/>
      <c r="F324" s="51" t="n"/>
    </row>
    <row r="325">
      <c r="B325" s="51" t="n"/>
      <c r="C325" s="51" t="n"/>
      <c r="D325" s="51" t="n"/>
      <c r="F325" s="51" t="n"/>
    </row>
    <row r="326">
      <c r="B326" s="51" t="n"/>
      <c r="C326" s="51" t="n"/>
      <c r="D326" s="51" t="n"/>
      <c r="F326" s="51" t="n"/>
    </row>
    <row r="327">
      <c r="B327" s="51" t="n"/>
      <c r="C327" s="51" t="n"/>
      <c r="D327" s="51" t="n"/>
      <c r="F327" s="51" t="n"/>
    </row>
    <row r="328">
      <c r="B328" s="51" t="n"/>
      <c r="C328" s="51" t="n"/>
      <c r="D328" s="51" t="n"/>
      <c r="F328" s="51" t="n"/>
    </row>
    <row r="329">
      <c r="B329" s="51" t="n"/>
      <c r="C329" s="51" t="n"/>
      <c r="D329" s="51" t="n"/>
      <c r="F329" s="51" t="n"/>
    </row>
    <row r="330">
      <c r="B330" s="51" t="n"/>
      <c r="C330" s="51" t="n"/>
      <c r="D330" s="51" t="n"/>
      <c r="F330" s="51" t="n"/>
    </row>
    <row r="331">
      <c r="B331" s="51" t="n"/>
      <c r="C331" s="51" t="n"/>
      <c r="D331" s="51" t="n"/>
      <c r="F331" s="51" t="n"/>
    </row>
    <row r="332">
      <c r="B332" s="51" t="n"/>
      <c r="C332" s="51" t="n"/>
      <c r="D332" s="51" t="n"/>
      <c r="F332" s="51" t="n"/>
    </row>
    <row r="333">
      <c r="B333" s="51" t="n"/>
      <c r="C333" s="51" t="n"/>
      <c r="D333" s="51" t="n"/>
      <c r="F333" s="51" t="n"/>
    </row>
    <row r="334">
      <c r="B334" s="51" t="n"/>
      <c r="C334" s="51" t="n"/>
      <c r="D334" s="51" t="n"/>
      <c r="F334" s="51" t="n"/>
    </row>
    <row r="335">
      <c r="B335" s="51" t="n"/>
      <c r="C335" s="51" t="n"/>
      <c r="D335" s="51" t="n"/>
      <c r="F335" s="51" t="n"/>
    </row>
    <row r="336">
      <c r="B336" s="51" t="n"/>
      <c r="C336" s="51" t="n"/>
      <c r="D336" s="51" t="n"/>
      <c r="F336" s="51" t="n"/>
    </row>
    <row r="337">
      <c r="B337" s="51" t="n"/>
      <c r="C337" s="51" t="n"/>
      <c r="D337" s="51" t="n"/>
      <c r="F337" s="51" t="n"/>
    </row>
    <row r="338">
      <c r="B338" s="51" t="n"/>
      <c r="C338" s="51" t="n"/>
      <c r="D338" s="51" t="n"/>
      <c r="F338" s="51" t="n"/>
    </row>
    <row r="339">
      <c r="B339" s="51" t="n"/>
      <c r="C339" s="51" t="n"/>
      <c r="D339" s="51" t="n"/>
      <c r="F339" s="51" t="n"/>
    </row>
    <row r="340">
      <c r="B340" s="51" t="n"/>
      <c r="C340" s="51" t="n"/>
      <c r="D340" s="51" t="n"/>
      <c r="F340" s="51" t="n"/>
    </row>
    <row r="341">
      <c r="B341" s="51" t="n"/>
      <c r="C341" s="51" t="n"/>
      <c r="D341" s="51" t="n"/>
      <c r="F341" s="51" t="n"/>
    </row>
    <row r="342">
      <c r="B342" s="51" t="n"/>
      <c r="C342" s="51" t="n"/>
      <c r="D342" s="51" t="n"/>
      <c r="F342" s="51" t="n"/>
    </row>
    <row r="343">
      <c r="B343" s="51" t="n"/>
      <c r="C343" s="51" t="n"/>
      <c r="D343" s="51" t="n"/>
      <c r="F343" s="51" t="n"/>
    </row>
    <row r="344">
      <c r="B344" s="51" t="n"/>
      <c r="C344" s="51" t="n"/>
      <c r="D344" s="51" t="n"/>
      <c r="F344" s="51" t="n"/>
    </row>
    <row r="345">
      <c r="B345" s="51" t="n"/>
      <c r="C345" s="51" t="n"/>
      <c r="D345" s="51" t="n"/>
      <c r="F345" s="51" t="n"/>
    </row>
    <row r="346">
      <c r="B346" s="51" t="n"/>
      <c r="C346" s="51" t="n"/>
      <c r="D346" s="51" t="n"/>
      <c r="F346" s="51" t="n"/>
    </row>
    <row r="347">
      <c r="B347" s="51" t="n"/>
      <c r="C347" s="51" t="n"/>
      <c r="D347" s="51" t="n"/>
      <c r="F347" s="51" t="n"/>
    </row>
    <row r="348">
      <c r="B348" s="51" t="n"/>
      <c r="C348" s="51" t="n"/>
      <c r="D348" s="51" t="n"/>
      <c r="F348" s="51" t="n"/>
    </row>
    <row r="349">
      <c r="B349" s="51" t="n"/>
      <c r="C349" s="51" t="n"/>
      <c r="D349" s="51" t="n"/>
      <c r="F349" s="51" t="n"/>
    </row>
    <row r="350">
      <c r="B350" s="51" t="n"/>
      <c r="C350" s="51" t="n"/>
      <c r="D350" s="51" t="n"/>
      <c r="F350" s="51" t="n"/>
    </row>
    <row r="351">
      <c r="B351" s="51" t="n"/>
      <c r="C351" s="51" t="n"/>
      <c r="D351" s="51" t="n"/>
      <c r="F351" s="51" t="n"/>
    </row>
    <row r="352">
      <c r="B352" s="51" t="n"/>
      <c r="C352" s="51" t="n"/>
      <c r="D352" s="51" t="n"/>
      <c r="F352" s="51" t="n"/>
    </row>
    <row r="353">
      <c r="B353" s="51" t="n"/>
      <c r="C353" s="51" t="n"/>
      <c r="D353" s="51" t="n"/>
      <c r="F353" s="51" t="n"/>
    </row>
    <row r="354">
      <c r="B354" s="51" t="n"/>
      <c r="C354" s="51" t="n"/>
      <c r="D354" s="51" t="n"/>
      <c r="F354" s="51" t="n"/>
    </row>
    <row r="355">
      <c r="B355" s="51" t="n"/>
      <c r="C355" s="51" t="n"/>
      <c r="D355" s="51" t="n"/>
      <c r="F355" s="51" t="n"/>
    </row>
    <row r="356">
      <c r="B356" s="51" t="n"/>
      <c r="C356" s="51" t="n"/>
      <c r="D356" s="51" t="n"/>
      <c r="F356" s="51" t="n"/>
    </row>
    <row r="357">
      <c r="B357" s="51" t="n"/>
      <c r="C357" s="51" t="n"/>
      <c r="D357" s="51" t="n"/>
      <c r="F357" s="51" t="n"/>
    </row>
    <row r="358">
      <c r="B358" s="51" t="n"/>
      <c r="C358" s="51" t="n"/>
      <c r="D358" s="51" t="n"/>
      <c r="F358" s="51" t="n"/>
    </row>
    <row r="359">
      <c r="B359" s="51" t="n"/>
      <c r="C359" s="51" t="n"/>
      <c r="D359" s="51" t="n"/>
      <c r="F359" s="51" t="n"/>
    </row>
    <row r="360">
      <c r="B360" s="51" t="n"/>
      <c r="C360" s="51" t="n"/>
      <c r="D360" s="51" t="n"/>
      <c r="F360" s="51" t="n"/>
    </row>
    <row r="361">
      <c r="B361" s="51" t="n"/>
      <c r="C361" s="51" t="n"/>
      <c r="D361" s="51" t="n"/>
      <c r="F361" s="51" t="n"/>
    </row>
    <row r="362">
      <c r="B362" s="51" t="n"/>
      <c r="C362" s="51" t="n"/>
      <c r="D362" s="51" t="n"/>
      <c r="F362" s="51" t="n"/>
    </row>
    <row r="363">
      <c r="B363" s="51" t="n"/>
      <c r="C363" s="51" t="n"/>
      <c r="D363" s="51" t="n"/>
      <c r="F363" s="51" t="n"/>
    </row>
    <row r="364">
      <c r="B364" s="51" t="n"/>
      <c r="C364" s="51" t="n"/>
      <c r="D364" s="51" t="n"/>
      <c r="F364" s="51" t="n"/>
    </row>
    <row r="365">
      <c r="B365" s="51" t="n"/>
      <c r="C365" s="51" t="n"/>
      <c r="D365" s="51" t="n"/>
      <c r="F365" s="51" t="n"/>
    </row>
    <row r="366">
      <c r="B366" s="51" t="n"/>
      <c r="C366" s="51" t="n"/>
      <c r="D366" s="51" t="n"/>
      <c r="F366" s="51" t="n"/>
    </row>
    <row r="367">
      <c r="B367" s="51" t="n"/>
      <c r="C367" s="51" t="n"/>
      <c r="D367" s="51" t="n"/>
      <c r="F367" s="51" t="n"/>
    </row>
    <row r="368">
      <c r="B368" s="51" t="n"/>
      <c r="C368" s="51" t="n"/>
      <c r="D368" s="51" t="n"/>
      <c r="F368" s="51" t="n"/>
    </row>
    <row r="369">
      <c r="B369" s="51" t="n"/>
      <c r="C369" s="51" t="n"/>
      <c r="D369" s="51" t="n"/>
      <c r="F369" s="51" t="n"/>
    </row>
    <row r="370">
      <c r="B370" s="51" t="n"/>
      <c r="C370" s="51" t="n"/>
      <c r="D370" s="51" t="n"/>
      <c r="F370" s="51" t="n"/>
    </row>
    <row r="371">
      <c r="B371" s="51" t="n"/>
      <c r="C371" s="51" t="n"/>
      <c r="D371" s="51" t="n"/>
      <c r="F371" s="51" t="n"/>
    </row>
    <row r="372">
      <c r="B372" s="51" t="n"/>
      <c r="C372" s="51" t="n"/>
      <c r="D372" s="51" t="n"/>
      <c r="F372" s="51" t="n"/>
    </row>
    <row r="373">
      <c r="B373" s="51" t="n"/>
      <c r="C373" s="51" t="n"/>
      <c r="D373" s="51" t="n"/>
      <c r="F373" s="51" t="n"/>
    </row>
    <row r="374">
      <c r="B374" s="51" t="n"/>
      <c r="C374" s="51" t="n"/>
      <c r="D374" s="51" t="n"/>
      <c r="F374" s="51" t="n"/>
    </row>
    <row r="375">
      <c r="B375" s="51" t="n"/>
      <c r="C375" s="51" t="n"/>
      <c r="D375" s="51" t="n"/>
      <c r="F375" s="51" t="n"/>
    </row>
    <row r="376">
      <c r="B376" s="51" t="n"/>
      <c r="C376" s="51" t="n"/>
      <c r="D376" s="51" t="n"/>
      <c r="F376" s="51" t="n"/>
    </row>
    <row r="377">
      <c r="B377" s="51" t="n"/>
      <c r="C377" s="51" t="n"/>
      <c r="D377" s="51" t="n"/>
      <c r="F377" s="51" t="n"/>
    </row>
    <row r="378">
      <c r="B378" s="51" t="n"/>
      <c r="C378" s="51" t="n"/>
      <c r="D378" s="51" t="n"/>
      <c r="F378" s="51" t="n"/>
    </row>
    <row r="379">
      <c r="B379" s="51" t="n"/>
      <c r="C379" s="51" t="n"/>
      <c r="D379" s="51" t="n"/>
      <c r="F379" s="51" t="n"/>
    </row>
    <row r="380">
      <c r="B380" s="51" t="n"/>
      <c r="C380" s="51" t="n"/>
      <c r="D380" s="51" t="n"/>
      <c r="F380" s="51" t="n"/>
    </row>
    <row r="381">
      <c r="B381" s="51" t="n"/>
      <c r="C381" s="51" t="n"/>
      <c r="D381" s="51" t="n"/>
      <c r="F381" s="51" t="n"/>
    </row>
    <row r="382">
      <c r="B382" s="51" t="n"/>
      <c r="C382" s="51" t="n"/>
      <c r="D382" s="51" t="n"/>
      <c r="F382" s="51" t="n"/>
    </row>
    <row r="383">
      <c r="B383" s="51" t="n"/>
      <c r="C383" s="51" t="n"/>
      <c r="D383" s="51" t="n"/>
      <c r="F383" s="51" t="n"/>
    </row>
    <row r="384">
      <c r="B384" s="51" t="n"/>
      <c r="C384" s="51" t="n"/>
      <c r="D384" s="51" t="n"/>
      <c r="F384" s="51" t="n"/>
    </row>
    <row r="385">
      <c r="B385" s="51" t="n"/>
      <c r="C385" s="51" t="n"/>
      <c r="D385" s="51" t="n"/>
      <c r="F385" s="51" t="n"/>
    </row>
    <row r="386">
      <c r="B386" s="51" t="n"/>
      <c r="C386" s="51" t="n"/>
      <c r="D386" s="51" t="n"/>
      <c r="F386" s="51" t="n"/>
    </row>
    <row r="387">
      <c r="B387" s="51" t="n"/>
      <c r="C387" s="51" t="n"/>
      <c r="D387" s="51" t="n"/>
      <c r="F387" s="51" t="n"/>
    </row>
    <row r="388">
      <c r="B388" s="51" t="n"/>
      <c r="C388" s="51" t="n"/>
      <c r="D388" s="51" t="n"/>
      <c r="F388" s="51" t="n"/>
    </row>
    <row r="389">
      <c r="B389" s="51" t="n"/>
      <c r="C389" s="51" t="n"/>
      <c r="D389" s="51" t="n"/>
      <c r="F389" s="51" t="n"/>
    </row>
    <row r="390">
      <c r="B390" s="51" t="n"/>
      <c r="C390" s="51" t="n"/>
      <c r="D390" s="51" t="n"/>
      <c r="F390" s="51" t="n"/>
    </row>
    <row r="391">
      <c r="B391" s="51" t="n"/>
      <c r="C391" s="51" t="n"/>
      <c r="D391" s="51" t="n"/>
      <c r="F391" s="51" t="n"/>
    </row>
    <row r="392">
      <c r="B392" s="51" t="n"/>
      <c r="C392" s="51" t="n"/>
      <c r="D392" s="51" t="n"/>
      <c r="F392" s="51" t="n"/>
    </row>
    <row r="393">
      <c r="B393" s="51" t="n"/>
      <c r="C393" s="51" t="n"/>
      <c r="D393" s="51" t="n"/>
      <c r="F393" s="51" t="n"/>
    </row>
    <row r="394">
      <c r="B394" s="51" t="n"/>
      <c r="C394" s="51" t="n"/>
      <c r="D394" s="51" t="n"/>
      <c r="F394" s="51" t="n"/>
    </row>
    <row r="395">
      <c r="B395" s="51" t="n"/>
      <c r="C395" s="51" t="n"/>
      <c r="D395" s="51" t="n"/>
      <c r="F395" s="51" t="n"/>
    </row>
    <row r="396">
      <c r="B396" s="51" t="n"/>
      <c r="C396" s="51" t="n"/>
      <c r="D396" s="51" t="n"/>
      <c r="F396" s="51" t="n"/>
    </row>
    <row r="397">
      <c r="B397" s="51" t="n"/>
      <c r="C397" s="51" t="n"/>
      <c r="D397" s="51" t="n"/>
      <c r="F397" s="51" t="n"/>
    </row>
    <row r="398">
      <c r="B398" s="51" t="n"/>
      <c r="C398" s="51" t="n"/>
      <c r="D398" s="51" t="n"/>
      <c r="F398" s="51" t="n"/>
    </row>
    <row r="399">
      <c r="B399" s="51" t="n"/>
      <c r="C399" s="51" t="n"/>
      <c r="D399" s="51" t="n"/>
      <c r="F399" s="51" t="n"/>
    </row>
    <row r="400">
      <c r="B400" s="51" t="n"/>
      <c r="C400" s="51" t="n"/>
      <c r="D400" s="51" t="n"/>
      <c r="F400" s="51" t="n"/>
    </row>
    <row r="401">
      <c r="B401" s="51" t="n"/>
      <c r="C401" s="51" t="n"/>
      <c r="D401" s="51" t="n"/>
      <c r="F401" s="51" t="n"/>
    </row>
    <row r="402">
      <c r="B402" s="51" t="n"/>
      <c r="C402" s="51" t="n"/>
      <c r="D402" s="51" t="n"/>
      <c r="F402" s="51" t="n"/>
    </row>
    <row r="403">
      <c r="B403" s="51" t="n"/>
      <c r="C403" s="51" t="n"/>
      <c r="D403" s="51" t="n"/>
      <c r="F403" s="51" t="n"/>
    </row>
    <row r="404">
      <c r="B404" s="51" t="n"/>
      <c r="C404" s="51" t="n"/>
      <c r="D404" s="51" t="n"/>
      <c r="F404" s="51" t="n"/>
    </row>
    <row r="405">
      <c r="B405" s="51" t="n"/>
      <c r="C405" s="51" t="n"/>
      <c r="D405" s="51" t="n"/>
      <c r="F405" s="51" t="n"/>
    </row>
    <row r="406">
      <c r="B406" s="51" t="n"/>
      <c r="C406" s="51" t="n"/>
      <c r="D406" s="51" t="n"/>
      <c r="F406" s="51" t="n"/>
    </row>
    <row r="407">
      <c r="B407" s="51" t="n"/>
      <c r="C407" s="51" t="n"/>
      <c r="D407" s="51" t="n"/>
      <c r="F407" s="51" t="n"/>
    </row>
    <row r="408">
      <c r="B408" s="51" t="n"/>
      <c r="C408" s="51" t="n"/>
      <c r="D408" s="51" t="n"/>
      <c r="F408" s="51" t="n"/>
    </row>
    <row r="409">
      <c r="B409" s="51" t="n"/>
      <c r="C409" s="51" t="n"/>
      <c r="D409" s="51" t="n"/>
      <c r="F409" s="51" t="n"/>
    </row>
    <row r="410">
      <c r="B410" s="51" t="n"/>
      <c r="C410" s="51" t="n"/>
      <c r="D410" s="51" t="n"/>
      <c r="F410" s="51" t="n"/>
    </row>
    <row r="411">
      <c r="B411" s="51" t="n"/>
      <c r="C411" s="51" t="n"/>
      <c r="D411" s="51" t="n"/>
      <c r="F411" s="51" t="n"/>
    </row>
    <row r="412">
      <c r="B412" s="51" t="n"/>
      <c r="C412" s="51" t="n"/>
      <c r="D412" s="51" t="n"/>
      <c r="F412" s="51" t="n"/>
    </row>
    <row r="413">
      <c r="B413" s="51" t="n"/>
      <c r="C413" s="51" t="n"/>
      <c r="D413" s="51" t="n"/>
      <c r="F413" s="51" t="n"/>
    </row>
    <row r="414">
      <c r="B414" s="51" t="n"/>
      <c r="C414" s="51" t="n"/>
      <c r="D414" s="51" t="n"/>
      <c r="F414" s="51" t="n"/>
    </row>
    <row r="415">
      <c r="B415" s="51" t="n"/>
      <c r="C415" s="51" t="n"/>
      <c r="D415" s="51" t="n"/>
      <c r="F415" s="51" t="n"/>
    </row>
    <row r="416">
      <c r="B416" s="51" t="n"/>
      <c r="C416" s="51" t="n"/>
      <c r="D416" s="51" t="n"/>
      <c r="F416" s="51" t="n"/>
    </row>
    <row r="417">
      <c r="B417" s="51" t="n"/>
      <c r="C417" s="51" t="n"/>
      <c r="D417" s="51" t="n"/>
      <c r="F417" s="51" t="n"/>
    </row>
    <row r="418">
      <c r="B418" s="51" t="n"/>
      <c r="C418" s="51" t="n"/>
      <c r="D418" s="51" t="n"/>
      <c r="F418" s="51" t="n"/>
    </row>
    <row r="419">
      <c r="B419" s="51" t="n"/>
      <c r="C419" s="51" t="n"/>
      <c r="D419" s="51" t="n"/>
      <c r="F419" s="51" t="n"/>
    </row>
    <row r="420">
      <c r="B420" s="51" t="n"/>
      <c r="C420" s="51" t="n"/>
      <c r="D420" s="51" t="n"/>
      <c r="F420" s="51" t="n"/>
    </row>
    <row r="421">
      <c r="B421" s="51" t="n"/>
      <c r="C421" s="51" t="n"/>
      <c r="D421" s="51" t="n"/>
      <c r="F421" s="51" t="n"/>
    </row>
    <row r="422">
      <c r="B422" s="51" t="n"/>
      <c r="C422" s="51" t="n"/>
      <c r="D422" s="51" t="n"/>
      <c r="F422" s="51" t="n"/>
    </row>
    <row r="423">
      <c r="B423" s="51" t="n"/>
      <c r="C423" s="51" t="n"/>
      <c r="D423" s="51" t="n"/>
      <c r="F423" s="51" t="n"/>
    </row>
    <row r="424">
      <c r="B424" s="51" t="n"/>
      <c r="C424" s="51" t="n"/>
      <c r="D424" s="51" t="n"/>
      <c r="F424" s="51" t="n"/>
    </row>
    <row r="425">
      <c r="B425" s="51" t="n"/>
      <c r="C425" s="51" t="n"/>
      <c r="D425" s="51" t="n"/>
      <c r="F425" s="51" t="n"/>
    </row>
    <row r="426">
      <c r="B426" s="51" t="n"/>
      <c r="C426" s="51" t="n"/>
      <c r="D426" s="51" t="n"/>
      <c r="F426" s="51" t="n"/>
    </row>
    <row r="427">
      <c r="B427" s="51" t="n"/>
      <c r="C427" s="51" t="n"/>
      <c r="D427" s="51" t="n"/>
      <c r="F427" s="51" t="n"/>
    </row>
    <row r="428">
      <c r="B428" s="51" t="n"/>
      <c r="C428" s="51" t="n"/>
      <c r="D428" s="51" t="n"/>
      <c r="F428" s="51" t="n"/>
    </row>
    <row r="429">
      <c r="B429" s="51" t="n"/>
      <c r="C429" s="51" t="n"/>
      <c r="D429" s="51" t="n"/>
      <c r="F429" s="51" t="n"/>
    </row>
    <row r="430">
      <c r="B430" s="51" t="n"/>
      <c r="C430" s="51" t="n"/>
      <c r="D430" s="51" t="n"/>
      <c r="F430" s="51" t="n"/>
    </row>
    <row r="431">
      <c r="B431" s="51" t="n"/>
      <c r="C431" s="51" t="n"/>
      <c r="D431" s="51" t="n"/>
      <c r="F431" s="51" t="n"/>
    </row>
    <row r="432">
      <c r="B432" s="51" t="n"/>
      <c r="C432" s="51" t="n"/>
      <c r="D432" s="51" t="n"/>
      <c r="F432" s="51" t="n"/>
    </row>
    <row r="433">
      <c r="B433" s="51" t="n"/>
      <c r="C433" s="51" t="n"/>
      <c r="D433" s="51" t="n"/>
      <c r="F433" s="51" t="n"/>
    </row>
    <row r="434">
      <c r="B434" s="51" t="n"/>
      <c r="C434" s="51" t="n"/>
      <c r="D434" s="51" t="n"/>
      <c r="F434" s="51" t="n"/>
    </row>
    <row r="435">
      <c r="B435" s="51" t="n"/>
      <c r="C435" s="51" t="n"/>
      <c r="D435" s="51" t="n"/>
      <c r="F435" s="51" t="n"/>
    </row>
    <row r="436">
      <c r="B436" s="51" t="n"/>
      <c r="C436" s="51" t="n"/>
      <c r="D436" s="51" t="n"/>
      <c r="F436" s="51" t="n"/>
    </row>
    <row r="437">
      <c r="B437" s="51" t="n"/>
      <c r="C437" s="51" t="n"/>
      <c r="D437" s="51" t="n"/>
      <c r="F437" s="51" t="n"/>
    </row>
    <row r="438">
      <c r="B438" s="51" t="n"/>
      <c r="C438" s="51" t="n"/>
      <c r="D438" s="51" t="n"/>
      <c r="F438" s="51" t="n"/>
    </row>
    <row r="439">
      <c r="B439" s="51" t="n"/>
      <c r="C439" s="51" t="n"/>
      <c r="D439" s="51" t="n"/>
      <c r="F439" s="51" t="n"/>
    </row>
    <row r="440">
      <c r="B440" s="51" t="n"/>
      <c r="C440" s="51" t="n"/>
      <c r="D440" s="51" t="n"/>
      <c r="F440" s="51" t="n"/>
    </row>
    <row r="441">
      <c r="B441" s="51" t="n"/>
      <c r="C441" s="51" t="n"/>
      <c r="D441" s="51" t="n"/>
      <c r="F441" s="51" t="n"/>
    </row>
    <row r="442">
      <c r="B442" s="51" t="n"/>
      <c r="C442" s="51" t="n"/>
      <c r="D442" s="51" t="n"/>
      <c r="F442" s="51" t="n"/>
    </row>
    <row r="443">
      <c r="B443" s="51" t="n"/>
      <c r="C443" s="51" t="n"/>
      <c r="D443" s="51" t="n"/>
      <c r="F443" s="51" t="n"/>
    </row>
    <row r="444">
      <c r="B444" s="51" t="n"/>
      <c r="C444" s="51" t="n"/>
      <c r="D444" s="51" t="n"/>
      <c r="F444" s="51" t="n"/>
    </row>
    <row r="445">
      <c r="B445" s="51" t="n"/>
      <c r="C445" s="51" t="n"/>
      <c r="D445" s="51" t="n"/>
      <c r="F445" s="51" t="n"/>
    </row>
    <row r="446">
      <c r="B446" s="51" t="n"/>
      <c r="C446" s="51" t="n"/>
      <c r="D446" s="51" t="n"/>
      <c r="F446" s="51" t="n"/>
    </row>
    <row r="447">
      <c r="B447" s="51" t="n"/>
      <c r="C447" s="51" t="n"/>
      <c r="D447" s="51" t="n"/>
      <c r="F447" s="51" t="n"/>
    </row>
    <row r="448">
      <c r="B448" s="51" t="n"/>
      <c r="C448" s="51" t="n"/>
      <c r="D448" s="51" t="n"/>
      <c r="F448" s="51" t="n"/>
    </row>
    <row r="449">
      <c r="B449" s="51" t="n"/>
      <c r="C449" s="51" t="n"/>
      <c r="D449" s="51" t="n"/>
      <c r="F449" s="51" t="n"/>
    </row>
    <row r="450">
      <c r="B450" s="51" t="n"/>
      <c r="C450" s="51" t="n"/>
      <c r="D450" s="51" t="n"/>
      <c r="F450" s="51" t="n"/>
    </row>
    <row r="451">
      <c r="B451" s="51" t="n"/>
      <c r="C451" s="51" t="n"/>
      <c r="D451" s="51" t="n"/>
      <c r="F451" s="51" t="n"/>
    </row>
    <row r="452">
      <c r="B452" s="51" t="n"/>
      <c r="C452" s="51" t="n"/>
      <c r="D452" s="51" t="n"/>
      <c r="F452" s="51" t="n"/>
    </row>
    <row r="453">
      <c r="B453" s="51" t="n"/>
      <c r="C453" s="51" t="n"/>
      <c r="D453" s="51" t="n"/>
      <c r="F453" s="51" t="n"/>
    </row>
    <row r="454">
      <c r="B454" s="51" t="n"/>
      <c r="C454" s="51" t="n"/>
      <c r="D454" s="51" t="n"/>
      <c r="F454" s="51" t="n"/>
    </row>
    <row r="455">
      <c r="B455" s="51" t="n"/>
      <c r="C455" s="51" t="n"/>
      <c r="D455" s="51" t="n"/>
      <c r="F455" s="51" t="n"/>
    </row>
    <row r="456">
      <c r="B456" s="51" t="n"/>
      <c r="C456" s="51" t="n"/>
      <c r="D456" s="51" t="n"/>
      <c r="F456" s="51" t="n"/>
    </row>
    <row r="457">
      <c r="B457" s="51" t="n"/>
      <c r="C457" s="51" t="n"/>
      <c r="D457" s="51" t="n"/>
      <c r="F457" s="51" t="n"/>
    </row>
    <row r="458">
      <c r="B458" s="51" t="n"/>
      <c r="C458" s="51" t="n"/>
      <c r="D458" s="51" t="n"/>
      <c r="F458" s="51" t="n"/>
    </row>
    <row r="459">
      <c r="B459" s="51" t="n"/>
      <c r="C459" s="51" t="n"/>
      <c r="D459" s="51" t="n"/>
      <c r="F459" s="51" t="n"/>
    </row>
    <row r="460">
      <c r="B460" s="51" t="n"/>
      <c r="C460" s="51" t="n"/>
      <c r="D460" s="51" t="n"/>
      <c r="F460" s="51" t="n"/>
    </row>
    <row r="461">
      <c r="B461" s="51" t="n"/>
      <c r="C461" s="51" t="n"/>
      <c r="D461" s="51" t="n"/>
      <c r="F461" s="51" t="n"/>
    </row>
    <row r="462">
      <c r="B462" s="51" t="n"/>
      <c r="C462" s="51" t="n"/>
      <c r="D462" s="51" t="n"/>
      <c r="F462" s="51" t="n"/>
    </row>
    <row r="463">
      <c r="B463" s="51" t="n"/>
      <c r="C463" s="51" t="n"/>
      <c r="D463" s="51" t="n"/>
      <c r="F463" s="51" t="n"/>
    </row>
    <row r="464">
      <c r="B464" s="51" t="n"/>
      <c r="C464" s="51" t="n"/>
      <c r="D464" s="51" t="n"/>
      <c r="F464" s="51" t="n"/>
    </row>
    <row r="465">
      <c r="B465" s="51" t="n"/>
      <c r="C465" s="51" t="n"/>
      <c r="D465" s="51" t="n"/>
      <c r="F465" s="51" t="n"/>
    </row>
    <row r="466">
      <c r="B466" s="51" t="n"/>
      <c r="C466" s="51" t="n"/>
      <c r="D466" s="51" t="n"/>
      <c r="F466" s="51" t="n"/>
    </row>
    <row r="467">
      <c r="B467" s="51" t="n"/>
      <c r="C467" s="51" t="n"/>
      <c r="D467" s="51" t="n"/>
      <c r="F467" s="51" t="n"/>
    </row>
    <row r="468">
      <c r="B468" s="51" t="n"/>
      <c r="C468" s="51" t="n"/>
      <c r="D468" s="51" t="n"/>
      <c r="F468" s="51" t="n"/>
    </row>
    <row r="469">
      <c r="B469" s="51" t="n"/>
      <c r="C469" s="51" t="n"/>
      <c r="D469" s="51" t="n"/>
      <c r="F469" s="51" t="n"/>
    </row>
    <row r="470">
      <c r="B470" s="51" t="n"/>
      <c r="C470" s="51" t="n"/>
      <c r="D470" s="51" t="n"/>
      <c r="F470" s="51" t="n"/>
    </row>
    <row r="471">
      <c r="B471" s="51" t="n"/>
      <c r="C471" s="51" t="n"/>
      <c r="D471" s="51" t="n"/>
      <c r="F471" s="51" t="n"/>
    </row>
    <row r="472">
      <c r="B472" s="51" t="n"/>
      <c r="C472" s="51" t="n"/>
      <c r="D472" s="51" t="n"/>
      <c r="F472" s="51" t="n"/>
    </row>
    <row r="473">
      <c r="B473" s="51" t="n"/>
      <c r="C473" s="51" t="n"/>
      <c r="D473" s="51" t="n"/>
      <c r="F473" s="51" t="n"/>
    </row>
    <row r="474">
      <c r="B474" s="51" t="n"/>
      <c r="C474" s="51" t="n"/>
      <c r="D474" s="51" t="n"/>
      <c r="F474" s="51" t="n"/>
    </row>
    <row r="475">
      <c r="B475" s="51" t="n"/>
      <c r="C475" s="51" t="n"/>
      <c r="D475" s="51" t="n"/>
      <c r="F475" s="51" t="n"/>
    </row>
    <row r="476">
      <c r="B476" s="51" t="n"/>
      <c r="C476" s="51" t="n"/>
      <c r="D476" s="51" t="n"/>
      <c r="F476" s="51" t="n"/>
    </row>
    <row r="477">
      <c r="B477" s="51" t="n"/>
      <c r="C477" s="51" t="n"/>
      <c r="D477" s="51" t="n"/>
      <c r="F477" s="51" t="n"/>
    </row>
    <row r="478">
      <c r="B478" s="51" t="n"/>
      <c r="C478" s="51" t="n"/>
      <c r="D478" s="51" t="n"/>
      <c r="F478" s="51" t="n"/>
    </row>
    <row r="479">
      <c r="B479" s="51" t="n"/>
      <c r="C479" s="51" t="n"/>
      <c r="D479" s="51" t="n"/>
      <c r="F479" s="51" t="n"/>
    </row>
    <row r="480">
      <c r="B480" s="51" t="n"/>
      <c r="C480" s="51" t="n"/>
      <c r="D480" s="51" t="n"/>
      <c r="F480" s="51" t="n"/>
    </row>
    <row r="481">
      <c r="B481" s="51" t="n"/>
      <c r="C481" s="51" t="n"/>
      <c r="D481" s="51" t="n"/>
      <c r="F481" s="51" t="n"/>
    </row>
    <row r="482">
      <c r="B482" s="51" t="n"/>
      <c r="C482" s="51" t="n"/>
      <c r="D482" s="51" t="n"/>
      <c r="F482" s="51" t="n"/>
    </row>
    <row r="483">
      <c r="B483" s="51" t="n"/>
      <c r="C483" s="51" t="n"/>
      <c r="D483" s="51" t="n"/>
      <c r="F483" s="51" t="n"/>
    </row>
    <row r="484">
      <c r="B484" s="51" t="n"/>
      <c r="C484" s="51" t="n"/>
      <c r="D484" s="51" t="n"/>
      <c r="F484" s="51" t="n"/>
    </row>
    <row r="485">
      <c r="B485" s="51" t="n"/>
      <c r="C485" s="51" t="n"/>
      <c r="D485" s="51" t="n"/>
      <c r="F485" s="51" t="n"/>
    </row>
    <row r="486">
      <c r="B486" s="51" t="n"/>
      <c r="C486" s="51" t="n"/>
      <c r="D486" s="51" t="n"/>
      <c r="F486" s="51" t="n"/>
    </row>
    <row r="487">
      <c r="B487" s="51" t="n"/>
      <c r="C487" s="51" t="n"/>
      <c r="D487" s="51" t="n"/>
      <c r="F487" s="51" t="n"/>
    </row>
    <row r="488">
      <c r="B488" s="51" t="n"/>
      <c r="C488" s="51" t="n"/>
      <c r="D488" s="51" t="n"/>
      <c r="F488" s="51" t="n"/>
    </row>
    <row r="489">
      <c r="B489" s="51" t="n"/>
      <c r="C489" s="51" t="n"/>
      <c r="D489" s="51" t="n"/>
      <c r="F489" s="51" t="n"/>
    </row>
    <row r="490">
      <c r="B490" s="51" t="n"/>
      <c r="C490" s="51" t="n"/>
      <c r="D490" s="51" t="n"/>
      <c r="F490" s="51" t="n"/>
    </row>
    <row r="491">
      <c r="B491" s="51" t="n"/>
      <c r="C491" s="51" t="n"/>
      <c r="D491" s="51" t="n"/>
      <c r="F491" s="51" t="n"/>
    </row>
    <row r="492">
      <c r="B492" s="51" t="n"/>
      <c r="C492" s="51" t="n"/>
      <c r="D492" s="51" t="n"/>
      <c r="F492" s="51" t="n"/>
    </row>
    <row r="493">
      <c r="B493" s="51" t="n"/>
      <c r="C493" s="51" t="n"/>
      <c r="D493" s="51" t="n"/>
      <c r="F493" s="51" t="n"/>
    </row>
    <row r="494">
      <c r="B494" s="51" t="n"/>
      <c r="C494" s="51" t="n"/>
      <c r="D494" s="51" t="n"/>
      <c r="F494" s="51" t="n"/>
    </row>
    <row r="495">
      <c r="B495" s="51" t="n"/>
      <c r="C495" s="51" t="n"/>
      <c r="D495" s="51" t="n"/>
      <c r="F495" s="51" t="n"/>
    </row>
    <row r="496">
      <c r="B496" s="51" t="n"/>
      <c r="C496" s="51" t="n"/>
      <c r="D496" s="51" t="n"/>
      <c r="F496" s="51" t="n"/>
    </row>
    <row r="497">
      <c r="B497" s="51" t="n"/>
      <c r="C497" s="51" t="n"/>
      <c r="D497" s="51" t="n"/>
      <c r="F497" s="51" t="n"/>
    </row>
    <row r="498">
      <c r="B498" s="51" t="n"/>
      <c r="C498" s="51" t="n"/>
      <c r="D498" s="51" t="n"/>
      <c r="F498" s="51" t="n"/>
    </row>
    <row r="499">
      <c r="B499" s="51" t="n"/>
      <c r="C499" s="51" t="n"/>
      <c r="D499" s="51" t="n"/>
      <c r="F499" s="51" t="n"/>
    </row>
    <row r="500">
      <c r="B500" s="51" t="n"/>
      <c r="C500" s="51" t="n"/>
      <c r="D500" s="51" t="n"/>
      <c r="F500" s="51" t="n"/>
    </row>
    <row r="501">
      <c r="B501" s="51" t="n"/>
      <c r="C501" s="51" t="n"/>
      <c r="D501" s="51" t="n"/>
      <c r="F501" s="51" t="n"/>
    </row>
    <row r="502">
      <c r="B502" s="51" t="n"/>
      <c r="C502" s="51" t="n"/>
      <c r="D502" s="51" t="n"/>
      <c r="F502" s="51" t="n"/>
    </row>
    <row r="503">
      <c r="B503" s="51" t="n"/>
      <c r="C503" s="51" t="n"/>
      <c r="D503" s="51" t="n"/>
      <c r="F503" s="51" t="n"/>
    </row>
    <row r="504">
      <c r="B504" s="51" t="n"/>
      <c r="C504" s="51" t="n"/>
      <c r="D504" s="51" t="n"/>
      <c r="F504" s="51" t="n"/>
    </row>
    <row r="505">
      <c r="B505" s="51" t="n"/>
      <c r="C505" s="51" t="n"/>
      <c r="D505" s="51" t="n"/>
      <c r="F505" s="51" t="n"/>
    </row>
    <row r="506">
      <c r="B506" s="51" t="n"/>
      <c r="C506" s="51" t="n"/>
      <c r="D506" s="51" t="n"/>
      <c r="F506" s="51" t="n"/>
    </row>
    <row r="507">
      <c r="B507" s="51" t="n"/>
      <c r="C507" s="51" t="n"/>
      <c r="D507" s="51" t="n"/>
      <c r="F507" s="51" t="n"/>
    </row>
    <row r="508">
      <c r="B508" s="51" t="n"/>
      <c r="C508" s="51" t="n"/>
      <c r="D508" s="51" t="n"/>
      <c r="F508" s="51" t="n"/>
    </row>
    <row r="509">
      <c r="B509" s="51" t="n"/>
      <c r="C509" s="51" t="n"/>
      <c r="D509" s="51" t="n"/>
      <c r="F509" s="51" t="n"/>
    </row>
    <row r="510">
      <c r="B510" s="51" t="n"/>
      <c r="C510" s="51" t="n"/>
      <c r="D510" s="51" t="n"/>
      <c r="F510" s="51" t="n"/>
    </row>
    <row r="511">
      <c r="B511" s="51" t="n"/>
      <c r="C511" s="51" t="n"/>
      <c r="D511" s="51" t="n"/>
      <c r="F511" s="51" t="n"/>
    </row>
    <row r="512">
      <c r="B512" s="51" t="n"/>
      <c r="C512" s="51" t="n"/>
      <c r="D512" s="51" t="n"/>
      <c r="F512" s="51" t="n"/>
    </row>
    <row r="513">
      <c r="B513" s="51" t="n"/>
      <c r="C513" s="51" t="n"/>
      <c r="D513" s="51" t="n"/>
      <c r="F513" s="51" t="n"/>
    </row>
    <row r="514">
      <c r="B514" s="51" t="n"/>
      <c r="C514" s="51" t="n"/>
      <c r="D514" s="51" t="n"/>
      <c r="F514" s="51" t="n"/>
    </row>
    <row r="515">
      <c r="B515" s="51" t="n"/>
      <c r="C515" s="51" t="n"/>
      <c r="D515" s="51" t="n"/>
      <c r="F515" s="51" t="n"/>
    </row>
    <row r="516">
      <c r="B516" s="51" t="n"/>
      <c r="C516" s="51" t="n"/>
      <c r="D516" s="51" t="n"/>
      <c r="F516" s="51" t="n"/>
    </row>
    <row r="517">
      <c r="B517" s="51" t="n"/>
      <c r="C517" s="51" t="n"/>
      <c r="D517" s="51" t="n"/>
      <c r="F517" s="51"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AND(LEN($B17&amp;$C17&amp;$D17&amp;$E17&amp;$F17&amp;$G17)&gt;0,B17="")</formula>
    </cfRule>
  </conditionalFormatting>
  <conditionalFormatting sqref="C17:C517">
    <cfRule type="expression" priority="3" dxfId="6">
      <formula>AND(LEN($B17&amp;$C17&amp;$D17&amp;$E17&amp;$F17&amp;$G17)&gt;0,C17="")</formula>
    </cfRule>
  </conditionalFormatting>
  <conditionalFormatting sqref="D17:D517">
    <cfRule type="expression" priority="4" dxfId="6">
      <formula>AND(LEN($B17&amp;$C17&amp;$D17&amp;$E17&amp;$F17&amp;$G17)&gt;0,D17="")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ole in user access" error="Choose a value of the list Role in user access (sheet Reference lists)." promptTitle="Role in user access" prompt="Yes. The user access role of the user Allowed: Requestor, Approver, Second Approver, Group-profile requester, Implementer (list Role in user access)" type="list" errorStyle="stop">
      <formula1>=LIST_UA_ROLE</formula1>
    </dataValidation>
    <dataValidation sqref="C17:C517" showDropDown="0" showInputMessage="1" showErrorMessage="1" allowBlank="1" errorTitle="User ID" error="The code is not in UA-01, column User ID. Enter it there first, or keep it if it is a code BIBS already holds." promptTitle="User ID" prompt="Yes. The user who holds the role Allowed: A code of UA-01 Users and roles load, column User ID" type="list" errorStyle="warning">
      <formula1>=CODES_UA_01_USER_ID</formula1>
    </dataValidation>
    <dataValidation sqref="D17:D517" showDropDown="0" showInputMessage="1" showErrorMessage="0" allowBlank="1" promptTitle="Unit" prompt="Yes. Unit the user requests or approves for"/>
    <dataValidation sqref="E17:E517" showDropDown="0" showInputMessage="1" showErrorMessage="1" allowBlank="1" errorTitle="Approver order for group profile" error="Enter a whole number from 1 to 9." promptTitle="Approver order for group profile" prompt="Conditional: Approver. Usual order of the approvers of a group-profile request Allowed: A whole number from 1 to 9" type="whole" operator="between">
      <formula1>1</formula1>
      <formula2>9</formula2>
    </dataValidation>
    <dataValidation sqref="F17:F517" showDropDown="0" showInputMessage="1" showErrorMessage="1" allowBlank="1" errorTitle="Any approver may decide" error="Choose a value of the list Yes or no (sheet Reference lists)." promptTitle="Any approver may decide" prompt="No. Y sets UAM_ANY_APPROVER: any approver decides any request, not only the chosen one Allowed: Y or N" type="list" errorStyle="stop">
      <formula1>=LIST_YES_NO</formula1>
    </dataValidation>
    <dataValidation sqref="G17:G517" showDropDown="0" showInputMessage="1" showErrorMessage="1" allowBlank="1" errorTitle="Authorisation limit" error="Enter a number." promptTitle="Authorisation limit" prompt="No. Limit of the user's approvals by amount in the modules that use it (journals, payables) Allowed: A number" type="decimal" operator="greaterThanOrEqual">
      <formula1>-1E+15</formula1>
    </dataValidation>
  </dataValidations>
  <hyperlinks>
    <hyperlink ref="A2" location="'Start here'!A1"/>
    <hyperlink ref="G2" location="'Questions and comments'!A1"/>
    <hyperlink ref="B8" location="'UA-01 Users and roles'!A1"/>
    <hyperlink ref="B14" location="'Reference lists'!A151"/>
    <hyperlink ref="C14" location="'UA-01 Users and roles'!C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7" t="inlineStr">
        <is>
          <t>PM-06 Packages in force at go-live</t>
        </is>
      </c>
      <c r="J1" s="28" t="inlineStr">
        <is>
          <t>Step 25 of 31</t>
        </is>
      </c>
    </row>
    <row r="2">
      <c r="A2" s="29" t="inlineStr">
        <is>
          <t>← Back to Start here</t>
        </is>
      </c>
      <c r="B2" s="30" t="inlineStr">
        <is>
          <t>Step 25 of 31. Fill in one row per record below the column headers; the guide above each column says what to enter.</t>
        </is>
      </c>
      <c r="J2" s="31" t="inlineStr">
        <is>
          <t>Ask a question →</t>
        </is>
      </c>
    </row>
    <row r="3" outlineLevel="1" ht="15.5" customHeight="1">
      <c r="A3" s="32" t="inlineStr">
        <is>
          <t>Purpose</t>
        </is>
      </c>
      <c r="B3" s="33" t="inlineStr">
        <is>
          <t>For every package sold at go-live: its terms as they will be set up in BIBS through a package request (TSU) and a package version (MBS): rate scheme, dates, coverages, panel insurers and their terms</t>
        </is>
      </c>
    </row>
    <row r="4" outlineLevel="1" ht="15.5" customHeight="1">
      <c r="A4" s="32" t="inlineStr">
        <is>
          <t>Provided by</t>
        </is>
      </c>
      <c r="B4" s="33" t="inlineStr">
        <is>
          <t>TSU (prepares); Product Owner, MBS (approves)</t>
        </is>
      </c>
    </row>
    <row r="5" outlineLevel="1" ht="15.5" customHeight="1">
      <c r="A5" s="32" t="inlineStr">
        <is>
          <t>Due</t>
        </is>
      </c>
      <c r="B5" s="34" t="inlineStr">
        <is>
          <t>1-Nov-2027 – Production values before the dress rehearsal</t>
        </is>
      </c>
    </row>
    <row r="6" outlineLevel="1" ht="15.5" customHeight="1">
      <c r="A6" s="32" t="inlineStr">
        <is>
          <t>How it is loaded</t>
        </is>
      </c>
      <c r="B6" s="33" t="inlineStr">
        <is>
          <t>Not migrated: TSU raises a package request per package (type New package, or Update for an existing risk code) and MBS sets up and validates the version before the map freeze; the Package Request Form accepts the same fields</t>
        </is>
      </c>
    </row>
    <row r="7" outlineLevel="1" ht="15.5" customHeight="1">
      <c r="A7" s="32" t="inlineStr">
        <is>
          <t>Source</t>
        </is>
      </c>
      <c r="B7" s="33" t="inlineStr">
        <is>
          <t>Signed package slips and ManCom sign-offs in force</t>
        </is>
      </c>
    </row>
    <row r="8" outlineLevel="1" ht="26" customHeight="1">
      <c r="A8" s="32" t="inlineStr">
        <is>
          <t>Depends on</t>
        </is>
      </c>
      <c r="B8" s="55" t="inlineStr">
        <is>
          <t>PM-01 Product catalogue →</t>
        </is>
      </c>
      <c r="D8" s="55" t="inlineStr">
        <is>
          <t>PM-02 Coverages, perils and field rules →</t>
        </is>
      </c>
      <c r="E8" s="55" t="inlineStr">
        <is>
          <t>PM-05 Insurers, branches and commission rates →</t>
        </is>
      </c>
      <c r="F8" s="55" t="inlineStr">
        <is>
          <t>PM-03 Clause library →</t>
        </is>
      </c>
    </row>
    <row r="9" ht="26" customHeight="1">
      <c r="A9" s="36" t="inlineStr">
        <is>
          <t>Progress</t>
        </is>
      </c>
      <c r="B9" s="37" t="inlineStr">
        <is>
          <t>Rows entered</t>
        </is>
      </c>
      <c r="C9" s="38">
        <f>SUMPRODUCT(((ROW($B$17:$B$517)&gt;17)+($B$17&lt;&gt;"MTR30")&gt;0)*(LEN($B$17:$B$517&amp;$C$17:$C$517&amp;$D$17:$D$517&amp;$E$17:$E$517&amp;$F$17:$F$517&amp;$G$17:$G$517&amp;$H$17:$H$517&amp;$I$17:$I$517&amp;$J$17:$J$517)&gt;0))</f>
        <v/>
      </c>
      <c r="D9" s="37" t="inlineStr">
        <is>
          <t>Mandatory cells missing</t>
        </is>
      </c>
      <c r="E9" s="38">
        <f>SUMPRODUCT(((ROW($B$17:$B$517)&gt;17)+($B$17&lt;&gt;"MTR30")&gt;0)*(LEN($B$17:$B$517&amp;$C$17:$C$517&amp;$D$17:$D$517&amp;$E$17:$E$517&amp;$F$17:$F$517&amp;$G$17:$G$517&amp;$H$17:$H$517&amp;$I$17:$I$517&amp;$J$17:$J$517)&gt;0)*(($B$17:$B$517="")+($C$17:$C$517="")+($D$17:$D$517="")+($E$17:$E$517="")+($F$17:$F$517="")+($G$17:$G$517="")+($H$17:$H$517="")+($I$17:$I$517="")+($J$17:$J$517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row>
    <row r="12" ht="30" customHeight="1">
      <c r="A12" s="43" t="inlineStr">
        <is>
          <t>Mandatory</t>
        </is>
      </c>
      <c r="B12" s="44" t="inlineStr">
        <is>
          <t>Yes</t>
        </is>
      </c>
      <c r="C12" s="44" t="inlineStr">
        <is>
          <t>Yes (name, scope)</t>
        </is>
      </c>
      <c r="D12" s="44" t="inlineStr">
        <is>
          <t>Yes (effective from, package end)</t>
        </is>
      </c>
      <c r="E12" s="44" t="inlineStr">
        <is>
          <t>Yes (minimum, commission; rate or insurer rates)</t>
        </is>
      </c>
      <c r="F12" s="44" t="inlineStr">
        <is>
          <t>Yes</t>
        </is>
      </c>
      <c r="G12" s="44" t="inlineStr">
        <is>
          <t>Yes (one basic coverage)</t>
        </is>
      </c>
      <c r="H12" s="44" t="inlineStr">
        <is>
          <t>Yes (the panel)</t>
        </is>
      </c>
      <c r="I12" s="44" t="inlineStr">
        <is>
          <t>Yes (every insurer and included coverage)</t>
        </is>
      </c>
      <c r="J12" s="44" t="inlineStr">
        <is>
          <t>Yes</t>
        </is>
      </c>
    </row>
    <row r="13" ht="30" customHeight="1">
      <c r="A13" s="43" t="inlineStr">
        <is>
          <t>Format</t>
        </is>
      </c>
      <c r="B13" s="45" t="inlineStr">
        <is>
          <t>Code of CI-01</t>
        </is>
      </c>
      <c r="C13" s="45" t="inlineStr">
        <is>
          <t>Text; Generic or Client-specific; client code</t>
        </is>
      </c>
      <c r="D13" s="45" t="inlineStr">
        <is>
          <t>dd-MMM-yyyy</t>
        </is>
      </c>
      <c r="E13" s="45" t="inlineStr">
        <is>
          <t>Percentages and PHP amounts</t>
        </is>
      </c>
      <c r="F13" s="45" t="inlineStr">
        <is>
          <t>Text</t>
        </is>
      </c>
      <c r="G13" s="45" t="inlineStr">
        <is>
          <t>Codes of CI-02; Y or N; PHP</t>
        </is>
      </c>
      <c r="H13" s="45" t="inlineStr">
        <is>
          <t>Codes of CI-05; Panel, Lead or Participant; shares total 100</t>
        </is>
      </c>
      <c r="I13" s="45" t="inlineStr">
        <is>
          <t>Codes of CI-03 separated by commas</t>
        </is>
      </c>
      <c r="J13" s="45" t="inlineStr">
        <is>
          <t>Reference; the signed slip file</t>
        </is>
      </c>
    </row>
    <row r="14" ht="56" customHeight="1">
      <c r="A14" s="43" t="inlineStr">
        <is>
          <t>Allowed values</t>
        </is>
      </c>
      <c r="B14" s="53" t="inlineStr">
        <is>
          <t>A code of PM-01 Product catalogue, column Risk code</t>
        </is>
      </c>
      <c r="C14" s="45" t="inlineStr">
        <is>
          <t>Free entry</t>
        </is>
      </c>
      <c r="D14" s="45" t="inlineStr">
        <is>
          <t>Free entry</t>
        </is>
      </c>
      <c r="E14" s="45" t="inlineStr">
        <is>
          <t>Free entry</t>
        </is>
      </c>
      <c r="F14" s="45" t="inlineStr">
        <is>
          <t>Free entry</t>
        </is>
      </c>
      <c r="G14" s="53" t="inlineStr">
        <is>
          <t>Codes of PM-02 Coverages, perils and field rules, column Code or field key (one or more)</t>
        </is>
      </c>
      <c r="H14" s="53" t="inlineStr">
        <is>
          <t>Codes of PM-05 Insurers, branches and commission rates, column Partner code (one or more)</t>
        </is>
      </c>
      <c r="I14" s="53" t="inlineStr">
        <is>
          <t>Codes of PM-03 Clause library, column Clause code (one or more)</t>
        </is>
      </c>
      <c r="J14" s="45" t="inlineStr">
        <is>
          <t>Free entry</t>
        </is>
      </c>
    </row>
    <row r="15" ht="17" customHeight="1">
      <c r="A15" s="43" t="inlineStr">
        <is>
          <t>What to enter</t>
        </is>
      </c>
      <c r="B15" s="45" t="inlineStr">
        <is>
          <t>Package product</t>
        </is>
      </c>
      <c r="C15" s="45" t="inlineStr">
        <is>
          <t>As on the Package Request Form</t>
        </is>
      </c>
      <c r="D15" s="45" t="inlineStr">
        <is>
          <t>Dates of the version</t>
        </is>
      </c>
      <c r="E15" s="45" t="inlineStr">
        <is>
          <t>Rate scheme of the version</t>
        </is>
      </c>
      <c r="F15" s="45" t="inlineStr">
        <is>
          <t>How the premium is computed</t>
        </is>
      </c>
      <c r="G15" s="45" t="inlineStr">
        <is>
          <t>Coverages of the version</t>
        </is>
      </c>
      <c r="H15" s="45" t="inlineStr">
        <is>
          <t>Panel insurers</t>
        </is>
      </c>
      <c r="I15" s="45" t="inlineStr">
        <is>
          <t>Terms per insurer and coverage</t>
        </is>
      </c>
      <c r="J15" s="45" t="inlineStr">
        <is>
          <t>Evidence kept on the request</t>
        </is>
      </c>
    </row>
    <row r="16" ht="32" customHeight="1">
      <c r="A16" s="46" t="inlineStr">
        <is>
          <t>Row</t>
        </is>
      </c>
      <c r="B16" s="47" t="inlineStr">
        <is>
          <t>Risk code *</t>
        </is>
      </c>
      <c r="C16" s="47" t="inlineStr">
        <is>
          <t>Package name / Scope / Client code *</t>
        </is>
      </c>
      <c r="D16" s="47" t="inlineStr">
        <is>
          <t>Effective from / Package start / Package end / Anniversary *</t>
        </is>
      </c>
      <c r="E16" s="47" t="inlineStr">
        <is>
          <t>Package rate % / Minimum premium / Commission % / Package TSI limit *</t>
        </is>
      </c>
      <c r="F16" s="47" t="inlineStr">
        <is>
          <t>Computation basis *</t>
        </is>
      </c>
      <c r="G16" s="47" t="inlineStr">
        <is>
          <t>Coverage code / Included / Optional / Limit / Deductible *</t>
        </is>
      </c>
      <c r="H16" s="47" t="inlineStr">
        <is>
          <t>Insurer code / Role / Share % / Rate % / Minimum premium *</t>
        </is>
      </c>
      <c r="I16" s="47" t="inlineStr">
        <is>
          <t>Insurer terms: insurer / coverage / limit / deductible / clauses *</t>
        </is>
      </c>
      <c r="J16" s="47" t="inlineStr">
        <is>
          <t>ManCom sign-off reference / Signed package slip *</t>
        </is>
      </c>
    </row>
    <row r="17" ht="30" customHeight="1">
      <c r="A17" s="48" t="inlineStr">
        <is>
          <t>Example – overwrite or delete</t>
        </is>
      </c>
      <c r="B17" s="49" t="inlineStr">
        <is>
          <t>MTR30</t>
        </is>
      </c>
      <c r="C17" s="49" t="inlineStr">
        <is>
          <t>Motor Fleet Plus; Generic</t>
        </is>
      </c>
      <c r="D17" s="49" t="inlineStr">
        <is>
          <t>01-Jan-2028; 01-Jan-2028; 31-Dec-2028; -</t>
        </is>
      </c>
      <c r="E17" s="49" t="inlineStr">
        <is>
          <t>1.2000; 5000.00; 15; 5000000.00</t>
        </is>
      </c>
      <c r="F17" s="49" t="inlineStr">
        <is>
          <t>Comprehensive rate on the vehicle value</t>
        </is>
      </c>
      <c r="G17" s="49" t="inlineStr">
        <is>
          <t>OD_THEFT; Y; N; -; 2000.00</t>
        </is>
      </c>
      <c r="H17" s="49" t="inlineStr">
        <is>
          <t>INS-MGIC; Panel; -; 1.2000; -</t>
        </is>
      </c>
      <c r="I17" s="49" t="inlineStr">
        <is>
          <t>INS-MGIC; OD_THEFT; -; 2000.00; FLEET_REPAIR</t>
        </is>
      </c>
      <c r="J17" s="49" t="inlineStr">
        <is>
          <t>MC-2026-017</t>
        </is>
      </c>
    </row>
    <row r="18">
      <c r="B18" s="51" t="n"/>
      <c r="C18" s="51" t="n"/>
      <c r="D18" s="51" t="n"/>
      <c r="E18" s="51" t="n"/>
      <c r="F18" s="51" t="n"/>
      <c r="G18" s="51" t="n"/>
      <c r="H18" s="51" t="n"/>
      <c r="I18" s="51" t="n"/>
      <c r="J18" s="51" t="n"/>
    </row>
    <row r="19">
      <c r="B19" s="51" t="n"/>
      <c r="C19" s="51" t="n"/>
      <c r="D19" s="51" t="n"/>
      <c r="E19" s="51" t="n"/>
      <c r="F19" s="51" t="n"/>
      <c r="G19" s="51" t="n"/>
      <c r="H19" s="51" t="n"/>
      <c r="I19" s="51" t="n"/>
      <c r="J19" s="51" t="n"/>
    </row>
    <row r="20">
      <c r="B20" s="51" t="n"/>
      <c r="C20" s="51" t="n"/>
      <c r="D20" s="51" t="n"/>
      <c r="E20" s="51" t="n"/>
      <c r="F20" s="51" t="n"/>
      <c r="G20" s="51" t="n"/>
      <c r="H20" s="51" t="n"/>
      <c r="I20" s="51" t="n"/>
      <c r="J20" s="51" t="n"/>
    </row>
    <row r="21">
      <c r="B21" s="51" t="n"/>
      <c r="C21" s="51" t="n"/>
      <c r="D21" s="51" t="n"/>
      <c r="E21" s="51" t="n"/>
      <c r="F21" s="51" t="n"/>
      <c r="G21" s="51" t="n"/>
      <c r="H21" s="51" t="n"/>
      <c r="I21" s="51" t="n"/>
      <c r="J21" s="51" t="n"/>
    </row>
    <row r="22">
      <c r="B22" s="51" t="n"/>
      <c r="C22" s="51" t="n"/>
      <c r="D22" s="51" t="n"/>
      <c r="E22" s="51" t="n"/>
      <c r="F22" s="51" t="n"/>
      <c r="G22" s="51" t="n"/>
      <c r="H22" s="51" t="n"/>
      <c r="I22" s="51" t="n"/>
      <c r="J22" s="51" t="n"/>
    </row>
    <row r="23">
      <c r="B23" s="51" t="n"/>
      <c r="C23" s="51" t="n"/>
      <c r="D23" s="51" t="n"/>
      <c r="E23" s="51" t="n"/>
      <c r="F23" s="51" t="n"/>
      <c r="G23" s="51" t="n"/>
      <c r="H23" s="51" t="n"/>
      <c r="I23" s="51" t="n"/>
      <c r="J23" s="51" t="n"/>
    </row>
    <row r="24">
      <c r="B24" s="51" t="n"/>
      <c r="C24" s="51" t="n"/>
      <c r="D24" s="51" t="n"/>
      <c r="E24" s="51" t="n"/>
      <c r="F24" s="51" t="n"/>
      <c r="G24" s="51" t="n"/>
      <c r="H24" s="51" t="n"/>
      <c r="I24" s="51" t="n"/>
      <c r="J24" s="51" t="n"/>
    </row>
    <row r="25">
      <c r="B25" s="51" t="n"/>
      <c r="C25" s="51" t="n"/>
      <c r="D25" s="51" t="n"/>
      <c r="E25" s="51" t="n"/>
      <c r="F25" s="51" t="n"/>
      <c r="G25" s="51" t="n"/>
      <c r="H25" s="51" t="n"/>
      <c r="I25" s="51" t="n"/>
      <c r="J25" s="51" t="n"/>
    </row>
    <row r="26">
      <c r="B26" s="51" t="n"/>
      <c r="C26" s="51" t="n"/>
      <c r="D26" s="51" t="n"/>
      <c r="E26" s="51" t="n"/>
      <c r="F26" s="51" t="n"/>
      <c r="G26" s="51" t="n"/>
      <c r="H26" s="51" t="n"/>
      <c r="I26" s="51" t="n"/>
      <c r="J26" s="51" t="n"/>
    </row>
    <row r="27">
      <c r="B27" s="51" t="n"/>
      <c r="C27" s="51" t="n"/>
      <c r="D27" s="51" t="n"/>
      <c r="E27" s="51" t="n"/>
      <c r="F27" s="51" t="n"/>
      <c r="G27" s="51" t="n"/>
      <c r="H27" s="51" t="n"/>
      <c r="I27" s="51" t="n"/>
      <c r="J27" s="51" t="n"/>
    </row>
    <row r="28">
      <c r="B28" s="51" t="n"/>
      <c r="C28" s="51" t="n"/>
      <c r="D28" s="51" t="n"/>
      <c r="E28" s="51" t="n"/>
      <c r="F28" s="51" t="n"/>
      <c r="G28" s="51" t="n"/>
      <c r="H28" s="51" t="n"/>
      <c r="I28" s="51" t="n"/>
      <c r="J28" s="51" t="n"/>
    </row>
    <row r="29">
      <c r="B29" s="51" t="n"/>
      <c r="C29" s="51" t="n"/>
      <c r="D29" s="51" t="n"/>
      <c r="E29" s="51" t="n"/>
      <c r="F29" s="51" t="n"/>
      <c r="G29" s="51" t="n"/>
      <c r="H29" s="51" t="n"/>
      <c r="I29" s="51" t="n"/>
      <c r="J29" s="51" t="n"/>
    </row>
    <row r="30">
      <c r="B30" s="51" t="n"/>
      <c r="C30" s="51" t="n"/>
      <c r="D30" s="51" t="n"/>
      <c r="E30" s="51" t="n"/>
      <c r="F30" s="51" t="n"/>
      <c r="G30" s="51" t="n"/>
      <c r="H30" s="51" t="n"/>
      <c r="I30" s="51" t="n"/>
      <c r="J30" s="51" t="n"/>
    </row>
    <row r="31">
      <c r="B31" s="51" t="n"/>
      <c r="C31" s="51" t="n"/>
      <c r="D31" s="51" t="n"/>
      <c r="E31" s="51" t="n"/>
      <c r="F31" s="51" t="n"/>
      <c r="G31" s="51" t="n"/>
      <c r="H31" s="51" t="n"/>
      <c r="I31" s="51" t="n"/>
      <c r="J31" s="51" t="n"/>
    </row>
    <row r="32">
      <c r="B32" s="51" t="n"/>
      <c r="C32" s="51" t="n"/>
      <c r="D32" s="51" t="n"/>
      <c r="E32" s="51" t="n"/>
      <c r="F32" s="51" t="n"/>
      <c r="G32" s="51" t="n"/>
      <c r="H32" s="51" t="n"/>
      <c r="I32" s="51" t="n"/>
      <c r="J32" s="51" t="n"/>
    </row>
    <row r="33">
      <c r="B33" s="51" t="n"/>
      <c r="C33" s="51" t="n"/>
      <c r="D33" s="51" t="n"/>
      <c r="E33" s="51" t="n"/>
      <c r="F33" s="51" t="n"/>
      <c r="G33" s="51" t="n"/>
      <c r="H33" s="51" t="n"/>
      <c r="I33" s="51" t="n"/>
      <c r="J33" s="51" t="n"/>
    </row>
    <row r="34">
      <c r="B34" s="51" t="n"/>
      <c r="C34" s="51" t="n"/>
      <c r="D34" s="51" t="n"/>
      <c r="E34" s="51" t="n"/>
      <c r="F34" s="51" t="n"/>
      <c r="G34" s="51" t="n"/>
      <c r="H34" s="51" t="n"/>
      <c r="I34" s="51" t="n"/>
      <c r="J34" s="51" t="n"/>
    </row>
    <row r="35">
      <c r="B35" s="51" t="n"/>
      <c r="C35" s="51" t="n"/>
      <c r="D35" s="51" t="n"/>
      <c r="E35" s="51" t="n"/>
      <c r="F35" s="51" t="n"/>
      <c r="G35" s="51" t="n"/>
      <c r="H35" s="51" t="n"/>
      <c r="I35" s="51" t="n"/>
      <c r="J35" s="51" t="n"/>
    </row>
    <row r="36">
      <c r="B36" s="51" t="n"/>
      <c r="C36" s="51" t="n"/>
      <c r="D36" s="51" t="n"/>
      <c r="E36" s="51" t="n"/>
      <c r="F36" s="51" t="n"/>
      <c r="G36" s="51" t="n"/>
      <c r="H36" s="51" t="n"/>
      <c r="I36" s="51" t="n"/>
      <c r="J36" s="51" t="n"/>
    </row>
    <row r="37">
      <c r="B37" s="51" t="n"/>
      <c r="C37" s="51" t="n"/>
      <c r="D37" s="51" t="n"/>
      <c r="E37" s="51" t="n"/>
      <c r="F37" s="51" t="n"/>
      <c r="G37" s="51" t="n"/>
      <c r="H37" s="51" t="n"/>
      <c r="I37" s="51" t="n"/>
      <c r="J37" s="51" t="n"/>
    </row>
    <row r="38">
      <c r="B38" s="51" t="n"/>
      <c r="C38" s="51" t="n"/>
      <c r="D38" s="51" t="n"/>
      <c r="E38" s="51" t="n"/>
      <c r="F38" s="51" t="n"/>
      <c r="G38" s="51" t="n"/>
      <c r="H38" s="51" t="n"/>
      <c r="I38" s="51" t="n"/>
      <c r="J38" s="51" t="n"/>
    </row>
    <row r="39">
      <c r="B39" s="51" t="n"/>
      <c r="C39" s="51" t="n"/>
      <c r="D39" s="51" t="n"/>
      <c r="E39" s="51" t="n"/>
      <c r="F39" s="51" t="n"/>
      <c r="G39" s="51" t="n"/>
      <c r="H39" s="51" t="n"/>
      <c r="I39" s="51" t="n"/>
      <c r="J39" s="51" t="n"/>
    </row>
    <row r="40">
      <c r="B40" s="51" t="n"/>
      <c r="C40" s="51" t="n"/>
      <c r="D40" s="51" t="n"/>
      <c r="E40" s="51" t="n"/>
      <c r="F40" s="51" t="n"/>
      <c r="G40" s="51" t="n"/>
      <c r="H40" s="51" t="n"/>
      <c r="I40" s="51" t="n"/>
      <c r="J40" s="51" t="n"/>
    </row>
    <row r="41">
      <c r="B41" s="51" t="n"/>
      <c r="C41" s="51" t="n"/>
      <c r="D41" s="51" t="n"/>
      <c r="E41" s="51" t="n"/>
      <c r="F41" s="51" t="n"/>
      <c r="G41" s="51" t="n"/>
      <c r="H41" s="51" t="n"/>
      <c r="I41" s="51" t="n"/>
      <c r="J41" s="51" t="n"/>
    </row>
    <row r="42">
      <c r="B42" s="51" t="n"/>
      <c r="C42" s="51" t="n"/>
      <c r="D42" s="51" t="n"/>
      <c r="E42" s="51" t="n"/>
      <c r="F42" s="51" t="n"/>
      <c r="G42" s="51" t="n"/>
      <c r="H42" s="51" t="n"/>
      <c r="I42" s="51" t="n"/>
      <c r="J42" s="51" t="n"/>
    </row>
    <row r="43">
      <c r="B43" s="51" t="n"/>
      <c r="C43" s="51" t="n"/>
      <c r="D43" s="51" t="n"/>
      <c r="E43" s="51" t="n"/>
      <c r="F43" s="51" t="n"/>
      <c r="G43" s="51" t="n"/>
      <c r="H43" s="51" t="n"/>
      <c r="I43" s="51" t="n"/>
      <c r="J43" s="51" t="n"/>
    </row>
    <row r="44">
      <c r="B44" s="51" t="n"/>
      <c r="C44" s="51" t="n"/>
      <c r="D44" s="51" t="n"/>
      <c r="E44" s="51" t="n"/>
      <c r="F44" s="51" t="n"/>
      <c r="G44" s="51" t="n"/>
      <c r="H44" s="51" t="n"/>
      <c r="I44" s="51" t="n"/>
      <c r="J44" s="51" t="n"/>
    </row>
    <row r="45">
      <c r="B45" s="51" t="n"/>
      <c r="C45" s="51" t="n"/>
      <c r="D45" s="51" t="n"/>
      <c r="E45" s="51" t="n"/>
      <c r="F45" s="51" t="n"/>
      <c r="G45" s="51" t="n"/>
      <c r="H45" s="51" t="n"/>
      <c r="I45" s="51" t="n"/>
      <c r="J45" s="51" t="n"/>
    </row>
    <row r="46">
      <c r="B46" s="51" t="n"/>
      <c r="C46" s="51" t="n"/>
      <c r="D46" s="51" t="n"/>
      <c r="E46" s="51" t="n"/>
      <c r="F46" s="51" t="n"/>
      <c r="G46" s="51" t="n"/>
      <c r="H46" s="51" t="n"/>
      <c r="I46" s="51" t="n"/>
      <c r="J46" s="51" t="n"/>
    </row>
    <row r="47">
      <c r="B47" s="51" t="n"/>
      <c r="C47" s="51" t="n"/>
      <c r="D47" s="51" t="n"/>
      <c r="E47" s="51" t="n"/>
      <c r="F47" s="51" t="n"/>
      <c r="G47" s="51" t="n"/>
      <c r="H47" s="51" t="n"/>
      <c r="I47" s="51" t="n"/>
      <c r="J47" s="51" t="n"/>
    </row>
    <row r="48">
      <c r="B48" s="51" t="n"/>
      <c r="C48" s="51" t="n"/>
      <c r="D48" s="51" t="n"/>
      <c r="E48" s="51" t="n"/>
      <c r="F48" s="51" t="n"/>
      <c r="G48" s="51" t="n"/>
      <c r="H48" s="51" t="n"/>
      <c r="I48" s="51" t="n"/>
      <c r="J48" s="51" t="n"/>
    </row>
    <row r="49">
      <c r="B49" s="51" t="n"/>
      <c r="C49" s="51" t="n"/>
      <c r="D49" s="51" t="n"/>
      <c r="E49" s="51" t="n"/>
      <c r="F49" s="51" t="n"/>
      <c r="G49" s="51" t="n"/>
      <c r="H49" s="51" t="n"/>
      <c r="I49" s="51" t="n"/>
      <c r="J49" s="51" t="n"/>
    </row>
    <row r="50">
      <c r="B50" s="51" t="n"/>
      <c r="C50" s="51" t="n"/>
      <c r="D50" s="51" t="n"/>
      <c r="E50" s="51" t="n"/>
      <c r="F50" s="51" t="n"/>
      <c r="G50" s="51" t="n"/>
      <c r="H50" s="51" t="n"/>
      <c r="I50" s="51" t="n"/>
      <c r="J50" s="51" t="n"/>
    </row>
    <row r="51">
      <c r="B51" s="51" t="n"/>
      <c r="C51" s="51" t="n"/>
      <c r="D51" s="51" t="n"/>
      <c r="E51" s="51" t="n"/>
      <c r="F51" s="51" t="n"/>
      <c r="G51" s="51" t="n"/>
      <c r="H51" s="51" t="n"/>
      <c r="I51" s="51" t="n"/>
      <c r="J51" s="51" t="n"/>
    </row>
    <row r="52">
      <c r="B52" s="51" t="n"/>
      <c r="C52" s="51" t="n"/>
      <c r="D52" s="51" t="n"/>
      <c r="E52" s="51" t="n"/>
      <c r="F52" s="51" t="n"/>
      <c r="G52" s="51" t="n"/>
      <c r="H52" s="51" t="n"/>
      <c r="I52" s="51" t="n"/>
      <c r="J52" s="51" t="n"/>
    </row>
    <row r="53">
      <c r="B53" s="51" t="n"/>
      <c r="C53" s="51" t="n"/>
      <c r="D53" s="51" t="n"/>
      <c r="E53" s="51" t="n"/>
      <c r="F53" s="51" t="n"/>
      <c r="G53" s="51" t="n"/>
      <c r="H53" s="51" t="n"/>
      <c r="I53" s="51" t="n"/>
      <c r="J53" s="51" t="n"/>
    </row>
    <row r="54">
      <c r="B54" s="51" t="n"/>
      <c r="C54" s="51" t="n"/>
      <c r="D54" s="51" t="n"/>
      <c r="E54" s="51" t="n"/>
      <c r="F54" s="51" t="n"/>
      <c r="G54" s="51" t="n"/>
      <c r="H54" s="51" t="n"/>
      <c r="I54" s="51" t="n"/>
      <c r="J54" s="51" t="n"/>
    </row>
    <row r="55">
      <c r="B55" s="51" t="n"/>
      <c r="C55" s="51" t="n"/>
      <c r="D55" s="51" t="n"/>
      <c r="E55" s="51" t="n"/>
      <c r="F55" s="51" t="n"/>
      <c r="G55" s="51" t="n"/>
      <c r="H55" s="51" t="n"/>
      <c r="I55" s="51" t="n"/>
      <c r="J55" s="51" t="n"/>
    </row>
    <row r="56">
      <c r="B56" s="51" t="n"/>
      <c r="C56" s="51" t="n"/>
      <c r="D56" s="51" t="n"/>
      <c r="E56" s="51" t="n"/>
      <c r="F56" s="51" t="n"/>
      <c r="G56" s="51" t="n"/>
      <c r="H56" s="51" t="n"/>
      <c r="I56" s="51" t="n"/>
      <c r="J56" s="51" t="n"/>
    </row>
    <row r="57">
      <c r="B57" s="51" t="n"/>
      <c r="C57" s="51" t="n"/>
      <c r="D57" s="51" t="n"/>
      <c r="E57" s="51" t="n"/>
      <c r="F57" s="51" t="n"/>
      <c r="G57" s="51" t="n"/>
      <c r="H57" s="51" t="n"/>
      <c r="I57" s="51" t="n"/>
      <c r="J57" s="51" t="n"/>
    </row>
    <row r="58">
      <c r="B58" s="51" t="n"/>
      <c r="C58" s="51" t="n"/>
      <c r="D58" s="51" t="n"/>
      <c r="E58" s="51" t="n"/>
      <c r="F58" s="51" t="n"/>
      <c r="G58" s="51" t="n"/>
      <c r="H58" s="51" t="n"/>
      <c r="I58" s="51" t="n"/>
      <c r="J58" s="51" t="n"/>
    </row>
    <row r="59">
      <c r="B59" s="51" t="n"/>
      <c r="C59" s="51" t="n"/>
      <c r="D59" s="51" t="n"/>
      <c r="E59" s="51" t="n"/>
      <c r="F59" s="51" t="n"/>
      <c r="G59" s="51" t="n"/>
      <c r="H59" s="51" t="n"/>
      <c r="I59" s="51" t="n"/>
      <c r="J59" s="51" t="n"/>
    </row>
    <row r="60">
      <c r="B60" s="51" t="n"/>
      <c r="C60" s="51" t="n"/>
      <c r="D60" s="51" t="n"/>
      <c r="E60" s="51" t="n"/>
      <c r="F60" s="51" t="n"/>
      <c r="G60" s="51" t="n"/>
      <c r="H60" s="51" t="n"/>
      <c r="I60" s="51" t="n"/>
      <c r="J60" s="51" t="n"/>
    </row>
    <row r="61">
      <c r="B61" s="51" t="n"/>
      <c r="C61" s="51" t="n"/>
      <c r="D61" s="51" t="n"/>
      <c r="E61" s="51" t="n"/>
      <c r="F61" s="51" t="n"/>
      <c r="G61" s="51" t="n"/>
      <c r="H61" s="51" t="n"/>
      <c r="I61" s="51" t="n"/>
      <c r="J61" s="51" t="n"/>
    </row>
    <row r="62">
      <c r="B62" s="51" t="n"/>
      <c r="C62" s="51" t="n"/>
      <c r="D62" s="51" t="n"/>
      <c r="E62" s="51" t="n"/>
      <c r="F62" s="51" t="n"/>
      <c r="G62" s="51" t="n"/>
      <c r="H62" s="51" t="n"/>
      <c r="I62" s="51" t="n"/>
      <c r="J62" s="51" t="n"/>
    </row>
    <row r="63">
      <c r="B63" s="51" t="n"/>
      <c r="C63" s="51" t="n"/>
      <c r="D63" s="51" t="n"/>
      <c r="E63" s="51" t="n"/>
      <c r="F63" s="51" t="n"/>
      <c r="G63" s="51" t="n"/>
      <c r="H63" s="51" t="n"/>
      <c r="I63" s="51" t="n"/>
      <c r="J63" s="51" t="n"/>
    </row>
    <row r="64">
      <c r="B64" s="51" t="n"/>
      <c r="C64" s="51" t="n"/>
      <c r="D64" s="51" t="n"/>
      <c r="E64" s="51" t="n"/>
      <c r="F64" s="51" t="n"/>
      <c r="G64" s="51" t="n"/>
      <c r="H64" s="51" t="n"/>
      <c r="I64" s="51" t="n"/>
      <c r="J64" s="51" t="n"/>
    </row>
    <row r="65">
      <c r="B65" s="51" t="n"/>
      <c r="C65" s="51" t="n"/>
      <c r="D65" s="51" t="n"/>
      <c r="E65" s="51" t="n"/>
      <c r="F65" s="51" t="n"/>
      <c r="G65" s="51" t="n"/>
      <c r="H65" s="51" t="n"/>
      <c r="I65" s="51" t="n"/>
      <c r="J65" s="51" t="n"/>
    </row>
    <row r="66">
      <c r="B66" s="51" t="n"/>
      <c r="C66" s="51" t="n"/>
      <c r="D66" s="51" t="n"/>
      <c r="E66" s="51" t="n"/>
      <c r="F66" s="51" t="n"/>
      <c r="G66" s="51" t="n"/>
      <c r="H66" s="51" t="n"/>
      <c r="I66" s="51" t="n"/>
      <c r="J66" s="51" t="n"/>
    </row>
    <row r="67">
      <c r="B67" s="51" t="n"/>
      <c r="C67" s="51" t="n"/>
      <c r="D67" s="51" t="n"/>
      <c r="E67" s="51" t="n"/>
      <c r="F67" s="51" t="n"/>
      <c r="G67" s="51" t="n"/>
      <c r="H67" s="51" t="n"/>
      <c r="I67" s="51" t="n"/>
      <c r="J67" s="51" t="n"/>
    </row>
    <row r="68">
      <c r="B68" s="51" t="n"/>
      <c r="C68" s="51" t="n"/>
      <c r="D68" s="51" t="n"/>
      <c r="E68" s="51" t="n"/>
      <c r="F68" s="51" t="n"/>
      <c r="G68" s="51" t="n"/>
      <c r="H68" s="51" t="n"/>
      <c r="I68" s="51" t="n"/>
      <c r="J68" s="51" t="n"/>
    </row>
    <row r="69">
      <c r="B69" s="51" t="n"/>
      <c r="C69" s="51" t="n"/>
      <c r="D69" s="51" t="n"/>
      <c r="E69" s="51" t="n"/>
      <c r="F69" s="51" t="n"/>
      <c r="G69" s="51" t="n"/>
      <c r="H69" s="51" t="n"/>
      <c r="I69" s="51" t="n"/>
      <c r="J69" s="51" t="n"/>
    </row>
    <row r="70">
      <c r="B70" s="51" t="n"/>
      <c r="C70" s="51" t="n"/>
      <c r="D70" s="51" t="n"/>
      <c r="E70" s="51" t="n"/>
      <c r="F70" s="51" t="n"/>
      <c r="G70" s="51" t="n"/>
      <c r="H70" s="51" t="n"/>
      <c r="I70" s="51" t="n"/>
      <c r="J70" s="51" t="n"/>
    </row>
    <row r="71">
      <c r="B71" s="51" t="n"/>
      <c r="C71" s="51" t="n"/>
      <c r="D71" s="51" t="n"/>
      <c r="E71" s="51" t="n"/>
      <c r="F71" s="51" t="n"/>
      <c r="G71" s="51" t="n"/>
      <c r="H71" s="51" t="n"/>
      <c r="I71" s="51" t="n"/>
      <c r="J71" s="51" t="n"/>
    </row>
    <row r="72">
      <c r="B72" s="51" t="n"/>
      <c r="C72" s="51" t="n"/>
      <c r="D72" s="51" t="n"/>
      <c r="E72" s="51" t="n"/>
      <c r="F72" s="51" t="n"/>
      <c r="G72" s="51" t="n"/>
      <c r="H72" s="51" t="n"/>
      <c r="I72" s="51" t="n"/>
      <c r="J72" s="51" t="n"/>
    </row>
    <row r="73">
      <c r="B73" s="51" t="n"/>
      <c r="C73" s="51" t="n"/>
      <c r="D73" s="51" t="n"/>
      <c r="E73" s="51" t="n"/>
      <c r="F73" s="51" t="n"/>
      <c r="G73" s="51" t="n"/>
      <c r="H73" s="51" t="n"/>
      <c r="I73" s="51" t="n"/>
      <c r="J73" s="51" t="n"/>
    </row>
    <row r="74">
      <c r="B74" s="51" t="n"/>
      <c r="C74" s="51" t="n"/>
      <c r="D74" s="51" t="n"/>
      <c r="E74" s="51" t="n"/>
      <c r="F74" s="51" t="n"/>
      <c r="G74" s="51" t="n"/>
      <c r="H74" s="51" t="n"/>
      <c r="I74" s="51" t="n"/>
      <c r="J74" s="51" t="n"/>
    </row>
    <row r="75">
      <c r="B75" s="51" t="n"/>
      <c r="C75" s="51" t="n"/>
      <c r="D75" s="51" t="n"/>
      <c r="E75" s="51" t="n"/>
      <c r="F75" s="51" t="n"/>
      <c r="G75" s="51" t="n"/>
      <c r="H75" s="51" t="n"/>
      <c r="I75" s="51" t="n"/>
      <c r="J75" s="51" t="n"/>
    </row>
    <row r="76">
      <c r="B76" s="51" t="n"/>
      <c r="C76" s="51" t="n"/>
      <c r="D76" s="51" t="n"/>
      <c r="E76" s="51" t="n"/>
      <c r="F76" s="51" t="n"/>
      <c r="G76" s="51" t="n"/>
      <c r="H76" s="51" t="n"/>
      <c r="I76" s="51" t="n"/>
      <c r="J76" s="51" t="n"/>
    </row>
    <row r="77">
      <c r="B77" s="51" t="n"/>
      <c r="C77" s="51" t="n"/>
      <c r="D77" s="51" t="n"/>
      <c r="E77" s="51" t="n"/>
      <c r="F77" s="51" t="n"/>
      <c r="G77" s="51" t="n"/>
      <c r="H77" s="51" t="n"/>
      <c r="I77" s="51" t="n"/>
      <c r="J77" s="51" t="n"/>
    </row>
    <row r="78">
      <c r="B78" s="51" t="n"/>
      <c r="C78" s="51" t="n"/>
      <c r="D78" s="51" t="n"/>
      <c r="E78" s="51" t="n"/>
      <c r="F78" s="51" t="n"/>
      <c r="G78" s="51" t="n"/>
      <c r="H78" s="51" t="n"/>
      <c r="I78" s="51" t="n"/>
      <c r="J78" s="51" t="n"/>
    </row>
    <row r="79">
      <c r="B79" s="51" t="n"/>
      <c r="C79" s="51" t="n"/>
      <c r="D79" s="51" t="n"/>
      <c r="E79" s="51" t="n"/>
      <c r="F79" s="51" t="n"/>
      <c r="G79" s="51" t="n"/>
      <c r="H79" s="51" t="n"/>
      <c r="I79" s="51" t="n"/>
      <c r="J79" s="51" t="n"/>
    </row>
    <row r="80">
      <c r="B80" s="51" t="n"/>
      <c r="C80" s="51" t="n"/>
      <c r="D80" s="51" t="n"/>
      <c r="E80" s="51" t="n"/>
      <c r="F80" s="51" t="n"/>
      <c r="G80" s="51" t="n"/>
      <c r="H80" s="51" t="n"/>
      <c r="I80" s="51" t="n"/>
      <c r="J80" s="51" t="n"/>
    </row>
    <row r="81">
      <c r="B81" s="51" t="n"/>
      <c r="C81" s="51" t="n"/>
      <c r="D81" s="51" t="n"/>
      <c r="E81" s="51" t="n"/>
      <c r="F81" s="51" t="n"/>
      <c r="G81" s="51" t="n"/>
      <c r="H81" s="51" t="n"/>
      <c r="I81" s="51" t="n"/>
      <c r="J81" s="51" t="n"/>
    </row>
    <row r="82">
      <c r="B82" s="51" t="n"/>
      <c r="C82" s="51" t="n"/>
      <c r="D82" s="51" t="n"/>
      <c r="E82" s="51" t="n"/>
      <c r="F82" s="51" t="n"/>
      <c r="G82" s="51" t="n"/>
      <c r="H82" s="51" t="n"/>
      <c r="I82" s="51" t="n"/>
      <c r="J82" s="51" t="n"/>
    </row>
    <row r="83">
      <c r="B83" s="51" t="n"/>
      <c r="C83" s="51" t="n"/>
      <c r="D83" s="51" t="n"/>
      <c r="E83" s="51" t="n"/>
      <c r="F83" s="51" t="n"/>
      <c r="G83" s="51" t="n"/>
      <c r="H83" s="51" t="n"/>
      <c r="I83" s="51" t="n"/>
      <c r="J83" s="51" t="n"/>
    </row>
    <row r="84">
      <c r="B84" s="51" t="n"/>
      <c r="C84" s="51" t="n"/>
      <c r="D84" s="51" t="n"/>
      <c r="E84" s="51" t="n"/>
      <c r="F84" s="51" t="n"/>
      <c r="G84" s="51" t="n"/>
      <c r="H84" s="51" t="n"/>
      <c r="I84" s="51" t="n"/>
      <c r="J84" s="51" t="n"/>
    </row>
    <row r="85">
      <c r="B85" s="51" t="n"/>
      <c r="C85" s="51" t="n"/>
      <c r="D85" s="51" t="n"/>
      <c r="E85" s="51" t="n"/>
      <c r="F85" s="51" t="n"/>
      <c r="G85" s="51" t="n"/>
      <c r="H85" s="51" t="n"/>
      <c r="I85" s="51" t="n"/>
      <c r="J85" s="51" t="n"/>
    </row>
    <row r="86">
      <c r="B86" s="51" t="n"/>
      <c r="C86" s="51" t="n"/>
      <c r="D86" s="51" t="n"/>
      <c r="E86" s="51" t="n"/>
      <c r="F86" s="51" t="n"/>
      <c r="G86" s="51" t="n"/>
      <c r="H86" s="51" t="n"/>
      <c r="I86" s="51" t="n"/>
      <c r="J86" s="51" t="n"/>
    </row>
    <row r="87">
      <c r="B87" s="51" t="n"/>
      <c r="C87" s="51" t="n"/>
      <c r="D87" s="51" t="n"/>
      <c r="E87" s="51" t="n"/>
      <c r="F87" s="51" t="n"/>
      <c r="G87" s="51" t="n"/>
      <c r="H87" s="51" t="n"/>
      <c r="I87" s="51" t="n"/>
      <c r="J87" s="51" t="n"/>
    </row>
    <row r="88">
      <c r="B88" s="51" t="n"/>
      <c r="C88" s="51" t="n"/>
      <c r="D88" s="51" t="n"/>
      <c r="E88" s="51" t="n"/>
      <c r="F88" s="51" t="n"/>
      <c r="G88" s="51" t="n"/>
      <c r="H88" s="51" t="n"/>
      <c r="I88" s="51" t="n"/>
      <c r="J88" s="51" t="n"/>
    </row>
    <row r="89">
      <c r="B89" s="51" t="n"/>
      <c r="C89" s="51" t="n"/>
      <c r="D89" s="51" t="n"/>
      <c r="E89" s="51" t="n"/>
      <c r="F89" s="51" t="n"/>
      <c r="G89" s="51" t="n"/>
      <c r="H89" s="51" t="n"/>
      <c r="I89" s="51" t="n"/>
      <c r="J89" s="51" t="n"/>
    </row>
    <row r="90">
      <c r="B90" s="51" t="n"/>
      <c r="C90" s="51" t="n"/>
      <c r="D90" s="51" t="n"/>
      <c r="E90" s="51" t="n"/>
      <c r="F90" s="51" t="n"/>
      <c r="G90" s="51" t="n"/>
      <c r="H90" s="51" t="n"/>
      <c r="I90" s="51" t="n"/>
      <c r="J90" s="51" t="n"/>
    </row>
    <row r="91">
      <c r="B91" s="51" t="n"/>
      <c r="C91" s="51" t="n"/>
      <c r="D91" s="51" t="n"/>
      <c r="E91" s="51" t="n"/>
      <c r="F91" s="51" t="n"/>
      <c r="G91" s="51" t="n"/>
      <c r="H91" s="51" t="n"/>
      <c r="I91" s="51" t="n"/>
      <c r="J91" s="51" t="n"/>
    </row>
    <row r="92">
      <c r="B92" s="51" t="n"/>
      <c r="C92" s="51" t="n"/>
      <c r="D92" s="51" t="n"/>
      <c r="E92" s="51" t="n"/>
      <c r="F92" s="51" t="n"/>
      <c r="G92" s="51" t="n"/>
      <c r="H92" s="51" t="n"/>
      <c r="I92" s="51" t="n"/>
      <c r="J92" s="51" t="n"/>
    </row>
    <row r="93">
      <c r="B93" s="51" t="n"/>
      <c r="C93" s="51" t="n"/>
      <c r="D93" s="51" t="n"/>
      <c r="E93" s="51" t="n"/>
      <c r="F93" s="51" t="n"/>
      <c r="G93" s="51" t="n"/>
      <c r="H93" s="51" t="n"/>
      <c r="I93" s="51" t="n"/>
      <c r="J93" s="51" t="n"/>
    </row>
    <row r="94">
      <c r="B94" s="51" t="n"/>
      <c r="C94" s="51" t="n"/>
      <c r="D94" s="51" t="n"/>
      <c r="E94" s="51" t="n"/>
      <c r="F94" s="51" t="n"/>
      <c r="G94" s="51" t="n"/>
      <c r="H94" s="51" t="n"/>
      <c r="I94" s="51" t="n"/>
      <c r="J94" s="51" t="n"/>
    </row>
    <row r="95">
      <c r="B95" s="51" t="n"/>
      <c r="C95" s="51" t="n"/>
      <c r="D95" s="51" t="n"/>
      <c r="E95" s="51" t="n"/>
      <c r="F95" s="51" t="n"/>
      <c r="G95" s="51" t="n"/>
      <c r="H95" s="51" t="n"/>
      <c r="I95" s="51" t="n"/>
      <c r="J95" s="51" t="n"/>
    </row>
    <row r="96">
      <c r="B96" s="51" t="n"/>
      <c r="C96" s="51" t="n"/>
      <c r="D96" s="51" t="n"/>
      <c r="E96" s="51" t="n"/>
      <c r="F96" s="51" t="n"/>
      <c r="G96" s="51" t="n"/>
      <c r="H96" s="51" t="n"/>
      <c r="I96" s="51" t="n"/>
      <c r="J96" s="51" t="n"/>
    </row>
    <row r="97">
      <c r="B97" s="51" t="n"/>
      <c r="C97" s="51" t="n"/>
      <c r="D97" s="51" t="n"/>
      <c r="E97" s="51" t="n"/>
      <c r="F97" s="51" t="n"/>
      <c r="G97" s="51" t="n"/>
      <c r="H97" s="51" t="n"/>
      <c r="I97" s="51" t="n"/>
      <c r="J97" s="51" t="n"/>
    </row>
    <row r="98">
      <c r="B98" s="51" t="n"/>
      <c r="C98" s="51" t="n"/>
      <c r="D98" s="51" t="n"/>
      <c r="E98" s="51" t="n"/>
      <c r="F98" s="51" t="n"/>
      <c r="G98" s="51" t="n"/>
      <c r="H98" s="51" t="n"/>
      <c r="I98" s="51" t="n"/>
      <c r="J98" s="51" t="n"/>
    </row>
    <row r="99">
      <c r="B99" s="51" t="n"/>
      <c r="C99" s="51" t="n"/>
      <c r="D99" s="51" t="n"/>
      <c r="E99" s="51" t="n"/>
      <c r="F99" s="51" t="n"/>
      <c r="G99" s="51" t="n"/>
      <c r="H99" s="51" t="n"/>
      <c r="I99" s="51" t="n"/>
      <c r="J99" s="51" t="n"/>
    </row>
    <row r="100">
      <c r="B100" s="51" t="n"/>
      <c r="C100" s="51" t="n"/>
      <c r="D100" s="51" t="n"/>
      <c r="E100" s="51" t="n"/>
      <c r="F100" s="51" t="n"/>
      <c r="G100" s="51" t="n"/>
      <c r="H100" s="51" t="n"/>
      <c r="I100" s="51" t="n"/>
      <c r="J100" s="51" t="n"/>
    </row>
    <row r="101">
      <c r="B101" s="51" t="n"/>
      <c r="C101" s="51" t="n"/>
      <c r="D101" s="51" t="n"/>
      <c r="E101" s="51" t="n"/>
      <c r="F101" s="51" t="n"/>
      <c r="G101" s="51" t="n"/>
      <c r="H101" s="51" t="n"/>
      <c r="I101" s="51" t="n"/>
      <c r="J101" s="51" t="n"/>
    </row>
    <row r="102">
      <c r="B102" s="51" t="n"/>
      <c r="C102" s="51" t="n"/>
      <c r="D102" s="51" t="n"/>
      <c r="E102" s="51" t="n"/>
      <c r="F102" s="51" t="n"/>
      <c r="G102" s="51" t="n"/>
      <c r="H102" s="51" t="n"/>
      <c r="I102" s="51" t="n"/>
      <c r="J102" s="51" t="n"/>
    </row>
    <row r="103">
      <c r="B103" s="51" t="n"/>
      <c r="C103" s="51" t="n"/>
      <c r="D103" s="51" t="n"/>
      <c r="E103" s="51" t="n"/>
      <c r="F103" s="51" t="n"/>
      <c r="G103" s="51" t="n"/>
      <c r="H103" s="51" t="n"/>
      <c r="I103" s="51" t="n"/>
      <c r="J103" s="51" t="n"/>
    </row>
    <row r="104">
      <c r="B104" s="51" t="n"/>
      <c r="C104" s="51" t="n"/>
      <c r="D104" s="51" t="n"/>
      <c r="E104" s="51" t="n"/>
      <c r="F104" s="51" t="n"/>
      <c r="G104" s="51" t="n"/>
      <c r="H104" s="51" t="n"/>
      <c r="I104" s="51" t="n"/>
      <c r="J104" s="51" t="n"/>
    </row>
    <row r="105">
      <c r="B105" s="51" t="n"/>
      <c r="C105" s="51" t="n"/>
      <c r="D105" s="51" t="n"/>
      <c r="E105" s="51" t="n"/>
      <c r="F105" s="51" t="n"/>
      <c r="G105" s="51" t="n"/>
      <c r="H105" s="51" t="n"/>
      <c r="I105" s="51" t="n"/>
      <c r="J105" s="51" t="n"/>
    </row>
    <row r="106">
      <c r="B106" s="51" t="n"/>
      <c r="C106" s="51" t="n"/>
      <c r="D106" s="51" t="n"/>
      <c r="E106" s="51" t="n"/>
      <c r="F106" s="51" t="n"/>
      <c r="G106" s="51" t="n"/>
      <c r="H106" s="51" t="n"/>
      <c r="I106" s="51" t="n"/>
      <c r="J106" s="51" t="n"/>
    </row>
    <row r="107">
      <c r="B107" s="51" t="n"/>
      <c r="C107" s="51" t="n"/>
      <c r="D107" s="51" t="n"/>
      <c r="E107" s="51" t="n"/>
      <c r="F107" s="51" t="n"/>
      <c r="G107" s="51" t="n"/>
      <c r="H107" s="51" t="n"/>
      <c r="I107" s="51" t="n"/>
      <c r="J107" s="51" t="n"/>
    </row>
    <row r="108">
      <c r="B108" s="51" t="n"/>
      <c r="C108" s="51" t="n"/>
      <c r="D108" s="51" t="n"/>
      <c r="E108" s="51" t="n"/>
      <c r="F108" s="51" t="n"/>
      <c r="G108" s="51" t="n"/>
      <c r="H108" s="51" t="n"/>
      <c r="I108" s="51" t="n"/>
      <c r="J108" s="51" t="n"/>
    </row>
    <row r="109">
      <c r="B109" s="51" t="n"/>
      <c r="C109" s="51" t="n"/>
      <c r="D109" s="51" t="n"/>
      <c r="E109" s="51" t="n"/>
      <c r="F109" s="51" t="n"/>
      <c r="G109" s="51" t="n"/>
      <c r="H109" s="51" t="n"/>
      <c r="I109" s="51" t="n"/>
      <c r="J109" s="51" t="n"/>
    </row>
    <row r="110">
      <c r="B110" s="51" t="n"/>
      <c r="C110" s="51" t="n"/>
      <c r="D110" s="51" t="n"/>
      <c r="E110" s="51" t="n"/>
      <c r="F110" s="51" t="n"/>
      <c r="G110" s="51" t="n"/>
      <c r="H110" s="51" t="n"/>
      <c r="I110" s="51" t="n"/>
      <c r="J110" s="51" t="n"/>
    </row>
    <row r="111">
      <c r="B111" s="51" t="n"/>
      <c r="C111" s="51" t="n"/>
      <c r="D111" s="51" t="n"/>
      <c r="E111" s="51" t="n"/>
      <c r="F111" s="51" t="n"/>
      <c r="G111" s="51" t="n"/>
      <c r="H111" s="51" t="n"/>
      <c r="I111" s="51" t="n"/>
      <c r="J111" s="51" t="n"/>
    </row>
    <row r="112">
      <c r="B112" s="51" t="n"/>
      <c r="C112" s="51" t="n"/>
      <c r="D112" s="51" t="n"/>
      <c r="E112" s="51" t="n"/>
      <c r="F112" s="51" t="n"/>
      <c r="G112" s="51" t="n"/>
      <c r="H112" s="51" t="n"/>
      <c r="I112" s="51" t="n"/>
      <c r="J112" s="51" t="n"/>
    </row>
    <row r="113">
      <c r="B113" s="51" t="n"/>
      <c r="C113" s="51" t="n"/>
      <c r="D113" s="51" t="n"/>
      <c r="E113" s="51" t="n"/>
      <c r="F113" s="51" t="n"/>
      <c r="G113" s="51" t="n"/>
      <c r="H113" s="51" t="n"/>
      <c r="I113" s="51" t="n"/>
      <c r="J113" s="51" t="n"/>
    </row>
    <row r="114">
      <c r="B114" s="51" t="n"/>
      <c r="C114" s="51" t="n"/>
      <c r="D114" s="51" t="n"/>
      <c r="E114" s="51" t="n"/>
      <c r="F114" s="51" t="n"/>
      <c r="G114" s="51" t="n"/>
      <c r="H114" s="51" t="n"/>
      <c r="I114" s="51" t="n"/>
      <c r="J114" s="51" t="n"/>
    </row>
    <row r="115">
      <c r="B115" s="51" t="n"/>
      <c r="C115" s="51" t="n"/>
      <c r="D115" s="51" t="n"/>
      <c r="E115" s="51" t="n"/>
      <c r="F115" s="51" t="n"/>
      <c r="G115" s="51" t="n"/>
      <c r="H115" s="51" t="n"/>
      <c r="I115" s="51" t="n"/>
      <c r="J115" s="51" t="n"/>
    </row>
    <row r="116">
      <c r="B116" s="51" t="n"/>
      <c r="C116" s="51" t="n"/>
      <c r="D116" s="51" t="n"/>
      <c r="E116" s="51" t="n"/>
      <c r="F116" s="51" t="n"/>
      <c r="G116" s="51" t="n"/>
      <c r="H116" s="51" t="n"/>
      <c r="I116" s="51" t="n"/>
      <c r="J116" s="51" t="n"/>
    </row>
    <row r="117">
      <c r="B117" s="51" t="n"/>
      <c r="C117" s="51" t="n"/>
      <c r="D117" s="51" t="n"/>
      <c r="E117" s="51" t="n"/>
      <c r="F117" s="51" t="n"/>
      <c r="G117" s="51" t="n"/>
      <c r="H117" s="51" t="n"/>
      <c r="I117" s="51" t="n"/>
      <c r="J117" s="51" t="n"/>
    </row>
    <row r="118">
      <c r="B118" s="51" t="n"/>
      <c r="C118" s="51" t="n"/>
      <c r="D118" s="51" t="n"/>
      <c r="E118" s="51" t="n"/>
      <c r="F118" s="51" t="n"/>
      <c r="G118" s="51" t="n"/>
      <c r="H118" s="51" t="n"/>
      <c r="I118" s="51" t="n"/>
      <c r="J118" s="51" t="n"/>
    </row>
    <row r="119">
      <c r="B119" s="51" t="n"/>
      <c r="C119" s="51" t="n"/>
      <c r="D119" s="51" t="n"/>
      <c r="E119" s="51" t="n"/>
      <c r="F119" s="51" t="n"/>
      <c r="G119" s="51" t="n"/>
      <c r="H119" s="51" t="n"/>
      <c r="I119" s="51" t="n"/>
      <c r="J119" s="51" t="n"/>
    </row>
    <row r="120">
      <c r="B120" s="51" t="n"/>
      <c r="C120" s="51" t="n"/>
      <c r="D120" s="51" t="n"/>
      <c r="E120" s="51" t="n"/>
      <c r="F120" s="51" t="n"/>
      <c r="G120" s="51" t="n"/>
      <c r="H120" s="51" t="n"/>
      <c r="I120" s="51" t="n"/>
      <c r="J120" s="51" t="n"/>
    </row>
    <row r="121">
      <c r="B121" s="51" t="n"/>
      <c r="C121" s="51" t="n"/>
      <c r="D121" s="51" t="n"/>
      <c r="E121" s="51" t="n"/>
      <c r="F121" s="51" t="n"/>
      <c r="G121" s="51" t="n"/>
      <c r="H121" s="51" t="n"/>
      <c r="I121" s="51" t="n"/>
      <c r="J121" s="51" t="n"/>
    </row>
    <row r="122">
      <c r="B122" s="51" t="n"/>
      <c r="C122" s="51" t="n"/>
      <c r="D122" s="51" t="n"/>
      <c r="E122" s="51" t="n"/>
      <c r="F122" s="51" t="n"/>
      <c r="G122" s="51" t="n"/>
      <c r="H122" s="51" t="n"/>
      <c r="I122" s="51" t="n"/>
      <c r="J122" s="51" t="n"/>
    </row>
    <row r="123">
      <c r="B123" s="51" t="n"/>
      <c r="C123" s="51" t="n"/>
      <c r="D123" s="51" t="n"/>
      <c r="E123" s="51" t="n"/>
      <c r="F123" s="51" t="n"/>
      <c r="G123" s="51" t="n"/>
      <c r="H123" s="51" t="n"/>
      <c r="I123" s="51" t="n"/>
      <c r="J123" s="51" t="n"/>
    </row>
    <row r="124">
      <c r="B124" s="51" t="n"/>
      <c r="C124" s="51" t="n"/>
      <c r="D124" s="51" t="n"/>
      <c r="E124" s="51" t="n"/>
      <c r="F124" s="51" t="n"/>
      <c r="G124" s="51" t="n"/>
      <c r="H124" s="51" t="n"/>
      <c r="I124" s="51" t="n"/>
      <c r="J124" s="51" t="n"/>
    </row>
    <row r="125">
      <c r="B125" s="51" t="n"/>
      <c r="C125" s="51" t="n"/>
      <c r="D125" s="51" t="n"/>
      <c r="E125" s="51" t="n"/>
      <c r="F125" s="51" t="n"/>
      <c r="G125" s="51" t="n"/>
      <c r="H125" s="51" t="n"/>
      <c r="I125" s="51" t="n"/>
      <c r="J125" s="51" t="n"/>
    </row>
    <row r="126">
      <c r="B126" s="51" t="n"/>
      <c r="C126" s="51" t="n"/>
      <c r="D126" s="51" t="n"/>
      <c r="E126" s="51" t="n"/>
      <c r="F126" s="51" t="n"/>
      <c r="G126" s="51" t="n"/>
      <c r="H126" s="51" t="n"/>
      <c r="I126" s="51" t="n"/>
      <c r="J126" s="51" t="n"/>
    </row>
    <row r="127">
      <c r="B127" s="51" t="n"/>
      <c r="C127" s="51" t="n"/>
      <c r="D127" s="51" t="n"/>
      <c r="E127" s="51" t="n"/>
      <c r="F127" s="51" t="n"/>
      <c r="G127" s="51" t="n"/>
      <c r="H127" s="51" t="n"/>
      <c r="I127" s="51" t="n"/>
      <c r="J127" s="51" t="n"/>
    </row>
    <row r="128">
      <c r="B128" s="51" t="n"/>
      <c r="C128" s="51" t="n"/>
      <c r="D128" s="51" t="n"/>
      <c r="E128" s="51" t="n"/>
      <c r="F128" s="51" t="n"/>
      <c r="G128" s="51" t="n"/>
      <c r="H128" s="51" t="n"/>
      <c r="I128" s="51" t="n"/>
      <c r="J128" s="51" t="n"/>
    </row>
    <row r="129">
      <c r="B129" s="51" t="n"/>
      <c r="C129" s="51" t="n"/>
      <c r="D129" s="51" t="n"/>
      <c r="E129" s="51" t="n"/>
      <c r="F129" s="51" t="n"/>
      <c r="G129" s="51" t="n"/>
      <c r="H129" s="51" t="n"/>
      <c r="I129" s="51" t="n"/>
      <c r="J129" s="51" t="n"/>
    </row>
    <row r="130">
      <c r="B130" s="51" t="n"/>
      <c r="C130" s="51" t="n"/>
      <c r="D130" s="51" t="n"/>
      <c r="E130" s="51" t="n"/>
      <c r="F130" s="51" t="n"/>
      <c r="G130" s="51" t="n"/>
      <c r="H130" s="51" t="n"/>
      <c r="I130" s="51" t="n"/>
      <c r="J130" s="51" t="n"/>
    </row>
    <row r="131">
      <c r="B131" s="51" t="n"/>
      <c r="C131" s="51" t="n"/>
      <c r="D131" s="51" t="n"/>
      <c r="E131" s="51" t="n"/>
      <c r="F131" s="51" t="n"/>
      <c r="G131" s="51" t="n"/>
      <c r="H131" s="51" t="n"/>
      <c r="I131" s="51" t="n"/>
      <c r="J131" s="51" t="n"/>
    </row>
    <row r="132">
      <c r="B132" s="51" t="n"/>
      <c r="C132" s="51" t="n"/>
      <c r="D132" s="51" t="n"/>
      <c r="E132" s="51" t="n"/>
      <c r="F132" s="51" t="n"/>
      <c r="G132" s="51" t="n"/>
      <c r="H132" s="51" t="n"/>
      <c r="I132" s="51" t="n"/>
      <c r="J132" s="51" t="n"/>
    </row>
    <row r="133">
      <c r="B133" s="51" t="n"/>
      <c r="C133" s="51" t="n"/>
      <c r="D133" s="51" t="n"/>
      <c r="E133" s="51" t="n"/>
      <c r="F133" s="51" t="n"/>
      <c r="G133" s="51" t="n"/>
      <c r="H133" s="51" t="n"/>
      <c r="I133" s="51" t="n"/>
      <c r="J133" s="51" t="n"/>
    </row>
    <row r="134">
      <c r="B134" s="51" t="n"/>
      <c r="C134" s="51" t="n"/>
      <c r="D134" s="51" t="n"/>
      <c r="E134" s="51" t="n"/>
      <c r="F134" s="51" t="n"/>
      <c r="G134" s="51" t="n"/>
      <c r="H134" s="51" t="n"/>
      <c r="I134" s="51" t="n"/>
      <c r="J134" s="51" t="n"/>
    </row>
    <row r="135">
      <c r="B135" s="51" t="n"/>
      <c r="C135" s="51" t="n"/>
      <c r="D135" s="51" t="n"/>
      <c r="E135" s="51" t="n"/>
      <c r="F135" s="51" t="n"/>
      <c r="G135" s="51" t="n"/>
      <c r="H135" s="51" t="n"/>
      <c r="I135" s="51" t="n"/>
      <c r="J135" s="51" t="n"/>
    </row>
    <row r="136">
      <c r="B136" s="51" t="n"/>
      <c r="C136" s="51" t="n"/>
      <c r="D136" s="51" t="n"/>
      <c r="E136" s="51" t="n"/>
      <c r="F136" s="51" t="n"/>
      <c r="G136" s="51" t="n"/>
      <c r="H136" s="51" t="n"/>
      <c r="I136" s="51" t="n"/>
      <c r="J136" s="51" t="n"/>
    </row>
    <row r="137">
      <c r="B137" s="51" t="n"/>
      <c r="C137" s="51" t="n"/>
      <c r="D137" s="51" t="n"/>
      <c r="E137" s="51" t="n"/>
      <c r="F137" s="51" t="n"/>
      <c r="G137" s="51" t="n"/>
      <c r="H137" s="51" t="n"/>
      <c r="I137" s="51" t="n"/>
      <c r="J137" s="51" t="n"/>
    </row>
    <row r="138">
      <c r="B138" s="51" t="n"/>
      <c r="C138" s="51" t="n"/>
      <c r="D138" s="51" t="n"/>
      <c r="E138" s="51" t="n"/>
      <c r="F138" s="51" t="n"/>
      <c r="G138" s="51" t="n"/>
      <c r="H138" s="51" t="n"/>
      <c r="I138" s="51" t="n"/>
      <c r="J138" s="51" t="n"/>
    </row>
    <row r="139">
      <c r="B139" s="51" t="n"/>
      <c r="C139" s="51" t="n"/>
      <c r="D139" s="51" t="n"/>
      <c r="E139" s="51" t="n"/>
      <c r="F139" s="51" t="n"/>
      <c r="G139" s="51" t="n"/>
      <c r="H139" s="51" t="n"/>
      <c r="I139" s="51" t="n"/>
      <c r="J139" s="51" t="n"/>
    </row>
    <row r="140">
      <c r="B140" s="51" t="n"/>
      <c r="C140" s="51" t="n"/>
      <c r="D140" s="51" t="n"/>
      <c r="E140" s="51" t="n"/>
      <c r="F140" s="51" t="n"/>
      <c r="G140" s="51" t="n"/>
      <c r="H140" s="51" t="n"/>
      <c r="I140" s="51" t="n"/>
      <c r="J140" s="51" t="n"/>
    </row>
    <row r="141">
      <c r="B141" s="51" t="n"/>
      <c r="C141" s="51" t="n"/>
      <c r="D141" s="51" t="n"/>
      <c r="E141" s="51" t="n"/>
      <c r="F141" s="51" t="n"/>
      <c r="G141" s="51" t="n"/>
      <c r="H141" s="51" t="n"/>
      <c r="I141" s="51" t="n"/>
      <c r="J141" s="51" t="n"/>
    </row>
    <row r="142">
      <c r="B142" s="51" t="n"/>
      <c r="C142" s="51" t="n"/>
      <c r="D142" s="51" t="n"/>
      <c r="E142" s="51" t="n"/>
      <c r="F142" s="51" t="n"/>
      <c r="G142" s="51" t="n"/>
      <c r="H142" s="51" t="n"/>
      <c r="I142" s="51" t="n"/>
      <c r="J142" s="51" t="n"/>
    </row>
    <row r="143">
      <c r="B143" s="51" t="n"/>
      <c r="C143" s="51" t="n"/>
      <c r="D143" s="51" t="n"/>
      <c r="E143" s="51" t="n"/>
      <c r="F143" s="51" t="n"/>
      <c r="G143" s="51" t="n"/>
      <c r="H143" s="51" t="n"/>
      <c r="I143" s="51" t="n"/>
      <c r="J143" s="51" t="n"/>
    </row>
    <row r="144">
      <c r="B144" s="51" t="n"/>
      <c r="C144" s="51" t="n"/>
      <c r="D144" s="51" t="n"/>
      <c r="E144" s="51" t="n"/>
      <c r="F144" s="51" t="n"/>
      <c r="G144" s="51" t="n"/>
      <c r="H144" s="51" t="n"/>
      <c r="I144" s="51" t="n"/>
      <c r="J144" s="51" t="n"/>
    </row>
    <row r="145">
      <c r="B145" s="51" t="n"/>
      <c r="C145" s="51" t="n"/>
      <c r="D145" s="51" t="n"/>
      <c r="E145" s="51" t="n"/>
      <c r="F145" s="51" t="n"/>
      <c r="G145" s="51" t="n"/>
      <c r="H145" s="51" t="n"/>
      <c r="I145" s="51" t="n"/>
      <c r="J145" s="51" t="n"/>
    </row>
    <row r="146">
      <c r="B146" s="51" t="n"/>
      <c r="C146" s="51" t="n"/>
      <c r="D146" s="51" t="n"/>
      <c r="E146" s="51" t="n"/>
      <c r="F146" s="51" t="n"/>
      <c r="G146" s="51" t="n"/>
      <c r="H146" s="51" t="n"/>
      <c r="I146" s="51" t="n"/>
      <c r="J146" s="51" t="n"/>
    </row>
    <row r="147">
      <c r="B147" s="51" t="n"/>
      <c r="C147" s="51" t="n"/>
      <c r="D147" s="51" t="n"/>
      <c r="E147" s="51" t="n"/>
      <c r="F147" s="51" t="n"/>
      <c r="G147" s="51" t="n"/>
      <c r="H147" s="51" t="n"/>
      <c r="I147" s="51" t="n"/>
      <c r="J147" s="51" t="n"/>
    </row>
    <row r="148">
      <c r="B148" s="51" t="n"/>
      <c r="C148" s="51" t="n"/>
      <c r="D148" s="51" t="n"/>
      <c r="E148" s="51" t="n"/>
      <c r="F148" s="51" t="n"/>
      <c r="G148" s="51" t="n"/>
      <c r="H148" s="51" t="n"/>
      <c r="I148" s="51" t="n"/>
      <c r="J148" s="51" t="n"/>
    </row>
    <row r="149">
      <c r="B149" s="51" t="n"/>
      <c r="C149" s="51" t="n"/>
      <c r="D149" s="51" t="n"/>
      <c r="E149" s="51" t="n"/>
      <c r="F149" s="51" t="n"/>
      <c r="G149" s="51" t="n"/>
      <c r="H149" s="51" t="n"/>
      <c r="I149" s="51" t="n"/>
      <c r="J149" s="51" t="n"/>
    </row>
    <row r="150">
      <c r="B150" s="51" t="n"/>
      <c r="C150" s="51" t="n"/>
      <c r="D150" s="51" t="n"/>
      <c r="E150" s="51" t="n"/>
      <c r="F150" s="51" t="n"/>
      <c r="G150" s="51" t="n"/>
      <c r="H150" s="51" t="n"/>
      <c r="I150" s="51" t="n"/>
      <c r="J150" s="51" t="n"/>
    </row>
    <row r="151">
      <c r="B151" s="51" t="n"/>
      <c r="C151" s="51" t="n"/>
      <c r="D151" s="51" t="n"/>
      <c r="E151" s="51" t="n"/>
      <c r="F151" s="51" t="n"/>
      <c r="G151" s="51" t="n"/>
      <c r="H151" s="51" t="n"/>
      <c r="I151" s="51" t="n"/>
      <c r="J151" s="51" t="n"/>
    </row>
    <row r="152">
      <c r="B152" s="51" t="n"/>
      <c r="C152" s="51" t="n"/>
      <c r="D152" s="51" t="n"/>
      <c r="E152" s="51" t="n"/>
      <c r="F152" s="51" t="n"/>
      <c r="G152" s="51" t="n"/>
      <c r="H152" s="51" t="n"/>
      <c r="I152" s="51" t="n"/>
      <c r="J152" s="51" t="n"/>
    </row>
    <row r="153">
      <c r="B153" s="51" t="n"/>
      <c r="C153" s="51" t="n"/>
      <c r="D153" s="51" t="n"/>
      <c r="E153" s="51" t="n"/>
      <c r="F153" s="51" t="n"/>
      <c r="G153" s="51" t="n"/>
      <c r="H153" s="51" t="n"/>
      <c r="I153" s="51" t="n"/>
      <c r="J153" s="51" t="n"/>
    </row>
    <row r="154">
      <c r="B154" s="51" t="n"/>
      <c r="C154" s="51" t="n"/>
      <c r="D154" s="51" t="n"/>
      <c r="E154" s="51" t="n"/>
      <c r="F154" s="51" t="n"/>
      <c r="G154" s="51" t="n"/>
      <c r="H154" s="51" t="n"/>
      <c r="I154" s="51" t="n"/>
      <c r="J154" s="51" t="n"/>
    </row>
    <row r="155">
      <c r="B155" s="51" t="n"/>
      <c r="C155" s="51" t="n"/>
      <c r="D155" s="51" t="n"/>
      <c r="E155" s="51" t="n"/>
      <c r="F155" s="51" t="n"/>
      <c r="G155" s="51" t="n"/>
      <c r="H155" s="51" t="n"/>
      <c r="I155" s="51" t="n"/>
      <c r="J155" s="51" t="n"/>
    </row>
    <row r="156">
      <c r="B156" s="51" t="n"/>
      <c r="C156" s="51" t="n"/>
      <c r="D156" s="51" t="n"/>
      <c r="E156" s="51" t="n"/>
      <c r="F156" s="51" t="n"/>
      <c r="G156" s="51" t="n"/>
      <c r="H156" s="51" t="n"/>
      <c r="I156" s="51" t="n"/>
      <c r="J156" s="51" t="n"/>
    </row>
    <row r="157">
      <c r="B157" s="51" t="n"/>
      <c r="C157" s="51" t="n"/>
      <c r="D157" s="51" t="n"/>
      <c r="E157" s="51" t="n"/>
      <c r="F157" s="51" t="n"/>
      <c r="G157" s="51" t="n"/>
      <c r="H157" s="51" t="n"/>
      <c r="I157" s="51" t="n"/>
      <c r="J157" s="51" t="n"/>
    </row>
    <row r="158">
      <c r="B158" s="51" t="n"/>
      <c r="C158" s="51" t="n"/>
      <c r="D158" s="51" t="n"/>
      <c r="E158" s="51" t="n"/>
      <c r="F158" s="51" t="n"/>
      <c r="G158" s="51" t="n"/>
      <c r="H158" s="51" t="n"/>
      <c r="I158" s="51" t="n"/>
      <c r="J158" s="51" t="n"/>
    </row>
    <row r="159">
      <c r="B159" s="51" t="n"/>
      <c r="C159" s="51" t="n"/>
      <c r="D159" s="51" t="n"/>
      <c r="E159" s="51" t="n"/>
      <c r="F159" s="51" t="n"/>
      <c r="G159" s="51" t="n"/>
      <c r="H159" s="51" t="n"/>
      <c r="I159" s="51" t="n"/>
      <c r="J159" s="51" t="n"/>
    </row>
    <row r="160">
      <c r="B160" s="51" t="n"/>
      <c r="C160" s="51" t="n"/>
      <c r="D160" s="51" t="n"/>
      <c r="E160" s="51" t="n"/>
      <c r="F160" s="51" t="n"/>
      <c r="G160" s="51" t="n"/>
      <c r="H160" s="51" t="n"/>
      <c r="I160" s="51" t="n"/>
      <c r="J160" s="51" t="n"/>
    </row>
    <row r="161">
      <c r="B161" s="51" t="n"/>
      <c r="C161" s="51" t="n"/>
      <c r="D161" s="51" t="n"/>
      <c r="E161" s="51" t="n"/>
      <c r="F161" s="51" t="n"/>
      <c r="G161" s="51" t="n"/>
      <c r="H161" s="51" t="n"/>
      <c r="I161" s="51" t="n"/>
      <c r="J161" s="51" t="n"/>
    </row>
    <row r="162">
      <c r="B162" s="51" t="n"/>
      <c r="C162" s="51" t="n"/>
      <c r="D162" s="51" t="n"/>
      <c r="E162" s="51" t="n"/>
      <c r="F162" s="51" t="n"/>
      <c r="G162" s="51" t="n"/>
      <c r="H162" s="51" t="n"/>
      <c r="I162" s="51" t="n"/>
      <c r="J162" s="51" t="n"/>
    </row>
    <row r="163">
      <c r="B163" s="51" t="n"/>
      <c r="C163" s="51" t="n"/>
      <c r="D163" s="51" t="n"/>
      <c r="E163" s="51" t="n"/>
      <c r="F163" s="51" t="n"/>
      <c r="G163" s="51" t="n"/>
      <c r="H163" s="51" t="n"/>
      <c r="I163" s="51" t="n"/>
      <c r="J163" s="51" t="n"/>
    </row>
    <row r="164">
      <c r="B164" s="51" t="n"/>
      <c r="C164" s="51" t="n"/>
      <c r="D164" s="51" t="n"/>
      <c r="E164" s="51" t="n"/>
      <c r="F164" s="51" t="n"/>
      <c r="G164" s="51" t="n"/>
      <c r="H164" s="51" t="n"/>
      <c r="I164" s="51" t="n"/>
      <c r="J164" s="51" t="n"/>
    </row>
    <row r="165">
      <c r="B165" s="51" t="n"/>
      <c r="C165" s="51" t="n"/>
      <c r="D165" s="51" t="n"/>
      <c r="E165" s="51" t="n"/>
      <c r="F165" s="51" t="n"/>
      <c r="G165" s="51" t="n"/>
      <c r="H165" s="51" t="n"/>
      <c r="I165" s="51" t="n"/>
      <c r="J165" s="51" t="n"/>
    </row>
    <row r="166">
      <c r="B166" s="51" t="n"/>
      <c r="C166" s="51" t="n"/>
      <c r="D166" s="51" t="n"/>
      <c r="E166" s="51" t="n"/>
      <c r="F166" s="51" t="n"/>
      <c r="G166" s="51" t="n"/>
      <c r="H166" s="51" t="n"/>
      <c r="I166" s="51" t="n"/>
      <c r="J166" s="51" t="n"/>
    </row>
    <row r="167">
      <c r="B167" s="51" t="n"/>
      <c r="C167" s="51" t="n"/>
      <c r="D167" s="51" t="n"/>
      <c r="E167" s="51" t="n"/>
      <c r="F167" s="51" t="n"/>
      <c r="G167" s="51" t="n"/>
      <c r="H167" s="51" t="n"/>
      <c r="I167" s="51" t="n"/>
      <c r="J167" s="51" t="n"/>
    </row>
    <row r="168">
      <c r="B168" s="51" t="n"/>
      <c r="C168" s="51" t="n"/>
      <c r="D168" s="51" t="n"/>
      <c r="E168" s="51" t="n"/>
      <c r="F168" s="51" t="n"/>
      <c r="G168" s="51" t="n"/>
      <c r="H168" s="51" t="n"/>
      <c r="I168" s="51" t="n"/>
      <c r="J168" s="51" t="n"/>
    </row>
    <row r="169">
      <c r="B169" s="51" t="n"/>
      <c r="C169" s="51" t="n"/>
      <c r="D169" s="51" t="n"/>
      <c r="E169" s="51" t="n"/>
      <c r="F169" s="51" t="n"/>
      <c r="G169" s="51" t="n"/>
      <c r="H169" s="51" t="n"/>
      <c r="I169" s="51" t="n"/>
      <c r="J169" s="51" t="n"/>
    </row>
    <row r="170">
      <c r="B170" s="51" t="n"/>
      <c r="C170" s="51" t="n"/>
      <c r="D170" s="51" t="n"/>
      <c r="E170" s="51" t="n"/>
      <c r="F170" s="51" t="n"/>
      <c r="G170" s="51" t="n"/>
      <c r="H170" s="51" t="n"/>
      <c r="I170" s="51" t="n"/>
      <c r="J170" s="51" t="n"/>
    </row>
    <row r="171">
      <c r="B171" s="51" t="n"/>
      <c r="C171" s="51" t="n"/>
      <c r="D171" s="51" t="n"/>
      <c r="E171" s="51" t="n"/>
      <c r="F171" s="51" t="n"/>
      <c r="G171" s="51" t="n"/>
      <c r="H171" s="51" t="n"/>
      <c r="I171" s="51" t="n"/>
      <c r="J171" s="51" t="n"/>
    </row>
    <row r="172">
      <c r="B172" s="51" t="n"/>
      <c r="C172" s="51" t="n"/>
      <c r="D172" s="51" t="n"/>
      <c r="E172" s="51" t="n"/>
      <c r="F172" s="51" t="n"/>
      <c r="G172" s="51" t="n"/>
      <c r="H172" s="51" t="n"/>
      <c r="I172" s="51" t="n"/>
      <c r="J172" s="51" t="n"/>
    </row>
    <row r="173">
      <c r="B173" s="51" t="n"/>
      <c r="C173" s="51" t="n"/>
      <c r="D173" s="51" t="n"/>
      <c r="E173" s="51" t="n"/>
      <c r="F173" s="51" t="n"/>
      <c r="G173" s="51" t="n"/>
      <c r="H173" s="51" t="n"/>
      <c r="I173" s="51" t="n"/>
      <c r="J173" s="51" t="n"/>
    </row>
    <row r="174">
      <c r="B174" s="51" t="n"/>
      <c r="C174" s="51" t="n"/>
      <c r="D174" s="51" t="n"/>
      <c r="E174" s="51" t="n"/>
      <c r="F174" s="51" t="n"/>
      <c r="G174" s="51" t="n"/>
      <c r="H174" s="51" t="n"/>
      <c r="I174" s="51" t="n"/>
      <c r="J174" s="51" t="n"/>
    </row>
    <row r="175">
      <c r="B175" s="51" t="n"/>
      <c r="C175" s="51" t="n"/>
      <c r="D175" s="51" t="n"/>
      <c r="E175" s="51" t="n"/>
      <c r="F175" s="51" t="n"/>
      <c r="G175" s="51" t="n"/>
      <c r="H175" s="51" t="n"/>
      <c r="I175" s="51" t="n"/>
      <c r="J175" s="51" t="n"/>
    </row>
    <row r="176">
      <c r="B176" s="51" t="n"/>
      <c r="C176" s="51" t="n"/>
      <c r="D176" s="51" t="n"/>
      <c r="E176" s="51" t="n"/>
      <c r="F176" s="51" t="n"/>
      <c r="G176" s="51" t="n"/>
      <c r="H176" s="51" t="n"/>
      <c r="I176" s="51" t="n"/>
      <c r="J176" s="51" t="n"/>
    </row>
    <row r="177">
      <c r="B177" s="51" t="n"/>
      <c r="C177" s="51" t="n"/>
      <c r="D177" s="51" t="n"/>
      <c r="E177" s="51" t="n"/>
      <c r="F177" s="51" t="n"/>
      <c r="G177" s="51" t="n"/>
      <c r="H177" s="51" t="n"/>
      <c r="I177" s="51" t="n"/>
      <c r="J177" s="51" t="n"/>
    </row>
    <row r="178">
      <c r="B178" s="51" t="n"/>
      <c r="C178" s="51" t="n"/>
      <c r="D178" s="51" t="n"/>
      <c r="E178" s="51" t="n"/>
      <c r="F178" s="51" t="n"/>
      <c r="G178" s="51" t="n"/>
      <c r="H178" s="51" t="n"/>
      <c r="I178" s="51" t="n"/>
      <c r="J178" s="51" t="n"/>
    </row>
    <row r="179">
      <c r="B179" s="51" t="n"/>
      <c r="C179" s="51" t="n"/>
      <c r="D179" s="51" t="n"/>
      <c r="E179" s="51" t="n"/>
      <c r="F179" s="51" t="n"/>
      <c r="G179" s="51" t="n"/>
      <c r="H179" s="51" t="n"/>
      <c r="I179" s="51" t="n"/>
      <c r="J179" s="51" t="n"/>
    </row>
    <row r="180">
      <c r="B180" s="51" t="n"/>
      <c r="C180" s="51" t="n"/>
      <c r="D180" s="51" t="n"/>
      <c r="E180" s="51" t="n"/>
      <c r="F180" s="51" t="n"/>
      <c r="G180" s="51" t="n"/>
      <c r="H180" s="51" t="n"/>
      <c r="I180" s="51" t="n"/>
      <c r="J180" s="51" t="n"/>
    </row>
    <row r="181">
      <c r="B181" s="51" t="n"/>
      <c r="C181" s="51" t="n"/>
      <c r="D181" s="51" t="n"/>
      <c r="E181" s="51" t="n"/>
      <c r="F181" s="51" t="n"/>
      <c r="G181" s="51" t="n"/>
      <c r="H181" s="51" t="n"/>
      <c r="I181" s="51" t="n"/>
      <c r="J181" s="51" t="n"/>
    </row>
    <row r="182">
      <c r="B182" s="51" t="n"/>
      <c r="C182" s="51" t="n"/>
      <c r="D182" s="51" t="n"/>
      <c r="E182" s="51" t="n"/>
      <c r="F182" s="51" t="n"/>
      <c r="G182" s="51" t="n"/>
      <c r="H182" s="51" t="n"/>
      <c r="I182" s="51" t="n"/>
      <c r="J182" s="51" t="n"/>
    </row>
    <row r="183">
      <c r="B183" s="51" t="n"/>
      <c r="C183" s="51" t="n"/>
      <c r="D183" s="51" t="n"/>
      <c r="E183" s="51" t="n"/>
      <c r="F183" s="51" t="n"/>
      <c r="G183" s="51" t="n"/>
      <c r="H183" s="51" t="n"/>
      <c r="I183" s="51" t="n"/>
      <c r="J183" s="51" t="n"/>
    </row>
    <row r="184">
      <c r="B184" s="51" t="n"/>
      <c r="C184" s="51" t="n"/>
      <c r="D184" s="51" t="n"/>
      <c r="E184" s="51" t="n"/>
      <c r="F184" s="51" t="n"/>
      <c r="G184" s="51" t="n"/>
      <c r="H184" s="51" t="n"/>
      <c r="I184" s="51" t="n"/>
      <c r="J184" s="51" t="n"/>
    </row>
    <row r="185">
      <c r="B185" s="51" t="n"/>
      <c r="C185" s="51" t="n"/>
      <c r="D185" s="51" t="n"/>
      <c r="E185" s="51" t="n"/>
      <c r="F185" s="51" t="n"/>
      <c r="G185" s="51" t="n"/>
      <c r="H185" s="51" t="n"/>
      <c r="I185" s="51" t="n"/>
      <c r="J185" s="51" t="n"/>
    </row>
    <row r="186">
      <c r="B186" s="51" t="n"/>
      <c r="C186" s="51" t="n"/>
      <c r="D186" s="51" t="n"/>
      <c r="E186" s="51" t="n"/>
      <c r="F186" s="51" t="n"/>
      <c r="G186" s="51" t="n"/>
      <c r="H186" s="51" t="n"/>
      <c r="I186" s="51" t="n"/>
      <c r="J186" s="51" t="n"/>
    </row>
    <row r="187">
      <c r="B187" s="51" t="n"/>
      <c r="C187" s="51" t="n"/>
      <c r="D187" s="51" t="n"/>
      <c r="E187" s="51" t="n"/>
      <c r="F187" s="51" t="n"/>
      <c r="G187" s="51" t="n"/>
      <c r="H187" s="51" t="n"/>
      <c r="I187" s="51" t="n"/>
      <c r="J187" s="51" t="n"/>
    </row>
    <row r="188">
      <c r="B188" s="51" t="n"/>
      <c r="C188" s="51" t="n"/>
      <c r="D188" s="51" t="n"/>
      <c r="E188" s="51" t="n"/>
      <c r="F188" s="51" t="n"/>
      <c r="G188" s="51" t="n"/>
      <c r="H188" s="51" t="n"/>
      <c r="I188" s="51" t="n"/>
      <c r="J188" s="51" t="n"/>
    </row>
    <row r="189">
      <c r="B189" s="51" t="n"/>
      <c r="C189" s="51" t="n"/>
      <c r="D189" s="51" t="n"/>
      <c r="E189" s="51" t="n"/>
      <c r="F189" s="51" t="n"/>
      <c r="G189" s="51" t="n"/>
      <c r="H189" s="51" t="n"/>
      <c r="I189" s="51" t="n"/>
      <c r="J189" s="51" t="n"/>
    </row>
    <row r="190">
      <c r="B190" s="51" t="n"/>
      <c r="C190" s="51" t="n"/>
      <c r="D190" s="51" t="n"/>
      <c r="E190" s="51" t="n"/>
      <c r="F190" s="51" t="n"/>
      <c r="G190" s="51" t="n"/>
      <c r="H190" s="51" t="n"/>
      <c r="I190" s="51" t="n"/>
      <c r="J190" s="51" t="n"/>
    </row>
    <row r="191">
      <c r="B191" s="51" t="n"/>
      <c r="C191" s="51" t="n"/>
      <c r="D191" s="51" t="n"/>
      <c r="E191" s="51" t="n"/>
      <c r="F191" s="51" t="n"/>
      <c r="G191" s="51" t="n"/>
      <c r="H191" s="51" t="n"/>
      <c r="I191" s="51" t="n"/>
      <c r="J191" s="51" t="n"/>
    </row>
    <row r="192">
      <c r="B192" s="51" t="n"/>
      <c r="C192" s="51" t="n"/>
      <c r="D192" s="51" t="n"/>
      <c r="E192" s="51" t="n"/>
      <c r="F192" s="51" t="n"/>
      <c r="G192" s="51" t="n"/>
      <c r="H192" s="51" t="n"/>
      <c r="I192" s="51" t="n"/>
      <c r="J192" s="51" t="n"/>
    </row>
    <row r="193">
      <c r="B193" s="51" t="n"/>
      <c r="C193" s="51" t="n"/>
      <c r="D193" s="51" t="n"/>
      <c r="E193" s="51" t="n"/>
      <c r="F193" s="51" t="n"/>
      <c r="G193" s="51" t="n"/>
      <c r="H193" s="51" t="n"/>
      <c r="I193" s="51" t="n"/>
      <c r="J193" s="51" t="n"/>
    </row>
    <row r="194">
      <c r="B194" s="51" t="n"/>
      <c r="C194" s="51" t="n"/>
      <c r="D194" s="51" t="n"/>
      <c r="E194" s="51" t="n"/>
      <c r="F194" s="51" t="n"/>
      <c r="G194" s="51" t="n"/>
      <c r="H194" s="51" t="n"/>
      <c r="I194" s="51" t="n"/>
      <c r="J194" s="51" t="n"/>
    </row>
    <row r="195">
      <c r="B195" s="51" t="n"/>
      <c r="C195" s="51" t="n"/>
      <c r="D195" s="51" t="n"/>
      <c r="E195" s="51" t="n"/>
      <c r="F195" s="51" t="n"/>
      <c r="G195" s="51" t="n"/>
      <c r="H195" s="51" t="n"/>
      <c r="I195" s="51" t="n"/>
      <c r="J195" s="51" t="n"/>
    </row>
    <row r="196">
      <c r="B196" s="51" t="n"/>
      <c r="C196" s="51" t="n"/>
      <c r="D196" s="51" t="n"/>
      <c r="E196" s="51" t="n"/>
      <c r="F196" s="51" t="n"/>
      <c r="G196" s="51" t="n"/>
      <c r="H196" s="51" t="n"/>
      <c r="I196" s="51" t="n"/>
      <c r="J196" s="51" t="n"/>
    </row>
    <row r="197">
      <c r="B197" s="51" t="n"/>
      <c r="C197" s="51" t="n"/>
      <c r="D197" s="51" t="n"/>
      <c r="E197" s="51" t="n"/>
      <c r="F197" s="51" t="n"/>
      <c r="G197" s="51" t="n"/>
      <c r="H197" s="51" t="n"/>
      <c r="I197" s="51" t="n"/>
      <c r="J197" s="51" t="n"/>
    </row>
    <row r="198">
      <c r="B198" s="51" t="n"/>
      <c r="C198" s="51" t="n"/>
      <c r="D198" s="51" t="n"/>
      <c r="E198" s="51" t="n"/>
      <c r="F198" s="51" t="n"/>
      <c r="G198" s="51" t="n"/>
      <c r="H198" s="51" t="n"/>
      <c r="I198" s="51" t="n"/>
      <c r="J198" s="51" t="n"/>
    </row>
    <row r="199">
      <c r="B199" s="51" t="n"/>
      <c r="C199" s="51" t="n"/>
      <c r="D199" s="51" t="n"/>
      <c r="E199" s="51" t="n"/>
      <c r="F199" s="51" t="n"/>
      <c r="G199" s="51" t="n"/>
      <c r="H199" s="51" t="n"/>
      <c r="I199" s="51" t="n"/>
      <c r="J199" s="51" t="n"/>
    </row>
    <row r="200">
      <c r="B200" s="51" t="n"/>
      <c r="C200" s="51" t="n"/>
      <c r="D200" s="51" t="n"/>
      <c r="E200" s="51" t="n"/>
      <c r="F200" s="51" t="n"/>
      <c r="G200" s="51" t="n"/>
      <c r="H200" s="51" t="n"/>
      <c r="I200" s="51" t="n"/>
      <c r="J200" s="51" t="n"/>
    </row>
    <row r="201">
      <c r="B201" s="51" t="n"/>
      <c r="C201" s="51" t="n"/>
      <c r="D201" s="51" t="n"/>
      <c r="E201" s="51" t="n"/>
      <c r="F201" s="51" t="n"/>
      <c r="G201" s="51" t="n"/>
      <c r="H201" s="51" t="n"/>
      <c r="I201" s="51" t="n"/>
      <c r="J201" s="51" t="n"/>
    </row>
    <row r="202">
      <c r="B202" s="51" t="n"/>
      <c r="C202" s="51" t="n"/>
      <c r="D202" s="51" t="n"/>
      <c r="E202" s="51" t="n"/>
      <c r="F202" s="51" t="n"/>
      <c r="G202" s="51" t="n"/>
      <c r="H202" s="51" t="n"/>
      <c r="I202" s="51" t="n"/>
      <c r="J202" s="51" t="n"/>
    </row>
    <row r="203">
      <c r="B203" s="51" t="n"/>
      <c r="C203" s="51" t="n"/>
      <c r="D203" s="51" t="n"/>
      <c r="E203" s="51" t="n"/>
      <c r="F203" s="51" t="n"/>
      <c r="G203" s="51" t="n"/>
      <c r="H203" s="51" t="n"/>
      <c r="I203" s="51" t="n"/>
      <c r="J203" s="51" t="n"/>
    </row>
    <row r="204">
      <c r="B204" s="51" t="n"/>
      <c r="C204" s="51" t="n"/>
      <c r="D204" s="51" t="n"/>
      <c r="E204" s="51" t="n"/>
      <c r="F204" s="51" t="n"/>
      <c r="G204" s="51" t="n"/>
      <c r="H204" s="51" t="n"/>
      <c r="I204" s="51" t="n"/>
      <c r="J204" s="51" t="n"/>
    </row>
    <row r="205">
      <c r="B205" s="51" t="n"/>
      <c r="C205" s="51" t="n"/>
      <c r="D205" s="51" t="n"/>
      <c r="E205" s="51" t="n"/>
      <c r="F205" s="51" t="n"/>
      <c r="G205" s="51" t="n"/>
      <c r="H205" s="51" t="n"/>
      <c r="I205" s="51" t="n"/>
      <c r="J205" s="51" t="n"/>
    </row>
    <row r="206">
      <c r="B206" s="51" t="n"/>
      <c r="C206" s="51" t="n"/>
      <c r="D206" s="51" t="n"/>
      <c r="E206" s="51" t="n"/>
      <c r="F206" s="51" t="n"/>
      <c r="G206" s="51" t="n"/>
      <c r="H206" s="51" t="n"/>
      <c r="I206" s="51" t="n"/>
      <c r="J206" s="51" t="n"/>
    </row>
    <row r="207">
      <c r="B207" s="51" t="n"/>
      <c r="C207" s="51" t="n"/>
      <c r="D207" s="51" t="n"/>
      <c r="E207" s="51" t="n"/>
      <c r="F207" s="51" t="n"/>
      <c r="G207" s="51" t="n"/>
      <c r="H207" s="51" t="n"/>
      <c r="I207" s="51" t="n"/>
      <c r="J207" s="51" t="n"/>
    </row>
    <row r="208">
      <c r="B208" s="51" t="n"/>
      <c r="C208" s="51" t="n"/>
      <c r="D208" s="51" t="n"/>
      <c r="E208" s="51" t="n"/>
      <c r="F208" s="51" t="n"/>
      <c r="G208" s="51" t="n"/>
      <c r="H208" s="51" t="n"/>
      <c r="I208" s="51" t="n"/>
      <c r="J208" s="51" t="n"/>
    </row>
    <row r="209">
      <c r="B209" s="51" t="n"/>
      <c r="C209" s="51" t="n"/>
      <c r="D209" s="51" t="n"/>
      <c r="E209" s="51" t="n"/>
      <c r="F209" s="51" t="n"/>
      <c r="G209" s="51" t="n"/>
      <c r="H209" s="51" t="n"/>
      <c r="I209" s="51" t="n"/>
      <c r="J209" s="51" t="n"/>
    </row>
    <row r="210">
      <c r="B210" s="51" t="n"/>
      <c r="C210" s="51" t="n"/>
      <c r="D210" s="51" t="n"/>
      <c r="E210" s="51" t="n"/>
      <c r="F210" s="51" t="n"/>
      <c r="G210" s="51" t="n"/>
      <c r="H210" s="51" t="n"/>
      <c r="I210" s="51" t="n"/>
      <c r="J210" s="51" t="n"/>
    </row>
    <row r="211">
      <c r="B211" s="51" t="n"/>
      <c r="C211" s="51" t="n"/>
      <c r="D211" s="51" t="n"/>
      <c r="E211" s="51" t="n"/>
      <c r="F211" s="51" t="n"/>
      <c r="G211" s="51" t="n"/>
      <c r="H211" s="51" t="n"/>
      <c r="I211" s="51" t="n"/>
      <c r="J211" s="51" t="n"/>
    </row>
    <row r="212">
      <c r="B212" s="51" t="n"/>
      <c r="C212" s="51" t="n"/>
      <c r="D212" s="51" t="n"/>
      <c r="E212" s="51" t="n"/>
      <c r="F212" s="51" t="n"/>
      <c r="G212" s="51" t="n"/>
      <c r="H212" s="51" t="n"/>
      <c r="I212" s="51" t="n"/>
      <c r="J212" s="51" t="n"/>
    </row>
    <row r="213">
      <c r="B213" s="51" t="n"/>
      <c r="C213" s="51" t="n"/>
      <c r="D213" s="51" t="n"/>
      <c r="E213" s="51" t="n"/>
      <c r="F213" s="51" t="n"/>
      <c r="G213" s="51" t="n"/>
      <c r="H213" s="51" t="n"/>
      <c r="I213" s="51" t="n"/>
      <c r="J213" s="51" t="n"/>
    </row>
    <row r="214">
      <c r="B214" s="51" t="n"/>
      <c r="C214" s="51" t="n"/>
      <c r="D214" s="51" t="n"/>
      <c r="E214" s="51" t="n"/>
      <c r="F214" s="51" t="n"/>
      <c r="G214" s="51" t="n"/>
      <c r="H214" s="51" t="n"/>
      <c r="I214" s="51" t="n"/>
      <c r="J214" s="51" t="n"/>
    </row>
    <row r="215">
      <c r="B215" s="51" t="n"/>
      <c r="C215" s="51" t="n"/>
      <c r="D215" s="51" t="n"/>
      <c r="E215" s="51" t="n"/>
      <c r="F215" s="51" t="n"/>
      <c r="G215" s="51" t="n"/>
      <c r="H215" s="51" t="n"/>
      <c r="I215" s="51" t="n"/>
      <c r="J215" s="51" t="n"/>
    </row>
    <row r="216">
      <c r="B216" s="51" t="n"/>
      <c r="C216" s="51" t="n"/>
      <c r="D216" s="51" t="n"/>
      <c r="E216" s="51" t="n"/>
      <c r="F216" s="51" t="n"/>
      <c r="G216" s="51" t="n"/>
      <c r="H216" s="51" t="n"/>
      <c r="I216" s="51" t="n"/>
      <c r="J216" s="51" t="n"/>
    </row>
    <row r="217">
      <c r="B217" s="51" t="n"/>
      <c r="C217" s="51" t="n"/>
      <c r="D217" s="51" t="n"/>
      <c r="E217" s="51" t="n"/>
      <c r="F217" s="51" t="n"/>
      <c r="G217" s="51" t="n"/>
      <c r="H217" s="51" t="n"/>
      <c r="I217" s="51" t="n"/>
      <c r="J217" s="51" t="n"/>
    </row>
    <row r="218">
      <c r="B218" s="51" t="n"/>
      <c r="C218" s="51" t="n"/>
      <c r="D218" s="51" t="n"/>
      <c r="E218" s="51" t="n"/>
      <c r="F218" s="51" t="n"/>
      <c r="G218" s="51" t="n"/>
      <c r="H218" s="51" t="n"/>
      <c r="I218" s="51" t="n"/>
      <c r="J218" s="51" t="n"/>
    </row>
    <row r="219">
      <c r="B219" s="51" t="n"/>
      <c r="C219" s="51" t="n"/>
      <c r="D219" s="51" t="n"/>
      <c r="E219" s="51" t="n"/>
      <c r="F219" s="51" t="n"/>
      <c r="G219" s="51" t="n"/>
      <c r="H219" s="51" t="n"/>
      <c r="I219" s="51" t="n"/>
      <c r="J219" s="51" t="n"/>
    </row>
    <row r="220">
      <c r="B220" s="51" t="n"/>
      <c r="C220" s="51" t="n"/>
      <c r="D220" s="51" t="n"/>
      <c r="E220" s="51" t="n"/>
      <c r="F220" s="51" t="n"/>
      <c r="G220" s="51" t="n"/>
      <c r="H220" s="51" t="n"/>
      <c r="I220" s="51" t="n"/>
      <c r="J220" s="51" t="n"/>
    </row>
    <row r="221">
      <c r="B221" s="51" t="n"/>
      <c r="C221" s="51" t="n"/>
      <c r="D221" s="51" t="n"/>
      <c r="E221" s="51" t="n"/>
      <c r="F221" s="51" t="n"/>
      <c r="G221" s="51" t="n"/>
      <c r="H221" s="51" t="n"/>
      <c r="I221" s="51" t="n"/>
      <c r="J221" s="51" t="n"/>
    </row>
    <row r="222">
      <c r="B222" s="51" t="n"/>
      <c r="C222" s="51" t="n"/>
      <c r="D222" s="51" t="n"/>
      <c r="E222" s="51" t="n"/>
      <c r="F222" s="51" t="n"/>
      <c r="G222" s="51" t="n"/>
      <c r="H222" s="51" t="n"/>
      <c r="I222" s="51" t="n"/>
      <c r="J222" s="51" t="n"/>
    </row>
    <row r="223">
      <c r="B223" s="51" t="n"/>
      <c r="C223" s="51" t="n"/>
      <c r="D223" s="51" t="n"/>
      <c r="E223" s="51" t="n"/>
      <c r="F223" s="51" t="n"/>
      <c r="G223" s="51" t="n"/>
      <c r="H223" s="51" t="n"/>
      <c r="I223" s="51" t="n"/>
      <c r="J223" s="51" t="n"/>
    </row>
    <row r="224">
      <c r="B224" s="51" t="n"/>
      <c r="C224" s="51" t="n"/>
      <c r="D224" s="51" t="n"/>
      <c r="E224" s="51" t="n"/>
      <c r="F224" s="51" t="n"/>
      <c r="G224" s="51" t="n"/>
      <c r="H224" s="51" t="n"/>
      <c r="I224" s="51" t="n"/>
      <c r="J224" s="51" t="n"/>
    </row>
    <row r="225">
      <c r="B225" s="51" t="n"/>
      <c r="C225" s="51" t="n"/>
      <c r="D225" s="51" t="n"/>
      <c r="E225" s="51" t="n"/>
      <c r="F225" s="51" t="n"/>
      <c r="G225" s="51" t="n"/>
      <c r="H225" s="51" t="n"/>
      <c r="I225" s="51" t="n"/>
      <c r="J225" s="51" t="n"/>
    </row>
    <row r="226">
      <c r="B226" s="51" t="n"/>
      <c r="C226" s="51" t="n"/>
      <c r="D226" s="51" t="n"/>
      <c r="E226" s="51" t="n"/>
      <c r="F226" s="51" t="n"/>
      <c r="G226" s="51" t="n"/>
      <c r="H226" s="51" t="n"/>
      <c r="I226" s="51" t="n"/>
      <c r="J226" s="51" t="n"/>
    </row>
    <row r="227">
      <c r="B227" s="51" t="n"/>
      <c r="C227" s="51" t="n"/>
      <c r="D227" s="51" t="n"/>
      <c r="E227" s="51" t="n"/>
      <c r="F227" s="51" t="n"/>
      <c r="G227" s="51" t="n"/>
      <c r="H227" s="51" t="n"/>
      <c r="I227" s="51" t="n"/>
      <c r="J227" s="51" t="n"/>
    </row>
    <row r="228">
      <c r="B228" s="51" t="n"/>
      <c r="C228" s="51" t="n"/>
      <c r="D228" s="51" t="n"/>
      <c r="E228" s="51" t="n"/>
      <c r="F228" s="51" t="n"/>
      <c r="G228" s="51" t="n"/>
      <c r="H228" s="51" t="n"/>
      <c r="I228" s="51" t="n"/>
      <c r="J228" s="51" t="n"/>
    </row>
    <row r="229">
      <c r="B229" s="51" t="n"/>
      <c r="C229" s="51" t="n"/>
      <c r="D229" s="51" t="n"/>
      <c r="E229" s="51" t="n"/>
      <c r="F229" s="51" t="n"/>
      <c r="G229" s="51" t="n"/>
      <c r="H229" s="51" t="n"/>
      <c r="I229" s="51" t="n"/>
      <c r="J229" s="51" t="n"/>
    </row>
    <row r="230">
      <c r="B230" s="51" t="n"/>
      <c r="C230" s="51" t="n"/>
      <c r="D230" s="51" t="n"/>
      <c r="E230" s="51" t="n"/>
      <c r="F230" s="51" t="n"/>
      <c r="G230" s="51" t="n"/>
      <c r="H230" s="51" t="n"/>
      <c r="I230" s="51" t="n"/>
      <c r="J230" s="51" t="n"/>
    </row>
    <row r="231">
      <c r="B231" s="51" t="n"/>
      <c r="C231" s="51" t="n"/>
      <c r="D231" s="51" t="n"/>
      <c r="E231" s="51" t="n"/>
      <c r="F231" s="51" t="n"/>
      <c r="G231" s="51" t="n"/>
      <c r="H231" s="51" t="n"/>
      <c r="I231" s="51" t="n"/>
      <c r="J231" s="51" t="n"/>
    </row>
    <row r="232">
      <c r="B232" s="51" t="n"/>
      <c r="C232" s="51" t="n"/>
      <c r="D232" s="51" t="n"/>
      <c r="E232" s="51" t="n"/>
      <c r="F232" s="51" t="n"/>
      <c r="G232" s="51" t="n"/>
      <c r="H232" s="51" t="n"/>
      <c r="I232" s="51" t="n"/>
      <c r="J232" s="51" t="n"/>
    </row>
    <row r="233">
      <c r="B233" s="51" t="n"/>
      <c r="C233" s="51" t="n"/>
      <c r="D233" s="51" t="n"/>
      <c r="E233" s="51" t="n"/>
      <c r="F233" s="51" t="n"/>
      <c r="G233" s="51" t="n"/>
      <c r="H233" s="51" t="n"/>
      <c r="I233" s="51" t="n"/>
      <c r="J233" s="51" t="n"/>
    </row>
    <row r="234">
      <c r="B234" s="51" t="n"/>
      <c r="C234" s="51" t="n"/>
      <c r="D234" s="51" t="n"/>
      <c r="E234" s="51" t="n"/>
      <c r="F234" s="51" t="n"/>
      <c r="G234" s="51" t="n"/>
      <c r="H234" s="51" t="n"/>
      <c r="I234" s="51" t="n"/>
      <c r="J234" s="51" t="n"/>
    </row>
    <row r="235">
      <c r="B235" s="51" t="n"/>
      <c r="C235" s="51" t="n"/>
      <c r="D235" s="51" t="n"/>
      <c r="E235" s="51" t="n"/>
      <c r="F235" s="51" t="n"/>
      <c r="G235" s="51" t="n"/>
      <c r="H235" s="51" t="n"/>
      <c r="I235" s="51" t="n"/>
      <c r="J235" s="51" t="n"/>
    </row>
    <row r="236">
      <c r="B236" s="51" t="n"/>
      <c r="C236" s="51" t="n"/>
      <c r="D236" s="51" t="n"/>
      <c r="E236" s="51" t="n"/>
      <c r="F236" s="51" t="n"/>
      <c r="G236" s="51" t="n"/>
      <c r="H236" s="51" t="n"/>
      <c r="I236" s="51" t="n"/>
      <c r="J236" s="51" t="n"/>
    </row>
    <row r="237">
      <c r="B237" s="51" t="n"/>
      <c r="C237" s="51" t="n"/>
      <c r="D237" s="51" t="n"/>
      <c r="E237" s="51" t="n"/>
      <c r="F237" s="51" t="n"/>
      <c r="G237" s="51" t="n"/>
      <c r="H237" s="51" t="n"/>
      <c r="I237" s="51" t="n"/>
      <c r="J237" s="51" t="n"/>
    </row>
    <row r="238">
      <c r="B238" s="51" t="n"/>
      <c r="C238" s="51" t="n"/>
      <c r="D238" s="51" t="n"/>
      <c r="E238" s="51" t="n"/>
      <c r="F238" s="51" t="n"/>
      <c r="G238" s="51" t="n"/>
      <c r="H238" s="51" t="n"/>
      <c r="I238" s="51" t="n"/>
      <c r="J238" s="51" t="n"/>
    </row>
    <row r="239">
      <c r="B239" s="51" t="n"/>
      <c r="C239" s="51" t="n"/>
      <c r="D239" s="51" t="n"/>
      <c r="E239" s="51" t="n"/>
      <c r="F239" s="51" t="n"/>
      <c r="G239" s="51" t="n"/>
      <c r="H239" s="51" t="n"/>
      <c r="I239" s="51" t="n"/>
      <c r="J239" s="51" t="n"/>
    </row>
    <row r="240">
      <c r="B240" s="51" t="n"/>
      <c r="C240" s="51" t="n"/>
      <c r="D240" s="51" t="n"/>
      <c r="E240" s="51" t="n"/>
      <c r="F240" s="51" t="n"/>
      <c r="G240" s="51" t="n"/>
      <c r="H240" s="51" t="n"/>
      <c r="I240" s="51" t="n"/>
      <c r="J240" s="51" t="n"/>
    </row>
    <row r="241">
      <c r="B241" s="51" t="n"/>
      <c r="C241" s="51" t="n"/>
      <c r="D241" s="51" t="n"/>
      <c r="E241" s="51" t="n"/>
      <c r="F241" s="51" t="n"/>
      <c r="G241" s="51" t="n"/>
      <c r="H241" s="51" t="n"/>
      <c r="I241" s="51" t="n"/>
      <c r="J241" s="51" t="n"/>
    </row>
    <row r="242">
      <c r="B242" s="51" t="n"/>
      <c r="C242" s="51" t="n"/>
      <c r="D242" s="51" t="n"/>
      <c r="E242" s="51" t="n"/>
      <c r="F242" s="51" t="n"/>
      <c r="G242" s="51" t="n"/>
      <c r="H242" s="51" t="n"/>
      <c r="I242" s="51" t="n"/>
      <c r="J242" s="51" t="n"/>
    </row>
    <row r="243">
      <c r="B243" s="51" t="n"/>
      <c r="C243" s="51" t="n"/>
      <c r="D243" s="51" t="n"/>
      <c r="E243" s="51" t="n"/>
      <c r="F243" s="51" t="n"/>
      <c r="G243" s="51" t="n"/>
      <c r="H243" s="51" t="n"/>
      <c r="I243" s="51" t="n"/>
      <c r="J243" s="51" t="n"/>
    </row>
    <row r="244">
      <c r="B244" s="51" t="n"/>
      <c r="C244" s="51" t="n"/>
      <c r="D244" s="51" t="n"/>
      <c r="E244" s="51" t="n"/>
      <c r="F244" s="51" t="n"/>
      <c r="G244" s="51" t="n"/>
      <c r="H244" s="51" t="n"/>
      <c r="I244" s="51" t="n"/>
      <c r="J244" s="51" t="n"/>
    </row>
    <row r="245">
      <c r="B245" s="51" t="n"/>
      <c r="C245" s="51" t="n"/>
      <c r="D245" s="51" t="n"/>
      <c r="E245" s="51" t="n"/>
      <c r="F245" s="51" t="n"/>
      <c r="G245" s="51" t="n"/>
      <c r="H245" s="51" t="n"/>
      <c r="I245" s="51" t="n"/>
      <c r="J245" s="51" t="n"/>
    </row>
    <row r="246">
      <c r="B246" s="51" t="n"/>
      <c r="C246" s="51" t="n"/>
      <c r="D246" s="51" t="n"/>
      <c r="E246" s="51" t="n"/>
      <c r="F246" s="51" t="n"/>
      <c r="G246" s="51" t="n"/>
      <c r="H246" s="51" t="n"/>
      <c r="I246" s="51" t="n"/>
      <c r="J246" s="51" t="n"/>
    </row>
    <row r="247">
      <c r="B247" s="51" t="n"/>
      <c r="C247" s="51" t="n"/>
      <c r="D247" s="51" t="n"/>
      <c r="E247" s="51" t="n"/>
      <c r="F247" s="51" t="n"/>
      <c r="G247" s="51" t="n"/>
      <c r="H247" s="51" t="n"/>
      <c r="I247" s="51" t="n"/>
      <c r="J247" s="51" t="n"/>
    </row>
    <row r="248">
      <c r="B248" s="51" t="n"/>
      <c r="C248" s="51" t="n"/>
      <c r="D248" s="51" t="n"/>
      <c r="E248" s="51" t="n"/>
      <c r="F248" s="51" t="n"/>
      <c r="G248" s="51" t="n"/>
      <c r="H248" s="51" t="n"/>
      <c r="I248" s="51" t="n"/>
      <c r="J248" s="51" t="n"/>
    </row>
    <row r="249">
      <c r="B249" s="51" t="n"/>
      <c r="C249" s="51" t="n"/>
      <c r="D249" s="51" t="n"/>
      <c r="E249" s="51" t="n"/>
      <c r="F249" s="51" t="n"/>
      <c r="G249" s="51" t="n"/>
      <c r="H249" s="51" t="n"/>
      <c r="I249" s="51" t="n"/>
      <c r="J249" s="51" t="n"/>
    </row>
    <row r="250">
      <c r="B250" s="51" t="n"/>
      <c r="C250" s="51" t="n"/>
      <c r="D250" s="51" t="n"/>
      <c r="E250" s="51" t="n"/>
      <c r="F250" s="51" t="n"/>
      <c r="G250" s="51" t="n"/>
      <c r="H250" s="51" t="n"/>
      <c r="I250" s="51" t="n"/>
      <c r="J250" s="51" t="n"/>
    </row>
    <row r="251">
      <c r="B251" s="51" t="n"/>
      <c r="C251" s="51" t="n"/>
      <c r="D251" s="51" t="n"/>
      <c r="E251" s="51" t="n"/>
      <c r="F251" s="51" t="n"/>
      <c r="G251" s="51" t="n"/>
      <c r="H251" s="51" t="n"/>
      <c r="I251" s="51" t="n"/>
      <c r="J251" s="51" t="n"/>
    </row>
    <row r="252">
      <c r="B252" s="51" t="n"/>
      <c r="C252" s="51" t="n"/>
      <c r="D252" s="51" t="n"/>
      <c r="E252" s="51" t="n"/>
      <c r="F252" s="51" t="n"/>
      <c r="G252" s="51" t="n"/>
      <c r="H252" s="51" t="n"/>
      <c r="I252" s="51" t="n"/>
      <c r="J252" s="51" t="n"/>
    </row>
    <row r="253">
      <c r="B253" s="51" t="n"/>
      <c r="C253" s="51" t="n"/>
      <c r="D253" s="51" t="n"/>
      <c r="E253" s="51" t="n"/>
      <c r="F253" s="51" t="n"/>
      <c r="G253" s="51" t="n"/>
      <c r="H253" s="51" t="n"/>
      <c r="I253" s="51" t="n"/>
      <c r="J253" s="51" t="n"/>
    </row>
    <row r="254">
      <c r="B254" s="51" t="n"/>
      <c r="C254" s="51" t="n"/>
      <c r="D254" s="51" t="n"/>
      <c r="E254" s="51" t="n"/>
      <c r="F254" s="51" t="n"/>
      <c r="G254" s="51" t="n"/>
      <c r="H254" s="51" t="n"/>
      <c r="I254" s="51" t="n"/>
      <c r="J254" s="51" t="n"/>
    </row>
    <row r="255">
      <c r="B255" s="51" t="n"/>
      <c r="C255" s="51" t="n"/>
      <c r="D255" s="51" t="n"/>
      <c r="E255" s="51" t="n"/>
      <c r="F255" s="51" t="n"/>
      <c r="G255" s="51" t="n"/>
      <c r="H255" s="51" t="n"/>
      <c r="I255" s="51" t="n"/>
      <c r="J255" s="51" t="n"/>
    </row>
    <row r="256">
      <c r="B256" s="51" t="n"/>
      <c r="C256" s="51" t="n"/>
      <c r="D256" s="51" t="n"/>
      <c r="E256" s="51" t="n"/>
      <c r="F256" s="51" t="n"/>
      <c r="G256" s="51" t="n"/>
      <c r="H256" s="51" t="n"/>
      <c r="I256" s="51" t="n"/>
      <c r="J256" s="51" t="n"/>
    </row>
    <row r="257">
      <c r="B257" s="51" t="n"/>
      <c r="C257" s="51" t="n"/>
      <c r="D257" s="51" t="n"/>
      <c r="E257" s="51" t="n"/>
      <c r="F257" s="51" t="n"/>
      <c r="G257" s="51" t="n"/>
      <c r="H257" s="51" t="n"/>
      <c r="I257" s="51" t="n"/>
      <c r="J257" s="51" t="n"/>
    </row>
    <row r="258">
      <c r="B258" s="51" t="n"/>
      <c r="C258" s="51" t="n"/>
      <c r="D258" s="51" t="n"/>
      <c r="E258" s="51" t="n"/>
      <c r="F258" s="51" t="n"/>
      <c r="G258" s="51" t="n"/>
      <c r="H258" s="51" t="n"/>
      <c r="I258" s="51" t="n"/>
      <c r="J258" s="51" t="n"/>
    </row>
    <row r="259">
      <c r="B259" s="51" t="n"/>
      <c r="C259" s="51" t="n"/>
      <c r="D259" s="51" t="n"/>
      <c r="E259" s="51" t="n"/>
      <c r="F259" s="51" t="n"/>
      <c r="G259" s="51" t="n"/>
      <c r="H259" s="51" t="n"/>
      <c r="I259" s="51" t="n"/>
      <c r="J259" s="51" t="n"/>
    </row>
    <row r="260">
      <c r="B260" s="51" t="n"/>
      <c r="C260" s="51" t="n"/>
      <c r="D260" s="51" t="n"/>
      <c r="E260" s="51" t="n"/>
      <c r="F260" s="51" t="n"/>
      <c r="G260" s="51" t="n"/>
      <c r="H260" s="51" t="n"/>
      <c r="I260" s="51" t="n"/>
      <c r="J260" s="51" t="n"/>
    </row>
    <row r="261">
      <c r="B261" s="51" t="n"/>
      <c r="C261" s="51" t="n"/>
      <c r="D261" s="51" t="n"/>
      <c r="E261" s="51" t="n"/>
      <c r="F261" s="51" t="n"/>
      <c r="G261" s="51" t="n"/>
      <c r="H261" s="51" t="n"/>
      <c r="I261" s="51" t="n"/>
      <c r="J261" s="51" t="n"/>
    </row>
    <row r="262">
      <c r="B262" s="51" t="n"/>
      <c r="C262" s="51" t="n"/>
      <c r="D262" s="51" t="n"/>
      <c r="E262" s="51" t="n"/>
      <c r="F262" s="51" t="n"/>
      <c r="G262" s="51" t="n"/>
      <c r="H262" s="51" t="n"/>
      <c r="I262" s="51" t="n"/>
      <c r="J262" s="51" t="n"/>
    </row>
    <row r="263">
      <c r="B263" s="51" t="n"/>
      <c r="C263" s="51" t="n"/>
      <c r="D263" s="51" t="n"/>
      <c r="E263" s="51" t="n"/>
      <c r="F263" s="51" t="n"/>
      <c r="G263" s="51" t="n"/>
      <c r="H263" s="51" t="n"/>
      <c r="I263" s="51" t="n"/>
      <c r="J263" s="51" t="n"/>
    </row>
    <row r="264">
      <c r="B264" s="51" t="n"/>
      <c r="C264" s="51" t="n"/>
      <c r="D264" s="51" t="n"/>
      <c r="E264" s="51" t="n"/>
      <c r="F264" s="51" t="n"/>
      <c r="G264" s="51" t="n"/>
      <c r="H264" s="51" t="n"/>
      <c r="I264" s="51" t="n"/>
      <c r="J264" s="51" t="n"/>
    </row>
    <row r="265">
      <c r="B265" s="51" t="n"/>
      <c r="C265" s="51" t="n"/>
      <c r="D265" s="51" t="n"/>
      <c r="E265" s="51" t="n"/>
      <c r="F265" s="51" t="n"/>
      <c r="G265" s="51" t="n"/>
      <c r="H265" s="51" t="n"/>
      <c r="I265" s="51" t="n"/>
      <c r="J265" s="51" t="n"/>
    </row>
    <row r="266">
      <c r="B266" s="51" t="n"/>
      <c r="C266" s="51" t="n"/>
      <c r="D266" s="51" t="n"/>
      <c r="E266" s="51" t="n"/>
      <c r="F266" s="51" t="n"/>
      <c r="G266" s="51" t="n"/>
      <c r="H266" s="51" t="n"/>
      <c r="I266" s="51" t="n"/>
      <c r="J266" s="51" t="n"/>
    </row>
    <row r="267">
      <c r="B267" s="51" t="n"/>
      <c r="C267" s="51" t="n"/>
      <c r="D267" s="51" t="n"/>
      <c r="E267" s="51" t="n"/>
      <c r="F267" s="51" t="n"/>
      <c r="G267" s="51" t="n"/>
      <c r="H267" s="51" t="n"/>
      <c r="I267" s="51" t="n"/>
      <c r="J267" s="51" t="n"/>
    </row>
    <row r="268">
      <c r="B268" s="51" t="n"/>
      <c r="C268" s="51" t="n"/>
      <c r="D268" s="51" t="n"/>
      <c r="E268" s="51" t="n"/>
      <c r="F268" s="51" t="n"/>
      <c r="G268" s="51" t="n"/>
      <c r="H268" s="51" t="n"/>
      <c r="I268" s="51" t="n"/>
      <c r="J268" s="51" t="n"/>
    </row>
    <row r="269">
      <c r="B269" s="51" t="n"/>
      <c r="C269" s="51" t="n"/>
      <c r="D269" s="51" t="n"/>
      <c r="E269" s="51" t="n"/>
      <c r="F269" s="51" t="n"/>
      <c r="G269" s="51" t="n"/>
      <c r="H269" s="51" t="n"/>
      <c r="I269" s="51" t="n"/>
      <c r="J269" s="51" t="n"/>
    </row>
    <row r="270">
      <c r="B270" s="51" t="n"/>
      <c r="C270" s="51" t="n"/>
      <c r="D270" s="51" t="n"/>
      <c r="E270" s="51" t="n"/>
      <c r="F270" s="51" t="n"/>
      <c r="G270" s="51" t="n"/>
      <c r="H270" s="51" t="n"/>
      <c r="I270" s="51" t="n"/>
      <c r="J270" s="51" t="n"/>
    </row>
    <row r="271">
      <c r="B271" s="51" t="n"/>
      <c r="C271" s="51" t="n"/>
      <c r="D271" s="51" t="n"/>
      <c r="E271" s="51" t="n"/>
      <c r="F271" s="51" t="n"/>
      <c r="G271" s="51" t="n"/>
      <c r="H271" s="51" t="n"/>
      <c r="I271" s="51" t="n"/>
      <c r="J271" s="51" t="n"/>
    </row>
    <row r="272">
      <c r="B272" s="51" t="n"/>
      <c r="C272" s="51" t="n"/>
      <c r="D272" s="51" t="n"/>
      <c r="E272" s="51" t="n"/>
      <c r="F272" s="51" t="n"/>
      <c r="G272" s="51" t="n"/>
      <c r="H272" s="51" t="n"/>
      <c r="I272" s="51" t="n"/>
      <c r="J272" s="51" t="n"/>
    </row>
    <row r="273">
      <c r="B273" s="51" t="n"/>
      <c r="C273" s="51" t="n"/>
      <c r="D273" s="51" t="n"/>
      <c r="E273" s="51" t="n"/>
      <c r="F273" s="51" t="n"/>
      <c r="G273" s="51" t="n"/>
      <c r="H273" s="51" t="n"/>
      <c r="I273" s="51" t="n"/>
      <c r="J273" s="51" t="n"/>
    </row>
    <row r="274">
      <c r="B274" s="51" t="n"/>
      <c r="C274" s="51" t="n"/>
      <c r="D274" s="51" t="n"/>
      <c r="E274" s="51" t="n"/>
      <c r="F274" s="51" t="n"/>
      <c r="G274" s="51" t="n"/>
      <c r="H274" s="51" t="n"/>
      <c r="I274" s="51" t="n"/>
      <c r="J274" s="51" t="n"/>
    </row>
    <row r="275">
      <c r="B275" s="51" t="n"/>
      <c r="C275" s="51" t="n"/>
      <c r="D275" s="51" t="n"/>
      <c r="E275" s="51" t="n"/>
      <c r="F275" s="51" t="n"/>
      <c r="G275" s="51" t="n"/>
      <c r="H275" s="51" t="n"/>
      <c r="I275" s="51" t="n"/>
      <c r="J275" s="51" t="n"/>
    </row>
    <row r="276">
      <c r="B276" s="51" t="n"/>
      <c r="C276" s="51" t="n"/>
      <c r="D276" s="51" t="n"/>
      <c r="E276" s="51" t="n"/>
      <c r="F276" s="51" t="n"/>
      <c r="G276" s="51" t="n"/>
      <c r="H276" s="51" t="n"/>
      <c r="I276" s="51" t="n"/>
      <c r="J276" s="51" t="n"/>
    </row>
    <row r="277">
      <c r="B277" s="51" t="n"/>
      <c r="C277" s="51" t="n"/>
      <c r="D277" s="51" t="n"/>
      <c r="E277" s="51" t="n"/>
      <c r="F277" s="51" t="n"/>
      <c r="G277" s="51" t="n"/>
      <c r="H277" s="51" t="n"/>
      <c r="I277" s="51" t="n"/>
      <c r="J277" s="51" t="n"/>
    </row>
    <row r="278">
      <c r="B278" s="51" t="n"/>
      <c r="C278" s="51" t="n"/>
      <c r="D278" s="51" t="n"/>
      <c r="E278" s="51" t="n"/>
      <c r="F278" s="51" t="n"/>
      <c r="G278" s="51" t="n"/>
      <c r="H278" s="51" t="n"/>
      <c r="I278" s="51" t="n"/>
      <c r="J278" s="51" t="n"/>
    </row>
    <row r="279">
      <c r="B279" s="51" t="n"/>
      <c r="C279" s="51" t="n"/>
      <c r="D279" s="51" t="n"/>
      <c r="E279" s="51" t="n"/>
      <c r="F279" s="51" t="n"/>
      <c r="G279" s="51" t="n"/>
      <c r="H279" s="51" t="n"/>
      <c r="I279" s="51" t="n"/>
      <c r="J279" s="51" t="n"/>
    </row>
    <row r="280">
      <c r="B280" s="51" t="n"/>
      <c r="C280" s="51" t="n"/>
      <c r="D280" s="51" t="n"/>
      <c r="E280" s="51" t="n"/>
      <c r="F280" s="51" t="n"/>
      <c r="G280" s="51" t="n"/>
      <c r="H280" s="51" t="n"/>
      <c r="I280" s="51" t="n"/>
      <c r="J280" s="51" t="n"/>
    </row>
    <row r="281">
      <c r="B281" s="51" t="n"/>
      <c r="C281" s="51" t="n"/>
      <c r="D281" s="51" t="n"/>
      <c r="E281" s="51" t="n"/>
      <c r="F281" s="51" t="n"/>
      <c r="G281" s="51" t="n"/>
      <c r="H281" s="51" t="n"/>
      <c r="I281" s="51" t="n"/>
      <c r="J281" s="51" t="n"/>
    </row>
    <row r="282">
      <c r="B282" s="51" t="n"/>
      <c r="C282" s="51" t="n"/>
      <c r="D282" s="51" t="n"/>
      <c r="E282" s="51" t="n"/>
      <c r="F282" s="51" t="n"/>
      <c r="G282" s="51" t="n"/>
      <c r="H282" s="51" t="n"/>
      <c r="I282" s="51" t="n"/>
      <c r="J282" s="51" t="n"/>
    </row>
    <row r="283">
      <c r="B283" s="51" t="n"/>
      <c r="C283" s="51" t="n"/>
      <c r="D283" s="51" t="n"/>
      <c r="E283" s="51" t="n"/>
      <c r="F283" s="51" t="n"/>
      <c r="G283" s="51" t="n"/>
      <c r="H283" s="51" t="n"/>
      <c r="I283" s="51" t="n"/>
      <c r="J283" s="51" t="n"/>
    </row>
    <row r="284">
      <c r="B284" s="51" t="n"/>
      <c r="C284" s="51" t="n"/>
      <c r="D284" s="51" t="n"/>
      <c r="E284" s="51" t="n"/>
      <c r="F284" s="51" t="n"/>
      <c r="G284" s="51" t="n"/>
      <c r="H284" s="51" t="n"/>
      <c r="I284" s="51" t="n"/>
      <c r="J284" s="51" t="n"/>
    </row>
    <row r="285">
      <c r="B285" s="51" t="n"/>
      <c r="C285" s="51" t="n"/>
      <c r="D285" s="51" t="n"/>
      <c r="E285" s="51" t="n"/>
      <c r="F285" s="51" t="n"/>
      <c r="G285" s="51" t="n"/>
      <c r="H285" s="51" t="n"/>
      <c r="I285" s="51" t="n"/>
      <c r="J285" s="51" t="n"/>
    </row>
    <row r="286">
      <c r="B286" s="51" t="n"/>
      <c r="C286" s="51" t="n"/>
      <c r="D286" s="51" t="n"/>
      <c r="E286" s="51" t="n"/>
      <c r="F286" s="51" t="n"/>
      <c r="G286" s="51" t="n"/>
      <c r="H286" s="51" t="n"/>
      <c r="I286" s="51" t="n"/>
      <c r="J286" s="51" t="n"/>
    </row>
    <row r="287">
      <c r="B287" s="51" t="n"/>
      <c r="C287" s="51" t="n"/>
      <c r="D287" s="51" t="n"/>
      <c r="E287" s="51" t="n"/>
      <c r="F287" s="51" t="n"/>
      <c r="G287" s="51" t="n"/>
      <c r="H287" s="51" t="n"/>
      <c r="I287" s="51" t="n"/>
      <c r="J287" s="51" t="n"/>
    </row>
    <row r="288">
      <c r="B288" s="51" t="n"/>
      <c r="C288" s="51" t="n"/>
      <c r="D288" s="51" t="n"/>
      <c r="E288" s="51" t="n"/>
      <c r="F288" s="51" t="n"/>
      <c r="G288" s="51" t="n"/>
      <c r="H288" s="51" t="n"/>
      <c r="I288" s="51" t="n"/>
      <c r="J288" s="51" t="n"/>
    </row>
    <row r="289">
      <c r="B289" s="51" t="n"/>
      <c r="C289" s="51" t="n"/>
      <c r="D289" s="51" t="n"/>
      <c r="E289" s="51" t="n"/>
      <c r="F289" s="51" t="n"/>
      <c r="G289" s="51" t="n"/>
      <c r="H289" s="51" t="n"/>
      <c r="I289" s="51" t="n"/>
      <c r="J289" s="51" t="n"/>
    </row>
    <row r="290">
      <c r="B290" s="51" t="n"/>
      <c r="C290" s="51" t="n"/>
      <c r="D290" s="51" t="n"/>
      <c r="E290" s="51" t="n"/>
      <c r="F290" s="51" t="n"/>
      <c r="G290" s="51" t="n"/>
      <c r="H290" s="51" t="n"/>
      <c r="I290" s="51" t="n"/>
      <c r="J290" s="51" t="n"/>
    </row>
    <row r="291">
      <c r="B291" s="51" t="n"/>
      <c r="C291" s="51" t="n"/>
      <c r="D291" s="51" t="n"/>
      <c r="E291" s="51" t="n"/>
      <c r="F291" s="51" t="n"/>
      <c r="G291" s="51" t="n"/>
      <c r="H291" s="51" t="n"/>
      <c r="I291" s="51" t="n"/>
      <c r="J291" s="51" t="n"/>
    </row>
    <row r="292">
      <c r="B292" s="51" t="n"/>
      <c r="C292" s="51" t="n"/>
      <c r="D292" s="51" t="n"/>
      <c r="E292" s="51" t="n"/>
      <c r="F292" s="51" t="n"/>
      <c r="G292" s="51" t="n"/>
      <c r="H292" s="51" t="n"/>
      <c r="I292" s="51" t="n"/>
      <c r="J292" s="51" t="n"/>
    </row>
    <row r="293">
      <c r="B293" s="51" t="n"/>
      <c r="C293" s="51" t="n"/>
      <c r="D293" s="51" t="n"/>
      <c r="E293" s="51" t="n"/>
      <c r="F293" s="51" t="n"/>
      <c r="G293" s="51" t="n"/>
      <c r="H293" s="51" t="n"/>
      <c r="I293" s="51" t="n"/>
      <c r="J293" s="51" t="n"/>
    </row>
    <row r="294">
      <c r="B294" s="51" t="n"/>
      <c r="C294" s="51" t="n"/>
      <c r="D294" s="51" t="n"/>
      <c r="E294" s="51" t="n"/>
      <c r="F294" s="51" t="n"/>
      <c r="G294" s="51" t="n"/>
      <c r="H294" s="51" t="n"/>
      <c r="I294" s="51" t="n"/>
      <c r="J294" s="51" t="n"/>
    </row>
    <row r="295">
      <c r="B295" s="51" t="n"/>
      <c r="C295" s="51" t="n"/>
      <c r="D295" s="51" t="n"/>
      <c r="E295" s="51" t="n"/>
      <c r="F295" s="51" t="n"/>
      <c r="G295" s="51" t="n"/>
      <c r="H295" s="51" t="n"/>
      <c r="I295" s="51" t="n"/>
      <c r="J295" s="51" t="n"/>
    </row>
    <row r="296">
      <c r="B296" s="51" t="n"/>
      <c r="C296" s="51" t="n"/>
      <c r="D296" s="51" t="n"/>
      <c r="E296" s="51" t="n"/>
      <c r="F296" s="51" t="n"/>
      <c r="G296" s="51" t="n"/>
      <c r="H296" s="51" t="n"/>
      <c r="I296" s="51" t="n"/>
      <c r="J296" s="51" t="n"/>
    </row>
    <row r="297">
      <c r="B297" s="51" t="n"/>
      <c r="C297" s="51" t="n"/>
      <c r="D297" s="51" t="n"/>
      <c r="E297" s="51" t="n"/>
      <c r="F297" s="51" t="n"/>
      <c r="G297" s="51" t="n"/>
      <c r="H297" s="51" t="n"/>
      <c r="I297" s="51" t="n"/>
      <c r="J297" s="51" t="n"/>
    </row>
    <row r="298">
      <c r="B298" s="51" t="n"/>
      <c r="C298" s="51" t="n"/>
      <c r="D298" s="51" t="n"/>
      <c r="E298" s="51" t="n"/>
      <c r="F298" s="51" t="n"/>
      <c r="G298" s="51" t="n"/>
      <c r="H298" s="51" t="n"/>
      <c r="I298" s="51" t="n"/>
      <c r="J298" s="51" t="n"/>
    </row>
    <row r="299">
      <c r="B299" s="51" t="n"/>
      <c r="C299" s="51" t="n"/>
      <c r="D299" s="51" t="n"/>
      <c r="E299" s="51" t="n"/>
      <c r="F299" s="51" t="n"/>
      <c r="G299" s="51" t="n"/>
      <c r="H299" s="51" t="n"/>
      <c r="I299" s="51" t="n"/>
      <c r="J299" s="51" t="n"/>
    </row>
    <row r="300">
      <c r="B300" s="51" t="n"/>
      <c r="C300" s="51" t="n"/>
      <c r="D300" s="51" t="n"/>
      <c r="E300" s="51" t="n"/>
      <c r="F300" s="51" t="n"/>
      <c r="G300" s="51" t="n"/>
      <c r="H300" s="51" t="n"/>
      <c r="I300" s="51" t="n"/>
      <c r="J300" s="51" t="n"/>
    </row>
    <row r="301">
      <c r="B301" s="51" t="n"/>
      <c r="C301" s="51" t="n"/>
      <c r="D301" s="51" t="n"/>
      <c r="E301" s="51" t="n"/>
      <c r="F301" s="51" t="n"/>
      <c r="G301" s="51" t="n"/>
      <c r="H301" s="51" t="n"/>
      <c r="I301" s="51" t="n"/>
      <c r="J301" s="51" t="n"/>
    </row>
    <row r="302">
      <c r="B302" s="51" t="n"/>
      <c r="C302" s="51" t="n"/>
      <c r="D302" s="51" t="n"/>
      <c r="E302" s="51" t="n"/>
      <c r="F302" s="51" t="n"/>
      <c r="G302" s="51" t="n"/>
      <c r="H302" s="51" t="n"/>
      <c r="I302" s="51" t="n"/>
      <c r="J302" s="51" t="n"/>
    </row>
    <row r="303">
      <c r="B303" s="51" t="n"/>
      <c r="C303" s="51" t="n"/>
      <c r="D303" s="51" t="n"/>
      <c r="E303" s="51" t="n"/>
      <c r="F303" s="51" t="n"/>
      <c r="G303" s="51" t="n"/>
      <c r="H303" s="51" t="n"/>
      <c r="I303" s="51" t="n"/>
      <c r="J303" s="51" t="n"/>
    </row>
    <row r="304">
      <c r="B304" s="51" t="n"/>
      <c r="C304" s="51" t="n"/>
      <c r="D304" s="51" t="n"/>
      <c r="E304" s="51" t="n"/>
      <c r="F304" s="51" t="n"/>
      <c r="G304" s="51" t="n"/>
      <c r="H304" s="51" t="n"/>
      <c r="I304" s="51" t="n"/>
      <c r="J304" s="51" t="n"/>
    </row>
    <row r="305">
      <c r="B305" s="51" t="n"/>
      <c r="C305" s="51" t="n"/>
      <c r="D305" s="51" t="n"/>
      <c r="E305" s="51" t="n"/>
      <c r="F305" s="51" t="n"/>
      <c r="G305" s="51" t="n"/>
      <c r="H305" s="51" t="n"/>
      <c r="I305" s="51" t="n"/>
      <c r="J305" s="51" t="n"/>
    </row>
    <row r="306">
      <c r="B306" s="51" t="n"/>
      <c r="C306" s="51" t="n"/>
      <c r="D306" s="51" t="n"/>
      <c r="E306" s="51" t="n"/>
      <c r="F306" s="51" t="n"/>
      <c r="G306" s="51" t="n"/>
      <c r="H306" s="51" t="n"/>
      <c r="I306" s="51" t="n"/>
      <c r="J306" s="51" t="n"/>
    </row>
    <row r="307">
      <c r="B307" s="51" t="n"/>
      <c r="C307" s="51" t="n"/>
      <c r="D307" s="51" t="n"/>
      <c r="E307" s="51" t="n"/>
      <c r="F307" s="51" t="n"/>
      <c r="G307" s="51" t="n"/>
      <c r="H307" s="51" t="n"/>
      <c r="I307" s="51" t="n"/>
      <c r="J307" s="51" t="n"/>
    </row>
    <row r="308">
      <c r="B308" s="51" t="n"/>
      <c r="C308" s="51" t="n"/>
      <c r="D308" s="51" t="n"/>
      <c r="E308" s="51" t="n"/>
      <c r="F308" s="51" t="n"/>
      <c r="G308" s="51" t="n"/>
      <c r="H308" s="51" t="n"/>
      <c r="I308" s="51" t="n"/>
      <c r="J308" s="51" t="n"/>
    </row>
    <row r="309">
      <c r="B309" s="51" t="n"/>
      <c r="C309" s="51" t="n"/>
      <c r="D309" s="51" t="n"/>
      <c r="E309" s="51" t="n"/>
      <c r="F309" s="51" t="n"/>
      <c r="G309" s="51" t="n"/>
      <c r="H309" s="51" t="n"/>
      <c r="I309" s="51" t="n"/>
      <c r="J309" s="51" t="n"/>
    </row>
    <row r="310">
      <c r="B310" s="51" t="n"/>
      <c r="C310" s="51" t="n"/>
      <c r="D310" s="51" t="n"/>
      <c r="E310" s="51" t="n"/>
      <c r="F310" s="51" t="n"/>
      <c r="G310" s="51" t="n"/>
      <c r="H310" s="51" t="n"/>
      <c r="I310" s="51" t="n"/>
      <c r="J310" s="51" t="n"/>
    </row>
    <row r="311">
      <c r="B311" s="51" t="n"/>
      <c r="C311" s="51" t="n"/>
      <c r="D311" s="51" t="n"/>
      <c r="E311" s="51" t="n"/>
      <c r="F311" s="51" t="n"/>
      <c r="G311" s="51" t="n"/>
      <c r="H311" s="51" t="n"/>
      <c r="I311" s="51" t="n"/>
      <c r="J311" s="51" t="n"/>
    </row>
    <row r="312">
      <c r="B312" s="51" t="n"/>
      <c r="C312" s="51" t="n"/>
      <c r="D312" s="51" t="n"/>
      <c r="E312" s="51" t="n"/>
      <c r="F312" s="51" t="n"/>
      <c r="G312" s="51" t="n"/>
      <c r="H312" s="51" t="n"/>
      <c r="I312" s="51" t="n"/>
      <c r="J312" s="51" t="n"/>
    </row>
    <row r="313">
      <c r="B313" s="51" t="n"/>
      <c r="C313" s="51" t="n"/>
      <c r="D313" s="51" t="n"/>
      <c r="E313" s="51" t="n"/>
      <c r="F313" s="51" t="n"/>
      <c r="G313" s="51" t="n"/>
      <c r="H313" s="51" t="n"/>
      <c r="I313" s="51" t="n"/>
      <c r="J313" s="51" t="n"/>
    </row>
    <row r="314">
      <c r="B314" s="51" t="n"/>
      <c r="C314" s="51" t="n"/>
      <c r="D314" s="51" t="n"/>
      <c r="E314" s="51" t="n"/>
      <c r="F314" s="51" t="n"/>
      <c r="G314" s="51" t="n"/>
      <c r="H314" s="51" t="n"/>
      <c r="I314" s="51" t="n"/>
      <c r="J314" s="51" t="n"/>
    </row>
    <row r="315">
      <c r="B315" s="51" t="n"/>
      <c r="C315" s="51" t="n"/>
      <c r="D315" s="51" t="n"/>
      <c r="E315" s="51" t="n"/>
      <c r="F315" s="51" t="n"/>
      <c r="G315" s="51" t="n"/>
      <c r="H315" s="51" t="n"/>
      <c r="I315" s="51" t="n"/>
      <c r="J315" s="51" t="n"/>
    </row>
    <row r="316">
      <c r="B316" s="51" t="n"/>
      <c r="C316" s="51" t="n"/>
      <c r="D316" s="51" t="n"/>
      <c r="E316" s="51" t="n"/>
      <c r="F316" s="51" t="n"/>
      <c r="G316" s="51" t="n"/>
      <c r="H316" s="51" t="n"/>
      <c r="I316" s="51" t="n"/>
      <c r="J316" s="51" t="n"/>
    </row>
    <row r="317">
      <c r="B317" s="51" t="n"/>
      <c r="C317" s="51" t="n"/>
      <c r="D317" s="51" t="n"/>
      <c r="E317" s="51" t="n"/>
      <c r="F317" s="51" t="n"/>
      <c r="G317" s="51" t="n"/>
      <c r="H317" s="51" t="n"/>
      <c r="I317" s="51" t="n"/>
      <c r="J317" s="51" t="n"/>
    </row>
    <row r="318">
      <c r="B318" s="51" t="n"/>
      <c r="C318" s="51" t="n"/>
      <c r="D318" s="51" t="n"/>
      <c r="E318" s="51" t="n"/>
      <c r="F318" s="51" t="n"/>
      <c r="G318" s="51" t="n"/>
      <c r="H318" s="51" t="n"/>
      <c r="I318" s="51" t="n"/>
      <c r="J318" s="51" t="n"/>
    </row>
    <row r="319">
      <c r="B319" s="51" t="n"/>
      <c r="C319" s="51" t="n"/>
      <c r="D319" s="51" t="n"/>
      <c r="E319" s="51" t="n"/>
      <c r="F319" s="51" t="n"/>
      <c r="G319" s="51" t="n"/>
      <c r="H319" s="51" t="n"/>
      <c r="I319" s="51" t="n"/>
      <c r="J319" s="51" t="n"/>
    </row>
    <row r="320">
      <c r="B320" s="51" t="n"/>
      <c r="C320" s="51" t="n"/>
      <c r="D320" s="51" t="n"/>
      <c r="E320" s="51" t="n"/>
      <c r="F320" s="51" t="n"/>
      <c r="G320" s="51" t="n"/>
      <c r="H320" s="51" t="n"/>
      <c r="I320" s="51" t="n"/>
      <c r="J320" s="51" t="n"/>
    </row>
    <row r="321">
      <c r="B321" s="51" t="n"/>
      <c r="C321" s="51" t="n"/>
      <c r="D321" s="51" t="n"/>
      <c r="E321" s="51" t="n"/>
      <c r="F321" s="51" t="n"/>
      <c r="G321" s="51" t="n"/>
      <c r="H321" s="51" t="n"/>
      <c r="I321" s="51" t="n"/>
      <c r="J321" s="51" t="n"/>
    </row>
    <row r="322">
      <c r="B322" s="51" t="n"/>
      <c r="C322" s="51" t="n"/>
      <c r="D322" s="51" t="n"/>
      <c r="E322" s="51" t="n"/>
      <c r="F322" s="51" t="n"/>
      <c r="G322" s="51" t="n"/>
      <c r="H322" s="51" t="n"/>
      <c r="I322" s="51" t="n"/>
      <c r="J322" s="51" t="n"/>
    </row>
    <row r="323">
      <c r="B323" s="51" t="n"/>
      <c r="C323" s="51" t="n"/>
      <c r="D323" s="51" t="n"/>
      <c r="E323" s="51" t="n"/>
      <c r="F323" s="51" t="n"/>
      <c r="G323" s="51" t="n"/>
      <c r="H323" s="51" t="n"/>
      <c r="I323" s="51" t="n"/>
      <c r="J323" s="51" t="n"/>
    </row>
    <row r="324">
      <c r="B324" s="51" t="n"/>
      <c r="C324" s="51" t="n"/>
      <c r="D324" s="51" t="n"/>
      <c r="E324" s="51" t="n"/>
      <c r="F324" s="51" t="n"/>
      <c r="G324" s="51" t="n"/>
      <c r="H324" s="51" t="n"/>
      <c r="I324" s="51" t="n"/>
      <c r="J324" s="51" t="n"/>
    </row>
    <row r="325">
      <c r="B325" s="51" t="n"/>
      <c r="C325" s="51" t="n"/>
      <c r="D325" s="51" t="n"/>
      <c r="E325" s="51" t="n"/>
      <c r="F325" s="51" t="n"/>
      <c r="G325" s="51" t="n"/>
      <c r="H325" s="51" t="n"/>
      <c r="I325" s="51" t="n"/>
      <c r="J325" s="51" t="n"/>
    </row>
    <row r="326">
      <c r="B326" s="51" t="n"/>
      <c r="C326" s="51" t="n"/>
      <c r="D326" s="51" t="n"/>
      <c r="E326" s="51" t="n"/>
      <c r="F326" s="51" t="n"/>
      <c r="G326" s="51" t="n"/>
      <c r="H326" s="51" t="n"/>
      <c r="I326" s="51" t="n"/>
      <c r="J326" s="51" t="n"/>
    </row>
    <row r="327">
      <c r="B327" s="51" t="n"/>
      <c r="C327" s="51" t="n"/>
      <c r="D327" s="51" t="n"/>
      <c r="E327" s="51" t="n"/>
      <c r="F327" s="51" t="n"/>
      <c r="G327" s="51" t="n"/>
      <c r="H327" s="51" t="n"/>
      <c r="I327" s="51" t="n"/>
      <c r="J327" s="51" t="n"/>
    </row>
    <row r="328">
      <c r="B328" s="51" t="n"/>
      <c r="C328" s="51" t="n"/>
      <c r="D328" s="51" t="n"/>
      <c r="E328" s="51" t="n"/>
      <c r="F328" s="51" t="n"/>
      <c r="G328" s="51" t="n"/>
      <c r="H328" s="51" t="n"/>
      <c r="I328" s="51" t="n"/>
      <c r="J328" s="51" t="n"/>
    </row>
    <row r="329">
      <c r="B329" s="51" t="n"/>
      <c r="C329" s="51" t="n"/>
      <c r="D329" s="51" t="n"/>
      <c r="E329" s="51" t="n"/>
      <c r="F329" s="51" t="n"/>
      <c r="G329" s="51" t="n"/>
      <c r="H329" s="51" t="n"/>
      <c r="I329" s="51" t="n"/>
      <c r="J329" s="51" t="n"/>
    </row>
    <row r="330">
      <c r="B330" s="51" t="n"/>
      <c r="C330" s="51" t="n"/>
      <c r="D330" s="51" t="n"/>
      <c r="E330" s="51" t="n"/>
      <c r="F330" s="51" t="n"/>
      <c r="G330" s="51" t="n"/>
      <c r="H330" s="51" t="n"/>
      <c r="I330" s="51" t="n"/>
      <c r="J330" s="51" t="n"/>
    </row>
    <row r="331">
      <c r="B331" s="51" t="n"/>
      <c r="C331" s="51" t="n"/>
      <c r="D331" s="51" t="n"/>
      <c r="E331" s="51" t="n"/>
      <c r="F331" s="51" t="n"/>
      <c r="G331" s="51" t="n"/>
      <c r="H331" s="51" t="n"/>
      <c r="I331" s="51" t="n"/>
      <c r="J331" s="51" t="n"/>
    </row>
    <row r="332">
      <c r="B332" s="51" t="n"/>
      <c r="C332" s="51" t="n"/>
      <c r="D332" s="51" t="n"/>
      <c r="E332" s="51" t="n"/>
      <c r="F332" s="51" t="n"/>
      <c r="G332" s="51" t="n"/>
      <c r="H332" s="51" t="n"/>
      <c r="I332" s="51" t="n"/>
      <c r="J332" s="51" t="n"/>
    </row>
    <row r="333">
      <c r="B333" s="51" t="n"/>
      <c r="C333" s="51" t="n"/>
      <c r="D333" s="51" t="n"/>
      <c r="E333" s="51" t="n"/>
      <c r="F333" s="51" t="n"/>
      <c r="G333" s="51" t="n"/>
      <c r="H333" s="51" t="n"/>
      <c r="I333" s="51" t="n"/>
      <c r="J333" s="51" t="n"/>
    </row>
    <row r="334">
      <c r="B334" s="51" t="n"/>
      <c r="C334" s="51" t="n"/>
      <c r="D334" s="51" t="n"/>
      <c r="E334" s="51" t="n"/>
      <c r="F334" s="51" t="n"/>
      <c r="G334" s="51" t="n"/>
      <c r="H334" s="51" t="n"/>
      <c r="I334" s="51" t="n"/>
      <c r="J334" s="51" t="n"/>
    </row>
    <row r="335">
      <c r="B335" s="51" t="n"/>
      <c r="C335" s="51" t="n"/>
      <c r="D335" s="51" t="n"/>
      <c r="E335" s="51" t="n"/>
      <c r="F335" s="51" t="n"/>
      <c r="G335" s="51" t="n"/>
      <c r="H335" s="51" t="n"/>
      <c r="I335" s="51" t="n"/>
      <c r="J335" s="51" t="n"/>
    </row>
    <row r="336">
      <c r="B336" s="51" t="n"/>
      <c r="C336" s="51" t="n"/>
      <c r="D336" s="51" t="n"/>
      <c r="E336" s="51" t="n"/>
      <c r="F336" s="51" t="n"/>
      <c r="G336" s="51" t="n"/>
      <c r="H336" s="51" t="n"/>
      <c r="I336" s="51" t="n"/>
      <c r="J336" s="51" t="n"/>
    </row>
    <row r="337">
      <c r="B337" s="51" t="n"/>
      <c r="C337" s="51" t="n"/>
      <c r="D337" s="51" t="n"/>
      <c r="E337" s="51" t="n"/>
      <c r="F337" s="51" t="n"/>
      <c r="G337" s="51" t="n"/>
      <c r="H337" s="51" t="n"/>
      <c r="I337" s="51" t="n"/>
      <c r="J337" s="51" t="n"/>
    </row>
    <row r="338">
      <c r="B338" s="51" t="n"/>
      <c r="C338" s="51" t="n"/>
      <c r="D338" s="51" t="n"/>
      <c r="E338" s="51" t="n"/>
      <c r="F338" s="51" t="n"/>
      <c r="G338" s="51" t="n"/>
      <c r="H338" s="51" t="n"/>
      <c r="I338" s="51" t="n"/>
      <c r="J338" s="51" t="n"/>
    </row>
    <row r="339">
      <c r="B339" s="51" t="n"/>
      <c r="C339" s="51" t="n"/>
      <c r="D339" s="51" t="n"/>
      <c r="E339" s="51" t="n"/>
      <c r="F339" s="51" t="n"/>
      <c r="G339" s="51" t="n"/>
      <c r="H339" s="51" t="n"/>
      <c r="I339" s="51" t="n"/>
      <c r="J339" s="51" t="n"/>
    </row>
    <row r="340">
      <c r="B340" s="51" t="n"/>
      <c r="C340" s="51" t="n"/>
      <c r="D340" s="51" t="n"/>
      <c r="E340" s="51" t="n"/>
      <c r="F340" s="51" t="n"/>
      <c r="G340" s="51" t="n"/>
      <c r="H340" s="51" t="n"/>
      <c r="I340" s="51" t="n"/>
      <c r="J340" s="51" t="n"/>
    </row>
    <row r="341">
      <c r="B341" s="51" t="n"/>
      <c r="C341" s="51" t="n"/>
      <c r="D341" s="51" t="n"/>
      <c r="E341" s="51" t="n"/>
      <c r="F341" s="51" t="n"/>
      <c r="G341" s="51" t="n"/>
      <c r="H341" s="51" t="n"/>
      <c r="I341" s="51" t="n"/>
      <c r="J341" s="51" t="n"/>
    </row>
    <row r="342">
      <c r="B342" s="51" t="n"/>
      <c r="C342" s="51" t="n"/>
      <c r="D342" s="51" t="n"/>
      <c r="E342" s="51" t="n"/>
      <c r="F342" s="51" t="n"/>
      <c r="G342" s="51" t="n"/>
      <c r="H342" s="51" t="n"/>
      <c r="I342" s="51" t="n"/>
      <c r="J342" s="51" t="n"/>
    </row>
    <row r="343">
      <c r="B343" s="51" t="n"/>
      <c r="C343" s="51" t="n"/>
      <c r="D343" s="51" t="n"/>
      <c r="E343" s="51" t="n"/>
      <c r="F343" s="51" t="n"/>
      <c r="G343" s="51" t="n"/>
      <c r="H343" s="51" t="n"/>
      <c r="I343" s="51" t="n"/>
      <c r="J343" s="51" t="n"/>
    </row>
    <row r="344">
      <c r="B344" s="51" t="n"/>
      <c r="C344" s="51" t="n"/>
      <c r="D344" s="51" t="n"/>
      <c r="E344" s="51" t="n"/>
      <c r="F344" s="51" t="n"/>
      <c r="G344" s="51" t="n"/>
      <c r="H344" s="51" t="n"/>
      <c r="I344" s="51" t="n"/>
      <c r="J344" s="51" t="n"/>
    </row>
    <row r="345">
      <c r="B345" s="51" t="n"/>
      <c r="C345" s="51" t="n"/>
      <c r="D345" s="51" t="n"/>
      <c r="E345" s="51" t="n"/>
      <c r="F345" s="51" t="n"/>
      <c r="G345" s="51" t="n"/>
      <c r="H345" s="51" t="n"/>
      <c r="I345" s="51" t="n"/>
      <c r="J345" s="51" t="n"/>
    </row>
    <row r="346">
      <c r="B346" s="51" t="n"/>
      <c r="C346" s="51" t="n"/>
      <c r="D346" s="51" t="n"/>
      <c r="E346" s="51" t="n"/>
      <c r="F346" s="51" t="n"/>
      <c r="G346" s="51" t="n"/>
      <c r="H346" s="51" t="n"/>
      <c r="I346" s="51" t="n"/>
      <c r="J346" s="51" t="n"/>
    </row>
    <row r="347">
      <c r="B347" s="51" t="n"/>
      <c r="C347" s="51" t="n"/>
      <c r="D347" s="51" t="n"/>
      <c r="E347" s="51" t="n"/>
      <c r="F347" s="51" t="n"/>
      <c r="G347" s="51" t="n"/>
      <c r="H347" s="51" t="n"/>
      <c r="I347" s="51" t="n"/>
      <c r="J347" s="51" t="n"/>
    </row>
    <row r="348">
      <c r="B348" s="51" t="n"/>
      <c r="C348" s="51" t="n"/>
      <c r="D348" s="51" t="n"/>
      <c r="E348" s="51" t="n"/>
      <c r="F348" s="51" t="n"/>
      <c r="G348" s="51" t="n"/>
      <c r="H348" s="51" t="n"/>
      <c r="I348" s="51" t="n"/>
      <c r="J348" s="51" t="n"/>
    </row>
    <row r="349">
      <c r="B349" s="51" t="n"/>
      <c r="C349" s="51" t="n"/>
      <c r="D349" s="51" t="n"/>
      <c r="E349" s="51" t="n"/>
      <c r="F349" s="51" t="n"/>
      <c r="G349" s="51" t="n"/>
      <c r="H349" s="51" t="n"/>
      <c r="I349" s="51" t="n"/>
      <c r="J349" s="51" t="n"/>
    </row>
    <row r="350">
      <c r="B350" s="51" t="n"/>
      <c r="C350" s="51" t="n"/>
      <c r="D350" s="51" t="n"/>
      <c r="E350" s="51" t="n"/>
      <c r="F350" s="51" t="n"/>
      <c r="G350" s="51" t="n"/>
      <c r="H350" s="51" t="n"/>
      <c r="I350" s="51" t="n"/>
      <c r="J350" s="51" t="n"/>
    </row>
    <row r="351">
      <c r="B351" s="51" t="n"/>
      <c r="C351" s="51" t="n"/>
      <c r="D351" s="51" t="n"/>
      <c r="E351" s="51" t="n"/>
      <c r="F351" s="51" t="n"/>
      <c r="G351" s="51" t="n"/>
      <c r="H351" s="51" t="n"/>
      <c r="I351" s="51" t="n"/>
      <c r="J351" s="51" t="n"/>
    </row>
    <row r="352">
      <c r="B352" s="51" t="n"/>
      <c r="C352" s="51" t="n"/>
      <c r="D352" s="51" t="n"/>
      <c r="E352" s="51" t="n"/>
      <c r="F352" s="51" t="n"/>
      <c r="G352" s="51" t="n"/>
      <c r="H352" s="51" t="n"/>
      <c r="I352" s="51" t="n"/>
      <c r="J352" s="51" t="n"/>
    </row>
    <row r="353">
      <c r="B353" s="51" t="n"/>
      <c r="C353" s="51" t="n"/>
      <c r="D353" s="51" t="n"/>
      <c r="E353" s="51" t="n"/>
      <c r="F353" s="51" t="n"/>
      <c r="G353" s="51" t="n"/>
      <c r="H353" s="51" t="n"/>
      <c r="I353" s="51" t="n"/>
      <c r="J353" s="51" t="n"/>
    </row>
    <row r="354">
      <c r="B354" s="51" t="n"/>
      <c r="C354" s="51" t="n"/>
      <c r="D354" s="51" t="n"/>
      <c r="E354" s="51" t="n"/>
      <c r="F354" s="51" t="n"/>
      <c r="G354" s="51" t="n"/>
      <c r="H354" s="51" t="n"/>
      <c r="I354" s="51" t="n"/>
      <c r="J354" s="51" t="n"/>
    </row>
    <row r="355">
      <c r="B355" s="51" t="n"/>
      <c r="C355" s="51" t="n"/>
      <c r="D355" s="51" t="n"/>
      <c r="E355" s="51" t="n"/>
      <c r="F355" s="51" t="n"/>
      <c r="G355" s="51" t="n"/>
      <c r="H355" s="51" t="n"/>
      <c r="I355" s="51" t="n"/>
      <c r="J355" s="51" t="n"/>
    </row>
    <row r="356">
      <c r="B356" s="51" t="n"/>
      <c r="C356" s="51" t="n"/>
      <c r="D356" s="51" t="n"/>
      <c r="E356" s="51" t="n"/>
      <c r="F356" s="51" t="n"/>
      <c r="G356" s="51" t="n"/>
      <c r="H356" s="51" t="n"/>
      <c r="I356" s="51" t="n"/>
      <c r="J356" s="51" t="n"/>
    </row>
    <row r="357">
      <c r="B357" s="51" t="n"/>
      <c r="C357" s="51" t="n"/>
      <c r="D357" s="51" t="n"/>
      <c r="E357" s="51" t="n"/>
      <c r="F357" s="51" t="n"/>
      <c r="G357" s="51" t="n"/>
      <c r="H357" s="51" t="n"/>
      <c r="I357" s="51" t="n"/>
      <c r="J357" s="51" t="n"/>
    </row>
    <row r="358">
      <c r="B358" s="51" t="n"/>
      <c r="C358" s="51" t="n"/>
      <c r="D358" s="51" t="n"/>
      <c r="E358" s="51" t="n"/>
      <c r="F358" s="51" t="n"/>
      <c r="G358" s="51" t="n"/>
      <c r="H358" s="51" t="n"/>
      <c r="I358" s="51" t="n"/>
      <c r="J358" s="51" t="n"/>
    </row>
    <row r="359">
      <c r="B359" s="51" t="n"/>
      <c r="C359" s="51" t="n"/>
      <c r="D359" s="51" t="n"/>
      <c r="E359" s="51" t="n"/>
      <c r="F359" s="51" t="n"/>
      <c r="G359" s="51" t="n"/>
      <c r="H359" s="51" t="n"/>
      <c r="I359" s="51" t="n"/>
      <c r="J359" s="51" t="n"/>
    </row>
    <row r="360">
      <c r="B360" s="51" t="n"/>
      <c r="C360" s="51" t="n"/>
      <c r="D360" s="51" t="n"/>
      <c r="E360" s="51" t="n"/>
      <c r="F360" s="51" t="n"/>
      <c r="G360" s="51" t="n"/>
      <c r="H360" s="51" t="n"/>
      <c r="I360" s="51" t="n"/>
      <c r="J360" s="51" t="n"/>
    </row>
    <row r="361">
      <c r="B361" s="51" t="n"/>
      <c r="C361" s="51" t="n"/>
      <c r="D361" s="51" t="n"/>
      <c r="E361" s="51" t="n"/>
      <c r="F361" s="51" t="n"/>
      <c r="G361" s="51" t="n"/>
      <c r="H361" s="51" t="n"/>
      <c r="I361" s="51" t="n"/>
      <c r="J361" s="51" t="n"/>
    </row>
    <row r="362">
      <c r="B362" s="51" t="n"/>
      <c r="C362" s="51" t="n"/>
      <c r="D362" s="51" t="n"/>
      <c r="E362" s="51" t="n"/>
      <c r="F362" s="51" t="n"/>
      <c r="G362" s="51" t="n"/>
      <c r="H362" s="51" t="n"/>
      <c r="I362" s="51" t="n"/>
      <c r="J362" s="51" t="n"/>
    </row>
    <row r="363">
      <c r="B363" s="51" t="n"/>
      <c r="C363" s="51" t="n"/>
      <c r="D363" s="51" t="n"/>
      <c r="E363" s="51" t="n"/>
      <c r="F363" s="51" t="n"/>
      <c r="G363" s="51" t="n"/>
      <c r="H363" s="51" t="n"/>
      <c r="I363" s="51" t="n"/>
      <c r="J363" s="51" t="n"/>
    </row>
    <row r="364">
      <c r="B364" s="51" t="n"/>
      <c r="C364" s="51" t="n"/>
      <c r="D364" s="51" t="n"/>
      <c r="E364" s="51" t="n"/>
      <c r="F364" s="51" t="n"/>
      <c r="G364" s="51" t="n"/>
      <c r="H364" s="51" t="n"/>
      <c r="I364" s="51" t="n"/>
      <c r="J364" s="51" t="n"/>
    </row>
    <row r="365">
      <c r="B365" s="51" t="n"/>
      <c r="C365" s="51" t="n"/>
      <c r="D365" s="51" t="n"/>
      <c r="E365" s="51" t="n"/>
      <c r="F365" s="51" t="n"/>
      <c r="G365" s="51" t="n"/>
      <c r="H365" s="51" t="n"/>
      <c r="I365" s="51" t="n"/>
      <c r="J365" s="51" t="n"/>
    </row>
    <row r="366">
      <c r="B366" s="51" t="n"/>
      <c r="C366" s="51" t="n"/>
      <c r="D366" s="51" t="n"/>
      <c r="E366" s="51" t="n"/>
      <c r="F366" s="51" t="n"/>
      <c r="G366" s="51" t="n"/>
      <c r="H366" s="51" t="n"/>
      <c r="I366" s="51" t="n"/>
      <c r="J366" s="51" t="n"/>
    </row>
    <row r="367">
      <c r="B367" s="51" t="n"/>
      <c r="C367" s="51" t="n"/>
      <c r="D367" s="51" t="n"/>
      <c r="E367" s="51" t="n"/>
      <c r="F367" s="51" t="n"/>
      <c r="G367" s="51" t="n"/>
      <c r="H367" s="51" t="n"/>
      <c r="I367" s="51" t="n"/>
      <c r="J367" s="51" t="n"/>
    </row>
    <row r="368">
      <c r="B368" s="51" t="n"/>
      <c r="C368" s="51" t="n"/>
      <c r="D368" s="51" t="n"/>
      <c r="E368" s="51" t="n"/>
      <c r="F368" s="51" t="n"/>
      <c r="G368" s="51" t="n"/>
      <c r="H368" s="51" t="n"/>
      <c r="I368" s="51" t="n"/>
      <c r="J368" s="51" t="n"/>
    </row>
    <row r="369">
      <c r="B369" s="51" t="n"/>
      <c r="C369" s="51" t="n"/>
      <c r="D369" s="51" t="n"/>
      <c r="E369" s="51" t="n"/>
      <c r="F369" s="51" t="n"/>
      <c r="G369" s="51" t="n"/>
      <c r="H369" s="51" t="n"/>
      <c r="I369" s="51" t="n"/>
      <c r="J369" s="51" t="n"/>
    </row>
    <row r="370">
      <c r="B370" s="51" t="n"/>
      <c r="C370" s="51" t="n"/>
      <c r="D370" s="51" t="n"/>
      <c r="E370" s="51" t="n"/>
      <c r="F370" s="51" t="n"/>
      <c r="G370" s="51" t="n"/>
      <c r="H370" s="51" t="n"/>
      <c r="I370" s="51" t="n"/>
      <c r="J370" s="51" t="n"/>
    </row>
    <row r="371">
      <c r="B371" s="51" t="n"/>
      <c r="C371" s="51" t="n"/>
      <c r="D371" s="51" t="n"/>
      <c r="E371" s="51" t="n"/>
      <c r="F371" s="51" t="n"/>
      <c r="G371" s="51" t="n"/>
      <c r="H371" s="51" t="n"/>
      <c r="I371" s="51" t="n"/>
      <c r="J371" s="51" t="n"/>
    </row>
    <row r="372">
      <c r="B372" s="51" t="n"/>
      <c r="C372" s="51" t="n"/>
      <c r="D372" s="51" t="n"/>
      <c r="E372" s="51" t="n"/>
      <c r="F372" s="51" t="n"/>
      <c r="G372" s="51" t="n"/>
      <c r="H372" s="51" t="n"/>
      <c r="I372" s="51" t="n"/>
      <c r="J372" s="51" t="n"/>
    </row>
    <row r="373">
      <c r="B373" s="51" t="n"/>
      <c r="C373" s="51" t="n"/>
      <c r="D373" s="51" t="n"/>
      <c r="E373" s="51" t="n"/>
      <c r="F373" s="51" t="n"/>
      <c r="G373" s="51" t="n"/>
      <c r="H373" s="51" t="n"/>
      <c r="I373" s="51" t="n"/>
      <c r="J373" s="51" t="n"/>
    </row>
    <row r="374">
      <c r="B374" s="51" t="n"/>
      <c r="C374" s="51" t="n"/>
      <c r="D374" s="51" t="n"/>
      <c r="E374" s="51" t="n"/>
      <c r="F374" s="51" t="n"/>
      <c r="G374" s="51" t="n"/>
      <c r="H374" s="51" t="n"/>
      <c r="I374" s="51" t="n"/>
      <c r="J374" s="51" t="n"/>
    </row>
    <row r="375">
      <c r="B375" s="51" t="n"/>
      <c r="C375" s="51" t="n"/>
      <c r="D375" s="51" t="n"/>
      <c r="E375" s="51" t="n"/>
      <c r="F375" s="51" t="n"/>
      <c r="G375" s="51" t="n"/>
      <c r="H375" s="51" t="n"/>
      <c r="I375" s="51" t="n"/>
      <c r="J375" s="51" t="n"/>
    </row>
    <row r="376">
      <c r="B376" s="51" t="n"/>
      <c r="C376" s="51" t="n"/>
      <c r="D376" s="51" t="n"/>
      <c r="E376" s="51" t="n"/>
      <c r="F376" s="51" t="n"/>
      <c r="G376" s="51" t="n"/>
      <c r="H376" s="51" t="n"/>
      <c r="I376" s="51" t="n"/>
      <c r="J376" s="51" t="n"/>
    </row>
    <row r="377">
      <c r="B377" s="51" t="n"/>
      <c r="C377" s="51" t="n"/>
      <c r="D377" s="51" t="n"/>
      <c r="E377" s="51" t="n"/>
      <c r="F377" s="51" t="n"/>
      <c r="G377" s="51" t="n"/>
      <c r="H377" s="51" t="n"/>
      <c r="I377" s="51" t="n"/>
      <c r="J377" s="51" t="n"/>
    </row>
    <row r="378">
      <c r="B378" s="51" t="n"/>
      <c r="C378" s="51" t="n"/>
      <c r="D378" s="51" t="n"/>
      <c r="E378" s="51" t="n"/>
      <c r="F378" s="51" t="n"/>
      <c r="G378" s="51" t="n"/>
      <c r="H378" s="51" t="n"/>
      <c r="I378" s="51" t="n"/>
      <c r="J378" s="51" t="n"/>
    </row>
    <row r="379">
      <c r="B379" s="51" t="n"/>
      <c r="C379" s="51" t="n"/>
      <c r="D379" s="51" t="n"/>
      <c r="E379" s="51" t="n"/>
      <c r="F379" s="51" t="n"/>
      <c r="G379" s="51" t="n"/>
      <c r="H379" s="51" t="n"/>
      <c r="I379" s="51" t="n"/>
      <c r="J379" s="51" t="n"/>
    </row>
    <row r="380">
      <c r="B380" s="51" t="n"/>
      <c r="C380" s="51" t="n"/>
      <c r="D380" s="51" t="n"/>
      <c r="E380" s="51" t="n"/>
      <c r="F380" s="51" t="n"/>
      <c r="G380" s="51" t="n"/>
      <c r="H380" s="51" t="n"/>
      <c r="I380" s="51" t="n"/>
      <c r="J380" s="51" t="n"/>
    </row>
    <row r="381">
      <c r="B381" s="51" t="n"/>
      <c r="C381" s="51" t="n"/>
      <c r="D381" s="51" t="n"/>
      <c r="E381" s="51" t="n"/>
      <c r="F381" s="51" t="n"/>
      <c r="G381" s="51" t="n"/>
      <c r="H381" s="51" t="n"/>
      <c r="I381" s="51" t="n"/>
      <c r="J381" s="51" t="n"/>
    </row>
    <row r="382">
      <c r="B382" s="51" t="n"/>
      <c r="C382" s="51" t="n"/>
      <c r="D382" s="51" t="n"/>
      <c r="E382" s="51" t="n"/>
      <c r="F382" s="51" t="n"/>
      <c r="G382" s="51" t="n"/>
      <c r="H382" s="51" t="n"/>
      <c r="I382" s="51" t="n"/>
      <c r="J382" s="51" t="n"/>
    </row>
    <row r="383">
      <c r="B383" s="51" t="n"/>
      <c r="C383" s="51" t="n"/>
      <c r="D383" s="51" t="n"/>
      <c r="E383" s="51" t="n"/>
      <c r="F383" s="51" t="n"/>
      <c r="G383" s="51" t="n"/>
      <c r="H383" s="51" t="n"/>
      <c r="I383" s="51" t="n"/>
      <c r="J383" s="51" t="n"/>
    </row>
    <row r="384">
      <c r="B384" s="51" t="n"/>
      <c r="C384" s="51" t="n"/>
      <c r="D384" s="51" t="n"/>
      <c r="E384" s="51" t="n"/>
      <c r="F384" s="51" t="n"/>
      <c r="G384" s="51" t="n"/>
      <c r="H384" s="51" t="n"/>
      <c r="I384" s="51" t="n"/>
      <c r="J384" s="51" t="n"/>
    </row>
    <row r="385">
      <c r="B385" s="51" t="n"/>
      <c r="C385" s="51" t="n"/>
      <c r="D385" s="51" t="n"/>
      <c r="E385" s="51" t="n"/>
      <c r="F385" s="51" t="n"/>
      <c r="G385" s="51" t="n"/>
      <c r="H385" s="51" t="n"/>
      <c r="I385" s="51" t="n"/>
      <c r="J385" s="51" t="n"/>
    </row>
    <row r="386">
      <c r="B386" s="51" t="n"/>
      <c r="C386" s="51" t="n"/>
      <c r="D386" s="51" t="n"/>
      <c r="E386" s="51" t="n"/>
      <c r="F386" s="51" t="n"/>
      <c r="G386" s="51" t="n"/>
      <c r="H386" s="51" t="n"/>
      <c r="I386" s="51" t="n"/>
      <c r="J386" s="51" t="n"/>
    </row>
    <row r="387">
      <c r="B387" s="51" t="n"/>
      <c r="C387" s="51" t="n"/>
      <c r="D387" s="51" t="n"/>
      <c r="E387" s="51" t="n"/>
      <c r="F387" s="51" t="n"/>
      <c r="G387" s="51" t="n"/>
      <c r="H387" s="51" t="n"/>
      <c r="I387" s="51" t="n"/>
      <c r="J387" s="51" t="n"/>
    </row>
    <row r="388">
      <c r="B388" s="51" t="n"/>
      <c r="C388" s="51" t="n"/>
      <c r="D388" s="51" t="n"/>
      <c r="E388" s="51" t="n"/>
      <c r="F388" s="51" t="n"/>
      <c r="G388" s="51" t="n"/>
      <c r="H388" s="51" t="n"/>
      <c r="I388" s="51" t="n"/>
      <c r="J388" s="51" t="n"/>
    </row>
    <row r="389">
      <c r="B389" s="51" t="n"/>
      <c r="C389" s="51" t="n"/>
      <c r="D389" s="51" t="n"/>
      <c r="E389" s="51" t="n"/>
      <c r="F389" s="51" t="n"/>
      <c r="G389" s="51" t="n"/>
      <c r="H389" s="51" t="n"/>
      <c r="I389" s="51" t="n"/>
      <c r="J389" s="51" t="n"/>
    </row>
    <row r="390">
      <c r="B390" s="51" t="n"/>
      <c r="C390" s="51" t="n"/>
      <c r="D390" s="51" t="n"/>
      <c r="E390" s="51" t="n"/>
      <c r="F390" s="51" t="n"/>
      <c r="G390" s="51" t="n"/>
      <c r="H390" s="51" t="n"/>
      <c r="I390" s="51" t="n"/>
      <c r="J390" s="51" t="n"/>
    </row>
    <row r="391">
      <c r="B391" s="51" t="n"/>
      <c r="C391" s="51" t="n"/>
      <c r="D391" s="51" t="n"/>
      <c r="E391" s="51" t="n"/>
      <c r="F391" s="51" t="n"/>
      <c r="G391" s="51" t="n"/>
      <c r="H391" s="51" t="n"/>
      <c r="I391" s="51" t="n"/>
      <c r="J391" s="51" t="n"/>
    </row>
    <row r="392">
      <c r="B392" s="51" t="n"/>
      <c r="C392" s="51" t="n"/>
      <c r="D392" s="51" t="n"/>
      <c r="E392" s="51" t="n"/>
      <c r="F392" s="51" t="n"/>
      <c r="G392" s="51" t="n"/>
      <c r="H392" s="51" t="n"/>
      <c r="I392" s="51" t="n"/>
      <c r="J392" s="51" t="n"/>
    </row>
    <row r="393">
      <c r="B393" s="51" t="n"/>
      <c r="C393" s="51" t="n"/>
      <c r="D393" s="51" t="n"/>
      <c r="E393" s="51" t="n"/>
      <c r="F393" s="51" t="n"/>
      <c r="G393" s="51" t="n"/>
      <c r="H393" s="51" t="n"/>
      <c r="I393" s="51" t="n"/>
      <c r="J393" s="51" t="n"/>
    </row>
    <row r="394">
      <c r="B394" s="51" t="n"/>
      <c r="C394" s="51" t="n"/>
      <c r="D394" s="51" t="n"/>
      <c r="E394" s="51" t="n"/>
      <c r="F394" s="51" t="n"/>
      <c r="G394" s="51" t="n"/>
      <c r="H394" s="51" t="n"/>
      <c r="I394" s="51" t="n"/>
      <c r="J394" s="51" t="n"/>
    </row>
    <row r="395">
      <c r="B395" s="51" t="n"/>
      <c r="C395" s="51" t="n"/>
      <c r="D395" s="51" t="n"/>
      <c r="E395" s="51" t="n"/>
      <c r="F395" s="51" t="n"/>
      <c r="G395" s="51" t="n"/>
      <c r="H395" s="51" t="n"/>
      <c r="I395" s="51" t="n"/>
      <c r="J395" s="51" t="n"/>
    </row>
    <row r="396">
      <c r="B396" s="51" t="n"/>
      <c r="C396" s="51" t="n"/>
      <c r="D396" s="51" t="n"/>
      <c r="E396" s="51" t="n"/>
      <c r="F396" s="51" t="n"/>
      <c r="G396" s="51" t="n"/>
      <c r="H396" s="51" t="n"/>
      <c r="I396" s="51" t="n"/>
      <c r="J396" s="51" t="n"/>
    </row>
    <row r="397">
      <c r="B397" s="51" t="n"/>
      <c r="C397" s="51" t="n"/>
      <c r="D397" s="51" t="n"/>
      <c r="E397" s="51" t="n"/>
      <c r="F397" s="51" t="n"/>
      <c r="G397" s="51" t="n"/>
      <c r="H397" s="51" t="n"/>
      <c r="I397" s="51" t="n"/>
      <c r="J397" s="51" t="n"/>
    </row>
    <row r="398">
      <c r="B398" s="51" t="n"/>
      <c r="C398" s="51" t="n"/>
      <c r="D398" s="51" t="n"/>
      <c r="E398" s="51" t="n"/>
      <c r="F398" s="51" t="n"/>
      <c r="G398" s="51" t="n"/>
      <c r="H398" s="51" t="n"/>
      <c r="I398" s="51" t="n"/>
      <c r="J398" s="51" t="n"/>
    </row>
    <row r="399">
      <c r="B399" s="51" t="n"/>
      <c r="C399" s="51" t="n"/>
      <c r="D399" s="51" t="n"/>
      <c r="E399" s="51" t="n"/>
      <c r="F399" s="51" t="n"/>
      <c r="G399" s="51" t="n"/>
      <c r="H399" s="51" t="n"/>
      <c r="I399" s="51" t="n"/>
      <c r="J399" s="51" t="n"/>
    </row>
    <row r="400">
      <c r="B400" s="51" t="n"/>
      <c r="C400" s="51" t="n"/>
      <c r="D400" s="51" t="n"/>
      <c r="E400" s="51" t="n"/>
      <c r="F400" s="51" t="n"/>
      <c r="G400" s="51" t="n"/>
      <c r="H400" s="51" t="n"/>
      <c r="I400" s="51" t="n"/>
      <c r="J400" s="51" t="n"/>
    </row>
    <row r="401">
      <c r="B401" s="51" t="n"/>
      <c r="C401" s="51" t="n"/>
      <c r="D401" s="51" t="n"/>
      <c r="E401" s="51" t="n"/>
      <c r="F401" s="51" t="n"/>
      <c r="G401" s="51" t="n"/>
      <c r="H401" s="51" t="n"/>
      <c r="I401" s="51" t="n"/>
      <c r="J401" s="51" t="n"/>
    </row>
    <row r="402">
      <c r="B402" s="51" t="n"/>
      <c r="C402" s="51" t="n"/>
      <c r="D402" s="51" t="n"/>
      <c r="E402" s="51" t="n"/>
      <c r="F402" s="51" t="n"/>
      <c r="G402" s="51" t="n"/>
      <c r="H402" s="51" t="n"/>
      <c r="I402" s="51" t="n"/>
      <c r="J402" s="51" t="n"/>
    </row>
    <row r="403">
      <c r="B403" s="51" t="n"/>
      <c r="C403" s="51" t="n"/>
      <c r="D403" s="51" t="n"/>
      <c r="E403" s="51" t="n"/>
      <c r="F403" s="51" t="n"/>
      <c r="G403" s="51" t="n"/>
      <c r="H403" s="51" t="n"/>
      <c r="I403" s="51" t="n"/>
      <c r="J403" s="51" t="n"/>
    </row>
    <row r="404">
      <c r="B404" s="51" t="n"/>
      <c r="C404" s="51" t="n"/>
      <c r="D404" s="51" t="n"/>
      <c r="E404" s="51" t="n"/>
      <c r="F404" s="51" t="n"/>
      <c r="G404" s="51" t="n"/>
      <c r="H404" s="51" t="n"/>
      <c r="I404" s="51" t="n"/>
      <c r="J404" s="51" t="n"/>
    </row>
    <row r="405">
      <c r="B405" s="51" t="n"/>
      <c r="C405" s="51" t="n"/>
      <c r="D405" s="51" t="n"/>
      <c r="E405" s="51" t="n"/>
      <c r="F405" s="51" t="n"/>
      <c r="G405" s="51" t="n"/>
      <c r="H405" s="51" t="n"/>
      <c r="I405" s="51" t="n"/>
      <c r="J405" s="51" t="n"/>
    </row>
    <row r="406">
      <c r="B406" s="51" t="n"/>
      <c r="C406" s="51" t="n"/>
      <c r="D406" s="51" t="n"/>
      <c r="E406" s="51" t="n"/>
      <c r="F406" s="51" t="n"/>
      <c r="G406" s="51" t="n"/>
      <c r="H406" s="51" t="n"/>
      <c r="I406" s="51" t="n"/>
      <c r="J406" s="51" t="n"/>
    </row>
    <row r="407">
      <c r="B407" s="51" t="n"/>
      <c r="C407" s="51" t="n"/>
      <c r="D407" s="51" t="n"/>
      <c r="E407" s="51" t="n"/>
      <c r="F407" s="51" t="n"/>
      <c r="G407" s="51" t="n"/>
      <c r="H407" s="51" t="n"/>
      <c r="I407" s="51" t="n"/>
      <c r="J407" s="51" t="n"/>
    </row>
    <row r="408">
      <c r="B408" s="51" t="n"/>
      <c r="C408" s="51" t="n"/>
      <c r="D408" s="51" t="n"/>
      <c r="E408" s="51" t="n"/>
      <c r="F408" s="51" t="n"/>
      <c r="G408" s="51" t="n"/>
      <c r="H408" s="51" t="n"/>
      <c r="I408" s="51" t="n"/>
      <c r="J408" s="51" t="n"/>
    </row>
    <row r="409">
      <c r="B409" s="51" t="n"/>
      <c r="C409" s="51" t="n"/>
      <c r="D409" s="51" t="n"/>
      <c r="E409" s="51" t="n"/>
      <c r="F409" s="51" t="n"/>
      <c r="G409" s="51" t="n"/>
      <c r="H409" s="51" t="n"/>
      <c r="I409" s="51" t="n"/>
      <c r="J409" s="51" t="n"/>
    </row>
    <row r="410">
      <c r="B410" s="51" t="n"/>
      <c r="C410" s="51" t="n"/>
      <c r="D410" s="51" t="n"/>
      <c r="E410" s="51" t="n"/>
      <c r="F410" s="51" t="n"/>
      <c r="G410" s="51" t="n"/>
      <c r="H410" s="51" t="n"/>
      <c r="I410" s="51" t="n"/>
      <c r="J410" s="51" t="n"/>
    </row>
    <row r="411">
      <c r="B411" s="51" t="n"/>
      <c r="C411" s="51" t="n"/>
      <c r="D411" s="51" t="n"/>
      <c r="E411" s="51" t="n"/>
      <c r="F411" s="51" t="n"/>
      <c r="G411" s="51" t="n"/>
      <c r="H411" s="51" t="n"/>
      <c r="I411" s="51" t="n"/>
      <c r="J411" s="51" t="n"/>
    </row>
    <row r="412">
      <c r="B412" s="51" t="n"/>
      <c r="C412" s="51" t="n"/>
      <c r="D412" s="51" t="n"/>
      <c r="E412" s="51" t="n"/>
      <c r="F412" s="51" t="n"/>
      <c r="G412" s="51" t="n"/>
      <c r="H412" s="51" t="n"/>
      <c r="I412" s="51" t="n"/>
      <c r="J412" s="51" t="n"/>
    </row>
    <row r="413">
      <c r="B413" s="51" t="n"/>
      <c r="C413" s="51" t="n"/>
      <c r="D413" s="51" t="n"/>
      <c r="E413" s="51" t="n"/>
      <c r="F413" s="51" t="n"/>
      <c r="G413" s="51" t="n"/>
      <c r="H413" s="51" t="n"/>
      <c r="I413" s="51" t="n"/>
      <c r="J413" s="51" t="n"/>
    </row>
    <row r="414">
      <c r="B414" s="51" t="n"/>
      <c r="C414" s="51" t="n"/>
      <c r="D414" s="51" t="n"/>
      <c r="E414" s="51" t="n"/>
      <c r="F414" s="51" t="n"/>
      <c r="G414" s="51" t="n"/>
      <c r="H414" s="51" t="n"/>
      <c r="I414" s="51" t="n"/>
      <c r="J414" s="51" t="n"/>
    </row>
    <row r="415">
      <c r="B415" s="51" t="n"/>
      <c r="C415" s="51" t="n"/>
      <c r="D415" s="51" t="n"/>
      <c r="E415" s="51" t="n"/>
      <c r="F415" s="51" t="n"/>
      <c r="G415" s="51" t="n"/>
      <c r="H415" s="51" t="n"/>
      <c r="I415" s="51" t="n"/>
      <c r="J415" s="51" t="n"/>
    </row>
    <row r="416">
      <c r="B416" s="51" t="n"/>
      <c r="C416" s="51" t="n"/>
      <c r="D416" s="51" t="n"/>
      <c r="E416" s="51" t="n"/>
      <c r="F416" s="51" t="n"/>
      <c r="G416" s="51" t="n"/>
      <c r="H416" s="51" t="n"/>
      <c r="I416" s="51" t="n"/>
      <c r="J416" s="51" t="n"/>
    </row>
    <row r="417">
      <c r="B417" s="51" t="n"/>
      <c r="C417" s="51" t="n"/>
      <c r="D417" s="51" t="n"/>
      <c r="E417" s="51" t="n"/>
      <c r="F417" s="51" t="n"/>
      <c r="G417" s="51" t="n"/>
      <c r="H417" s="51" t="n"/>
      <c r="I417" s="51" t="n"/>
      <c r="J417" s="51" t="n"/>
    </row>
    <row r="418">
      <c r="B418" s="51" t="n"/>
      <c r="C418" s="51" t="n"/>
      <c r="D418" s="51" t="n"/>
      <c r="E418" s="51" t="n"/>
      <c r="F418" s="51" t="n"/>
      <c r="G418" s="51" t="n"/>
      <c r="H418" s="51" t="n"/>
      <c r="I418" s="51" t="n"/>
      <c r="J418" s="51" t="n"/>
    </row>
    <row r="419">
      <c r="B419" s="51" t="n"/>
      <c r="C419" s="51" t="n"/>
      <c r="D419" s="51" t="n"/>
      <c r="E419" s="51" t="n"/>
      <c r="F419" s="51" t="n"/>
      <c r="G419" s="51" t="n"/>
      <c r="H419" s="51" t="n"/>
      <c r="I419" s="51" t="n"/>
      <c r="J419" s="51" t="n"/>
    </row>
    <row r="420">
      <c r="B420" s="51" t="n"/>
      <c r="C420" s="51" t="n"/>
      <c r="D420" s="51" t="n"/>
      <c r="E420" s="51" t="n"/>
      <c r="F420" s="51" t="n"/>
      <c r="G420" s="51" t="n"/>
      <c r="H420" s="51" t="n"/>
      <c r="I420" s="51" t="n"/>
      <c r="J420" s="51" t="n"/>
    </row>
    <row r="421">
      <c r="B421" s="51" t="n"/>
      <c r="C421" s="51" t="n"/>
      <c r="D421" s="51" t="n"/>
      <c r="E421" s="51" t="n"/>
      <c r="F421" s="51" t="n"/>
      <c r="G421" s="51" t="n"/>
      <c r="H421" s="51" t="n"/>
      <c r="I421" s="51" t="n"/>
      <c r="J421" s="51" t="n"/>
    </row>
    <row r="422">
      <c r="B422" s="51" t="n"/>
      <c r="C422" s="51" t="n"/>
      <c r="D422" s="51" t="n"/>
      <c r="E422" s="51" t="n"/>
      <c r="F422" s="51" t="n"/>
      <c r="G422" s="51" t="n"/>
      <c r="H422" s="51" t="n"/>
      <c r="I422" s="51" t="n"/>
      <c r="J422" s="51" t="n"/>
    </row>
    <row r="423">
      <c r="B423" s="51" t="n"/>
      <c r="C423" s="51" t="n"/>
      <c r="D423" s="51" t="n"/>
      <c r="E423" s="51" t="n"/>
      <c r="F423" s="51" t="n"/>
      <c r="G423" s="51" t="n"/>
      <c r="H423" s="51" t="n"/>
      <c r="I423" s="51" t="n"/>
      <c r="J423" s="51" t="n"/>
    </row>
    <row r="424">
      <c r="B424" s="51" t="n"/>
      <c r="C424" s="51" t="n"/>
      <c r="D424" s="51" t="n"/>
      <c r="E424" s="51" t="n"/>
      <c r="F424" s="51" t="n"/>
      <c r="G424" s="51" t="n"/>
      <c r="H424" s="51" t="n"/>
      <c r="I424" s="51" t="n"/>
      <c r="J424" s="51" t="n"/>
    </row>
    <row r="425">
      <c r="B425" s="51" t="n"/>
      <c r="C425" s="51" t="n"/>
      <c r="D425" s="51" t="n"/>
      <c r="E425" s="51" t="n"/>
      <c r="F425" s="51" t="n"/>
      <c r="G425" s="51" t="n"/>
      <c r="H425" s="51" t="n"/>
      <c r="I425" s="51" t="n"/>
      <c r="J425" s="51" t="n"/>
    </row>
    <row r="426">
      <c r="B426" s="51" t="n"/>
      <c r="C426" s="51" t="n"/>
      <c r="D426" s="51" t="n"/>
      <c r="E426" s="51" t="n"/>
      <c r="F426" s="51" t="n"/>
      <c r="G426" s="51" t="n"/>
      <c r="H426" s="51" t="n"/>
      <c r="I426" s="51" t="n"/>
      <c r="J426" s="51" t="n"/>
    </row>
    <row r="427">
      <c r="B427" s="51" t="n"/>
      <c r="C427" s="51" t="n"/>
      <c r="D427" s="51" t="n"/>
      <c r="E427" s="51" t="n"/>
      <c r="F427" s="51" t="n"/>
      <c r="G427" s="51" t="n"/>
      <c r="H427" s="51" t="n"/>
      <c r="I427" s="51" t="n"/>
      <c r="J427" s="51" t="n"/>
    </row>
    <row r="428">
      <c r="B428" s="51" t="n"/>
      <c r="C428" s="51" t="n"/>
      <c r="D428" s="51" t="n"/>
      <c r="E428" s="51" t="n"/>
      <c r="F428" s="51" t="n"/>
      <c r="G428" s="51" t="n"/>
      <c r="H428" s="51" t="n"/>
      <c r="I428" s="51" t="n"/>
      <c r="J428" s="51" t="n"/>
    </row>
    <row r="429">
      <c r="B429" s="51" t="n"/>
      <c r="C429" s="51" t="n"/>
      <c r="D429" s="51" t="n"/>
      <c r="E429" s="51" t="n"/>
      <c r="F429" s="51" t="n"/>
      <c r="G429" s="51" t="n"/>
      <c r="H429" s="51" t="n"/>
      <c r="I429" s="51" t="n"/>
      <c r="J429" s="51" t="n"/>
    </row>
    <row r="430">
      <c r="B430" s="51" t="n"/>
      <c r="C430" s="51" t="n"/>
      <c r="D430" s="51" t="n"/>
      <c r="E430" s="51" t="n"/>
      <c r="F430" s="51" t="n"/>
      <c r="G430" s="51" t="n"/>
      <c r="H430" s="51" t="n"/>
      <c r="I430" s="51" t="n"/>
      <c r="J430" s="51" t="n"/>
    </row>
    <row r="431">
      <c r="B431" s="51" t="n"/>
      <c r="C431" s="51" t="n"/>
      <c r="D431" s="51" t="n"/>
      <c r="E431" s="51" t="n"/>
      <c r="F431" s="51" t="n"/>
      <c r="G431" s="51" t="n"/>
      <c r="H431" s="51" t="n"/>
      <c r="I431" s="51" t="n"/>
      <c r="J431" s="51" t="n"/>
    </row>
    <row r="432">
      <c r="B432" s="51" t="n"/>
      <c r="C432" s="51" t="n"/>
      <c r="D432" s="51" t="n"/>
      <c r="E432" s="51" t="n"/>
      <c r="F432" s="51" t="n"/>
      <c r="G432" s="51" t="n"/>
      <c r="H432" s="51" t="n"/>
      <c r="I432" s="51" t="n"/>
      <c r="J432" s="51" t="n"/>
    </row>
    <row r="433">
      <c r="B433" s="51" t="n"/>
      <c r="C433" s="51" t="n"/>
      <c r="D433" s="51" t="n"/>
      <c r="E433" s="51" t="n"/>
      <c r="F433" s="51" t="n"/>
      <c r="G433" s="51" t="n"/>
      <c r="H433" s="51" t="n"/>
      <c r="I433" s="51" t="n"/>
      <c r="J433" s="51" t="n"/>
    </row>
    <row r="434">
      <c r="B434" s="51" t="n"/>
      <c r="C434" s="51" t="n"/>
      <c r="D434" s="51" t="n"/>
      <c r="E434" s="51" t="n"/>
      <c r="F434" s="51" t="n"/>
      <c r="G434" s="51" t="n"/>
      <c r="H434" s="51" t="n"/>
      <c r="I434" s="51" t="n"/>
      <c r="J434" s="51" t="n"/>
    </row>
    <row r="435">
      <c r="B435" s="51" t="n"/>
      <c r="C435" s="51" t="n"/>
      <c r="D435" s="51" t="n"/>
      <c r="E435" s="51" t="n"/>
      <c r="F435" s="51" t="n"/>
      <c r="G435" s="51" t="n"/>
      <c r="H435" s="51" t="n"/>
      <c r="I435" s="51" t="n"/>
      <c r="J435" s="51" t="n"/>
    </row>
    <row r="436">
      <c r="B436" s="51" t="n"/>
      <c r="C436" s="51" t="n"/>
      <c r="D436" s="51" t="n"/>
      <c r="E436" s="51" t="n"/>
      <c r="F436" s="51" t="n"/>
      <c r="G436" s="51" t="n"/>
      <c r="H436" s="51" t="n"/>
      <c r="I436" s="51" t="n"/>
      <c r="J436" s="51" t="n"/>
    </row>
    <row r="437">
      <c r="B437" s="51" t="n"/>
      <c r="C437" s="51" t="n"/>
      <c r="D437" s="51" t="n"/>
      <c r="E437" s="51" t="n"/>
      <c r="F437" s="51" t="n"/>
      <c r="G437" s="51" t="n"/>
      <c r="H437" s="51" t="n"/>
      <c r="I437" s="51" t="n"/>
      <c r="J437" s="51" t="n"/>
    </row>
    <row r="438">
      <c r="B438" s="51" t="n"/>
      <c r="C438" s="51" t="n"/>
      <c r="D438" s="51" t="n"/>
      <c r="E438" s="51" t="n"/>
      <c r="F438" s="51" t="n"/>
      <c r="G438" s="51" t="n"/>
      <c r="H438" s="51" t="n"/>
      <c r="I438" s="51" t="n"/>
      <c r="J438" s="51" t="n"/>
    </row>
    <row r="439">
      <c r="B439" s="51" t="n"/>
      <c r="C439" s="51" t="n"/>
      <c r="D439" s="51" t="n"/>
      <c r="E439" s="51" t="n"/>
      <c r="F439" s="51" t="n"/>
      <c r="G439" s="51" t="n"/>
      <c r="H439" s="51" t="n"/>
      <c r="I439" s="51" t="n"/>
      <c r="J439" s="51" t="n"/>
    </row>
    <row r="440">
      <c r="B440" s="51" t="n"/>
      <c r="C440" s="51" t="n"/>
      <c r="D440" s="51" t="n"/>
      <c r="E440" s="51" t="n"/>
      <c r="F440" s="51" t="n"/>
      <c r="G440" s="51" t="n"/>
      <c r="H440" s="51" t="n"/>
      <c r="I440" s="51" t="n"/>
      <c r="J440" s="51" t="n"/>
    </row>
    <row r="441">
      <c r="B441" s="51" t="n"/>
      <c r="C441" s="51" t="n"/>
      <c r="D441" s="51" t="n"/>
      <c r="E441" s="51" t="n"/>
      <c r="F441" s="51" t="n"/>
      <c r="G441" s="51" t="n"/>
      <c r="H441" s="51" t="n"/>
      <c r="I441" s="51" t="n"/>
      <c r="J441" s="51" t="n"/>
    </row>
    <row r="442">
      <c r="B442" s="51" t="n"/>
      <c r="C442" s="51" t="n"/>
      <c r="D442" s="51" t="n"/>
      <c r="E442" s="51" t="n"/>
      <c r="F442" s="51" t="n"/>
      <c r="G442" s="51" t="n"/>
      <c r="H442" s="51" t="n"/>
      <c r="I442" s="51" t="n"/>
      <c r="J442" s="51" t="n"/>
    </row>
    <row r="443">
      <c r="B443" s="51" t="n"/>
      <c r="C443" s="51" t="n"/>
      <c r="D443" s="51" t="n"/>
      <c r="E443" s="51" t="n"/>
      <c r="F443" s="51" t="n"/>
      <c r="G443" s="51" t="n"/>
      <c r="H443" s="51" t="n"/>
      <c r="I443" s="51" t="n"/>
      <c r="J443" s="51" t="n"/>
    </row>
    <row r="444">
      <c r="B444" s="51" t="n"/>
      <c r="C444" s="51" t="n"/>
      <c r="D444" s="51" t="n"/>
      <c r="E444" s="51" t="n"/>
      <c r="F444" s="51" t="n"/>
      <c r="G444" s="51" t="n"/>
      <c r="H444" s="51" t="n"/>
      <c r="I444" s="51" t="n"/>
      <c r="J444" s="51" t="n"/>
    </row>
    <row r="445">
      <c r="B445" s="51" t="n"/>
      <c r="C445" s="51" t="n"/>
      <c r="D445" s="51" t="n"/>
      <c r="E445" s="51" t="n"/>
      <c r="F445" s="51" t="n"/>
      <c r="G445" s="51" t="n"/>
      <c r="H445" s="51" t="n"/>
      <c r="I445" s="51" t="n"/>
      <c r="J445" s="51" t="n"/>
    </row>
    <row r="446">
      <c r="B446" s="51" t="n"/>
      <c r="C446" s="51" t="n"/>
      <c r="D446" s="51" t="n"/>
      <c r="E446" s="51" t="n"/>
      <c r="F446" s="51" t="n"/>
      <c r="G446" s="51" t="n"/>
      <c r="H446" s="51" t="n"/>
      <c r="I446" s="51" t="n"/>
      <c r="J446" s="51" t="n"/>
    </row>
    <row r="447">
      <c r="B447" s="51" t="n"/>
      <c r="C447" s="51" t="n"/>
      <c r="D447" s="51" t="n"/>
      <c r="E447" s="51" t="n"/>
      <c r="F447" s="51" t="n"/>
      <c r="G447" s="51" t="n"/>
      <c r="H447" s="51" t="n"/>
      <c r="I447" s="51" t="n"/>
      <c r="J447" s="51" t="n"/>
    </row>
    <row r="448">
      <c r="B448" s="51" t="n"/>
      <c r="C448" s="51" t="n"/>
      <c r="D448" s="51" t="n"/>
      <c r="E448" s="51" t="n"/>
      <c r="F448" s="51" t="n"/>
      <c r="G448" s="51" t="n"/>
      <c r="H448" s="51" t="n"/>
      <c r="I448" s="51" t="n"/>
      <c r="J448" s="51" t="n"/>
    </row>
    <row r="449">
      <c r="B449" s="51" t="n"/>
      <c r="C449" s="51" t="n"/>
      <c r="D449" s="51" t="n"/>
      <c r="E449" s="51" t="n"/>
      <c r="F449" s="51" t="n"/>
      <c r="G449" s="51" t="n"/>
      <c r="H449" s="51" t="n"/>
      <c r="I449" s="51" t="n"/>
      <c r="J449" s="51" t="n"/>
    </row>
    <row r="450">
      <c r="B450" s="51" t="n"/>
      <c r="C450" s="51" t="n"/>
      <c r="D450" s="51" t="n"/>
      <c r="E450" s="51" t="n"/>
      <c r="F450" s="51" t="n"/>
      <c r="G450" s="51" t="n"/>
      <c r="H450" s="51" t="n"/>
      <c r="I450" s="51" t="n"/>
      <c r="J450" s="51" t="n"/>
    </row>
    <row r="451">
      <c r="B451" s="51" t="n"/>
      <c r="C451" s="51" t="n"/>
      <c r="D451" s="51" t="n"/>
      <c r="E451" s="51" t="n"/>
      <c r="F451" s="51" t="n"/>
      <c r="G451" s="51" t="n"/>
      <c r="H451" s="51" t="n"/>
      <c r="I451" s="51" t="n"/>
      <c r="J451" s="51" t="n"/>
    </row>
    <row r="452">
      <c r="B452" s="51" t="n"/>
      <c r="C452" s="51" t="n"/>
      <c r="D452" s="51" t="n"/>
      <c r="E452" s="51" t="n"/>
      <c r="F452" s="51" t="n"/>
      <c r="G452" s="51" t="n"/>
      <c r="H452" s="51" t="n"/>
      <c r="I452" s="51" t="n"/>
      <c r="J452" s="51" t="n"/>
    </row>
    <row r="453">
      <c r="B453" s="51" t="n"/>
      <c r="C453" s="51" t="n"/>
      <c r="D453" s="51" t="n"/>
      <c r="E453" s="51" t="n"/>
      <c r="F453" s="51" t="n"/>
      <c r="G453" s="51" t="n"/>
      <c r="H453" s="51" t="n"/>
      <c r="I453" s="51" t="n"/>
      <c r="J453" s="51" t="n"/>
    </row>
    <row r="454">
      <c r="B454" s="51" t="n"/>
      <c r="C454" s="51" t="n"/>
      <c r="D454" s="51" t="n"/>
      <c r="E454" s="51" t="n"/>
      <c r="F454" s="51" t="n"/>
      <c r="G454" s="51" t="n"/>
      <c r="H454" s="51" t="n"/>
      <c r="I454" s="51" t="n"/>
      <c r="J454" s="51" t="n"/>
    </row>
    <row r="455">
      <c r="B455" s="51" t="n"/>
      <c r="C455" s="51" t="n"/>
      <c r="D455" s="51" t="n"/>
      <c r="E455" s="51" t="n"/>
      <c r="F455" s="51" t="n"/>
      <c r="G455" s="51" t="n"/>
      <c r="H455" s="51" t="n"/>
      <c r="I455" s="51" t="n"/>
      <c r="J455" s="51" t="n"/>
    </row>
    <row r="456">
      <c r="B456" s="51" t="n"/>
      <c r="C456" s="51" t="n"/>
      <c r="D456" s="51" t="n"/>
      <c r="E456" s="51" t="n"/>
      <c r="F456" s="51" t="n"/>
      <c r="G456" s="51" t="n"/>
      <c r="H456" s="51" t="n"/>
      <c r="I456" s="51" t="n"/>
      <c r="J456" s="51" t="n"/>
    </row>
    <row r="457">
      <c r="B457" s="51" t="n"/>
      <c r="C457" s="51" t="n"/>
      <c r="D457" s="51" t="n"/>
      <c r="E457" s="51" t="n"/>
      <c r="F457" s="51" t="n"/>
      <c r="G457" s="51" t="n"/>
      <c r="H457" s="51" t="n"/>
      <c r="I457" s="51" t="n"/>
      <c r="J457" s="51" t="n"/>
    </row>
    <row r="458">
      <c r="B458" s="51" t="n"/>
      <c r="C458" s="51" t="n"/>
      <c r="D458" s="51" t="n"/>
      <c r="E458" s="51" t="n"/>
      <c r="F458" s="51" t="n"/>
      <c r="G458" s="51" t="n"/>
      <c r="H458" s="51" t="n"/>
      <c r="I458" s="51" t="n"/>
      <c r="J458" s="51" t="n"/>
    </row>
    <row r="459">
      <c r="B459" s="51" t="n"/>
      <c r="C459" s="51" t="n"/>
      <c r="D459" s="51" t="n"/>
      <c r="E459" s="51" t="n"/>
      <c r="F459" s="51" t="n"/>
      <c r="G459" s="51" t="n"/>
      <c r="H459" s="51" t="n"/>
      <c r="I459" s="51" t="n"/>
      <c r="J459" s="51" t="n"/>
    </row>
    <row r="460">
      <c r="B460" s="51" t="n"/>
      <c r="C460" s="51" t="n"/>
      <c r="D460" s="51" t="n"/>
      <c r="E460" s="51" t="n"/>
      <c r="F460" s="51" t="n"/>
      <c r="G460" s="51" t="n"/>
      <c r="H460" s="51" t="n"/>
      <c r="I460" s="51" t="n"/>
      <c r="J460" s="51" t="n"/>
    </row>
    <row r="461">
      <c r="B461" s="51" t="n"/>
      <c r="C461" s="51" t="n"/>
      <c r="D461" s="51" t="n"/>
      <c r="E461" s="51" t="n"/>
      <c r="F461" s="51" t="n"/>
      <c r="G461" s="51" t="n"/>
      <c r="H461" s="51" t="n"/>
      <c r="I461" s="51" t="n"/>
      <c r="J461" s="51" t="n"/>
    </row>
    <row r="462">
      <c r="B462" s="51" t="n"/>
      <c r="C462" s="51" t="n"/>
      <c r="D462" s="51" t="n"/>
      <c r="E462" s="51" t="n"/>
      <c r="F462" s="51" t="n"/>
      <c r="G462" s="51" t="n"/>
      <c r="H462" s="51" t="n"/>
      <c r="I462" s="51" t="n"/>
      <c r="J462" s="51" t="n"/>
    </row>
    <row r="463">
      <c r="B463" s="51" t="n"/>
      <c r="C463" s="51" t="n"/>
      <c r="D463" s="51" t="n"/>
      <c r="E463" s="51" t="n"/>
      <c r="F463" s="51" t="n"/>
      <c r="G463" s="51" t="n"/>
      <c r="H463" s="51" t="n"/>
      <c r="I463" s="51" t="n"/>
      <c r="J463" s="51" t="n"/>
    </row>
    <row r="464">
      <c r="B464" s="51" t="n"/>
      <c r="C464" s="51" t="n"/>
      <c r="D464" s="51" t="n"/>
      <c r="E464" s="51" t="n"/>
      <c r="F464" s="51" t="n"/>
      <c r="G464" s="51" t="n"/>
      <c r="H464" s="51" t="n"/>
      <c r="I464" s="51" t="n"/>
      <c r="J464" s="51" t="n"/>
    </row>
    <row r="465">
      <c r="B465" s="51" t="n"/>
      <c r="C465" s="51" t="n"/>
      <c r="D465" s="51" t="n"/>
      <c r="E465" s="51" t="n"/>
      <c r="F465" s="51" t="n"/>
      <c r="G465" s="51" t="n"/>
      <c r="H465" s="51" t="n"/>
      <c r="I465" s="51" t="n"/>
      <c r="J465" s="51" t="n"/>
    </row>
    <row r="466">
      <c r="B466" s="51" t="n"/>
      <c r="C466" s="51" t="n"/>
      <c r="D466" s="51" t="n"/>
      <c r="E466" s="51" t="n"/>
      <c r="F466" s="51" t="n"/>
      <c r="G466" s="51" t="n"/>
      <c r="H466" s="51" t="n"/>
      <c r="I466" s="51" t="n"/>
      <c r="J466" s="51" t="n"/>
    </row>
    <row r="467">
      <c r="B467" s="51" t="n"/>
      <c r="C467" s="51" t="n"/>
      <c r="D467" s="51" t="n"/>
      <c r="E467" s="51" t="n"/>
      <c r="F467" s="51" t="n"/>
      <c r="G467" s="51" t="n"/>
      <c r="H467" s="51" t="n"/>
      <c r="I467" s="51" t="n"/>
      <c r="J467" s="51" t="n"/>
    </row>
    <row r="468">
      <c r="B468" s="51" t="n"/>
      <c r="C468" s="51" t="n"/>
      <c r="D468" s="51" t="n"/>
      <c r="E468" s="51" t="n"/>
      <c r="F468" s="51" t="n"/>
      <c r="G468" s="51" t="n"/>
      <c r="H468" s="51" t="n"/>
      <c r="I468" s="51" t="n"/>
      <c r="J468" s="51" t="n"/>
    </row>
    <row r="469">
      <c r="B469" s="51" t="n"/>
      <c r="C469" s="51" t="n"/>
      <c r="D469" s="51" t="n"/>
      <c r="E469" s="51" t="n"/>
      <c r="F469" s="51" t="n"/>
      <c r="G469" s="51" t="n"/>
      <c r="H469" s="51" t="n"/>
      <c r="I469" s="51" t="n"/>
      <c r="J469" s="51" t="n"/>
    </row>
    <row r="470">
      <c r="B470" s="51" t="n"/>
      <c r="C470" s="51" t="n"/>
      <c r="D470" s="51" t="n"/>
      <c r="E470" s="51" t="n"/>
      <c r="F470" s="51" t="n"/>
      <c r="G470" s="51" t="n"/>
      <c r="H470" s="51" t="n"/>
      <c r="I470" s="51" t="n"/>
      <c r="J470" s="51" t="n"/>
    </row>
    <row r="471">
      <c r="B471" s="51" t="n"/>
      <c r="C471" s="51" t="n"/>
      <c r="D471" s="51" t="n"/>
      <c r="E471" s="51" t="n"/>
      <c r="F471" s="51" t="n"/>
      <c r="G471" s="51" t="n"/>
      <c r="H471" s="51" t="n"/>
      <c r="I471" s="51" t="n"/>
      <c r="J471" s="51" t="n"/>
    </row>
    <row r="472">
      <c r="B472" s="51" t="n"/>
      <c r="C472" s="51" t="n"/>
      <c r="D472" s="51" t="n"/>
      <c r="E472" s="51" t="n"/>
      <c r="F472" s="51" t="n"/>
      <c r="G472" s="51" t="n"/>
      <c r="H472" s="51" t="n"/>
      <c r="I472" s="51" t="n"/>
      <c r="J472" s="51" t="n"/>
    </row>
    <row r="473">
      <c r="B473" s="51" t="n"/>
      <c r="C473" s="51" t="n"/>
      <c r="D473" s="51" t="n"/>
      <c r="E473" s="51" t="n"/>
      <c r="F473" s="51" t="n"/>
      <c r="G473" s="51" t="n"/>
      <c r="H473" s="51" t="n"/>
      <c r="I473" s="51" t="n"/>
      <c r="J473" s="51" t="n"/>
    </row>
    <row r="474">
      <c r="B474" s="51" t="n"/>
      <c r="C474" s="51" t="n"/>
      <c r="D474" s="51" t="n"/>
      <c r="E474" s="51" t="n"/>
      <c r="F474" s="51" t="n"/>
      <c r="G474" s="51" t="n"/>
      <c r="H474" s="51" t="n"/>
      <c r="I474" s="51" t="n"/>
      <c r="J474" s="51" t="n"/>
    </row>
    <row r="475">
      <c r="B475" s="51" t="n"/>
      <c r="C475" s="51" t="n"/>
      <c r="D475" s="51" t="n"/>
      <c r="E475" s="51" t="n"/>
      <c r="F475" s="51" t="n"/>
      <c r="G475" s="51" t="n"/>
      <c r="H475" s="51" t="n"/>
      <c r="I475" s="51" t="n"/>
      <c r="J475" s="51" t="n"/>
    </row>
    <row r="476">
      <c r="B476" s="51" t="n"/>
      <c r="C476" s="51" t="n"/>
      <c r="D476" s="51" t="n"/>
      <c r="E476" s="51" t="n"/>
      <c r="F476" s="51" t="n"/>
      <c r="G476" s="51" t="n"/>
      <c r="H476" s="51" t="n"/>
      <c r="I476" s="51" t="n"/>
      <c r="J476" s="51" t="n"/>
    </row>
    <row r="477">
      <c r="B477" s="51" t="n"/>
      <c r="C477" s="51" t="n"/>
      <c r="D477" s="51" t="n"/>
      <c r="E477" s="51" t="n"/>
      <c r="F477" s="51" t="n"/>
      <c r="G477" s="51" t="n"/>
      <c r="H477" s="51" t="n"/>
      <c r="I477" s="51" t="n"/>
      <c r="J477" s="51" t="n"/>
    </row>
    <row r="478">
      <c r="B478" s="51" t="n"/>
      <c r="C478" s="51" t="n"/>
      <c r="D478" s="51" t="n"/>
      <c r="E478" s="51" t="n"/>
      <c r="F478" s="51" t="n"/>
      <c r="G478" s="51" t="n"/>
      <c r="H478" s="51" t="n"/>
      <c r="I478" s="51" t="n"/>
      <c r="J478" s="51" t="n"/>
    </row>
    <row r="479">
      <c r="B479" s="51" t="n"/>
      <c r="C479" s="51" t="n"/>
      <c r="D479" s="51" t="n"/>
      <c r="E479" s="51" t="n"/>
      <c r="F479" s="51" t="n"/>
      <c r="G479" s="51" t="n"/>
      <c r="H479" s="51" t="n"/>
      <c r="I479" s="51" t="n"/>
      <c r="J479" s="51" t="n"/>
    </row>
    <row r="480">
      <c r="B480" s="51" t="n"/>
      <c r="C480" s="51" t="n"/>
      <c r="D480" s="51" t="n"/>
      <c r="E480" s="51" t="n"/>
      <c r="F480" s="51" t="n"/>
      <c r="G480" s="51" t="n"/>
      <c r="H480" s="51" t="n"/>
      <c r="I480" s="51" t="n"/>
      <c r="J480" s="51" t="n"/>
    </row>
    <row r="481">
      <c r="B481" s="51" t="n"/>
      <c r="C481" s="51" t="n"/>
      <c r="D481" s="51" t="n"/>
      <c r="E481" s="51" t="n"/>
      <c r="F481" s="51" t="n"/>
      <c r="G481" s="51" t="n"/>
      <c r="H481" s="51" t="n"/>
      <c r="I481" s="51" t="n"/>
      <c r="J481" s="51" t="n"/>
    </row>
    <row r="482">
      <c r="B482" s="51" t="n"/>
      <c r="C482" s="51" t="n"/>
      <c r="D482" s="51" t="n"/>
      <c r="E482" s="51" t="n"/>
      <c r="F482" s="51" t="n"/>
      <c r="G482" s="51" t="n"/>
      <c r="H482" s="51" t="n"/>
      <c r="I482" s="51" t="n"/>
      <c r="J482" s="51" t="n"/>
    </row>
    <row r="483">
      <c r="B483" s="51" t="n"/>
      <c r="C483" s="51" t="n"/>
      <c r="D483" s="51" t="n"/>
      <c r="E483" s="51" t="n"/>
      <c r="F483" s="51" t="n"/>
      <c r="G483" s="51" t="n"/>
      <c r="H483" s="51" t="n"/>
      <c r="I483" s="51" t="n"/>
      <c r="J483" s="51" t="n"/>
    </row>
    <row r="484">
      <c r="B484" s="51" t="n"/>
      <c r="C484" s="51" t="n"/>
      <c r="D484" s="51" t="n"/>
      <c r="E484" s="51" t="n"/>
      <c r="F484" s="51" t="n"/>
      <c r="G484" s="51" t="n"/>
      <c r="H484" s="51" t="n"/>
      <c r="I484" s="51" t="n"/>
      <c r="J484" s="51" t="n"/>
    </row>
    <row r="485">
      <c r="B485" s="51" t="n"/>
      <c r="C485" s="51" t="n"/>
      <c r="D485" s="51" t="n"/>
      <c r="E485" s="51" t="n"/>
      <c r="F485" s="51" t="n"/>
      <c r="G485" s="51" t="n"/>
      <c r="H485" s="51" t="n"/>
      <c r="I485" s="51" t="n"/>
      <c r="J485" s="51" t="n"/>
    </row>
    <row r="486">
      <c r="B486" s="51" t="n"/>
      <c r="C486" s="51" t="n"/>
      <c r="D486" s="51" t="n"/>
      <c r="E486" s="51" t="n"/>
      <c r="F486" s="51" t="n"/>
      <c r="G486" s="51" t="n"/>
      <c r="H486" s="51" t="n"/>
      <c r="I486" s="51" t="n"/>
      <c r="J486" s="51" t="n"/>
    </row>
    <row r="487">
      <c r="B487" s="51" t="n"/>
      <c r="C487" s="51" t="n"/>
      <c r="D487" s="51" t="n"/>
      <c r="E487" s="51" t="n"/>
      <c r="F487" s="51" t="n"/>
      <c r="G487" s="51" t="n"/>
      <c r="H487" s="51" t="n"/>
      <c r="I487" s="51" t="n"/>
      <c r="J487" s="51" t="n"/>
    </row>
    <row r="488">
      <c r="B488" s="51" t="n"/>
      <c r="C488" s="51" t="n"/>
      <c r="D488" s="51" t="n"/>
      <c r="E488" s="51" t="n"/>
      <c r="F488" s="51" t="n"/>
      <c r="G488" s="51" t="n"/>
      <c r="H488" s="51" t="n"/>
      <c r="I488" s="51" t="n"/>
      <c r="J488" s="51" t="n"/>
    </row>
    <row r="489">
      <c r="B489" s="51" t="n"/>
      <c r="C489" s="51" t="n"/>
      <c r="D489" s="51" t="n"/>
      <c r="E489" s="51" t="n"/>
      <c r="F489" s="51" t="n"/>
      <c r="G489" s="51" t="n"/>
      <c r="H489" s="51" t="n"/>
      <c r="I489" s="51" t="n"/>
      <c r="J489" s="51" t="n"/>
    </row>
    <row r="490">
      <c r="B490" s="51" t="n"/>
      <c r="C490" s="51" t="n"/>
      <c r="D490" s="51" t="n"/>
      <c r="E490" s="51" t="n"/>
      <c r="F490" s="51" t="n"/>
      <c r="G490" s="51" t="n"/>
      <c r="H490" s="51" t="n"/>
      <c r="I490" s="51" t="n"/>
      <c r="J490" s="51" t="n"/>
    </row>
    <row r="491">
      <c r="B491" s="51" t="n"/>
      <c r="C491" s="51" t="n"/>
      <c r="D491" s="51" t="n"/>
      <c r="E491" s="51" t="n"/>
      <c r="F491" s="51" t="n"/>
      <c r="G491" s="51" t="n"/>
      <c r="H491" s="51" t="n"/>
      <c r="I491" s="51" t="n"/>
      <c r="J491" s="51" t="n"/>
    </row>
    <row r="492">
      <c r="B492" s="51" t="n"/>
      <c r="C492" s="51" t="n"/>
      <c r="D492" s="51" t="n"/>
      <c r="E492" s="51" t="n"/>
      <c r="F492" s="51" t="n"/>
      <c r="G492" s="51" t="n"/>
      <c r="H492" s="51" t="n"/>
      <c r="I492" s="51" t="n"/>
      <c r="J492" s="51" t="n"/>
    </row>
    <row r="493">
      <c r="B493" s="51" t="n"/>
      <c r="C493" s="51" t="n"/>
      <c r="D493" s="51" t="n"/>
      <c r="E493" s="51" t="n"/>
      <c r="F493" s="51" t="n"/>
      <c r="G493" s="51" t="n"/>
      <c r="H493" s="51" t="n"/>
      <c r="I493" s="51" t="n"/>
      <c r="J493" s="51" t="n"/>
    </row>
    <row r="494">
      <c r="B494" s="51" t="n"/>
      <c r="C494" s="51" t="n"/>
      <c r="D494" s="51" t="n"/>
      <c r="E494" s="51" t="n"/>
      <c r="F494" s="51" t="n"/>
      <c r="G494" s="51" t="n"/>
      <c r="H494" s="51" t="n"/>
      <c r="I494" s="51" t="n"/>
      <c r="J494" s="51" t="n"/>
    </row>
    <row r="495">
      <c r="B495" s="51" t="n"/>
      <c r="C495" s="51" t="n"/>
      <c r="D495" s="51" t="n"/>
      <c r="E495" s="51" t="n"/>
      <c r="F495" s="51" t="n"/>
      <c r="G495" s="51" t="n"/>
      <c r="H495" s="51" t="n"/>
      <c r="I495" s="51" t="n"/>
      <c r="J495" s="51" t="n"/>
    </row>
    <row r="496">
      <c r="B496" s="51" t="n"/>
      <c r="C496" s="51" t="n"/>
      <c r="D496" s="51" t="n"/>
      <c r="E496" s="51" t="n"/>
      <c r="F496" s="51" t="n"/>
      <c r="G496" s="51" t="n"/>
      <c r="H496" s="51" t="n"/>
      <c r="I496" s="51" t="n"/>
      <c r="J496" s="51" t="n"/>
    </row>
    <row r="497">
      <c r="B497" s="51" t="n"/>
      <c r="C497" s="51" t="n"/>
      <c r="D497" s="51" t="n"/>
      <c r="E497" s="51" t="n"/>
      <c r="F497" s="51" t="n"/>
      <c r="G497" s="51" t="n"/>
      <c r="H497" s="51" t="n"/>
      <c r="I497" s="51" t="n"/>
      <c r="J497" s="51" t="n"/>
    </row>
    <row r="498">
      <c r="B498" s="51" t="n"/>
      <c r="C498" s="51" t="n"/>
      <c r="D498" s="51" t="n"/>
      <c r="E498" s="51" t="n"/>
      <c r="F498" s="51" t="n"/>
      <c r="G498" s="51" t="n"/>
      <c r="H498" s="51" t="n"/>
      <c r="I498" s="51" t="n"/>
      <c r="J498" s="51" t="n"/>
    </row>
    <row r="499">
      <c r="B499" s="51" t="n"/>
      <c r="C499" s="51" t="n"/>
      <c r="D499" s="51" t="n"/>
      <c r="E499" s="51" t="n"/>
      <c r="F499" s="51" t="n"/>
      <c r="G499" s="51" t="n"/>
      <c r="H499" s="51" t="n"/>
      <c r="I499" s="51" t="n"/>
      <c r="J499" s="51" t="n"/>
    </row>
    <row r="500">
      <c r="B500" s="51" t="n"/>
      <c r="C500" s="51" t="n"/>
      <c r="D500" s="51" t="n"/>
      <c r="E500" s="51" t="n"/>
      <c r="F500" s="51" t="n"/>
      <c r="G500" s="51" t="n"/>
      <c r="H500" s="51" t="n"/>
      <c r="I500" s="51" t="n"/>
      <c r="J500" s="51" t="n"/>
    </row>
    <row r="501">
      <c r="B501" s="51" t="n"/>
      <c r="C501" s="51" t="n"/>
      <c r="D501" s="51" t="n"/>
      <c r="E501" s="51" t="n"/>
      <c r="F501" s="51" t="n"/>
      <c r="G501" s="51" t="n"/>
      <c r="H501" s="51" t="n"/>
      <c r="I501" s="51" t="n"/>
      <c r="J501" s="51" t="n"/>
    </row>
    <row r="502">
      <c r="B502" s="51" t="n"/>
      <c r="C502" s="51" t="n"/>
      <c r="D502" s="51" t="n"/>
      <c r="E502" s="51" t="n"/>
      <c r="F502" s="51" t="n"/>
      <c r="G502" s="51" t="n"/>
      <c r="H502" s="51" t="n"/>
      <c r="I502" s="51" t="n"/>
      <c r="J502" s="51" t="n"/>
    </row>
    <row r="503">
      <c r="B503" s="51" t="n"/>
      <c r="C503" s="51" t="n"/>
      <c r="D503" s="51" t="n"/>
      <c r="E503" s="51" t="n"/>
      <c r="F503" s="51" t="n"/>
      <c r="G503" s="51" t="n"/>
      <c r="H503" s="51" t="n"/>
      <c r="I503" s="51" t="n"/>
      <c r="J503" s="51" t="n"/>
    </row>
    <row r="504">
      <c r="B504" s="51" t="n"/>
      <c r="C504" s="51" t="n"/>
      <c r="D504" s="51" t="n"/>
      <c r="E504" s="51" t="n"/>
      <c r="F504" s="51" t="n"/>
      <c r="G504" s="51" t="n"/>
      <c r="H504" s="51" t="n"/>
      <c r="I504" s="51" t="n"/>
      <c r="J504" s="51" t="n"/>
    </row>
    <row r="505">
      <c r="B505" s="51" t="n"/>
      <c r="C505" s="51" t="n"/>
      <c r="D505" s="51" t="n"/>
      <c r="E505" s="51" t="n"/>
      <c r="F505" s="51" t="n"/>
      <c r="G505" s="51" t="n"/>
      <c r="H505" s="51" t="n"/>
      <c r="I505" s="51" t="n"/>
      <c r="J505" s="51" t="n"/>
    </row>
    <row r="506">
      <c r="B506" s="51" t="n"/>
      <c r="C506" s="51" t="n"/>
      <c r="D506" s="51" t="n"/>
      <c r="E506" s="51" t="n"/>
      <c r="F506" s="51" t="n"/>
      <c r="G506" s="51" t="n"/>
      <c r="H506" s="51" t="n"/>
      <c r="I506" s="51" t="n"/>
      <c r="J506" s="51" t="n"/>
    </row>
    <row r="507">
      <c r="B507" s="51" t="n"/>
      <c r="C507" s="51" t="n"/>
      <c r="D507" s="51" t="n"/>
      <c r="E507" s="51" t="n"/>
      <c r="F507" s="51" t="n"/>
      <c r="G507" s="51" t="n"/>
      <c r="H507" s="51" t="n"/>
      <c r="I507" s="51" t="n"/>
      <c r="J507" s="51" t="n"/>
    </row>
    <row r="508">
      <c r="B508" s="51" t="n"/>
      <c r="C508" s="51" t="n"/>
      <c r="D508" s="51" t="n"/>
      <c r="E508" s="51" t="n"/>
      <c r="F508" s="51" t="n"/>
      <c r="G508" s="51" t="n"/>
      <c r="H508" s="51" t="n"/>
      <c r="I508" s="51" t="n"/>
      <c r="J508" s="51" t="n"/>
    </row>
    <row r="509">
      <c r="B509" s="51" t="n"/>
      <c r="C509" s="51" t="n"/>
      <c r="D509" s="51" t="n"/>
      <c r="E509" s="51" t="n"/>
      <c r="F509" s="51" t="n"/>
      <c r="G509" s="51" t="n"/>
      <c r="H509" s="51" t="n"/>
      <c r="I509" s="51" t="n"/>
      <c r="J509" s="51" t="n"/>
    </row>
    <row r="510">
      <c r="B510" s="51" t="n"/>
      <c r="C510" s="51" t="n"/>
      <c r="D510" s="51" t="n"/>
      <c r="E510" s="51" t="n"/>
      <c r="F510" s="51" t="n"/>
      <c r="G510" s="51" t="n"/>
      <c r="H510" s="51" t="n"/>
      <c r="I510" s="51" t="n"/>
      <c r="J510" s="51" t="n"/>
    </row>
    <row r="511">
      <c r="B511" s="51" t="n"/>
      <c r="C511" s="51" t="n"/>
      <c r="D511" s="51" t="n"/>
      <c r="E511" s="51" t="n"/>
      <c r="F511" s="51" t="n"/>
      <c r="G511" s="51" t="n"/>
      <c r="H511" s="51" t="n"/>
      <c r="I511" s="51" t="n"/>
      <c r="J511" s="51" t="n"/>
    </row>
    <row r="512">
      <c r="B512" s="51" t="n"/>
      <c r="C512" s="51" t="n"/>
      <c r="D512" s="51" t="n"/>
      <c r="E512" s="51" t="n"/>
      <c r="F512" s="51" t="n"/>
      <c r="G512" s="51" t="n"/>
      <c r="H512" s="51" t="n"/>
      <c r="I512" s="51" t="n"/>
      <c r="J512" s="51" t="n"/>
    </row>
    <row r="513">
      <c r="B513" s="51" t="n"/>
      <c r="C513" s="51" t="n"/>
      <c r="D513" s="51" t="n"/>
      <c r="E513" s="51" t="n"/>
      <c r="F513" s="51" t="n"/>
      <c r="G513" s="51" t="n"/>
      <c r="H513" s="51" t="n"/>
      <c r="I513" s="51" t="n"/>
      <c r="J513" s="51" t="n"/>
    </row>
    <row r="514">
      <c r="B514" s="51" t="n"/>
      <c r="C514" s="51" t="n"/>
      <c r="D514" s="51" t="n"/>
      <c r="E514" s="51" t="n"/>
      <c r="F514" s="51" t="n"/>
      <c r="G514" s="51" t="n"/>
      <c r="H514" s="51" t="n"/>
      <c r="I514" s="51" t="n"/>
      <c r="J514" s="51" t="n"/>
    </row>
    <row r="515">
      <c r="B515" s="51" t="n"/>
      <c r="C515" s="51" t="n"/>
      <c r="D515" s="51" t="n"/>
      <c r="E515" s="51" t="n"/>
      <c r="F515" s="51" t="n"/>
      <c r="G515" s="51" t="n"/>
      <c r="H515" s="51" t="n"/>
      <c r="I515" s="51" t="n"/>
      <c r="J515" s="51" t="n"/>
    </row>
    <row r="516">
      <c r="B516" s="51" t="n"/>
      <c r="C516" s="51" t="n"/>
      <c r="D516" s="51" t="n"/>
      <c r="E516" s="51" t="n"/>
      <c r="F516" s="51" t="n"/>
      <c r="G516" s="51" t="n"/>
      <c r="H516" s="51" t="n"/>
      <c r="I516" s="51" t="n"/>
      <c r="J516" s="51" t="n"/>
    </row>
    <row r="517">
      <c r="B517" s="51" t="n"/>
      <c r="C517" s="51" t="n"/>
      <c r="D517" s="51" t="n"/>
      <c r="E517" s="51" t="n"/>
      <c r="F517" s="51" t="n"/>
      <c r="G517" s="51" t="n"/>
      <c r="H517" s="51" t="n"/>
      <c r="I517" s="51" t="n"/>
      <c r="J517" s="51" t="n"/>
    </row>
  </sheetData>
  <mergeCells count="8">
    <mergeCell ref="B7:J7"/>
    <mergeCell ref="B3:J3"/>
    <mergeCell ref="B5:J5"/>
    <mergeCell ref="F8:J8"/>
    <mergeCell ref="B10:C10"/>
    <mergeCell ref="B4:J4"/>
    <mergeCell ref="B8:C8"/>
    <mergeCell ref="B6:J6"/>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AND(LEN($B17&amp;$C17&amp;$D17&amp;$E17&amp;$F17&amp;$G17&amp;$H17&amp;$I17&amp;$J17)&gt;0,B17="")</formula>
    </cfRule>
  </conditionalFormatting>
  <conditionalFormatting sqref="C17:C517">
    <cfRule type="expression" priority="3" dxfId="6">
      <formula>AND(LEN($B17&amp;$C17&amp;$D17&amp;$E17&amp;$F17&amp;$G17&amp;$H17&amp;$I17&amp;$J17)&gt;0,C17="")</formula>
    </cfRule>
  </conditionalFormatting>
  <conditionalFormatting sqref="D17:D517">
    <cfRule type="expression" priority="4" dxfId="6">
      <formula>AND(LEN($B17&amp;$C17&amp;$D17&amp;$E17&amp;$F17&amp;$G17&amp;$H17&amp;$I17&amp;$J17)&gt;0,D17="")</formula>
    </cfRule>
  </conditionalFormatting>
  <conditionalFormatting sqref="E17:E517">
    <cfRule type="expression" priority="5" dxfId="6">
      <formula>AND(LEN($B17&amp;$C17&amp;$D17&amp;$E17&amp;$F17&amp;$G17&amp;$H17&amp;$I17&amp;$J17)&gt;0,E17="")</formula>
    </cfRule>
  </conditionalFormatting>
  <conditionalFormatting sqref="F17:F517">
    <cfRule type="expression" priority="6" dxfId="6">
      <formula>AND(LEN($B17&amp;$C17&amp;$D17&amp;$E17&amp;$F17&amp;$G17&amp;$H17&amp;$I17&amp;$J17)&gt;0,F17="")</formula>
    </cfRule>
  </conditionalFormatting>
  <conditionalFormatting sqref="G17:G517">
    <cfRule type="expression" priority="7" dxfId="6">
      <formula>AND(LEN($B17&amp;$C17&amp;$D17&amp;$E17&amp;$F17&amp;$G17&amp;$H17&amp;$I17&amp;$J17)&gt;0,G17="")</formula>
    </cfRule>
  </conditionalFormatting>
  <conditionalFormatting sqref="H17:H517">
    <cfRule type="expression" priority="8" dxfId="6">
      <formula>AND(LEN($B17&amp;$C17&amp;$D17&amp;$E17&amp;$F17&amp;$G17&amp;$H17&amp;$I17&amp;$J17)&gt;0,H17="")</formula>
    </cfRule>
  </conditionalFormatting>
  <conditionalFormatting sqref="I17:I517">
    <cfRule type="expression" priority="9" dxfId="6">
      <formula>AND(LEN($B17&amp;$C17&amp;$D17&amp;$E17&amp;$F17&amp;$G17&amp;$H17&amp;$I17&amp;$J17)&gt;0,I17="")</formula>
    </cfRule>
  </conditionalFormatting>
  <conditionalFormatting sqref="J17:J517">
    <cfRule type="expression" priority="10" dxfId="6">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PM-01, column Risk code. Enter it there first, or keep it if it is a code BIBS already holds." promptTitle="Risk code" prompt="Yes. Package product Allowed: A code of PM-01 Product catalogue, column Risk code" type="list" errorStyle="warning">
      <formula1>=CODES_PM_01_RISK_CODE</formula1>
    </dataValidation>
    <dataValidation sqref="C17:C517" showDropDown="0" showInputMessage="1" showErrorMessage="0" allowBlank="1" promptTitle="Package name / Scope / Client co" prompt="Yes (name, scope). As on the Package Request Form"/>
    <dataValidation sqref="D17:D517" showDropDown="0" showInputMessage="1" showErrorMessage="0" allowBlank="1" promptTitle="Effective from / Package start /" prompt="Yes (effective from, package end). Dates of the version"/>
    <dataValidation sqref="E17:E517" showDropDown="0" showInputMessage="1" showErrorMessage="0" allowBlank="1" promptTitle="Package rate % / Minimum premium" prompt="Yes (minimum, commission; rate or insurer rates). Rate scheme of the version"/>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one basic coverage). Coverages of the version Allowed: Codes of PM-02 Coverages, perils and field rules, column Code or field key (one or more)"/>
    <dataValidation sqref="H17:H517" showDropDown="0" showInputMessage="1" showErrorMessage="0" allowBlank="1" promptTitle="Insurer code / Role / Share % / " prompt="Yes (the panel). Panel insurers Allowed: Codes of PM-05 Insurers, branches and commission rates, column Partner code (one or more)"/>
    <dataValidation sqref="I17:I517" showDropDown="0" showInputMessage="1" showErrorMessage="0" allowBlank="1" promptTitle="Insurer terms: insurer / coverag" prompt="Yes (every insurer and included coverage). Terms per insurer and coverage Allowed: Codes of PM-03 Clause library, column Clause code (one or more)"/>
    <dataValidation sqref="J17:J517" showDropDown="0" showInputMessage="1" showErrorMessage="0" allowBlank="1" promptTitle="ManCom sign-off reference / Sign" prompt="Yes. Evidence kept on the request"/>
  </dataValidations>
  <hyperlinks>
    <hyperlink ref="A2" location="'Start here'!A1"/>
    <hyperlink ref="J2" location="'Questions and comments'!A1"/>
    <hyperlink ref="B8" location="'PM-01 Product catalogue'!A1"/>
    <hyperlink ref="D8" location="'PM-02 Coverages and rules'!A1"/>
    <hyperlink ref="E8" location="'PM-05 Insurers'!A1"/>
    <hyperlink ref="F8" location="'PM-03 Clause library'!A1"/>
    <hyperlink ref="B14" location="'PM-01 Product catalogue'!H16"/>
    <hyperlink ref="G14" location="'PM-02 Coverages and rules'!D16"/>
    <hyperlink ref="H14" location="'PM-05 Insurers'!B16"/>
    <hyperlink ref="I14" location="'PM-03 Clause library'!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23" customWidth="1" min="3" max="3"/>
    <col width="22" customWidth="1" min="4" max="4"/>
    <col width="22" customWidth="1" min="5" max="5"/>
    <col width="16" customWidth="1" min="6" max="6"/>
    <col width="12" customWidth="1" min="7" max="7"/>
  </cols>
  <sheetData>
    <row r="1" ht="26" customHeight="1">
      <c r="A1" s="27" t="inlineStr">
        <is>
          <t>D0-12 Check books</t>
        </is>
      </c>
      <c r="G1" s="28" t="inlineStr">
        <is>
          <t>Step 26 of 31</t>
        </is>
      </c>
    </row>
    <row r="2">
      <c r="A2" s="29" t="inlineStr">
        <is>
          <t>← Back to Start here</t>
        </is>
      </c>
      <c r="B2" s="30" t="inlineStr">
        <is>
          <t>Step 26 of 31. Fill in one row per record below the column headers; the guide above each column says what to enter.</t>
        </is>
      </c>
      <c r="G2" s="31" t="inlineStr">
        <is>
          <t>Ask a question →</t>
        </is>
      </c>
    </row>
    <row r="3" outlineLevel="1" ht="15.5" customHeight="1">
      <c r="A3" s="32" t="inlineStr">
        <is>
          <t>Purpose</t>
        </is>
      </c>
      <c r="B3" s="33" t="inlineStr">
        <is>
          <t>The check books in stock per bank account at go-live</t>
        </is>
      </c>
    </row>
    <row r="4" outlineLevel="1" ht="15.5" customHeight="1">
      <c r="A4" s="32" t="inlineStr">
        <is>
          <t>Provided by</t>
        </is>
      </c>
      <c r="B4" s="33" t="inlineStr">
        <is>
          <t>Treasury; Product Owner, Comptrollership - Disbursement</t>
        </is>
      </c>
    </row>
    <row r="5" outlineLevel="1" ht="15.5" customHeight="1">
      <c r="A5" s="32" t="inlineStr">
        <is>
          <t>Due</t>
        </is>
      </c>
      <c r="B5" s="34" t="inlineStr">
        <is>
          <t>1-Nov-2027 – Production values before the dress rehearsal</t>
        </is>
      </c>
    </row>
    <row r="6" outlineLevel="1" ht="15.5" customHeight="1">
      <c r="A6" s="32" t="inlineStr">
        <is>
          <t>How it is loaded</t>
        </is>
      </c>
      <c r="B6" s="33" t="inlineStr">
        <is>
          <t>Bank Accounts and Checks (Disbursement)</t>
        </is>
      </c>
    </row>
    <row r="7" outlineLevel="1" ht="15.5" customHeight="1">
      <c r="A7" s="32" t="inlineStr">
        <is>
          <t>Source</t>
        </is>
      </c>
      <c r="B7" s="33" t="inlineStr">
        <is>
          <t>Check book register of Treasury</t>
        </is>
      </c>
    </row>
    <row r="8" outlineLevel="1" ht="26" customHeight="1">
      <c r="A8" s="32" t="inlineStr">
        <is>
          <t>Depends on</t>
        </is>
      </c>
      <c r="B8" s="55" t="inlineStr">
        <is>
          <t>D0-11 Company bank accounts →</t>
        </is>
      </c>
    </row>
    <row r="9" ht="26" customHeight="1">
      <c r="A9" s="36" t="inlineStr">
        <is>
          <t>Progress</t>
        </is>
      </c>
      <c r="B9" s="37" t="inlineStr">
        <is>
          <t>Rows entered</t>
        </is>
      </c>
      <c r="C9" s="38">
        <f>SUMPRODUCT(((ROW($B$17:$B$517)&gt;17)+($B$17&lt;&gt;"BDO-CA-001")&gt;0)*(LEN($B$17:$B$517&amp;$C$17:$C$517&amp;$D$17:$D$517&amp;$E$17:$E$517&amp;$F$17:$F$517)&gt;0))</f>
        <v/>
      </c>
      <c r="D9" s="37" t="inlineStr">
        <is>
          <t>Mandatory cells missing</t>
        </is>
      </c>
      <c r="E9" s="38">
        <f>SUMPRODUCT(((ROW($B$17:$B$517)&gt;17)+($B$17&lt;&gt;"BDO-CA-001")&gt;0)*(LEN($B$17:$B$517&amp;$C$17:$C$517&amp;$D$17:$D$517&amp;$E$17:$E$517&amp;$F$17:$F$517)&gt;0)*(($B$17:$B$517="")+($C$17:$C$517="")+($D$17:$D$517="")+($E$17:$E$517="")+($F$17:$F$517="")))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t>
        </is>
      </c>
      <c r="E12" s="44" t="inlineStr">
        <is>
          <t>Yes</t>
        </is>
      </c>
      <c r="F12" s="44" t="inlineStr">
        <is>
          <t>Yes</t>
        </is>
      </c>
    </row>
    <row r="13" ht="17" customHeight="1">
      <c r="A13" s="43" t="inlineStr">
        <is>
          <t>Format</t>
        </is>
      </c>
      <c r="B13" s="45" t="inlineStr">
        <is>
          <t>Code of D0-11</t>
        </is>
      </c>
      <c r="C13" s="45" t="inlineStr">
        <is>
          <t>Digits</t>
        </is>
      </c>
      <c r="D13" s="45" t="inlineStr">
        <is>
          <t>Digits</t>
        </is>
      </c>
      <c r="E13" s="45" t="inlineStr">
        <is>
          <t>Digits</t>
        </is>
      </c>
      <c r="F13" s="45" t="inlineStr">
        <is>
          <t>dd-MMM-yyyy</t>
        </is>
      </c>
    </row>
    <row r="14" ht="43" customHeight="1">
      <c r="A14" s="43" t="inlineStr">
        <is>
          <t>Allowed values</t>
        </is>
      </c>
      <c r="B14" s="53" t="inlineStr">
        <is>
          <t>A code of D0-11 Company bank accounts, column Bank account code</t>
        </is>
      </c>
      <c r="C14" s="45" t="inlineStr">
        <is>
          <t>Free entry</t>
        </is>
      </c>
      <c r="D14" s="45" t="inlineStr">
        <is>
          <t>Free entry</t>
        </is>
      </c>
      <c r="E14" s="45" t="inlineStr">
        <is>
          <t>Free entry</t>
        </is>
      </c>
      <c r="F14" s="45" t="inlineStr">
        <is>
          <t>A date, for example 15-Jan-2028</t>
        </is>
      </c>
    </row>
    <row r="15" ht="30" customHeight="1">
      <c r="A15" s="43" t="inlineStr">
        <is>
          <t>What to enter</t>
        </is>
      </c>
      <c r="B15" s="45" t="inlineStr">
        <is>
          <t>Account of the check book</t>
        </is>
      </c>
      <c r="C15" s="45" t="inlineStr">
        <is>
          <t>First number of the book</t>
        </is>
      </c>
      <c r="D15" s="45" t="inlineStr">
        <is>
          <t>Last number of the book</t>
        </is>
      </c>
      <c r="E15" s="45" t="inlineStr">
        <is>
          <t>Next number to issue at go-live</t>
        </is>
      </c>
      <c r="F15" s="45" t="inlineStr">
        <is>
          <t>Date the book was received</t>
        </is>
      </c>
    </row>
    <row r="16" ht="30" customHeight="1">
      <c r="A16" s="46" t="inlineStr">
        <is>
          <t>Row</t>
        </is>
      </c>
      <c r="B16" s="47" t="inlineStr">
        <is>
          <t>Bank account code *</t>
        </is>
      </c>
      <c r="C16" s="47" t="inlineStr">
        <is>
          <t>First check number *</t>
        </is>
      </c>
      <c r="D16" s="47" t="inlineStr">
        <is>
          <t>Last check number *</t>
        </is>
      </c>
      <c r="E16" s="47" t="inlineStr">
        <is>
          <t>Next check number *</t>
        </is>
      </c>
      <c r="F16" s="47" t="inlineStr">
        <is>
          <t>Received on *</t>
        </is>
      </c>
    </row>
    <row r="17" ht="18" customHeight="1">
      <c r="A17" s="48" t="inlineStr">
        <is>
          <t>Example – overwrite or delete</t>
        </is>
      </c>
      <c r="B17" s="49" t="inlineStr">
        <is>
          <t>BDO-CA-001</t>
        </is>
      </c>
      <c r="C17" s="49" t="inlineStr">
        <is>
          <t>0001001</t>
        </is>
      </c>
      <c r="D17" s="49" t="inlineStr">
        <is>
          <t>0001100</t>
        </is>
      </c>
      <c r="E17" s="49" t="inlineStr">
        <is>
          <t>0001001</t>
        </is>
      </c>
      <c r="F17" s="50" t="n">
        <v>46722</v>
      </c>
    </row>
    <row r="18">
      <c r="B18" s="51" t="n"/>
      <c r="C18" s="51" t="n"/>
      <c r="D18" s="51" t="n"/>
      <c r="E18" s="51" t="n"/>
      <c r="F18" s="52" t="n"/>
    </row>
    <row r="19">
      <c r="B19" s="51" t="n"/>
      <c r="C19" s="51" t="n"/>
      <c r="D19" s="51" t="n"/>
      <c r="E19" s="51" t="n"/>
      <c r="F19" s="52" t="n"/>
    </row>
    <row r="20">
      <c r="B20" s="51" t="n"/>
      <c r="C20" s="51" t="n"/>
      <c r="D20" s="51" t="n"/>
      <c r="E20" s="51" t="n"/>
      <c r="F20" s="52" t="n"/>
    </row>
    <row r="21">
      <c r="B21" s="51" t="n"/>
      <c r="C21" s="51" t="n"/>
      <c r="D21" s="51" t="n"/>
      <c r="E21" s="51" t="n"/>
      <c r="F21" s="52" t="n"/>
    </row>
    <row r="22">
      <c r="B22" s="51" t="n"/>
      <c r="C22" s="51" t="n"/>
      <c r="D22" s="51" t="n"/>
      <c r="E22" s="51" t="n"/>
      <c r="F22" s="52" t="n"/>
    </row>
    <row r="23">
      <c r="B23" s="51" t="n"/>
      <c r="C23" s="51" t="n"/>
      <c r="D23" s="51" t="n"/>
      <c r="E23" s="51" t="n"/>
      <c r="F23" s="52" t="n"/>
    </row>
    <row r="24">
      <c r="B24" s="51" t="n"/>
      <c r="C24" s="51" t="n"/>
      <c r="D24" s="51" t="n"/>
      <c r="E24" s="51" t="n"/>
      <c r="F24" s="52" t="n"/>
    </row>
    <row r="25">
      <c r="B25" s="51" t="n"/>
      <c r="C25" s="51" t="n"/>
      <c r="D25" s="51" t="n"/>
      <c r="E25" s="51" t="n"/>
      <c r="F25" s="52" t="n"/>
    </row>
    <row r="26">
      <c r="B26" s="51" t="n"/>
      <c r="C26" s="51" t="n"/>
      <c r="D26" s="51" t="n"/>
      <c r="E26" s="51" t="n"/>
      <c r="F26" s="52" t="n"/>
    </row>
    <row r="27">
      <c r="B27" s="51" t="n"/>
      <c r="C27" s="51" t="n"/>
      <c r="D27" s="51" t="n"/>
      <c r="E27" s="51" t="n"/>
      <c r="F27" s="52" t="n"/>
    </row>
    <row r="28">
      <c r="B28" s="51" t="n"/>
      <c r="C28" s="51" t="n"/>
      <c r="D28" s="51" t="n"/>
      <c r="E28" s="51" t="n"/>
      <c r="F28" s="52" t="n"/>
    </row>
    <row r="29">
      <c r="B29" s="51" t="n"/>
      <c r="C29" s="51" t="n"/>
      <c r="D29" s="51" t="n"/>
      <c r="E29" s="51" t="n"/>
      <c r="F29" s="52" t="n"/>
    </row>
    <row r="30">
      <c r="B30" s="51" t="n"/>
      <c r="C30" s="51" t="n"/>
      <c r="D30" s="51" t="n"/>
      <c r="E30" s="51" t="n"/>
      <c r="F30" s="52" t="n"/>
    </row>
    <row r="31">
      <c r="B31" s="51" t="n"/>
      <c r="C31" s="51" t="n"/>
      <c r="D31" s="51" t="n"/>
      <c r="E31" s="51" t="n"/>
      <c r="F31" s="52" t="n"/>
    </row>
    <row r="32">
      <c r="B32" s="51" t="n"/>
      <c r="C32" s="51" t="n"/>
      <c r="D32" s="51" t="n"/>
      <c r="E32" s="51" t="n"/>
      <c r="F32" s="52" t="n"/>
    </row>
    <row r="33">
      <c r="B33" s="51" t="n"/>
      <c r="C33" s="51" t="n"/>
      <c r="D33" s="51" t="n"/>
      <c r="E33" s="51" t="n"/>
      <c r="F33" s="52" t="n"/>
    </row>
    <row r="34">
      <c r="B34" s="51" t="n"/>
      <c r="C34" s="51" t="n"/>
      <c r="D34" s="51" t="n"/>
      <c r="E34" s="51" t="n"/>
      <c r="F34" s="52" t="n"/>
    </row>
    <row r="35">
      <c r="B35" s="51" t="n"/>
      <c r="C35" s="51" t="n"/>
      <c r="D35" s="51" t="n"/>
      <c r="E35" s="51" t="n"/>
      <c r="F35" s="52" t="n"/>
    </row>
    <row r="36">
      <c r="B36" s="51" t="n"/>
      <c r="C36" s="51" t="n"/>
      <c r="D36" s="51" t="n"/>
      <c r="E36" s="51" t="n"/>
      <c r="F36" s="52" t="n"/>
    </row>
    <row r="37">
      <c r="B37" s="51" t="n"/>
      <c r="C37" s="51" t="n"/>
      <c r="D37" s="51" t="n"/>
      <c r="E37" s="51" t="n"/>
      <c r="F37" s="52" t="n"/>
    </row>
    <row r="38">
      <c r="B38" s="51" t="n"/>
      <c r="C38" s="51" t="n"/>
      <c r="D38" s="51" t="n"/>
      <c r="E38" s="51" t="n"/>
      <c r="F38" s="52" t="n"/>
    </row>
    <row r="39">
      <c r="B39" s="51" t="n"/>
      <c r="C39" s="51" t="n"/>
      <c r="D39" s="51" t="n"/>
      <c r="E39" s="51" t="n"/>
      <c r="F39" s="52" t="n"/>
    </row>
    <row r="40">
      <c r="B40" s="51" t="n"/>
      <c r="C40" s="51" t="n"/>
      <c r="D40" s="51" t="n"/>
      <c r="E40" s="51" t="n"/>
      <c r="F40" s="52" t="n"/>
    </row>
    <row r="41">
      <c r="B41" s="51" t="n"/>
      <c r="C41" s="51" t="n"/>
      <c r="D41" s="51" t="n"/>
      <c r="E41" s="51" t="n"/>
      <c r="F41" s="52" t="n"/>
    </row>
    <row r="42">
      <c r="B42" s="51" t="n"/>
      <c r="C42" s="51" t="n"/>
      <c r="D42" s="51" t="n"/>
      <c r="E42" s="51" t="n"/>
      <c r="F42" s="52" t="n"/>
    </row>
    <row r="43">
      <c r="B43" s="51" t="n"/>
      <c r="C43" s="51" t="n"/>
      <c r="D43" s="51" t="n"/>
      <c r="E43" s="51" t="n"/>
      <c r="F43" s="52" t="n"/>
    </row>
    <row r="44">
      <c r="B44" s="51" t="n"/>
      <c r="C44" s="51" t="n"/>
      <c r="D44" s="51" t="n"/>
      <c r="E44" s="51" t="n"/>
      <c r="F44" s="52" t="n"/>
    </row>
    <row r="45">
      <c r="B45" s="51" t="n"/>
      <c r="C45" s="51" t="n"/>
      <c r="D45" s="51" t="n"/>
      <c r="E45" s="51" t="n"/>
      <c r="F45" s="52" t="n"/>
    </row>
    <row r="46">
      <c r="B46" s="51" t="n"/>
      <c r="C46" s="51" t="n"/>
      <c r="D46" s="51" t="n"/>
      <c r="E46" s="51" t="n"/>
      <c r="F46" s="52" t="n"/>
    </row>
    <row r="47">
      <c r="B47" s="51" t="n"/>
      <c r="C47" s="51" t="n"/>
      <c r="D47" s="51" t="n"/>
      <c r="E47" s="51" t="n"/>
      <c r="F47" s="52" t="n"/>
    </row>
    <row r="48">
      <c r="B48" s="51" t="n"/>
      <c r="C48" s="51" t="n"/>
      <c r="D48" s="51" t="n"/>
      <c r="E48" s="51" t="n"/>
      <c r="F48" s="52" t="n"/>
    </row>
    <row r="49">
      <c r="B49" s="51" t="n"/>
      <c r="C49" s="51" t="n"/>
      <c r="D49" s="51" t="n"/>
      <c r="E49" s="51" t="n"/>
      <c r="F49" s="52" t="n"/>
    </row>
    <row r="50">
      <c r="B50" s="51" t="n"/>
      <c r="C50" s="51" t="n"/>
      <c r="D50" s="51" t="n"/>
      <c r="E50" s="51" t="n"/>
      <c r="F50" s="52" t="n"/>
    </row>
    <row r="51">
      <c r="B51" s="51" t="n"/>
      <c r="C51" s="51" t="n"/>
      <c r="D51" s="51" t="n"/>
      <c r="E51" s="51" t="n"/>
      <c r="F51" s="52" t="n"/>
    </row>
    <row r="52">
      <c r="B52" s="51" t="n"/>
      <c r="C52" s="51" t="n"/>
      <c r="D52" s="51" t="n"/>
      <c r="E52" s="51" t="n"/>
      <c r="F52" s="52" t="n"/>
    </row>
    <row r="53">
      <c r="B53" s="51" t="n"/>
      <c r="C53" s="51" t="n"/>
      <c r="D53" s="51" t="n"/>
      <c r="E53" s="51" t="n"/>
      <c r="F53" s="52" t="n"/>
    </row>
    <row r="54">
      <c r="B54" s="51" t="n"/>
      <c r="C54" s="51" t="n"/>
      <c r="D54" s="51" t="n"/>
      <c r="E54" s="51" t="n"/>
      <c r="F54" s="52" t="n"/>
    </row>
    <row r="55">
      <c r="B55" s="51" t="n"/>
      <c r="C55" s="51" t="n"/>
      <c r="D55" s="51" t="n"/>
      <c r="E55" s="51" t="n"/>
      <c r="F55" s="52" t="n"/>
    </row>
    <row r="56">
      <c r="B56" s="51" t="n"/>
      <c r="C56" s="51" t="n"/>
      <c r="D56" s="51" t="n"/>
      <c r="E56" s="51" t="n"/>
      <c r="F56" s="52" t="n"/>
    </row>
    <row r="57">
      <c r="B57" s="51" t="n"/>
      <c r="C57" s="51" t="n"/>
      <c r="D57" s="51" t="n"/>
      <c r="E57" s="51" t="n"/>
      <c r="F57" s="52" t="n"/>
    </row>
    <row r="58">
      <c r="B58" s="51" t="n"/>
      <c r="C58" s="51" t="n"/>
      <c r="D58" s="51" t="n"/>
      <c r="E58" s="51" t="n"/>
      <c r="F58" s="52" t="n"/>
    </row>
    <row r="59">
      <c r="B59" s="51" t="n"/>
      <c r="C59" s="51" t="n"/>
      <c r="D59" s="51" t="n"/>
      <c r="E59" s="51" t="n"/>
      <c r="F59" s="52" t="n"/>
    </row>
    <row r="60">
      <c r="B60" s="51" t="n"/>
      <c r="C60" s="51" t="n"/>
      <c r="D60" s="51" t="n"/>
      <c r="E60" s="51" t="n"/>
      <c r="F60" s="52" t="n"/>
    </row>
    <row r="61">
      <c r="B61" s="51" t="n"/>
      <c r="C61" s="51" t="n"/>
      <c r="D61" s="51" t="n"/>
      <c r="E61" s="51" t="n"/>
      <c r="F61" s="52" t="n"/>
    </row>
    <row r="62">
      <c r="B62" s="51" t="n"/>
      <c r="C62" s="51" t="n"/>
      <c r="D62" s="51" t="n"/>
      <c r="E62" s="51" t="n"/>
      <c r="F62" s="52" t="n"/>
    </row>
    <row r="63">
      <c r="B63" s="51" t="n"/>
      <c r="C63" s="51" t="n"/>
      <c r="D63" s="51" t="n"/>
      <c r="E63" s="51" t="n"/>
      <c r="F63" s="52" t="n"/>
    </row>
    <row r="64">
      <c r="B64" s="51" t="n"/>
      <c r="C64" s="51" t="n"/>
      <c r="D64" s="51" t="n"/>
      <c r="E64" s="51" t="n"/>
      <c r="F64" s="52" t="n"/>
    </row>
    <row r="65">
      <c r="B65" s="51" t="n"/>
      <c r="C65" s="51" t="n"/>
      <c r="D65" s="51" t="n"/>
      <c r="E65" s="51" t="n"/>
      <c r="F65" s="52" t="n"/>
    </row>
    <row r="66">
      <c r="B66" s="51" t="n"/>
      <c r="C66" s="51" t="n"/>
      <c r="D66" s="51" t="n"/>
      <c r="E66" s="51" t="n"/>
      <c r="F66" s="52" t="n"/>
    </row>
    <row r="67">
      <c r="B67" s="51" t="n"/>
      <c r="C67" s="51" t="n"/>
      <c r="D67" s="51" t="n"/>
      <c r="E67" s="51" t="n"/>
      <c r="F67" s="52" t="n"/>
    </row>
    <row r="68">
      <c r="B68" s="51" t="n"/>
      <c r="C68" s="51" t="n"/>
      <c r="D68" s="51" t="n"/>
      <c r="E68" s="51" t="n"/>
      <c r="F68" s="52" t="n"/>
    </row>
    <row r="69">
      <c r="B69" s="51" t="n"/>
      <c r="C69" s="51" t="n"/>
      <c r="D69" s="51" t="n"/>
      <c r="E69" s="51" t="n"/>
      <c r="F69" s="52" t="n"/>
    </row>
    <row r="70">
      <c r="B70" s="51" t="n"/>
      <c r="C70" s="51" t="n"/>
      <c r="D70" s="51" t="n"/>
      <c r="E70" s="51" t="n"/>
      <c r="F70" s="52" t="n"/>
    </row>
    <row r="71">
      <c r="B71" s="51" t="n"/>
      <c r="C71" s="51" t="n"/>
      <c r="D71" s="51" t="n"/>
      <c r="E71" s="51" t="n"/>
      <c r="F71" s="52" t="n"/>
    </row>
    <row r="72">
      <c r="B72" s="51" t="n"/>
      <c r="C72" s="51" t="n"/>
      <c r="D72" s="51" t="n"/>
      <c r="E72" s="51" t="n"/>
      <c r="F72" s="52" t="n"/>
    </row>
    <row r="73">
      <c r="B73" s="51" t="n"/>
      <c r="C73" s="51" t="n"/>
      <c r="D73" s="51" t="n"/>
      <c r="E73" s="51" t="n"/>
      <c r="F73" s="52" t="n"/>
    </row>
    <row r="74">
      <c r="B74" s="51" t="n"/>
      <c r="C74" s="51" t="n"/>
      <c r="D74" s="51" t="n"/>
      <c r="E74" s="51" t="n"/>
      <c r="F74" s="52" t="n"/>
    </row>
    <row r="75">
      <c r="B75" s="51" t="n"/>
      <c r="C75" s="51" t="n"/>
      <c r="D75" s="51" t="n"/>
      <c r="E75" s="51" t="n"/>
      <c r="F75" s="52" t="n"/>
    </row>
    <row r="76">
      <c r="B76" s="51" t="n"/>
      <c r="C76" s="51" t="n"/>
      <c r="D76" s="51" t="n"/>
      <c r="E76" s="51" t="n"/>
      <c r="F76" s="52" t="n"/>
    </row>
    <row r="77">
      <c r="B77" s="51" t="n"/>
      <c r="C77" s="51" t="n"/>
      <c r="D77" s="51" t="n"/>
      <c r="E77" s="51" t="n"/>
      <c r="F77" s="52" t="n"/>
    </row>
    <row r="78">
      <c r="B78" s="51" t="n"/>
      <c r="C78" s="51" t="n"/>
      <c r="D78" s="51" t="n"/>
      <c r="E78" s="51" t="n"/>
      <c r="F78" s="52" t="n"/>
    </row>
    <row r="79">
      <c r="B79" s="51" t="n"/>
      <c r="C79" s="51" t="n"/>
      <c r="D79" s="51" t="n"/>
      <c r="E79" s="51" t="n"/>
      <c r="F79" s="52" t="n"/>
    </row>
    <row r="80">
      <c r="B80" s="51" t="n"/>
      <c r="C80" s="51" t="n"/>
      <c r="D80" s="51" t="n"/>
      <c r="E80" s="51" t="n"/>
      <c r="F80" s="52" t="n"/>
    </row>
    <row r="81">
      <c r="B81" s="51" t="n"/>
      <c r="C81" s="51" t="n"/>
      <c r="D81" s="51" t="n"/>
      <c r="E81" s="51" t="n"/>
      <c r="F81" s="52" t="n"/>
    </row>
    <row r="82">
      <c r="B82" s="51" t="n"/>
      <c r="C82" s="51" t="n"/>
      <c r="D82" s="51" t="n"/>
      <c r="E82" s="51" t="n"/>
      <c r="F82" s="52" t="n"/>
    </row>
    <row r="83">
      <c r="B83" s="51" t="n"/>
      <c r="C83" s="51" t="n"/>
      <c r="D83" s="51" t="n"/>
      <c r="E83" s="51" t="n"/>
      <c r="F83" s="52" t="n"/>
    </row>
    <row r="84">
      <c r="B84" s="51" t="n"/>
      <c r="C84" s="51" t="n"/>
      <c r="D84" s="51" t="n"/>
      <c r="E84" s="51" t="n"/>
      <c r="F84" s="52" t="n"/>
    </row>
    <row r="85">
      <c r="B85" s="51" t="n"/>
      <c r="C85" s="51" t="n"/>
      <c r="D85" s="51" t="n"/>
      <c r="E85" s="51" t="n"/>
      <c r="F85" s="52" t="n"/>
    </row>
    <row r="86">
      <c r="B86" s="51" t="n"/>
      <c r="C86" s="51" t="n"/>
      <c r="D86" s="51" t="n"/>
      <c r="E86" s="51" t="n"/>
      <c r="F86" s="52" t="n"/>
    </row>
    <row r="87">
      <c r="B87" s="51" t="n"/>
      <c r="C87" s="51" t="n"/>
      <c r="D87" s="51" t="n"/>
      <c r="E87" s="51" t="n"/>
      <c r="F87" s="52" t="n"/>
    </row>
    <row r="88">
      <c r="B88" s="51" t="n"/>
      <c r="C88" s="51" t="n"/>
      <c r="D88" s="51" t="n"/>
      <c r="E88" s="51" t="n"/>
      <c r="F88" s="52" t="n"/>
    </row>
    <row r="89">
      <c r="B89" s="51" t="n"/>
      <c r="C89" s="51" t="n"/>
      <c r="D89" s="51" t="n"/>
      <c r="E89" s="51" t="n"/>
      <c r="F89" s="52" t="n"/>
    </row>
    <row r="90">
      <c r="B90" s="51" t="n"/>
      <c r="C90" s="51" t="n"/>
      <c r="D90" s="51" t="n"/>
      <c r="E90" s="51" t="n"/>
      <c r="F90" s="52" t="n"/>
    </row>
    <row r="91">
      <c r="B91" s="51" t="n"/>
      <c r="C91" s="51" t="n"/>
      <c r="D91" s="51" t="n"/>
      <c r="E91" s="51" t="n"/>
      <c r="F91" s="52" t="n"/>
    </row>
    <row r="92">
      <c r="B92" s="51" t="n"/>
      <c r="C92" s="51" t="n"/>
      <c r="D92" s="51" t="n"/>
      <c r="E92" s="51" t="n"/>
      <c r="F92" s="52" t="n"/>
    </row>
    <row r="93">
      <c r="B93" s="51" t="n"/>
      <c r="C93" s="51" t="n"/>
      <c r="D93" s="51" t="n"/>
      <c r="E93" s="51" t="n"/>
      <c r="F93" s="52" t="n"/>
    </row>
    <row r="94">
      <c r="B94" s="51" t="n"/>
      <c r="C94" s="51" t="n"/>
      <c r="D94" s="51" t="n"/>
      <c r="E94" s="51" t="n"/>
      <c r="F94" s="52" t="n"/>
    </row>
    <row r="95">
      <c r="B95" s="51" t="n"/>
      <c r="C95" s="51" t="n"/>
      <c r="D95" s="51" t="n"/>
      <c r="E95" s="51" t="n"/>
      <c r="F95" s="52" t="n"/>
    </row>
    <row r="96">
      <c r="B96" s="51" t="n"/>
      <c r="C96" s="51" t="n"/>
      <c r="D96" s="51" t="n"/>
      <c r="E96" s="51" t="n"/>
      <c r="F96" s="52" t="n"/>
    </row>
    <row r="97">
      <c r="B97" s="51" t="n"/>
      <c r="C97" s="51" t="n"/>
      <c r="D97" s="51" t="n"/>
      <c r="E97" s="51" t="n"/>
      <c r="F97" s="52" t="n"/>
    </row>
    <row r="98">
      <c r="B98" s="51" t="n"/>
      <c r="C98" s="51" t="n"/>
      <c r="D98" s="51" t="n"/>
      <c r="E98" s="51" t="n"/>
      <c r="F98" s="52" t="n"/>
    </row>
    <row r="99">
      <c r="B99" s="51" t="n"/>
      <c r="C99" s="51" t="n"/>
      <c r="D99" s="51" t="n"/>
      <c r="E99" s="51" t="n"/>
      <c r="F99" s="52" t="n"/>
    </row>
    <row r="100">
      <c r="B100" s="51" t="n"/>
      <c r="C100" s="51" t="n"/>
      <c r="D100" s="51" t="n"/>
      <c r="E100" s="51" t="n"/>
      <c r="F100" s="52" t="n"/>
    </row>
    <row r="101">
      <c r="B101" s="51" t="n"/>
      <c r="C101" s="51" t="n"/>
      <c r="D101" s="51" t="n"/>
      <c r="E101" s="51" t="n"/>
      <c r="F101" s="52" t="n"/>
    </row>
    <row r="102">
      <c r="B102" s="51" t="n"/>
      <c r="C102" s="51" t="n"/>
      <c r="D102" s="51" t="n"/>
      <c r="E102" s="51" t="n"/>
      <c r="F102" s="52" t="n"/>
    </row>
    <row r="103">
      <c r="B103" s="51" t="n"/>
      <c r="C103" s="51" t="n"/>
      <c r="D103" s="51" t="n"/>
      <c r="E103" s="51" t="n"/>
      <c r="F103" s="52" t="n"/>
    </row>
    <row r="104">
      <c r="B104" s="51" t="n"/>
      <c r="C104" s="51" t="n"/>
      <c r="D104" s="51" t="n"/>
      <c r="E104" s="51" t="n"/>
      <c r="F104" s="52" t="n"/>
    </row>
    <row r="105">
      <c r="B105" s="51" t="n"/>
      <c r="C105" s="51" t="n"/>
      <c r="D105" s="51" t="n"/>
      <c r="E105" s="51" t="n"/>
      <c r="F105" s="52" t="n"/>
    </row>
    <row r="106">
      <c r="B106" s="51" t="n"/>
      <c r="C106" s="51" t="n"/>
      <c r="D106" s="51" t="n"/>
      <c r="E106" s="51" t="n"/>
      <c r="F106" s="52" t="n"/>
    </row>
    <row r="107">
      <c r="B107" s="51" t="n"/>
      <c r="C107" s="51" t="n"/>
      <c r="D107" s="51" t="n"/>
      <c r="E107" s="51" t="n"/>
      <c r="F107" s="52" t="n"/>
    </row>
    <row r="108">
      <c r="B108" s="51" t="n"/>
      <c r="C108" s="51" t="n"/>
      <c r="D108" s="51" t="n"/>
      <c r="E108" s="51" t="n"/>
      <c r="F108" s="52" t="n"/>
    </row>
    <row r="109">
      <c r="B109" s="51" t="n"/>
      <c r="C109" s="51" t="n"/>
      <c r="D109" s="51" t="n"/>
      <c r="E109" s="51" t="n"/>
      <c r="F109" s="52" t="n"/>
    </row>
    <row r="110">
      <c r="B110" s="51" t="n"/>
      <c r="C110" s="51" t="n"/>
      <c r="D110" s="51" t="n"/>
      <c r="E110" s="51" t="n"/>
      <c r="F110" s="52" t="n"/>
    </row>
    <row r="111">
      <c r="B111" s="51" t="n"/>
      <c r="C111" s="51" t="n"/>
      <c r="D111" s="51" t="n"/>
      <c r="E111" s="51" t="n"/>
      <c r="F111" s="52" t="n"/>
    </row>
    <row r="112">
      <c r="B112" s="51" t="n"/>
      <c r="C112" s="51" t="n"/>
      <c r="D112" s="51" t="n"/>
      <c r="E112" s="51" t="n"/>
      <c r="F112" s="52" t="n"/>
    </row>
    <row r="113">
      <c r="B113" s="51" t="n"/>
      <c r="C113" s="51" t="n"/>
      <c r="D113" s="51" t="n"/>
      <c r="E113" s="51" t="n"/>
      <c r="F113" s="52" t="n"/>
    </row>
    <row r="114">
      <c r="B114" s="51" t="n"/>
      <c r="C114" s="51" t="n"/>
      <c r="D114" s="51" t="n"/>
      <c r="E114" s="51" t="n"/>
      <c r="F114" s="52" t="n"/>
    </row>
    <row r="115">
      <c r="B115" s="51" t="n"/>
      <c r="C115" s="51" t="n"/>
      <c r="D115" s="51" t="n"/>
      <c r="E115" s="51" t="n"/>
      <c r="F115" s="52" t="n"/>
    </row>
    <row r="116">
      <c r="B116" s="51" t="n"/>
      <c r="C116" s="51" t="n"/>
      <c r="D116" s="51" t="n"/>
      <c r="E116" s="51" t="n"/>
      <c r="F116" s="52" t="n"/>
    </row>
    <row r="117">
      <c r="B117" s="51" t="n"/>
      <c r="C117" s="51" t="n"/>
      <c r="D117" s="51" t="n"/>
      <c r="E117" s="51" t="n"/>
      <c r="F117" s="52" t="n"/>
    </row>
    <row r="118">
      <c r="B118" s="51" t="n"/>
      <c r="C118" s="51" t="n"/>
      <c r="D118" s="51" t="n"/>
      <c r="E118" s="51" t="n"/>
      <c r="F118" s="52" t="n"/>
    </row>
    <row r="119">
      <c r="B119" s="51" t="n"/>
      <c r="C119" s="51" t="n"/>
      <c r="D119" s="51" t="n"/>
      <c r="E119" s="51" t="n"/>
      <c r="F119" s="52" t="n"/>
    </row>
    <row r="120">
      <c r="B120" s="51" t="n"/>
      <c r="C120" s="51" t="n"/>
      <c r="D120" s="51" t="n"/>
      <c r="E120" s="51" t="n"/>
      <c r="F120" s="52" t="n"/>
    </row>
    <row r="121">
      <c r="B121" s="51" t="n"/>
      <c r="C121" s="51" t="n"/>
      <c r="D121" s="51" t="n"/>
      <c r="E121" s="51" t="n"/>
      <c r="F121" s="52" t="n"/>
    </row>
    <row r="122">
      <c r="B122" s="51" t="n"/>
      <c r="C122" s="51" t="n"/>
      <c r="D122" s="51" t="n"/>
      <c r="E122" s="51" t="n"/>
      <c r="F122" s="52" t="n"/>
    </row>
    <row r="123">
      <c r="B123" s="51" t="n"/>
      <c r="C123" s="51" t="n"/>
      <c r="D123" s="51" t="n"/>
      <c r="E123" s="51" t="n"/>
      <c r="F123" s="52" t="n"/>
    </row>
    <row r="124">
      <c r="B124" s="51" t="n"/>
      <c r="C124" s="51" t="n"/>
      <c r="D124" s="51" t="n"/>
      <c r="E124" s="51" t="n"/>
      <c r="F124" s="52" t="n"/>
    </row>
    <row r="125">
      <c r="B125" s="51" t="n"/>
      <c r="C125" s="51" t="n"/>
      <c r="D125" s="51" t="n"/>
      <c r="E125" s="51" t="n"/>
      <c r="F125" s="52" t="n"/>
    </row>
    <row r="126">
      <c r="B126" s="51" t="n"/>
      <c r="C126" s="51" t="n"/>
      <c r="D126" s="51" t="n"/>
      <c r="E126" s="51" t="n"/>
      <c r="F126" s="52" t="n"/>
    </row>
    <row r="127">
      <c r="B127" s="51" t="n"/>
      <c r="C127" s="51" t="n"/>
      <c r="D127" s="51" t="n"/>
      <c r="E127" s="51" t="n"/>
      <c r="F127" s="52" t="n"/>
    </row>
    <row r="128">
      <c r="B128" s="51" t="n"/>
      <c r="C128" s="51" t="n"/>
      <c r="D128" s="51" t="n"/>
      <c r="E128" s="51" t="n"/>
      <c r="F128" s="52" t="n"/>
    </row>
    <row r="129">
      <c r="B129" s="51" t="n"/>
      <c r="C129" s="51" t="n"/>
      <c r="D129" s="51" t="n"/>
      <c r="E129" s="51" t="n"/>
      <c r="F129" s="52" t="n"/>
    </row>
    <row r="130">
      <c r="B130" s="51" t="n"/>
      <c r="C130" s="51" t="n"/>
      <c r="D130" s="51" t="n"/>
      <c r="E130" s="51" t="n"/>
      <c r="F130" s="52" t="n"/>
    </row>
    <row r="131">
      <c r="B131" s="51" t="n"/>
      <c r="C131" s="51" t="n"/>
      <c r="D131" s="51" t="n"/>
      <c r="E131" s="51" t="n"/>
      <c r="F131" s="52" t="n"/>
    </row>
    <row r="132">
      <c r="B132" s="51" t="n"/>
      <c r="C132" s="51" t="n"/>
      <c r="D132" s="51" t="n"/>
      <c r="E132" s="51" t="n"/>
      <c r="F132" s="52" t="n"/>
    </row>
    <row r="133">
      <c r="B133" s="51" t="n"/>
      <c r="C133" s="51" t="n"/>
      <c r="D133" s="51" t="n"/>
      <c r="E133" s="51" t="n"/>
      <c r="F133" s="52" t="n"/>
    </row>
    <row r="134">
      <c r="B134" s="51" t="n"/>
      <c r="C134" s="51" t="n"/>
      <c r="D134" s="51" t="n"/>
      <c r="E134" s="51" t="n"/>
      <c r="F134" s="52" t="n"/>
    </row>
    <row r="135">
      <c r="B135" s="51" t="n"/>
      <c r="C135" s="51" t="n"/>
      <c r="D135" s="51" t="n"/>
      <c r="E135" s="51" t="n"/>
      <c r="F135" s="52" t="n"/>
    </row>
    <row r="136">
      <c r="B136" s="51" t="n"/>
      <c r="C136" s="51" t="n"/>
      <c r="D136" s="51" t="n"/>
      <c r="E136" s="51" t="n"/>
      <c r="F136" s="52" t="n"/>
    </row>
    <row r="137">
      <c r="B137" s="51" t="n"/>
      <c r="C137" s="51" t="n"/>
      <c r="D137" s="51" t="n"/>
      <c r="E137" s="51" t="n"/>
      <c r="F137" s="52" t="n"/>
    </row>
    <row r="138">
      <c r="B138" s="51" t="n"/>
      <c r="C138" s="51" t="n"/>
      <c r="D138" s="51" t="n"/>
      <c r="E138" s="51" t="n"/>
      <c r="F138" s="52" t="n"/>
    </row>
    <row r="139">
      <c r="B139" s="51" t="n"/>
      <c r="C139" s="51" t="n"/>
      <c r="D139" s="51" t="n"/>
      <c r="E139" s="51" t="n"/>
      <c r="F139" s="52" t="n"/>
    </row>
    <row r="140">
      <c r="B140" s="51" t="n"/>
      <c r="C140" s="51" t="n"/>
      <c r="D140" s="51" t="n"/>
      <c r="E140" s="51" t="n"/>
      <c r="F140" s="52" t="n"/>
    </row>
    <row r="141">
      <c r="B141" s="51" t="n"/>
      <c r="C141" s="51" t="n"/>
      <c r="D141" s="51" t="n"/>
      <c r="E141" s="51" t="n"/>
      <c r="F141" s="52" t="n"/>
    </row>
    <row r="142">
      <c r="B142" s="51" t="n"/>
      <c r="C142" s="51" t="n"/>
      <c r="D142" s="51" t="n"/>
      <c r="E142" s="51" t="n"/>
      <c r="F142" s="52" t="n"/>
    </row>
    <row r="143">
      <c r="B143" s="51" t="n"/>
      <c r="C143" s="51" t="n"/>
      <c r="D143" s="51" t="n"/>
      <c r="E143" s="51" t="n"/>
      <c r="F143" s="52" t="n"/>
    </row>
    <row r="144">
      <c r="B144" s="51" t="n"/>
      <c r="C144" s="51" t="n"/>
      <c r="D144" s="51" t="n"/>
      <c r="E144" s="51" t="n"/>
      <c r="F144" s="52" t="n"/>
    </row>
    <row r="145">
      <c r="B145" s="51" t="n"/>
      <c r="C145" s="51" t="n"/>
      <c r="D145" s="51" t="n"/>
      <c r="E145" s="51" t="n"/>
      <c r="F145" s="52" t="n"/>
    </row>
    <row r="146">
      <c r="B146" s="51" t="n"/>
      <c r="C146" s="51" t="n"/>
      <c r="D146" s="51" t="n"/>
      <c r="E146" s="51" t="n"/>
      <c r="F146" s="52" t="n"/>
    </row>
    <row r="147">
      <c r="B147" s="51" t="n"/>
      <c r="C147" s="51" t="n"/>
      <c r="D147" s="51" t="n"/>
      <c r="E147" s="51" t="n"/>
      <c r="F147" s="52" t="n"/>
    </row>
    <row r="148">
      <c r="B148" s="51" t="n"/>
      <c r="C148" s="51" t="n"/>
      <c r="D148" s="51" t="n"/>
      <c r="E148" s="51" t="n"/>
      <c r="F148" s="52" t="n"/>
    </row>
    <row r="149">
      <c r="B149" s="51" t="n"/>
      <c r="C149" s="51" t="n"/>
      <c r="D149" s="51" t="n"/>
      <c r="E149" s="51" t="n"/>
      <c r="F149" s="52" t="n"/>
    </row>
    <row r="150">
      <c r="B150" s="51" t="n"/>
      <c r="C150" s="51" t="n"/>
      <c r="D150" s="51" t="n"/>
      <c r="E150" s="51" t="n"/>
      <c r="F150" s="52" t="n"/>
    </row>
    <row r="151">
      <c r="B151" s="51" t="n"/>
      <c r="C151" s="51" t="n"/>
      <c r="D151" s="51" t="n"/>
      <c r="E151" s="51" t="n"/>
      <c r="F151" s="52" t="n"/>
    </row>
    <row r="152">
      <c r="B152" s="51" t="n"/>
      <c r="C152" s="51" t="n"/>
      <c r="D152" s="51" t="n"/>
      <c r="E152" s="51" t="n"/>
      <c r="F152" s="52" t="n"/>
    </row>
    <row r="153">
      <c r="B153" s="51" t="n"/>
      <c r="C153" s="51" t="n"/>
      <c r="D153" s="51" t="n"/>
      <c r="E153" s="51" t="n"/>
      <c r="F153" s="52" t="n"/>
    </row>
    <row r="154">
      <c r="B154" s="51" t="n"/>
      <c r="C154" s="51" t="n"/>
      <c r="D154" s="51" t="n"/>
      <c r="E154" s="51" t="n"/>
      <c r="F154" s="52" t="n"/>
    </row>
    <row r="155">
      <c r="B155" s="51" t="n"/>
      <c r="C155" s="51" t="n"/>
      <c r="D155" s="51" t="n"/>
      <c r="E155" s="51" t="n"/>
      <c r="F155" s="52" t="n"/>
    </row>
    <row r="156">
      <c r="B156" s="51" t="n"/>
      <c r="C156" s="51" t="n"/>
      <c r="D156" s="51" t="n"/>
      <c r="E156" s="51" t="n"/>
      <c r="F156" s="52" t="n"/>
    </row>
    <row r="157">
      <c r="B157" s="51" t="n"/>
      <c r="C157" s="51" t="n"/>
      <c r="D157" s="51" t="n"/>
      <c r="E157" s="51" t="n"/>
      <c r="F157" s="52" t="n"/>
    </row>
    <row r="158">
      <c r="B158" s="51" t="n"/>
      <c r="C158" s="51" t="n"/>
      <c r="D158" s="51" t="n"/>
      <c r="E158" s="51" t="n"/>
      <c r="F158" s="52" t="n"/>
    </row>
    <row r="159">
      <c r="B159" s="51" t="n"/>
      <c r="C159" s="51" t="n"/>
      <c r="D159" s="51" t="n"/>
      <c r="E159" s="51" t="n"/>
      <c r="F159" s="52" t="n"/>
    </row>
    <row r="160">
      <c r="B160" s="51" t="n"/>
      <c r="C160" s="51" t="n"/>
      <c r="D160" s="51" t="n"/>
      <c r="E160" s="51" t="n"/>
      <c r="F160" s="52" t="n"/>
    </row>
    <row r="161">
      <c r="B161" s="51" t="n"/>
      <c r="C161" s="51" t="n"/>
      <c r="D161" s="51" t="n"/>
      <c r="E161" s="51" t="n"/>
      <c r="F161" s="52" t="n"/>
    </row>
    <row r="162">
      <c r="B162" s="51" t="n"/>
      <c r="C162" s="51" t="n"/>
      <c r="D162" s="51" t="n"/>
      <c r="E162" s="51" t="n"/>
      <c r="F162" s="52" t="n"/>
    </row>
    <row r="163">
      <c r="B163" s="51" t="n"/>
      <c r="C163" s="51" t="n"/>
      <c r="D163" s="51" t="n"/>
      <c r="E163" s="51" t="n"/>
      <c r="F163" s="52" t="n"/>
    </row>
    <row r="164">
      <c r="B164" s="51" t="n"/>
      <c r="C164" s="51" t="n"/>
      <c r="D164" s="51" t="n"/>
      <c r="E164" s="51" t="n"/>
      <c r="F164" s="52" t="n"/>
    </row>
    <row r="165">
      <c r="B165" s="51" t="n"/>
      <c r="C165" s="51" t="n"/>
      <c r="D165" s="51" t="n"/>
      <c r="E165" s="51" t="n"/>
      <c r="F165" s="52" t="n"/>
    </row>
    <row r="166">
      <c r="B166" s="51" t="n"/>
      <c r="C166" s="51" t="n"/>
      <c r="D166" s="51" t="n"/>
      <c r="E166" s="51" t="n"/>
      <c r="F166" s="52" t="n"/>
    </row>
    <row r="167">
      <c r="B167" s="51" t="n"/>
      <c r="C167" s="51" t="n"/>
      <c r="D167" s="51" t="n"/>
      <c r="E167" s="51" t="n"/>
      <c r="F167" s="52" t="n"/>
    </row>
    <row r="168">
      <c r="B168" s="51" t="n"/>
      <c r="C168" s="51" t="n"/>
      <c r="D168" s="51" t="n"/>
      <c r="E168" s="51" t="n"/>
      <c r="F168" s="52" t="n"/>
    </row>
    <row r="169">
      <c r="B169" s="51" t="n"/>
      <c r="C169" s="51" t="n"/>
      <c r="D169" s="51" t="n"/>
      <c r="E169" s="51" t="n"/>
      <c r="F169" s="52" t="n"/>
    </row>
    <row r="170">
      <c r="B170" s="51" t="n"/>
      <c r="C170" s="51" t="n"/>
      <c r="D170" s="51" t="n"/>
      <c r="E170" s="51" t="n"/>
      <c r="F170" s="52" t="n"/>
    </row>
    <row r="171">
      <c r="B171" s="51" t="n"/>
      <c r="C171" s="51" t="n"/>
      <c r="D171" s="51" t="n"/>
      <c r="E171" s="51" t="n"/>
      <c r="F171" s="52" t="n"/>
    </row>
    <row r="172">
      <c r="B172" s="51" t="n"/>
      <c r="C172" s="51" t="n"/>
      <c r="D172" s="51" t="n"/>
      <c r="E172" s="51" t="n"/>
      <c r="F172" s="52" t="n"/>
    </row>
    <row r="173">
      <c r="B173" s="51" t="n"/>
      <c r="C173" s="51" t="n"/>
      <c r="D173" s="51" t="n"/>
      <c r="E173" s="51" t="n"/>
      <c r="F173" s="52" t="n"/>
    </row>
    <row r="174">
      <c r="B174" s="51" t="n"/>
      <c r="C174" s="51" t="n"/>
      <c r="D174" s="51" t="n"/>
      <c r="E174" s="51" t="n"/>
      <c r="F174" s="52" t="n"/>
    </row>
    <row r="175">
      <c r="B175" s="51" t="n"/>
      <c r="C175" s="51" t="n"/>
      <c r="D175" s="51" t="n"/>
      <c r="E175" s="51" t="n"/>
      <c r="F175" s="52" t="n"/>
    </row>
    <row r="176">
      <c r="B176" s="51" t="n"/>
      <c r="C176" s="51" t="n"/>
      <c r="D176" s="51" t="n"/>
      <c r="E176" s="51" t="n"/>
      <c r="F176" s="52" t="n"/>
    </row>
    <row r="177">
      <c r="B177" s="51" t="n"/>
      <c r="C177" s="51" t="n"/>
      <c r="D177" s="51" t="n"/>
      <c r="E177" s="51" t="n"/>
      <c r="F177" s="52" t="n"/>
    </row>
    <row r="178">
      <c r="B178" s="51" t="n"/>
      <c r="C178" s="51" t="n"/>
      <c r="D178" s="51" t="n"/>
      <c r="E178" s="51" t="n"/>
      <c r="F178" s="52" t="n"/>
    </row>
    <row r="179">
      <c r="B179" s="51" t="n"/>
      <c r="C179" s="51" t="n"/>
      <c r="D179" s="51" t="n"/>
      <c r="E179" s="51" t="n"/>
      <c r="F179" s="52" t="n"/>
    </row>
    <row r="180">
      <c r="B180" s="51" t="n"/>
      <c r="C180" s="51" t="n"/>
      <c r="D180" s="51" t="n"/>
      <c r="E180" s="51" t="n"/>
      <c r="F180" s="52" t="n"/>
    </row>
    <row r="181">
      <c r="B181" s="51" t="n"/>
      <c r="C181" s="51" t="n"/>
      <c r="D181" s="51" t="n"/>
      <c r="E181" s="51" t="n"/>
      <c r="F181" s="52" t="n"/>
    </row>
    <row r="182">
      <c r="B182" s="51" t="n"/>
      <c r="C182" s="51" t="n"/>
      <c r="D182" s="51" t="n"/>
      <c r="E182" s="51" t="n"/>
      <c r="F182" s="52" t="n"/>
    </row>
    <row r="183">
      <c r="B183" s="51" t="n"/>
      <c r="C183" s="51" t="n"/>
      <c r="D183" s="51" t="n"/>
      <c r="E183" s="51" t="n"/>
      <c r="F183" s="52" t="n"/>
    </row>
    <row r="184">
      <c r="B184" s="51" t="n"/>
      <c r="C184" s="51" t="n"/>
      <c r="D184" s="51" t="n"/>
      <c r="E184" s="51" t="n"/>
      <c r="F184" s="52" t="n"/>
    </row>
    <row r="185">
      <c r="B185" s="51" t="n"/>
      <c r="C185" s="51" t="n"/>
      <c r="D185" s="51" t="n"/>
      <c r="E185" s="51" t="n"/>
      <c r="F185" s="52" t="n"/>
    </row>
    <row r="186">
      <c r="B186" s="51" t="n"/>
      <c r="C186" s="51" t="n"/>
      <c r="D186" s="51" t="n"/>
      <c r="E186" s="51" t="n"/>
      <c r="F186" s="52" t="n"/>
    </row>
    <row r="187">
      <c r="B187" s="51" t="n"/>
      <c r="C187" s="51" t="n"/>
      <c r="D187" s="51" t="n"/>
      <c r="E187" s="51" t="n"/>
      <c r="F187" s="52" t="n"/>
    </row>
    <row r="188">
      <c r="B188" s="51" t="n"/>
      <c r="C188" s="51" t="n"/>
      <c r="D188" s="51" t="n"/>
      <c r="E188" s="51" t="n"/>
      <c r="F188" s="52" t="n"/>
    </row>
    <row r="189">
      <c r="B189" s="51" t="n"/>
      <c r="C189" s="51" t="n"/>
      <c r="D189" s="51" t="n"/>
      <c r="E189" s="51" t="n"/>
      <c r="F189" s="52" t="n"/>
    </row>
    <row r="190">
      <c r="B190" s="51" t="n"/>
      <c r="C190" s="51" t="n"/>
      <c r="D190" s="51" t="n"/>
      <c r="E190" s="51" t="n"/>
      <c r="F190" s="52" t="n"/>
    </row>
    <row r="191">
      <c r="B191" s="51" t="n"/>
      <c r="C191" s="51" t="n"/>
      <c r="D191" s="51" t="n"/>
      <c r="E191" s="51" t="n"/>
      <c r="F191" s="52" t="n"/>
    </row>
    <row r="192">
      <c r="B192" s="51" t="n"/>
      <c r="C192" s="51" t="n"/>
      <c r="D192" s="51" t="n"/>
      <c r="E192" s="51" t="n"/>
      <c r="F192" s="52" t="n"/>
    </row>
    <row r="193">
      <c r="B193" s="51" t="n"/>
      <c r="C193" s="51" t="n"/>
      <c r="D193" s="51" t="n"/>
      <c r="E193" s="51" t="n"/>
      <c r="F193" s="52" t="n"/>
    </row>
    <row r="194">
      <c r="B194" s="51" t="n"/>
      <c r="C194" s="51" t="n"/>
      <c r="D194" s="51" t="n"/>
      <c r="E194" s="51" t="n"/>
      <c r="F194" s="52" t="n"/>
    </row>
    <row r="195">
      <c r="B195" s="51" t="n"/>
      <c r="C195" s="51" t="n"/>
      <c r="D195" s="51" t="n"/>
      <c r="E195" s="51" t="n"/>
      <c r="F195" s="52" t="n"/>
    </row>
    <row r="196">
      <c r="B196" s="51" t="n"/>
      <c r="C196" s="51" t="n"/>
      <c r="D196" s="51" t="n"/>
      <c r="E196" s="51" t="n"/>
      <c r="F196" s="52" t="n"/>
    </row>
    <row r="197">
      <c r="B197" s="51" t="n"/>
      <c r="C197" s="51" t="n"/>
      <c r="D197" s="51" t="n"/>
      <c r="E197" s="51" t="n"/>
      <c r="F197" s="52" t="n"/>
    </row>
    <row r="198">
      <c r="B198" s="51" t="n"/>
      <c r="C198" s="51" t="n"/>
      <c r="D198" s="51" t="n"/>
      <c r="E198" s="51" t="n"/>
      <c r="F198" s="52" t="n"/>
    </row>
    <row r="199">
      <c r="B199" s="51" t="n"/>
      <c r="C199" s="51" t="n"/>
      <c r="D199" s="51" t="n"/>
      <c r="E199" s="51" t="n"/>
      <c r="F199" s="52" t="n"/>
    </row>
    <row r="200">
      <c r="B200" s="51" t="n"/>
      <c r="C200" s="51" t="n"/>
      <c r="D200" s="51" t="n"/>
      <c r="E200" s="51" t="n"/>
      <c r="F200" s="52" t="n"/>
    </row>
    <row r="201">
      <c r="B201" s="51" t="n"/>
      <c r="C201" s="51" t="n"/>
      <c r="D201" s="51" t="n"/>
      <c r="E201" s="51" t="n"/>
      <c r="F201" s="52" t="n"/>
    </row>
    <row r="202">
      <c r="B202" s="51" t="n"/>
      <c r="C202" s="51" t="n"/>
      <c r="D202" s="51" t="n"/>
      <c r="E202" s="51" t="n"/>
      <c r="F202" s="52" t="n"/>
    </row>
    <row r="203">
      <c r="B203" s="51" t="n"/>
      <c r="C203" s="51" t="n"/>
      <c r="D203" s="51" t="n"/>
      <c r="E203" s="51" t="n"/>
      <c r="F203" s="52" t="n"/>
    </row>
    <row r="204">
      <c r="B204" s="51" t="n"/>
      <c r="C204" s="51" t="n"/>
      <c r="D204" s="51" t="n"/>
      <c r="E204" s="51" t="n"/>
      <c r="F204" s="52" t="n"/>
    </row>
    <row r="205">
      <c r="B205" s="51" t="n"/>
      <c r="C205" s="51" t="n"/>
      <c r="D205" s="51" t="n"/>
      <c r="E205" s="51" t="n"/>
      <c r="F205" s="52" t="n"/>
    </row>
    <row r="206">
      <c r="B206" s="51" t="n"/>
      <c r="C206" s="51" t="n"/>
      <c r="D206" s="51" t="n"/>
      <c r="E206" s="51" t="n"/>
      <c r="F206" s="52" t="n"/>
    </row>
    <row r="207">
      <c r="B207" s="51" t="n"/>
      <c r="C207" s="51" t="n"/>
      <c r="D207" s="51" t="n"/>
      <c r="E207" s="51" t="n"/>
      <c r="F207" s="52" t="n"/>
    </row>
    <row r="208">
      <c r="B208" s="51" t="n"/>
      <c r="C208" s="51" t="n"/>
      <c r="D208" s="51" t="n"/>
      <c r="E208" s="51" t="n"/>
      <c r="F208" s="52" t="n"/>
    </row>
    <row r="209">
      <c r="B209" s="51" t="n"/>
      <c r="C209" s="51" t="n"/>
      <c r="D209" s="51" t="n"/>
      <c r="E209" s="51" t="n"/>
      <c r="F209" s="52" t="n"/>
    </row>
    <row r="210">
      <c r="B210" s="51" t="n"/>
      <c r="C210" s="51" t="n"/>
      <c r="D210" s="51" t="n"/>
      <c r="E210" s="51" t="n"/>
      <c r="F210" s="52" t="n"/>
    </row>
    <row r="211">
      <c r="B211" s="51" t="n"/>
      <c r="C211" s="51" t="n"/>
      <c r="D211" s="51" t="n"/>
      <c r="E211" s="51" t="n"/>
      <c r="F211" s="52" t="n"/>
    </row>
    <row r="212">
      <c r="B212" s="51" t="n"/>
      <c r="C212" s="51" t="n"/>
      <c r="D212" s="51" t="n"/>
      <c r="E212" s="51" t="n"/>
      <c r="F212" s="52" t="n"/>
    </row>
    <row r="213">
      <c r="B213" s="51" t="n"/>
      <c r="C213" s="51" t="n"/>
      <c r="D213" s="51" t="n"/>
      <c r="E213" s="51" t="n"/>
      <c r="F213" s="52" t="n"/>
    </row>
    <row r="214">
      <c r="B214" s="51" t="n"/>
      <c r="C214" s="51" t="n"/>
      <c r="D214" s="51" t="n"/>
      <c r="E214" s="51" t="n"/>
      <c r="F214" s="52" t="n"/>
    </row>
    <row r="215">
      <c r="B215" s="51" t="n"/>
      <c r="C215" s="51" t="n"/>
      <c r="D215" s="51" t="n"/>
      <c r="E215" s="51" t="n"/>
      <c r="F215" s="52" t="n"/>
    </row>
    <row r="216">
      <c r="B216" s="51" t="n"/>
      <c r="C216" s="51" t="n"/>
      <c r="D216" s="51" t="n"/>
      <c r="E216" s="51" t="n"/>
      <c r="F216" s="52" t="n"/>
    </row>
    <row r="217">
      <c r="B217" s="51" t="n"/>
      <c r="C217" s="51" t="n"/>
      <c r="D217" s="51" t="n"/>
      <c r="E217" s="51" t="n"/>
      <c r="F217" s="52" t="n"/>
    </row>
    <row r="218">
      <c r="B218" s="51" t="n"/>
      <c r="C218" s="51" t="n"/>
      <c r="D218" s="51" t="n"/>
      <c r="E218" s="51" t="n"/>
      <c r="F218" s="52" t="n"/>
    </row>
    <row r="219">
      <c r="B219" s="51" t="n"/>
      <c r="C219" s="51" t="n"/>
      <c r="D219" s="51" t="n"/>
      <c r="E219" s="51" t="n"/>
      <c r="F219" s="52" t="n"/>
    </row>
    <row r="220">
      <c r="B220" s="51" t="n"/>
      <c r="C220" s="51" t="n"/>
      <c r="D220" s="51" t="n"/>
      <c r="E220" s="51" t="n"/>
      <c r="F220" s="52" t="n"/>
    </row>
    <row r="221">
      <c r="B221" s="51" t="n"/>
      <c r="C221" s="51" t="n"/>
      <c r="D221" s="51" t="n"/>
      <c r="E221" s="51" t="n"/>
      <c r="F221" s="52" t="n"/>
    </row>
    <row r="222">
      <c r="B222" s="51" t="n"/>
      <c r="C222" s="51" t="n"/>
      <c r="D222" s="51" t="n"/>
      <c r="E222" s="51" t="n"/>
      <c r="F222" s="52" t="n"/>
    </row>
    <row r="223">
      <c r="B223" s="51" t="n"/>
      <c r="C223" s="51" t="n"/>
      <c r="D223" s="51" t="n"/>
      <c r="E223" s="51" t="n"/>
      <c r="F223" s="52" t="n"/>
    </row>
    <row r="224">
      <c r="B224" s="51" t="n"/>
      <c r="C224" s="51" t="n"/>
      <c r="D224" s="51" t="n"/>
      <c r="E224" s="51" t="n"/>
      <c r="F224" s="52" t="n"/>
    </row>
    <row r="225">
      <c r="B225" s="51" t="n"/>
      <c r="C225" s="51" t="n"/>
      <c r="D225" s="51" t="n"/>
      <c r="E225" s="51" t="n"/>
      <c r="F225" s="52" t="n"/>
    </row>
    <row r="226">
      <c r="B226" s="51" t="n"/>
      <c r="C226" s="51" t="n"/>
      <c r="D226" s="51" t="n"/>
      <c r="E226" s="51" t="n"/>
      <c r="F226" s="52" t="n"/>
    </row>
    <row r="227">
      <c r="B227" s="51" t="n"/>
      <c r="C227" s="51" t="n"/>
      <c r="D227" s="51" t="n"/>
      <c r="E227" s="51" t="n"/>
      <c r="F227" s="52" t="n"/>
    </row>
    <row r="228">
      <c r="B228" s="51" t="n"/>
      <c r="C228" s="51" t="n"/>
      <c r="D228" s="51" t="n"/>
      <c r="E228" s="51" t="n"/>
      <c r="F228" s="52" t="n"/>
    </row>
    <row r="229">
      <c r="B229" s="51" t="n"/>
      <c r="C229" s="51" t="n"/>
      <c r="D229" s="51" t="n"/>
      <c r="E229" s="51" t="n"/>
      <c r="F229" s="52" t="n"/>
    </row>
    <row r="230">
      <c r="B230" s="51" t="n"/>
      <c r="C230" s="51" t="n"/>
      <c r="D230" s="51" t="n"/>
      <c r="E230" s="51" t="n"/>
      <c r="F230" s="52" t="n"/>
    </row>
    <row r="231">
      <c r="B231" s="51" t="n"/>
      <c r="C231" s="51" t="n"/>
      <c r="D231" s="51" t="n"/>
      <c r="E231" s="51" t="n"/>
      <c r="F231" s="52" t="n"/>
    </row>
    <row r="232">
      <c r="B232" s="51" t="n"/>
      <c r="C232" s="51" t="n"/>
      <c r="D232" s="51" t="n"/>
      <c r="E232" s="51" t="n"/>
      <c r="F232" s="52" t="n"/>
    </row>
    <row r="233">
      <c r="B233" s="51" t="n"/>
      <c r="C233" s="51" t="n"/>
      <c r="D233" s="51" t="n"/>
      <c r="E233" s="51" t="n"/>
      <c r="F233" s="52" t="n"/>
    </row>
    <row r="234">
      <c r="B234" s="51" t="n"/>
      <c r="C234" s="51" t="n"/>
      <c r="D234" s="51" t="n"/>
      <c r="E234" s="51" t="n"/>
      <c r="F234" s="52" t="n"/>
    </row>
    <row r="235">
      <c r="B235" s="51" t="n"/>
      <c r="C235" s="51" t="n"/>
      <c r="D235" s="51" t="n"/>
      <c r="E235" s="51" t="n"/>
      <c r="F235" s="52" t="n"/>
    </row>
    <row r="236">
      <c r="B236" s="51" t="n"/>
      <c r="C236" s="51" t="n"/>
      <c r="D236" s="51" t="n"/>
      <c r="E236" s="51" t="n"/>
      <c r="F236" s="52" t="n"/>
    </row>
    <row r="237">
      <c r="B237" s="51" t="n"/>
      <c r="C237" s="51" t="n"/>
      <c r="D237" s="51" t="n"/>
      <c r="E237" s="51" t="n"/>
      <c r="F237" s="52" t="n"/>
    </row>
    <row r="238">
      <c r="B238" s="51" t="n"/>
      <c r="C238" s="51" t="n"/>
      <c r="D238" s="51" t="n"/>
      <c r="E238" s="51" t="n"/>
      <c r="F238" s="52" t="n"/>
    </row>
    <row r="239">
      <c r="B239" s="51" t="n"/>
      <c r="C239" s="51" t="n"/>
      <c r="D239" s="51" t="n"/>
      <c r="E239" s="51" t="n"/>
      <c r="F239" s="52" t="n"/>
    </row>
    <row r="240">
      <c r="B240" s="51" t="n"/>
      <c r="C240" s="51" t="n"/>
      <c r="D240" s="51" t="n"/>
      <c r="E240" s="51" t="n"/>
      <c r="F240" s="52" t="n"/>
    </row>
    <row r="241">
      <c r="B241" s="51" t="n"/>
      <c r="C241" s="51" t="n"/>
      <c r="D241" s="51" t="n"/>
      <c r="E241" s="51" t="n"/>
      <c r="F241" s="52" t="n"/>
    </row>
    <row r="242">
      <c r="B242" s="51" t="n"/>
      <c r="C242" s="51" t="n"/>
      <c r="D242" s="51" t="n"/>
      <c r="E242" s="51" t="n"/>
      <c r="F242" s="52" t="n"/>
    </row>
    <row r="243">
      <c r="B243" s="51" t="n"/>
      <c r="C243" s="51" t="n"/>
      <c r="D243" s="51" t="n"/>
      <c r="E243" s="51" t="n"/>
      <c r="F243" s="52" t="n"/>
    </row>
    <row r="244">
      <c r="B244" s="51" t="n"/>
      <c r="C244" s="51" t="n"/>
      <c r="D244" s="51" t="n"/>
      <c r="E244" s="51" t="n"/>
      <c r="F244" s="52" t="n"/>
    </row>
    <row r="245">
      <c r="B245" s="51" t="n"/>
      <c r="C245" s="51" t="n"/>
      <c r="D245" s="51" t="n"/>
      <c r="E245" s="51" t="n"/>
      <c r="F245" s="52" t="n"/>
    </row>
    <row r="246">
      <c r="B246" s="51" t="n"/>
      <c r="C246" s="51" t="n"/>
      <c r="D246" s="51" t="n"/>
      <c r="E246" s="51" t="n"/>
      <c r="F246" s="52" t="n"/>
    </row>
    <row r="247">
      <c r="B247" s="51" t="n"/>
      <c r="C247" s="51" t="n"/>
      <c r="D247" s="51" t="n"/>
      <c r="E247" s="51" t="n"/>
      <c r="F247" s="52" t="n"/>
    </row>
    <row r="248">
      <c r="B248" s="51" t="n"/>
      <c r="C248" s="51" t="n"/>
      <c r="D248" s="51" t="n"/>
      <c r="E248" s="51" t="n"/>
      <c r="F248" s="52" t="n"/>
    </row>
    <row r="249">
      <c r="B249" s="51" t="n"/>
      <c r="C249" s="51" t="n"/>
      <c r="D249" s="51" t="n"/>
      <c r="E249" s="51" t="n"/>
      <c r="F249" s="52" t="n"/>
    </row>
    <row r="250">
      <c r="B250" s="51" t="n"/>
      <c r="C250" s="51" t="n"/>
      <c r="D250" s="51" t="n"/>
      <c r="E250" s="51" t="n"/>
      <c r="F250" s="52" t="n"/>
    </row>
    <row r="251">
      <c r="B251" s="51" t="n"/>
      <c r="C251" s="51" t="n"/>
      <c r="D251" s="51" t="n"/>
      <c r="E251" s="51" t="n"/>
      <c r="F251" s="52" t="n"/>
    </row>
    <row r="252">
      <c r="B252" s="51" t="n"/>
      <c r="C252" s="51" t="n"/>
      <c r="D252" s="51" t="n"/>
      <c r="E252" s="51" t="n"/>
      <c r="F252" s="52" t="n"/>
    </row>
    <row r="253">
      <c r="B253" s="51" t="n"/>
      <c r="C253" s="51" t="n"/>
      <c r="D253" s="51" t="n"/>
      <c r="E253" s="51" t="n"/>
      <c r="F253" s="52" t="n"/>
    </row>
    <row r="254">
      <c r="B254" s="51" t="n"/>
      <c r="C254" s="51" t="n"/>
      <c r="D254" s="51" t="n"/>
      <c r="E254" s="51" t="n"/>
      <c r="F254" s="52" t="n"/>
    </row>
    <row r="255">
      <c r="B255" s="51" t="n"/>
      <c r="C255" s="51" t="n"/>
      <c r="D255" s="51" t="n"/>
      <c r="E255" s="51" t="n"/>
      <c r="F255" s="52" t="n"/>
    </row>
    <row r="256">
      <c r="B256" s="51" t="n"/>
      <c r="C256" s="51" t="n"/>
      <c r="D256" s="51" t="n"/>
      <c r="E256" s="51" t="n"/>
      <c r="F256" s="52" t="n"/>
    </row>
    <row r="257">
      <c r="B257" s="51" t="n"/>
      <c r="C257" s="51" t="n"/>
      <c r="D257" s="51" t="n"/>
      <c r="E257" s="51" t="n"/>
      <c r="F257" s="52" t="n"/>
    </row>
    <row r="258">
      <c r="B258" s="51" t="n"/>
      <c r="C258" s="51" t="n"/>
      <c r="D258" s="51" t="n"/>
      <c r="E258" s="51" t="n"/>
      <c r="F258" s="52" t="n"/>
    </row>
    <row r="259">
      <c r="B259" s="51" t="n"/>
      <c r="C259" s="51" t="n"/>
      <c r="D259" s="51" t="n"/>
      <c r="E259" s="51" t="n"/>
      <c r="F259" s="52" t="n"/>
    </row>
    <row r="260">
      <c r="B260" s="51" t="n"/>
      <c r="C260" s="51" t="n"/>
      <c r="D260" s="51" t="n"/>
      <c r="E260" s="51" t="n"/>
      <c r="F260" s="52" t="n"/>
    </row>
    <row r="261">
      <c r="B261" s="51" t="n"/>
      <c r="C261" s="51" t="n"/>
      <c r="D261" s="51" t="n"/>
      <c r="E261" s="51" t="n"/>
      <c r="F261" s="52" t="n"/>
    </row>
    <row r="262">
      <c r="B262" s="51" t="n"/>
      <c r="C262" s="51" t="n"/>
      <c r="D262" s="51" t="n"/>
      <c r="E262" s="51" t="n"/>
      <c r="F262" s="52" t="n"/>
    </row>
    <row r="263">
      <c r="B263" s="51" t="n"/>
      <c r="C263" s="51" t="n"/>
      <c r="D263" s="51" t="n"/>
      <c r="E263" s="51" t="n"/>
      <c r="F263" s="52" t="n"/>
    </row>
    <row r="264">
      <c r="B264" s="51" t="n"/>
      <c r="C264" s="51" t="n"/>
      <c r="D264" s="51" t="n"/>
      <c r="E264" s="51" t="n"/>
      <c r="F264" s="52" t="n"/>
    </row>
    <row r="265">
      <c r="B265" s="51" t="n"/>
      <c r="C265" s="51" t="n"/>
      <c r="D265" s="51" t="n"/>
      <c r="E265" s="51" t="n"/>
      <c r="F265" s="52" t="n"/>
    </row>
    <row r="266">
      <c r="B266" s="51" t="n"/>
      <c r="C266" s="51" t="n"/>
      <c r="D266" s="51" t="n"/>
      <c r="E266" s="51" t="n"/>
      <c r="F266" s="52" t="n"/>
    </row>
    <row r="267">
      <c r="B267" s="51" t="n"/>
      <c r="C267" s="51" t="n"/>
      <c r="D267" s="51" t="n"/>
      <c r="E267" s="51" t="n"/>
      <c r="F267" s="52" t="n"/>
    </row>
    <row r="268">
      <c r="B268" s="51" t="n"/>
      <c r="C268" s="51" t="n"/>
      <c r="D268" s="51" t="n"/>
      <c r="E268" s="51" t="n"/>
      <c r="F268" s="52" t="n"/>
    </row>
    <row r="269">
      <c r="B269" s="51" t="n"/>
      <c r="C269" s="51" t="n"/>
      <c r="D269" s="51" t="n"/>
      <c r="E269" s="51" t="n"/>
      <c r="F269" s="52" t="n"/>
    </row>
    <row r="270">
      <c r="B270" s="51" t="n"/>
      <c r="C270" s="51" t="n"/>
      <c r="D270" s="51" t="n"/>
      <c r="E270" s="51" t="n"/>
      <c r="F270" s="52" t="n"/>
    </row>
    <row r="271">
      <c r="B271" s="51" t="n"/>
      <c r="C271" s="51" t="n"/>
      <c r="D271" s="51" t="n"/>
      <c r="E271" s="51" t="n"/>
      <c r="F271" s="52" t="n"/>
    </row>
    <row r="272">
      <c r="B272" s="51" t="n"/>
      <c r="C272" s="51" t="n"/>
      <c r="D272" s="51" t="n"/>
      <c r="E272" s="51" t="n"/>
      <c r="F272" s="52" t="n"/>
    </row>
    <row r="273">
      <c r="B273" s="51" t="n"/>
      <c r="C273" s="51" t="n"/>
      <c r="D273" s="51" t="n"/>
      <c r="E273" s="51" t="n"/>
      <c r="F273" s="52" t="n"/>
    </row>
    <row r="274">
      <c r="B274" s="51" t="n"/>
      <c r="C274" s="51" t="n"/>
      <c r="D274" s="51" t="n"/>
      <c r="E274" s="51" t="n"/>
      <c r="F274" s="52" t="n"/>
    </row>
    <row r="275">
      <c r="B275" s="51" t="n"/>
      <c r="C275" s="51" t="n"/>
      <c r="D275" s="51" t="n"/>
      <c r="E275" s="51" t="n"/>
      <c r="F275" s="52" t="n"/>
    </row>
    <row r="276">
      <c r="B276" s="51" t="n"/>
      <c r="C276" s="51" t="n"/>
      <c r="D276" s="51" t="n"/>
      <c r="E276" s="51" t="n"/>
      <c r="F276" s="52" t="n"/>
    </row>
    <row r="277">
      <c r="B277" s="51" t="n"/>
      <c r="C277" s="51" t="n"/>
      <c r="D277" s="51" t="n"/>
      <c r="E277" s="51" t="n"/>
      <c r="F277" s="52" t="n"/>
    </row>
    <row r="278">
      <c r="B278" s="51" t="n"/>
      <c r="C278" s="51" t="n"/>
      <c r="D278" s="51" t="n"/>
      <c r="E278" s="51" t="n"/>
      <c r="F278" s="52" t="n"/>
    </row>
    <row r="279">
      <c r="B279" s="51" t="n"/>
      <c r="C279" s="51" t="n"/>
      <c r="D279" s="51" t="n"/>
      <c r="E279" s="51" t="n"/>
      <c r="F279" s="52" t="n"/>
    </row>
    <row r="280">
      <c r="B280" s="51" t="n"/>
      <c r="C280" s="51" t="n"/>
      <c r="D280" s="51" t="n"/>
      <c r="E280" s="51" t="n"/>
      <c r="F280" s="52" t="n"/>
    </row>
    <row r="281">
      <c r="B281" s="51" t="n"/>
      <c r="C281" s="51" t="n"/>
      <c r="D281" s="51" t="n"/>
      <c r="E281" s="51" t="n"/>
      <c r="F281" s="52" t="n"/>
    </row>
    <row r="282">
      <c r="B282" s="51" t="n"/>
      <c r="C282" s="51" t="n"/>
      <c r="D282" s="51" t="n"/>
      <c r="E282" s="51" t="n"/>
      <c r="F282" s="52" t="n"/>
    </row>
    <row r="283">
      <c r="B283" s="51" t="n"/>
      <c r="C283" s="51" t="n"/>
      <c r="D283" s="51" t="n"/>
      <c r="E283" s="51" t="n"/>
      <c r="F283" s="52" t="n"/>
    </row>
    <row r="284">
      <c r="B284" s="51" t="n"/>
      <c r="C284" s="51" t="n"/>
      <c r="D284" s="51" t="n"/>
      <c r="E284" s="51" t="n"/>
      <c r="F284" s="52" t="n"/>
    </row>
    <row r="285">
      <c r="B285" s="51" t="n"/>
      <c r="C285" s="51" t="n"/>
      <c r="D285" s="51" t="n"/>
      <c r="E285" s="51" t="n"/>
      <c r="F285" s="52" t="n"/>
    </row>
    <row r="286">
      <c r="B286" s="51" t="n"/>
      <c r="C286" s="51" t="n"/>
      <c r="D286" s="51" t="n"/>
      <c r="E286" s="51" t="n"/>
      <c r="F286" s="52" t="n"/>
    </row>
    <row r="287">
      <c r="B287" s="51" t="n"/>
      <c r="C287" s="51" t="n"/>
      <c r="D287" s="51" t="n"/>
      <c r="E287" s="51" t="n"/>
      <c r="F287" s="52" t="n"/>
    </row>
    <row r="288">
      <c r="B288" s="51" t="n"/>
      <c r="C288" s="51" t="n"/>
      <c r="D288" s="51" t="n"/>
      <c r="E288" s="51" t="n"/>
      <c r="F288" s="52" t="n"/>
    </row>
    <row r="289">
      <c r="B289" s="51" t="n"/>
      <c r="C289" s="51" t="n"/>
      <c r="D289" s="51" t="n"/>
      <c r="E289" s="51" t="n"/>
      <c r="F289" s="52" t="n"/>
    </row>
    <row r="290">
      <c r="B290" s="51" t="n"/>
      <c r="C290" s="51" t="n"/>
      <c r="D290" s="51" t="n"/>
      <c r="E290" s="51" t="n"/>
      <c r="F290" s="52" t="n"/>
    </row>
    <row r="291">
      <c r="B291" s="51" t="n"/>
      <c r="C291" s="51" t="n"/>
      <c r="D291" s="51" t="n"/>
      <c r="E291" s="51" t="n"/>
      <c r="F291" s="52" t="n"/>
    </row>
    <row r="292">
      <c r="B292" s="51" t="n"/>
      <c r="C292" s="51" t="n"/>
      <c r="D292" s="51" t="n"/>
      <c r="E292" s="51" t="n"/>
      <c r="F292" s="52" t="n"/>
    </row>
    <row r="293">
      <c r="B293" s="51" t="n"/>
      <c r="C293" s="51" t="n"/>
      <c r="D293" s="51" t="n"/>
      <c r="E293" s="51" t="n"/>
      <c r="F293" s="52" t="n"/>
    </row>
    <row r="294">
      <c r="B294" s="51" t="n"/>
      <c r="C294" s="51" t="n"/>
      <c r="D294" s="51" t="n"/>
      <c r="E294" s="51" t="n"/>
      <c r="F294" s="52" t="n"/>
    </row>
    <row r="295">
      <c r="B295" s="51" t="n"/>
      <c r="C295" s="51" t="n"/>
      <c r="D295" s="51" t="n"/>
      <c r="E295" s="51" t="n"/>
      <c r="F295" s="52" t="n"/>
    </row>
    <row r="296">
      <c r="B296" s="51" t="n"/>
      <c r="C296" s="51" t="n"/>
      <c r="D296" s="51" t="n"/>
      <c r="E296" s="51" t="n"/>
      <c r="F296" s="52" t="n"/>
    </row>
    <row r="297">
      <c r="B297" s="51" t="n"/>
      <c r="C297" s="51" t="n"/>
      <c r="D297" s="51" t="n"/>
      <c r="E297" s="51" t="n"/>
      <c r="F297" s="52" t="n"/>
    </row>
    <row r="298">
      <c r="B298" s="51" t="n"/>
      <c r="C298" s="51" t="n"/>
      <c r="D298" s="51" t="n"/>
      <c r="E298" s="51" t="n"/>
      <c r="F298" s="52" t="n"/>
    </row>
    <row r="299">
      <c r="B299" s="51" t="n"/>
      <c r="C299" s="51" t="n"/>
      <c r="D299" s="51" t="n"/>
      <c r="E299" s="51" t="n"/>
      <c r="F299" s="52" t="n"/>
    </row>
    <row r="300">
      <c r="B300" s="51" t="n"/>
      <c r="C300" s="51" t="n"/>
      <c r="D300" s="51" t="n"/>
      <c r="E300" s="51" t="n"/>
      <c r="F300" s="52" t="n"/>
    </row>
    <row r="301">
      <c r="B301" s="51" t="n"/>
      <c r="C301" s="51" t="n"/>
      <c r="D301" s="51" t="n"/>
      <c r="E301" s="51" t="n"/>
      <c r="F301" s="52" t="n"/>
    </row>
    <row r="302">
      <c r="B302" s="51" t="n"/>
      <c r="C302" s="51" t="n"/>
      <c r="D302" s="51" t="n"/>
      <c r="E302" s="51" t="n"/>
      <c r="F302" s="52" t="n"/>
    </row>
    <row r="303">
      <c r="B303" s="51" t="n"/>
      <c r="C303" s="51" t="n"/>
      <c r="D303" s="51" t="n"/>
      <c r="E303" s="51" t="n"/>
      <c r="F303" s="52" t="n"/>
    </row>
    <row r="304">
      <c r="B304" s="51" t="n"/>
      <c r="C304" s="51" t="n"/>
      <c r="D304" s="51" t="n"/>
      <c r="E304" s="51" t="n"/>
      <c r="F304" s="52" t="n"/>
    </row>
    <row r="305">
      <c r="B305" s="51" t="n"/>
      <c r="C305" s="51" t="n"/>
      <c r="D305" s="51" t="n"/>
      <c r="E305" s="51" t="n"/>
      <c r="F305" s="52" t="n"/>
    </row>
    <row r="306">
      <c r="B306" s="51" t="n"/>
      <c r="C306" s="51" t="n"/>
      <c r="D306" s="51" t="n"/>
      <c r="E306" s="51" t="n"/>
      <c r="F306" s="52" t="n"/>
    </row>
    <row r="307">
      <c r="B307" s="51" t="n"/>
      <c r="C307" s="51" t="n"/>
      <c r="D307" s="51" t="n"/>
      <c r="E307" s="51" t="n"/>
      <c r="F307" s="52" t="n"/>
    </row>
    <row r="308">
      <c r="B308" s="51" t="n"/>
      <c r="C308" s="51" t="n"/>
      <c r="D308" s="51" t="n"/>
      <c r="E308" s="51" t="n"/>
      <c r="F308" s="52" t="n"/>
    </row>
    <row r="309">
      <c r="B309" s="51" t="n"/>
      <c r="C309" s="51" t="n"/>
      <c r="D309" s="51" t="n"/>
      <c r="E309" s="51" t="n"/>
      <c r="F309" s="52" t="n"/>
    </row>
    <row r="310">
      <c r="B310" s="51" t="n"/>
      <c r="C310" s="51" t="n"/>
      <c r="D310" s="51" t="n"/>
      <c r="E310" s="51" t="n"/>
      <c r="F310" s="52" t="n"/>
    </row>
    <row r="311">
      <c r="B311" s="51" t="n"/>
      <c r="C311" s="51" t="n"/>
      <c r="D311" s="51" t="n"/>
      <c r="E311" s="51" t="n"/>
      <c r="F311" s="52" t="n"/>
    </row>
    <row r="312">
      <c r="B312" s="51" t="n"/>
      <c r="C312" s="51" t="n"/>
      <c r="D312" s="51" t="n"/>
      <c r="E312" s="51" t="n"/>
      <c r="F312" s="52" t="n"/>
    </row>
    <row r="313">
      <c r="B313" s="51" t="n"/>
      <c r="C313" s="51" t="n"/>
      <c r="D313" s="51" t="n"/>
      <c r="E313" s="51" t="n"/>
      <c r="F313" s="52" t="n"/>
    </row>
    <row r="314">
      <c r="B314" s="51" t="n"/>
      <c r="C314" s="51" t="n"/>
      <c r="D314" s="51" t="n"/>
      <c r="E314" s="51" t="n"/>
      <c r="F314" s="52" t="n"/>
    </row>
    <row r="315">
      <c r="B315" s="51" t="n"/>
      <c r="C315" s="51" t="n"/>
      <c r="D315" s="51" t="n"/>
      <c r="E315" s="51" t="n"/>
      <c r="F315" s="52" t="n"/>
    </row>
    <row r="316">
      <c r="B316" s="51" t="n"/>
      <c r="C316" s="51" t="n"/>
      <c r="D316" s="51" t="n"/>
      <c r="E316" s="51" t="n"/>
      <c r="F316" s="52" t="n"/>
    </row>
    <row r="317">
      <c r="B317" s="51" t="n"/>
      <c r="C317" s="51" t="n"/>
      <c r="D317" s="51" t="n"/>
      <c r="E317" s="51" t="n"/>
      <c r="F317" s="52" t="n"/>
    </row>
    <row r="318">
      <c r="B318" s="51" t="n"/>
      <c r="C318" s="51" t="n"/>
      <c r="D318" s="51" t="n"/>
      <c r="E318" s="51" t="n"/>
      <c r="F318" s="52" t="n"/>
    </row>
    <row r="319">
      <c r="B319" s="51" t="n"/>
      <c r="C319" s="51" t="n"/>
      <c r="D319" s="51" t="n"/>
      <c r="E319" s="51" t="n"/>
      <c r="F319" s="52" t="n"/>
    </row>
    <row r="320">
      <c r="B320" s="51" t="n"/>
      <c r="C320" s="51" t="n"/>
      <c r="D320" s="51" t="n"/>
      <c r="E320" s="51" t="n"/>
      <c r="F320" s="52" t="n"/>
    </row>
    <row r="321">
      <c r="B321" s="51" t="n"/>
      <c r="C321" s="51" t="n"/>
      <c r="D321" s="51" t="n"/>
      <c r="E321" s="51" t="n"/>
      <c r="F321" s="52" t="n"/>
    </row>
    <row r="322">
      <c r="B322" s="51" t="n"/>
      <c r="C322" s="51" t="n"/>
      <c r="D322" s="51" t="n"/>
      <c r="E322" s="51" t="n"/>
      <c r="F322" s="52" t="n"/>
    </row>
    <row r="323">
      <c r="B323" s="51" t="n"/>
      <c r="C323" s="51" t="n"/>
      <c r="D323" s="51" t="n"/>
      <c r="E323" s="51" t="n"/>
      <c r="F323" s="52" t="n"/>
    </row>
    <row r="324">
      <c r="B324" s="51" t="n"/>
      <c r="C324" s="51" t="n"/>
      <c r="D324" s="51" t="n"/>
      <c r="E324" s="51" t="n"/>
      <c r="F324" s="52" t="n"/>
    </row>
    <row r="325">
      <c r="B325" s="51" t="n"/>
      <c r="C325" s="51" t="n"/>
      <c r="D325" s="51" t="n"/>
      <c r="E325" s="51" t="n"/>
      <c r="F325" s="52" t="n"/>
    </row>
    <row r="326">
      <c r="B326" s="51" t="n"/>
      <c r="C326" s="51" t="n"/>
      <c r="D326" s="51" t="n"/>
      <c r="E326" s="51" t="n"/>
      <c r="F326" s="52" t="n"/>
    </row>
    <row r="327">
      <c r="B327" s="51" t="n"/>
      <c r="C327" s="51" t="n"/>
      <c r="D327" s="51" t="n"/>
      <c r="E327" s="51" t="n"/>
      <c r="F327" s="52" t="n"/>
    </row>
    <row r="328">
      <c r="B328" s="51" t="n"/>
      <c r="C328" s="51" t="n"/>
      <c r="D328" s="51" t="n"/>
      <c r="E328" s="51" t="n"/>
      <c r="F328" s="52" t="n"/>
    </row>
    <row r="329">
      <c r="B329" s="51" t="n"/>
      <c r="C329" s="51" t="n"/>
      <c r="D329" s="51" t="n"/>
      <c r="E329" s="51" t="n"/>
      <c r="F329" s="52" t="n"/>
    </row>
    <row r="330">
      <c r="B330" s="51" t="n"/>
      <c r="C330" s="51" t="n"/>
      <c r="D330" s="51" t="n"/>
      <c r="E330" s="51" t="n"/>
      <c r="F330" s="52" t="n"/>
    </row>
    <row r="331">
      <c r="B331" s="51" t="n"/>
      <c r="C331" s="51" t="n"/>
      <c r="D331" s="51" t="n"/>
      <c r="E331" s="51" t="n"/>
      <c r="F331" s="52" t="n"/>
    </row>
    <row r="332">
      <c r="B332" s="51" t="n"/>
      <c r="C332" s="51" t="n"/>
      <c r="D332" s="51" t="n"/>
      <c r="E332" s="51" t="n"/>
      <c r="F332" s="52" t="n"/>
    </row>
    <row r="333">
      <c r="B333" s="51" t="n"/>
      <c r="C333" s="51" t="n"/>
      <c r="D333" s="51" t="n"/>
      <c r="E333" s="51" t="n"/>
      <c r="F333" s="52" t="n"/>
    </row>
    <row r="334">
      <c r="B334" s="51" t="n"/>
      <c r="C334" s="51" t="n"/>
      <c r="D334" s="51" t="n"/>
      <c r="E334" s="51" t="n"/>
      <c r="F334" s="52" t="n"/>
    </row>
    <row r="335">
      <c r="B335" s="51" t="n"/>
      <c r="C335" s="51" t="n"/>
      <c r="D335" s="51" t="n"/>
      <c r="E335" s="51" t="n"/>
      <c r="F335" s="52" t="n"/>
    </row>
    <row r="336">
      <c r="B336" s="51" t="n"/>
      <c r="C336" s="51" t="n"/>
      <c r="D336" s="51" t="n"/>
      <c r="E336" s="51" t="n"/>
      <c r="F336" s="52" t="n"/>
    </row>
    <row r="337">
      <c r="B337" s="51" t="n"/>
      <c r="C337" s="51" t="n"/>
      <c r="D337" s="51" t="n"/>
      <c r="E337" s="51" t="n"/>
      <c r="F337" s="52" t="n"/>
    </row>
    <row r="338">
      <c r="B338" s="51" t="n"/>
      <c r="C338" s="51" t="n"/>
      <c r="D338" s="51" t="n"/>
      <c r="E338" s="51" t="n"/>
      <c r="F338" s="52" t="n"/>
    </row>
    <row r="339">
      <c r="B339" s="51" t="n"/>
      <c r="C339" s="51" t="n"/>
      <c r="D339" s="51" t="n"/>
      <c r="E339" s="51" t="n"/>
      <c r="F339" s="52" t="n"/>
    </row>
    <row r="340">
      <c r="B340" s="51" t="n"/>
      <c r="C340" s="51" t="n"/>
      <c r="D340" s="51" t="n"/>
      <c r="E340" s="51" t="n"/>
      <c r="F340" s="52" t="n"/>
    </row>
    <row r="341">
      <c r="B341" s="51" t="n"/>
      <c r="C341" s="51" t="n"/>
      <c r="D341" s="51" t="n"/>
      <c r="E341" s="51" t="n"/>
      <c r="F341" s="52" t="n"/>
    </row>
    <row r="342">
      <c r="B342" s="51" t="n"/>
      <c r="C342" s="51" t="n"/>
      <c r="D342" s="51" t="n"/>
      <c r="E342" s="51" t="n"/>
      <c r="F342" s="52" t="n"/>
    </row>
    <row r="343">
      <c r="B343" s="51" t="n"/>
      <c r="C343" s="51" t="n"/>
      <c r="D343" s="51" t="n"/>
      <c r="E343" s="51" t="n"/>
      <c r="F343" s="52" t="n"/>
    </row>
    <row r="344">
      <c r="B344" s="51" t="n"/>
      <c r="C344" s="51" t="n"/>
      <c r="D344" s="51" t="n"/>
      <c r="E344" s="51" t="n"/>
      <c r="F344" s="52" t="n"/>
    </row>
    <row r="345">
      <c r="B345" s="51" t="n"/>
      <c r="C345" s="51" t="n"/>
      <c r="D345" s="51" t="n"/>
      <c r="E345" s="51" t="n"/>
      <c r="F345" s="52" t="n"/>
    </row>
    <row r="346">
      <c r="B346" s="51" t="n"/>
      <c r="C346" s="51" t="n"/>
      <c r="D346" s="51" t="n"/>
      <c r="E346" s="51" t="n"/>
      <c r="F346" s="52" t="n"/>
    </row>
    <row r="347">
      <c r="B347" s="51" t="n"/>
      <c r="C347" s="51" t="n"/>
      <c r="D347" s="51" t="n"/>
      <c r="E347" s="51" t="n"/>
      <c r="F347" s="52" t="n"/>
    </row>
    <row r="348">
      <c r="B348" s="51" t="n"/>
      <c r="C348" s="51" t="n"/>
      <c r="D348" s="51" t="n"/>
      <c r="E348" s="51" t="n"/>
      <c r="F348" s="52" t="n"/>
    </row>
    <row r="349">
      <c r="B349" s="51" t="n"/>
      <c r="C349" s="51" t="n"/>
      <c r="D349" s="51" t="n"/>
      <c r="E349" s="51" t="n"/>
      <c r="F349" s="52" t="n"/>
    </row>
    <row r="350">
      <c r="B350" s="51" t="n"/>
      <c r="C350" s="51" t="n"/>
      <c r="D350" s="51" t="n"/>
      <c r="E350" s="51" t="n"/>
      <c r="F350" s="52" t="n"/>
    </row>
    <row r="351">
      <c r="B351" s="51" t="n"/>
      <c r="C351" s="51" t="n"/>
      <c r="D351" s="51" t="n"/>
      <c r="E351" s="51" t="n"/>
      <c r="F351" s="52" t="n"/>
    </row>
    <row r="352">
      <c r="B352" s="51" t="n"/>
      <c r="C352" s="51" t="n"/>
      <c r="D352" s="51" t="n"/>
      <c r="E352" s="51" t="n"/>
      <c r="F352" s="52" t="n"/>
    </row>
    <row r="353">
      <c r="B353" s="51" t="n"/>
      <c r="C353" s="51" t="n"/>
      <c r="D353" s="51" t="n"/>
      <c r="E353" s="51" t="n"/>
      <c r="F353" s="52" t="n"/>
    </row>
    <row r="354">
      <c r="B354" s="51" t="n"/>
      <c r="C354" s="51" t="n"/>
      <c r="D354" s="51" t="n"/>
      <c r="E354" s="51" t="n"/>
      <c r="F354" s="52" t="n"/>
    </row>
    <row r="355">
      <c r="B355" s="51" t="n"/>
      <c r="C355" s="51" t="n"/>
      <c r="D355" s="51" t="n"/>
      <c r="E355" s="51" t="n"/>
      <c r="F355" s="52" t="n"/>
    </row>
    <row r="356">
      <c r="B356" s="51" t="n"/>
      <c r="C356" s="51" t="n"/>
      <c r="D356" s="51" t="n"/>
      <c r="E356" s="51" t="n"/>
      <c r="F356" s="52" t="n"/>
    </row>
    <row r="357">
      <c r="B357" s="51" t="n"/>
      <c r="C357" s="51" t="n"/>
      <c r="D357" s="51" t="n"/>
      <c r="E357" s="51" t="n"/>
      <c r="F357" s="52" t="n"/>
    </row>
    <row r="358">
      <c r="B358" s="51" t="n"/>
      <c r="C358" s="51" t="n"/>
      <c r="D358" s="51" t="n"/>
      <c r="E358" s="51" t="n"/>
      <c r="F358" s="52" t="n"/>
    </row>
    <row r="359">
      <c r="B359" s="51" t="n"/>
      <c r="C359" s="51" t="n"/>
      <c r="D359" s="51" t="n"/>
      <c r="E359" s="51" t="n"/>
      <c r="F359" s="52" t="n"/>
    </row>
    <row r="360">
      <c r="B360" s="51" t="n"/>
      <c r="C360" s="51" t="n"/>
      <c r="D360" s="51" t="n"/>
      <c r="E360" s="51" t="n"/>
      <c r="F360" s="52" t="n"/>
    </row>
    <row r="361">
      <c r="B361" s="51" t="n"/>
      <c r="C361" s="51" t="n"/>
      <c r="D361" s="51" t="n"/>
      <c r="E361" s="51" t="n"/>
      <c r="F361" s="52" t="n"/>
    </row>
    <row r="362">
      <c r="B362" s="51" t="n"/>
      <c r="C362" s="51" t="n"/>
      <c r="D362" s="51" t="n"/>
      <c r="E362" s="51" t="n"/>
      <c r="F362" s="52" t="n"/>
    </row>
    <row r="363">
      <c r="B363" s="51" t="n"/>
      <c r="C363" s="51" t="n"/>
      <c r="D363" s="51" t="n"/>
      <c r="E363" s="51" t="n"/>
      <c r="F363" s="52" t="n"/>
    </row>
    <row r="364">
      <c r="B364" s="51" t="n"/>
      <c r="C364" s="51" t="n"/>
      <c r="D364" s="51" t="n"/>
      <c r="E364" s="51" t="n"/>
      <c r="F364" s="52" t="n"/>
    </row>
    <row r="365">
      <c r="B365" s="51" t="n"/>
      <c r="C365" s="51" t="n"/>
      <c r="D365" s="51" t="n"/>
      <c r="E365" s="51" t="n"/>
      <c r="F365" s="52" t="n"/>
    </row>
    <row r="366">
      <c r="B366" s="51" t="n"/>
      <c r="C366" s="51" t="n"/>
      <c r="D366" s="51" t="n"/>
      <c r="E366" s="51" t="n"/>
      <c r="F366" s="52" t="n"/>
    </row>
    <row r="367">
      <c r="B367" s="51" t="n"/>
      <c r="C367" s="51" t="n"/>
      <c r="D367" s="51" t="n"/>
      <c r="E367" s="51" t="n"/>
      <c r="F367" s="52" t="n"/>
    </row>
    <row r="368">
      <c r="B368" s="51" t="n"/>
      <c r="C368" s="51" t="n"/>
      <c r="D368" s="51" t="n"/>
      <c r="E368" s="51" t="n"/>
      <c r="F368" s="52" t="n"/>
    </row>
    <row r="369">
      <c r="B369" s="51" t="n"/>
      <c r="C369" s="51" t="n"/>
      <c r="D369" s="51" t="n"/>
      <c r="E369" s="51" t="n"/>
      <c r="F369" s="52" t="n"/>
    </row>
    <row r="370">
      <c r="B370" s="51" t="n"/>
      <c r="C370" s="51" t="n"/>
      <c r="D370" s="51" t="n"/>
      <c r="E370" s="51" t="n"/>
      <c r="F370" s="52" t="n"/>
    </row>
    <row r="371">
      <c r="B371" s="51" t="n"/>
      <c r="C371" s="51" t="n"/>
      <c r="D371" s="51" t="n"/>
      <c r="E371" s="51" t="n"/>
      <c r="F371" s="52" t="n"/>
    </row>
    <row r="372">
      <c r="B372" s="51" t="n"/>
      <c r="C372" s="51" t="n"/>
      <c r="D372" s="51" t="n"/>
      <c r="E372" s="51" t="n"/>
      <c r="F372" s="52" t="n"/>
    </row>
    <row r="373">
      <c r="B373" s="51" t="n"/>
      <c r="C373" s="51" t="n"/>
      <c r="D373" s="51" t="n"/>
      <c r="E373" s="51" t="n"/>
      <c r="F373" s="52" t="n"/>
    </row>
    <row r="374">
      <c r="B374" s="51" t="n"/>
      <c r="C374" s="51" t="n"/>
      <c r="D374" s="51" t="n"/>
      <c r="E374" s="51" t="n"/>
      <c r="F374" s="52" t="n"/>
    </row>
    <row r="375">
      <c r="B375" s="51" t="n"/>
      <c r="C375" s="51" t="n"/>
      <c r="D375" s="51" t="n"/>
      <c r="E375" s="51" t="n"/>
      <c r="F375" s="52" t="n"/>
    </row>
    <row r="376">
      <c r="B376" s="51" t="n"/>
      <c r="C376" s="51" t="n"/>
      <c r="D376" s="51" t="n"/>
      <c r="E376" s="51" t="n"/>
      <c r="F376" s="52" t="n"/>
    </row>
    <row r="377">
      <c r="B377" s="51" t="n"/>
      <c r="C377" s="51" t="n"/>
      <c r="D377" s="51" t="n"/>
      <c r="E377" s="51" t="n"/>
      <c r="F377" s="52" t="n"/>
    </row>
    <row r="378">
      <c r="B378" s="51" t="n"/>
      <c r="C378" s="51" t="n"/>
      <c r="D378" s="51" t="n"/>
      <c r="E378" s="51" t="n"/>
      <c r="F378" s="52" t="n"/>
    </row>
    <row r="379">
      <c r="B379" s="51" t="n"/>
      <c r="C379" s="51" t="n"/>
      <c r="D379" s="51" t="n"/>
      <c r="E379" s="51" t="n"/>
      <c r="F379" s="52" t="n"/>
    </row>
    <row r="380">
      <c r="B380" s="51" t="n"/>
      <c r="C380" s="51" t="n"/>
      <c r="D380" s="51" t="n"/>
      <c r="E380" s="51" t="n"/>
      <c r="F380" s="52" t="n"/>
    </row>
    <row r="381">
      <c r="B381" s="51" t="n"/>
      <c r="C381" s="51" t="n"/>
      <c r="D381" s="51" t="n"/>
      <c r="E381" s="51" t="n"/>
      <c r="F381" s="52" t="n"/>
    </row>
    <row r="382">
      <c r="B382" s="51" t="n"/>
      <c r="C382" s="51" t="n"/>
      <c r="D382" s="51" t="n"/>
      <c r="E382" s="51" t="n"/>
      <c r="F382" s="52" t="n"/>
    </row>
    <row r="383">
      <c r="B383" s="51" t="n"/>
      <c r="C383" s="51" t="n"/>
      <c r="D383" s="51" t="n"/>
      <c r="E383" s="51" t="n"/>
      <c r="F383" s="52" t="n"/>
    </row>
    <row r="384">
      <c r="B384" s="51" t="n"/>
      <c r="C384" s="51" t="n"/>
      <c r="D384" s="51" t="n"/>
      <c r="E384" s="51" t="n"/>
      <c r="F384" s="52" t="n"/>
    </row>
    <row r="385">
      <c r="B385" s="51" t="n"/>
      <c r="C385" s="51" t="n"/>
      <c r="D385" s="51" t="n"/>
      <c r="E385" s="51" t="n"/>
      <c r="F385" s="52" t="n"/>
    </row>
    <row r="386">
      <c r="B386" s="51" t="n"/>
      <c r="C386" s="51" t="n"/>
      <c r="D386" s="51" t="n"/>
      <c r="E386" s="51" t="n"/>
      <c r="F386" s="52" t="n"/>
    </row>
    <row r="387">
      <c r="B387" s="51" t="n"/>
      <c r="C387" s="51" t="n"/>
      <c r="D387" s="51" t="n"/>
      <c r="E387" s="51" t="n"/>
      <c r="F387" s="52" t="n"/>
    </row>
    <row r="388">
      <c r="B388" s="51" t="n"/>
      <c r="C388" s="51" t="n"/>
      <c r="D388" s="51" t="n"/>
      <c r="E388" s="51" t="n"/>
      <c r="F388" s="52" t="n"/>
    </row>
    <row r="389">
      <c r="B389" s="51" t="n"/>
      <c r="C389" s="51" t="n"/>
      <c r="D389" s="51" t="n"/>
      <c r="E389" s="51" t="n"/>
      <c r="F389" s="52" t="n"/>
    </row>
    <row r="390">
      <c r="B390" s="51" t="n"/>
      <c r="C390" s="51" t="n"/>
      <c r="D390" s="51" t="n"/>
      <c r="E390" s="51" t="n"/>
      <c r="F390" s="52" t="n"/>
    </row>
    <row r="391">
      <c r="B391" s="51" t="n"/>
      <c r="C391" s="51" t="n"/>
      <c r="D391" s="51" t="n"/>
      <c r="E391" s="51" t="n"/>
      <c r="F391" s="52" t="n"/>
    </row>
    <row r="392">
      <c r="B392" s="51" t="n"/>
      <c r="C392" s="51" t="n"/>
      <c r="D392" s="51" t="n"/>
      <c r="E392" s="51" t="n"/>
      <c r="F392" s="52" t="n"/>
    </row>
    <row r="393">
      <c r="B393" s="51" t="n"/>
      <c r="C393" s="51" t="n"/>
      <c r="D393" s="51" t="n"/>
      <c r="E393" s="51" t="n"/>
      <c r="F393" s="52" t="n"/>
    </row>
    <row r="394">
      <c r="B394" s="51" t="n"/>
      <c r="C394" s="51" t="n"/>
      <c r="D394" s="51" t="n"/>
      <c r="E394" s="51" t="n"/>
      <c r="F394" s="52" t="n"/>
    </row>
    <row r="395">
      <c r="B395" s="51" t="n"/>
      <c r="C395" s="51" t="n"/>
      <c r="D395" s="51" t="n"/>
      <c r="E395" s="51" t="n"/>
      <c r="F395" s="52" t="n"/>
    </row>
    <row r="396">
      <c r="B396" s="51" t="n"/>
      <c r="C396" s="51" t="n"/>
      <c r="D396" s="51" t="n"/>
      <c r="E396" s="51" t="n"/>
      <c r="F396" s="52" t="n"/>
    </row>
    <row r="397">
      <c r="B397" s="51" t="n"/>
      <c r="C397" s="51" t="n"/>
      <c r="D397" s="51" t="n"/>
      <c r="E397" s="51" t="n"/>
      <c r="F397" s="52" t="n"/>
    </row>
    <row r="398">
      <c r="B398" s="51" t="n"/>
      <c r="C398" s="51" t="n"/>
      <c r="D398" s="51" t="n"/>
      <c r="E398" s="51" t="n"/>
      <c r="F398" s="52" t="n"/>
    </row>
    <row r="399">
      <c r="B399" s="51" t="n"/>
      <c r="C399" s="51" t="n"/>
      <c r="D399" s="51" t="n"/>
      <c r="E399" s="51" t="n"/>
      <c r="F399" s="52" t="n"/>
    </row>
    <row r="400">
      <c r="B400" s="51" t="n"/>
      <c r="C400" s="51" t="n"/>
      <c r="D400" s="51" t="n"/>
      <c r="E400" s="51" t="n"/>
      <c r="F400" s="52" t="n"/>
    </row>
    <row r="401">
      <c r="B401" s="51" t="n"/>
      <c r="C401" s="51" t="n"/>
      <c r="D401" s="51" t="n"/>
      <c r="E401" s="51" t="n"/>
      <c r="F401" s="52" t="n"/>
    </row>
    <row r="402">
      <c r="B402" s="51" t="n"/>
      <c r="C402" s="51" t="n"/>
      <c r="D402" s="51" t="n"/>
      <c r="E402" s="51" t="n"/>
      <c r="F402" s="52" t="n"/>
    </row>
    <row r="403">
      <c r="B403" s="51" t="n"/>
      <c r="C403" s="51" t="n"/>
      <c r="D403" s="51" t="n"/>
      <c r="E403" s="51" t="n"/>
      <c r="F403" s="52" t="n"/>
    </row>
    <row r="404">
      <c r="B404" s="51" t="n"/>
      <c r="C404" s="51" t="n"/>
      <c r="D404" s="51" t="n"/>
      <c r="E404" s="51" t="n"/>
      <c r="F404" s="52" t="n"/>
    </row>
    <row r="405">
      <c r="B405" s="51" t="n"/>
      <c r="C405" s="51" t="n"/>
      <c r="D405" s="51" t="n"/>
      <c r="E405" s="51" t="n"/>
      <c r="F405" s="52" t="n"/>
    </row>
    <row r="406">
      <c r="B406" s="51" t="n"/>
      <c r="C406" s="51" t="n"/>
      <c r="D406" s="51" t="n"/>
      <c r="E406" s="51" t="n"/>
      <c r="F406" s="52" t="n"/>
    </row>
    <row r="407">
      <c r="B407" s="51" t="n"/>
      <c r="C407" s="51" t="n"/>
      <c r="D407" s="51" t="n"/>
      <c r="E407" s="51" t="n"/>
      <c r="F407" s="52" t="n"/>
    </row>
    <row r="408">
      <c r="B408" s="51" t="n"/>
      <c r="C408" s="51" t="n"/>
      <c r="D408" s="51" t="n"/>
      <c r="E408" s="51" t="n"/>
      <c r="F408" s="52" t="n"/>
    </row>
    <row r="409">
      <c r="B409" s="51" t="n"/>
      <c r="C409" s="51" t="n"/>
      <c r="D409" s="51" t="n"/>
      <c r="E409" s="51" t="n"/>
      <c r="F409" s="52" t="n"/>
    </row>
    <row r="410">
      <c r="B410" s="51" t="n"/>
      <c r="C410" s="51" t="n"/>
      <c r="D410" s="51" t="n"/>
      <c r="E410" s="51" t="n"/>
      <c r="F410" s="52" t="n"/>
    </row>
    <row r="411">
      <c r="B411" s="51" t="n"/>
      <c r="C411" s="51" t="n"/>
      <c r="D411" s="51" t="n"/>
      <c r="E411" s="51" t="n"/>
      <c r="F411" s="52" t="n"/>
    </row>
    <row r="412">
      <c r="B412" s="51" t="n"/>
      <c r="C412" s="51" t="n"/>
      <c r="D412" s="51" t="n"/>
      <c r="E412" s="51" t="n"/>
      <c r="F412" s="52" t="n"/>
    </row>
    <row r="413">
      <c r="B413" s="51" t="n"/>
      <c r="C413" s="51" t="n"/>
      <c r="D413" s="51" t="n"/>
      <c r="E413" s="51" t="n"/>
      <c r="F413" s="52" t="n"/>
    </row>
    <row r="414">
      <c r="B414" s="51" t="n"/>
      <c r="C414" s="51" t="n"/>
      <c r="D414" s="51" t="n"/>
      <c r="E414" s="51" t="n"/>
      <c r="F414" s="52" t="n"/>
    </row>
    <row r="415">
      <c r="B415" s="51" t="n"/>
      <c r="C415" s="51" t="n"/>
      <c r="D415" s="51" t="n"/>
      <c r="E415" s="51" t="n"/>
      <c r="F415" s="52" t="n"/>
    </row>
    <row r="416">
      <c r="B416" s="51" t="n"/>
      <c r="C416" s="51" t="n"/>
      <c r="D416" s="51" t="n"/>
      <c r="E416" s="51" t="n"/>
      <c r="F416" s="52" t="n"/>
    </row>
    <row r="417">
      <c r="B417" s="51" t="n"/>
      <c r="C417" s="51" t="n"/>
      <c r="D417" s="51" t="n"/>
      <c r="E417" s="51" t="n"/>
      <c r="F417" s="52" t="n"/>
    </row>
    <row r="418">
      <c r="B418" s="51" t="n"/>
      <c r="C418" s="51" t="n"/>
      <c r="D418" s="51" t="n"/>
      <c r="E418" s="51" t="n"/>
      <c r="F418" s="52" t="n"/>
    </row>
    <row r="419">
      <c r="B419" s="51" t="n"/>
      <c r="C419" s="51" t="n"/>
      <c r="D419" s="51" t="n"/>
      <c r="E419" s="51" t="n"/>
      <c r="F419" s="52" t="n"/>
    </row>
    <row r="420">
      <c r="B420" s="51" t="n"/>
      <c r="C420" s="51" t="n"/>
      <c r="D420" s="51" t="n"/>
      <c r="E420" s="51" t="n"/>
      <c r="F420" s="52" t="n"/>
    </row>
    <row r="421">
      <c r="B421" s="51" t="n"/>
      <c r="C421" s="51" t="n"/>
      <c r="D421" s="51" t="n"/>
      <c r="E421" s="51" t="n"/>
      <c r="F421" s="52" t="n"/>
    </row>
    <row r="422">
      <c r="B422" s="51" t="n"/>
      <c r="C422" s="51" t="n"/>
      <c r="D422" s="51" t="n"/>
      <c r="E422" s="51" t="n"/>
      <c r="F422" s="52" t="n"/>
    </row>
    <row r="423">
      <c r="B423" s="51" t="n"/>
      <c r="C423" s="51" t="n"/>
      <c r="D423" s="51" t="n"/>
      <c r="E423" s="51" t="n"/>
      <c r="F423" s="52" t="n"/>
    </row>
    <row r="424">
      <c r="B424" s="51" t="n"/>
      <c r="C424" s="51" t="n"/>
      <c r="D424" s="51" t="n"/>
      <c r="E424" s="51" t="n"/>
      <c r="F424" s="52" t="n"/>
    </row>
    <row r="425">
      <c r="B425" s="51" t="n"/>
      <c r="C425" s="51" t="n"/>
      <c r="D425" s="51" t="n"/>
      <c r="E425" s="51" t="n"/>
      <c r="F425" s="52" t="n"/>
    </row>
    <row r="426">
      <c r="B426" s="51" t="n"/>
      <c r="C426" s="51" t="n"/>
      <c r="D426" s="51" t="n"/>
      <c r="E426" s="51" t="n"/>
      <c r="F426" s="52" t="n"/>
    </row>
    <row r="427">
      <c r="B427" s="51" t="n"/>
      <c r="C427" s="51" t="n"/>
      <c r="D427" s="51" t="n"/>
      <c r="E427" s="51" t="n"/>
      <c r="F427" s="52" t="n"/>
    </row>
    <row r="428">
      <c r="B428" s="51" t="n"/>
      <c r="C428" s="51" t="n"/>
      <c r="D428" s="51" t="n"/>
      <c r="E428" s="51" t="n"/>
      <c r="F428" s="52" t="n"/>
    </row>
    <row r="429">
      <c r="B429" s="51" t="n"/>
      <c r="C429" s="51" t="n"/>
      <c r="D429" s="51" t="n"/>
      <c r="E429" s="51" t="n"/>
      <c r="F429" s="52" t="n"/>
    </row>
    <row r="430">
      <c r="B430" s="51" t="n"/>
      <c r="C430" s="51" t="n"/>
      <c r="D430" s="51" t="n"/>
      <c r="E430" s="51" t="n"/>
      <c r="F430" s="52" t="n"/>
    </row>
    <row r="431">
      <c r="B431" s="51" t="n"/>
      <c r="C431" s="51" t="n"/>
      <c r="D431" s="51" t="n"/>
      <c r="E431" s="51" t="n"/>
      <c r="F431" s="52" t="n"/>
    </row>
    <row r="432">
      <c r="B432" s="51" t="n"/>
      <c r="C432" s="51" t="n"/>
      <c r="D432" s="51" t="n"/>
      <c r="E432" s="51" t="n"/>
      <c r="F432" s="52" t="n"/>
    </row>
    <row r="433">
      <c r="B433" s="51" t="n"/>
      <c r="C433" s="51" t="n"/>
      <c r="D433" s="51" t="n"/>
      <c r="E433" s="51" t="n"/>
      <c r="F433" s="52" t="n"/>
    </row>
    <row r="434">
      <c r="B434" s="51" t="n"/>
      <c r="C434" s="51" t="n"/>
      <c r="D434" s="51" t="n"/>
      <c r="E434" s="51" t="n"/>
      <c r="F434" s="52" t="n"/>
    </row>
    <row r="435">
      <c r="B435" s="51" t="n"/>
      <c r="C435" s="51" t="n"/>
      <c r="D435" s="51" t="n"/>
      <c r="E435" s="51" t="n"/>
      <c r="F435" s="52" t="n"/>
    </row>
    <row r="436">
      <c r="B436" s="51" t="n"/>
      <c r="C436" s="51" t="n"/>
      <c r="D436" s="51" t="n"/>
      <c r="E436" s="51" t="n"/>
      <c r="F436" s="52" t="n"/>
    </row>
    <row r="437">
      <c r="B437" s="51" t="n"/>
      <c r="C437" s="51" t="n"/>
      <c r="D437" s="51" t="n"/>
      <c r="E437" s="51" t="n"/>
      <c r="F437" s="52" t="n"/>
    </row>
    <row r="438">
      <c r="B438" s="51" t="n"/>
      <c r="C438" s="51" t="n"/>
      <c r="D438" s="51" t="n"/>
      <c r="E438" s="51" t="n"/>
      <c r="F438" s="52" t="n"/>
    </row>
    <row r="439">
      <c r="B439" s="51" t="n"/>
      <c r="C439" s="51" t="n"/>
      <c r="D439" s="51" t="n"/>
      <c r="E439" s="51" t="n"/>
      <c r="F439" s="52" t="n"/>
    </row>
    <row r="440">
      <c r="B440" s="51" t="n"/>
      <c r="C440" s="51" t="n"/>
      <c r="D440" s="51" t="n"/>
      <c r="E440" s="51" t="n"/>
      <c r="F440" s="52" t="n"/>
    </row>
    <row r="441">
      <c r="B441" s="51" t="n"/>
      <c r="C441" s="51" t="n"/>
      <c r="D441" s="51" t="n"/>
      <c r="E441" s="51" t="n"/>
      <c r="F441" s="52" t="n"/>
    </row>
    <row r="442">
      <c r="B442" s="51" t="n"/>
      <c r="C442" s="51" t="n"/>
      <c r="D442" s="51" t="n"/>
      <c r="E442" s="51" t="n"/>
      <c r="F442" s="52" t="n"/>
    </row>
    <row r="443">
      <c r="B443" s="51" t="n"/>
      <c r="C443" s="51" t="n"/>
      <c r="D443" s="51" t="n"/>
      <c r="E443" s="51" t="n"/>
      <c r="F443" s="52" t="n"/>
    </row>
    <row r="444">
      <c r="B444" s="51" t="n"/>
      <c r="C444" s="51" t="n"/>
      <c r="D444" s="51" t="n"/>
      <c r="E444" s="51" t="n"/>
      <c r="F444" s="52" t="n"/>
    </row>
    <row r="445">
      <c r="B445" s="51" t="n"/>
      <c r="C445" s="51" t="n"/>
      <c r="D445" s="51" t="n"/>
      <c r="E445" s="51" t="n"/>
      <c r="F445" s="52" t="n"/>
    </row>
    <row r="446">
      <c r="B446" s="51" t="n"/>
      <c r="C446" s="51" t="n"/>
      <c r="D446" s="51" t="n"/>
      <c r="E446" s="51" t="n"/>
      <c r="F446" s="52" t="n"/>
    </row>
    <row r="447">
      <c r="B447" s="51" t="n"/>
      <c r="C447" s="51" t="n"/>
      <c r="D447" s="51" t="n"/>
      <c r="E447" s="51" t="n"/>
      <c r="F447" s="52" t="n"/>
    </row>
    <row r="448">
      <c r="B448" s="51" t="n"/>
      <c r="C448" s="51" t="n"/>
      <c r="D448" s="51" t="n"/>
      <c r="E448" s="51" t="n"/>
      <c r="F448" s="52" t="n"/>
    </row>
    <row r="449">
      <c r="B449" s="51" t="n"/>
      <c r="C449" s="51" t="n"/>
      <c r="D449" s="51" t="n"/>
      <c r="E449" s="51" t="n"/>
      <c r="F449" s="52" t="n"/>
    </row>
    <row r="450">
      <c r="B450" s="51" t="n"/>
      <c r="C450" s="51" t="n"/>
      <c r="D450" s="51" t="n"/>
      <c r="E450" s="51" t="n"/>
      <c r="F450" s="52" t="n"/>
    </row>
    <row r="451">
      <c r="B451" s="51" t="n"/>
      <c r="C451" s="51" t="n"/>
      <c r="D451" s="51" t="n"/>
      <c r="E451" s="51" t="n"/>
      <c r="F451" s="52" t="n"/>
    </row>
    <row r="452">
      <c r="B452" s="51" t="n"/>
      <c r="C452" s="51" t="n"/>
      <c r="D452" s="51" t="n"/>
      <c r="E452" s="51" t="n"/>
      <c r="F452" s="52" t="n"/>
    </row>
    <row r="453">
      <c r="B453" s="51" t="n"/>
      <c r="C453" s="51" t="n"/>
      <c r="D453" s="51" t="n"/>
      <c r="E453" s="51" t="n"/>
      <c r="F453" s="52" t="n"/>
    </row>
    <row r="454">
      <c r="B454" s="51" t="n"/>
      <c r="C454" s="51" t="n"/>
      <c r="D454" s="51" t="n"/>
      <c r="E454" s="51" t="n"/>
      <c r="F454" s="52" t="n"/>
    </row>
    <row r="455">
      <c r="B455" s="51" t="n"/>
      <c r="C455" s="51" t="n"/>
      <c r="D455" s="51" t="n"/>
      <c r="E455" s="51" t="n"/>
      <c r="F455" s="52" t="n"/>
    </row>
    <row r="456">
      <c r="B456" s="51" t="n"/>
      <c r="C456" s="51" t="n"/>
      <c r="D456" s="51" t="n"/>
      <c r="E456" s="51" t="n"/>
      <c r="F456" s="52" t="n"/>
    </row>
    <row r="457">
      <c r="B457" s="51" t="n"/>
      <c r="C457" s="51" t="n"/>
      <c r="D457" s="51" t="n"/>
      <c r="E457" s="51" t="n"/>
      <c r="F457" s="52" t="n"/>
    </row>
    <row r="458">
      <c r="B458" s="51" t="n"/>
      <c r="C458" s="51" t="n"/>
      <c r="D458" s="51" t="n"/>
      <c r="E458" s="51" t="n"/>
      <c r="F458" s="52" t="n"/>
    </row>
    <row r="459">
      <c r="B459" s="51" t="n"/>
      <c r="C459" s="51" t="n"/>
      <c r="D459" s="51" t="n"/>
      <c r="E459" s="51" t="n"/>
      <c r="F459" s="52" t="n"/>
    </row>
    <row r="460">
      <c r="B460" s="51" t="n"/>
      <c r="C460" s="51" t="n"/>
      <c r="D460" s="51" t="n"/>
      <c r="E460" s="51" t="n"/>
      <c r="F460" s="52" t="n"/>
    </row>
    <row r="461">
      <c r="B461" s="51" t="n"/>
      <c r="C461" s="51" t="n"/>
      <c r="D461" s="51" t="n"/>
      <c r="E461" s="51" t="n"/>
      <c r="F461" s="52" t="n"/>
    </row>
    <row r="462">
      <c r="B462" s="51" t="n"/>
      <c r="C462" s="51" t="n"/>
      <c r="D462" s="51" t="n"/>
      <c r="E462" s="51" t="n"/>
      <c r="F462" s="52" t="n"/>
    </row>
    <row r="463">
      <c r="B463" s="51" t="n"/>
      <c r="C463" s="51" t="n"/>
      <c r="D463" s="51" t="n"/>
      <c r="E463" s="51" t="n"/>
      <c r="F463" s="52" t="n"/>
    </row>
    <row r="464">
      <c r="B464" s="51" t="n"/>
      <c r="C464" s="51" t="n"/>
      <c r="D464" s="51" t="n"/>
      <c r="E464" s="51" t="n"/>
      <c r="F464" s="52" t="n"/>
    </row>
    <row r="465">
      <c r="B465" s="51" t="n"/>
      <c r="C465" s="51" t="n"/>
      <c r="D465" s="51" t="n"/>
      <c r="E465" s="51" t="n"/>
      <c r="F465" s="52" t="n"/>
    </row>
    <row r="466">
      <c r="B466" s="51" t="n"/>
      <c r="C466" s="51" t="n"/>
      <c r="D466" s="51" t="n"/>
      <c r="E466" s="51" t="n"/>
      <c r="F466" s="52" t="n"/>
    </row>
    <row r="467">
      <c r="B467" s="51" t="n"/>
      <c r="C467" s="51" t="n"/>
      <c r="D467" s="51" t="n"/>
      <c r="E467" s="51" t="n"/>
      <c r="F467" s="52" t="n"/>
    </row>
    <row r="468">
      <c r="B468" s="51" t="n"/>
      <c r="C468" s="51" t="n"/>
      <c r="D468" s="51" t="n"/>
      <c r="E468" s="51" t="n"/>
      <c r="F468" s="52" t="n"/>
    </row>
    <row r="469">
      <c r="B469" s="51" t="n"/>
      <c r="C469" s="51" t="n"/>
      <c r="D469" s="51" t="n"/>
      <c r="E469" s="51" t="n"/>
      <c r="F469" s="52" t="n"/>
    </row>
    <row r="470">
      <c r="B470" s="51" t="n"/>
      <c r="C470" s="51" t="n"/>
      <c r="D470" s="51" t="n"/>
      <c r="E470" s="51" t="n"/>
      <c r="F470" s="52" t="n"/>
    </row>
    <row r="471">
      <c r="B471" s="51" t="n"/>
      <c r="C471" s="51" t="n"/>
      <c r="D471" s="51" t="n"/>
      <c r="E471" s="51" t="n"/>
      <c r="F471" s="52" t="n"/>
    </row>
    <row r="472">
      <c r="B472" s="51" t="n"/>
      <c r="C472" s="51" t="n"/>
      <c r="D472" s="51" t="n"/>
      <c r="E472" s="51" t="n"/>
      <c r="F472" s="52" t="n"/>
    </row>
    <row r="473">
      <c r="B473" s="51" t="n"/>
      <c r="C473" s="51" t="n"/>
      <c r="D473" s="51" t="n"/>
      <c r="E473" s="51" t="n"/>
      <c r="F473" s="52" t="n"/>
    </row>
    <row r="474">
      <c r="B474" s="51" t="n"/>
      <c r="C474" s="51" t="n"/>
      <c r="D474" s="51" t="n"/>
      <c r="E474" s="51" t="n"/>
      <c r="F474" s="52" t="n"/>
    </row>
    <row r="475">
      <c r="B475" s="51" t="n"/>
      <c r="C475" s="51" t="n"/>
      <c r="D475" s="51" t="n"/>
      <c r="E475" s="51" t="n"/>
      <c r="F475" s="52" t="n"/>
    </row>
    <row r="476">
      <c r="B476" s="51" t="n"/>
      <c r="C476" s="51" t="n"/>
      <c r="D476" s="51" t="n"/>
      <c r="E476" s="51" t="n"/>
      <c r="F476" s="52" t="n"/>
    </row>
    <row r="477">
      <c r="B477" s="51" t="n"/>
      <c r="C477" s="51" t="n"/>
      <c r="D477" s="51" t="n"/>
      <c r="E477" s="51" t="n"/>
      <c r="F477" s="52" t="n"/>
    </row>
    <row r="478">
      <c r="B478" s="51" t="n"/>
      <c r="C478" s="51" t="n"/>
      <c r="D478" s="51" t="n"/>
      <c r="E478" s="51" t="n"/>
      <c r="F478" s="52" t="n"/>
    </row>
    <row r="479">
      <c r="B479" s="51" t="n"/>
      <c r="C479" s="51" t="n"/>
      <c r="D479" s="51" t="n"/>
      <c r="E479" s="51" t="n"/>
      <c r="F479" s="52" t="n"/>
    </row>
    <row r="480">
      <c r="B480" s="51" t="n"/>
      <c r="C480" s="51" t="n"/>
      <c r="D480" s="51" t="n"/>
      <c r="E480" s="51" t="n"/>
      <c r="F480" s="52" t="n"/>
    </row>
    <row r="481">
      <c r="B481" s="51" t="n"/>
      <c r="C481" s="51" t="n"/>
      <c r="D481" s="51" t="n"/>
      <c r="E481" s="51" t="n"/>
      <c r="F481" s="52" t="n"/>
    </row>
    <row r="482">
      <c r="B482" s="51" t="n"/>
      <c r="C482" s="51" t="n"/>
      <c r="D482" s="51" t="n"/>
      <c r="E482" s="51" t="n"/>
      <c r="F482" s="52" t="n"/>
    </row>
    <row r="483">
      <c r="B483" s="51" t="n"/>
      <c r="C483" s="51" t="n"/>
      <c r="D483" s="51" t="n"/>
      <c r="E483" s="51" t="n"/>
      <c r="F483" s="52" t="n"/>
    </row>
    <row r="484">
      <c r="B484" s="51" t="n"/>
      <c r="C484" s="51" t="n"/>
      <c r="D484" s="51" t="n"/>
      <c r="E484" s="51" t="n"/>
      <c r="F484" s="52" t="n"/>
    </row>
    <row r="485">
      <c r="B485" s="51" t="n"/>
      <c r="C485" s="51" t="n"/>
      <c r="D485" s="51" t="n"/>
      <c r="E485" s="51" t="n"/>
      <c r="F485" s="52" t="n"/>
    </row>
    <row r="486">
      <c r="B486" s="51" t="n"/>
      <c r="C486" s="51" t="n"/>
      <c r="D486" s="51" t="n"/>
      <c r="E486" s="51" t="n"/>
      <c r="F486" s="52" t="n"/>
    </row>
    <row r="487">
      <c r="B487" s="51" t="n"/>
      <c r="C487" s="51" t="n"/>
      <c r="D487" s="51" t="n"/>
      <c r="E487" s="51" t="n"/>
      <c r="F487" s="52" t="n"/>
    </row>
    <row r="488">
      <c r="B488" s="51" t="n"/>
      <c r="C488" s="51" t="n"/>
      <c r="D488" s="51" t="n"/>
      <c r="E488" s="51" t="n"/>
      <c r="F488" s="52" t="n"/>
    </row>
    <row r="489">
      <c r="B489" s="51" t="n"/>
      <c r="C489" s="51" t="n"/>
      <c r="D489" s="51" t="n"/>
      <c r="E489" s="51" t="n"/>
      <c r="F489" s="52" t="n"/>
    </row>
    <row r="490">
      <c r="B490" s="51" t="n"/>
      <c r="C490" s="51" t="n"/>
      <c r="D490" s="51" t="n"/>
      <c r="E490" s="51" t="n"/>
      <c r="F490" s="52" t="n"/>
    </row>
    <row r="491">
      <c r="B491" s="51" t="n"/>
      <c r="C491" s="51" t="n"/>
      <c r="D491" s="51" t="n"/>
      <c r="E491" s="51" t="n"/>
      <c r="F491" s="52" t="n"/>
    </row>
    <row r="492">
      <c r="B492" s="51" t="n"/>
      <c r="C492" s="51" t="n"/>
      <c r="D492" s="51" t="n"/>
      <c r="E492" s="51" t="n"/>
      <c r="F492" s="52" t="n"/>
    </row>
    <row r="493">
      <c r="B493" s="51" t="n"/>
      <c r="C493" s="51" t="n"/>
      <c r="D493" s="51" t="n"/>
      <c r="E493" s="51" t="n"/>
      <c r="F493" s="52" t="n"/>
    </row>
    <row r="494">
      <c r="B494" s="51" t="n"/>
      <c r="C494" s="51" t="n"/>
      <c r="D494" s="51" t="n"/>
      <c r="E494" s="51" t="n"/>
      <c r="F494" s="52" t="n"/>
    </row>
    <row r="495">
      <c r="B495" s="51" t="n"/>
      <c r="C495" s="51" t="n"/>
      <c r="D495" s="51" t="n"/>
      <c r="E495" s="51" t="n"/>
      <c r="F495" s="52" t="n"/>
    </row>
    <row r="496">
      <c r="B496" s="51" t="n"/>
      <c r="C496" s="51" t="n"/>
      <c r="D496" s="51" t="n"/>
      <c r="E496" s="51" t="n"/>
      <c r="F496" s="52" t="n"/>
    </row>
    <row r="497">
      <c r="B497" s="51" t="n"/>
      <c r="C497" s="51" t="n"/>
      <c r="D497" s="51" t="n"/>
      <c r="E497" s="51" t="n"/>
      <c r="F497" s="52" t="n"/>
    </row>
    <row r="498">
      <c r="B498" s="51" t="n"/>
      <c r="C498" s="51" t="n"/>
      <c r="D498" s="51" t="n"/>
      <c r="E498" s="51" t="n"/>
      <c r="F498" s="52" t="n"/>
    </row>
    <row r="499">
      <c r="B499" s="51" t="n"/>
      <c r="C499" s="51" t="n"/>
      <c r="D499" s="51" t="n"/>
      <c r="E499" s="51" t="n"/>
      <c r="F499" s="52" t="n"/>
    </row>
    <row r="500">
      <c r="B500" s="51" t="n"/>
      <c r="C500" s="51" t="n"/>
      <c r="D500" s="51" t="n"/>
      <c r="E500" s="51" t="n"/>
      <c r="F500" s="52" t="n"/>
    </row>
    <row r="501">
      <c r="B501" s="51" t="n"/>
      <c r="C501" s="51" t="n"/>
      <c r="D501" s="51" t="n"/>
      <c r="E501" s="51" t="n"/>
      <c r="F501" s="52" t="n"/>
    </row>
    <row r="502">
      <c r="B502" s="51" t="n"/>
      <c r="C502" s="51" t="n"/>
      <c r="D502" s="51" t="n"/>
      <c r="E502" s="51" t="n"/>
      <c r="F502" s="52" t="n"/>
    </row>
    <row r="503">
      <c r="B503" s="51" t="n"/>
      <c r="C503" s="51" t="n"/>
      <c r="D503" s="51" t="n"/>
      <c r="E503" s="51" t="n"/>
      <c r="F503" s="52" t="n"/>
    </row>
    <row r="504">
      <c r="B504" s="51" t="n"/>
      <c r="C504" s="51" t="n"/>
      <c r="D504" s="51" t="n"/>
      <c r="E504" s="51" t="n"/>
      <c r="F504" s="52" t="n"/>
    </row>
    <row r="505">
      <c r="B505" s="51" t="n"/>
      <c r="C505" s="51" t="n"/>
      <c r="D505" s="51" t="n"/>
      <c r="E505" s="51" t="n"/>
      <c r="F505" s="52" t="n"/>
    </row>
    <row r="506">
      <c r="B506" s="51" t="n"/>
      <c r="C506" s="51" t="n"/>
      <c r="D506" s="51" t="n"/>
      <c r="E506" s="51" t="n"/>
      <c r="F506" s="52" t="n"/>
    </row>
    <row r="507">
      <c r="B507" s="51" t="n"/>
      <c r="C507" s="51" t="n"/>
      <c r="D507" s="51" t="n"/>
      <c r="E507" s="51" t="n"/>
      <c r="F507" s="52" t="n"/>
    </row>
    <row r="508">
      <c r="B508" s="51" t="n"/>
      <c r="C508" s="51" t="n"/>
      <c r="D508" s="51" t="n"/>
      <c r="E508" s="51" t="n"/>
      <c r="F508" s="52" t="n"/>
    </row>
    <row r="509">
      <c r="B509" s="51" t="n"/>
      <c r="C509" s="51" t="n"/>
      <c r="D509" s="51" t="n"/>
      <c r="E509" s="51" t="n"/>
      <c r="F509" s="52" t="n"/>
    </row>
    <row r="510">
      <c r="B510" s="51" t="n"/>
      <c r="C510" s="51" t="n"/>
      <c r="D510" s="51" t="n"/>
      <c r="E510" s="51" t="n"/>
      <c r="F510" s="52" t="n"/>
    </row>
    <row r="511">
      <c r="B511" s="51" t="n"/>
      <c r="C511" s="51" t="n"/>
      <c r="D511" s="51" t="n"/>
      <c r="E511" s="51" t="n"/>
      <c r="F511" s="52" t="n"/>
    </row>
    <row r="512">
      <c r="B512" s="51" t="n"/>
      <c r="C512" s="51" t="n"/>
      <c r="D512" s="51" t="n"/>
      <c r="E512" s="51" t="n"/>
      <c r="F512" s="52" t="n"/>
    </row>
    <row r="513">
      <c r="B513" s="51" t="n"/>
      <c r="C513" s="51" t="n"/>
      <c r="D513" s="51" t="n"/>
      <c r="E513" s="51" t="n"/>
      <c r="F513" s="52" t="n"/>
    </row>
    <row r="514">
      <c r="B514" s="51" t="n"/>
      <c r="C514" s="51" t="n"/>
      <c r="D514" s="51" t="n"/>
      <c r="E514" s="51" t="n"/>
      <c r="F514" s="52" t="n"/>
    </row>
    <row r="515">
      <c r="B515" s="51" t="n"/>
      <c r="C515" s="51" t="n"/>
      <c r="D515" s="51" t="n"/>
      <c r="E515" s="51" t="n"/>
      <c r="F515" s="52" t="n"/>
    </row>
    <row r="516">
      <c r="B516" s="51" t="n"/>
      <c r="C516" s="51" t="n"/>
      <c r="D516" s="51" t="n"/>
      <c r="E516" s="51" t="n"/>
      <c r="F516" s="52" t="n"/>
    </row>
    <row r="517">
      <c r="B517" s="51" t="n"/>
      <c r="C517" s="51" t="n"/>
      <c r="D517" s="51" t="n"/>
      <c r="E517" s="51" t="n"/>
      <c r="F517" s="52"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E17:E517">
    <cfRule type="expression" priority="5" dxfId="6">
      <formula>AND(LEN($B17&amp;$C17&amp;$D17&amp;$E17&amp;$F17)&gt;0,E17="")</formula>
    </cfRule>
  </conditionalFormatting>
  <conditionalFormatting sqref="F17:F517">
    <cfRule type="expression" priority="6"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check book Allowed: A code of D0-11 Company bank accounts, column Bank account code" type="list" errorStyle="warning">
      <formula1>=CODES_D0_11_BANK_ACCOUNT_CODE</formula1>
    </dataValidation>
    <dataValidation sqref="C17:C517" showDropDown="0" showInputMessage="1" showErrorMessage="0" allowBlank="1" promptTitle="First check number" prompt="Yes. First number of the book"/>
    <dataValidation sqref="D17:D517" showDropDown="0" showInputMessage="1" showErrorMessage="0" allowBlank="1" promptTitle="Last check number" prompt="Yes. Last number of the book"/>
    <dataValidation sqref="E17:E517" showDropDown="0" showInputMessage="1" showErrorMessage="0" allowBlank="1" promptTitle="Next check number" prompt="Yes. Next number to issue at go-live"/>
    <dataValidation sqref="F17:F517" showDropDown="0" showInputMessage="1" showErrorMessage="1" allowBlank="1" errorTitle="Received on" error="Enter a date, for example 15-Jan-2028." promptTitle="Received on" prompt="Yes. Date the book was received Allowed: A date, for example 15-Jan-2028" type="date" operator="greaterThan">
      <formula1>DATE(1900,1,1)</formula1>
    </dataValidation>
  </dataValidations>
  <hyperlinks>
    <hyperlink ref="A2" location="'Start here'!A1"/>
    <hyperlink ref="G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14" customWidth="1" min="3" max="3"/>
    <col width="24" customWidth="1" min="4" max="4"/>
    <col width="14" customWidth="1" min="5" max="5"/>
    <col width="15" customWidth="1" min="6" max="6"/>
    <col width="31" customWidth="1" min="7" max="7"/>
    <col width="13" customWidth="1" min="8" max="8"/>
    <col width="19" customWidth="1" min="9" max="9"/>
  </cols>
  <sheetData>
    <row r="1" ht="26" customHeight="1">
      <c r="A1" s="27" t="inlineStr">
        <is>
          <t>D0-13 Petty cash funds</t>
        </is>
      </c>
      <c r="I1" s="28" t="inlineStr">
        <is>
          <t>Step 27 of 31</t>
        </is>
      </c>
    </row>
    <row r="2">
      <c r="A2" s="29" t="inlineStr">
        <is>
          <t>← Back to Start here</t>
        </is>
      </c>
      <c r="B2" s="30" t="inlineStr">
        <is>
          <t>Step 27 of 31. Fill in one row per record below the column headers; the guide above each column says what to enter.</t>
        </is>
      </c>
      <c r="I2" s="31" t="inlineStr">
        <is>
          <t>Ask a question →</t>
        </is>
      </c>
    </row>
    <row r="3" outlineLevel="1" ht="15.5" customHeight="1">
      <c r="A3" s="32" t="inlineStr">
        <is>
          <t>Purpose</t>
        </is>
      </c>
      <c r="B3" s="33" t="inlineStr">
        <is>
          <t>The petty cash funds of the branches</t>
        </is>
      </c>
    </row>
    <row r="4" outlineLevel="1" ht="15.5" customHeight="1">
      <c r="A4" s="32" t="inlineStr">
        <is>
          <t>Provided by</t>
        </is>
      </c>
      <c r="B4" s="33" t="inlineStr">
        <is>
          <t>Head, Comptrollership</t>
        </is>
      </c>
    </row>
    <row r="5" outlineLevel="1" ht="15.5" customHeight="1">
      <c r="A5" s="32" t="inlineStr">
        <is>
          <t>Due</t>
        </is>
      </c>
      <c r="B5" s="34" t="inlineStr">
        <is>
          <t>1-Nov-2027 – Production values before the dress rehearsal</t>
        </is>
      </c>
    </row>
    <row r="6" outlineLevel="1" ht="15.5" customHeight="1">
      <c r="A6" s="32" t="inlineStr">
        <is>
          <t>How it is loaded</t>
        </is>
      </c>
      <c r="B6" s="33" t="inlineStr">
        <is>
          <t>Petty Cash (Payables &amp; Cash)</t>
        </is>
      </c>
    </row>
    <row r="7" outlineLevel="1" ht="15.5" customHeight="1">
      <c r="A7" s="32" t="inlineStr">
        <is>
          <t>Source</t>
        </is>
      </c>
      <c r="B7" s="33" t="inlineStr">
        <is>
          <t>Petty cash register</t>
        </is>
      </c>
    </row>
    <row r="8" outlineLevel="1" ht="26" customHeight="1">
      <c r="A8" s="32" t="inlineStr">
        <is>
          <t>Depends on</t>
        </is>
      </c>
      <c r="B8" s="55" t="inlineStr">
        <is>
          <t>D0-02 Branches →</t>
        </is>
      </c>
      <c r="D8" s="55" t="inlineStr">
        <is>
          <t>D0-05 Employees →</t>
        </is>
      </c>
      <c r="E8" s="55" t="inlineStr">
        <is>
          <t>D0-06 Chart of accounts →</t>
        </is>
      </c>
      <c r="G8" s="55" t="inlineStr">
        <is>
          <t>D0-11 Company bank accounts →</t>
        </is>
      </c>
    </row>
    <row r="9" ht="26" customHeight="1">
      <c r="A9" s="36" t="inlineStr">
        <is>
          <t>Progress</t>
        </is>
      </c>
      <c r="B9" s="37" t="inlineStr">
        <is>
          <t>Rows entered</t>
        </is>
      </c>
      <c r="C9" s="38">
        <f>SUMPRODUCT(((ROW($B$17:$B$517)&gt;17)+($B$17&lt;&gt;"HO")&gt;0)*(LEN($B$17:$B$517&amp;$C$17:$C$517&amp;$D$17:$D$517&amp;$E$17:$E$517&amp;$F$17:$F$517&amp;$G$17:$G$517&amp;$H$17:$H$517&amp;$I$17:$I$517)&gt;0))</f>
        <v/>
      </c>
      <c r="D9" s="37" t="inlineStr">
        <is>
          <t>Mandatory cells missing</t>
        </is>
      </c>
      <c r="E9" s="38">
        <f>SUMPRODUCT(((ROW($B$17:$B$517)&gt;17)+($B$17&lt;&gt;"HO")&gt;0)*(LEN($B$17:$B$517&amp;$C$17:$C$517&amp;$D$17:$D$517&amp;$E$17:$E$517&amp;$F$17:$F$517&amp;$G$17:$G$517&amp;$H$17:$H$517&amp;$I$17:$I$517)&gt;0)*(($B$17:$B$517="")+($C$17:$C$517="")+($D$17:$D$517="")+($E$17:$E$517="")+($F$17:$F$517="")+($G$17:$G$517="")+($H$17:$H$517="")+($I$17:$I$517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row>
    <row r="12" ht="17" customHeight="1">
      <c r="A12" s="43" t="inlineStr">
        <is>
          <t>Mandatory</t>
        </is>
      </c>
      <c r="B12" s="44" t="inlineStr">
        <is>
          <t>Yes</t>
        </is>
      </c>
      <c r="C12" s="44" t="inlineStr">
        <is>
          <t>Yes</t>
        </is>
      </c>
      <c r="D12" s="44" t="inlineStr">
        <is>
          <t>Yes</t>
        </is>
      </c>
      <c r="E12" s="44" t="inlineStr">
        <is>
          <t>Yes</t>
        </is>
      </c>
      <c r="F12" s="44" t="inlineStr">
        <is>
          <t>Yes</t>
        </is>
      </c>
      <c r="G12" s="44" t="inlineStr">
        <is>
          <t>Yes</t>
        </is>
      </c>
      <c r="H12" s="44" t="inlineStr">
        <is>
          <t>Yes</t>
        </is>
      </c>
      <c r="I12" s="44" t="inlineStr">
        <is>
          <t>Yes</t>
        </is>
      </c>
    </row>
    <row r="13" ht="30" customHeight="1">
      <c r="A13" s="43" t="inlineStr">
        <is>
          <t>Format</t>
        </is>
      </c>
      <c r="B13" s="45" t="inlineStr">
        <is>
          <t>Code of D0-02</t>
        </is>
      </c>
      <c r="C13" s="45" t="inlineStr">
        <is>
          <t>Up to 20 capitals</t>
        </is>
      </c>
      <c r="D13" s="45" t="inlineStr">
        <is>
          <t>Text</t>
        </is>
      </c>
      <c r="E13" s="45" t="inlineStr">
        <is>
          <t>Employee of D0-05</t>
        </is>
      </c>
      <c r="F13" s="45" t="inlineStr">
        <is>
          <t>Account of D0-06</t>
        </is>
      </c>
      <c r="G13" s="45" t="inlineStr">
        <is>
          <t>Code of D0-11</t>
        </is>
      </c>
      <c r="H13" s="45" t="inlineStr">
        <is>
          <t>ISO 4217</t>
        </is>
      </c>
      <c r="I13" s="45" t="inlineStr">
        <is>
          <t>Amount</t>
        </is>
      </c>
    </row>
    <row r="14" ht="56" customHeight="1">
      <c r="A14" s="43" t="inlineStr">
        <is>
          <t>Allowed values</t>
        </is>
      </c>
      <c r="B14" s="53" t="inlineStr">
        <is>
          <t>A code of D0-02 Branches, column Branch code</t>
        </is>
      </c>
      <c r="C14" s="45" t="inlineStr">
        <is>
          <t>Free entry, up to 20 characters</t>
        </is>
      </c>
      <c r="D14" s="45" t="inlineStr">
        <is>
          <t>Free entry</t>
        </is>
      </c>
      <c r="E14" s="53" t="inlineStr">
        <is>
          <t>A code of D0-05 Employees, column Employee number</t>
        </is>
      </c>
      <c r="F14" s="53" t="inlineStr">
        <is>
          <t>A code of D0-06 Chart of accounts, column Account Code</t>
        </is>
      </c>
      <c r="G14" s="53" t="inlineStr">
        <is>
          <t>A code of D0-11 Company bank accounts, column Bank account code</t>
        </is>
      </c>
      <c r="H14" s="45" t="inlineStr">
        <is>
          <t>Free entry, up to 3 characters</t>
        </is>
      </c>
      <c r="I14" s="45" t="inlineStr">
        <is>
          <t>A number</t>
        </is>
      </c>
    </row>
    <row r="15" ht="30" customHeight="1">
      <c r="A15" s="43" t="inlineStr">
        <is>
          <t>What to enter</t>
        </is>
      </c>
      <c r="B15" s="45" t="inlineStr">
        <is>
          <t>Branch of the fund</t>
        </is>
      </c>
      <c r="C15" s="45" t="inlineStr">
        <is>
          <t>Code of the fund</t>
        </is>
      </c>
      <c r="D15" s="45" t="inlineStr">
        <is>
          <t>Name of the fund</t>
        </is>
      </c>
      <c r="E15" s="45" t="inlineStr">
        <is>
          <t>Custodian of the fund</t>
        </is>
      </c>
      <c r="F15" s="45" t="inlineStr">
        <is>
          <t>Petty cash account</t>
        </is>
      </c>
      <c r="G15" s="45" t="inlineStr">
        <is>
          <t>Account that replenishes the fund</t>
        </is>
      </c>
      <c r="H15" s="45" t="inlineStr">
        <is>
          <t>Currency of the fund</t>
        </is>
      </c>
      <c r="I15" s="45" t="inlineStr">
        <is>
          <t>Amount of the fund</t>
        </is>
      </c>
    </row>
    <row r="16" ht="30" customHeight="1">
      <c r="A16" s="46" t="inlineStr">
        <is>
          <t>Row</t>
        </is>
      </c>
      <c r="B16" s="47" t="inlineStr">
        <is>
          <t>Branch code *</t>
        </is>
      </c>
      <c r="C16" s="47" t="inlineStr">
        <is>
          <t>Fund code *</t>
        </is>
      </c>
      <c r="D16" s="47" t="inlineStr">
        <is>
          <t>Name *</t>
        </is>
      </c>
      <c r="E16" s="47" t="inlineStr">
        <is>
          <t>Custodian *</t>
        </is>
      </c>
      <c r="F16" s="47" t="inlineStr">
        <is>
          <t>GL account *</t>
        </is>
      </c>
      <c r="G16" s="47" t="inlineStr">
        <is>
          <t>Replenishment bank account *</t>
        </is>
      </c>
      <c r="H16" s="47" t="inlineStr">
        <is>
          <t>Currency *</t>
        </is>
      </c>
      <c r="I16" s="47" t="inlineStr">
        <is>
          <t>Imprest amount *</t>
        </is>
      </c>
    </row>
    <row r="17" ht="18" customHeight="1">
      <c r="A17" s="48" t="inlineStr">
        <is>
          <t>Example – overwrite or delete</t>
        </is>
      </c>
      <c r="B17" s="49" t="inlineStr">
        <is>
          <t>HO</t>
        </is>
      </c>
      <c r="C17" s="49" t="inlineStr">
        <is>
          <t>PCF-HO</t>
        </is>
      </c>
      <c r="D17" s="49" t="inlineStr">
        <is>
          <t>Head Office petty cash</t>
        </is>
      </c>
      <c r="E17" s="49" t="inlineStr">
        <is>
          <t>1203344</t>
        </is>
      </c>
      <c r="F17" s="49" t="inlineStr">
        <is>
          <t>1101.01</t>
        </is>
      </c>
      <c r="G17" s="49" t="inlineStr">
        <is>
          <t>BDO-CA-001</t>
        </is>
      </c>
      <c r="H17" s="49" t="inlineStr">
        <is>
          <t>PHP</t>
        </is>
      </c>
      <c r="I17" s="54" t="n">
        <v>20000</v>
      </c>
    </row>
    <row r="18">
      <c r="B18" s="51" t="n"/>
      <c r="C18" s="51" t="n"/>
      <c r="D18" s="51" t="n"/>
      <c r="E18" s="51" t="n"/>
      <c r="F18" s="51" t="n"/>
      <c r="G18" s="51" t="n"/>
      <c r="H18" s="51" t="n"/>
    </row>
    <row r="19">
      <c r="B19" s="51" t="n"/>
      <c r="C19" s="51" t="n"/>
      <c r="D19" s="51" t="n"/>
      <c r="E19" s="51" t="n"/>
      <c r="F19" s="51" t="n"/>
      <c r="G19" s="51" t="n"/>
      <c r="H19" s="51" t="n"/>
    </row>
    <row r="20">
      <c r="B20" s="51" t="n"/>
      <c r="C20" s="51" t="n"/>
      <c r="D20" s="51" t="n"/>
      <c r="E20" s="51" t="n"/>
      <c r="F20" s="51" t="n"/>
      <c r="G20" s="51" t="n"/>
      <c r="H20" s="51" t="n"/>
    </row>
    <row r="21">
      <c r="B21" s="51" t="n"/>
      <c r="C21" s="51" t="n"/>
      <c r="D21" s="51" t="n"/>
      <c r="E21" s="51" t="n"/>
      <c r="F21" s="51" t="n"/>
      <c r="G21" s="51" t="n"/>
      <c r="H21" s="51" t="n"/>
    </row>
    <row r="22">
      <c r="B22" s="51" t="n"/>
      <c r="C22" s="51" t="n"/>
      <c r="D22" s="51" t="n"/>
      <c r="E22" s="51" t="n"/>
      <c r="F22" s="51" t="n"/>
      <c r="G22" s="51" t="n"/>
      <c r="H22" s="51" t="n"/>
    </row>
    <row r="23">
      <c r="B23" s="51" t="n"/>
      <c r="C23" s="51" t="n"/>
      <c r="D23" s="51" t="n"/>
      <c r="E23" s="51" t="n"/>
      <c r="F23" s="51" t="n"/>
      <c r="G23" s="51" t="n"/>
      <c r="H23" s="51" t="n"/>
    </row>
    <row r="24">
      <c r="B24" s="51" t="n"/>
      <c r="C24" s="51" t="n"/>
      <c r="D24" s="51" t="n"/>
      <c r="E24" s="51" t="n"/>
      <c r="F24" s="51" t="n"/>
      <c r="G24" s="51" t="n"/>
      <c r="H24" s="51" t="n"/>
    </row>
    <row r="25">
      <c r="B25" s="51" t="n"/>
      <c r="C25" s="51" t="n"/>
      <c r="D25" s="51" t="n"/>
      <c r="E25" s="51" t="n"/>
      <c r="F25" s="51" t="n"/>
      <c r="G25" s="51" t="n"/>
      <c r="H25" s="51" t="n"/>
    </row>
    <row r="26">
      <c r="B26" s="51" t="n"/>
      <c r="C26" s="51" t="n"/>
      <c r="D26" s="51" t="n"/>
      <c r="E26" s="51" t="n"/>
      <c r="F26" s="51" t="n"/>
      <c r="G26" s="51" t="n"/>
      <c r="H26" s="51" t="n"/>
    </row>
    <row r="27">
      <c r="B27" s="51" t="n"/>
      <c r="C27" s="51" t="n"/>
      <c r="D27" s="51" t="n"/>
      <c r="E27" s="51" t="n"/>
      <c r="F27" s="51" t="n"/>
      <c r="G27" s="51" t="n"/>
      <c r="H27" s="51" t="n"/>
    </row>
    <row r="28">
      <c r="B28" s="51" t="n"/>
      <c r="C28" s="51" t="n"/>
      <c r="D28" s="51" t="n"/>
      <c r="E28" s="51" t="n"/>
      <c r="F28" s="51" t="n"/>
      <c r="G28" s="51" t="n"/>
      <c r="H28" s="51" t="n"/>
    </row>
    <row r="29">
      <c r="B29" s="51" t="n"/>
      <c r="C29" s="51" t="n"/>
      <c r="D29" s="51" t="n"/>
      <c r="E29" s="51" t="n"/>
      <c r="F29" s="51" t="n"/>
      <c r="G29" s="51" t="n"/>
      <c r="H29" s="51" t="n"/>
    </row>
    <row r="30">
      <c r="B30" s="51" t="n"/>
      <c r="C30" s="51" t="n"/>
      <c r="D30" s="51" t="n"/>
      <c r="E30" s="51" t="n"/>
      <c r="F30" s="51" t="n"/>
      <c r="G30" s="51" t="n"/>
      <c r="H30" s="51" t="n"/>
    </row>
    <row r="31">
      <c r="B31" s="51" t="n"/>
      <c r="C31" s="51" t="n"/>
      <c r="D31" s="51" t="n"/>
      <c r="E31" s="51" t="n"/>
      <c r="F31" s="51" t="n"/>
      <c r="G31" s="51" t="n"/>
      <c r="H31" s="51" t="n"/>
    </row>
    <row r="32">
      <c r="B32" s="51" t="n"/>
      <c r="C32" s="51" t="n"/>
      <c r="D32" s="51" t="n"/>
      <c r="E32" s="51" t="n"/>
      <c r="F32" s="51" t="n"/>
      <c r="G32" s="51" t="n"/>
      <c r="H32" s="51" t="n"/>
    </row>
    <row r="33">
      <c r="B33" s="51" t="n"/>
      <c r="C33" s="51" t="n"/>
      <c r="D33" s="51" t="n"/>
      <c r="E33" s="51" t="n"/>
      <c r="F33" s="51" t="n"/>
      <c r="G33" s="51" t="n"/>
      <c r="H33" s="51" t="n"/>
    </row>
    <row r="34">
      <c r="B34" s="51" t="n"/>
      <c r="C34" s="51" t="n"/>
      <c r="D34" s="51" t="n"/>
      <c r="E34" s="51" t="n"/>
      <c r="F34" s="51" t="n"/>
      <c r="G34" s="51" t="n"/>
      <c r="H34" s="51" t="n"/>
    </row>
    <row r="35">
      <c r="B35" s="51" t="n"/>
      <c r="C35" s="51" t="n"/>
      <c r="D35" s="51" t="n"/>
      <c r="E35" s="51" t="n"/>
      <c r="F35" s="51" t="n"/>
      <c r="G35" s="51" t="n"/>
      <c r="H35" s="51" t="n"/>
    </row>
    <row r="36">
      <c r="B36" s="51" t="n"/>
      <c r="C36" s="51" t="n"/>
      <c r="D36" s="51" t="n"/>
      <c r="E36" s="51" t="n"/>
      <c r="F36" s="51" t="n"/>
      <c r="G36" s="51" t="n"/>
      <c r="H36" s="51" t="n"/>
    </row>
    <row r="37">
      <c r="B37" s="51" t="n"/>
      <c r="C37" s="51" t="n"/>
      <c r="D37" s="51" t="n"/>
      <c r="E37" s="51" t="n"/>
      <c r="F37" s="51" t="n"/>
      <c r="G37" s="51" t="n"/>
      <c r="H37" s="51" t="n"/>
    </row>
    <row r="38">
      <c r="B38" s="51" t="n"/>
      <c r="C38" s="51" t="n"/>
      <c r="D38" s="51" t="n"/>
      <c r="E38" s="51" t="n"/>
      <c r="F38" s="51" t="n"/>
      <c r="G38" s="51" t="n"/>
      <c r="H38" s="51" t="n"/>
    </row>
    <row r="39">
      <c r="B39" s="51" t="n"/>
      <c r="C39" s="51" t="n"/>
      <c r="D39" s="51" t="n"/>
      <c r="E39" s="51" t="n"/>
      <c r="F39" s="51" t="n"/>
      <c r="G39" s="51" t="n"/>
      <c r="H39" s="51" t="n"/>
    </row>
    <row r="40">
      <c r="B40" s="51" t="n"/>
      <c r="C40" s="51" t="n"/>
      <c r="D40" s="51" t="n"/>
      <c r="E40" s="51" t="n"/>
      <c r="F40" s="51" t="n"/>
      <c r="G40" s="51" t="n"/>
      <c r="H40" s="51" t="n"/>
    </row>
    <row r="41">
      <c r="B41" s="51" t="n"/>
      <c r="C41" s="51" t="n"/>
      <c r="D41" s="51" t="n"/>
      <c r="E41" s="51" t="n"/>
      <c r="F41" s="51" t="n"/>
      <c r="G41" s="51" t="n"/>
      <c r="H41" s="51" t="n"/>
    </row>
    <row r="42">
      <c r="B42" s="51" t="n"/>
      <c r="C42" s="51" t="n"/>
      <c r="D42" s="51" t="n"/>
      <c r="E42" s="51" t="n"/>
      <c r="F42" s="51" t="n"/>
      <c r="G42" s="51" t="n"/>
      <c r="H42" s="51" t="n"/>
    </row>
    <row r="43">
      <c r="B43" s="51" t="n"/>
      <c r="C43" s="51" t="n"/>
      <c r="D43" s="51" t="n"/>
      <c r="E43" s="51" t="n"/>
      <c r="F43" s="51" t="n"/>
      <c r="G43" s="51" t="n"/>
      <c r="H43" s="51" t="n"/>
    </row>
    <row r="44">
      <c r="B44" s="51" t="n"/>
      <c r="C44" s="51" t="n"/>
      <c r="D44" s="51" t="n"/>
      <c r="E44" s="51" t="n"/>
      <c r="F44" s="51" t="n"/>
      <c r="G44" s="51" t="n"/>
      <c r="H44" s="51" t="n"/>
    </row>
    <row r="45">
      <c r="B45" s="51" t="n"/>
      <c r="C45" s="51" t="n"/>
      <c r="D45" s="51" t="n"/>
      <c r="E45" s="51" t="n"/>
      <c r="F45" s="51" t="n"/>
      <c r="G45" s="51" t="n"/>
      <c r="H45" s="51" t="n"/>
    </row>
    <row r="46">
      <c r="B46" s="51" t="n"/>
      <c r="C46" s="51" t="n"/>
      <c r="D46" s="51" t="n"/>
      <c r="E46" s="51" t="n"/>
      <c r="F46" s="51" t="n"/>
      <c r="G46" s="51" t="n"/>
      <c r="H46" s="51" t="n"/>
    </row>
    <row r="47">
      <c r="B47" s="51" t="n"/>
      <c r="C47" s="51" t="n"/>
      <c r="D47" s="51" t="n"/>
      <c r="E47" s="51" t="n"/>
      <c r="F47" s="51" t="n"/>
      <c r="G47" s="51" t="n"/>
      <c r="H47" s="51" t="n"/>
    </row>
    <row r="48">
      <c r="B48" s="51" t="n"/>
      <c r="C48" s="51" t="n"/>
      <c r="D48" s="51" t="n"/>
      <c r="E48" s="51" t="n"/>
      <c r="F48" s="51" t="n"/>
      <c r="G48" s="51" t="n"/>
      <c r="H48" s="51" t="n"/>
    </row>
    <row r="49">
      <c r="B49" s="51" t="n"/>
      <c r="C49" s="51" t="n"/>
      <c r="D49" s="51" t="n"/>
      <c r="E49" s="51" t="n"/>
      <c r="F49" s="51" t="n"/>
      <c r="G49" s="51" t="n"/>
      <c r="H49" s="51" t="n"/>
    </row>
    <row r="50">
      <c r="B50" s="51" t="n"/>
      <c r="C50" s="51" t="n"/>
      <c r="D50" s="51" t="n"/>
      <c r="E50" s="51" t="n"/>
      <c r="F50" s="51" t="n"/>
      <c r="G50" s="51" t="n"/>
      <c r="H50" s="51" t="n"/>
    </row>
    <row r="51">
      <c r="B51" s="51" t="n"/>
      <c r="C51" s="51" t="n"/>
      <c r="D51" s="51" t="n"/>
      <c r="E51" s="51" t="n"/>
      <c r="F51" s="51" t="n"/>
      <c r="G51" s="51" t="n"/>
      <c r="H51" s="51" t="n"/>
    </row>
    <row r="52">
      <c r="B52" s="51" t="n"/>
      <c r="C52" s="51" t="n"/>
      <c r="D52" s="51" t="n"/>
      <c r="E52" s="51" t="n"/>
      <c r="F52" s="51" t="n"/>
      <c r="G52" s="51" t="n"/>
      <c r="H52" s="51" t="n"/>
    </row>
    <row r="53">
      <c r="B53" s="51" t="n"/>
      <c r="C53" s="51" t="n"/>
      <c r="D53" s="51" t="n"/>
      <c r="E53" s="51" t="n"/>
      <c r="F53" s="51" t="n"/>
      <c r="G53" s="51" t="n"/>
      <c r="H53" s="51" t="n"/>
    </row>
    <row r="54">
      <c r="B54" s="51" t="n"/>
      <c r="C54" s="51" t="n"/>
      <c r="D54" s="51" t="n"/>
      <c r="E54" s="51" t="n"/>
      <c r="F54" s="51" t="n"/>
      <c r="G54" s="51" t="n"/>
      <c r="H54" s="51" t="n"/>
    </row>
    <row r="55">
      <c r="B55" s="51" t="n"/>
      <c r="C55" s="51" t="n"/>
      <c r="D55" s="51" t="n"/>
      <c r="E55" s="51" t="n"/>
      <c r="F55" s="51" t="n"/>
      <c r="G55" s="51" t="n"/>
      <c r="H55" s="51" t="n"/>
    </row>
    <row r="56">
      <c r="B56" s="51" t="n"/>
      <c r="C56" s="51" t="n"/>
      <c r="D56" s="51" t="n"/>
      <c r="E56" s="51" t="n"/>
      <c r="F56" s="51" t="n"/>
      <c r="G56" s="51" t="n"/>
      <c r="H56" s="51" t="n"/>
    </row>
    <row r="57">
      <c r="B57" s="51" t="n"/>
      <c r="C57" s="51" t="n"/>
      <c r="D57" s="51" t="n"/>
      <c r="E57" s="51" t="n"/>
      <c r="F57" s="51" t="n"/>
      <c r="G57" s="51" t="n"/>
      <c r="H57" s="51" t="n"/>
    </row>
    <row r="58">
      <c r="B58" s="51" t="n"/>
      <c r="C58" s="51" t="n"/>
      <c r="D58" s="51" t="n"/>
      <c r="E58" s="51" t="n"/>
      <c r="F58" s="51" t="n"/>
      <c r="G58" s="51" t="n"/>
      <c r="H58" s="51" t="n"/>
    </row>
    <row r="59">
      <c r="B59" s="51" t="n"/>
      <c r="C59" s="51" t="n"/>
      <c r="D59" s="51" t="n"/>
      <c r="E59" s="51" t="n"/>
      <c r="F59" s="51" t="n"/>
      <c r="G59" s="51" t="n"/>
      <c r="H59" s="51" t="n"/>
    </row>
    <row r="60">
      <c r="B60" s="51" t="n"/>
      <c r="C60" s="51" t="n"/>
      <c r="D60" s="51" t="n"/>
      <c r="E60" s="51" t="n"/>
      <c r="F60" s="51" t="n"/>
      <c r="G60" s="51" t="n"/>
      <c r="H60" s="51" t="n"/>
    </row>
    <row r="61">
      <c r="B61" s="51" t="n"/>
      <c r="C61" s="51" t="n"/>
      <c r="D61" s="51" t="n"/>
      <c r="E61" s="51" t="n"/>
      <c r="F61" s="51" t="n"/>
      <c r="G61" s="51" t="n"/>
      <c r="H61" s="51" t="n"/>
    </row>
    <row r="62">
      <c r="B62" s="51" t="n"/>
      <c r="C62" s="51" t="n"/>
      <c r="D62" s="51" t="n"/>
      <c r="E62" s="51" t="n"/>
      <c r="F62" s="51" t="n"/>
      <c r="G62" s="51" t="n"/>
      <c r="H62" s="51" t="n"/>
    </row>
    <row r="63">
      <c r="B63" s="51" t="n"/>
      <c r="C63" s="51" t="n"/>
      <c r="D63" s="51" t="n"/>
      <c r="E63" s="51" t="n"/>
      <c r="F63" s="51" t="n"/>
      <c r="G63" s="51" t="n"/>
      <c r="H63" s="51" t="n"/>
    </row>
    <row r="64">
      <c r="B64" s="51" t="n"/>
      <c r="C64" s="51" t="n"/>
      <c r="D64" s="51" t="n"/>
      <c r="E64" s="51" t="n"/>
      <c r="F64" s="51" t="n"/>
      <c r="G64" s="51" t="n"/>
      <c r="H64" s="51" t="n"/>
    </row>
    <row r="65">
      <c r="B65" s="51" t="n"/>
      <c r="C65" s="51" t="n"/>
      <c r="D65" s="51" t="n"/>
      <c r="E65" s="51" t="n"/>
      <c r="F65" s="51" t="n"/>
      <c r="G65" s="51" t="n"/>
      <c r="H65" s="51" t="n"/>
    </row>
    <row r="66">
      <c r="B66" s="51" t="n"/>
      <c r="C66" s="51" t="n"/>
      <c r="D66" s="51" t="n"/>
      <c r="E66" s="51" t="n"/>
      <c r="F66" s="51" t="n"/>
      <c r="G66" s="51" t="n"/>
      <c r="H66" s="51" t="n"/>
    </row>
    <row r="67">
      <c r="B67" s="51" t="n"/>
      <c r="C67" s="51" t="n"/>
      <c r="D67" s="51" t="n"/>
      <c r="E67" s="51" t="n"/>
      <c r="F67" s="51" t="n"/>
      <c r="G67" s="51" t="n"/>
      <c r="H67" s="51" t="n"/>
    </row>
    <row r="68">
      <c r="B68" s="51" t="n"/>
      <c r="C68" s="51" t="n"/>
      <c r="D68" s="51" t="n"/>
      <c r="E68" s="51" t="n"/>
      <c r="F68" s="51" t="n"/>
      <c r="G68" s="51" t="n"/>
      <c r="H68" s="51" t="n"/>
    </row>
    <row r="69">
      <c r="B69" s="51" t="n"/>
      <c r="C69" s="51" t="n"/>
      <c r="D69" s="51" t="n"/>
      <c r="E69" s="51" t="n"/>
      <c r="F69" s="51" t="n"/>
      <c r="G69" s="51" t="n"/>
      <c r="H69" s="51" t="n"/>
    </row>
    <row r="70">
      <c r="B70" s="51" t="n"/>
      <c r="C70" s="51" t="n"/>
      <c r="D70" s="51" t="n"/>
      <c r="E70" s="51" t="n"/>
      <c r="F70" s="51" t="n"/>
      <c r="G70" s="51" t="n"/>
      <c r="H70" s="51" t="n"/>
    </row>
    <row r="71">
      <c r="B71" s="51" t="n"/>
      <c r="C71" s="51" t="n"/>
      <c r="D71" s="51" t="n"/>
      <c r="E71" s="51" t="n"/>
      <c r="F71" s="51" t="n"/>
      <c r="G71" s="51" t="n"/>
      <c r="H71" s="51" t="n"/>
    </row>
    <row r="72">
      <c r="B72" s="51" t="n"/>
      <c r="C72" s="51" t="n"/>
      <c r="D72" s="51" t="n"/>
      <c r="E72" s="51" t="n"/>
      <c r="F72" s="51" t="n"/>
      <c r="G72" s="51" t="n"/>
      <c r="H72" s="51" t="n"/>
    </row>
    <row r="73">
      <c r="B73" s="51" t="n"/>
      <c r="C73" s="51" t="n"/>
      <c r="D73" s="51" t="n"/>
      <c r="E73" s="51" t="n"/>
      <c r="F73" s="51" t="n"/>
      <c r="G73" s="51" t="n"/>
      <c r="H73" s="51" t="n"/>
    </row>
    <row r="74">
      <c r="B74" s="51" t="n"/>
      <c r="C74" s="51" t="n"/>
      <c r="D74" s="51" t="n"/>
      <c r="E74" s="51" t="n"/>
      <c r="F74" s="51" t="n"/>
      <c r="G74" s="51" t="n"/>
      <c r="H74" s="51" t="n"/>
    </row>
    <row r="75">
      <c r="B75" s="51" t="n"/>
      <c r="C75" s="51" t="n"/>
      <c r="D75" s="51" t="n"/>
      <c r="E75" s="51" t="n"/>
      <c r="F75" s="51" t="n"/>
      <c r="G75" s="51" t="n"/>
      <c r="H75" s="51" t="n"/>
    </row>
    <row r="76">
      <c r="B76" s="51" t="n"/>
      <c r="C76" s="51" t="n"/>
      <c r="D76" s="51" t="n"/>
      <c r="E76" s="51" t="n"/>
      <c r="F76" s="51" t="n"/>
      <c r="G76" s="51" t="n"/>
      <c r="H76" s="51" t="n"/>
    </row>
    <row r="77">
      <c r="B77" s="51" t="n"/>
      <c r="C77" s="51" t="n"/>
      <c r="D77" s="51" t="n"/>
      <c r="E77" s="51" t="n"/>
      <c r="F77" s="51" t="n"/>
      <c r="G77" s="51" t="n"/>
      <c r="H77" s="51" t="n"/>
    </row>
    <row r="78">
      <c r="B78" s="51" t="n"/>
      <c r="C78" s="51" t="n"/>
      <c r="D78" s="51" t="n"/>
      <c r="E78" s="51" t="n"/>
      <c r="F78" s="51" t="n"/>
      <c r="G78" s="51" t="n"/>
      <c r="H78" s="51" t="n"/>
    </row>
    <row r="79">
      <c r="B79" s="51" t="n"/>
      <c r="C79" s="51" t="n"/>
      <c r="D79" s="51" t="n"/>
      <c r="E79" s="51" t="n"/>
      <c r="F79" s="51" t="n"/>
      <c r="G79" s="51" t="n"/>
      <c r="H79" s="51" t="n"/>
    </row>
    <row r="80">
      <c r="B80" s="51" t="n"/>
      <c r="C80" s="51" t="n"/>
      <c r="D80" s="51" t="n"/>
      <c r="E80" s="51" t="n"/>
      <c r="F80" s="51" t="n"/>
      <c r="G80" s="51" t="n"/>
      <c r="H80" s="51" t="n"/>
    </row>
    <row r="81">
      <c r="B81" s="51" t="n"/>
      <c r="C81" s="51" t="n"/>
      <c r="D81" s="51" t="n"/>
      <c r="E81" s="51" t="n"/>
      <c r="F81" s="51" t="n"/>
      <c r="G81" s="51" t="n"/>
      <c r="H81" s="51" t="n"/>
    </row>
    <row r="82">
      <c r="B82" s="51" t="n"/>
      <c r="C82" s="51" t="n"/>
      <c r="D82" s="51" t="n"/>
      <c r="E82" s="51" t="n"/>
      <c r="F82" s="51" t="n"/>
      <c r="G82" s="51" t="n"/>
      <c r="H82" s="51" t="n"/>
    </row>
    <row r="83">
      <c r="B83" s="51" t="n"/>
      <c r="C83" s="51" t="n"/>
      <c r="D83" s="51" t="n"/>
      <c r="E83" s="51" t="n"/>
      <c r="F83" s="51" t="n"/>
      <c r="G83" s="51" t="n"/>
      <c r="H83" s="51" t="n"/>
    </row>
    <row r="84">
      <c r="B84" s="51" t="n"/>
      <c r="C84" s="51" t="n"/>
      <c r="D84" s="51" t="n"/>
      <c r="E84" s="51" t="n"/>
      <c r="F84" s="51" t="n"/>
      <c r="G84" s="51" t="n"/>
      <c r="H84" s="51" t="n"/>
    </row>
    <row r="85">
      <c r="B85" s="51" t="n"/>
      <c r="C85" s="51" t="n"/>
      <c r="D85" s="51" t="n"/>
      <c r="E85" s="51" t="n"/>
      <c r="F85" s="51" t="n"/>
      <c r="G85" s="51" t="n"/>
      <c r="H85" s="51" t="n"/>
    </row>
    <row r="86">
      <c r="B86" s="51" t="n"/>
      <c r="C86" s="51" t="n"/>
      <c r="D86" s="51" t="n"/>
      <c r="E86" s="51" t="n"/>
      <c r="F86" s="51" t="n"/>
      <c r="G86" s="51" t="n"/>
      <c r="H86" s="51" t="n"/>
    </row>
    <row r="87">
      <c r="B87" s="51" t="n"/>
      <c r="C87" s="51" t="n"/>
      <c r="D87" s="51" t="n"/>
      <c r="E87" s="51" t="n"/>
      <c r="F87" s="51" t="n"/>
      <c r="G87" s="51" t="n"/>
      <c r="H87" s="51" t="n"/>
    </row>
    <row r="88">
      <c r="B88" s="51" t="n"/>
      <c r="C88" s="51" t="n"/>
      <c r="D88" s="51" t="n"/>
      <c r="E88" s="51" t="n"/>
      <c r="F88" s="51" t="n"/>
      <c r="G88" s="51" t="n"/>
      <c r="H88" s="51" t="n"/>
    </row>
    <row r="89">
      <c r="B89" s="51" t="n"/>
      <c r="C89" s="51" t="n"/>
      <c r="D89" s="51" t="n"/>
      <c r="E89" s="51" t="n"/>
      <c r="F89" s="51" t="n"/>
      <c r="G89" s="51" t="n"/>
      <c r="H89" s="51" t="n"/>
    </row>
    <row r="90">
      <c r="B90" s="51" t="n"/>
      <c r="C90" s="51" t="n"/>
      <c r="D90" s="51" t="n"/>
      <c r="E90" s="51" t="n"/>
      <c r="F90" s="51" t="n"/>
      <c r="G90" s="51" t="n"/>
      <c r="H90" s="51" t="n"/>
    </row>
    <row r="91">
      <c r="B91" s="51" t="n"/>
      <c r="C91" s="51" t="n"/>
      <c r="D91" s="51" t="n"/>
      <c r="E91" s="51" t="n"/>
      <c r="F91" s="51" t="n"/>
      <c r="G91" s="51" t="n"/>
      <c r="H91" s="51" t="n"/>
    </row>
    <row r="92">
      <c r="B92" s="51" t="n"/>
      <c r="C92" s="51" t="n"/>
      <c r="D92" s="51" t="n"/>
      <c r="E92" s="51" t="n"/>
      <c r="F92" s="51" t="n"/>
      <c r="G92" s="51" t="n"/>
      <c r="H92" s="51" t="n"/>
    </row>
    <row r="93">
      <c r="B93" s="51" t="n"/>
      <c r="C93" s="51" t="n"/>
      <c r="D93" s="51" t="n"/>
      <c r="E93" s="51" t="n"/>
      <c r="F93" s="51" t="n"/>
      <c r="G93" s="51" t="n"/>
      <c r="H93" s="51" t="n"/>
    </row>
    <row r="94">
      <c r="B94" s="51" t="n"/>
      <c r="C94" s="51" t="n"/>
      <c r="D94" s="51" t="n"/>
      <c r="E94" s="51" t="n"/>
      <c r="F94" s="51" t="n"/>
      <c r="G94" s="51" t="n"/>
      <c r="H94" s="51" t="n"/>
    </row>
    <row r="95">
      <c r="B95" s="51" t="n"/>
      <c r="C95" s="51" t="n"/>
      <c r="D95" s="51" t="n"/>
      <c r="E95" s="51" t="n"/>
      <c r="F95" s="51" t="n"/>
      <c r="G95" s="51" t="n"/>
      <c r="H95" s="51" t="n"/>
    </row>
    <row r="96">
      <c r="B96" s="51" t="n"/>
      <c r="C96" s="51" t="n"/>
      <c r="D96" s="51" t="n"/>
      <c r="E96" s="51" t="n"/>
      <c r="F96" s="51" t="n"/>
      <c r="G96" s="51" t="n"/>
      <c r="H96" s="51" t="n"/>
    </row>
    <row r="97">
      <c r="B97" s="51" t="n"/>
      <c r="C97" s="51" t="n"/>
      <c r="D97" s="51" t="n"/>
      <c r="E97" s="51" t="n"/>
      <c r="F97" s="51" t="n"/>
      <c r="G97" s="51" t="n"/>
      <c r="H97" s="51" t="n"/>
    </row>
    <row r="98">
      <c r="B98" s="51" t="n"/>
      <c r="C98" s="51" t="n"/>
      <c r="D98" s="51" t="n"/>
      <c r="E98" s="51" t="n"/>
      <c r="F98" s="51" t="n"/>
      <c r="G98" s="51" t="n"/>
      <c r="H98" s="51" t="n"/>
    </row>
    <row r="99">
      <c r="B99" s="51" t="n"/>
      <c r="C99" s="51" t="n"/>
      <c r="D99" s="51" t="n"/>
      <c r="E99" s="51" t="n"/>
      <c r="F99" s="51" t="n"/>
      <c r="G99" s="51" t="n"/>
      <c r="H99" s="51" t="n"/>
    </row>
    <row r="100">
      <c r="B100" s="51" t="n"/>
      <c r="C100" s="51" t="n"/>
      <c r="D100" s="51" t="n"/>
      <c r="E100" s="51" t="n"/>
      <c r="F100" s="51" t="n"/>
      <c r="G100" s="51" t="n"/>
      <c r="H100" s="51" t="n"/>
    </row>
    <row r="101">
      <c r="B101" s="51" t="n"/>
      <c r="C101" s="51" t="n"/>
      <c r="D101" s="51" t="n"/>
      <c r="E101" s="51" t="n"/>
      <c r="F101" s="51" t="n"/>
      <c r="G101" s="51" t="n"/>
      <c r="H101" s="51" t="n"/>
    </row>
    <row r="102">
      <c r="B102" s="51" t="n"/>
      <c r="C102" s="51" t="n"/>
      <c r="D102" s="51" t="n"/>
      <c r="E102" s="51" t="n"/>
      <c r="F102" s="51" t="n"/>
      <c r="G102" s="51" t="n"/>
      <c r="H102" s="51" t="n"/>
    </row>
    <row r="103">
      <c r="B103" s="51" t="n"/>
      <c r="C103" s="51" t="n"/>
      <c r="D103" s="51" t="n"/>
      <c r="E103" s="51" t="n"/>
      <c r="F103" s="51" t="n"/>
      <c r="G103" s="51" t="n"/>
      <c r="H103" s="51" t="n"/>
    </row>
    <row r="104">
      <c r="B104" s="51" t="n"/>
      <c r="C104" s="51" t="n"/>
      <c r="D104" s="51" t="n"/>
      <c r="E104" s="51" t="n"/>
      <c r="F104" s="51" t="n"/>
      <c r="G104" s="51" t="n"/>
      <c r="H104" s="51" t="n"/>
    </row>
    <row r="105">
      <c r="B105" s="51" t="n"/>
      <c r="C105" s="51" t="n"/>
      <c r="D105" s="51" t="n"/>
      <c r="E105" s="51" t="n"/>
      <c r="F105" s="51" t="n"/>
      <c r="G105" s="51" t="n"/>
      <c r="H105" s="51" t="n"/>
    </row>
    <row r="106">
      <c r="B106" s="51" t="n"/>
      <c r="C106" s="51" t="n"/>
      <c r="D106" s="51" t="n"/>
      <c r="E106" s="51" t="n"/>
      <c r="F106" s="51" t="n"/>
      <c r="G106" s="51" t="n"/>
      <c r="H106" s="51" t="n"/>
    </row>
    <row r="107">
      <c r="B107" s="51" t="n"/>
      <c r="C107" s="51" t="n"/>
      <c r="D107" s="51" t="n"/>
      <c r="E107" s="51" t="n"/>
      <c r="F107" s="51" t="n"/>
      <c r="G107" s="51" t="n"/>
      <c r="H107" s="51" t="n"/>
    </row>
    <row r="108">
      <c r="B108" s="51" t="n"/>
      <c r="C108" s="51" t="n"/>
      <c r="D108" s="51" t="n"/>
      <c r="E108" s="51" t="n"/>
      <c r="F108" s="51" t="n"/>
      <c r="G108" s="51" t="n"/>
      <c r="H108" s="51" t="n"/>
    </row>
    <row r="109">
      <c r="B109" s="51" t="n"/>
      <c r="C109" s="51" t="n"/>
      <c r="D109" s="51" t="n"/>
      <c r="E109" s="51" t="n"/>
      <c r="F109" s="51" t="n"/>
      <c r="G109" s="51" t="n"/>
      <c r="H109" s="51" t="n"/>
    </row>
    <row r="110">
      <c r="B110" s="51" t="n"/>
      <c r="C110" s="51" t="n"/>
      <c r="D110" s="51" t="n"/>
      <c r="E110" s="51" t="n"/>
      <c r="F110" s="51" t="n"/>
      <c r="G110" s="51" t="n"/>
      <c r="H110" s="51" t="n"/>
    </row>
    <row r="111">
      <c r="B111" s="51" t="n"/>
      <c r="C111" s="51" t="n"/>
      <c r="D111" s="51" t="n"/>
      <c r="E111" s="51" t="n"/>
      <c r="F111" s="51" t="n"/>
      <c r="G111" s="51" t="n"/>
      <c r="H111" s="51" t="n"/>
    </row>
    <row r="112">
      <c r="B112" s="51" t="n"/>
      <c r="C112" s="51" t="n"/>
      <c r="D112" s="51" t="n"/>
      <c r="E112" s="51" t="n"/>
      <c r="F112" s="51" t="n"/>
      <c r="G112" s="51" t="n"/>
      <c r="H112" s="51" t="n"/>
    </row>
    <row r="113">
      <c r="B113" s="51" t="n"/>
      <c r="C113" s="51" t="n"/>
      <c r="D113" s="51" t="n"/>
      <c r="E113" s="51" t="n"/>
      <c r="F113" s="51" t="n"/>
      <c r="G113" s="51" t="n"/>
      <c r="H113" s="51" t="n"/>
    </row>
    <row r="114">
      <c r="B114" s="51" t="n"/>
      <c r="C114" s="51" t="n"/>
      <c r="D114" s="51" t="n"/>
      <c r="E114" s="51" t="n"/>
      <c r="F114" s="51" t="n"/>
      <c r="G114" s="51" t="n"/>
      <c r="H114" s="51" t="n"/>
    </row>
    <row r="115">
      <c r="B115" s="51" t="n"/>
      <c r="C115" s="51" t="n"/>
      <c r="D115" s="51" t="n"/>
      <c r="E115" s="51" t="n"/>
      <c r="F115" s="51" t="n"/>
      <c r="G115" s="51" t="n"/>
      <c r="H115" s="51" t="n"/>
    </row>
    <row r="116">
      <c r="B116" s="51" t="n"/>
      <c r="C116" s="51" t="n"/>
      <c r="D116" s="51" t="n"/>
      <c r="E116" s="51" t="n"/>
      <c r="F116" s="51" t="n"/>
      <c r="G116" s="51" t="n"/>
      <c r="H116" s="51" t="n"/>
    </row>
    <row r="117">
      <c r="B117" s="51" t="n"/>
      <c r="C117" s="51" t="n"/>
      <c r="D117" s="51" t="n"/>
      <c r="E117" s="51" t="n"/>
      <c r="F117" s="51" t="n"/>
      <c r="G117" s="51" t="n"/>
      <c r="H117" s="51" t="n"/>
    </row>
    <row r="118">
      <c r="B118" s="51" t="n"/>
      <c r="C118" s="51" t="n"/>
      <c r="D118" s="51" t="n"/>
      <c r="E118" s="51" t="n"/>
      <c r="F118" s="51" t="n"/>
      <c r="G118" s="51" t="n"/>
      <c r="H118" s="51" t="n"/>
    </row>
    <row r="119">
      <c r="B119" s="51" t="n"/>
      <c r="C119" s="51" t="n"/>
      <c r="D119" s="51" t="n"/>
      <c r="E119" s="51" t="n"/>
      <c r="F119" s="51" t="n"/>
      <c r="G119" s="51" t="n"/>
      <c r="H119" s="51" t="n"/>
    </row>
    <row r="120">
      <c r="B120" s="51" t="n"/>
      <c r="C120" s="51" t="n"/>
      <c r="D120" s="51" t="n"/>
      <c r="E120" s="51" t="n"/>
      <c r="F120" s="51" t="n"/>
      <c r="G120" s="51" t="n"/>
      <c r="H120" s="51" t="n"/>
    </row>
    <row r="121">
      <c r="B121" s="51" t="n"/>
      <c r="C121" s="51" t="n"/>
      <c r="D121" s="51" t="n"/>
      <c r="E121" s="51" t="n"/>
      <c r="F121" s="51" t="n"/>
      <c r="G121" s="51" t="n"/>
      <c r="H121" s="51" t="n"/>
    </row>
    <row r="122">
      <c r="B122" s="51" t="n"/>
      <c r="C122" s="51" t="n"/>
      <c r="D122" s="51" t="n"/>
      <c r="E122" s="51" t="n"/>
      <c r="F122" s="51" t="n"/>
      <c r="G122" s="51" t="n"/>
      <c r="H122" s="51" t="n"/>
    </row>
    <row r="123">
      <c r="B123" s="51" t="n"/>
      <c r="C123" s="51" t="n"/>
      <c r="D123" s="51" t="n"/>
      <c r="E123" s="51" t="n"/>
      <c r="F123" s="51" t="n"/>
      <c r="G123" s="51" t="n"/>
      <c r="H123" s="51" t="n"/>
    </row>
    <row r="124">
      <c r="B124" s="51" t="n"/>
      <c r="C124" s="51" t="n"/>
      <c r="D124" s="51" t="n"/>
      <c r="E124" s="51" t="n"/>
      <c r="F124" s="51" t="n"/>
      <c r="G124" s="51" t="n"/>
      <c r="H124" s="51" t="n"/>
    </row>
    <row r="125">
      <c r="B125" s="51" t="n"/>
      <c r="C125" s="51" t="n"/>
      <c r="D125" s="51" t="n"/>
      <c r="E125" s="51" t="n"/>
      <c r="F125" s="51" t="n"/>
      <c r="G125" s="51" t="n"/>
      <c r="H125" s="51" t="n"/>
    </row>
    <row r="126">
      <c r="B126" s="51" t="n"/>
      <c r="C126" s="51" t="n"/>
      <c r="D126" s="51" t="n"/>
      <c r="E126" s="51" t="n"/>
      <c r="F126" s="51" t="n"/>
      <c r="G126" s="51" t="n"/>
      <c r="H126" s="51" t="n"/>
    </row>
    <row r="127">
      <c r="B127" s="51" t="n"/>
      <c r="C127" s="51" t="n"/>
      <c r="D127" s="51" t="n"/>
      <c r="E127" s="51" t="n"/>
      <c r="F127" s="51" t="n"/>
      <c r="G127" s="51" t="n"/>
      <c r="H127" s="51" t="n"/>
    </row>
    <row r="128">
      <c r="B128" s="51" t="n"/>
      <c r="C128" s="51" t="n"/>
      <c r="D128" s="51" t="n"/>
      <c r="E128" s="51" t="n"/>
      <c r="F128" s="51" t="n"/>
      <c r="G128" s="51" t="n"/>
      <c r="H128" s="51" t="n"/>
    </row>
    <row r="129">
      <c r="B129" s="51" t="n"/>
      <c r="C129" s="51" t="n"/>
      <c r="D129" s="51" t="n"/>
      <c r="E129" s="51" t="n"/>
      <c r="F129" s="51" t="n"/>
      <c r="G129" s="51" t="n"/>
      <c r="H129" s="51" t="n"/>
    </row>
    <row r="130">
      <c r="B130" s="51" t="n"/>
      <c r="C130" s="51" t="n"/>
      <c r="D130" s="51" t="n"/>
      <c r="E130" s="51" t="n"/>
      <c r="F130" s="51" t="n"/>
      <c r="G130" s="51" t="n"/>
      <c r="H130" s="51" t="n"/>
    </row>
    <row r="131">
      <c r="B131" s="51" t="n"/>
      <c r="C131" s="51" t="n"/>
      <c r="D131" s="51" t="n"/>
      <c r="E131" s="51" t="n"/>
      <c r="F131" s="51" t="n"/>
      <c r="G131" s="51" t="n"/>
      <c r="H131" s="51" t="n"/>
    </row>
    <row r="132">
      <c r="B132" s="51" t="n"/>
      <c r="C132" s="51" t="n"/>
      <c r="D132" s="51" t="n"/>
      <c r="E132" s="51" t="n"/>
      <c r="F132" s="51" t="n"/>
      <c r="G132" s="51" t="n"/>
      <c r="H132" s="51" t="n"/>
    </row>
    <row r="133">
      <c r="B133" s="51" t="n"/>
      <c r="C133" s="51" t="n"/>
      <c r="D133" s="51" t="n"/>
      <c r="E133" s="51" t="n"/>
      <c r="F133" s="51" t="n"/>
      <c r="G133" s="51" t="n"/>
      <c r="H133" s="51" t="n"/>
    </row>
    <row r="134">
      <c r="B134" s="51" t="n"/>
      <c r="C134" s="51" t="n"/>
      <c r="D134" s="51" t="n"/>
      <c r="E134" s="51" t="n"/>
      <c r="F134" s="51" t="n"/>
      <c r="G134" s="51" t="n"/>
      <c r="H134" s="51" t="n"/>
    </row>
    <row r="135">
      <c r="B135" s="51" t="n"/>
      <c r="C135" s="51" t="n"/>
      <c r="D135" s="51" t="n"/>
      <c r="E135" s="51" t="n"/>
      <c r="F135" s="51" t="n"/>
      <c r="G135" s="51" t="n"/>
      <c r="H135" s="51" t="n"/>
    </row>
    <row r="136">
      <c r="B136" s="51" t="n"/>
      <c r="C136" s="51" t="n"/>
      <c r="D136" s="51" t="n"/>
      <c r="E136" s="51" t="n"/>
      <c r="F136" s="51" t="n"/>
      <c r="G136" s="51" t="n"/>
      <c r="H136" s="51" t="n"/>
    </row>
    <row r="137">
      <c r="B137" s="51" t="n"/>
      <c r="C137" s="51" t="n"/>
      <c r="D137" s="51" t="n"/>
      <c r="E137" s="51" t="n"/>
      <c r="F137" s="51" t="n"/>
      <c r="G137" s="51" t="n"/>
      <c r="H137" s="51" t="n"/>
    </row>
    <row r="138">
      <c r="B138" s="51" t="n"/>
      <c r="C138" s="51" t="n"/>
      <c r="D138" s="51" t="n"/>
      <c r="E138" s="51" t="n"/>
      <c r="F138" s="51" t="n"/>
      <c r="G138" s="51" t="n"/>
      <c r="H138" s="51" t="n"/>
    </row>
    <row r="139">
      <c r="B139" s="51" t="n"/>
      <c r="C139" s="51" t="n"/>
      <c r="D139" s="51" t="n"/>
      <c r="E139" s="51" t="n"/>
      <c r="F139" s="51" t="n"/>
      <c r="G139" s="51" t="n"/>
      <c r="H139" s="51" t="n"/>
    </row>
    <row r="140">
      <c r="B140" s="51" t="n"/>
      <c r="C140" s="51" t="n"/>
      <c r="D140" s="51" t="n"/>
      <c r="E140" s="51" t="n"/>
      <c r="F140" s="51" t="n"/>
      <c r="G140" s="51" t="n"/>
      <c r="H140" s="51" t="n"/>
    </row>
    <row r="141">
      <c r="B141" s="51" t="n"/>
      <c r="C141" s="51" t="n"/>
      <c r="D141" s="51" t="n"/>
      <c r="E141" s="51" t="n"/>
      <c r="F141" s="51" t="n"/>
      <c r="G141" s="51" t="n"/>
      <c r="H141" s="51" t="n"/>
    </row>
    <row r="142">
      <c r="B142" s="51" t="n"/>
      <c r="C142" s="51" t="n"/>
      <c r="D142" s="51" t="n"/>
      <c r="E142" s="51" t="n"/>
      <c r="F142" s="51" t="n"/>
      <c r="G142" s="51" t="n"/>
      <c r="H142" s="51" t="n"/>
    </row>
    <row r="143">
      <c r="B143" s="51" t="n"/>
      <c r="C143" s="51" t="n"/>
      <c r="D143" s="51" t="n"/>
      <c r="E143" s="51" t="n"/>
      <c r="F143" s="51" t="n"/>
      <c r="G143" s="51" t="n"/>
      <c r="H143" s="51" t="n"/>
    </row>
    <row r="144">
      <c r="B144" s="51" t="n"/>
      <c r="C144" s="51" t="n"/>
      <c r="D144" s="51" t="n"/>
      <c r="E144" s="51" t="n"/>
      <c r="F144" s="51" t="n"/>
      <c r="G144" s="51" t="n"/>
      <c r="H144" s="51" t="n"/>
    </row>
    <row r="145">
      <c r="B145" s="51" t="n"/>
      <c r="C145" s="51" t="n"/>
      <c r="D145" s="51" t="n"/>
      <c r="E145" s="51" t="n"/>
      <c r="F145" s="51" t="n"/>
      <c r="G145" s="51" t="n"/>
      <c r="H145" s="51" t="n"/>
    </row>
    <row r="146">
      <c r="B146" s="51" t="n"/>
      <c r="C146" s="51" t="n"/>
      <c r="D146" s="51" t="n"/>
      <c r="E146" s="51" t="n"/>
      <c r="F146" s="51" t="n"/>
      <c r="G146" s="51" t="n"/>
      <c r="H146" s="51" t="n"/>
    </row>
    <row r="147">
      <c r="B147" s="51" t="n"/>
      <c r="C147" s="51" t="n"/>
      <c r="D147" s="51" t="n"/>
      <c r="E147" s="51" t="n"/>
      <c r="F147" s="51" t="n"/>
      <c r="G147" s="51" t="n"/>
      <c r="H147" s="51" t="n"/>
    </row>
    <row r="148">
      <c r="B148" s="51" t="n"/>
      <c r="C148" s="51" t="n"/>
      <c r="D148" s="51" t="n"/>
      <c r="E148" s="51" t="n"/>
      <c r="F148" s="51" t="n"/>
      <c r="G148" s="51" t="n"/>
      <c r="H148" s="51" t="n"/>
    </row>
    <row r="149">
      <c r="B149" s="51" t="n"/>
      <c r="C149" s="51" t="n"/>
      <c r="D149" s="51" t="n"/>
      <c r="E149" s="51" t="n"/>
      <c r="F149" s="51" t="n"/>
      <c r="G149" s="51" t="n"/>
      <c r="H149" s="51" t="n"/>
    </row>
    <row r="150">
      <c r="B150" s="51" t="n"/>
      <c r="C150" s="51" t="n"/>
      <c r="D150" s="51" t="n"/>
      <c r="E150" s="51" t="n"/>
      <c r="F150" s="51" t="n"/>
      <c r="G150" s="51" t="n"/>
      <c r="H150" s="51" t="n"/>
    </row>
    <row r="151">
      <c r="B151" s="51" t="n"/>
      <c r="C151" s="51" t="n"/>
      <c r="D151" s="51" t="n"/>
      <c r="E151" s="51" t="n"/>
      <c r="F151" s="51" t="n"/>
      <c r="G151" s="51" t="n"/>
      <c r="H151" s="51" t="n"/>
    </row>
    <row r="152">
      <c r="B152" s="51" t="n"/>
      <c r="C152" s="51" t="n"/>
      <c r="D152" s="51" t="n"/>
      <c r="E152" s="51" t="n"/>
      <c r="F152" s="51" t="n"/>
      <c r="G152" s="51" t="n"/>
      <c r="H152" s="51" t="n"/>
    </row>
    <row r="153">
      <c r="B153" s="51" t="n"/>
      <c r="C153" s="51" t="n"/>
      <c r="D153" s="51" t="n"/>
      <c r="E153" s="51" t="n"/>
      <c r="F153" s="51" t="n"/>
      <c r="G153" s="51" t="n"/>
      <c r="H153" s="51" t="n"/>
    </row>
    <row r="154">
      <c r="B154" s="51" t="n"/>
      <c r="C154" s="51" t="n"/>
      <c r="D154" s="51" t="n"/>
      <c r="E154" s="51" t="n"/>
      <c r="F154" s="51" t="n"/>
      <c r="G154" s="51" t="n"/>
      <c r="H154" s="51" t="n"/>
    </row>
    <row r="155">
      <c r="B155" s="51" t="n"/>
      <c r="C155" s="51" t="n"/>
      <c r="D155" s="51" t="n"/>
      <c r="E155" s="51" t="n"/>
      <c r="F155" s="51" t="n"/>
      <c r="G155" s="51" t="n"/>
      <c r="H155" s="51" t="n"/>
    </row>
    <row r="156">
      <c r="B156" s="51" t="n"/>
      <c r="C156" s="51" t="n"/>
      <c r="D156" s="51" t="n"/>
      <c r="E156" s="51" t="n"/>
      <c r="F156" s="51" t="n"/>
      <c r="G156" s="51" t="n"/>
      <c r="H156" s="51" t="n"/>
    </row>
    <row r="157">
      <c r="B157" s="51" t="n"/>
      <c r="C157" s="51" t="n"/>
      <c r="D157" s="51" t="n"/>
      <c r="E157" s="51" t="n"/>
      <c r="F157" s="51" t="n"/>
      <c r="G157" s="51" t="n"/>
      <c r="H157" s="51" t="n"/>
    </row>
    <row r="158">
      <c r="B158" s="51" t="n"/>
      <c r="C158" s="51" t="n"/>
      <c r="D158" s="51" t="n"/>
      <c r="E158" s="51" t="n"/>
      <c r="F158" s="51" t="n"/>
      <c r="G158" s="51" t="n"/>
      <c r="H158" s="51" t="n"/>
    </row>
    <row r="159">
      <c r="B159" s="51" t="n"/>
      <c r="C159" s="51" t="n"/>
      <c r="D159" s="51" t="n"/>
      <c r="E159" s="51" t="n"/>
      <c r="F159" s="51" t="n"/>
      <c r="G159" s="51" t="n"/>
      <c r="H159" s="51" t="n"/>
    </row>
    <row r="160">
      <c r="B160" s="51" t="n"/>
      <c r="C160" s="51" t="n"/>
      <c r="D160" s="51" t="n"/>
      <c r="E160" s="51" t="n"/>
      <c r="F160" s="51" t="n"/>
      <c r="G160" s="51" t="n"/>
      <c r="H160" s="51" t="n"/>
    </row>
    <row r="161">
      <c r="B161" s="51" t="n"/>
      <c r="C161" s="51" t="n"/>
      <c r="D161" s="51" t="n"/>
      <c r="E161" s="51" t="n"/>
      <c r="F161" s="51" t="n"/>
      <c r="G161" s="51" t="n"/>
      <c r="H161" s="51" t="n"/>
    </row>
    <row r="162">
      <c r="B162" s="51" t="n"/>
      <c r="C162" s="51" t="n"/>
      <c r="D162" s="51" t="n"/>
      <c r="E162" s="51" t="n"/>
      <c r="F162" s="51" t="n"/>
      <c r="G162" s="51" t="n"/>
      <c r="H162" s="51" t="n"/>
    </row>
    <row r="163">
      <c r="B163" s="51" t="n"/>
      <c r="C163" s="51" t="n"/>
      <c r="D163" s="51" t="n"/>
      <c r="E163" s="51" t="n"/>
      <c r="F163" s="51" t="n"/>
      <c r="G163" s="51" t="n"/>
      <c r="H163" s="51" t="n"/>
    </row>
    <row r="164">
      <c r="B164" s="51" t="n"/>
      <c r="C164" s="51" t="n"/>
      <c r="D164" s="51" t="n"/>
      <c r="E164" s="51" t="n"/>
      <c r="F164" s="51" t="n"/>
      <c r="G164" s="51" t="n"/>
      <c r="H164" s="51" t="n"/>
    </row>
    <row r="165">
      <c r="B165" s="51" t="n"/>
      <c r="C165" s="51" t="n"/>
      <c r="D165" s="51" t="n"/>
      <c r="E165" s="51" t="n"/>
      <c r="F165" s="51" t="n"/>
      <c r="G165" s="51" t="n"/>
      <c r="H165" s="51" t="n"/>
    </row>
    <row r="166">
      <c r="B166" s="51" t="n"/>
      <c r="C166" s="51" t="n"/>
      <c r="D166" s="51" t="n"/>
      <c r="E166" s="51" t="n"/>
      <c r="F166" s="51" t="n"/>
      <c r="G166" s="51" t="n"/>
      <c r="H166" s="51" t="n"/>
    </row>
    <row r="167">
      <c r="B167" s="51" t="n"/>
      <c r="C167" s="51" t="n"/>
      <c r="D167" s="51" t="n"/>
      <c r="E167" s="51" t="n"/>
      <c r="F167" s="51" t="n"/>
      <c r="G167" s="51" t="n"/>
      <c r="H167" s="51" t="n"/>
    </row>
    <row r="168">
      <c r="B168" s="51" t="n"/>
      <c r="C168" s="51" t="n"/>
      <c r="D168" s="51" t="n"/>
      <c r="E168" s="51" t="n"/>
      <c r="F168" s="51" t="n"/>
      <c r="G168" s="51" t="n"/>
      <c r="H168" s="51" t="n"/>
    </row>
    <row r="169">
      <c r="B169" s="51" t="n"/>
      <c r="C169" s="51" t="n"/>
      <c r="D169" s="51" t="n"/>
      <c r="E169" s="51" t="n"/>
      <c r="F169" s="51" t="n"/>
      <c r="G169" s="51" t="n"/>
      <c r="H169" s="51" t="n"/>
    </row>
    <row r="170">
      <c r="B170" s="51" t="n"/>
      <c r="C170" s="51" t="n"/>
      <c r="D170" s="51" t="n"/>
      <c r="E170" s="51" t="n"/>
      <c r="F170" s="51" t="n"/>
      <c r="G170" s="51" t="n"/>
      <c r="H170" s="51" t="n"/>
    </row>
    <row r="171">
      <c r="B171" s="51" t="n"/>
      <c r="C171" s="51" t="n"/>
      <c r="D171" s="51" t="n"/>
      <c r="E171" s="51" t="n"/>
      <c r="F171" s="51" t="n"/>
      <c r="G171" s="51" t="n"/>
      <c r="H171" s="51" t="n"/>
    </row>
    <row r="172">
      <c r="B172" s="51" t="n"/>
      <c r="C172" s="51" t="n"/>
      <c r="D172" s="51" t="n"/>
      <c r="E172" s="51" t="n"/>
      <c r="F172" s="51" t="n"/>
      <c r="G172" s="51" t="n"/>
      <c r="H172" s="51" t="n"/>
    </row>
    <row r="173">
      <c r="B173" s="51" t="n"/>
      <c r="C173" s="51" t="n"/>
      <c r="D173" s="51" t="n"/>
      <c r="E173" s="51" t="n"/>
      <c r="F173" s="51" t="n"/>
      <c r="G173" s="51" t="n"/>
      <c r="H173" s="51" t="n"/>
    </row>
    <row r="174">
      <c r="B174" s="51" t="n"/>
      <c r="C174" s="51" t="n"/>
      <c r="D174" s="51" t="n"/>
      <c r="E174" s="51" t="n"/>
      <c r="F174" s="51" t="n"/>
      <c r="G174" s="51" t="n"/>
      <c r="H174" s="51" t="n"/>
    </row>
    <row r="175">
      <c r="B175" s="51" t="n"/>
      <c r="C175" s="51" t="n"/>
      <c r="D175" s="51" t="n"/>
      <c r="E175" s="51" t="n"/>
      <c r="F175" s="51" t="n"/>
      <c r="G175" s="51" t="n"/>
      <c r="H175" s="51" t="n"/>
    </row>
    <row r="176">
      <c r="B176" s="51" t="n"/>
      <c r="C176" s="51" t="n"/>
      <c r="D176" s="51" t="n"/>
      <c r="E176" s="51" t="n"/>
      <c r="F176" s="51" t="n"/>
      <c r="G176" s="51" t="n"/>
      <c r="H176" s="51" t="n"/>
    </row>
    <row r="177">
      <c r="B177" s="51" t="n"/>
      <c r="C177" s="51" t="n"/>
      <c r="D177" s="51" t="n"/>
      <c r="E177" s="51" t="n"/>
      <c r="F177" s="51" t="n"/>
      <c r="G177" s="51" t="n"/>
      <c r="H177" s="51" t="n"/>
    </row>
    <row r="178">
      <c r="B178" s="51" t="n"/>
      <c r="C178" s="51" t="n"/>
      <c r="D178" s="51" t="n"/>
      <c r="E178" s="51" t="n"/>
      <c r="F178" s="51" t="n"/>
      <c r="G178" s="51" t="n"/>
      <c r="H178" s="51" t="n"/>
    </row>
    <row r="179">
      <c r="B179" s="51" t="n"/>
      <c r="C179" s="51" t="n"/>
      <c r="D179" s="51" t="n"/>
      <c r="E179" s="51" t="n"/>
      <c r="F179" s="51" t="n"/>
      <c r="G179" s="51" t="n"/>
      <c r="H179" s="51" t="n"/>
    </row>
    <row r="180">
      <c r="B180" s="51" t="n"/>
      <c r="C180" s="51" t="n"/>
      <c r="D180" s="51" t="n"/>
      <c r="E180" s="51" t="n"/>
      <c r="F180" s="51" t="n"/>
      <c r="G180" s="51" t="n"/>
      <c r="H180" s="51" t="n"/>
    </row>
    <row r="181">
      <c r="B181" s="51" t="n"/>
      <c r="C181" s="51" t="n"/>
      <c r="D181" s="51" t="n"/>
      <c r="E181" s="51" t="n"/>
      <c r="F181" s="51" t="n"/>
      <c r="G181" s="51" t="n"/>
      <c r="H181" s="51" t="n"/>
    </row>
    <row r="182">
      <c r="B182" s="51" t="n"/>
      <c r="C182" s="51" t="n"/>
      <c r="D182" s="51" t="n"/>
      <c r="E182" s="51" t="n"/>
      <c r="F182" s="51" t="n"/>
      <c r="G182" s="51" t="n"/>
      <c r="H182" s="51" t="n"/>
    </row>
    <row r="183">
      <c r="B183" s="51" t="n"/>
      <c r="C183" s="51" t="n"/>
      <c r="D183" s="51" t="n"/>
      <c r="E183" s="51" t="n"/>
      <c r="F183" s="51" t="n"/>
      <c r="G183" s="51" t="n"/>
      <c r="H183" s="51" t="n"/>
    </row>
    <row r="184">
      <c r="B184" s="51" t="n"/>
      <c r="C184" s="51" t="n"/>
      <c r="D184" s="51" t="n"/>
      <c r="E184" s="51" t="n"/>
      <c r="F184" s="51" t="n"/>
      <c r="G184" s="51" t="n"/>
      <c r="H184" s="51" t="n"/>
    </row>
    <row r="185">
      <c r="B185" s="51" t="n"/>
      <c r="C185" s="51" t="n"/>
      <c r="D185" s="51" t="n"/>
      <c r="E185" s="51" t="n"/>
      <c r="F185" s="51" t="n"/>
      <c r="G185" s="51" t="n"/>
      <c r="H185" s="51" t="n"/>
    </row>
    <row r="186">
      <c r="B186" s="51" t="n"/>
      <c r="C186" s="51" t="n"/>
      <c r="D186" s="51" t="n"/>
      <c r="E186" s="51" t="n"/>
      <c r="F186" s="51" t="n"/>
      <c r="G186" s="51" t="n"/>
      <c r="H186" s="51" t="n"/>
    </row>
    <row r="187">
      <c r="B187" s="51" t="n"/>
      <c r="C187" s="51" t="n"/>
      <c r="D187" s="51" t="n"/>
      <c r="E187" s="51" t="n"/>
      <c r="F187" s="51" t="n"/>
      <c r="G187" s="51" t="n"/>
      <c r="H187" s="51" t="n"/>
    </row>
    <row r="188">
      <c r="B188" s="51" t="n"/>
      <c r="C188" s="51" t="n"/>
      <c r="D188" s="51" t="n"/>
      <c r="E188" s="51" t="n"/>
      <c r="F188" s="51" t="n"/>
      <c r="G188" s="51" t="n"/>
      <c r="H188" s="51" t="n"/>
    </row>
    <row r="189">
      <c r="B189" s="51" t="n"/>
      <c r="C189" s="51" t="n"/>
      <c r="D189" s="51" t="n"/>
      <c r="E189" s="51" t="n"/>
      <c r="F189" s="51" t="n"/>
      <c r="G189" s="51" t="n"/>
      <c r="H189" s="51" t="n"/>
    </row>
    <row r="190">
      <c r="B190" s="51" t="n"/>
      <c r="C190" s="51" t="n"/>
      <c r="D190" s="51" t="n"/>
      <c r="E190" s="51" t="n"/>
      <c r="F190" s="51" t="n"/>
      <c r="G190" s="51" t="n"/>
      <c r="H190" s="51" t="n"/>
    </row>
    <row r="191">
      <c r="B191" s="51" t="n"/>
      <c r="C191" s="51" t="n"/>
      <c r="D191" s="51" t="n"/>
      <c r="E191" s="51" t="n"/>
      <c r="F191" s="51" t="n"/>
      <c r="G191" s="51" t="n"/>
      <c r="H191" s="51" t="n"/>
    </row>
    <row r="192">
      <c r="B192" s="51" t="n"/>
      <c r="C192" s="51" t="n"/>
      <c r="D192" s="51" t="n"/>
      <c r="E192" s="51" t="n"/>
      <c r="F192" s="51" t="n"/>
      <c r="G192" s="51" t="n"/>
      <c r="H192" s="51" t="n"/>
    </row>
    <row r="193">
      <c r="B193" s="51" t="n"/>
      <c r="C193" s="51" t="n"/>
      <c r="D193" s="51" t="n"/>
      <c r="E193" s="51" t="n"/>
      <c r="F193" s="51" t="n"/>
      <c r="G193" s="51" t="n"/>
      <c r="H193" s="51" t="n"/>
    </row>
    <row r="194">
      <c r="B194" s="51" t="n"/>
      <c r="C194" s="51" t="n"/>
      <c r="D194" s="51" t="n"/>
      <c r="E194" s="51" t="n"/>
      <c r="F194" s="51" t="n"/>
      <c r="G194" s="51" t="n"/>
      <c r="H194" s="51" t="n"/>
    </row>
    <row r="195">
      <c r="B195" s="51" t="n"/>
      <c r="C195" s="51" t="n"/>
      <c r="D195" s="51" t="n"/>
      <c r="E195" s="51" t="n"/>
      <c r="F195" s="51" t="n"/>
      <c r="G195" s="51" t="n"/>
      <c r="H195" s="51" t="n"/>
    </row>
    <row r="196">
      <c r="B196" s="51" t="n"/>
      <c r="C196" s="51" t="n"/>
      <c r="D196" s="51" t="n"/>
      <c r="E196" s="51" t="n"/>
      <c r="F196" s="51" t="n"/>
      <c r="G196" s="51" t="n"/>
      <c r="H196" s="51" t="n"/>
    </row>
    <row r="197">
      <c r="B197" s="51" t="n"/>
      <c r="C197" s="51" t="n"/>
      <c r="D197" s="51" t="n"/>
      <c r="E197" s="51" t="n"/>
      <c r="F197" s="51" t="n"/>
      <c r="G197" s="51" t="n"/>
      <c r="H197" s="51" t="n"/>
    </row>
    <row r="198">
      <c r="B198" s="51" t="n"/>
      <c r="C198" s="51" t="n"/>
      <c r="D198" s="51" t="n"/>
      <c r="E198" s="51" t="n"/>
      <c r="F198" s="51" t="n"/>
      <c r="G198" s="51" t="n"/>
      <c r="H198" s="51" t="n"/>
    </row>
    <row r="199">
      <c r="B199" s="51" t="n"/>
      <c r="C199" s="51" t="n"/>
      <c r="D199" s="51" t="n"/>
      <c r="E199" s="51" t="n"/>
      <c r="F199" s="51" t="n"/>
      <c r="G199" s="51" t="n"/>
      <c r="H199" s="51" t="n"/>
    </row>
    <row r="200">
      <c r="B200" s="51" t="n"/>
      <c r="C200" s="51" t="n"/>
      <c r="D200" s="51" t="n"/>
      <c r="E200" s="51" t="n"/>
      <c r="F200" s="51" t="n"/>
      <c r="G200" s="51" t="n"/>
      <c r="H200" s="51" t="n"/>
    </row>
    <row r="201">
      <c r="B201" s="51" t="n"/>
      <c r="C201" s="51" t="n"/>
      <c r="D201" s="51" t="n"/>
      <c r="E201" s="51" t="n"/>
      <c r="F201" s="51" t="n"/>
      <c r="G201" s="51" t="n"/>
      <c r="H201" s="51" t="n"/>
    </row>
    <row r="202">
      <c r="B202" s="51" t="n"/>
      <c r="C202" s="51" t="n"/>
      <c r="D202" s="51" t="n"/>
      <c r="E202" s="51" t="n"/>
      <c r="F202" s="51" t="n"/>
      <c r="G202" s="51" t="n"/>
      <c r="H202" s="51" t="n"/>
    </row>
    <row r="203">
      <c r="B203" s="51" t="n"/>
      <c r="C203" s="51" t="n"/>
      <c r="D203" s="51" t="n"/>
      <c r="E203" s="51" t="n"/>
      <c r="F203" s="51" t="n"/>
      <c r="G203" s="51" t="n"/>
      <c r="H203" s="51" t="n"/>
    </row>
    <row r="204">
      <c r="B204" s="51" t="n"/>
      <c r="C204" s="51" t="n"/>
      <c r="D204" s="51" t="n"/>
      <c r="E204" s="51" t="n"/>
      <c r="F204" s="51" t="n"/>
      <c r="G204" s="51" t="n"/>
      <c r="H204" s="51" t="n"/>
    </row>
    <row r="205">
      <c r="B205" s="51" t="n"/>
      <c r="C205" s="51" t="n"/>
      <c r="D205" s="51" t="n"/>
      <c r="E205" s="51" t="n"/>
      <c r="F205" s="51" t="n"/>
      <c r="G205" s="51" t="n"/>
      <c r="H205" s="51" t="n"/>
    </row>
    <row r="206">
      <c r="B206" s="51" t="n"/>
      <c r="C206" s="51" t="n"/>
      <c r="D206" s="51" t="n"/>
      <c r="E206" s="51" t="n"/>
      <c r="F206" s="51" t="n"/>
      <c r="G206" s="51" t="n"/>
      <c r="H206" s="51" t="n"/>
    </row>
    <row r="207">
      <c r="B207" s="51" t="n"/>
      <c r="C207" s="51" t="n"/>
      <c r="D207" s="51" t="n"/>
      <c r="E207" s="51" t="n"/>
      <c r="F207" s="51" t="n"/>
      <c r="G207" s="51" t="n"/>
      <c r="H207" s="51" t="n"/>
    </row>
    <row r="208">
      <c r="B208" s="51" t="n"/>
      <c r="C208" s="51" t="n"/>
      <c r="D208" s="51" t="n"/>
      <c r="E208" s="51" t="n"/>
      <c r="F208" s="51" t="n"/>
      <c r="G208" s="51" t="n"/>
      <c r="H208" s="51" t="n"/>
    </row>
    <row r="209">
      <c r="B209" s="51" t="n"/>
      <c r="C209" s="51" t="n"/>
      <c r="D209" s="51" t="n"/>
      <c r="E209" s="51" t="n"/>
      <c r="F209" s="51" t="n"/>
      <c r="G209" s="51" t="n"/>
      <c r="H209" s="51" t="n"/>
    </row>
    <row r="210">
      <c r="B210" s="51" t="n"/>
      <c r="C210" s="51" t="n"/>
      <c r="D210" s="51" t="n"/>
      <c r="E210" s="51" t="n"/>
      <c r="F210" s="51" t="n"/>
      <c r="G210" s="51" t="n"/>
      <c r="H210" s="51" t="n"/>
    </row>
    <row r="211">
      <c r="B211" s="51" t="n"/>
      <c r="C211" s="51" t="n"/>
      <c r="D211" s="51" t="n"/>
      <c r="E211" s="51" t="n"/>
      <c r="F211" s="51" t="n"/>
      <c r="G211" s="51" t="n"/>
      <c r="H211" s="51" t="n"/>
    </row>
    <row r="212">
      <c r="B212" s="51" t="n"/>
      <c r="C212" s="51" t="n"/>
      <c r="D212" s="51" t="n"/>
      <c r="E212" s="51" t="n"/>
      <c r="F212" s="51" t="n"/>
      <c r="G212" s="51" t="n"/>
      <c r="H212" s="51" t="n"/>
    </row>
    <row r="213">
      <c r="B213" s="51" t="n"/>
      <c r="C213" s="51" t="n"/>
      <c r="D213" s="51" t="n"/>
      <c r="E213" s="51" t="n"/>
      <c r="F213" s="51" t="n"/>
      <c r="G213" s="51" t="n"/>
      <c r="H213" s="51" t="n"/>
    </row>
    <row r="214">
      <c r="B214" s="51" t="n"/>
      <c r="C214" s="51" t="n"/>
      <c r="D214" s="51" t="n"/>
      <c r="E214" s="51" t="n"/>
      <c r="F214" s="51" t="n"/>
      <c r="G214" s="51" t="n"/>
      <c r="H214" s="51" t="n"/>
    </row>
    <row r="215">
      <c r="B215" s="51" t="n"/>
      <c r="C215" s="51" t="n"/>
      <c r="D215" s="51" t="n"/>
      <c r="E215" s="51" t="n"/>
      <c r="F215" s="51" t="n"/>
      <c r="G215" s="51" t="n"/>
      <c r="H215" s="51" t="n"/>
    </row>
    <row r="216">
      <c r="B216" s="51" t="n"/>
      <c r="C216" s="51" t="n"/>
      <c r="D216" s="51" t="n"/>
      <c r="E216" s="51" t="n"/>
      <c r="F216" s="51" t="n"/>
      <c r="G216" s="51" t="n"/>
      <c r="H216" s="51" t="n"/>
    </row>
    <row r="217">
      <c r="B217" s="51" t="n"/>
      <c r="C217" s="51" t="n"/>
      <c r="D217" s="51" t="n"/>
      <c r="E217" s="51" t="n"/>
      <c r="F217" s="51" t="n"/>
      <c r="G217" s="51" t="n"/>
      <c r="H217" s="51" t="n"/>
    </row>
    <row r="218">
      <c r="B218" s="51" t="n"/>
      <c r="C218" s="51" t="n"/>
      <c r="D218" s="51" t="n"/>
      <c r="E218" s="51" t="n"/>
      <c r="F218" s="51" t="n"/>
      <c r="G218" s="51" t="n"/>
      <c r="H218" s="51" t="n"/>
    </row>
    <row r="219">
      <c r="B219" s="51" t="n"/>
      <c r="C219" s="51" t="n"/>
      <c r="D219" s="51" t="n"/>
      <c r="E219" s="51" t="n"/>
      <c r="F219" s="51" t="n"/>
      <c r="G219" s="51" t="n"/>
      <c r="H219" s="51" t="n"/>
    </row>
    <row r="220">
      <c r="B220" s="51" t="n"/>
      <c r="C220" s="51" t="n"/>
      <c r="D220" s="51" t="n"/>
      <c r="E220" s="51" t="n"/>
      <c r="F220" s="51" t="n"/>
      <c r="G220" s="51" t="n"/>
      <c r="H220" s="51" t="n"/>
    </row>
    <row r="221">
      <c r="B221" s="51" t="n"/>
      <c r="C221" s="51" t="n"/>
      <c r="D221" s="51" t="n"/>
      <c r="E221" s="51" t="n"/>
      <c r="F221" s="51" t="n"/>
      <c r="G221" s="51" t="n"/>
      <c r="H221" s="51" t="n"/>
    </row>
    <row r="222">
      <c r="B222" s="51" t="n"/>
      <c r="C222" s="51" t="n"/>
      <c r="D222" s="51" t="n"/>
      <c r="E222" s="51" t="n"/>
      <c r="F222" s="51" t="n"/>
      <c r="G222" s="51" t="n"/>
      <c r="H222" s="51" t="n"/>
    </row>
    <row r="223">
      <c r="B223" s="51" t="n"/>
      <c r="C223" s="51" t="n"/>
      <c r="D223" s="51" t="n"/>
      <c r="E223" s="51" t="n"/>
      <c r="F223" s="51" t="n"/>
      <c r="G223" s="51" t="n"/>
      <c r="H223" s="51" t="n"/>
    </row>
    <row r="224">
      <c r="B224" s="51" t="n"/>
      <c r="C224" s="51" t="n"/>
      <c r="D224" s="51" t="n"/>
      <c r="E224" s="51" t="n"/>
      <c r="F224" s="51" t="n"/>
      <c r="G224" s="51" t="n"/>
      <c r="H224" s="51" t="n"/>
    </row>
    <row r="225">
      <c r="B225" s="51" t="n"/>
      <c r="C225" s="51" t="n"/>
      <c r="D225" s="51" t="n"/>
      <c r="E225" s="51" t="n"/>
      <c r="F225" s="51" t="n"/>
      <c r="G225" s="51" t="n"/>
      <c r="H225" s="51" t="n"/>
    </row>
    <row r="226">
      <c r="B226" s="51" t="n"/>
      <c r="C226" s="51" t="n"/>
      <c r="D226" s="51" t="n"/>
      <c r="E226" s="51" t="n"/>
      <c r="F226" s="51" t="n"/>
      <c r="G226" s="51" t="n"/>
      <c r="H226" s="51" t="n"/>
    </row>
    <row r="227">
      <c r="B227" s="51" t="n"/>
      <c r="C227" s="51" t="n"/>
      <c r="D227" s="51" t="n"/>
      <c r="E227" s="51" t="n"/>
      <c r="F227" s="51" t="n"/>
      <c r="G227" s="51" t="n"/>
      <c r="H227" s="51" t="n"/>
    </row>
    <row r="228">
      <c r="B228" s="51" t="n"/>
      <c r="C228" s="51" t="n"/>
      <c r="D228" s="51" t="n"/>
      <c r="E228" s="51" t="n"/>
      <c r="F228" s="51" t="n"/>
      <c r="G228" s="51" t="n"/>
      <c r="H228" s="51" t="n"/>
    </row>
    <row r="229">
      <c r="B229" s="51" t="n"/>
      <c r="C229" s="51" t="n"/>
      <c r="D229" s="51" t="n"/>
      <c r="E229" s="51" t="n"/>
      <c r="F229" s="51" t="n"/>
      <c r="G229" s="51" t="n"/>
      <c r="H229" s="51" t="n"/>
    </row>
    <row r="230">
      <c r="B230" s="51" t="n"/>
      <c r="C230" s="51" t="n"/>
      <c r="D230" s="51" t="n"/>
      <c r="E230" s="51" t="n"/>
      <c r="F230" s="51" t="n"/>
      <c r="G230" s="51" t="n"/>
      <c r="H230" s="51" t="n"/>
    </row>
    <row r="231">
      <c r="B231" s="51" t="n"/>
      <c r="C231" s="51" t="n"/>
      <c r="D231" s="51" t="n"/>
      <c r="E231" s="51" t="n"/>
      <c r="F231" s="51" t="n"/>
      <c r="G231" s="51" t="n"/>
      <c r="H231" s="51" t="n"/>
    </row>
    <row r="232">
      <c r="B232" s="51" t="n"/>
      <c r="C232" s="51" t="n"/>
      <c r="D232" s="51" t="n"/>
      <c r="E232" s="51" t="n"/>
      <c r="F232" s="51" t="n"/>
      <c r="G232" s="51" t="n"/>
      <c r="H232" s="51" t="n"/>
    </row>
    <row r="233">
      <c r="B233" s="51" t="n"/>
      <c r="C233" s="51" t="n"/>
      <c r="D233" s="51" t="n"/>
      <c r="E233" s="51" t="n"/>
      <c r="F233" s="51" t="n"/>
      <c r="G233" s="51" t="n"/>
      <c r="H233" s="51" t="n"/>
    </row>
    <row r="234">
      <c r="B234" s="51" t="n"/>
      <c r="C234" s="51" t="n"/>
      <c r="D234" s="51" t="n"/>
      <c r="E234" s="51" t="n"/>
      <c r="F234" s="51" t="n"/>
      <c r="G234" s="51" t="n"/>
      <c r="H234" s="51" t="n"/>
    </row>
    <row r="235">
      <c r="B235" s="51" t="n"/>
      <c r="C235" s="51" t="n"/>
      <c r="D235" s="51" t="n"/>
      <c r="E235" s="51" t="n"/>
      <c r="F235" s="51" t="n"/>
      <c r="G235" s="51" t="n"/>
      <c r="H235" s="51" t="n"/>
    </row>
    <row r="236">
      <c r="B236" s="51" t="n"/>
      <c r="C236" s="51" t="n"/>
      <c r="D236" s="51" t="n"/>
      <c r="E236" s="51" t="n"/>
      <c r="F236" s="51" t="n"/>
      <c r="G236" s="51" t="n"/>
      <c r="H236" s="51" t="n"/>
    </row>
    <row r="237">
      <c r="B237" s="51" t="n"/>
      <c r="C237" s="51" t="n"/>
      <c r="D237" s="51" t="n"/>
      <c r="E237" s="51" t="n"/>
      <c r="F237" s="51" t="n"/>
      <c r="G237" s="51" t="n"/>
      <c r="H237" s="51" t="n"/>
    </row>
    <row r="238">
      <c r="B238" s="51" t="n"/>
      <c r="C238" s="51" t="n"/>
      <c r="D238" s="51" t="n"/>
      <c r="E238" s="51" t="n"/>
      <c r="F238" s="51" t="n"/>
      <c r="G238" s="51" t="n"/>
      <c r="H238" s="51" t="n"/>
    </row>
    <row r="239">
      <c r="B239" s="51" t="n"/>
      <c r="C239" s="51" t="n"/>
      <c r="D239" s="51" t="n"/>
      <c r="E239" s="51" t="n"/>
      <c r="F239" s="51" t="n"/>
      <c r="G239" s="51" t="n"/>
      <c r="H239" s="51" t="n"/>
    </row>
    <row r="240">
      <c r="B240" s="51" t="n"/>
      <c r="C240" s="51" t="n"/>
      <c r="D240" s="51" t="n"/>
      <c r="E240" s="51" t="n"/>
      <c r="F240" s="51" t="n"/>
      <c r="G240" s="51" t="n"/>
      <c r="H240" s="51" t="n"/>
    </row>
    <row r="241">
      <c r="B241" s="51" t="n"/>
      <c r="C241" s="51" t="n"/>
      <c r="D241" s="51" t="n"/>
      <c r="E241" s="51" t="n"/>
      <c r="F241" s="51" t="n"/>
      <c r="G241" s="51" t="n"/>
      <c r="H241" s="51" t="n"/>
    </row>
    <row r="242">
      <c r="B242" s="51" t="n"/>
      <c r="C242" s="51" t="n"/>
      <c r="D242" s="51" t="n"/>
      <c r="E242" s="51" t="n"/>
      <c r="F242" s="51" t="n"/>
      <c r="G242" s="51" t="n"/>
      <c r="H242" s="51" t="n"/>
    </row>
    <row r="243">
      <c r="B243" s="51" t="n"/>
      <c r="C243" s="51" t="n"/>
      <c r="D243" s="51" t="n"/>
      <c r="E243" s="51" t="n"/>
      <c r="F243" s="51" t="n"/>
      <c r="G243" s="51" t="n"/>
      <c r="H243" s="51" t="n"/>
    </row>
    <row r="244">
      <c r="B244" s="51" t="n"/>
      <c r="C244" s="51" t="n"/>
      <c r="D244" s="51" t="n"/>
      <c r="E244" s="51" t="n"/>
      <c r="F244" s="51" t="n"/>
      <c r="G244" s="51" t="n"/>
      <c r="H244" s="51" t="n"/>
    </row>
    <row r="245">
      <c r="B245" s="51" t="n"/>
      <c r="C245" s="51" t="n"/>
      <c r="D245" s="51" t="n"/>
      <c r="E245" s="51" t="n"/>
      <c r="F245" s="51" t="n"/>
      <c r="G245" s="51" t="n"/>
      <c r="H245" s="51" t="n"/>
    </row>
    <row r="246">
      <c r="B246" s="51" t="n"/>
      <c r="C246" s="51" t="n"/>
      <c r="D246" s="51" t="n"/>
      <c r="E246" s="51" t="n"/>
      <c r="F246" s="51" t="n"/>
      <c r="G246" s="51" t="n"/>
      <c r="H246" s="51" t="n"/>
    </row>
    <row r="247">
      <c r="B247" s="51" t="n"/>
      <c r="C247" s="51" t="n"/>
      <c r="D247" s="51" t="n"/>
      <c r="E247" s="51" t="n"/>
      <c r="F247" s="51" t="n"/>
      <c r="G247" s="51" t="n"/>
      <c r="H247" s="51" t="n"/>
    </row>
    <row r="248">
      <c r="B248" s="51" t="n"/>
      <c r="C248" s="51" t="n"/>
      <c r="D248" s="51" t="n"/>
      <c r="E248" s="51" t="n"/>
      <c r="F248" s="51" t="n"/>
      <c r="G248" s="51" t="n"/>
      <c r="H248" s="51" t="n"/>
    </row>
    <row r="249">
      <c r="B249" s="51" t="n"/>
      <c r="C249" s="51" t="n"/>
      <c r="D249" s="51" t="n"/>
      <c r="E249" s="51" t="n"/>
      <c r="F249" s="51" t="n"/>
      <c r="G249" s="51" t="n"/>
      <c r="H249" s="51" t="n"/>
    </row>
    <row r="250">
      <c r="B250" s="51" t="n"/>
      <c r="C250" s="51" t="n"/>
      <c r="D250" s="51" t="n"/>
      <c r="E250" s="51" t="n"/>
      <c r="F250" s="51" t="n"/>
      <c r="G250" s="51" t="n"/>
      <c r="H250" s="51" t="n"/>
    </row>
    <row r="251">
      <c r="B251" s="51" t="n"/>
      <c r="C251" s="51" t="n"/>
      <c r="D251" s="51" t="n"/>
      <c r="E251" s="51" t="n"/>
      <c r="F251" s="51" t="n"/>
      <c r="G251" s="51" t="n"/>
      <c r="H251" s="51" t="n"/>
    </row>
    <row r="252">
      <c r="B252" s="51" t="n"/>
      <c r="C252" s="51" t="n"/>
      <c r="D252" s="51" t="n"/>
      <c r="E252" s="51" t="n"/>
      <c r="F252" s="51" t="n"/>
      <c r="G252" s="51" t="n"/>
      <c r="H252" s="51" t="n"/>
    </row>
    <row r="253">
      <c r="B253" s="51" t="n"/>
      <c r="C253" s="51" t="n"/>
      <c r="D253" s="51" t="n"/>
      <c r="E253" s="51" t="n"/>
      <c r="F253" s="51" t="n"/>
      <c r="G253" s="51" t="n"/>
      <c r="H253" s="51" t="n"/>
    </row>
    <row r="254">
      <c r="B254" s="51" t="n"/>
      <c r="C254" s="51" t="n"/>
      <c r="D254" s="51" t="n"/>
      <c r="E254" s="51" t="n"/>
      <c r="F254" s="51" t="n"/>
      <c r="G254" s="51" t="n"/>
      <c r="H254" s="51" t="n"/>
    </row>
    <row r="255">
      <c r="B255" s="51" t="n"/>
      <c r="C255" s="51" t="n"/>
      <c r="D255" s="51" t="n"/>
      <c r="E255" s="51" t="n"/>
      <c r="F255" s="51" t="n"/>
      <c r="G255" s="51" t="n"/>
      <c r="H255" s="51" t="n"/>
    </row>
    <row r="256">
      <c r="B256" s="51" t="n"/>
      <c r="C256" s="51" t="n"/>
      <c r="D256" s="51" t="n"/>
      <c r="E256" s="51" t="n"/>
      <c r="F256" s="51" t="n"/>
      <c r="G256" s="51" t="n"/>
      <c r="H256" s="51" t="n"/>
    </row>
    <row r="257">
      <c r="B257" s="51" t="n"/>
      <c r="C257" s="51" t="n"/>
      <c r="D257" s="51" t="n"/>
      <c r="E257" s="51" t="n"/>
      <c r="F257" s="51" t="n"/>
      <c r="G257" s="51" t="n"/>
      <c r="H257" s="51" t="n"/>
    </row>
    <row r="258">
      <c r="B258" s="51" t="n"/>
      <c r="C258" s="51" t="n"/>
      <c r="D258" s="51" t="n"/>
      <c r="E258" s="51" t="n"/>
      <c r="F258" s="51" t="n"/>
      <c r="G258" s="51" t="n"/>
      <c r="H258" s="51" t="n"/>
    </row>
    <row r="259">
      <c r="B259" s="51" t="n"/>
      <c r="C259" s="51" t="n"/>
      <c r="D259" s="51" t="n"/>
      <c r="E259" s="51" t="n"/>
      <c r="F259" s="51" t="n"/>
      <c r="G259" s="51" t="n"/>
      <c r="H259" s="51" t="n"/>
    </row>
    <row r="260">
      <c r="B260" s="51" t="n"/>
      <c r="C260" s="51" t="n"/>
      <c r="D260" s="51" t="n"/>
      <c r="E260" s="51" t="n"/>
      <c r="F260" s="51" t="n"/>
      <c r="G260" s="51" t="n"/>
      <c r="H260" s="51" t="n"/>
    </row>
    <row r="261">
      <c r="B261" s="51" t="n"/>
      <c r="C261" s="51" t="n"/>
      <c r="D261" s="51" t="n"/>
      <c r="E261" s="51" t="n"/>
      <c r="F261" s="51" t="n"/>
      <c r="G261" s="51" t="n"/>
      <c r="H261" s="51" t="n"/>
    </row>
    <row r="262">
      <c r="B262" s="51" t="n"/>
      <c r="C262" s="51" t="n"/>
      <c r="D262" s="51" t="n"/>
      <c r="E262" s="51" t="n"/>
      <c r="F262" s="51" t="n"/>
      <c r="G262" s="51" t="n"/>
      <c r="H262" s="51" t="n"/>
    </row>
    <row r="263">
      <c r="B263" s="51" t="n"/>
      <c r="C263" s="51" t="n"/>
      <c r="D263" s="51" t="n"/>
      <c r="E263" s="51" t="n"/>
      <c r="F263" s="51" t="n"/>
      <c r="G263" s="51" t="n"/>
      <c r="H263" s="51" t="n"/>
    </row>
    <row r="264">
      <c r="B264" s="51" t="n"/>
      <c r="C264" s="51" t="n"/>
      <c r="D264" s="51" t="n"/>
      <c r="E264" s="51" t="n"/>
      <c r="F264" s="51" t="n"/>
      <c r="G264" s="51" t="n"/>
      <c r="H264" s="51" t="n"/>
    </row>
    <row r="265">
      <c r="B265" s="51" t="n"/>
      <c r="C265" s="51" t="n"/>
      <c r="D265" s="51" t="n"/>
      <c r="E265" s="51" t="n"/>
      <c r="F265" s="51" t="n"/>
      <c r="G265" s="51" t="n"/>
      <c r="H265" s="51" t="n"/>
    </row>
    <row r="266">
      <c r="B266" s="51" t="n"/>
      <c r="C266" s="51" t="n"/>
      <c r="D266" s="51" t="n"/>
      <c r="E266" s="51" t="n"/>
      <c r="F266" s="51" t="n"/>
      <c r="G266" s="51" t="n"/>
      <c r="H266" s="51" t="n"/>
    </row>
    <row r="267">
      <c r="B267" s="51" t="n"/>
      <c r="C267" s="51" t="n"/>
      <c r="D267" s="51" t="n"/>
      <c r="E267" s="51" t="n"/>
      <c r="F267" s="51" t="n"/>
      <c r="G267" s="51" t="n"/>
      <c r="H267" s="51" t="n"/>
    </row>
    <row r="268">
      <c r="B268" s="51" t="n"/>
      <c r="C268" s="51" t="n"/>
      <c r="D268" s="51" t="n"/>
      <c r="E268" s="51" t="n"/>
      <c r="F268" s="51" t="n"/>
      <c r="G268" s="51" t="n"/>
      <c r="H268" s="51" t="n"/>
    </row>
    <row r="269">
      <c r="B269" s="51" t="n"/>
      <c r="C269" s="51" t="n"/>
      <c r="D269" s="51" t="n"/>
      <c r="E269" s="51" t="n"/>
      <c r="F269" s="51" t="n"/>
      <c r="G269" s="51" t="n"/>
      <c r="H269" s="51" t="n"/>
    </row>
    <row r="270">
      <c r="B270" s="51" t="n"/>
      <c r="C270" s="51" t="n"/>
      <c r="D270" s="51" t="n"/>
      <c r="E270" s="51" t="n"/>
      <c r="F270" s="51" t="n"/>
      <c r="G270" s="51" t="n"/>
      <c r="H270" s="51" t="n"/>
    </row>
    <row r="271">
      <c r="B271" s="51" t="n"/>
      <c r="C271" s="51" t="n"/>
      <c r="D271" s="51" t="n"/>
      <c r="E271" s="51" t="n"/>
      <c r="F271" s="51" t="n"/>
      <c r="G271" s="51" t="n"/>
      <c r="H271" s="51" t="n"/>
    </row>
    <row r="272">
      <c r="B272" s="51" t="n"/>
      <c r="C272" s="51" t="n"/>
      <c r="D272" s="51" t="n"/>
      <c r="E272" s="51" t="n"/>
      <c r="F272" s="51" t="n"/>
      <c r="G272" s="51" t="n"/>
      <c r="H272" s="51" t="n"/>
    </row>
    <row r="273">
      <c r="B273" s="51" t="n"/>
      <c r="C273" s="51" t="n"/>
      <c r="D273" s="51" t="n"/>
      <c r="E273" s="51" t="n"/>
      <c r="F273" s="51" t="n"/>
      <c r="G273" s="51" t="n"/>
      <c r="H273" s="51" t="n"/>
    </row>
    <row r="274">
      <c r="B274" s="51" t="n"/>
      <c r="C274" s="51" t="n"/>
      <c r="D274" s="51" t="n"/>
      <c r="E274" s="51" t="n"/>
      <c r="F274" s="51" t="n"/>
      <c r="G274" s="51" t="n"/>
      <c r="H274" s="51" t="n"/>
    </row>
    <row r="275">
      <c r="B275" s="51" t="n"/>
      <c r="C275" s="51" t="n"/>
      <c r="D275" s="51" t="n"/>
      <c r="E275" s="51" t="n"/>
      <c r="F275" s="51" t="n"/>
      <c r="G275" s="51" t="n"/>
      <c r="H275" s="51" t="n"/>
    </row>
    <row r="276">
      <c r="B276" s="51" t="n"/>
      <c r="C276" s="51" t="n"/>
      <c r="D276" s="51" t="n"/>
      <c r="E276" s="51" t="n"/>
      <c r="F276" s="51" t="n"/>
      <c r="G276" s="51" t="n"/>
      <c r="H276" s="51" t="n"/>
    </row>
    <row r="277">
      <c r="B277" s="51" t="n"/>
      <c r="C277" s="51" t="n"/>
      <c r="D277" s="51" t="n"/>
      <c r="E277" s="51" t="n"/>
      <c r="F277" s="51" t="n"/>
      <c r="G277" s="51" t="n"/>
      <c r="H277" s="51" t="n"/>
    </row>
    <row r="278">
      <c r="B278" s="51" t="n"/>
      <c r="C278" s="51" t="n"/>
      <c r="D278" s="51" t="n"/>
      <c r="E278" s="51" t="n"/>
      <c r="F278" s="51" t="n"/>
      <c r="G278" s="51" t="n"/>
      <c r="H278" s="51" t="n"/>
    </row>
    <row r="279">
      <c r="B279" s="51" t="n"/>
      <c r="C279" s="51" t="n"/>
      <c r="D279" s="51" t="n"/>
      <c r="E279" s="51" t="n"/>
      <c r="F279" s="51" t="n"/>
      <c r="G279" s="51" t="n"/>
      <c r="H279" s="51" t="n"/>
    </row>
    <row r="280">
      <c r="B280" s="51" t="n"/>
      <c r="C280" s="51" t="n"/>
      <c r="D280" s="51" t="n"/>
      <c r="E280" s="51" t="n"/>
      <c r="F280" s="51" t="n"/>
      <c r="G280" s="51" t="n"/>
      <c r="H280" s="51" t="n"/>
    </row>
    <row r="281">
      <c r="B281" s="51" t="n"/>
      <c r="C281" s="51" t="n"/>
      <c r="D281" s="51" t="n"/>
      <c r="E281" s="51" t="n"/>
      <c r="F281" s="51" t="n"/>
      <c r="G281" s="51" t="n"/>
      <c r="H281" s="51" t="n"/>
    </row>
    <row r="282">
      <c r="B282" s="51" t="n"/>
      <c r="C282" s="51" t="n"/>
      <c r="D282" s="51" t="n"/>
      <c r="E282" s="51" t="n"/>
      <c r="F282" s="51" t="n"/>
      <c r="G282" s="51" t="n"/>
      <c r="H282" s="51" t="n"/>
    </row>
    <row r="283">
      <c r="B283" s="51" t="n"/>
      <c r="C283" s="51" t="n"/>
      <c r="D283" s="51" t="n"/>
      <c r="E283" s="51" t="n"/>
      <c r="F283" s="51" t="n"/>
      <c r="G283" s="51" t="n"/>
      <c r="H283" s="51" t="n"/>
    </row>
    <row r="284">
      <c r="B284" s="51" t="n"/>
      <c r="C284" s="51" t="n"/>
      <c r="D284" s="51" t="n"/>
      <c r="E284" s="51" t="n"/>
      <c r="F284" s="51" t="n"/>
      <c r="G284" s="51" t="n"/>
      <c r="H284" s="51" t="n"/>
    </row>
    <row r="285">
      <c r="B285" s="51" t="n"/>
      <c r="C285" s="51" t="n"/>
      <c r="D285" s="51" t="n"/>
      <c r="E285" s="51" t="n"/>
      <c r="F285" s="51" t="n"/>
      <c r="G285" s="51" t="n"/>
      <c r="H285" s="51" t="n"/>
    </row>
    <row r="286">
      <c r="B286" s="51" t="n"/>
      <c r="C286" s="51" t="n"/>
      <c r="D286" s="51" t="n"/>
      <c r="E286" s="51" t="n"/>
      <c r="F286" s="51" t="n"/>
      <c r="G286" s="51" t="n"/>
      <c r="H286" s="51" t="n"/>
    </row>
    <row r="287">
      <c r="B287" s="51" t="n"/>
      <c r="C287" s="51" t="n"/>
      <c r="D287" s="51" t="n"/>
      <c r="E287" s="51" t="n"/>
      <c r="F287" s="51" t="n"/>
      <c r="G287" s="51" t="n"/>
      <c r="H287" s="51" t="n"/>
    </row>
    <row r="288">
      <c r="B288" s="51" t="n"/>
      <c r="C288" s="51" t="n"/>
      <c r="D288" s="51" t="n"/>
      <c r="E288" s="51" t="n"/>
      <c r="F288" s="51" t="n"/>
      <c r="G288" s="51" t="n"/>
      <c r="H288" s="51" t="n"/>
    </row>
    <row r="289">
      <c r="B289" s="51" t="n"/>
      <c r="C289" s="51" t="n"/>
      <c r="D289" s="51" t="n"/>
      <c r="E289" s="51" t="n"/>
      <c r="F289" s="51" t="n"/>
      <c r="G289" s="51" t="n"/>
      <c r="H289" s="51" t="n"/>
    </row>
    <row r="290">
      <c r="B290" s="51" t="n"/>
      <c r="C290" s="51" t="n"/>
      <c r="D290" s="51" t="n"/>
      <c r="E290" s="51" t="n"/>
      <c r="F290" s="51" t="n"/>
      <c r="G290" s="51" t="n"/>
      <c r="H290" s="51" t="n"/>
    </row>
    <row r="291">
      <c r="B291" s="51" t="n"/>
      <c r="C291" s="51" t="n"/>
      <c r="D291" s="51" t="n"/>
      <c r="E291" s="51" t="n"/>
      <c r="F291" s="51" t="n"/>
      <c r="G291" s="51" t="n"/>
      <c r="H291" s="51" t="n"/>
    </row>
    <row r="292">
      <c r="B292" s="51" t="n"/>
      <c r="C292" s="51" t="n"/>
      <c r="D292" s="51" t="n"/>
      <c r="E292" s="51" t="n"/>
      <c r="F292" s="51" t="n"/>
      <c r="G292" s="51" t="n"/>
      <c r="H292" s="51" t="n"/>
    </row>
    <row r="293">
      <c r="B293" s="51" t="n"/>
      <c r="C293" s="51" t="n"/>
      <c r="D293" s="51" t="n"/>
      <c r="E293" s="51" t="n"/>
      <c r="F293" s="51" t="n"/>
      <c r="G293" s="51" t="n"/>
      <c r="H293" s="51" t="n"/>
    </row>
    <row r="294">
      <c r="B294" s="51" t="n"/>
      <c r="C294" s="51" t="n"/>
      <c r="D294" s="51" t="n"/>
      <c r="E294" s="51" t="n"/>
      <c r="F294" s="51" t="n"/>
      <c r="G294" s="51" t="n"/>
      <c r="H294" s="51" t="n"/>
    </row>
    <row r="295">
      <c r="B295" s="51" t="n"/>
      <c r="C295" s="51" t="n"/>
      <c r="D295" s="51" t="n"/>
      <c r="E295" s="51" t="n"/>
      <c r="F295" s="51" t="n"/>
      <c r="G295" s="51" t="n"/>
      <c r="H295" s="51" t="n"/>
    </row>
    <row r="296">
      <c r="B296" s="51" t="n"/>
      <c r="C296" s="51" t="n"/>
      <c r="D296" s="51" t="n"/>
      <c r="E296" s="51" t="n"/>
      <c r="F296" s="51" t="n"/>
      <c r="G296" s="51" t="n"/>
      <c r="H296" s="51" t="n"/>
    </row>
    <row r="297">
      <c r="B297" s="51" t="n"/>
      <c r="C297" s="51" t="n"/>
      <c r="D297" s="51" t="n"/>
      <c r="E297" s="51" t="n"/>
      <c r="F297" s="51" t="n"/>
      <c r="G297" s="51" t="n"/>
      <c r="H297" s="51" t="n"/>
    </row>
    <row r="298">
      <c r="B298" s="51" t="n"/>
      <c r="C298" s="51" t="n"/>
      <c r="D298" s="51" t="n"/>
      <c r="E298" s="51" t="n"/>
      <c r="F298" s="51" t="n"/>
      <c r="G298" s="51" t="n"/>
      <c r="H298" s="51" t="n"/>
    </row>
    <row r="299">
      <c r="B299" s="51" t="n"/>
      <c r="C299" s="51" t="n"/>
      <c r="D299" s="51" t="n"/>
      <c r="E299" s="51" t="n"/>
      <c r="F299" s="51" t="n"/>
      <c r="G299" s="51" t="n"/>
      <c r="H299" s="51" t="n"/>
    </row>
    <row r="300">
      <c r="B300" s="51" t="n"/>
      <c r="C300" s="51" t="n"/>
      <c r="D300" s="51" t="n"/>
      <c r="E300" s="51" t="n"/>
      <c r="F300" s="51" t="n"/>
      <c r="G300" s="51" t="n"/>
      <c r="H300" s="51" t="n"/>
    </row>
    <row r="301">
      <c r="B301" s="51" t="n"/>
      <c r="C301" s="51" t="n"/>
      <c r="D301" s="51" t="n"/>
      <c r="E301" s="51" t="n"/>
      <c r="F301" s="51" t="n"/>
      <c r="G301" s="51" t="n"/>
      <c r="H301" s="51" t="n"/>
    </row>
    <row r="302">
      <c r="B302" s="51" t="n"/>
      <c r="C302" s="51" t="n"/>
      <c r="D302" s="51" t="n"/>
      <c r="E302" s="51" t="n"/>
      <c r="F302" s="51" t="n"/>
      <c r="G302" s="51" t="n"/>
      <c r="H302" s="51" t="n"/>
    </row>
    <row r="303">
      <c r="B303" s="51" t="n"/>
      <c r="C303" s="51" t="n"/>
      <c r="D303" s="51" t="n"/>
      <c r="E303" s="51" t="n"/>
      <c r="F303" s="51" t="n"/>
      <c r="G303" s="51" t="n"/>
      <c r="H303" s="51" t="n"/>
    </row>
    <row r="304">
      <c r="B304" s="51" t="n"/>
      <c r="C304" s="51" t="n"/>
      <c r="D304" s="51" t="n"/>
      <c r="E304" s="51" t="n"/>
      <c r="F304" s="51" t="n"/>
      <c r="G304" s="51" t="n"/>
      <c r="H304" s="51" t="n"/>
    </row>
    <row r="305">
      <c r="B305" s="51" t="n"/>
      <c r="C305" s="51" t="n"/>
      <c r="D305" s="51" t="n"/>
      <c r="E305" s="51" t="n"/>
      <c r="F305" s="51" t="n"/>
      <c r="G305" s="51" t="n"/>
      <c r="H305" s="51" t="n"/>
    </row>
    <row r="306">
      <c r="B306" s="51" t="n"/>
      <c r="C306" s="51" t="n"/>
      <c r="D306" s="51" t="n"/>
      <c r="E306" s="51" t="n"/>
      <c r="F306" s="51" t="n"/>
      <c r="G306" s="51" t="n"/>
      <c r="H306" s="51" t="n"/>
    </row>
    <row r="307">
      <c r="B307" s="51" t="n"/>
      <c r="C307" s="51" t="n"/>
      <c r="D307" s="51" t="n"/>
      <c r="E307" s="51" t="n"/>
      <c r="F307" s="51" t="n"/>
      <c r="G307" s="51" t="n"/>
      <c r="H307" s="51" t="n"/>
    </row>
    <row r="308">
      <c r="B308" s="51" t="n"/>
      <c r="C308" s="51" t="n"/>
      <c r="D308" s="51" t="n"/>
      <c r="E308" s="51" t="n"/>
      <c r="F308" s="51" t="n"/>
      <c r="G308" s="51" t="n"/>
      <c r="H308" s="51" t="n"/>
    </row>
    <row r="309">
      <c r="B309" s="51" t="n"/>
      <c r="C309" s="51" t="n"/>
      <c r="D309" s="51" t="n"/>
      <c r="E309" s="51" t="n"/>
      <c r="F309" s="51" t="n"/>
      <c r="G309" s="51" t="n"/>
      <c r="H309" s="51" t="n"/>
    </row>
    <row r="310">
      <c r="B310" s="51" t="n"/>
      <c r="C310" s="51" t="n"/>
      <c r="D310" s="51" t="n"/>
      <c r="E310" s="51" t="n"/>
      <c r="F310" s="51" t="n"/>
      <c r="G310" s="51" t="n"/>
      <c r="H310" s="51" t="n"/>
    </row>
    <row r="311">
      <c r="B311" s="51" t="n"/>
      <c r="C311" s="51" t="n"/>
      <c r="D311" s="51" t="n"/>
      <c r="E311" s="51" t="n"/>
      <c r="F311" s="51" t="n"/>
      <c r="G311" s="51" t="n"/>
      <c r="H311" s="51" t="n"/>
    </row>
    <row r="312">
      <c r="B312" s="51" t="n"/>
      <c r="C312" s="51" t="n"/>
      <c r="D312" s="51" t="n"/>
      <c r="E312" s="51" t="n"/>
      <c r="F312" s="51" t="n"/>
      <c r="G312" s="51" t="n"/>
      <c r="H312" s="51" t="n"/>
    </row>
    <row r="313">
      <c r="B313" s="51" t="n"/>
      <c r="C313" s="51" t="n"/>
      <c r="D313" s="51" t="n"/>
      <c r="E313" s="51" t="n"/>
      <c r="F313" s="51" t="n"/>
      <c r="G313" s="51" t="n"/>
      <c r="H313" s="51" t="n"/>
    </row>
    <row r="314">
      <c r="B314" s="51" t="n"/>
      <c r="C314" s="51" t="n"/>
      <c r="D314" s="51" t="n"/>
      <c r="E314" s="51" t="n"/>
      <c r="F314" s="51" t="n"/>
      <c r="G314" s="51" t="n"/>
      <c r="H314" s="51" t="n"/>
    </row>
    <row r="315">
      <c r="B315" s="51" t="n"/>
      <c r="C315" s="51" t="n"/>
      <c r="D315" s="51" t="n"/>
      <c r="E315" s="51" t="n"/>
      <c r="F315" s="51" t="n"/>
      <c r="G315" s="51" t="n"/>
      <c r="H315" s="51" t="n"/>
    </row>
    <row r="316">
      <c r="B316" s="51" t="n"/>
      <c r="C316" s="51" t="n"/>
      <c r="D316" s="51" t="n"/>
      <c r="E316" s="51" t="n"/>
      <c r="F316" s="51" t="n"/>
      <c r="G316" s="51" t="n"/>
      <c r="H316" s="51" t="n"/>
    </row>
    <row r="317">
      <c r="B317" s="51" t="n"/>
      <c r="C317" s="51" t="n"/>
      <c r="D317" s="51" t="n"/>
      <c r="E317" s="51" t="n"/>
      <c r="F317" s="51" t="n"/>
      <c r="G317" s="51" t="n"/>
      <c r="H317" s="51" t="n"/>
    </row>
    <row r="318">
      <c r="B318" s="51" t="n"/>
      <c r="C318" s="51" t="n"/>
      <c r="D318" s="51" t="n"/>
      <c r="E318" s="51" t="n"/>
      <c r="F318" s="51" t="n"/>
      <c r="G318" s="51" t="n"/>
      <c r="H318" s="51" t="n"/>
    </row>
    <row r="319">
      <c r="B319" s="51" t="n"/>
      <c r="C319" s="51" t="n"/>
      <c r="D319" s="51" t="n"/>
      <c r="E319" s="51" t="n"/>
      <c r="F319" s="51" t="n"/>
      <c r="G319" s="51" t="n"/>
      <c r="H319" s="51" t="n"/>
    </row>
    <row r="320">
      <c r="B320" s="51" t="n"/>
      <c r="C320" s="51" t="n"/>
      <c r="D320" s="51" t="n"/>
      <c r="E320" s="51" t="n"/>
      <c r="F320" s="51" t="n"/>
      <c r="G320" s="51" t="n"/>
      <c r="H320" s="51" t="n"/>
    </row>
    <row r="321">
      <c r="B321" s="51" t="n"/>
      <c r="C321" s="51" t="n"/>
      <c r="D321" s="51" t="n"/>
      <c r="E321" s="51" t="n"/>
      <c r="F321" s="51" t="n"/>
      <c r="G321" s="51" t="n"/>
      <c r="H321" s="51" t="n"/>
    </row>
    <row r="322">
      <c r="B322" s="51" t="n"/>
      <c r="C322" s="51" t="n"/>
      <c r="D322" s="51" t="n"/>
      <c r="E322" s="51" t="n"/>
      <c r="F322" s="51" t="n"/>
      <c r="G322" s="51" t="n"/>
      <c r="H322" s="51" t="n"/>
    </row>
    <row r="323">
      <c r="B323" s="51" t="n"/>
      <c r="C323" s="51" t="n"/>
      <c r="D323" s="51" t="n"/>
      <c r="E323" s="51" t="n"/>
      <c r="F323" s="51" t="n"/>
      <c r="G323" s="51" t="n"/>
      <c r="H323" s="51" t="n"/>
    </row>
    <row r="324">
      <c r="B324" s="51" t="n"/>
      <c r="C324" s="51" t="n"/>
      <c r="D324" s="51" t="n"/>
      <c r="E324" s="51" t="n"/>
      <c r="F324" s="51" t="n"/>
      <c r="G324" s="51" t="n"/>
      <c r="H324" s="51" t="n"/>
    </row>
    <row r="325">
      <c r="B325" s="51" t="n"/>
      <c r="C325" s="51" t="n"/>
      <c r="D325" s="51" t="n"/>
      <c r="E325" s="51" t="n"/>
      <c r="F325" s="51" t="n"/>
      <c r="G325" s="51" t="n"/>
      <c r="H325" s="51" t="n"/>
    </row>
    <row r="326">
      <c r="B326" s="51" t="n"/>
      <c r="C326" s="51" t="n"/>
      <c r="D326" s="51" t="n"/>
      <c r="E326" s="51" t="n"/>
      <c r="F326" s="51" t="n"/>
      <c r="G326" s="51" t="n"/>
      <c r="H326" s="51" t="n"/>
    </row>
    <row r="327">
      <c r="B327" s="51" t="n"/>
      <c r="C327" s="51" t="n"/>
      <c r="D327" s="51" t="n"/>
      <c r="E327" s="51" t="n"/>
      <c r="F327" s="51" t="n"/>
      <c r="G327" s="51" t="n"/>
      <c r="H327" s="51" t="n"/>
    </row>
    <row r="328">
      <c r="B328" s="51" t="n"/>
      <c r="C328" s="51" t="n"/>
      <c r="D328" s="51" t="n"/>
      <c r="E328" s="51" t="n"/>
      <c r="F328" s="51" t="n"/>
      <c r="G328" s="51" t="n"/>
      <c r="H328" s="51" t="n"/>
    </row>
    <row r="329">
      <c r="B329" s="51" t="n"/>
      <c r="C329" s="51" t="n"/>
      <c r="D329" s="51" t="n"/>
      <c r="E329" s="51" t="n"/>
      <c r="F329" s="51" t="n"/>
      <c r="G329" s="51" t="n"/>
      <c r="H329" s="51" t="n"/>
    </row>
    <row r="330">
      <c r="B330" s="51" t="n"/>
      <c r="C330" s="51" t="n"/>
      <c r="D330" s="51" t="n"/>
      <c r="E330" s="51" t="n"/>
      <c r="F330" s="51" t="n"/>
      <c r="G330" s="51" t="n"/>
      <c r="H330" s="51" t="n"/>
    </row>
    <row r="331">
      <c r="B331" s="51" t="n"/>
      <c r="C331" s="51" t="n"/>
      <c r="D331" s="51" t="n"/>
      <c r="E331" s="51" t="n"/>
      <c r="F331" s="51" t="n"/>
      <c r="G331" s="51" t="n"/>
      <c r="H331" s="51" t="n"/>
    </row>
    <row r="332">
      <c r="B332" s="51" t="n"/>
      <c r="C332" s="51" t="n"/>
      <c r="D332" s="51" t="n"/>
      <c r="E332" s="51" t="n"/>
      <c r="F332" s="51" t="n"/>
      <c r="G332" s="51" t="n"/>
      <c r="H332" s="51" t="n"/>
    </row>
    <row r="333">
      <c r="B333" s="51" t="n"/>
      <c r="C333" s="51" t="n"/>
      <c r="D333" s="51" t="n"/>
      <c r="E333" s="51" t="n"/>
      <c r="F333" s="51" t="n"/>
      <c r="G333" s="51" t="n"/>
      <c r="H333" s="51" t="n"/>
    </row>
    <row r="334">
      <c r="B334" s="51" t="n"/>
      <c r="C334" s="51" t="n"/>
      <c r="D334" s="51" t="n"/>
      <c r="E334" s="51" t="n"/>
      <c r="F334" s="51" t="n"/>
      <c r="G334" s="51" t="n"/>
      <c r="H334" s="51" t="n"/>
    </row>
    <row r="335">
      <c r="B335" s="51" t="n"/>
      <c r="C335" s="51" t="n"/>
      <c r="D335" s="51" t="n"/>
      <c r="E335" s="51" t="n"/>
      <c r="F335" s="51" t="n"/>
      <c r="G335" s="51" t="n"/>
      <c r="H335" s="51" t="n"/>
    </row>
    <row r="336">
      <c r="B336" s="51" t="n"/>
      <c r="C336" s="51" t="n"/>
      <c r="D336" s="51" t="n"/>
      <c r="E336" s="51" t="n"/>
      <c r="F336" s="51" t="n"/>
      <c r="G336" s="51" t="n"/>
      <c r="H336" s="51" t="n"/>
    </row>
    <row r="337">
      <c r="B337" s="51" t="n"/>
      <c r="C337" s="51" t="n"/>
      <c r="D337" s="51" t="n"/>
      <c r="E337" s="51" t="n"/>
      <c r="F337" s="51" t="n"/>
      <c r="G337" s="51" t="n"/>
      <c r="H337" s="51" t="n"/>
    </row>
    <row r="338">
      <c r="B338" s="51" t="n"/>
      <c r="C338" s="51" t="n"/>
      <c r="D338" s="51" t="n"/>
      <c r="E338" s="51" t="n"/>
      <c r="F338" s="51" t="n"/>
      <c r="G338" s="51" t="n"/>
      <c r="H338" s="51" t="n"/>
    </row>
    <row r="339">
      <c r="B339" s="51" t="n"/>
      <c r="C339" s="51" t="n"/>
      <c r="D339" s="51" t="n"/>
      <c r="E339" s="51" t="n"/>
      <c r="F339" s="51" t="n"/>
      <c r="G339" s="51" t="n"/>
      <c r="H339" s="51" t="n"/>
    </row>
    <row r="340">
      <c r="B340" s="51" t="n"/>
      <c r="C340" s="51" t="n"/>
      <c r="D340" s="51" t="n"/>
      <c r="E340" s="51" t="n"/>
      <c r="F340" s="51" t="n"/>
      <c r="G340" s="51" t="n"/>
      <c r="H340" s="51" t="n"/>
    </row>
    <row r="341">
      <c r="B341" s="51" t="n"/>
      <c r="C341" s="51" t="n"/>
      <c r="D341" s="51" t="n"/>
      <c r="E341" s="51" t="n"/>
      <c r="F341" s="51" t="n"/>
      <c r="G341" s="51" t="n"/>
      <c r="H341" s="51" t="n"/>
    </row>
    <row r="342">
      <c r="B342" s="51" t="n"/>
      <c r="C342" s="51" t="n"/>
      <c r="D342" s="51" t="n"/>
      <c r="E342" s="51" t="n"/>
      <c r="F342" s="51" t="n"/>
      <c r="G342" s="51" t="n"/>
      <c r="H342" s="51" t="n"/>
    </row>
    <row r="343">
      <c r="B343" s="51" t="n"/>
      <c r="C343" s="51" t="n"/>
      <c r="D343" s="51" t="n"/>
      <c r="E343" s="51" t="n"/>
      <c r="F343" s="51" t="n"/>
      <c r="G343" s="51" t="n"/>
      <c r="H343" s="51" t="n"/>
    </row>
    <row r="344">
      <c r="B344" s="51" t="n"/>
      <c r="C344" s="51" t="n"/>
      <c r="D344" s="51" t="n"/>
      <c r="E344" s="51" t="n"/>
      <c r="F344" s="51" t="n"/>
      <c r="G344" s="51" t="n"/>
      <c r="H344" s="51" t="n"/>
    </row>
    <row r="345">
      <c r="B345" s="51" t="n"/>
      <c r="C345" s="51" t="n"/>
      <c r="D345" s="51" t="n"/>
      <c r="E345" s="51" t="n"/>
      <c r="F345" s="51" t="n"/>
      <c r="G345" s="51" t="n"/>
      <c r="H345" s="51" t="n"/>
    </row>
    <row r="346">
      <c r="B346" s="51" t="n"/>
      <c r="C346" s="51" t="n"/>
      <c r="D346" s="51" t="n"/>
      <c r="E346" s="51" t="n"/>
      <c r="F346" s="51" t="n"/>
      <c r="G346" s="51" t="n"/>
      <c r="H346" s="51" t="n"/>
    </row>
    <row r="347">
      <c r="B347" s="51" t="n"/>
      <c r="C347" s="51" t="n"/>
      <c r="D347" s="51" t="n"/>
      <c r="E347" s="51" t="n"/>
      <c r="F347" s="51" t="n"/>
      <c r="G347" s="51" t="n"/>
      <c r="H347" s="51" t="n"/>
    </row>
    <row r="348">
      <c r="B348" s="51" t="n"/>
      <c r="C348" s="51" t="n"/>
      <c r="D348" s="51" t="n"/>
      <c r="E348" s="51" t="n"/>
      <c r="F348" s="51" t="n"/>
      <c r="G348" s="51" t="n"/>
      <c r="H348" s="51" t="n"/>
    </row>
    <row r="349">
      <c r="B349" s="51" t="n"/>
      <c r="C349" s="51" t="n"/>
      <c r="D349" s="51" t="n"/>
      <c r="E349" s="51" t="n"/>
      <c r="F349" s="51" t="n"/>
      <c r="G349" s="51" t="n"/>
      <c r="H349" s="51" t="n"/>
    </row>
    <row r="350">
      <c r="B350" s="51" t="n"/>
      <c r="C350" s="51" t="n"/>
      <c r="D350" s="51" t="n"/>
      <c r="E350" s="51" t="n"/>
      <c r="F350" s="51" t="n"/>
      <c r="G350" s="51" t="n"/>
      <c r="H350" s="51" t="n"/>
    </row>
    <row r="351">
      <c r="B351" s="51" t="n"/>
      <c r="C351" s="51" t="n"/>
      <c r="D351" s="51" t="n"/>
      <c r="E351" s="51" t="n"/>
      <c r="F351" s="51" t="n"/>
      <c r="G351" s="51" t="n"/>
      <c r="H351" s="51" t="n"/>
    </row>
    <row r="352">
      <c r="B352" s="51" t="n"/>
      <c r="C352" s="51" t="n"/>
      <c r="D352" s="51" t="n"/>
      <c r="E352" s="51" t="n"/>
      <c r="F352" s="51" t="n"/>
      <c r="G352" s="51" t="n"/>
      <c r="H352" s="51" t="n"/>
    </row>
    <row r="353">
      <c r="B353" s="51" t="n"/>
      <c r="C353" s="51" t="n"/>
      <c r="D353" s="51" t="n"/>
      <c r="E353" s="51" t="n"/>
      <c r="F353" s="51" t="n"/>
      <c r="G353" s="51" t="n"/>
      <c r="H353" s="51" t="n"/>
    </row>
    <row r="354">
      <c r="B354" s="51" t="n"/>
      <c r="C354" s="51" t="n"/>
      <c r="D354" s="51" t="n"/>
      <c r="E354" s="51" t="n"/>
      <c r="F354" s="51" t="n"/>
      <c r="G354" s="51" t="n"/>
      <c r="H354" s="51" t="n"/>
    </row>
    <row r="355">
      <c r="B355" s="51" t="n"/>
      <c r="C355" s="51" t="n"/>
      <c r="D355" s="51" t="n"/>
      <c r="E355" s="51" t="n"/>
      <c r="F355" s="51" t="n"/>
      <c r="G355" s="51" t="n"/>
      <c r="H355" s="51" t="n"/>
    </row>
    <row r="356">
      <c r="B356" s="51" t="n"/>
      <c r="C356" s="51" t="n"/>
      <c r="D356" s="51" t="n"/>
      <c r="E356" s="51" t="n"/>
      <c r="F356" s="51" t="n"/>
      <c r="G356" s="51" t="n"/>
      <c r="H356" s="51" t="n"/>
    </row>
    <row r="357">
      <c r="B357" s="51" t="n"/>
      <c r="C357" s="51" t="n"/>
      <c r="D357" s="51" t="n"/>
      <c r="E357" s="51" t="n"/>
      <c r="F357" s="51" t="n"/>
      <c r="G357" s="51" t="n"/>
      <c r="H357" s="51" t="n"/>
    </row>
    <row r="358">
      <c r="B358" s="51" t="n"/>
      <c r="C358" s="51" t="n"/>
      <c r="D358" s="51" t="n"/>
      <c r="E358" s="51" t="n"/>
      <c r="F358" s="51" t="n"/>
      <c r="G358" s="51" t="n"/>
      <c r="H358" s="51" t="n"/>
    </row>
    <row r="359">
      <c r="B359" s="51" t="n"/>
      <c r="C359" s="51" t="n"/>
      <c r="D359" s="51" t="n"/>
      <c r="E359" s="51" t="n"/>
      <c r="F359" s="51" t="n"/>
      <c r="G359" s="51" t="n"/>
      <c r="H359" s="51" t="n"/>
    </row>
    <row r="360">
      <c r="B360" s="51" t="n"/>
      <c r="C360" s="51" t="n"/>
      <c r="D360" s="51" t="n"/>
      <c r="E360" s="51" t="n"/>
      <c r="F360" s="51" t="n"/>
      <c r="G360" s="51" t="n"/>
      <c r="H360" s="51" t="n"/>
    </row>
    <row r="361">
      <c r="B361" s="51" t="n"/>
      <c r="C361" s="51" t="n"/>
      <c r="D361" s="51" t="n"/>
      <c r="E361" s="51" t="n"/>
      <c r="F361" s="51" t="n"/>
      <c r="G361" s="51" t="n"/>
      <c r="H361" s="51" t="n"/>
    </row>
    <row r="362">
      <c r="B362" s="51" t="n"/>
      <c r="C362" s="51" t="n"/>
      <c r="D362" s="51" t="n"/>
      <c r="E362" s="51" t="n"/>
      <c r="F362" s="51" t="n"/>
      <c r="G362" s="51" t="n"/>
      <c r="H362" s="51" t="n"/>
    </row>
    <row r="363">
      <c r="B363" s="51" t="n"/>
      <c r="C363" s="51" t="n"/>
      <c r="D363" s="51" t="n"/>
      <c r="E363" s="51" t="n"/>
      <c r="F363" s="51" t="n"/>
      <c r="G363" s="51" t="n"/>
      <c r="H363" s="51" t="n"/>
    </row>
    <row r="364">
      <c r="B364" s="51" t="n"/>
      <c r="C364" s="51" t="n"/>
      <c r="D364" s="51" t="n"/>
      <c r="E364" s="51" t="n"/>
      <c r="F364" s="51" t="n"/>
      <c r="G364" s="51" t="n"/>
      <c r="H364" s="51" t="n"/>
    </row>
    <row r="365">
      <c r="B365" s="51" t="n"/>
      <c r="C365" s="51" t="n"/>
      <c r="D365" s="51" t="n"/>
      <c r="E365" s="51" t="n"/>
      <c r="F365" s="51" t="n"/>
      <c r="G365" s="51" t="n"/>
      <c r="H365" s="51" t="n"/>
    </row>
    <row r="366">
      <c r="B366" s="51" t="n"/>
      <c r="C366" s="51" t="n"/>
      <c r="D366" s="51" t="n"/>
      <c r="E366" s="51" t="n"/>
      <c r="F366" s="51" t="n"/>
      <c r="G366" s="51" t="n"/>
      <c r="H366" s="51" t="n"/>
    </row>
    <row r="367">
      <c r="B367" s="51" t="n"/>
      <c r="C367" s="51" t="n"/>
      <c r="D367" s="51" t="n"/>
      <c r="E367" s="51" t="n"/>
      <c r="F367" s="51" t="n"/>
      <c r="G367" s="51" t="n"/>
      <c r="H367" s="51" t="n"/>
    </row>
    <row r="368">
      <c r="B368" s="51" t="n"/>
      <c r="C368" s="51" t="n"/>
      <c r="D368" s="51" t="n"/>
      <c r="E368" s="51" t="n"/>
      <c r="F368" s="51" t="n"/>
      <c r="G368" s="51" t="n"/>
      <c r="H368" s="51" t="n"/>
    </row>
    <row r="369">
      <c r="B369" s="51" t="n"/>
      <c r="C369" s="51" t="n"/>
      <c r="D369" s="51" t="n"/>
      <c r="E369" s="51" t="n"/>
      <c r="F369" s="51" t="n"/>
      <c r="G369" s="51" t="n"/>
      <c r="H369" s="51" t="n"/>
    </row>
    <row r="370">
      <c r="B370" s="51" t="n"/>
      <c r="C370" s="51" t="n"/>
      <c r="D370" s="51" t="n"/>
      <c r="E370" s="51" t="n"/>
      <c r="F370" s="51" t="n"/>
      <c r="G370" s="51" t="n"/>
      <c r="H370" s="51" t="n"/>
    </row>
    <row r="371">
      <c r="B371" s="51" t="n"/>
      <c r="C371" s="51" t="n"/>
      <c r="D371" s="51" t="n"/>
      <c r="E371" s="51" t="n"/>
      <c r="F371" s="51" t="n"/>
      <c r="G371" s="51" t="n"/>
      <c r="H371" s="51" t="n"/>
    </row>
    <row r="372">
      <c r="B372" s="51" t="n"/>
      <c r="C372" s="51" t="n"/>
      <c r="D372" s="51" t="n"/>
      <c r="E372" s="51" t="n"/>
      <c r="F372" s="51" t="n"/>
      <c r="G372" s="51" t="n"/>
      <c r="H372" s="51" t="n"/>
    </row>
    <row r="373">
      <c r="B373" s="51" t="n"/>
      <c r="C373" s="51" t="n"/>
      <c r="D373" s="51" t="n"/>
      <c r="E373" s="51" t="n"/>
      <c r="F373" s="51" t="n"/>
      <c r="G373" s="51" t="n"/>
      <c r="H373" s="51" t="n"/>
    </row>
    <row r="374">
      <c r="B374" s="51" t="n"/>
      <c r="C374" s="51" t="n"/>
      <c r="D374" s="51" t="n"/>
      <c r="E374" s="51" t="n"/>
      <c r="F374" s="51" t="n"/>
      <c r="G374" s="51" t="n"/>
      <c r="H374" s="51" t="n"/>
    </row>
    <row r="375">
      <c r="B375" s="51" t="n"/>
      <c r="C375" s="51" t="n"/>
      <c r="D375" s="51" t="n"/>
      <c r="E375" s="51" t="n"/>
      <c r="F375" s="51" t="n"/>
      <c r="G375" s="51" t="n"/>
      <c r="H375" s="51" t="n"/>
    </row>
    <row r="376">
      <c r="B376" s="51" t="n"/>
      <c r="C376" s="51" t="n"/>
      <c r="D376" s="51" t="n"/>
      <c r="E376" s="51" t="n"/>
      <c r="F376" s="51" t="n"/>
      <c r="G376" s="51" t="n"/>
      <c r="H376" s="51" t="n"/>
    </row>
    <row r="377">
      <c r="B377" s="51" t="n"/>
      <c r="C377" s="51" t="n"/>
      <c r="D377" s="51" t="n"/>
      <c r="E377" s="51" t="n"/>
      <c r="F377" s="51" t="n"/>
      <c r="G377" s="51" t="n"/>
      <c r="H377" s="51" t="n"/>
    </row>
    <row r="378">
      <c r="B378" s="51" t="n"/>
      <c r="C378" s="51" t="n"/>
      <c r="D378" s="51" t="n"/>
      <c r="E378" s="51" t="n"/>
      <c r="F378" s="51" t="n"/>
      <c r="G378" s="51" t="n"/>
      <c r="H378" s="51" t="n"/>
    </row>
    <row r="379">
      <c r="B379" s="51" t="n"/>
      <c r="C379" s="51" t="n"/>
      <c r="D379" s="51" t="n"/>
      <c r="E379" s="51" t="n"/>
      <c r="F379" s="51" t="n"/>
      <c r="G379" s="51" t="n"/>
      <c r="H379" s="51" t="n"/>
    </row>
    <row r="380">
      <c r="B380" s="51" t="n"/>
      <c r="C380" s="51" t="n"/>
      <c r="D380" s="51" t="n"/>
      <c r="E380" s="51" t="n"/>
      <c r="F380" s="51" t="n"/>
      <c r="G380" s="51" t="n"/>
      <c r="H380" s="51" t="n"/>
    </row>
    <row r="381">
      <c r="B381" s="51" t="n"/>
      <c r="C381" s="51" t="n"/>
      <c r="D381" s="51" t="n"/>
      <c r="E381" s="51" t="n"/>
      <c r="F381" s="51" t="n"/>
      <c r="G381" s="51" t="n"/>
      <c r="H381" s="51" t="n"/>
    </row>
    <row r="382">
      <c r="B382" s="51" t="n"/>
      <c r="C382" s="51" t="n"/>
      <c r="D382" s="51" t="n"/>
      <c r="E382" s="51" t="n"/>
      <c r="F382" s="51" t="n"/>
      <c r="G382" s="51" t="n"/>
      <c r="H382" s="51" t="n"/>
    </row>
    <row r="383">
      <c r="B383" s="51" t="n"/>
      <c r="C383" s="51" t="n"/>
      <c r="D383" s="51" t="n"/>
      <c r="E383" s="51" t="n"/>
      <c r="F383" s="51" t="n"/>
      <c r="G383" s="51" t="n"/>
      <c r="H383" s="51" t="n"/>
    </row>
    <row r="384">
      <c r="B384" s="51" t="n"/>
      <c r="C384" s="51" t="n"/>
      <c r="D384" s="51" t="n"/>
      <c r="E384" s="51" t="n"/>
      <c r="F384" s="51" t="n"/>
      <c r="G384" s="51" t="n"/>
      <c r="H384" s="51" t="n"/>
    </row>
    <row r="385">
      <c r="B385" s="51" t="n"/>
      <c r="C385" s="51" t="n"/>
      <c r="D385" s="51" t="n"/>
      <c r="E385" s="51" t="n"/>
      <c r="F385" s="51" t="n"/>
      <c r="G385" s="51" t="n"/>
      <c r="H385" s="51" t="n"/>
    </row>
    <row r="386">
      <c r="B386" s="51" t="n"/>
      <c r="C386" s="51" t="n"/>
      <c r="D386" s="51" t="n"/>
      <c r="E386" s="51" t="n"/>
      <c r="F386" s="51" t="n"/>
      <c r="G386" s="51" t="n"/>
      <c r="H386" s="51" t="n"/>
    </row>
    <row r="387">
      <c r="B387" s="51" t="n"/>
      <c r="C387" s="51" t="n"/>
      <c r="D387" s="51" t="n"/>
      <c r="E387" s="51" t="n"/>
      <c r="F387" s="51" t="n"/>
      <c r="G387" s="51" t="n"/>
      <c r="H387" s="51" t="n"/>
    </row>
    <row r="388">
      <c r="B388" s="51" t="n"/>
      <c r="C388" s="51" t="n"/>
      <c r="D388" s="51" t="n"/>
      <c r="E388" s="51" t="n"/>
      <c r="F388" s="51" t="n"/>
      <c r="G388" s="51" t="n"/>
      <c r="H388" s="51" t="n"/>
    </row>
    <row r="389">
      <c r="B389" s="51" t="n"/>
      <c r="C389" s="51" t="n"/>
      <c r="D389" s="51" t="n"/>
      <c r="E389" s="51" t="n"/>
      <c r="F389" s="51" t="n"/>
      <c r="G389" s="51" t="n"/>
      <c r="H389" s="51" t="n"/>
    </row>
    <row r="390">
      <c r="B390" s="51" t="n"/>
      <c r="C390" s="51" t="n"/>
      <c r="D390" s="51" t="n"/>
      <c r="E390" s="51" t="n"/>
      <c r="F390" s="51" t="n"/>
      <c r="G390" s="51" t="n"/>
      <c r="H390" s="51" t="n"/>
    </row>
    <row r="391">
      <c r="B391" s="51" t="n"/>
      <c r="C391" s="51" t="n"/>
      <c r="D391" s="51" t="n"/>
      <c r="E391" s="51" t="n"/>
      <c r="F391" s="51" t="n"/>
      <c r="G391" s="51" t="n"/>
      <c r="H391" s="51" t="n"/>
    </row>
    <row r="392">
      <c r="B392" s="51" t="n"/>
      <c r="C392" s="51" t="n"/>
      <c r="D392" s="51" t="n"/>
      <c r="E392" s="51" t="n"/>
      <c r="F392" s="51" t="n"/>
      <c r="G392" s="51" t="n"/>
      <c r="H392" s="51" t="n"/>
    </row>
    <row r="393">
      <c r="B393" s="51" t="n"/>
      <c r="C393" s="51" t="n"/>
      <c r="D393" s="51" t="n"/>
      <c r="E393" s="51" t="n"/>
      <c r="F393" s="51" t="n"/>
      <c r="G393" s="51" t="n"/>
      <c r="H393" s="51" t="n"/>
    </row>
    <row r="394">
      <c r="B394" s="51" t="n"/>
      <c r="C394" s="51" t="n"/>
      <c r="D394" s="51" t="n"/>
      <c r="E394" s="51" t="n"/>
      <c r="F394" s="51" t="n"/>
      <c r="G394" s="51" t="n"/>
      <c r="H394" s="51" t="n"/>
    </row>
    <row r="395">
      <c r="B395" s="51" t="n"/>
      <c r="C395" s="51" t="n"/>
      <c r="D395" s="51" t="n"/>
      <c r="E395" s="51" t="n"/>
      <c r="F395" s="51" t="n"/>
      <c r="G395" s="51" t="n"/>
      <c r="H395" s="51" t="n"/>
    </row>
    <row r="396">
      <c r="B396" s="51" t="n"/>
      <c r="C396" s="51" t="n"/>
      <c r="D396" s="51" t="n"/>
      <c r="E396" s="51" t="n"/>
      <c r="F396" s="51" t="n"/>
      <c r="G396" s="51" t="n"/>
      <c r="H396" s="51" t="n"/>
    </row>
    <row r="397">
      <c r="B397" s="51" t="n"/>
      <c r="C397" s="51" t="n"/>
      <c r="D397" s="51" t="n"/>
      <c r="E397" s="51" t="n"/>
      <c r="F397" s="51" t="n"/>
      <c r="G397" s="51" t="n"/>
      <c r="H397" s="51" t="n"/>
    </row>
    <row r="398">
      <c r="B398" s="51" t="n"/>
      <c r="C398" s="51" t="n"/>
      <c r="D398" s="51" t="n"/>
      <c r="E398" s="51" t="n"/>
      <c r="F398" s="51" t="n"/>
      <c r="G398" s="51" t="n"/>
      <c r="H398" s="51" t="n"/>
    </row>
    <row r="399">
      <c r="B399" s="51" t="n"/>
      <c r="C399" s="51" t="n"/>
      <c r="D399" s="51" t="n"/>
      <c r="E399" s="51" t="n"/>
      <c r="F399" s="51" t="n"/>
      <c r="G399" s="51" t="n"/>
      <c r="H399" s="51" t="n"/>
    </row>
    <row r="400">
      <c r="B400" s="51" t="n"/>
      <c r="C400" s="51" t="n"/>
      <c r="D400" s="51" t="n"/>
      <c r="E400" s="51" t="n"/>
      <c r="F400" s="51" t="n"/>
      <c r="G400" s="51" t="n"/>
      <c r="H400" s="51" t="n"/>
    </row>
    <row r="401">
      <c r="B401" s="51" t="n"/>
      <c r="C401" s="51" t="n"/>
      <c r="D401" s="51" t="n"/>
      <c r="E401" s="51" t="n"/>
      <c r="F401" s="51" t="n"/>
      <c r="G401" s="51" t="n"/>
      <c r="H401" s="51" t="n"/>
    </row>
    <row r="402">
      <c r="B402" s="51" t="n"/>
      <c r="C402" s="51" t="n"/>
      <c r="D402" s="51" t="n"/>
      <c r="E402" s="51" t="n"/>
      <c r="F402" s="51" t="n"/>
      <c r="G402" s="51" t="n"/>
      <c r="H402" s="51" t="n"/>
    </row>
    <row r="403">
      <c r="B403" s="51" t="n"/>
      <c r="C403" s="51" t="n"/>
      <c r="D403" s="51" t="n"/>
      <c r="E403" s="51" t="n"/>
      <c r="F403" s="51" t="n"/>
      <c r="G403" s="51" t="n"/>
      <c r="H403" s="51" t="n"/>
    </row>
    <row r="404">
      <c r="B404" s="51" t="n"/>
      <c r="C404" s="51" t="n"/>
      <c r="D404" s="51" t="n"/>
      <c r="E404" s="51" t="n"/>
      <c r="F404" s="51" t="n"/>
      <c r="G404" s="51" t="n"/>
      <c r="H404" s="51" t="n"/>
    </row>
    <row r="405">
      <c r="B405" s="51" t="n"/>
      <c r="C405" s="51" t="n"/>
      <c r="D405" s="51" t="n"/>
      <c r="E405" s="51" t="n"/>
      <c r="F405" s="51" t="n"/>
      <c r="G405" s="51" t="n"/>
      <c r="H405" s="51" t="n"/>
    </row>
    <row r="406">
      <c r="B406" s="51" t="n"/>
      <c r="C406" s="51" t="n"/>
      <c r="D406" s="51" t="n"/>
      <c r="E406" s="51" t="n"/>
      <c r="F406" s="51" t="n"/>
      <c r="G406" s="51" t="n"/>
      <c r="H406" s="51" t="n"/>
    </row>
    <row r="407">
      <c r="B407" s="51" t="n"/>
      <c r="C407" s="51" t="n"/>
      <c r="D407" s="51" t="n"/>
      <c r="E407" s="51" t="n"/>
      <c r="F407" s="51" t="n"/>
      <c r="G407" s="51" t="n"/>
      <c r="H407" s="51" t="n"/>
    </row>
    <row r="408">
      <c r="B408" s="51" t="n"/>
      <c r="C408" s="51" t="n"/>
      <c r="D408" s="51" t="n"/>
      <c r="E408" s="51" t="n"/>
      <c r="F408" s="51" t="n"/>
      <c r="G408" s="51" t="n"/>
      <c r="H408" s="51" t="n"/>
    </row>
    <row r="409">
      <c r="B409" s="51" t="n"/>
      <c r="C409" s="51" t="n"/>
      <c r="D409" s="51" t="n"/>
      <c r="E409" s="51" t="n"/>
      <c r="F409" s="51" t="n"/>
      <c r="G409" s="51" t="n"/>
      <c r="H409" s="51" t="n"/>
    </row>
    <row r="410">
      <c r="B410" s="51" t="n"/>
      <c r="C410" s="51" t="n"/>
      <c r="D410" s="51" t="n"/>
      <c r="E410" s="51" t="n"/>
      <c r="F410" s="51" t="n"/>
      <c r="G410" s="51" t="n"/>
      <c r="H410" s="51" t="n"/>
    </row>
    <row r="411">
      <c r="B411" s="51" t="n"/>
      <c r="C411" s="51" t="n"/>
      <c r="D411" s="51" t="n"/>
      <c r="E411" s="51" t="n"/>
      <c r="F411" s="51" t="n"/>
      <c r="G411" s="51" t="n"/>
      <c r="H411" s="51" t="n"/>
    </row>
    <row r="412">
      <c r="B412" s="51" t="n"/>
      <c r="C412" s="51" t="n"/>
      <c r="D412" s="51" t="n"/>
      <c r="E412" s="51" t="n"/>
      <c r="F412" s="51" t="n"/>
      <c r="G412" s="51" t="n"/>
      <c r="H412" s="51" t="n"/>
    </row>
    <row r="413">
      <c r="B413" s="51" t="n"/>
      <c r="C413" s="51" t="n"/>
      <c r="D413" s="51" t="n"/>
      <c r="E413" s="51" t="n"/>
      <c r="F413" s="51" t="n"/>
      <c r="G413" s="51" t="n"/>
      <c r="H413" s="51" t="n"/>
    </row>
    <row r="414">
      <c r="B414" s="51" t="n"/>
      <c r="C414" s="51" t="n"/>
      <c r="D414" s="51" t="n"/>
      <c r="E414" s="51" t="n"/>
      <c r="F414" s="51" t="n"/>
      <c r="G414" s="51" t="n"/>
      <c r="H414" s="51" t="n"/>
    </row>
    <row r="415">
      <c r="B415" s="51" t="n"/>
      <c r="C415" s="51" t="n"/>
      <c r="D415" s="51" t="n"/>
      <c r="E415" s="51" t="n"/>
      <c r="F415" s="51" t="n"/>
      <c r="G415" s="51" t="n"/>
      <c r="H415" s="51" t="n"/>
    </row>
    <row r="416">
      <c r="B416" s="51" t="n"/>
      <c r="C416" s="51" t="n"/>
      <c r="D416" s="51" t="n"/>
      <c r="E416" s="51" t="n"/>
      <c r="F416" s="51" t="n"/>
      <c r="G416" s="51" t="n"/>
      <c r="H416" s="51" t="n"/>
    </row>
    <row r="417">
      <c r="B417" s="51" t="n"/>
      <c r="C417" s="51" t="n"/>
      <c r="D417" s="51" t="n"/>
      <c r="E417" s="51" t="n"/>
      <c r="F417" s="51" t="n"/>
      <c r="G417" s="51" t="n"/>
      <c r="H417" s="51" t="n"/>
    </row>
    <row r="418">
      <c r="B418" s="51" t="n"/>
      <c r="C418" s="51" t="n"/>
      <c r="D418" s="51" t="n"/>
      <c r="E418" s="51" t="n"/>
      <c r="F418" s="51" t="n"/>
      <c r="G418" s="51" t="n"/>
      <c r="H418" s="51" t="n"/>
    </row>
    <row r="419">
      <c r="B419" s="51" t="n"/>
      <c r="C419" s="51" t="n"/>
      <c r="D419" s="51" t="n"/>
      <c r="E419" s="51" t="n"/>
      <c r="F419" s="51" t="n"/>
      <c r="G419" s="51" t="n"/>
      <c r="H419" s="51" t="n"/>
    </row>
    <row r="420">
      <c r="B420" s="51" t="n"/>
      <c r="C420" s="51" t="n"/>
      <c r="D420" s="51" t="n"/>
      <c r="E420" s="51" t="n"/>
      <c r="F420" s="51" t="n"/>
      <c r="G420" s="51" t="n"/>
      <c r="H420" s="51" t="n"/>
    </row>
    <row r="421">
      <c r="B421" s="51" t="n"/>
      <c r="C421" s="51" t="n"/>
      <c r="D421" s="51" t="n"/>
      <c r="E421" s="51" t="n"/>
      <c r="F421" s="51" t="n"/>
      <c r="G421" s="51" t="n"/>
      <c r="H421" s="51" t="n"/>
    </row>
    <row r="422">
      <c r="B422" s="51" t="n"/>
      <c r="C422" s="51" t="n"/>
      <c r="D422" s="51" t="n"/>
      <c r="E422" s="51" t="n"/>
      <c r="F422" s="51" t="n"/>
      <c r="G422" s="51" t="n"/>
      <c r="H422" s="51" t="n"/>
    </row>
    <row r="423">
      <c r="B423" s="51" t="n"/>
      <c r="C423" s="51" t="n"/>
      <c r="D423" s="51" t="n"/>
      <c r="E423" s="51" t="n"/>
      <c r="F423" s="51" t="n"/>
      <c r="G423" s="51" t="n"/>
      <c r="H423" s="51" t="n"/>
    </row>
    <row r="424">
      <c r="B424" s="51" t="n"/>
      <c r="C424" s="51" t="n"/>
      <c r="D424" s="51" t="n"/>
      <c r="E424" s="51" t="n"/>
      <c r="F424" s="51" t="n"/>
      <c r="G424" s="51" t="n"/>
      <c r="H424" s="51" t="n"/>
    </row>
    <row r="425">
      <c r="B425" s="51" t="n"/>
      <c r="C425" s="51" t="n"/>
      <c r="D425" s="51" t="n"/>
      <c r="E425" s="51" t="n"/>
      <c r="F425" s="51" t="n"/>
      <c r="G425" s="51" t="n"/>
      <c r="H425" s="51" t="n"/>
    </row>
    <row r="426">
      <c r="B426" s="51" t="n"/>
      <c r="C426" s="51" t="n"/>
      <c r="D426" s="51" t="n"/>
      <c r="E426" s="51" t="n"/>
      <c r="F426" s="51" t="n"/>
      <c r="G426" s="51" t="n"/>
      <c r="H426" s="51" t="n"/>
    </row>
    <row r="427">
      <c r="B427" s="51" t="n"/>
      <c r="C427" s="51" t="n"/>
      <c r="D427" s="51" t="n"/>
      <c r="E427" s="51" t="n"/>
      <c r="F427" s="51" t="n"/>
      <c r="G427" s="51" t="n"/>
      <c r="H427" s="51" t="n"/>
    </row>
    <row r="428">
      <c r="B428" s="51" t="n"/>
      <c r="C428" s="51" t="n"/>
      <c r="D428" s="51" t="n"/>
      <c r="E428" s="51" t="n"/>
      <c r="F428" s="51" t="n"/>
      <c r="G428" s="51" t="n"/>
      <c r="H428" s="51" t="n"/>
    </row>
    <row r="429">
      <c r="B429" s="51" t="n"/>
      <c r="C429" s="51" t="n"/>
      <c r="D429" s="51" t="n"/>
      <c r="E429" s="51" t="n"/>
      <c r="F429" s="51" t="n"/>
      <c r="G429" s="51" t="n"/>
      <c r="H429" s="51" t="n"/>
    </row>
    <row r="430">
      <c r="B430" s="51" t="n"/>
      <c r="C430" s="51" t="n"/>
      <c r="D430" s="51" t="n"/>
      <c r="E430" s="51" t="n"/>
      <c r="F430" s="51" t="n"/>
      <c r="G430" s="51" t="n"/>
      <c r="H430" s="51" t="n"/>
    </row>
    <row r="431">
      <c r="B431" s="51" t="n"/>
      <c r="C431" s="51" t="n"/>
      <c r="D431" s="51" t="n"/>
      <c r="E431" s="51" t="n"/>
      <c r="F431" s="51" t="n"/>
      <c r="G431" s="51" t="n"/>
      <c r="H431" s="51" t="n"/>
    </row>
    <row r="432">
      <c r="B432" s="51" t="n"/>
      <c r="C432" s="51" t="n"/>
      <c r="D432" s="51" t="n"/>
      <c r="E432" s="51" t="n"/>
      <c r="F432" s="51" t="n"/>
      <c r="G432" s="51" t="n"/>
      <c r="H432" s="51" t="n"/>
    </row>
    <row r="433">
      <c r="B433" s="51" t="n"/>
      <c r="C433" s="51" t="n"/>
      <c r="D433" s="51" t="n"/>
      <c r="E433" s="51" t="n"/>
      <c r="F433" s="51" t="n"/>
      <c r="G433" s="51" t="n"/>
      <c r="H433" s="51" t="n"/>
    </row>
    <row r="434">
      <c r="B434" s="51" t="n"/>
      <c r="C434" s="51" t="n"/>
      <c r="D434" s="51" t="n"/>
      <c r="E434" s="51" t="n"/>
      <c r="F434" s="51" t="n"/>
      <c r="G434" s="51" t="n"/>
      <c r="H434" s="51" t="n"/>
    </row>
    <row r="435">
      <c r="B435" s="51" t="n"/>
      <c r="C435" s="51" t="n"/>
      <c r="D435" s="51" t="n"/>
      <c r="E435" s="51" t="n"/>
      <c r="F435" s="51" t="n"/>
      <c r="G435" s="51" t="n"/>
      <c r="H435" s="51" t="n"/>
    </row>
    <row r="436">
      <c r="B436" s="51" t="n"/>
      <c r="C436" s="51" t="n"/>
      <c r="D436" s="51" t="n"/>
      <c r="E436" s="51" t="n"/>
      <c r="F436" s="51" t="n"/>
      <c r="G436" s="51" t="n"/>
      <c r="H436" s="51" t="n"/>
    </row>
    <row r="437">
      <c r="B437" s="51" t="n"/>
      <c r="C437" s="51" t="n"/>
      <c r="D437" s="51" t="n"/>
      <c r="E437" s="51" t="n"/>
      <c r="F437" s="51" t="n"/>
      <c r="G437" s="51" t="n"/>
      <c r="H437" s="51" t="n"/>
    </row>
    <row r="438">
      <c r="B438" s="51" t="n"/>
      <c r="C438" s="51" t="n"/>
      <c r="D438" s="51" t="n"/>
      <c r="E438" s="51" t="n"/>
      <c r="F438" s="51" t="n"/>
      <c r="G438" s="51" t="n"/>
      <c r="H438" s="51" t="n"/>
    </row>
    <row r="439">
      <c r="B439" s="51" t="n"/>
      <c r="C439" s="51" t="n"/>
      <c r="D439" s="51" t="n"/>
      <c r="E439" s="51" t="n"/>
      <c r="F439" s="51" t="n"/>
      <c r="G439" s="51" t="n"/>
      <c r="H439" s="51" t="n"/>
    </row>
    <row r="440">
      <c r="B440" s="51" t="n"/>
      <c r="C440" s="51" t="n"/>
      <c r="D440" s="51" t="n"/>
      <c r="E440" s="51" t="n"/>
      <c r="F440" s="51" t="n"/>
      <c r="G440" s="51" t="n"/>
      <c r="H440" s="51" t="n"/>
    </row>
    <row r="441">
      <c r="B441" s="51" t="n"/>
      <c r="C441" s="51" t="n"/>
      <c r="D441" s="51" t="n"/>
      <c r="E441" s="51" t="n"/>
      <c r="F441" s="51" t="n"/>
      <c r="G441" s="51" t="n"/>
      <c r="H441" s="51" t="n"/>
    </row>
    <row r="442">
      <c r="B442" s="51" t="n"/>
      <c r="C442" s="51" t="n"/>
      <c r="D442" s="51" t="n"/>
      <c r="E442" s="51" t="n"/>
      <c r="F442" s="51" t="n"/>
      <c r="G442" s="51" t="n"/>
      <c r="H442" s="51" t="n"/>
    </row>
    <row r="443">
      <c r="B443" s="51" t="n"/>
      <c r="C443" s="51" t="n"/>
      <c r="D443" s="51" t="n"/>
      <c r="E443" s="51" t="n"/>
      <c r="F443" s="51" t="n"/>
      <c r="G443" s="51" t="n"/>
      <c r="H443" s="51" t="n"/>
    </row>
    <row r="444">
      <c r="B444" s="51" t="n"/>
      <c r="C444" s="51" t="n"/>
      <c r="D444" s="51" t="n"/>
      <c r="E444" s="51" t="n"/>
      <c r="F444" s="51" t="n"/>
      <c r="G444" s="51" t="n"/>
      <c r="H444" s="51" t="n"/>
    </row>
    <row r="445">
      <c r="B445" s="51" t="n"/>
      <c r="C445" s="51" t="n"/>
      <c r="D445" s="51" t="n"/>
      <c r="E445" s="51" t="n"/>
      <c r="F445" s="51" t="n"/>
      <c r="G445" s="51" t="n"/>
      <c r="H445" s="51" t="n"/>
    </row>
    <row r="446">
      <c r="B446" s="51" t="n"/>
      <c r="C446" s="51" t="n"/>
      <c r="D446" s="51" t="n"/>
      <c r="E446" s="51" t="n"/>
      <c r="F446" s="51" t="n"/>
      <c r="G446" s="51" t="n"/>
      <c r="H446" s="51" t="n"/>
    </row>
    <row r="447">
      <c r="B447" s="51" t="n"/>
      <c r="C447" s="51" t="n"/>
      <c r="D447" s="51" t="n"/>
      <c r="E447" s="51" t="n"/>
      <c r="F447" s="51" t="n"/>
      <c r="G447" s="51" t="n"/>
      <c r="H447" s="51" t="n"/>
    </row>
    <row r="448">
      <c r="B448" s="51" t="n"/>
      <c r="C448" s="51" t="n"/>
      <c r="D448" s="51" t="n"/>
      <c r="E448" s="51" t="n"/>
      <c r="F448" s="51" t="n"/>
      <c r="G448" s="51" t="n"/>
      <c r="H448" s="51" t="n"/>
    </row>
    <row r="449">
      <c r="B449" s="51" t="n"/>
      <c r="C449" s="51" t="n"/>
      <c r="D449" s="51" t="n"/>
      <c r="E449" s="51" t="n"/>
      <c r="F449" s="51" t="n"/>
      <c r="G449" s="51" t="n"/>
      <c r="H449" s="51" t="n"/>
    </row>
    <row r="450">
      <c r="B450" s="51" t="n"/>
      <c r="C450" s="51" t="n"/>
      <c r="D450" s="51" t="n"/>
      <c r="E450" s="51" t="n"/>
      <c r="F450" s="51" t="n"/>
      <c r="G450" s="51" t="n"/>
      <c r="H450" s="51" t="n"/>
    </row>
    <row r="451">
      <c r="B451" s="51" t="n"/>
      <c r="C451" s="51" t="n"/>
      <c r="D451" s="51" t="n"/>
      <c r="E451" s="51" t="n"/>
      <c r="F451" s="51" t="n"/>
      <c r="G451" s="51" t="n"/>
      <c r="H451" s="51" t="n"/>
    </row>
    <row r="452">
      <c r="B452" s="51" t="n"/>
      <c r="C452" s="51" t="n"/>
      <c r="D452" s="51" t="n"/>
      <c r="E452" s="51" t="n"/>
      <c r="F452" s="51" t="n"/>
      <c r="G452" s="51" t="n"/>
      <c r="H452" s="51" t="n"/>
    </row>
    <row r="453">
      <c r="B453" s="51" t="n"/>
      <c r="C453" s="51" t="n"/>
      <c r="D453" s="51" t="n"/>
      <c r="E453" s="51" t="n"/>
      <c r="F453" s="51" t="n"/>
      <c r="G453" s="51" t="n"/>
      <c r="H453" s="51" t="n"/>
    </row>
    <row r="454">
      <c r="B454" s="51" t="n"/>
      <c r="C454" s="51" t="n"/>
      <c r="D454" s="51" t="n"/>
      <c r="E454" s="51" t="n"/>
      <c r="F454" s="51" t="n"/>
      <c r="G454" s="51" t="n"/>
      <c r="H454" s="51" t="n"/>
    </row>
    <row r="455">
      <c r="B455" s="51" t="n"/>
      <c r="C455" s="51" t="n"/>
      <c r="D455" s="51" t="n"/>
      <c r="E455" s="51" t="n"/>
      <c r="F455" s="51" t="n"/>
      <c r="G455" s="51" t="n"/>
      <c r="H455" s="51" t="n"/>
    </row>
    <row r="456">
      <c r="B456" s="51" t="n"/>
      <c r="C456" s="51" t="n"/>
      <c r="D456" s="51" t="n"/>
      <c r="E456" s="51" t="n"/>
      <c r="F456" s="51" t="n"/>
      <c r="G456" s="51" t="n"/>
      <c r="H456" s="51" t="n"/>
    </row>
    <row r="457">
      <c r="B457" s="51" t="n"/>
      <c r="C457" s="51" t="n"/>
      <c r="D457" s="51" t="n"/>
      <c r="E457" s="51" t="n"/>
      <c r="F457" s="51" t="n"/>
      <c r="G457" s="51" t="n"/>
      <c r="H457" s="51" t="n"/>
    </row>
    <row r="458">
      <c r="B458" s="51" t="n"/>
      <c r="C458" s="51" t="n"/>
      <c r="D458" s="51" t="n"/>
      <c r="E458" s="51" t="n"/>
      <c r="F458" s="51" t="n"/>
      <c r="G458" s="51" t="n"/>
      <c r="H458" s="51" t="n"/>
    </row>
    <row r="459">
      <c r="B459" s="51" t="n"/>
      <c r="C459" s="51" t="n"/>
      <c r="D459" s="51" t="n"/>
      <c r="E459" s="51" t="n"/>
      <c r="F459" s="51" t="n"/>
      <c r="G459" s="51" t="n"/>
      <c r="H459" s="51" t="n"/>
    </row>
    <row r="460">
      <c r="B460" s="51" t="n"/>
      <c r="C460" s="51" t="n"/>
      <c r="D460" s="51" t="n"/>
      <c r="E460" s="51" t="n"/>
      <c r="F460" s="51" t="n"/>
      <c r="G460" s="51" t="n"/>
      <c r="H460" s="51" t="n"/>
    </row>
    <row r="461">
      <c r="B461" s="51" t="n"/>
      <c r="C461" s="51" t="n"/>
      <c r="D461" s="51" t="n"/>
      <c r="E461" s="51" t="n"/>
      <c r="F461" s="51" t="n"/>
      <c r="G461" s="51" t="n"/>
      <c r="H461" s="51" t="n"/>
    </row>
    <row r="462">
      <c r="B462" s="51" t="n"/>
      <c r="C462" s="51" t="n"/>
      <c r="D462" s="51" t="n"/>
      <c r="E462" s="51" t="n"/>
      <c r="F462" s="51" t="n"/>
      <c r="G462" s="51" t="n"/>
      <c r="H462" s="51" t="n"/>
    </row>
    <row r="463">
      <c r="B463" s="51" t="n"/>
      <c r="C463" s="51" t="n"/>
      <c r="D463" s="51" t="n"/>
      <c r="E463" s="51" t="n"/>
      <c r="F463" s="51" t="n"/>
      <c r="G463" s="51" t="n"/>
      <c r="H463" s="51" t="n"/>
    </row>
    <row r="464">
      <c r="B464" s="51" t="n"/>
      <c r="C464" s="51" t="n"/>
      <c r="D464" s="51" t="n"/>
      <c r="E464" s="51" t="n"/>
      <c r="F464" s="51" t="n"/>
      <c r="G464" s="51" t="n"/>
      <c r="H464" s="51" t="n"/>
    </row>
    <row r="465">
      <c r="B465" s="51" t="n"/>
      <c r="C465" s="51" t="n"/>
      <c r="D465" s="51" t="n"/>
      <c r="E465" s="51" t="n"/>
      <c r="F465" s="51" t="n"/>
      <c r="G465" s="51" t="n"/>
      <c r="H465" s="51" t="n"/>
    </row>
    <row r="466">
      <c r="B466" s="51" t="n"/>
      <c r="C466" s="51" t="n"/>
      <c r="D466" s="51" t="n"/>
      <c r="E466" s="51" t="n"/>
      <c r="F466" s="51" t="n"/>
      <c r="G466" s="51" t="n"/>
      <c r="H466" s="51" t="n"/>
    </row>
    <row r="467">
      <c r="B467" s="51" t="n"/>
      <c r="C467" s="51" t="n"/>
      <c r="D467" s="51" t="n"/>
      <c r="E467" s="51" t="n"/>
      <c r="F467" s="51" t="n"/>
      <c r="G467" s="51" t="n"/>
      <c r="H467" s="51" t="n"/>
    </row>
    <row r="468">
      <c r="B468" s="51" t="n"/>
      <c r="C468" s="51" t="n"/>
      <c r="D468" s="51" t="n"/>
      <c r="E468" s="51" t="n"/>
      <c r="F468" s="51" t="n"/>
      <c r="G468" s="51" t="n"/>
      <c r="H468" s="51" t="n"/>
    </row>
    <row r="469">
      <c r="B469" s="51" t="n"/>
      <c r="C469" s="51" t="n"/>
      <c r="D469" s="51" t="n"/>
      <c r="E469" s="51" t="n"/>
      <c r="F469" s="51" t="n"/>
      <c r="G469" s="51" t="n"/>
      <c r="H469" s="51" t="n"/>
    </row>
    <row r="470">
      <c r="B470" s="51" t="n"/>
      <c r="C470" s="51" t="n"/>
      <c r="D470" s="51" t="n"/>
      <c r="E470" s="51" t="n"/>
      <c r="F470" s="51" t="n"/>
      <c r="G470" s="51" t="n"/>
      <c r="H470" s="51" t="n"/>
    </row>
    <row r="471">
      <c r="B471" s="51" t="n"/>
      <c r="C471" s="51" t="n"/>
      <c r="D471" s="51" t="n"/>
      <c r="E471" s="51" t="n"/>
      <c r="F471" s="51" t="n"/>
      <c r="G471" s="51" t="n"/>
      <c r="H471" s="51" t="n"/>
    </row>
    <row r="472">
      <c r="B472" s="51" t="n"/>
      <c r="C472" s="51" t="n"/>
      <c r="D472" s="51" t="n"/>
      <c r="E472" s="51" t="n"/>
      <c r="F472" s="51" t="n"/>
      <c r="G472" s="51" t="n"/>
      <c r="H472" s="51" t="n"/>
    </row>
    <row r="473">
      <c r="B473" s="51" t="n"/>
      <c r="C473" s="51" t="n"/>
      <c r="D473" s="51" t="n"/>
      <c r="E473" s="51" t="n"/>
      <c r="F473" s="51" t="n"/>
      <c r="G473" s="51" t="n"/>
      <c r="H473" s="51" t="n"/>
    </row>
    <row r="474">
      <c r="B474" s="51" t="n"/>
      <c r="C474" s="51" t="n"/>
      <c r="D474" s="51" t="n"/>
      <c r="E474" s="51" t="n"/>
      <c r="F474" s="51" t="n"/>
      <c r="G474" s="51" t="n"/>
      <c r="H474" s="51" t="n"/>
    </row>
    <row r="475">
      <c r="B475" s="51" t="n"/>
      <c r="C475" s="51" t="n"/>
      <c r="D475" s="51" t="n"/>
      <c r="E475" s="51" t="n"/>
      <c r="F475" s="51" t="n"/>
      <c r="G475" s="51" t="n"/>
      <c r="H475" s="51" t="n"/>
    </row>
    <row r="476">
      <c r="B476" s="51" t="n"/>
      <c r="C476" s="51" t="n"/>
      <c r="D476" s="51" t="n"/>
      <c r="E476" s="51" t="n"/>
      <c r="F476" s="51" t="n"/>
      <c r="G476" s="51" t="n"/>
      <c r="H476" s="51" t="n"/>
    </row>
    <row r="477">
      <c r="B477" s="51" t="n"/>
      <c r="C477" s="51" t="n"/>
      <c r="D477" s="51" t="n"/>
      <c r="E477" s="51" t="n"/>
      <c r="F477" s="51" t="n"/>
      <c r="G477" s="51" t="n"/>
      <c r="H477" s="51" t="n"/>
    </row>
    <row r="478">
      <c r="B478" s="51" t="n"/>
      <c r="C478" s="51" t="n"/>
      <c r="D478" s="51" t="n"/>
      <c r="E478" s="51" t="n"/>
      <c r="F478" s="51" t="n"/>
      <c r="G478" s="51" t="n"/>
      <c r="H478" s="51" t="n"/>
    </row>
    <row r="479">
      <c r="B479" s="51" t="n"/>
      <c r="C479" s="51" t="n"/>
      <c r="D479" s="51" t="n"/>
      <c r="E479" s="51" t="n"/>
      <c r="F479" s="51" t="n"/>
      <c r="G479" s="51" t="n"/>
      <c r="H479" s="51" t="n"/>
    </row>
    <row r="480">
      <c r="B480" s="51" t="n"/>
      <c r="C480" s="51" t="n"/>
      <c r="D480" s="51" t="n"/>
      <c r="E480" s="51" t="n"/>
      <c r="F480" s="51" t="n"/>
      <c r="G480" s="51" t="n"/>
      <c r="H480" s="51" t="n"/>
    </row>
    <row r="481">
      <c r="B481" s="51" t="n"/>
      <c r="C481" s="51" t="n"/>
      <c r="D481" s="51" t="n"/>
      <c r="E481" s="51" t="n"/>
      <c r="F481" s="51" t="n"/>
      <c r="G481" s="51" t="n"/>
      <c r="H481" s="51" t="n"/>
    </row>
    <row r="482">
      <c r="B482" s="51" t="n"/>
      <c r="C482" s="51" t="n"/>
      <c r="D482" s="51" t="n"/>
      <c r="E482" s="51" t="n"/>
      <c r="F482" s="51" t="n"/>
      <c r="G482" s="51" t="n"/>
      <c r="H482" s="51" t="n"/>
    </row>
    <row r="483">
      <c r="B483" s="51" t="n"/>
      <c r="C483" s="51" t="n"/>
      <c r="D483" s="51" t="n"/>
      <c r="E483" s="51" t="n"/>
      <c r="F483" s="51" t="n"/>
      <c r="G483" s="51" t="n"/>
      <c r="H483" s="51" t="n"/>
    </row>
    <row r="484">
      <c r="B484" s="51" t="n"/>
      <c r="C484" s="51" t="n"/>
      <c r="D484" s="51" t="n"/>
      <c r="E484" s="51" t="n"/>
      <c r="F484" s="51" t="n"/>
      <c r="G484" s="51" t="n"/>
      <c r="H484" s="51" t="n"/>
    </row>
    <row r="485">
      <c r="B485" s="51" t="n"/>
      <c r="C485" s="51" t="n"/>
      <c r="D485" s="51" t="n"/>
      <c r="E485" s="51" t="n"/>
      <c r="F485" s="51" t="n"/>
      <c r="G485" s="51" t="n"/>
      <c r="H485" s="51" t="n"/>
    </row>
    <row r="486">
      <c r="B486" s="51" t="n"/>
      <c r="C486" s="51" t="n"/>
      <c r="D486" s="51" t="n"/>
      <c r="E486" s="51" t="n"/>
      <c r="F486" s="51" t="n"/>
      <c r="G486" s="51" t="n"/>
      <c r="H486" s="51" t="n"/>
    </row>
    <row r="487">
      <c r="B487" s="51" t="n"/>
      <c r="C487" s="51" t="n"/>
      <c r="D487" s="51" t="n"/>
      <c r="E487" s="51" t="n"/>
      <c r="F487" s="51" t="n"/>
      <c r="G487" s="51" t="n"/>
      <c r="H487" s="51" t="n"/>
    </row>
    <row r="488">
      <c r="B488" s="51" t="n"/>
      <c r="C488" s="51" t="n"/>
      <c r="D488" s="51" t="n"/>
      <c r="E488" s="51" t="n"/>
      <c r="F488" s="51" t="n"/>
      <c r="G488" s="51" t="n"/>
      <c r="H488" s="51" t="n"/>
    </row>
    <row r="489">
      <c r="B489" s="51" t="n"/>
      <c r="C489" s="51" t="n"/>
      <c r="D489" s="51" t="n"/>
      <c r="E489" s="51" t="n"/>
      <c r="F489" s="51" t="n"/>
      <c r="G489" s="51" t="n"/>
      <c r="H489" s="51" t="n"/>
    </row>
    <row r="490">
      <c r="B490" s="51" t="n"/>
      <c r="C490" s="51" t="n"/>
      <c r="D490" s="51" t="n"/>
      <c r="E490" s="51" t="n"/>
      <c r="F490" s="51" t="n"/>
      <c r="G490" s="51" t="n"/>
      <c r="H490" s="51" t="n"/>
    </row>
    <row r="491">
      <c r="B491" s="51" t="n"/>
      <c r="C491" s="51" t="n"/>
      <c r="D491" s="51" t="n"/>
      <c r="E491" s="51" t="n"/>
      <c r="F491" s="51" t="n"/>
      <c r="G491" s="51" t="n"/>
      <c r="H491" s="51" t="n"/>
    </row>
    <row r="492">
      <c r="B492" s="51" t="n"/>
      <c r="C492" s="51" t="n"/>
      <c r="D492" s="51" t="n"/>
      <c r="E492" s="51" t="n"/>
      <c r="F492" s="51" t="n"/>
      <c r="G492" s="51" t="n"/>
      <c r="H492" s="51" t="n"/>
    </row>
    <row r="493">
      <c r="B493" s="51" t="n"/>
      <c r="C493" s="51" t="n"/>
      <c r="D493" s="51" t="n"/>
      <c r="E493" s="51" t="n"/>
      <c r="F493" s="51" t="n"/>
      <c r="G493" s="51" t="n"/>
      <c r="H493" s="51" t="n"/>
    </row>
    <row r="494">
      <c r="B494" s="51" t="n"/>
      <c r="C494" s="51" t="n"/>
      <c r="D494" s="51" t="n"/>
      <c r="E494" s="51" t="n"/>
      <c r="F494" s="51" t="n"/>
      <c r="G494" s="51" t="n"/>
      <c r="H494" s="51" t="n"/>
    </row>
    <row r="495">
      <c r="B495" s="51" t="n"/>
      <c r="C495" s="51" t="n"/>
      <c r="D495" s="51" t="n"/>
      <c r="E495" s="51" t="n"/>
      <c r="F495" s="51" t="n"/>
      <c r="G495" s="51" t="n"/>
      <c r="H495" s="51" t="n"/>
    </row>
    <row r="496">
      <c r="B496" s="51" t="n"/>
      <c r="C496" s="51" t="n"/>
      <c r="D496" s="51" t="n"/>
      <c r="E496" s="51" t="n"/>
      <c r="F496" s="51" t="n"/>
      <c r="G496" s="51" t="n"/>
      <c r="H496" s="51" t="n"/>
    </row>
    <row r="497">
      <c r="B497" s="51" t="n"/>
      <c r="C497" s="51" t="n"/>
      <c r="D497" s="51" t="n"/>
      <c r="E497" s="51" t="n"/>
      <c r="F497" s="51" t="n"/>
      <c r="G497" s="51" t="n"/>
      <c r="H497" s="51" t="n"/>
    </row>
    <row r="498">
      <c r="B498" s="51" t="n"/>
      <c r="C498" s="51" t="n"/>
      <c r="D498" s="51" t="n"/>
      <c r="E498" s="51" t="n"/>
      <c r="F498" s="51" t="n"/>
      <c r="G498" s="51" t="n"/>
      <c r="H498" s="51" t="n"/>
    </row>
    <row r="499">
      <c r="B499" s="51" t="n"/>
      <c r="C499" s="51" t="n"/>
      <c r="D499" s="51" t="n"/>
      <c r="E499" s="51" t="n"/>
      <c r="F499" s="51" t="n"/>
      <c r="G499" s="51" t="n"/>
      <c r="H499" s="51" t="n"/>
    </row>
    <row r="500">
      <c r="B500" s="51" t="n"/>
      <c r="C500" s="51" t="n"/>
      <c r="D500" s="51" t="n"/>
      <c r="E500" s="51" t="n"/>
      <c r="F500" s="51" t="n"/>
      <c r="G500" s="51" t="n"/>
      <c r="H500" s="51" t="n"/>
    </row>
    <row r="501">
      <c r="B501" s="51" t="n"/>
      <c r="C501" s="51" t="n"/>
      <c r="D501" s="51" t="n"/>
      <c r="E501" s="51" t="n"/>
      <c r="F501" s="51" t="n"/>
      <c r="G501" s="51" t="n"/>
      <c r="H501" s="51" t="n"/>
    </row>
    <row r="502">
      <c r="B502" s="51" t="n"/>
      <c r="C502" s="51" t="n"/>
      <c r="D502" s="51" t="n"/>
      <c r="E502" s="51" t="n"/>
      <c r="F502" s="51" t="n"/>
      <c r="G502" s="51" t="n"/>
      <c r="H502" s="51" t="n"/>
    </row>
    <row r="503">
      <c r="B503" s="51" t="n"/>
      <c r="C503" s="51" t="n"/>
      <c r="D503" s="51" t="n"/>
      <c r="E503" s="51" t="n"/>
      <c r="F503" s="51" t="n"/>
      <c r="G503" s="51" t="n"/>
      <c r="H503" s="51" t="n"/>
    </row>
    <row r="504">
      <c r="B504" s="51" t="n"/>
      <c r="C504" s="51" t="n"/>
      <c r="D504" s="51" t="n"/>
      <c r="E504" s="51" t="n"/>
      <c r="F504" s="51" t="n"/>
      <c r="G504" s="51" t="n"/>
      <c r="H504" s="51" t="n"/>
    </row>
    <row r="505">
      <c r="B505" s="51" t="n"/>
      <c r="C505" s="51" t="n"/>
      <c r="D505" s="51" t="n"/>
      <c r="E505" s="51" t="n"/>
      <c r="F505" s="51" t="n"/>
      <c r="G505" s="51" t="n"/>
      <c r="H505" s="51" t="n"/>
    </row>
    <row r="506">
      <c r="B506" s="51" t="n"/>
      <c r="C506" s="51" t="n"/>
      <c r="D506" s="51" t="n"/>
      <c r="E506" s="51" t="n"/>
      <c r="F506" s="51" t="n"/>
      <c r="G506" s="51" t="n"/>
      <c r="H506" s="51" t="n"/>
    </row>
    <row r="507">
      <c r="B507" s="51" t="n"/>
      <c r="C507" s="51" t="n"/>
      <c r="D507" s="51" t="n"/>
      <c r="E507" s="51" t="n"/>
      <c r="F507" s="51" t="n"/>
      <c r="G507" s="51" t="n"/>
      <c r="H507" s="51" t="n"/>
    </row>
    <row r="508">
      <c r="B508" s="51" t="n"/>
      <c r="C508" s="51" t="n"/>
      <c r="D508" s="51" t="n"/>
      <c r="E508" s="51" t="n"/>
      <c r="F508" s="51" t="n"/>
      <c r="G508" s="51" t="n"/>
      <c r="H508" s="51" t="n"/>
    </row>
    <row r="509">
      <c r="B509" s="51" t="n"/>
      <c r="C509" s="51" t="n"/>
      <c r="D509" s="51" t="n"/>
      <c r="E509" s="51" t="n"/>
      <c r="F509" s="51" t="n"/>
      <c r="G509" s="51" t="n"/>
      <c r="H509" s="51" t="n"/>
    </row>
    <row r="510">
      <c r="B510" s="51" t="n"/>
      <c r="C510" s="51" t="n"/>
      <c r="D510" s="51" t="n"/>
      <c r="E510" s="51" t="n"/>
      <c r="F510" s="51" t="n"/>
      <c r="G510" s="51" t="n"/>
      <c r="H510" s="51" t="n"/>
    </row>
    <row r="511">
      <c r="B511" s="51" t="n"/>
      <c r="C511" s="51" t="n"/>
      <c r="D511" s="51" t="n"/>
      <c r="E511" s="51" t="n"/>
      <c r="F511" s="51" t="n"/>
      <c r="G511" s="51" t="n"/>
      <c r="H511" s="51" t="n"/>
    </row>
    <row r="512">
      <c r="B512" s="51" t="n"/>
      <c r="C512" s="51" t="n"/>
      <c r="D512" s="51" t="n"/>
      <c r="E512" s="51" t="n"/>
      <c r="F512" s="51" t="n"/>
      <c r="G512" s="51" t="n"/>
      <c r="H512" s="51" t="n"/>
    </row>
    <row r="513">
      <c r="B513" s="51" t="n"/>
      <c r="C513" s="51" t="n"/>
      <c r="D513" s="51" t="n"/>
      <c r="E513" s="51" t="n"/>
      <c r="F513" s="51" t="n"/>
      <c r="G513" s="51" t="n"/>
      <c r="H513" s="51" t="n"/>
    </row>
    <row r="514">
      <c r="B514" s="51" t="n"/>
      <c r="C514" s="51" t="n"/>
      <c r="D514" s="51" t="n"/>
      <c r="E514" s="51" t="n"/>
      <c r="F514" s="51" t="n"/>
      <c r="G514" s="51" t="n"/>
      <c r="H514" s="51" t="n"/>
    </row>
    <row r="515">
      <c r="B515" s="51" t="n"/>
      <c r="C515" s="51" t="n"/>
      <c r="D515" s="51" t="n"/>
      <c r="E515" s="51" t="n"/>
      <c r="F515" s="51" t="n"/>
      <c r="G515" s="51" t="n"/>
      <c r="H515" s="51" t="n"/>
    </row>
    <row r="516">
      <c r="B516" s="51" t="n"/>
      <c r="C516" s="51" t="n"/>
      <c r="D516" s="51" t="n"/>
      <c r="E516" s="51" t="n"/>
      <c r="F516" s="51" t="n"/>
      <c r="G516" s="51" t="n"/>
      <c r="H516" s="51" t="n"/>
    </row>
    <row r="517">
      <c r="B517" s="51" t="n"/>
      <c r="C517" s="51" t="n"/>
      <c r="D517" s="51" t="n"/>
      <c r="E517" s="51" t="n"/>
      <c r="F517" s="51" t="n"/>
      <c r="G517" s="51" t="n"/>
      <c r="H517" s="51" t="n"/>
    </row>
  </sheetData>
  <mergeCells count="9">
    <mergeCell ref="B7:I7"/>
    <mergeCell ref="B6:I6"/>
    <mergeCell ref="B10:C10"/>
    <mergeCell ref="G8:I8"/>
    <mergeCell ref="B3:I3"/>
    <mergeCell ref="B5:I5"/>
    <mergeCell ref="B8:C8"/>
    <mergeCell ref="E8:F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C17:C517">
    <cfRule type="expression" priority="3" dxfId="6">
      <formula>AND(LEN($B17&amp;$C17&amp;$D17&amp;$E17&amp;$F17&amp;$G17&amp;$H17&amp;$I17)&gt;0,C17="")</formula>
    </cfRule>
  </conditionalFormatting>
  <conditionalFormatting sqref="D17:D517">
    <cfRule type="expression" priority="4" dxfId="6">
      <formula>AND(LEN($B17&amp;$C17&amp;$D17&amp;$E17&amp;$F17&amp;$G17&amp;$H17&amp;$I17)&gt;0,D17="")</formula>
    </cfRule>
  </conditionalFormatting>
  <conditionalFormatting sqref="E17:E517">
    <cfRule type="expression" priority="5" dxfId="6">
      <formula>AND(LEN($B17&amp;$C17&amp;$D17&amp;$E17&amp;$F17&amp;$G17&amp;$H17&amp;$I17)&gt;0,E17="")</formula>
    </cfRule>
  </conditionalFormatting>
  <conditionalFormatting sqref="F17:F517">
    <cfRule type="expression" priority="6" dxfId="6">
      <formula>AND(LEN($B17&amp;$C17&amp;$D17&amp;$E17&amp;$F17&amp;$G17&amp;$H17&amp;$I17)&gt;0,F17="")</formula>
    </cfRule>
  </conditionalFormatting>
  <conditionalFormatting sqref="G17:G517">
    <cfRule type="expression" priority="7" dxfId="6">
      <formula>AND(LEN($B17&amp;$C17&amp;$D17&amp;$E17&amp;$F17&amp;$G17&amp;$H17&amp;$I17)&gt;0,G17="")</formula>
    </cfRule>
  </conditionalFormatting>
  <conditionalFormatting sqref="H17:H517">
    <cfRule type="expression" priority="8" dxfId="6">
      <formula>AND(LEN($B17&amp;$C17&amp;$D17&amp;$E17&amp;$F17&amp;$G17&amp;$H17&amp;$I17)&gt;0,H17="")</formula>
    </cfRule>
  </conditionalFormatting>
  <conditionalFormatting sqref="I17:I517">
    <cfRule type="expression" priority="9" dxfId="6">
      <formula>AND(LEN($B17&amp;$C17&amp;$D17&amp;$E17&amp;$F17&amp;$G17&amp;$H17&amp;$I17)&gt;0,I17="")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ranch code" error="The code is not in D0-02, column Branch code. Enter it there first, or keep it if it is a code BIBS already holds." promptTitle="Branch code" prompt="Yes. Branch of the fund Allowed: A code of D0-02 Branches, column Branch code" type="list" errorStyle="warning">
      <formula1>=CODES_D0_02_BRANCH_CODE</formula1>
    </dataValidation>
    <dataValidation sqref="C17:C517" showDropDown="0" showInputMessage="1" showErrorMessage="1" allowBlank="1" errorTitle="Fund code" error="At most 20 characters." promptTitle="Fund code" prompt="Yes. Code of the fund Allowed: Free entry, up to 20 characters" type="textLength" operator="lessThanOrEqual">
      <formula1>20</formula1>
    </dataValidation>
    <dataValidation sqref="D17:D517" showDropDown="0" showInputMessage="1" showErrorMessage="0" allowBlank="1" promptTitle="Name" prompt="Yes. Name of the fund"/>
    <dataValidation sqref="E17:E517" showDropDown="0" showInputMessage="1" showErrorMessage="1" allowBlank="1" errorTitle="Custodian" error="The code is not in D0-05, column Employee number. Enter it there first, or keep it if it is a code BIBS already holds." promptTitle="Custodian" prompt="Yes. Custodian of the fund Allowed: A code of D0-05 Employees, column Employee number" type="list" errorStyle="warning">
      <formula1>=CODES_D0_05_EMPLOYEE_NUMBER</formula1>
    </dataValidation>
    <dataValidation sqref="F17:F517" showDropDown="0" showInputMessage="1" showErrorMessage="1" allowBlank="1" errorTitle="GL account" error="The code is not in D0-06, column Account Code. Enter it there first, or keep it if it is a code BIBS already holds." promptTitle="GL account" prompt="Yes. Petty cash account Allowed: A code of D0-06 Chart of accounts, column Account Code" type="list" errorStyle="warning">
      <formula1>=CODES_D0_06_ACCOUNT_CODE</formula1>
    </dataValidation>
    <dataValidation sqref="G17:G517" showDropDown="0" showInputMessage="1" showErrorMessage="1" allowBlank="1" errorTitle="Replenishment bank account" error="The code is not in D0-11, column Bank account code. Enter it there first, or keep it if it is a code BIBS already holds." promptTitle="Replenishment bank account" prompt="Yes. Account that replenishes the fund Allowed: A code of D0-11 Company bank accounts, column Bank account code" type="list" errorStyle="warning">
      <formula1>=CODES_D0_11_BANK_ACCOUNT_CODE</formula1>
    </dataValidation>
    <dataValidation sqref="H17:H517" showDropDown="0" showInputMessage="1" showErrorMessage="1" allowBlank="1" errorTitle="Currency" error="At most 3 characters." promptTitle="Currency" prompt="Yes. Currency of the fund Allowed: Free entry, up to 3 characters" type="textLength" operator="lessThanOrEqual">
      <formula1>3</formula1>
    </dataValidation>
    <dataValidation sqref="I17:I517" showDropDown="0" showInputMessage="1" showErrorMessage="1" allowBlank="1" errorTitle="Imprest amount" error="Enter a number." promptTitle="Imprest amount" prompt="Yes. Amount of the fund Allowed: A number" type="decimal" operator="greaterThanOrEqual">
      <formula1>-1E+15</formula1>
    </dataValidation>
  </dataValidations>
  <hyperlinks>
    <hyperlink ref="A2" location="'Start here'!A1"/>
    <hyperlink ref="I2" location="'Questions and comments'!A1"/>
    <hyperlink ref="B8" location="'D0-02 Branches'!A1"/>
    <hyperlink ref="D8" location="'D0-05 Employees'!A1"/>
    <hyperlink ref="E8" location="'D0-06 Chart of accounts'!A1"/>
    <hyperlink ref="G8" location="'D0-11 Bank accounts'!A1"/>
    <hyperlink ref="B14" location="'D0-02 Branches'!B16"/>
    <hyperlink ref="E14" location="'D0-05 Employees'!B16"/>
    <hyperlink ref="F14" location="'D0-06 Chart of accounts'!C16"/>
    <hyperlink ref="G14" location="'D0-11 Bank accounts'!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9.xml><?xml version="1.0" encoding="utf-8"?>
<worksheet xmlns="http://schemas.openxmlformats.org/spreadsheetml/2006/main">
  <sheetPr>
    <tabColor rgb="00004EA8"/>
    <outlinePr summaryBelow="0" summaryRight="1"/>
    <pageSetUpPr fitToPage="1"/>
  </sheetPr>
  <dimension ref="A1:K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9" customWidth="1" min="3" max="3"/>
    <col width="16" customWidth="1" min="4" max="4"/>
    <col width="23" customWidth="1" min="5" max="5"/>
    <col width="21" customWidth="1" min="6" max="6"/>
    <col width="17" customWidth="1" min="7" max="7"/>
    <col width="18" customWidth="1" min="8" max="8"/>
    <col width="18" customWidth="1" min="9" max="9"/>
    <col width="19" customWidth="1" min="10" max="10"/>
    <col width="16" customWidth="1" min="11" max="11"/>
  </cols>
  <sheetData>
    <row r="1" ht="26" customHeight="1">
      <c r="A1" s="27" t="inlineStr">
        <is>
          <t>D0-14 Bank statement layouts</t>
        </is>
      </c>
      <c r="K1" s="28" t="inlineStr">
        <is>
          <t>Step 28 of 31</t>
        </is>
      </c>
    </row>
    <row r="2">
      <c r="A2" s="29" t="inlineStr">
        <is>
          <t>← Back to Start here</t>
        </is>
      </c>
      <c r="B2" s="30" t="inlineStr">
        <is>
          <t>Step 28 of 31. Fill in one row per record below the column headers; the guide above each column says what to enter.</t>
        </is>
      </c>
      <c r="K2" s="31" t="inlineStr">
        <is>
          <t>Ask a question →</t>
        </is>
      </c>
    </row>
    <row r="3" outlineLevel="1" ht="15.5" customHeight="1">
      <c r="A3" s="32" t="inlineStr">
        <is>
          <t>Purpose</t>
        </is>
      </c>
      <c r="B3" s="33" t="inlineStr">
        <is>
          <t>The columns of the statement file of each bank account</t>
        </is>
      </c>
    </row>
    <row r="4" outlineLevel="1" ht="15.5" customHeight="1">
      <c r="A4" s="32" t="inlineStr">
        <is>
          <t>Provided by</t>
        </is>
      </c>
      <c r="B4" s="33" t="inlineStr">
        <is>
          <t>Head, Comptrollership; Treasury</t>
        </is>
      </c>
    </row>
    <row r="5" outlineLevel="1" ht="15.5" customHeight="1">
      <c r="A5" s="32" t="inlineStr">
        <is>
          <t>Due</t>
        </is>
      </c>
      <c r="B5" s="34" t="inlineStr">
        <is>
          <t>16-Jul-2027 – Values for UAT</t>
        </is>
      </c>
    </row>
    <row r="6" outlineLevel="1" ht="15.5" customHeight="1">
      <c r="A6" s="32" t="inlineStr">
        <is>
          <t>How it is loaded</t>
        </is>
      </c>
      <c r="B6" s="33" t="inlineStr">
        <is>
          <t>Bank Statement Layouts (Setup &amp; Administration)</t>
        </is>
      </c>
    </row>
    <row r="7" outlineLevel="1" ht="15.5" customHeight="1">
      <c r="A7" s="32" t="inlineStr">
        <is>
          <t>Source</t>
        </is>
      </c>
      <c r="B7" s="33" t="inlineStr">
        <is>
          <t>Statement files of the banks</t>
        </is>
      </c>
    </row>
    <row r="8" outlineLevel="1" ht="26" customHeight="1">
      <c r="A8" s="32" t="inlineStr">
        <is>
          <t>Depends on</t>
        </is>
      </c>
      <c r="B8" s="55" t="inlineStr">
        <is>
          <t>D0-11 Company bank accounts →</t>
        </is>
      </c>
    </row>
    <row r="9" ht="26" customHeight="1">
      <c r="A9" s="36" t="inlineStr">
        <is>
          <t>Progress</t>
        </is>
      </c>
      <c r="B9" s="37" t="inlineStr">
        <is>
          <t>Rows entered</t>
        </is>
      </c>
      <c r="C9" s="38">
        <f>SUMPRODUCT(((ROW($B$17:$B$517)&gt;17)+($B$17&lt;&gt;"BDO-CA-001")&gt;0)*(LEN($B$17:$B$517&amp;$C$17:$C$517&amp;$D$17:$D$517&amp;$E$17:$E$517&amp;$F$17:$F$517&amp;$G$17:$G$517&amp;$H$17:$H$517&amp;$I$17:$I$517&amp;$J$17:$J$517&amp;$K$17:$K$517)&gt;0))</f>
        <v/>
      </c>
      <c r="D9" s="37" t="inlineStr">
        <is>
          <t>Mandatory cells missing</t>
        </is>
      </c>
      <c r="E9" s="38">
        <f>SUMPRODUCT(((ROW($B$17:$B$517)&gt;17)+($B$17&lt;&gt;"BDO-CA-001")&gt;0)*(LEN($B$17:$B$517&amp;$C$17:$C$517&amp;$D$17:$D$517&amp;$E$17:$E$517&amp;$F$17:$F$517&amp;$G$17:$G$517&amp;$H$17:$H$517&amp;$I$17:$I$517&amp;$J$17:$J$517&amp;$K$17:$K$517)&gt;0)*(($B$17:$B$517="")+($C$17:$C$517="")+($D$17:$D$517="")+($E$17:$E$517="")+($K$17:$K$517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c r="J11" s="42" t="n"/>
      <c r="K11" s="42" t="n"/>
    </row>
    <row r="12" ht="30" customHeight="1">
      <c r="A12" s="43" t="inlineStr">
        <is>
          <t>Mandatory</t>
        </is>
      </c>
      <c r="B12" s="44" t="inlineStr">
        <is>
          <t>Yes</t>
        </is>
      </c>
      <c r="C12" s="44" t="inlineStr">
        <is>
          <t>Yes</t>
        </is>
      </c>
      <c r="D12" s="44" t="inlineStr">
        <is>
          <t>Yes</t>
        </is>
      </c>
      <c r="E12" s="44" t="inlineStr">
        <is>
          <t>Yes</t>
        </is>
      </c>
      <c r="F12" s="45" t="inlineStr">
        <is>
          <t>No</t>
        </is>
      </c>
      <c r="G12" s="45" t="inlineStr">
        <is>
          <t>Conditional: separate columns</t>
        </is>
      </c>
      <c r="H12" s="45" t="inlineStr">
        <is>
          <t>Conditional: separate columns</t>
        </is>
      </c>
      <c r="I12" s="45" t="inlineStr">
        <is>
          <t>Conditional: one signed column</t>
        </is>
      </c>
      <c r="J12" s="45" t="inlineStr">
        <is>
          <t>No</t>
        </is>
      </c>
      <c r="K12" s="44" t="inlineStr">
        <is>
          <t>Yes</t>
        </is>
      </c>
    </row>
    <row r="13" ht="30" customHeight="1">
      <c r="A13" s="43" t="inlineStr">
        <is>
          <t>Format</t>
        </is>
      </c>
      <c r="B13" s="45" t="inlineStr">
        <is>
          <t>Code of D0-11</t>
        </is>
      </c>
      <c r="C13" s="45" t="inlineStr">
        <is>
          <t>Text</t>
        </is>
      </c>
      <c r="D13" s="45" t="inlineStr">
        <is>
          <t>Column header or number</t>
        </is>
      </c>
      <c r="E13" s="45" t="inlineStr">
        <is>
          <t>Column header or number</t>
        </is>
      </c>
      <c r="F13" s="45" t="inlineStr">
        <is>
          <t>Column header or number</t>
        </is>
      </c>
      <c r="G13" s="45" t="inlineStr">
        <is>
          <t>Column header or number</t>
        </is>
      </c>
      <c r="H13" s="45" t="inlineStr">
        <is>
          <t>Column header or number</t>
        </is>
      </c>
      <c r="I13" s="45" t="inlineStr">
        <is>
          <t>Column header or number</t>
        </is>
      </c>
      <c r="J13" s="45" t="inlineStr">
        <is>
          <t>Column header or number</t>
        </is>
      </c>
      <c r="K13" s="45" t="inlineStr">
        <is>
          <t>For example dd/MM/yyyy</t>
        </is>
      </c>
    </row>
    <row r="14" ht="43" customHeight="1">
      <c r="A14" s="43" t="inlineStr">
        <is>
          <t>Allowed values</t>
        </is>
      </c>
      <c r="B14" s="53" t="inlineStr">
        <is>
          <t>A code of D0-11 Company bank accounts, column Bank account code</t>
        </is>
      </c>
      <c r="C14" s="45" t="inlineStr">
        <is>
          <t>Free entry</t>
        </is>
      </c>
      <c r="D14" s="45" t="inlineStr">
        <is>
          <t>Free entry</t>
        </is>
      </c>
      <c r="E14" s="45" t="inlineStr">
        <is>
          <t>Free entry</t>
        </is>
      </c>
      <c r="F14" s="45" t="inlineStr">
        <is>
          <t>Free entry</t>
        </is>
      </c>
      <c r="G14" s="45" t="inlineStr">
        <is>
          <t>Free entry</t>
        </is>
      </c>
      <c r="H14" s="45" t="inlineStr">
        <is>
          <t>Free entry</t>
        </is>
      </c>
      <c r="I14" s="45" t="inlineStr">
        <is>
          <t>Free entry</t>
        </is>
      </c>
      <c r="J14" s="45" t="inlineStr">
        <is>
          <t>Free entry</t>
        </is>
      </c>
      <c r="K14" s="45" t="inlineStr">
        <is>
          <t>Free entry</t>
        </is>
      </c>
    </row>
    <row r="15" ht="30" customHeight="1">
      <c r="A15" s="43" t="inlineStr">
        <is>
          <t>What to enter</t>
        </is>
      </c>
      <c r="B15" s="45" t="inlineStr">
        <is>
          <t>Account of the statement</t>
        </is>
      </c>
      <c r="C15" s="45" t="inlineStr">
        <is>
          <t>Name of the layout</t>
        </is>
      </c>
      <c r="D15" s="45" t="inlineStr">
        <is>
          <t>Column of the transaction date</t>
        </is>
      </c>
      <c r="E15" s="45" t="inlineStr">
        <is>
          <t>Column of the description</t>
        </is>
      </c>
      <c r="F15" s="45" t="inlineStr">
        <is>
          <t>Column of the reference</t>
        </is>
      </c>
      <c r="G15" s="45" t="inlineStr">
        <is>
          <t>Column of the debits</t>
        </is>
      </c>
      <c r="H15" s="45" t="inlineStr">
        <is>
          <t>Column of the credits</t>
        </is>
      </c>
      <c r="I15" s="45" t="inlineStr">
        <is>
          <t>Column of a signed amount</t>
        </is>
      </c>
      <c r="J15" s="45" t="inlineStr">
        <is>
          <t>Column of the running balance</t>
        </is>
      </c>
      <c r="K15" s="45" t="inlineStr">
        <is>
          <t>Format of the dates in the file</t>
        </is>
      </c>
    </row>
    <row r="16" ht="30" customHeight="1">
      <c r="A16" s="46" t="inlineStr">
        <is>
          <t>Row</t>
        </is>
      </c>
      <c r="B16" s="47" t="inlineStr">
        <is>
          <t>Bank account code *</t>
        </is>
      </c>
      <c r="C16" s="47" t="inlineStr">
        <is>
          <t>Layout name *</t>
        </is>
      </c>
      <c r="D16" s="47" t="inlineStr">
        <is>
          <t>Date column *</t>
        </is>
      </c>
      <c r="E16" s="47" t="inlineStr">
        <is>
          <t>Description column *</t>
        </is>
      </c>
      <c r="F16" s="47" t="inlineStr">
        <is>
          <t>Reference column</t>
        </is>
      </c>
      <c r="G16" s="47" t="inlineStr">
        <is>
          <t>Debit column</t>
        </is>
      </c>
      <c r="H16" s="47" t="inlineStr">
        <is>
          <t>Credit column</t>
        </is>
      </c>
      <c r="I16" s="47" t="inlineStr">
        <is>
          <t>Amount column</t>
        </is>
      </c>
      <c r="J16" s="47" t="inlineStr">
        <is>
          <t>Balance column</t>
        </is>
      </c>
      <c r="K16" s="47" t="inlineStr">
        <is>
          <t>Date format *</t>
        </is>
      </c>
    </row>
    <row r="17" ht="18" customHeight="1">
      <c r="A17" s="48" t="inlineStr">
        <is>
          <t>Example – overwrite or delete</t>
        </is>
      </c>
      <c r="B17" s="49" t="inlineStr">
        <is>
          <t>BDO-CA-001</t>
        </is>
      </c>
      <c r="C17" s="49" t="inlineStr">
        <is>
          <t>BDO CSV statement</t>
        </is>
      </c>
      <c r="D17" s="49" t="inlineStr">
        <is>
          <t>Posting Date</t>
        </is>
      </c>
      <c r="E17" s="49" t="inlineStr">
        <is>
          <t>Description</t>
        </is>
      </c>
      <c r="F17" s="49" t="inlineStr">
        <is>
          <t>Reference No.</t>
        </is>
      </c>
      <c r="G17" s="49" t="inlineStr">
        <is>
          <t>Debit</t>
        </is>
      </c>
      <c r="H17" s="49" t="inlineStr">
        <is>
          <t>Credit</t>
        </is>
      </c>
      <c r="I17" s="49" t="n"/>
      <c r="J17" s="49" t="inlineStr">
        <is>
          <t>Balance</t>
        </is>
      </c>
      <c r="K17" s="49" t="inlineStr">
        <is>
          <t>MM/dd/yyyy</t>
        </is>
      </c>
    </row>
    <row r="18">
      <c r="B18" s="51" t="n"/>
      <c r="C18" s="51" t="n"/>
      <c r="D18" s="51" t="n"/>
      <c r="E18" s="51" t="n"/>
      <c r="F18" s="51" t="n"/>
      <c r="G18" s="51" t="n"/>
      <c r="H18" s="51" t="n"/>
      <c r="I18" s="51" t="n"/>
      <c r="J18" s="51" t="n"/>
      <c r="K18" s="51" t="n"/>
    </row>
    <row r="19">
      <c r="B19" s="51" t="n"/>
      <c r="C19" s="51" t="n"/>
      <c r="D19" s="51" t="n"/>
      <c r="E19" s="51" t="n"/>
      <c r="F19" s="51" t="n"/>
      <c r="G19" s="51" t="n"/>
      <c r="H19" s="51" t="n"/>
      <c r="I19" s="51" t="n"/>
      <c r="J19" s="51" t="n"/>
      <c r="K19" s="51" t="n"/>
    </row>
    <row r="20">
      <c r="B20" s="51" t="n"/>
      <c r="C20" s="51" t="n"/>
      <c r="D20" s="51" t="n"/>
      <c r="E20" s="51" t="n"/>
      <c r="F20" s="51" t="n"/>
      <c r="G20" s="51" t="n"/>
      <c r="H20" s="51" t="n"/>
      <c r="I20" s="51" t="n"/>
      <c r="J20" s="51" t="n"/>
      <c r="K20" s="51" t="n"/>
    </row>
    <row r="21">
      <c r="B21" s="51" t="n"/>
      <c r="C21" s="51" t="n"/>
      <c r="D21" s="51" t="n"/>
      <c r="E21" s="51" t="n"/>
      <c r="F21" s="51" t="n"/>
      <c r="G21" s="51" t="n"/>
      <c r="H21" s="51" t="n"/>
      <c r="I21" s="51" t="n"/>
      <c r="J21" s="51" t="n"/>
      <c r="K21" s="51" t="n"/>
    </row>
    <row r="22">
      <c r="B22" s="51" t="n"/>
      <c r="C22" s="51" t="n"/>
      <c r="D22" s="51" t="n"/>
      <c r="E22" s="51" t="n"/>
      <c r="F22" s="51" t="n"/>
      <c r="G22" s="51" t="n"/>
      <c r="H22" s="51" t="n"/>
      <c r="I22" s="51" t="n"/>
      <c r="J22" s="51" t="n"/>
      <c r="K22" s="51" t="n"/>
    </row>
    <row r="23">
      <c r="B23" s="51" t="n"/>
      <c r="C23" s="51" t="n"/>
      <c r="D23" s="51" t="n"/>
      <c r="E23" s="51" t="n"/>
      <c r="F23" s="51" t="n"/>
      <c r="G23" s="51" t="n"/>
      <c r="H23" s="51" t="n"/>
      <c r="I23" s="51" t="n"/>
      <c r="J23" s="51" t="n"/>
      <c r="K23" s="51" t="n"/>
    </row>
    <row r="24">
      <c r="B24" s="51" t="n"/>
      <c r="C24" s="51" t="n"/>
      <c r="D24" s="51" t="n"/>
      <c r="E24" s="51" t="n"/>
      <c r="F24" s="51" t="n"/>
      <c r="G24" s="51" t="n"/>
      <c r="H24" s="51" t="n"/>
      <c r="I24" s="51" t="n"/>
      <c r="J24" s="51" t="n"/>
      <c r="K24" s="51" t="n"/>
    </row>
    <row r="25">
      <c r="B25" s="51" t="n"/>
      <c r="C25" s="51" t="n"/>
      <c r="D25" s="51" t="n"/>
      <c r="E25" s="51" t="n"/>
      <c r="F25" s="51" t="n"/>
      <c r="G25" s="51" t="n"/>
      <c r="H25" s="51" t="n"/>
      <c r="I25" s="51" t="n"/>
      <c r="J25" s="51" t="n"/>
      <c r="K25" s="51" t="n"/>
    </row>
    <row r="26">
      <c r="B26" s="51" t="n"/>
      <c r="C26" s="51" t="n"/>
      <c r="D26" s="51" t="n"/>
      <c r="E26" s="51" t="n"/>
      <c r="F26" s="51" t="n"/>
      <c r="G26" s="51" t="n"/>
      <c r="H26" s="51" t="n"/>
      <c r="I26" s="51" t="n"/>
      <c r="J26" s="51" t="n"/>
      <c r="K26" s="51" t="n"/>
    </row>
    <row r="27">
      <c r="B27" s="51" t="n"/>
      <c r="C27" s="51" t="n"/>
      <c r="D27" s="51" t="n"/>
      <c r="E27" s="51" t="n"/>
      <c r="F27" s="51" t="n"/>
      <c r="G27" s="51" t="n"/>
      <c r="H27" s="51" t="n"/>
      <c r="I27" s="51" t="n"/>
      <c r="J27" s="51" t="n"/>
      <c r="K27" s="51" t="n"/>
    </row>
    <row r="28">
      <c r="B28" s="51" t="n"/>
      <c r="C28" s="51" t="n"/>
      <c r="D28" s="51" t="n"/>
      <c r="E28" s="51" t="n"/>
      <c r="F28" s="51" t="n"/>
      <c r="G28" s="51" t="n"/>
      <c r="H28" s="51" t="n"/>
      <c r="I28" s="51" t="n"/>
      <c r="J28" s="51" t="n"/>
      <c r="K28" s="51" t="n"/>
    </row>
    <row r="29">
      <c r="B29" s="51" t="n"/>
      <c r="C29" s="51" t="n"/>
      <c r="D29" s="51" t="n"/>
      <c r="E29" s="51" t="n"/>
      <c r="F29" s="51" t="n"/>
      <c r="G29" s="51" t="n"/>
      <c r="H29" s="51" t="n"/>
      <c r="I29" s="51" t="n"/>
      <c r="J29" s="51" t="n"/>
      <c r="K29" s="51" t="n"/>
    </row>
    <row r="30">
      <c r="B30" s="51" t="n"/>
      <c r="C30" s="51" t="n"/>
      <c r="D30" s="51" t="n"/>
      <c r="E30" s="51" t="n"/>
      <c r="F30" s="51" t="n"/>
      <c r="G30" s="51" t="n"/>
      <c r="H30" s="51" t="n"/>
      <c r="I30" s="51" t="n"/>
      <c r="J30" s="51" t="n"/>
      <c r="K30" s="51" t="n"/>
    </row>
    <row r="31">
      <c r="B31" s="51" t="n"/>
      <c r="C31" s="51" t="n"/>
      <c r="D31" s="51" t="n"/>
      <c r="E31" s="51" t="n"/>
      <c r="F31" s="51" t="n"/>
      <c r="G31" s="51" t="n"/>
      <c r="H31" s="51" t="n"/>
      <c r="I31" s="51" t="n"/>
      <c r="J31" s="51" t="n"/>
      <c r="K31" s="51" t="n"/>
    </row>
    <row r="32">
      <c r="B32" s="51" t="n"/>
      <c r="C32" s="51" t="n"/>
      <c r="D32" s="51" t="n"/>
      <c r="E32" s="51" t="n"/>
      <c r="F32" s="51" t="n"/>
      <c r="G32" s="51" t="n"/>
      <c r="H32" s="51" t="n"/>
      <c r="I32" s="51" t="n"/>
      <c r="J32" s="51" t="n"/>
      <c r="K32" s="51" t="n"/>
    </row>
    <row r="33">
      <c r="B33" s="51" t="n"/>
      <c r="C33" s="51" t="n"/>
      <c r="D33" s="51" t="n"/>
      <c r="E33" s="51" t="n"/>
      <c r="F33" s="51" t="n"/>
      <c r="G33" s="51" t="n"/>
      <c r="H33" s="51" t="n"/>
      <c r="I33" s="51" t="n"/>
      <c r="J33" s="51" t="n"/>
      <c r="K33" s="51" t="n"/>
    </row>
    <row r="34">
      <c r="B34" s="51" t="n"/>
      <c r="C34" s="51" t="n"/>
      <c r="D34" s="51" t="n"/>
      <c r="E34" s="51" t="n"/>
      <c r="F34" s="51" t="n"/>
      <c r="G34" s="51" t="n"/>
      <c r="H34" s="51" t="n"/>
      <c r="I34" s="51" t="n"/>
      <c r="J34" s="51" t="n"/>
      <c r="K34" s="51" t="n"/>
    </row>
    <row r="35">
      <c r="B35" s="51" t="n"/>
      <c r="C35" s="51" t="n"/>
      <c r="D35" s="51" t="n"/>
      <c r="E35" s="51" t="n"/>
      <c r="F35" s="51" t="n"/>
      <c r="G35" s="51" t="n"/>
      <c r="H35" s="51" t="n"/>
      <c r="I35" s="51" t="n"/>
      <c r="J35" s="51" t="n"/>
      <c r="K35" s="51" t="n"/>
    </row>
    <row r="36">
      <c r="B36" s="51" t="n"/>
      <c r="C36" s="51" t="n"/>
      <c r="D36" s="51" t="n"/>
      <c r="E36" s="51" t="n"/>
      <c r="F36" s="51" t="n"/>
      <c r="G36" s="51" t="n"/>
      <c r="H36" s="51" t="n"/>
      <c r="I36" s="51" t="n"/>
      <c r="J36" s="51" t="n"/>
      <c r="K36" s="51" t="n"/>
    </row>
    <row r="37">
      <c r="B37" s="51" t="n"/>
      <c r="C37" s="51" t="n"/>
      <c r="D37" s="51" t="n"/>
      <c r="E37" s="51" t="n"/>
      <c r="F37" s="51" t="n"/>
      <c r="G37" s="51" t="n"/>
      <c r="H37" s="51" t="n"/>
      <c r="I37" s="51" t="n"/>
      <c r="J37" s="51" t="n"/>
      <c r="K37" s="51" t="n"/>
    </row>
    <row r="38">
      <c r="B38" s="51" t="n"/>
      <c r="C38" s="51" t="n"/>
      <c r="D38" s="51" t="n"/>
      <c r="E38" s="51" t="n"/>
      <c r="F38" s="51" t="n"/>
      <c r="G38" s="51" t="n"/>
      <c r="H38" s="51" t="n"/>
      <c r="I38" s="51" t="n"/>
      <c r="J38" s="51" t="n"/>
      <c r="K38" s="51" t="n"/>
    </row>
    <row r="39">
      <c r="B39" s="51" t="n"/>
      <c r="C39" s="51" t="n"/>
      <c r="D39" s="51" t="n"/>
      <c r="E39" s="51" t="n"/>
      <c r="F39" s="51" t="n"/>
      <c r="G39" s="51" t="n"/>
      <c r="H39" s="51" t="n"/>
      <c r="I39" s="51" t="n"/>
      <c r="J39" s="51" t="n"/>
      <c r="K39" s="51" t="n"/>
    </row>
    <row r="40">
      <c r="B40" s="51" t="n"/>
      <c r="C40" s="51" t="n"/>
      <c r="D40" s="51" t="n"/>
      <c r="E40" s="51" t="n"/>
      <c r="F40" s="51" t="n"/>
      <c r="G40" s="51" t="n"/>
      <c r="H40" s="51" t="n"/>
      <c r="I40" s="51" t="n"/>
      <c r="J40" s="51" t="n"/>
      <c r="K40" s="51" t="n"/>
    </row>
    <row r="41">
      <c r="B41" s="51" t="n"/>
      <c r="C41" s="51" t="n"/>
      <c r="D41" s="51" t="n"/>
      <c r="E41" s="51" t="n"/>
      <c r="F41" s="51" t="n"/>
      <c r="G41" s="51" t="n"/>
      <c r="H41" s="51" t="n"/>
      <c r="I41" s="51" t="n"/>
      <c r="J41" s="51" t="n"/>
      <c r="K41" s="51" t="n"/>
    </row>
    <row r="42">
      <c r="B42" s="51" t="n"/>
      <c r="C42" s="51" t="n"/>
      <c r="D42" s="51" t="n"/>
      <c r="E42" s="51" t="n"/>
      <c r="F42" s="51" t="n"/>
      <c r="G42" s="51" t="n"/>
      <c r="H42" s="51" t="n"/>
      <c r="I42" s="51" t="n"/>
      <c r="J42" s="51" t="n"/>
      <c r="K42" s="51" t="n"/>
    </row>
    <row r="43">
      <c r="B43" s="51" t="n"/>
      <c r="C43" s="51" t="n"/>
      <c r="D43" s="51" t="n"/>
      <c r="E43" s="51" t="n"/>
      <c r="F43" s="51" t="n"/>
      <c r="G43" s="51" t="n"/>
      <c r="H43" s="51" t="n"/>
      <c r="I43" s="51" t="n"/>
      <c r="J43" s="51" t="n"/>
      <c r="K43" s="51" t="n"/>
    </row>
    <row r="44">
      <c r="B44" s="51" t="n"/>
      <c r="C44" s="51" t="n"/>
      <c r="D44" s="51" t="n"/>
      <c r="E44" s="51" t="n"/>
      <c r="F44" s="51" t="n"/>
      <c r="G44" s="51" t="n"/>
      <c r="H44" s="51" t="n"/>
      <c r="I44" s="51" t="n"/>
      <c r="J44" s="51" t="n"/>
      <c r="K44" s="51" t="n"/>
    </row>
    <row r="45">
      <c r="B45" s="51" t="n"/>
      <c r="C45" s="51" t="n"/>
      <c r="D45" s="51" t="n"/>
      <c r="E45" s="51" t="n"/>
      <c r="F45" s="51" t="n"/>
      <c r="G45" s="51" t="n"/>
      <c r="H45" s="51" t="n"/>
      <c r="I45" s="51" t="n"/>
      <c r="J45" s="51" t="n"/>
      <c r="K45" s="51" t="n"/>
    </row>
    <row r="46">
      <c r="B46" s="51" t="n"/>
      <c r="C46" s="51" t="n"/>
      <c r="D46" s="51" t="n"/>
      <c r="E46" s="51" t="n"/>
      <c r="F46" s="51" t="n"/>
      <c r="G46" s="51" t="n"/>
      <c r="H46" s="51" t="n"/>
      <c r="I46" s="51" t="n"/>
      <c r="J46" s="51" t="n"/>
      <c r="K46" s="51" t="n"/>
    </row>
    <row r="47">
      <c r="B47" s="51" t="n"/>
      <c r="C47" s="51" t="n"/>
      <c r="D47" s="51" t="n"/>
      <c r="E47" s="51" t="n"/>
      <c r="F47" s="51" t="n"/>
      <c r="G47" s="51" t="n"/>
      <c r="H47" s="51" t="n"/>
      <c r="I47" s="51" t="n"/>
      <c r="J47" s="51" t="n"/>
      <c r="K47" s="51" t="n"/>
    </row>
    <row r="48">
      <c r="B48" s="51" t="n"/>
      <c r="C48" s="51" t="n"/>
      <c r="D48" s="51" t="n"/>
      <c r="E48" s="51" t="n"/>
      <c r="F48" s="51" t="n"/>
      <c r="G48" s="51" t="n"/>
      <c r="H48" s="51" t="n"/>
      <c r="I48" s="51" t="n"/>
      <c r="J48" s="51" t="n"/>
      <c r="K48" s="51" t="n"/>
    </row>
    <row r="49">
      <c r="B49" s="51" t="n"/>
      <c r="C49" s="51" t="n"/>
      <c r="D49" s="51" t="n"/>
      <c r="E49" s="51" t="n"/>
      <c r="F49" s="51" t="n"/>
      <c r="G49" s="51" t="n"/>
      <c r="H49" s="51" t="n"/>
      <c r="I49" s="51" t="n"/>
      <c r="J49" s="51" t="n"/>
      <c r="K49" s="51" t="n"/>
    </row>
    <row r="50">
      <c r="B50" s="51" t="n"/>
      <c r="C50" s="51" t="n"/>
      <c r="D50" s="51" t="n"/>
      <c r="E50" s="51" t="n"/>
      <c r="F50" s="51" t="n"/>
      <c r="G50" s="51" t="n"/>
      <c r="H50" s="51" t="n"/>
      <c r="I50" s="51" t="n"/>
      <c r="J50" s="51" t="n"/>
      <c r="K50" s="51" t="n"/>
    </row>
    <row r="51">
      <c r="B51" s="51" t="n"/>
      <c r="C51" s="51" t="n"/>
      <c r="D51" s="51" t="n"/>
      <c r="E51" s="51" t="n"/>
      <c r="F51" s="51" t="n"/>
      <c r="G51" s="51" t="n"/>
      <c r="H51" s="51" t="n"/>
      <c r="I51" s="51" t="n"/>
      <c r="J51" s="51" t="n"/>
      <c r="K51" s="51" t="n"/>
    </row>
    <row r="52">
      <c r="B52" s="51" t="n"/>
      <c r="C52" s="51" t="n"/>
      <c r="D52" s="51" t="n"/>
      <c r="E52" s="51" t="n"/>
      <c r="F52" s="51" t="n"/>
      <c r="G52" s="51" t="n"/>
      <c r="H52" s="51" t="n"/>
      <c r="I52" s="51" t="n"/>
      <c r="J52" s="51" t="n"/>
      <c r="K52" s="51" t="n"/>
    </row>
    <row r="53">
      <c r="B53" s="51" t="n"/>
      <c r="C53" s="51" t="n"/>
      <c r="D53" s="51" t="n"/>
      <c r="E53" s="51" t="n"/>
      <c r="F53" s="51" t="n"/>
      <c r="G53" s="51" t="n"/>
      <c r="H53" s="51" t="n"/>
      <c r="I53" s="51" t="n"/>
      <c r="J53" s="51" t="n"/>
      <c r="K53" s="51" t="n"/>
    </row>
    <row r="54">
      <c r="B54" s="51" t="n"/>
      <c r="C54" s="51" t="n"/>
      <c r="D54" s="51" t="n"/>
      <c r="E54" s="51" t="n"/>
      <c r="F54" s="51" t="n"/>
      <c r="G54" s="51" t="n"/>
      <c r="H54" s="51" t="n"/>
      <c r="I54" s="51" t="n"/>
      <c r="J54" s="51" t="n"/>
      <c r="K54" s="51" t="n"/>
    </row>
    <row r="55">
      <c r="B55" s="51" t="n"/>
      <c r="C55" s="51" t="n"/>
      <c r="D55" s="51" t="n"/>
      <c r="E55" s="51" t="n"/>
      <c r="F55" s="51" t="n"/>
      <c r="G55" s="51" t="n"/>
      <c r="H55" s="51" t="n"/>
      <c r="I55" s="51" t="n"/>
      <c r="J55" s="51" t="n"/>
      <c r="K55" s="51" t="n"/>
    </row>
    <row r="56">
      <c r="B56" s="51" t="n"/>
      <c r="C56" s="51" t="n"/>
      <c r="D56" s="51" t="n"/>
      <c r="E56" s="51" t="n"/>
      <c r="F56" s="51" t="n"/>
      <c r="G56" s="51" t="n"/>
      <c r="H56" s="51" t="n"/>
      <c r="I56" s="51" t="n"/>
      <c r="J56" s="51" t="n"/>
      <c r="K56" s="51" t="n"/>
    </row>
    <row r="57">
      <c r="B57" s="51" t="n"/>
      <c r="C57" s="51" t="n"/>
      <c r="D57" s="51" t="n"/>
      <c r="E57" s="51" t="n"/>
      <c r="F57" s="51" t="n"/>
      <c r="G57" s="51" t="n"/>
      <c r="H57" s="51" t="n"/>
      <c r="I57" s="51" t="n"/>
      <c r="J57" s="51" t="n"/>
      <c r="K57" s="51" t="n"/>
    </row>
    <row r="58">
      <c r="B58" s="51" t="n"/>
      <c r="C58" s="51" t="n"/>
      <c r="D58" s="51" t="n"/>
      <c r="E58" s="51" t="n"/>
      <c r="F58" s="51" t="n"/>
      <c r="G58" s="51" t="n"/>
      <c r="H58" s="51" t="n"/>
      <c r="I58" s="51" t="n"/>
      <c r="J58" s="51" t="n"/>
      <c r="K58" s="51" t="n"/>
    </row>
    <row r="59">
      <c r="B59" s="51" t="n"/>
      <c r="C59" s="51" t="n"/>
      <c r="D59" s="51" t="n"/>
      <c r="E59" s="51" t="n"/>
      <c r="F59" s="51" t="n"/>
      <c r="G59" s="51" t="n"/>
      <c r="H59" s="51" t="n"/>
      <c r="I59" s="51" t="n"/>
      <c r="J59" s="51" t="n"/>
      <c r="K59" s="51" t="n"/>
    </row>
    <row r="60">
      <c r="B60" s="51" t="n"/>
      <c r="C60" s="51" t="n"/>
      <c r="D60" s="51" t="n"/>
      <c r="E60" s="51" t="n"/>
      <c r="F60" s="51" t="n"/>
      <c r="G60" s="51" t="n"/>
      <c r="H60" s="51" t="n"/>
      <c r="I60" s="51" t="n"/>
      <c r="J60" s="51" t="n"/>
      <c r="K60" s="51" t="n"/>
    </row>
    <row r="61">
      <c r="B61" s="51" t="n"/>
      <c r="C61" s="51" t="n"/>
      <c r="D61" s="51" t="n"/>
      <c r="E61" s="51" t="n"/>
      <c r="F61" s="51" t="n"/>
      <c r="G61" s="51" t="n"/>
      <c r="H61" s="51" t="n"/>
      <c r="I61" s="51" t="n"/>
      <c r="J61" s="51" t="n"/>
      <c r="K61" s="51" t="n"/>
    </row>
    <row r="62">
      <c r="B62" s="51" t="n"/>
      <c r="C62" s="51" t="n"/>
      <c r="D62" s="51" t="n"/>
      <c r="E62" s="51" t="n"/>
      <c r="F62" s="51" t="n"/>
      <c r="G62" s="51" t="n"/>
      <c r="H62" s="51" t="n"/>
      <c r="I62" s="51" t="n"/>
      <c r="J62" s="51" t="n"/>
      <c r="K62" s="51" t="n"/>
    </row>
    <row r="63">
      <c r="B63" s="51" t="n"/>
      <c r="C63" s="51" t="n"/>
      <c r="D63" s="51" t="n"/>
      <c r="E63" s="51" t="n"/>
      <c r="F63" s="51" t="n"/>
      <c r="G63" s="51" t="n"/>
      <c r="H63" s="51" t="n"/>
      <c r="I63" s="51" t="n"/>
      <c r="J63" s="51" t="n"/>
      <c r="K63" s="51" t="n"/>
    </row>
    <row r="64">
      <c r="B64" s="51" t="n"/>
      <c r="C64" s="51" t="n"/>
      <c r="D64" s="51" t="n"/>
      <c r="E64" s="51" t="n"/>
      <c r="F64" s="51" t="n"/>
      <c r="G64" s="51" t="n"/>
      <c r="H64" s="51" t="n"/>
      <c r="I64" s="51" t="n"/>
      <c r="J64" s="51" t="n"/>
      <c r="K64" s="51" t="n"/>
    </row>
    <row r="65">
      <c r="B65" s="51" t="n"/>
      <c r="C65" s="51" t="n"/>
      <c r="D65" s="51" t="n"/>
      <c r="E65" s="51" t="n"/>
      <c r="F65" s="51" t="n"/>
      <c r="G65" s="51" t="n"/>
      <c r="H65" s="51" t="n"/>
      <c r="I65" s="51" t="n"/>
      <c r="J65" s="51" t="n"/>
      <c r="K65" s="51" t="n"/>
    </row>
    <row r="66">
      <c r="B66" s="51" t="n"/>
      <c r="C66" s="51" t="n"/>
      <c r="D66" s="51" t="n"/>
      <c r="E66" s="51" t="n"/>
      <c r="F66" s="51" t="n"/>
      <c r="G66" s="51" t="n"/>
      <c r="H66" s="51" t="n"/>
      <c r="I66" s="51" t="n"/>
      <c r="J66" s="51" t="n"/>
      <c r="K66" s="51" t="n"/>
    </row>
    <row r="67">
      <c r="B67" s="51" t="n"/>
      <c r="C67" s="51" t="n"/>
      <c r="D67" s="51" t="n"/>
      <c r="E67" s="51" t="n"/>
      <c r="F67" s="51" t="n"/>
      <c r="G67" s="51" t="n"/>
      <c r="H67" s="51" t="n"/>
      <c r="I67" s="51" t="n"/>
      <c r="J67" s="51" t="n"/>
      <c r="K67" s="51" t="n"/>
    </row>
    <row r="68">
      <c r="B68" s="51" t="n"/>
      <c r="C68" s="51" t="n"/>
      <c r="D68" s="51" t="n"/>
      <c r="E68" s="51" t="n"/>
      <c r="F68" s="51" t="n"/>
      <c r="G68" s="51" t="n"/>
      <c r="H68" s="51" t="n"/>
      <c r="I68" s="51" t="n"/>
      <c r="J68" s="51" t="n"/>
      <c r="K68" s="51" t="n"/>
    </row>
    <row r="69">
      <c r="B69" s="51" t="n"/>
      <c r="C69" s="51" t="n"/>
      <c r="D69" s="51" t="n"/>
      <c r="E69" s="51" t="n"/>
      <c r="F69" s="51" t="n"/>
      <c r="G69" s="51" t="n"/>
      <c r="H69" s="51" t="n"/>
      <c r="I69" s="51" t="n"/>
      <c r="J69" s="51" t="n"/>
      <c r="K69" s="51" t="n"/>
    </row>
    <row r="70">
      <c r="B70" s="51" t="n"/>
      <c r="C70" s="51" t="n"/>
      <c r="D70" s="51" t="n"/>
      <c r="E70" s="51" t="n"/>
      <c r="F70" s="51" t="n"/>
      <c r="G70" s="51" t="n"/>
      <c r="H70" s="51" t="n"/>
      <c r="I70" s="51" t="n"/>
      <c r="J70" s="51" t="n"/>
      <c r="K70" s="51" t="n"/>
    </row>
    <row r="71">
      <c r="B71" s="51" t="n"/>
      <c r="C71" s="51" t="n"/>
      <c r="D71" s="51" t="n"/>
      <c r="E71" s="51" t="n"/>
      <c r="F71" s="51" t="n"/>
      <c r="G71" s="51" t="n"/>
      <c r="H71" s="51" t="n"/>
      <c r="I71" s="51" t="n"/>
      <c r="J71" s="51" t="n"/>
      <c r="K71" s="51" t="n"/>
    </row>
    <row r="72">
      <c r="B72" s="51" t="n"/>
      <c r="C72" s="51" t="n"/>
      <c r="D72" s="51" t="n"/>
      <c r="E72" s="51" t="n"/>
      <c r="F72" s="51" t="n"/>
      <c r="G72" s="51" t="n"/>
      <c r="H72" s="51" t="n"/>
      <c r="I72" s="51" t="n"/>
      <c r="J72" s="51" t="n"/>
      <c r="K72" s="51" t="n"/>
    </row>
    <row r="73">
      <c r="B73" s="51" t="n"/>
      <c r="C73" s="51" t="n"/>
      <c r="D73" s="51" t="n"/>
      <c r="E73" s="51" t="n"/>
      <c r="F73" s="51" t="n"/>
      <c r="G73" s="51" t="n"/>
      <c r="H73" s="51" t="n"/>
      <c r="I73" s="51" t="n"/>
      <c r="J73" s="51" t="n"/>
      <c r="K73" s="51" t="n"/>
    </row>
    <row r="74">
      <c r="B74" s="51" t="n"/>
      <c r="C74" s="51" t="n"/>
      <c r="D74" s="51" t="n"/>
      <c r="E74" s="51" t="n"/>
      <c r="F74" s="51" t="n"/>
      <c r="G74" s="51" t="n"/>
      <c r="H74" s="51" t="n"/>
      <c r="I74" s="51" t="n"/>
      <c r="J74" s="51" t="n"/>
      <c r="K74" s="51" t="n"/>
    </row>
    <row r="75">
      <c r="B75" s="51" t="n"/>
      <c r="C75" s="51" t="n"/>
      <c r="D75" s="51" t="n"/>
      <c r="E75" s="51" t="n"/>
      <c r="F75" s="51" t="n"/>
      <c r="G75" s="51" t="n"/>
      <c r="H75" s="51" t="n"/>
      <c r="I75" s="51" t="n"/>
      <c r="J75" s="51" t="n"/>
      <c r="K75" s="51" t="n"/>
    </row>
    <row r="76">
      <c r="B76" s="51" t="n"/>
      <c r="C76" s="51" t="n"/>
      <c r="D76" s="51" t="n"/>
      <c r="E76" s="51" t="n"/>
      <c r="F76" s="51" t="n"/>
      <c r="G76" s="51" t="n"/>
      <c r="H76" s="51" t="n"/>
      <c r="I76" s="51" t="n"/>
      <c r="J76" s="51" t="n"/>
      <c r="K76" s="51" t="n"/>
    </row>
    <row r="77">
      <c r="B77" s="51" t="n"/>
      <c r="C77" s="51" t="n"/>
      <c r="D77" s="51" t="n"/>
      <c r="E77" s="51" t="n"/>
      <c r="F77" s="51" t="n"/>
      <c r="G77" s="51" t="n"/>
      <c r="H77" s="51" t="n"/>
      <c r="I77" s="51" t="n"/>
      <c r="J77" s="51" t="n"/>
      <c r="K77" s="51" t="n"/>
    </row>
    <row r="78">
      <c r="B78" s="51" t="n"/>
      <c r="C78" s="51" t="n"/>
      <c r="D78" s="51" t="n"/>
      <c r="E78" s="51" t="n"/>
      <c r="F78" s="51" t="n"/>
      <c r="G78" s="51" t="n"/>
      <c r="H78" s="51" t="n"/>
      <c r="I78" s="51" t="n"/>
      <c r="J78" s="51" t="n"/>
      <c r="K78" s="51" t="n"/>
    </row>
    <row r="79">
      <c r="B79" s="51" t="n"/>
      <c r="C79" s="51" t="n"/>
      <c r="D79" s="51" t="n"/>
      <c r="E79" s="51" t="n"/>
      <c r="F79" s="51" t="n"/>
      <c r="G79" s="51" t="n"/>
      <c r="H79" s="51" t="n"/>
      <c r="I79" s="51" t="n"/>
      <c r="J79" s="51" t="n"/>
      <c r="K79" s="51" t="n"/>
    </row>
    <row r="80">
      <c r="B80" s="51" t="n"/>
      <c r="C80" s="51" t="n"/>
      <c r="D80" s="51" t="n"/>
      <c r="E80" s="51" t="n"/>
      <c r="F80" s="51" t="n"/>
      <c r="G80" s="51" t="n"/>
      <c r="H80" s="51" t="n"/>
      <c r="I80" s="51" t="n"/>
      <c r="J80" s="51" t="n"/>
      <c r="K80" s="51" t="n"/>
    </row>
    <row r="81">
      <c r="B81" s="51" t="n"/>
      <c r="C81" s="51" t="n"/>
      <c r="D81" s="51" t="n"/>
      <c r="E81" s="51" t="n"/>
      <c r="F81" s="51" t="n"/>
      <c r="G81" s="51" t="n"/>
      <c r="H81" s="51" t="n"/>
      <c r="I81" s="51" t="n"/>
      <c r="J81" s="51" t="n"/>
      <c r="K81" s="51" t="n"/>
    </row>
    <row r="82">
      <c r="B82" s="51" t="n"/>
      <c r="C82" s="51" t="n"/>
      <c r="D82" s="51" t="n"/>
      <c r="E82" s="51" t="n"/>
      <c r="F82" s="51" t="n"/>
      <c r="G82" s="51" t="n"/>
      <c r="H82" s="51" t="n"/>
      <c r="I82" s="51" t="n"/>
      <c r="J82" s="51" t="n"/>
      <c r="K82" s="51" t="n"/>
    </row>
    <row r="83">
      <c r="B83" s="51" t="n"/>
      <c r="C83" s="51" t="n"/>
      <c r="D83" s="51" t="n"/>
      <c r="E83" s="51" t="n"/>
      <c r="F83" s="51" t="n"/>
      <c r="G83" s="51" t="n"/>
      <c r="H83" s="51" t="n"/>
      <c r="I83" s="51" t="n"/>
      <c r="J83" s="51" t="n"/>
      <c r="K83" s="51" t="n"/>
    </row>
    <row r="84">
      <c r="B84" s="51" t="n"/>
      <c r="C84" s="51" t="n"/>
      <c r="D84" s="51" t="n"/>
      <c r="E84" s="51" t="n"/>
      <c r="F84" s="51" t="n"/>
      <c r="G84" s="51" t="n"/>
      <c r="H84" s="51" t="n"/>
      <c r="I84" s="51" t="n"/>
      <c r="J84" s="51" t="n"/>
      <c r="K84" s="51" t="n"/>
    </row>
    <row r="85">
      <c r="B85" s="51" t="n"/>
      <c r="C85" s="51" t="n"/>
      <c r="D85" s="51" t="n"/>
      <c r="E85" s="51" t="n"/>
      <c r="F85" s="51" t="n"/>
      <c r="G85" s="51" t="n"/>
      <c r="H85" s="51" t="n"/>
      <c r="I85" s="51" t="n"/>
      <c r="J85" s="51" t="n"/>
      <c r="K85" s="51" t="n"/>
    </row>
    <row r="86">
      <c r="B86" s="51" t="n"/>
      <c r="C86" s="51" t="n"/>
      <c r="D86" s="51" t="n"/>
      <c r="E86" s="51" t="n"/>
      <c r="F86" s="51" t="n"/>
      <c r="G86" s="51" t="n"/>
      <c r="H86" s="51" t="n"/>
      <c r="I86" s="51" t="n"/>
      <c r="J86" s="51" t="n"/>
      <c r="K86" s="51" t="n"/>
    </row>
    <row r="87">
      <c r="B87" s="51" t="n"/>
      <c r="C87" s="51" t="n"/>
      <c r="D87" s="51" t="n"/>
      <c r="E87" s="51" t="n"/>
      <c r="F87" s="51" t="n"/>
      <c r="G87" s="51" t="n"/>
      <c r="H87" s="51" t="n"/>
      <c r="I87" s="51" t="n"/>
      <c r="J87" s="51" t="n"/>
      <c r="K87" s="51" t="n"/>
    </row>
    <row r="88">
      <c r="B88" s="51" t="n"/>
      <c r="C88" s="51" t="n"/>
      <c r="D88" s="51" t="n"/>
      <c r="E88" s="51" t="n"/>
      <c r="F88" s="51" t="n"/>
      <c r="G88" s="51" t="n"/>
      <c r="H88" s="51" t="n"/>
      <c r="I88" s="51" t="n"/>
      <c r="J88" s="51" t="n"/>
      <c r="K88" s="51" t="n"/>
    </row>
    <row r="89">
      <c r="B89" s="51" t="n"/>
      <c r="C89" s="51" t="n"/>
      <c r="D89" s="51" t="n"/>
      <c r="E89" s="51" t="n"/>
      <c r="F89" s="51" t="n"/>
      <c r="G89" s="51" t="n"/>
      <c r="H89" s="51" t="n"/>
      <c r="I89" s="51" t="n"/>
      <c r="J89" s="51" t="n"/>
      <c r="K89" s="51" t="n"/>
    </row>
    <row r="90">
      <c r="B90" s="51" t="n"/>
      <c r="C90" s="51" t="n"/>
      <c r="D90" s="51" t="n"/>
      <c r="E90" s="51" t="n"/>
      <c r="F90" s="51" t="n"/>
      <c r="G90" s="51" t="n"/>
      <c r="H90" s="51" t="n"/>
      <c r="I90" s="51" t="n"/>
      <c r="J90" s="51" t="n"/>
      <c r="K90" s="51" t="n"/>
    </row>
    <row r="91">
      <c r="B91" s="51" t="n"/>
      <c r="C91" s="51" t="n"/>
      <c r="D91" s="51" t="n"/>
      <c r="E91" s="51" t="n"/>
      <c r="F91" s="51" t="n"/>
      <c r="G91" s="51" t="n"/>
      <c r="H91" s="51" t="n"/>
      <c r="I91" s="51" t="n"/>
      <c r="J91" s="51" t="n"/>
      <c r="K91" s="51" t="n"/>
    </row>
    <row r="92">
      <c r="B92" s="51" t="n"/>
      <c r="C92" s="51" t="n"/>
      <c r="D92" s="51" t="n"/>
      <c r="E92" s="51" t="n"/>
      <c r="F92" s="51" t="n"/>
      <c r="G92" s="51" t="n"/>
      <c r="H92" s="51" t="n"/>
      <c r="I92" s="51" t="n"/>
      <c r="J92" s="51" t="n"/>
      <c r="K92" s="51" t="n"/>
    </row>
    <row r="93">
      <c r="B93" s="51" t="n"/>
      <c r="C93" s="51" t="n"/>
      <c r="D93" s="51" t="n"/>
      <c r="E93" s="51" t="n"/>
      <c r="F93" s="51" t="n"/>
      <c r="G93" s="51" t="n"/>
      <c r="H93" s="51" t="n"/>
      <c r="I93" s="51" t="n"/>
      <c r="J93" s="51" t="n"/>
      <c r="K93" s="51" t="n"/>
    </row>
    <row r="94">
      <c r="B94" s="51" t="n"/>
      <c r="C94" s="51" t="n"/>
      <c r="D94" s="51" t="n"/>
      <c r="E94" s="51" t="n"/>
      <c r="F94" s="51" t="n"/>
      <c r="G94" s="51" t="n"/>
      <c r="H94" s="51" t="n"/>
      <c r="I94" s="51" t="n"/>
      <c r="J94" s="51" t="n"/>
      <c r="K94" s="51" t="n"/>
    </row>
    <row r="95">
      <c r="B95" s="51" t="n"/>
      <c r="C95" s="51" t="n"/>
      <c r="D95" s="51" t="n"/>
      <c r="E95" s="51" t="n"/>
      <c r="F95" s="51" t="n"/>
      <c r="G95" s="51" t="n"/>
      <c r="H95" s="51" t="n"/>
      <c r="I95" s="51" t="n"/>
      <c r="J95" s="51" t="n"/>
      <c r="K95" s="51" t="n"/>
    </row>
    <row r="96">
      <c r="B96" s="51" t="n"/>
      <c r="C96" s="51" t="n"/>
      <c r="D96" s="51" t="n"/>
      <c r="E96" s="51" t="n"/>
      <c r="F96" s="51" t="n"/>
      <c r="G96" s="51" t="n"/>
      <c r="H96" s="51" t="n"/>
      <c r="I96" s="51" t="n"/>
      <c r="J96" s="51" t="n"/>
      <c r="K96" s="51" t="n"/>
    </row>
    <row r="97">
      <c r="B97" s="51" t="n"/>
      <c r="C97" s="51" t="n"/>
      <c r="D97" s="51" t="n"/>
      <c r="E97" s="51" t="n"/>
      <c r="F97" s="51" t="n"/>
      <c r="G97" s="51" t="n"/>
      <c r="H97" s="51" t="n"/>
      <c r="I97" s="51" t="n"/>
      <c r="J97" s="51" t="n"/>
      <c r="K97" s="51" t="n"/>
    </row>
    <row r="98">
      <c r="B98" s="51" t="n"/>
      <c r="C98" s="51" t="n"/>
      <c r="D98" s="51" t="n"/>
      <c r="E98" s="51" t="n"/>
      <c r="F98" s="51" t="n"/>
      <c r="G98" s="51" t="n"/>
      <c r="H98" s="51" t="n"/>
      <c r="I98" s="51" t="n"/>
      <c r="J98" s="51" t="n"/>
      <c r="K98" s="51" t="n"/>
    </row>
    <row r="99">
      <c r="B99" s="51" t="n"/>
      <c r="C99" s="51" t="n"/>
      <c r="D99" s="51" t="n"/>
      <c r="E99" s="51" t="n"/>
      <c r="F99" s="51" t="n"/>
      <c r="G99" s="51" t="n"/>
      <c r="H99" s="51" t="n"/>
      <c r="I99" s="51" t="n"/>
      <c r="J99" s="51" t="n"/>
      <c r="K99" s="51" t="n"/>
    </row>
    <row r="100">
      <c r="B100" s="51" t="n"/>
      <c r="C100" s="51" t="n"/>
      <c r="D100" s="51" t="n"/>
      <c r="E100" s="51" t="n"/>
      <c r="F100" s="51" t="n"/>
      <c r="G100" s="51" t="n"/>
      <c r="H100" s="51" t="n"/>
      <c r="I100" s="51" t="n"/>
      <c r="J100" s="51" t="n"/>
      <c r="K100" s="51" t="n"/>
    </row>
    <row r="101">
      <c r="B101" s="51" t="n"/>
      <c r="C101" s="51" t="n"/>
      <c r="D101" s="51" t="n"/>
      <c r="E101" s="51" t="n"/>
      <c r="F101" s="51" t="n"/>
      <c r="G101" s="51" t="n"/>
      <c r="H101" s="51" t="n"/>
      <c r="I101" s="51" t="n"/>
      <c r="J101" s="51" t="n"/>
      <c r="K101" s="51" t="n"/>
    </row>
    <row r="102">
      <c r="B102" s="51" t="n"/>
      <c r="C102" s="51" t="n"/>
      <c r="D102" s="51" t="n"/>
      <c r="E102" s="51" t="n"/>
      <c r="F102" s="51" t="n"/>
      <c r="G102" s="51" t="n"/>
      <c r="H102" s="51" t="n"/>
      <c r="I102" s="51" t="n"/>
      <c r="J102" s="51" t="n"/>
      <c r="K102" s="51" t="n"/>
    </row>
    <row r="103">
      <c r="B103" s="51" t="n"/>
      <c r="C103" s="51" t="n"/>
      <c r="D103" s="51" t="n"/>
      <c r="E103" s="51" t="n"/>
      <c r="F103" s="51" t="n"/>
      <c r="G103" s="51" t="n"/>
      <c r="H103" s="51" t="n"/>
      <c r="I103" s="51" t="n"/>
      <c r="J103" s="51" t="n"/>
      <c r="K103" s="51" t="n"/>
    </row>
    <row r="104">
      <c r="B104" s="51" t="n"/>
      <c r="C104" s="51" t="n"/>
      <c r="D104" s="51" t="n"/>
      <c r="E104" s="51" t="n"/>
      <c r="F104" s="51" t="n"/>
      <c r="G104" s="51" t="n"/>
      <c r="H104" s="51" t="n"/>
      <c r="I104" s="51" t="n"/>
      <c r="J104" s="51" t="n"/>
      <c r="K104" s="51" t="n"/>
    </row>
    <row r="105">
      <c r="B105" s="51" t="n"/>
      <c r="C105" s="51" t="n"/>
      <c r="D105" s="51" t="n"/>
      <c r="E105" s="51" t="n"/>
      <c r="F105" s="51" t="n"/>
      <c r="G105" s="51" t="n"/>
      <c r="H105" s="51" t="n"/>
      <c r="I105" s="51" t="n"/>
      <c r="J105" s="51" t="n"/>
      <c r="K105" s="51" t="n"/>
    </row>
    <row r="106">
      <c r="B106" s="51" t="n"/>
      <c r="C106" s="51" t="n"/>
      <c r="D106" s="51" t="n"/>
      <c r="E106" s="51" t="n"/>
      <c r="F106" s="51" t="n"/>
      <c r="G106" s="51" t="n"/>
      <c r="H106" s="51" t="n"/>
      <c r="I106" s="51" t="n"/>
      <c r="J106" s="51" t="n"/>
      <c r="K106" s="51" t="n"/>
    </row>
    <row r="107">
      <c r="B107" s="51" t="n"/>
      <c r="C107" s="51" t="n"/>
      <c r="D107" s="51" t="n"/>
      <c r="E107" s="51" t="n"/>
      <c r="F107" s="51" t="n"/>
      <c r="G107" s="51" t="n"/>
      <c r="H107" s="51" t="n"/>
      <c r="I107" s="51" t="n"/>
      <c r="J107" s="51" t="n"/>
      <c r="K107" s="51" t="n"/>
    </row>
    <row r="108">
      <c r="B108" s="51" t="n"/>
      <c r="C108" s="51" t="n"/>
      <c r="D108" s="51" t="n"/>
      <c r="E108" s="51" t="n"/>
      <c r="F108" s="51" t="n"/>
      <c r="G108" s="51" t="n"/>
      <c r="H108" s="51" t="n"/>
      <c r="I108" s="51" t="n"/>
      <c r="J108" s="51" t="n"/>
      <c r="K108" s="51" t="n"/>
    </row>
    <row r="109">
      <c r="B109" s="51" t="n"/>
      <c r="C109" s="51" t="n"/>
      <c r="D109" s="51" t="n"/>
      <c r="E109" s="51" t="n"/>
      <c r="F109" s="51" t="n"/>
      <c r="G109" s="51" t="n"/>
      <c r="H109" s="51" t="n"/>
      <c r="I109" s="51" t="n"/>
      <c r="J109" s="51" t="n"/>
      <c r="K109" s="51" t="n"/>
    </row>
    <row r="110">
      <c r="B110" s="51" t="n"/>
      <c r="C110" s="51" t="n"/>
      <c r="D110" s="51" t="n"/>
      <c r="E110" s="51" t="n"/>
      <c r="F110" s="51" t="n"/>
      <c r="G110" s="51" t="n"/>
      <c r="H110" s="51" t="n"/>
      <c r="I110" s="51" t="n"/>
      <c r="J110" s="51" t="n"/>
      <c r="K110" s="51" t="n"/>
    </row>
    <row r="111">
      <c r="B111" s="51" t="n"/>
      <c r="C111" s="51" t="n"/>
      <c r="D111" s="51" t="n"/>
      <c r="E111" s="51" t="n"/>
      <c r="F111" s="51" t="n"/>
      <c r="G111" s="51" t="n"/>
      <c r="H111" s="51" t="n"/>
      <c r="I111" s="51" t="n"/>
      <c r="J111" s="51" t="n"/>
      <c r="K111" s="51" t="n"/>
    </row>
    <row r="112">
      <c r="B112" s="51" t="n"/>
      <c r="C112" s="51" t="n"/>
      <c r="D112" s="51" t="n"/>
      <c r="E112" s="51" t="n"/>
      <c r="F112" s="51" t="n"/>
      <c r="G112" s="51" t="n"/>
      <c r="H112" s="51" t="n"/>
      <c r="I112" s="51" t="n"/>
      <c r="J112" s="51" t="n"/>
      <c r="K112" s="51" t="n"/>
    </row>
    <row r="113">
      <c r="B113" s="51" t="n"/>
      <c r="C113" s="51" t="n"/>
      <c r="D113" s="51" t="n"/>
      <c r="E113" s="51" t="n"/>
      <c r="F113" s="51" t="n"/>
      <c r="G113" s="51" t="n"/>
      <c r="H113" s="51" t="n"/>
      <c r="I113" s="51" t="n"/>
      <c r="J113" s="51" t="n"/>
      <c r="K113" s="51" t="n"/>
    </row>
    <row r="114">
      <c r="B114" s="51" t="n"/>
      <c r="C114" s="51" t="n"/>
      <c r="D114" s="51" t="n"/>
      <c r="E114" s="51" t="n"/>
      <c r="F114" s="51" t="n"/>
      <c r="G114" s="51" t="n"/>
      <c r="H114" s="51" t="n"/>
      <c r="I114" s="51" t="n"/>
      <c r="J114" s="51" t="n"/>
      <c r="K114" s="51" t="n"/>
    </row>
    <row r="115">
      <c r="B115" s="51" t="n"/>
      <c r="C115" s="51" t="n"/>
      <c r="D115" s="51" t="n"/>
      <c r="E115" s="51" t="n"/>
      <c r="F115" s="51" t="n"/>
      <c r="G115" s="51" t="n"/>
      <c r="H115" s="51" t="n"/>
      <c r="I115" s="51" t="n"/>
      <c r="J115" s="51" t="n"/>
      <c r="K115" s="51" t="n"/>
    </row>
    <row r="116">
      <c r="B116" s="51" t="n"/>
      <c r="C116" s="51" t="n"/>
      <c r="D116" s="51" t="n"/>
      <c r="E116" s="51" t="n"/>
      <c r="F116" s="51" t="n"/>
      <c r="G116" s="51" t="n"/>
      <c r="H116" s="51" t="n"/>
      <c r="I116" s="51" t="n"/>
      <c r="J116" s="51" t="n"/>
      <c r="K116" s="51" t="n"/>
    </row>
    <row r="117">
      <c r="B117" s="51" t="n"/>
      <c r="C117" s="51" t="n"/>
      <c r="D117" s="51" t="n"/>
      <c r="E117" s="51" t="n"/>
      <c r="F117" s="51" t="n"/>
      <c r="G117" s="51" t="n"/>
      <c r="H117" s="51" t="n"/>
      <c r="I117" s="51" t="n"/>
      <c r="J117" s="51" t="n"/>
      <c r="K117" s="51" t="n"/>
    </row>
    <row r="118">
      <c r="B118" s="51" t="n"/>
      <c r="C118" s="51" t="n"/>
      <c r="D118" s="51" t="n"/>
      <c r="E118" s="51" t="n"/>
      <c r="F118" s="51" t="n"/>
      <c r="G118" s="51" t="n"/>
      <c r="H118" s="51" t="n"/>
      <c r="I118" s="51" t="n"/>
      <c r="J118" s="51" t="n"/>
      <c r="K118" s="51" t="n"/>
    </row>
    <row r="119">
      <c r="B119" s="51" t="n"/>
      <c r="C119" s="51" t="n"/>
      <c r="D119" s="51" t="n"/>
      <c r="E119" s="51" t="n"/>
      <c r="F119" s="51" t="n"/>
      <c r="G119" s="51" t="n"/>
      <c r="H119" s="51" t="n"/>
      <c r="I119" s="51" t="n"/>
      <c r="J119" s="51" t="n"/>
      <c r="K119" s="51" t="n"/>
    </row>
    <row r="120">
      <c r="B120" s="51" t="n"/>
      <c r="C120" s="51" t="n"/>
      <c r="D120" s="51" t="n"/>
      <c r="E120" s="51" t="n"/>
      <c r="F120" s="51" t="n"/>
      <c r="G120" s="51" t="n"/>
      <c r="H120" s="51" t="n"/>
      <c r="I120" s="51" t="n"/>
      <c r="J120" s="51" t="n"/>
      <c r="K120" s="51" t="n"/>
    </row>
    <row r="121">
      <c r="B121" s="51" t="n"/>
      <c r="C121" s="51" t="n"/>
      <c r="D121" s="51" t="n"/>
      <c r="E121" s="51" t="n"/>
      <c r="F121" s="51" t="n"/>
      <c r="G121" s="51" t="n"/>
      <c r="H121" s="51" t="n"/>
      <c r="I121" s="51" t="n"/>
      <c r="J121" s="51" t="n"/>
      <c r="K121" s="51" t="n"/>
    </row>
    <row r="122">
      <c r="B122" s="51" t="n"/>
      <c r="C122" s="51" t="n"/>
      <c r="D122" s="51" t="n"/>
      <c r="E122" s="51" t="n"/>
      <c r="F122" s="51" t="n"/>
      <c r="G122" s="51" t="n"/>
      <c r="H122" s="51" t="n"/>
      <c r="I122" s="51" t="n"/>
      <c r="J122" s="51" t="n"/>
      <c r="K122" s="51" t="n"/>
    </row>
    <row r="123">
      <c r="B123" s="51" t="n"/>
      <c r="C123" s="51" t="n"/>
      <c r="D123" s="51" t="n"/>
      <c r="E123" s="51" t="n"/>
      <c r="F123" s="51" t="n"/>
      <c r="G123" s="51" t="n"/>
      <c r="H123" s="51" t="n"/>
      <c r="I123" s="51" t="n"/>
      <c r="J123" s="51" t="n"/>
      <c r="K123" s="51" t="n"/>
    </row>
    <row r="124">
      <c r="B124" s="51" t="n"/>
      <c r="C124" s="51" t="n"/>
      <c r="D124" s="51" t="n"/>
      <c r="E124" s="51" t="n"/>
      <c r="F124" s="51" t="n"/>
      <c r="G124" s="51" t="n"/>
      <c r="H124" s="51" t="n"/>
      <c r="I124" s="51" t="n"/>
      <c r="J124" s="51" t="n"/>
      <c r="K124" s="51" t="n"/>
    </row>
    <row r="125">
      <c r="B125" s="51" t="n"/>
      <c r="C125" s="51" t="n"/>
      <c r="D125" s="51" t="n"/>
      <c r="E125" s="51" t="n"/>
      <c r="F125" s="51" t="n"/>
      <c r="G125" s="51" t="n"/>
      <c r="H125" s="51" t="n"/>
      <c r="I125" s="51" t="n"/>
      <c r="J125" s="51" t="n"/>
      <c r="K125" s="51" t="n"/>
    </row>
    <row r="126">
      <c r="B126" s="51" t="n"/>
      <c r="C126" s="51" t="n"/>
      <c r="D126" s="51" t="n"/>
      <c r="E126" s="51" t="n"/>
      <c r="F126" s="51" t="n"/>
      <c r="G126" s="51" t="n"/>
      <c r="H126" s="51" t="n"/>
      <c r="I126" s="51" t="n"/>
      <c r="J126" s="51" t="n"/>
      <c r="K126" s="51" t="n"/>
    </row>
    <row r="127">
      <c r="B127" s="51" t="n"/>
      <c r="C127" s="51" t="n"/>
      <c r="D127" s="51" t="n"/>
      <c r="E127" s="51" t="n"/>
      <c r="F127" s="51" t="n"/>
      <c r="G127" s="51" t="n"/>
      <c r="H127" s="51" t="n"/>
      <c r="I127" s="51" t="n"/>
      <c r="J127" s="51" t="n"/>
      <c r="K127" s="51" t="n"/>
    </row>
    <row r="128">
      <c r="B128" s="51" t="n"/>
      <c r="C128" s="51" t="n"/>
      <c r="D128" s="51" t="n"/>
      <c r="E128" s="51" t="n"/>
      <c r="F128" s="51" t="n"/>
      <c r="G128" s="51" t="n"/>
      <c r="H128" s="51" t="n"/>
      <c r="I128" s="51" t="n"/>
      <c r="J128" s="51" t="n"/>
      <c r="K128" s="51" t="n"/>
    </row>
    <row r="129">
      <c r="B129" s="51" t="n"/>
      <c r="C129" s="51" t="n"/>
      <c r="D129" s="51" t="n"/>
      <c r="E129" s="51" t="n"/>
      <c r="F129" s="51" t="n"/>
      <c r="G129" s="51" t="n"/>
      <c r="H129" s="51" t="n"/>
      <c r="I129" s="51" t="n"/>
      <c r="J129" s="51" t="n"/>
      <c r="K129" s="51" t="n"/>
    </row>
    <row r="130">
      <c r="B130" s="51" t="n"/>
      <c r="C130" s="51" t="n"/>
      <c r="D130" s="51" t="n"/>
      <c r="E130" s="51" t="n"/>
      <c r="F130" s="51" t="n"/>
      <c r="G130" s="51" t="n"/>
      <c r="H130" s="51" t="n"/>
      <c r="I130" s="51" t="n"/>
      <c r="J130" s="51" t="n"/>
      <c r="K130" s="51" t="n"/>
    </row>
    <row r="131">
      <c r="B131" s="51" t="n"/>
      <c r="C131" s="51" t="n"/>
      <c r="D131" s="51" t="n"/>
      <c r="E131" s="51" t="n"/>
      <c r="F131" s="51" t="n"/>
      <c r="G131" s="51" t="n"/>
      <c r="H131" s="51" t="n"/>
      <c r="I131" s="51" t="n"/>
      <c r="J131" s="51" t="n"/>
      <c r="K131" s="51" t="n"/>
    </row>
    <row r="132">
      <c r="B132" s="51" t="n"/>
      <c r="C132" s="51" t="n"/>
      <c r="D132" s="51" t="n"/>
      <c r="E132" s="51" t="n"/>
      <c r="F132" s="51" t="n"/>
      <c r="G132" s="51" t="n"/>
      <c r="H132" s="51" t="n"/>
      <c r="I132" s="51" t="n"/>
      <c r="J132" s="51" t="n"/>
      <c r="K132" s="51" t="n"/>
    </row>
    <row r="133">
      <c r="B133" s="51" t="n"/>
      <c r="C133" s="51" t="n"/>
      <c r="D133" s="51" t="n"/>
      <c r="E133" s="51" t="n"/>
      <c r="F133" s="51" t="n"/>
      <c r="G133" s="51" t="n"/>
      <c r="H133" s="51" t="n"/>
      <c r="I133" s="51" t="n"/>
      <c r="J133" s="51" t="n"/>
      <c r="K133" s="51" t="n"/>
    </row>
    <row r="134">
      <c r="B134" s="51" t="n"/>
      <c r="C134" s="51" t="n"/>
      <c r="D134" s="51" t="n"/>
      <c r="E134" s="51" t="n"/>
      <c r="F134" s="51" t="n"/>
      <c r="G134" s="51" t="n"/>
      <c r="H134" s="51" t="n"/>
      <c r="I134" s="51" t="n"/>
      <c r="J134" s="51" t="n"/>
      <c r="K134" s="51" t="n"/>
    </row>
    <row r="135">
      <c r="B135" s="51" t="n"/>
      <c r="C135" s="51" t="n"/>
      <c r="D135" s="51" t="n"/>
      <c r="E135" s="51" t="n"/>
      <c r="F135" s="51" t="n"/>
      <c r="G135" s="51" t="n"/>
      <c r="H135" s="51" t="n"/>
      <c r="I135" s="51" t="n"/>
      <c r="J135" s="51" t="n"/>
      <c r="K135" s="51" t="n"/>
    </row>
    <row r="136">
      <c r="B136" s="51" t="n"/>
      <c r="C136" s="51" t="n"/>
      <c r="D136" s="51" t="n"/>
      <c r="E136" s="51" t="n"/>
      <c r="F136" s="51" t="n"/>
      <c r="G136" s="51" t="n"/>
      <c r="H136" s="51" t="n"/>
      <c r="I136" s="51" t="n"/>
      <c r="J136" s="51" t="n"/>
      <c r="K136" s="51" t="n"/>
    </row>
    <row r="137">
      <c r="B137" s="51" t="n"/>
      <c r="C137" s="51" t="n"/>
      <c r="D137" s="51" t="n"/>
      <c r="E137" s="51" t="n"/>
      <c r="F137" s="51" t="n"/>
      <c r="G137" s="51" t="n"/>
      <c r="H137" s="51" t="n"/>
      <c r="I137" s="51" t="n"/>
      <c r="J137" s="51" t="n"/>
      <c r="K137" s="51" t="n"/>
    </row>
    <row r="138">
      <c r="B138" s="51" t="n"/>
      <c r="C138" s="51" t="n"/>
      <c r="D138" s="51" t="n"/>
      <c r="E138" s="51" t="n"/>
      <c r="F138" s="51" t="n"/>
      <c r="G138" s="51" t="n"/>
      <c r="H138" s="51" t="n"/>
      <c r="I138" s="51" t="n"/>
      <c r="J138" s="51" t="n"/>
      <c r="K138" s="51" t="n"/>
    </row>
    <row r="139">
      <c r="B139" s="51" t="n"/>
      <c r="C139" s="51" t="n"/>
      <c r="D139" s="51" t="n"/>
      <c r="E139" s="51" t="n"/>
      <c r="F139" s="51" t="n"/>
      <c r="G139" s="51" t="n"/>
      <c r="H139" s="51" t="n"/>
      <c r="I139" s="51" t="n"/>
      <c r="J139" s="51" t="n"/>
      <c r="K139" s="51" t="n"/>
    </row>
    <row r="140">
      <c r="B140" s="51" t="n"/>
      <c r="C140" s="51" t="n"/>
      <c r="D140" s="51" t="n"/>
      <c r="E140" s="51" t="n"/>
      <c r="F140" s="51" t="n"/>
      <c r="G140" s="51" t="n"/>
      <c r="H140" s="51" t="n"/>
      <c r="I140" s="51" t="n"/>
      <c r="J140" s="51" t="n"/>
      <c r="K140" s="51" t="n"/>
    </row>
    <row r="141">
      <c r="B141" s="51" t="n"/>
      <c r="C141" s="51" t="n"/>
      <c r="D141" s="51" t="n"/>
      <c r="E141" s="51" t="n"/>
      <c r="F141" s="51" t="n"/>
      <c r="G141" s="51" t="n"/>
      <c r="H141" s="51" t="n"/>
      <c r="I141" s="51" t="n"/>
      <c r="J141" s="51" t="n"/>
      <c r="K141" s="51" t="n"/>
    </row>
    <row r="142">
      <c r="B142" s="51" t="n"/>
      <c r="C142" s="51" t="n"/>
      <c r="D142" s="51" t="n"/>
      <c r="E142" s="51" t="n"/>
      <c r="F142" s="51" t="n"/>
      <c r="G142" s="51" t="n"/>
      <c r="H142" s="51" t="n"/>
      <c r="I142" s="51" t="n"/>
      <c r="J142" s="51" t="n"/>
      <c r="K142" s="51" t="n"/>
    </row>
    <row r="143">
      <c r="B143" s="51" t="n"/>
      <c r="C143" s="51" t="n"/>
      <c r="D143" s="51" t="n"/>
      <c r="E143" s="51" t="n"/>
      <c r="F143" s="51" t="n"/>
      <c r="G143" s="51" t="n"/>
      <c r="H143" s="51" t="n"/>
      <c r="I143" s="51" t="n"/>
      <c r="J143" s="51" t="n"/>
      <c r="K143" s="51" t="n"/>
    </row>
    <row r="144">
      <c r="B144" s="51" t="n"/>
      <c r="C144" s="51" t="n"/>
      <c r="D144" s="51" t="n"/>
      <c r="E144" s="51" t="n"/>
      <c r="F144" s="51" t="n"/>
      <c r="G144" s="51" t="n"/>
      <c r="H144" s="51" t="n"/>
      <c r="I144" s="51" t="n"/>
      <c r="J144" s="51" t="n"/>
      <c r="K144" s="51" t="n"/>
    </row>
    <row r="145">
      <c r="B145" s="51" t="n"/>
      <c r="C145" s="51" t="n"/>
      <c r="D145" s="51" t="n"/>
      <c r="E145" s="51" t="n"/>
      <c r="F145" s="51" t="n"/>
      <c r="G145" s="51" t="n"/>
      <c r="H145" s="51" t="n"/>
      <c r="I145" s="51" t="n"/>
      <c r="J145" s="51" t="n"/>
      <c r="K145" s="51" t="n"/>
    </row>
    <row r="146">
      <c r="B146" s="51" t="n"/>
      <c r="C146" s="51" t="n"/>
      <c r="D146" s="51" t="n"/>
      <c r="E146" s="51" t="n"/>
      <c r="F146" s="51" t="n"/>
      <c r="G146" s="51" t="n"/>
      <c r="H146" s="51" t="n"/>
      <c r="I146" s="51" t="n"/>
      <c r="J146" s="51" t="n"/>
      <c r="K146" s="51" t="n"/>
    </row>
    <row r="147">
      <c r="B147" s="51" t="n"/>
      <c r="C147" s="51" t="n"/>
      <c r="D147" s="51" t="n"/>
      <c r="E147" s="51" t="n"/>
      <c r="F147" s="51" t="n"/>
      <c r="G147" s="51" t="n"/>
      <c r="H147" s="51" t="n"/>
      <c r="I147" s="51" t="n"/>
      <c r="J147" s="51" t="n"/>
      <c r="K147" s="51" t="n"/>
    </row>
    <row r="148">
      <c r="B148" s="51" t="n"/>
      <c r="C148" s="51" t="n"/>
      <c r="D148" s="51" t="n"/>
      <c r="E148" s="51" t="n"/>
      <c r="F148" s="51" t="n"/>
      <c r="G148" s="51" t="n"/>
      <c r="H148" s="51" t="n"/>
      <c r="I148" s="51" t="n"/>
      <c r="J148" s="51" t="n"/>
      <c r="K148" s="51" t="n"/>
    </row>
    <row r="149">
      <c r="B149" s="51" t="n"/>
      <c r="C149" s="51" t="n"/>
      <c r="D149" s="51" t="n"/>
      <c r="E149" s="51" t="n"/>
      <c r="F149" s="51" t="n"/>
      <c r="G149" s="51" t="n"/>
      <c r="H149" s="51" t="n"/>
      <c r="I149" s="51" t="n"/>
      <c r="J149" s="51" t="n"/>
      <c r="K149" s="51" t="n"/>
    </row>
    <row r="150">
      <c r="B150" s="51" t="n"/>
      <c r="C150" s="51" t="n"/>
      <c r="D150" s="51" t="n"/>
      <c r="E150" s="51" t="n"/>
      <c r="F150" s="51" t="n"/>
      <c r="G150" s="51" t="n"/>
      <c r="H150" s="51" t="n"/>
      <c r="I150" s="51" t="n"/>
      <c r="J150" s="51" t="n"/>
      <c r="K150" s="51" t="n"/>
    </row>
    <row r="151">
      <c r="B151" s="51" t="n"/>
      <c r="C151" s="51" t="n"/>
      <c r="D151" s="51" t="n"/>
      <c r="E151" s="51" t="n"/>
      <c r="F151" s="51" t="n"/>
      <c r="G151" s="51" t="n"/>
      <c r="H151" s="51" t="n"/>
      <c r="I151" s="51" t="n"/>
      <c r="J151" s="51" t="n"/>
      <c r="K151" s="51" t="n"/>
    </row>
    <row r="152">
      <c r="B152" s="51" t="n"/>
      <c r="C152" s="51" t="n"/>
      <c r="D152" s="51" t="n"/>
      <c r="E152" s="51" t="n"/>
      <c r="F152" s="51" t="n"/>
      <c r="G152" s="51" t="n"/>
      <c r="H152" s="51" t="n"/>
      <c r="I152" s="51" t="n"/>
      <c r="J152" s="51" t="n"/>
      <c r="K152" s="51" t="n"/>
    </row>
    <row r="153">
      <c r="B153" s="51" t="n"/>
      <c r="C153" s="51" t="n"/>
      <c r="D153" s="51" t="n"/>
      <c r="E153" s="51" t="n"/>
      <c r="F153" s="51" t="n"/>
      <c r="G153" s="51" t="n"/>
      <c r="H153" s="51" t="n"/>
      <c r="I153" s="51" t="n"/>
      <c r="J153" s="51" t="n"/>
      <c r="K153" s="51" t="n"/>
    </row>
    <row r="154">
      <c r="B154" s="51" t="n"/>
      <c r="C154" s="51" t="n"/>
      <c r="D154" s="51" t="n"/>
      <c r="E154" s="51" t="n"/>
      <c r="F154" s="51" t="n"/>
      <c r="G154" s="51" t="n"/>
      <c r="H154" s="51" t="n"/>
      <c r="I154" s="51" t="n"/>
      <c r="J154" s="51" t="n"/>
      <c r="K154" s="51" t="n"/>
    </row>
    <row r="155">
      <c r="B155" s="51" t="n"/>
      <c r="C155" s="51" t="n"/>
      <c r="D155" s="51" t="n"/>
      <c r="E155" s="51" t="n"/>
      <c r="F155" s="51" t="n"/>
      <c r="G155" s="51" t="n"/>
      <c r="H155" s="51" t="n"/>
      <c r="I155" s="51" t="n"/>
      <c r="J155" s="51" t="n"/>
      <c r="K155" s="51" t="n"/>
    </row>
    <row r="156">
      <c r="B156" s="51" t="n"/>
      <c r="C156" s="51" t="n"/>
      <c r="D156" s="51" t="n"/>
      <c r="E156" s="51" t="n"/>
      <c r="F156" s="51" t="n"/>
      <c r="G156" s="51" t="n"/>
      <c r="H156" s="51" t="n"/>
      <c r="I156" s="51" t="n"/>
      <c r="J156" s="51" t="n"/>
      <c r="K156" s="51" t="n"/>
    </row>
    <row r="157">
      <c r="B157" s="51" t="n"/>
      <c r="C157" s="51" t="n"/>
      <c r="D157" s="51" t="n"/>
      <c r="E157" s="51" t="n"/>
      <c r="F157" s="51" t="n"/>
      <c r="G157" s="51" t="n"/>
      <c r="H157" s="51" t="n"/>
      <c r="I157" s="51" t="n"/>
      <c r="J157" s="51" t="n"/>
      <c r="K157" s="51" t="n"/>
    </row>
    <row r="158">
      <c r="B158" s="51" t="n"/>
      <c r="C158" s="51" t="n"/>
      <c r="D158" s="51" t="n"/>
      <c r="E158" s="51" t="n"/>
      <c r="F158" s="51" t="n"/>
      <c r="G158" s="51" t="n"/>
      <c r="H158" s="51" t="n"/>
      <c r="I158" s="51" t="n"/>
      <c r="J158" s="51" t="n"/>
      <c r="K158" s="51" t="n"/>
    </row>
    <row r="159">
      <c r="B159" s="51" t="n"/>
      <c r="C159" s="51" t="n"/>
      <c r="D159" s="51" t="n"/>
      <c r="E159" s="51" t="n"/>
      <c r="F159" s="51" t="n"/>
      <c r="G159" s="51" t="n"/>
      <c r="H159" s="51" t="n"/>
      <c r="I159" s="51" t="n"/>
      <c r="J159" s="51" t="n"/>
      <c r="K159" s="51" t="n"/>
    </row>
    <row r="160">
      <c r="B160" s="51" t="n"/>
      <c r="C160" s="51" t="n"/>
      <c r="D160" s="51" t="n"/>
      <c r="E160" s="51" t="n"/>
      <c r="F160" s="51" t="n"/>
      <c r="G160" s="51" t="n"/>
      <c r="H160" s="51" t="n"/>
      <c r="I160" s="51" t="n"/>
      <c r="J160" s="51" t="n"/>
      <c r="K160" s="51" t="n"/>
    </row>
    <row r="161">
      <c r="B161" s="51" t="n"/>
      <c r="C161" s="51" t="n"/>
      <c r="D161" s="51" t="n"/>
      <c r="E161" s="51" t="n"/>
      <c r="F161" s="51" t="n"/>
      <c r="G161" s="51" t="n"/>
      <c r="H161" s="51" t="n"/>
      <c r="I161" s="51" t="n"/>
      <c r="J161" s="51" t="n"/>
      <c r="K161" s="51" t="n"/>
    </row>
    <row r="162">
      <c r="B162" s="51" t="n"/>
      <c r="C162" s="51" t="n"/>
      <c r="D162" s="51" t="n"/>
      <c r="E162" s="51" t="n"/>
      <c r="F162" s="51" t="n"/>
      <c r="G162" s="51" t="n"/>
      <c r="H162" s="51" t="n"/>
      <c r="I162" s="51" t="n"/>
      <c r="J162" s="51" t="n"/>
      <c r="K162" s="51" t="n"/>
    </row>
    <row r="163">
      <c r="B163" s="51" t="n"/>
      <c r="C163" s="51" t="n"/>
      <c r="D163" s="51" t="n"/>
      <c r="E163" s="51" t="n"/>
      <c r="F163" s="51" t="n"/>
      <c r="G163" s="51" t="n"/>
      <c r="H163" s="51" t="n"/>
      <c r="I163" s="51" t="n"/>
      <c r="J163" s="51" t="n"/>
      <c r="K163" s="51" t="n"/>
    </row>
    <row r="164">
      <c r="B164" s="51" t="n"/>
      <c r="C164" s="51" t="n"/>
      <c r="D164" s="51" t="n"/>
      <c r="E164" s="51" t="n"/>
      <c r="F164" s="51" t="n"/>
      <c r="G164" s="51" t="n"/>
      <c r="H164" s="51" t="n"/>
      <c r="I164" s="51" t="n"/>
      <c r="J164" s="51" t="n"/>
      <c r="K164" s="51" t="n"/>
    </row>
    <row r="165">
      <c r="B165" s="51" t="n"/>
      <c r="C165" s="51" t="n"/>
      <c r="D165" s="51" t="n"/>
      <c r="E165" s="51" t="n"/>
      <c r="F165" s="51" t="n"/>
      <c r="G165" s="51" t="n"/>
      <c r="H165" s="51" t="n"/>
      <c r="I165" s="51" t="n"/>
      <c r="J165" s="51" t="n"/>
      <c r="K165" s="51" t="n"/>
    </row>
    <row r="166">
      <c r="B166" s="51" t="n"/>
      <c r="C166" s="51" t="n"/>
      <c r="D166" s="51" t="n"/>
      <c r="E166" s="51" t="n"/>
      <c r="F166" s="51" t="n"/>
      <c r="G166" s="51" t="n"/>
      <c r="H166" s="51" t="n"/>
      <c r="I166" s="51" t="n"/>
      <c r="J166" s="51" t="n"/>
      <c r="K166" s="51" t="n"/>
    </row>
    <row r="167">
      <c r="B167" s="51" t="n"/>
      <c r="C167" s="51" t="n"/>
      <c r="D167" s="51" t="n"/>
      <c r="E167" s="51" t="n"/>
      <c r="F167" s="51" t="n"/>
      <c r="G167" s="51" t="n"/>
      <c r="H167" s="51" t="n"/>
      <c r="I167" s="51" t="n"/>
      <c r="J167" s="51" t="n"/>
      <c r="K167" s="51" t="n"/>
    </row>
    <row r="168">
      <c r="B168" s="51" t="n"/>
      <c r="C168" s="51" t="n"/>
      <c r="D168" s="51" t="n"/>
      <c r="E168" s="51" t="n"/>
      <c r="F168" s="51" t="n"/>
      <c r="G168" s="51" t="n"/>
      <c r="H168" s="51" t="n"/>
      <c r="I168" s="51" t="n"/>
      <c r="J168" s="51" t="n"/>
      <c r="K168" s="51" t="n"/>
    </row>
    <row r="169">
      <c r="B169" s="51" t="n"/>
      <c r="C169" s="51" t="n"/>
      <c r="D169" s="51" t="n"/>
      <c r="E169" s="51" t="n"/>
      <c r="F169" s="51" t="n"/>
      <c r="G169" s="51" t="n"/>
      <c r="H169" s="51" t="n"/>
      <c r="I169" s="51" t="n"/>
      <c r="J169" s="51" t="n"/>
      <c r="K169" s="51" t="n"/>
    </row>
    <row r="170">
      <c r="B170" s="51" t="n"/>
      <c r="C170" s="51" t="n"/>
      <c r="D170" s="51" t="n"/>
      <c r="E170" s="51" t="n"/>
      <c r="F170" s="51" t="n"/>
      <c r="G170" s="51" t="n"/>
      <c r="H170" s="51" t="n"/>
      <c r="I170" s="51" t="n"/>
      <c r="J170" s="51" t="n"/>
      <c r="K170" s="51" t="n"/>
    </row>
    <row r="171">
      <c r="B171" s="51" t="n"/>
      <c r="C171" s="51" t="n"/>
      <c r="D171" s="51" t="n"/>
      <c r="E171" s="51" t="n"/>
      <c r="F171" s="51" t="n"/>
      <c r="G171" s="51" t="n"/>
      <c r="H171" s="51" t="n"/>
      <c r="I171" s="51" t="n"/>
      <c r="J171" s="51" t="n"/>
      <c r="K171" s="51" t="n"/>
    </row>
    <row r="172">
      <c r="B172" s="51" t="n"/>
      <c r="C172" s="51" t="n"/>
      <c r="D172" s="51" t="n"/>
      <c r="E172" s="51" t="n"/>
      <c r="F172" s="51" t="n"/>
      <c r="G172" s="51" t="n"/>
      <c r="H172" s="51" t="n"/>
      <c r="I172" s="51" t="n"/>
      <c r="J172" s="51" t="n"/>
      <c r="K172" s="51" t="n"/>
    </row>
    <row r="173">
      <c r="B173" s="51" t="n"/>
      <c r="C173" s="51" t="n"/>
      <c r="D173" s="51" t="n"/>
      <c r="E173" s="51" t="n"/>
      <c r="F173" s="51" t="n"/>
      <c r="G173" s="51" t="n"/>
      <c r="H173" s="51" t="n"/>
      <c r="I173" s="51" t="n"/>
      <c r="J173" s="51" t="n"/>
      <c r="K173" s="51" t="n"/>
    </row>
    <row r="174">
      <c r="B174" s="51" t="n"/>
      <c r="C174" s="51" t="n"/>
      <c r="D174" s="51" t="n"/>
      <c r="E174" s="51" t="n"/>
      <c r="F174" s="51" t="n"/>
      <c r="G174" s="51" t="n"/>
      <c r="H174" s="51" t="n"/>
      <c r="I174" s="51" t="n"/>
      <c r="J174" s="51" t="n"/>
      <c r="K174" s="51" t="n"/>
    </row>
    <row r="175">
      <c r="B175" s="51" t="n"/>
      <c r="C175" s="51" t="n"/>
      <c r="D175" s="51" t="n"/>
      <c r="E175" s="51" t="n"/>
      <c r="F175" s="51" t="n"/>
      <c r="G175" s="51" t="n"/>
      <c r="H175" s="51" t="n"/>
      <c r="I175" s="51" t="n"/>
      <c r="J175" s="51" t="n"/>
      <c r="K175" s="51" t="n"/>
    </row>
    <row r="176">
      <c r="B176" s="51" t="n"/>
      <c r="C176" s="51" t="n"/>
      <c r="D176" s="51" t="n"/>
      <c r="E176" s="51" t="n"/>
      <c r="F176" s="51" t="n"/>
      <c r="G176" s="51" t="n"/>
      <c r="H176" s="51" t="n"/>
      <c r="I176" s="51" t="n"/>
      <c r="J176" s="51" t="n"/>
      <c r="K176" s="51" t="n"/>
    </row>
    <row r="177">
      <c r="B177" s="51" t="n"/>
      <c r="C177" s="51" t="n"/>
      <c r="D177" s="51" t="n"/>
      <c r="E177" s="51" t="n"/>
      <c r="F177" s="51" t="n"/>
      <c r="G177" s="51" t="n"/>
      <c r="H177" s="51" t="n"/>
      <c r="I177" s="51" t="n"/>
      <c r="J177" s="51" t="n"/>
      <c r="K177" s="51" t="n"/>
    </row>
    <row r="178">
      <c r="B178" s="51" t="n"/>
      <c r="C178" s="51" t="n"/>
      <c r="D178" s="51" t="n"/>
      <c r="E178" s="51" t="n"/>
      <c r="F178" s="51" t="n"/>
      <c r="G178" s="51" t="n"/>
      <c r="H178" s="51" t="n"/>
      <c r="I178" s="51" t="n"/>
      <c r="J178" s="51" t="n"/>
      <c r="K178" s="51" t="n"/>
    </row>
    <row r="179">
      <c r="B179" s="51" t="n"/>
      <c r="C179" s="51" t="n"/>
      <c r="D179" s="51" t="n"/>
      <c r="E179" s="51" t="n"/>
      <c r="F179" s="51" t="n"/>
      <c r="G179" s="51" t="n"/>
      <c r="H179" s="51" t="n"/>
      <c r="I179" s="51" t="n"/>
      <c r="J179" s="51" t="n"/>
      <c r="K179" s="51" t="n"/>
    </row>
    <row r="180">
      <c r="B180" s="51" t="n"/>
      <c r="C180" s="51" t="n"/>
      <c r="D180" s="51" t="n"/>
      <c r="E180" s="51" t="n"/>
      <c r="F180" s="51" t="n"/>
      <c r="G180" s="51" t="n"/>
      <c r="H180" s="51" t="n"/>
      <c r="I180" s="51" t="n"/>
      <c r="J180" s="51" t="n"/>
      <c r="K180" s="51" t="n"/>
    </row>
    <row r="181">
      <c r="B181" s="51" t="n"/>
      <c r="C181" s="51" t="n"/>
      <c r="D181" s="51" t="n"/>
      <c r="E181" s="51" t="n"/>
      <c r="F181" s="51" t="n"/>
      <c r="G181" s="51" t="n"/>
      <c r="H181" s="51" t="n"/>
      <c r="I181" s="51" t="n"/>
      <c r="J181" s="51" t="n"/>
      <c r="K181" s="51" t="n"/>
    </row>
    <row r="182">
      <c r="B182" s="51" t="n"/>
      <c r="C182" s="51" t="n"/>
      <c r="D182" s="51" t="n"/>
      <c r="E182" s="51" t="n"/>
      <c r="F182" s="51" t="n"/>
      <c r="G182" s="51" t="n"/>
      <c r="H182" s="51" t="n"/>
      <c r="I182" s="51" t="n"/>
      <c r="J182" s="51" t="n"/>
      <c r="K182" s="51" t="n"/>
    </row>
    <row r="183">
      <c r="B183" s="51" t="n"/>
      <c r="C183" s="51" t="n"/>
      <c r="D183" s="51" t="n"/>
      <c r="E183" s="51" t="n"/>
      <c r="F183" s="51" t="n"/>
      <c r="G183" s="51" t="n"/>
      <c r="H183" s="51" t="n"/>
      <c r="I183" s="51" t="n"/>
      <c r="J183" s="51" t="n"/>
      <c r="K183" s="51" t="n"/>
    </row>
    <row r="184">
      <c r="B184" s="51" t="n"/>
      <c r="C184" s="51" t="n"/>
      <c r="D184" s="51" t="n"/>
      <c r="E184" s="51" t="n"/>
      <c r="F184" s="51" t="n"/>
      <c r="G184" s="51" t="n"/>
      <c r="H184" s="51" t="n"/>
      <c r="I184" s="51" t="n"/>
      <c r="J184" s="51" t="n"/>
      <c r="K184" s="51" t="n"/>
    </row>
    <row r="185">
      <c r="B185" s="51" t="n"/>
      <c r="C185" s="51" t="n"/>
      <c r="D185" s="51" t="n"/>
      <c r="E185" s="51" t="n"/>
      <c r="F185" s="51" t="n"/>
      <c r="G185" s="51" t="n"/>
      <c r="H185" s="51" t="n"/>
      <c r="I185" s="51" t="n"/>
      <c r="J185" s="51" t="n"/>
      <c r="K185" s="51" t="n"/>
    </row>
    <row r="186">
      <c r="B186" s="51" t="n"/>
      <c r="C186" s="51" t="n"/>
      <c r="D186" s="51" t="n"/>
      <c r="E186" s="51" t="n"/>
      <c r="F186" s="51" t="n"/>
      <c r="G186" s="51" t="n"/>
      <c r="H186" s="51" t="n"/>
      <c r="I186" s="51" t="n"/>
      <c r="J186" s="51" t="n"/>
      <c r="K186" s="51" t="n"/>
    </row>
    <row r="187">
      <c r="B187" s="51" t="n"/>
      <c r="C187" s="51" t="n"/>
      <c r="D187" s="51" t="n"/>
      <c r="E187" s="51" t="n"/>
      <c r="F187" s="51" t="n"/>
      <c r="G187" s="51" t="n"/>
      <c r="H187" s="51" t="n"/>
      <c r="I187" s="51" t="n"/>
      <c r="J187" s="51" t="n"/>
      <c r="K187" s="51" t="n"/>
    </row>
    <row r="188">
      <c r="B188" s="51" t="n"/>
      <c r="C188" s="51" t="n"/>
      <c r="D188" s="51" t="n"/>
      <c r="E188" s="51" t="n"/>
      <c r="F188" s="51" t="n"/>
      <c r="G188" s="51" t="n"/>
      <c r="H188" s="51" t="n"/>
      <c r="I188" s="51" t="n"/>
      <c r="J188" s="51" t="n"/>
      <c r="K188" s="51" t="n"/>
    </row>
    <row r="189">
      <c r="B189" s="51" t="n"/>
      <c r="C189" s="51" t="n"/>
      <c r="D189" s="51" t="n"/>
      <c r="E189" s="51" t="n"/>
      <c r="F189" s="51" t="n"/>
      <c r="G189" s="51" t="n"/>
      <c r="H189" s="51" t="n"/>
      <c r="I189" s="51" t="n"/>
      <c r="J189" s="51" t="n"/>
      <c r="K189" s="51" t="n"/>
    </row>
    <row r="190">
      <c r="B190" s="51" t="n"/>
      <c r="C190" s="51" t="n"/>
      <c r="D190" s="51" t="n"/>
      <c r="E190" s="51" t="n"/>
      <c r="F190" s="51" t="n"/>
      <c r="G190" s="51" t="n"/>
      <c r="H190" s="51" t="n"/>
      <c r="I190" s="51" t="n"/>
      <c r="J190" s="51" t="n"/>
      <c r="K190" s="51" t="n"/>
    </row>
    <row r="191">
      <c r="B191" s="51" t="n"/>
      <c r="C191" s="51" t="n"/>
      <c r="D191" s="51" t="n"/>
      <c r="E191" s="51" t="n"/>
      <c r="F191" s="51" t="n"/>
      <c r="G191" s="51" t="n"/>
      <c r="H191" s="51" t="n"/>
      <c r="I191" s="51" t="n"/>
      <c r="J191" s="51" t="n"/>
      <c r="K191" s="51" t="n"/>
    </row>
    <row r="192">
      <c r="B192" s="51" t="n"/>
      <c r="C192" s="51" t="n"/>
      <c r="D192" s="51" t="n"/>
      <c r="E192" s="51" t="n"/>
      <c r="F192" s="51" t="n"/>
      <c r="G192" s="51" t="n"/>
      <c r="H192" s="51" t="n"/>
      <c r="I192" s="51" t="n"/>
      <c r="J192" s="51" t="n"/>
      <c r="K192" s="51" t="n"/>
    </row>
    <row r="193">
      <c r="B193" s="51" t="n"/>
      <c r="C193" s="51" t="n"/>
      <c r="D193" s="51" t="n"/>
      <c r="E193" s="51" t="n"/>
      <c r="F193" s="51" t="n"/>
      <c r="G193" s="51" t="n"/>
      <c r="H193" s="51" t="n"/>
      <c r="I193" s="51" t="n"/>
      <c r="J193" s="51" t="n"/>
      <c r="K193" s="51" t="n"/>
    </row>
    <row r="194">
      <c r="B194" s="51" t="n"/>
      <c r="C194" s="51" t="n"/>
      <c r="D194" s="51" t="n"/>
      <c r="E194" s="51" t="n"/>
      <c r="F194" s="51" t="n"/>
      <c r="G194" s="51" t="n"/>
      <c r="H194" s="51" t="n"/>
      <c r="I194" s="51" t="n"/>
      <c r="J194" s="51" t="n"/>
      <c r="K194" s="51" t="n"/>
    </row>
    <row r="195">
      <c r="B195" s="51" t="n"/>
      <c r="C195" s="51" t="n"/>
      <c r="D195" s="51" t="n"/>
      <c r="E195" s="51" t="n"/>
      <c r="F195" s="51" t="n"/>
      <c r="G195" s="51" t="n"/>
      <c r="H195" s="51" t="n"/>
      <c r="I195" s="51" t="n"/>
      <c r="J195" s="51" t="n"/>
      <c r="K195" s="51" t="n"/>
    </row>
    <row r="196">
      <c r="B196" s="51" t="n"/>
      <c r="C196" s="51" t="n"/>
      <c r="D196" s="51" t="n"/>
      <c r="E196" s="51" t="n"/>
      <c r="F196" s="51" t="n"/>
      <c r="G196" s="51" t="n"/>
      <c r="H196" s="51" t="n"/>
      <c r="I196" s="51" t="n"/>
      <c r="J196" s="51" t="n"/>
      <c r="K196" s="51" t="n"/>
    </row>
    <row r="197">
      <c r="B197" s="51" t="n"/>
      <c r="C197" s="51" t="n"/>
      <c r="D197" s="51" t="n"/>
      <c r="E197" s="51" t="n"/>
      <c r="F197" s="51" t="n"/>
      <c r="G197" s="51" t="n"/>
      <c r="H197" s="51" t="n"/>
      <c r="I197" s="51" t="n"/>
      <c r="J197" s="51" t="n"/>
      <c r="K197" s="51" t="n"/>
    </row>
    <row r="198">
      <c r="B198" s="51" t="n"/>
      <c r="C198" s="51" t="n"/>
      <c r="D198" s="51" t="n"/>
      <c r="E198" s="51" t="n"/>
      <c r="F198" s="51" t="n"/>
      <c r="G198" s="51" t="n"/>
      <c r="H198" s="51" t="n"/>
      <c r="I198" s="51" t="n"/>
      <c r="J198" s="51" t="n"/>
      <c r="K198" s="51" t="n"/>
    </row>
    <row r="199">
      <c r="B199" s="51" t="n"/>
      <c r="C199" s="51" t="n"/>
      <c r="D199" s="51" t="n"/>
      <c r="E199" s="51" t="n"/>
      <c r="F199" s="51" t="n"/>
      <c r="G199" s="51" t="n"/>
      <c r="H199" s="51" t="n"/>
      <c r="I199" s="51" t="n"/>
      <c r="J199" s="51" t="n"/>
      <c r="K199" s="51" t="n"/>
    </row>
    <row r="200">
      <c r="B200" s="51" t="n"/>
      <c r="C200" s="51" t="n"/>
      <c r="D200" s="51" t="n"/>
      <c r="E200" s="51" t="n"/>
      <c r="F200" s="51" t="n"/>
      <c r="G200" s="51" t="n"/>
      <c r="H200" s="51" t="n"/>
      <c r="I200" s="51" t="n"/>
      <c r="J200" s="51" t="n"/>
      <c r="K200" s="51" t="n"/>
    </row>
    <row r="201">
      <c r="B201" s="51" t="n"/>
      <c r="C201" s="51" t="n"/>
      <c r="D201" s="51" t="n"/>
      <c r="E201" s="51" t="n"/>
      <c r="F201" s="51" t="n"/>
      <c r="G201" s="51" t="n"/>
      <c r="H201" s="51" t="n"/>
      <c r="I201" s="51" t="n"/>
      <c r="J201" s="51" t="n"/>
      <c r="K201" s="51" t="n"/>
    </row>
    <row r="202">
      <c r="B202" s="51" t="n"/>
      <c r="C202" s="51" t="n"/>
      <c r="D202" s="51" t="n"/>
      <c r="E202" s="51" t="n"/>
      <c r="F202" s="51" t="n"/>
      <c r="G202" s="51" t="n"/>
      <c r="H202" s="51" t="n"/>
      <c r="I202" s="51" t="n"/>
      <c r="J202" s="51" t="n"/>
      <c r="K202" s="51" t="n"/>
    </row>
    <row r="203">
      <c r="B203" s="51" t="n"/>
      <c r="C203" s="51" t="n"/>
      <c r="D203" s="51" t="n"/>
      <c r="E203" s="51" t="n"/>
      <c r="F203" s="51" t="n"/>
      <c r="G203" s="51" t="n"/>
      <c r="H203" s="51" t="n"/>
      <c r="I203" s="51" t="n"/>
      <c r="J203" s="51" t="n"/>
      <c r="K203" s="51" t="n"/>
    </row>
    <row r="204">
      <c r="B204" s="51" t="n"/>
      <c r="C204" s="51" t="n"/>
      <c r="D204" s="51" t="n"/>
      <c r="E204" s="51" t="n"/>
      <c r="F204" s="51" t="n"/>
      <c r="G204" s="51" t="n"/>
      <c r="H204" s="51" t="n"/>
      <c r="I204" s="51" t="n"/>
      <c r="J204" s="51" t="n"/>
      <c r="K204" s="51" t="n"/>
    </row>
    <row r="205">
      <c r="B205" s="51" t="n"/>
      <c r="C205" s="51" t="n"/>
      <c r="D205" s="51" t="n"/>
      <c r="E205" s="51" t="n"/>
      <c r="F205" s="51" t="n"/>
      <c r="G205" s="51" t="n"/>
      <c r="H205" s="51" t="n"/>
      <c r="I205" s="51" t="n"/>
      <c r="J205" s="51" t="n"/>
      <c r="K205" s="51" t="n"/>
    </row>
    <row r="206">
      <c r="B206" s="51" t="n"/>
      <c r="C206" s="51" t="n"/>
      <c r="D206" s="51" t="n"/>
      <c r="E206" s="51" t="n"/>
      <c r="F206" s="51" t="n"/>
      <c r="G206" s="51" t="n"/>
      <c r="H206" s="51" t="n"/>
      <c r="I206" s="51" t="n"/>
      <c r="J206" s="51" t="n"/>
      <c r="K206" s="51" t="n"/>
    </row>
    <row r="207">
      <c r="B207" s="51" t="n"/>
      <c r="C207" s="51" t="n"/>
      <c r="D207" s="51" t="n"/>
      <c r="E207" s="51" t="n"/>
      <c r="F207" s="51" t="n"/>
      <c r="G207" s="51" t="n"/>
      <c r="H207" s="51" t="n"/>
      <c r="I207" s="51" t="n"/>
      <c r="J207" s="51" t="n"/>
      <c r="K207" s="51" t="n"/>
    </row>
    <row r="208">
      <c r="B208" s="51" t="n"/>
      <c r="C208" s="51" t="n"/>
      <c r="D208" s="51" t="n"/>
      <c r="E208" s="51" t="n"/>
      <c r="F208" s="51" t="n"/>
      <c r="G208" s="51" t="n"/>
      <c r="H208" s="51" t="n"/>
      <c r="I208" s="51" t="n"/>
      <c r="J208" s="51" t="n"/>
      <c r="K208" s="51" t="n"/>
    </row>
    <row r="209">
      <c r="B209" s="51" t="n"/>
      <c r="C209" s="51" t="n"/>
      <c r="D209" s="51" t="n"/>
      <c r="E209" s="51" t="n"/>
      <c r="F209" s="51" t="n"/>
      <c r="G209" s="51" t="n"/>
      <c r="H209" s="51" t="n"/>
      <c r="I209" s="51" t="n"/>
      <c r="J209" s="51" t="n"/>
      <c r="K209" s="51" t="n"/>
    </row>
    <row r="210">
      <c r="B210" s="51" t="n"/>
      <c r="C210" s="51" t="n"/>
      <c r="D210" s="51" t="n"/>
      <c r="E210" s="51" t="n"/>
      <c r="F210" s="51" t="n"/>
      <c r="G210" s="51" t="n"/>
      <c r="H210" s="51" t="n"/>
      <c r="I210" s="51" t="n"/>
      <c r="J210" s="51" t="n"/>
      <c r="K210" s="51" t="n"/>
    </row>
    <row r="211">
      <c r="B211" s="51" t="n"/>
      <c r="C211" s="51" t="n"/>
      <c r="D211" s="51" t="n"/>
      <c r="E211" s="51" t="n"/>
      <c r="F211" s="51" t="n"/>
      <c r="G211" s="51" t="n"/>
      <c r="H211" s="51" t="n"/>
      <c r="I211" s="51" t="n"/>
      <c r="J211" s="51" t="n"/>
      <c r="K211" s="51" t="n"/>
    </row>
    <row r="212">
      <c r="B212" s="51" t="n"/>
      <c r="C212" s="51" t="n"/>
      <c r="D212" s="51" t="n"/>
      <c r="E212" s="51" t="n"/>
      <c r="F212" s="51" t="n"/>
      <c r="G212" s="51" t="n"/>
      <c r="H212" s="51" t="n"/>
      <c r="I212" s="51" t="n"/>
      <c r="J212" s="51" t="n"/>
      <c r="K212" s="51" t="n"/>
    </row>
    <row r="213">
      <c r="B213" s="51" t="n"/>
      <c r="C213" s="51" t="n"/>
      <c r="D213" s="51" t="n"/>
      <c r="E213" s="51" t="n"/>
      <c r="F213" s="51" t="n"/>
      <c r="G213" s="51" t="n"/>
      <c r="H213" s="51" t="n"/>
      <c r="I213" s="51" t="n"/>
      <c r="J213" s="51" t="n"/>
      <c r="K213" s="51" t="n"/>
    </row>
    <row r="214">
      <c r="B214" s="51" t="n"/>
      <c r="C214" s="51" t="n"/>
      <c r="D214" s="51" t="n"/>
      <c r="E214" s="51" t="n"/>
      <c r="F214" s="51" t="n"/>
      <c r="G214" s="51" t="n"/>
      <c r="H214" s="51" t="n"/>
      <c r="I214" s="51" t="n"/>
      <c r="J214" s="51" t="n"/>
      <c r="K214" s="51" t="n"/>
    </row>
    <row r="215">
      <c r="B215" s="51" t="n"/>
      <c r="C215" s="51" t="n"/>
      <c r="D215" s="51" t="n"/>
      <c r="E215" s="51" t="n"/>
      <c r="F215" s="51" t="n"/>
      <c r="G215" s="51" t="n"/>
      <c r="H215" s="51" t="n"/>
      <c r="I215" s="51" t="n"/>
      <c r="J215" s="51" t="n"/>
      <c r="K215" s="51" t="n"/>
    </row>
    <row r="216">
      <c r="B216" s="51" t="n"/>
      <c r="C216" s="51" t="n"/>
      <c r="D216" s="51" t="n"/>
      <c r="E216" s="51" t="n"/>
      <c r="F216" s="51" t="n"/>
      <c r="G216" s="51" t="n"/>
      <c r="H216" s="51" t="n"/>
      <c r="I216" s="51" t="n"/>
      <c r="J216" s="51" t="n"/>
      <c r="K216" s="51" t="n"/>
    </row>
    <row r="217">
      <c r="B217" s="51" t="n"/>
      <c r="C217" s="51" t="n"/>
      <c r="D217" s="51" t="n"/>
      <c r="E217" s="51" t="n"/>
      <c r="F217" s="51" t="n"/>
      <c r="G217" s="51" t="n"/>
      <c r="H217" s="51" t="n"/>
      <c r="I217" s="51" t="n"/>
      <c r="J217" s="51" t="n"/>
      <c r="K217" s="51" t="n"/>
    </row>
    <row r="218">
      <c r="B218" s="51" t="n"/>
      <c r="C218" s="51" t="n"/>
      <c r="D218" s="51" t="n"/>
      <c r="E218" s="51" t="n"/>
      <c r="F218" s="51" t="n"/>
      <c r="G218" s="51" t="n"/>
      <c r="H218" s="51" t="n"/>
      <c r="I218" s="51" t="n"/>
      <c r="J218" s="51" t="n"/>
      <c r="K218" s="51" t="n"/>
    </row>
    <row r="219">
      <c r="B219" s="51" t="n"/>
      <c r="C219" s="51" t="n"/>
      <c r="D219" s="51" t="n"/>
      <c r="E219" s="51" t="n"/>
      <c r="F219" s="51" t="n"/>
      <c r="G219" s="51" t="n"/>
      <c r="H219" s="51" t="n"/>
      <c r="I219" s="51" t="n"/>
      <c r="J219" s="51" t="n"/>
      <c r="K219" s="51" t="n"/>
    </row>
    <row r="220">
      <c r="B220" s="51" t="n"/>
      <c r="C220" s="51" t="n"/>
      <c r="D220" s="51" t="n"/>
      <c r="E220" s="51" t="n"/>
      <c r="F220" s="51" t="n"/>
      <c r="G220" s="51" t="n"/>
      <c r="H220" s="51" t="n"/>
      <c r="I220" s="51" t="n"/>
      <c r="J220" s="51" t="n"/>
      <c r="K220" s="51" t="n"/>
    </row>
    <row r="221">
      <c r="B221" s="51" t="n"/>
      <c r="C221" s="51" t="n"/>
      <c r="D221" s="51" t="n"/>
      <c r="E221" s="51" t="n"/>
      <c r="F221" s="51" t="n"/>
      <c r="G221" s="51" t="n"/>
      <c r="H221" s="51" t="n"/>
      <c r="I221" s="51" t="n"/>
      <c r="J221" s="51" t="n"/>
      <c r="K221" s="51" t="n"/>
    </row>
    <row r="222">
      <c r="B222" s="51" t="n"/>
      <c r="C222" s="51" t="n"/>
      <c r="D222" s="51" t="n"/>
      <c r="E222" s="51" t="n"/>
      <c r="F222" s="51" t="n"/>
      <c r="G222" s="51" t="n"/>
      <c r="H222" s="51" t="n"/>
      <c r="I222" s="51" t="n"/>
      <c r="J222" s="51" t="n"/>
      <c r="K222" s="51" t="n"/>
    </row>
    <row r="223">
      <c r="B223" s="51" t="n"/>
      <c r="C223" s="51" t="n"/>
      <c r="D223" s="51" t="n"/>
      <c r="E223" s="51" t="n"/>
      <c r="F223" s="51" t="n"/>
      <c r="G223" s="51" t="n"/>
      <c r="H223" s="51" t="n"/>
      <c r="I223" s="51" t="n"/>
      <c r="J223" s="51" t="n"/>
      <c r="K223" s="51" t="n"/>
    </row>
    <row r="224">
      <c r="B224" s="51" t="n"/>
      <c r="C224" s="51" t="n"/>
      <c r="D224" s="51" t="n"/>
      <c r="E224" s="51" t="n"/>
      <c r="F224" s="51" t="n"/>
      <c r="G224" s="51" t="n"/>
      <c r="H224" s="51" t="n"/>
      <c r="I224" s="51" t="n"/>
      <c r="J224" s="51" t="n"/>
      <c r="K224" s="51" t="n"/>
    </row>
    <row r="225">
      <c r="B225" s="51" t="n"/>
      <c r="C225" s="51" t="n"/>
      <c r="D225" s="51" t="n"/>
      <c r="E225" s="51" t="n"/>
      <c r="F225" s="51" t="n"/>
      <c r="G225" s="51" t="n"/>
      <c r="H225" s="51" t="n"/>
      <c r="I225" s="51" t="n"/>
      <c r="J225" s="51" t="n"/>
      <c r="K225" s="51" t="n"/>
    </row>
    <row r="226">
      <c r="B226" s="51" t="n"/>
      <c r="C226" s="51" t="n"/>
      <c r="D226" s="51" t="n"/>
      <c r="E226" s="51" t="n"/>
      <c r="F226" s="51" t="n"/>
      <c r="G226" s="51" t="n"/>
      <c r="H226" s="51" t="n"/>
      <c r="I226" s="51" t="n"/>
      <c r="J226" s="51" t="n"/>
      <c r="K226" s="51" t="n"/>
    </row>
    <row r="227">
      <c r="B227" s="51" t="n"/>
      <c r="C227" s="51" t="n"/>
      <c r="D227" s="51" t="n"/>
      <c r="E227" s="51" t="n"/>
      <c r="F227" s="51" t="n"/>
      <c r="G227" s="51" t="n"/>
      <c r="H227" s="51" t="n"/>
      <c r="I227" s="51" t="n"/>
      <c r="J227" s="51" t="n"/>
      <c r="K227" s="51" t="n"/>
    </row>
    <row r="228">
      <c r="B228" s="51" t="n"/>
      <c r="C228" s="51" t="n"/>
      <c r="D228" s="51" t="n"/>
      <c r="E228" s="51" t="n"/>
      <c r="F228" s="51" t="n"/>
      <c r="G228" s="51" t="n"/>
      <c r="H228" s="51" t="n"/>
      <c r="I228" s="51" t="n"/>
      <c r="J228" s="51" t="n"/>
      <c r="K228" s="51" t="n"/>
    </row>
    <row r="229">
      <c r="B229" s="51" t="n"/>
      <c r="C229" s="51" t="n"/>
      <c r="D229" s="51" t="n"/>
      <c r="E229" s="51" t="n"/>
      <c r="F229" s="51" t="n"/>
      <c r="G229" s="51" t="n"/>
      <c r="H229" s="51" t="n"/>
      <c r="I229" s="51" t="n"/>
      <c r="J229" s="51" t="n"/>
      <c r="K229" s="51" t="n"/>
    </row>
    <row r="230">
      <c r="B230" s="51" t="n"/>
      <c r="C230" s="51" t="n"/>
      <c r="D230" s="51" t="n"/>
      <c r="E230" s="51" t="n"/>
      <c r="F230" s="51" t="n"/>
      <c r="G230" s="51" t="n"/>
      <c r="H230" s="51" t="n"/>
      <c r="I230" s="51" t="n"/>
      <c r="J230" s="51" t="n"/>
      <c r="K230" s="51" t="n"/>
    </row>
    <row r="231">
      <c r="B231" s="51" t="n"/>
      <c r="C231" s="51" t="n"/>
      <c r="D231" s="51" t="n"/>
      <c r="E231" s="51" t="n"/>
      <c r="F231" s="51" t="n"/>
      <c r="G231" s="51" t="n"/>
      <c r="H231" s="51" t="n"/>
      <c r="I231" s="51" t="n"/>
      <c r="J231" s="51" t="n"/>
      <c r="K231" s="51" t="n"/>
    </row>
    <row r="232">
      <c r="B232" s="51" t="n"/>
      <c r="C232" s="51" t="n"/>
      <c r="D232" s="51" t="n"/>
      <c r="E232" s="51" t="n"/>
      <c r="F232" s="51" t="n"/>
      <c r="G232" s="51" t="n"/>
      <c r="H232" s="51" t="n"/>
      <c r="I232" s="51" t="n"/>
      <c r="J232" s="51" t="n"/>
      <c r="K232" s="51" t="n"/>
    </row>
    <row r="233">
      <c r="B233" s="51" t="n"/>
      <c r="C233" s="51" t="n"/>
      <c r="D233" s="51" t="n"/>
      <c r="E233" s="51" t="n"/>
      <c r="F233" s="51" t="n"/>
      <c r="G233" s="51" t="n"/>
      <c r="H233" s="51" t="n"/>
      <c r="I233" s="51" t="n"/>
      <c r="J233" s="51" t="n"/>
      <c r="K233" s="51" t="n"/>
    </row>
    <row r="234">
      <c r="B234" s="51" t="n"/>
      <c r="C234" s="51" t="n"/>
      <c r="D234" s="51" t="n"/>
      <c r="E234" s="51" t="n"/>
      <c r="F234" s="51" t="n"/>
      <c r="G234" s="51" t="n"/>
      <c r="H234" s="51" t="n"/>
      <c r="I234" s="51" t="n"/>
      <c r="J234" s="51" t="n"/>
      <c r="K234" s="51" t="n"/>
    </row>
    <row r="235">
      <c r="B235" s="51" t="n"/>
      <c r="C235" s="51" t="n"/>
      <c r="D235" s="51" t="n"/>
      <c r="E235" s="51" t="n"/>
      <c r="F235" s="51" t="n"/>
      <c r="G235" s="51" t="n"/>
      <c r="H235" s="51" t="n"/>
      <c r="I235" s="51" t="n"/>
      <c r="J235" s="51" t="n"/>
      <c r="K235" s="51" t="n"/>
    </row>
    <row r="236">
      <c r="B236" s="51" t="n"/>
      <c r="C236" s="51" t="n"/>
      <c r="D236" s="51" t="n"/>
      <c r="E236" s="51" t="n"/>
      <c r="F236" s="51" t="n"/>
      <c r="G236" s="51" t="n"/>
      <c r="H236" s="51" t="n"/>
      <c r="I236" s="51" t="n"/>
      <c r="J236" s="51" t="n"/>
      <c r="K236" s="51" t="n"/>
    </row>
    <row r="237">
      <c r="B237" s="51" t="n"/>
      <c r="C237" s="51" t="n"/>
      <c r="D237" s="51" t="n"/>
      <c r="E237" s="51" t="n"/>
      <c r="F237" s="51" t="n"/>
      <c r="G237" s="51" t="n"/>
      <c r="H237" s="51" t="n"/>
      <c r="I237" s="51" t="n"/>
      <c r="J237" s="51" t="n"/>
      <c r="K237" s="51" t="n"/>
    </row>
    <row r="238">
      <c r="B238" s="51" t="n"/>
      <c r="C238" s="51" t="n"/>
      <c r="D238" s="51" t="n"/>
      <c r="E238" s="51" t="n"/>
      <c r="F238" s="51" t="n"/>
      <c r="G238" s="51" t="n"/>
      <c r="H238" s="51" t="n"/>
      <c r="I238" s="51" t="n"/>
      <c r="J238" s="51" t="n"/>
      <c r="K238" s="51" t="n"/>
    </row>
    <row r="239">
      <c r="B239" s="51" t="n"/>
      <c r="C239" s="51" t="n"/>
      <c r="D239" s="51" t="n"/>
      <c r="E239" s="51" t="n"/>
      <c r="F239" s="51" t="n"/>
      <c r="G239" s="51" t="n"/>
      <c r="H239" s="51" t="n"/>
      <c r="I239" s="51" t="n"/>
      <c r="J239" s="51" t="n"/>
      <c r="K239" s="51" t="n"/>
    </row>
    <row r="240">
      <c r="B240" s="51" t="n"/>
      <c r="C240" s="51" t="n"/>
      <c r="D240" s="51" t="n"/>
      <c r="E240" s="51" t="n"/>
      <c r="F240" s="51" t="n"/>
      <c r="G240" s="51" t="n"/>
      <c r="H240" s="51" t="n"/>
      <c r="I240" s="51" t="n"/>
      <c r="J240" s="51" t="n"/>
      <c r="K240" s="51" t="n"/>
    </row>
    <row r="241">
      <c r="B241" s="51" t="n"/>
      <c r="C241" s="51" t="n"/>
      <c r="D241" s="51" t="n"/>
      <c r="E241" s="51" t="n"/>
      <c r="F241" s="51" t="n"/>
      <c r="G241" s="51" t="n"/>
      <c r="H241" s="51" t="n"/>
      <c r="I241" s="51" t="n"/>
      <c r="J241" s="51" t="n"/>
      <c r="K241" s="51" t="n"/>
    </row>
    <row r="242">
      <c r="B242" s="51" t="n"/>
      <c r="C242" s="51" t="n"/>
      <c r="D242" s="51" t="n"/>
      <c r="E242" s="51" t="n"/>
      <c r="F242" s="51" t="n"/>
      <c r="G242" s="51" t="n"/>
      <c r="H242" s="51" t="n"/>
      <c r="I242" s="51" t="n"/>
      <c r="J242" s="51" t="n"/>
      <c r="K242" s="51" t="n"/>
    </row>
    <row r="243">
      <c r="B243" s="51" t="n"/>
      <c r="C243" s="51" t="n"/>
      <c r="D243" s="51" t="n"/>
      <c r="E243" s="51" t="n"/>
      <c r="F243" s="51" t="n"/>
      <c r="G243" s="51" t="n"/>
      <c r="H243" s="51" t="n"/>
      <c r="I243" s="51" t="n"/>
      <c r="J243" s="51" t="n"/>
      <c r="K243" s="51" t="n"/>
    </row>
    <row r="244">
      <c r="B244" s="51" t="n"/>
      <c r="C244" s="51" t="n"/>
      <c r="D244" s="51" t="n"/>
      <c r="E244" s="51" t="n"/>
      <c r="F244" s="51" t="n"/>
      <c r="G244" s="51" t="n"/>
      <c r="H244" s="51" t="n"/>
      <c r="I244" s="51" t="n"/>
      <c r="J244" s="51" t="n"/>
      <c r="K244" s="51" t="n"/>
    </row>
    <row r="245">
      <c r="B245" s="51" t="n"/>
      <c r="C245" s="51" t="n"/>
      <c r="D245" s="51" t="n"/>
      <c r="E245" s="51" t="n"/>
      <c r="F245" s="51" t="n"/>
      <c r="G245" s="51" t="n"/>
      <c r="H245" s="51" t="n"/>
      <c r="I245" s="51" t="n"/>
      <c r="J245" s="51" t="n"/>
      <c r="K245" s="51" t="n"/>
    </row>
    <row r="246">
      <c r="B246" s="51" t="n"/>
      <c r="C246" s="51" t="n"/>
      <c r="D246" s="51" t="n"/>
      <c r="E246" s="51" t="n"/>
      <c r="F246" s="51" t="n"/>
      <c r="G246" s="51" t="n"/>
      <c r="H246" s="51" t="n"/>
      <c r="I246" s="51" t="n"/>
      <c r="J246" s="51" t="n"/>
      <c r="K246" s="51" t="n"/>
    </row>
    <row r="247">
      <c r="B247" s="51" t="n"/>
      <c r="C247" s="51" t="n"/>
      <c r="D247" s="51" t="n"/>
      <c r="E247" s="51" t="n"/>
      <c r="F247" s="51" t="n"/>
      <c r="G247" s="51" t="n"/>
      <c r="H247" s="51" t="n"/>
      <c r="I247" s="51" t="n"/>
      <c r="J247" s="51" t="n"/>
      <c r="K247" s="51" t="n"/>
    </row>
    <row r="248">
      <c r="B248" s="51" t="n"/>
      <c r="C248" s="51" t="n"/>
      <c r="D248" s="51" t="n"/>
      <c r="E248" s="51" t="n"/>
      <c r="F248" s="51" t="n"/>
      <c r="G248" s="51" t="n"/>
      <c r="H248" s="51" t="n"/>
      <c r="I248" s="51" t="n"/>
      <c r="J248" s="51" t="n"/>
      <c r="K248" s="51" t="n"/>
    </row>
    <row r="249">
      <c r="B249" s="51" t="n"/>
      <c r="C249" s="51" t="n"/>
      <c r="D249" s="51" t="n"/>
      <c r="E249" s="51" t="n"/>
      <c r="F249" s="51" t="n"/>
      <c r="G249" s="51" t="n"/>
      <c r="H249" s="51" t="n"/>
      <c r="I249" s="51" t="n"/>
      <c r="J249" s="51" t="n"/>
      <c r="K249" s="51" t="n"/>
    </row>
    <row r="250">
      <c r="B250" s="51" t="n"/>
      <c r="C250" s="51" t="n"/>
      <c r="D250" s="51" t="n"/>
      <c r="E250" s="51" t="n"/>
      <c r="F250" s="51" t="n"/>
      <c r="G250" s="51" t="n"/>
      <c r="H250" s="51" t="n"/>
      <c r="I250" s="51" t="n"/>
      <c r="J250" s="51" t="n"/>
      <c r="K250" s="51" t="n"/>
    </row>
    <row r="251">
      <c r="B251" s="51" t="n"/>
      <c r="C251" s="51" t="n"/>
      <c r="D251" s="51" t="n"/>
      <c r="E251" s="51" t="n"/>
      <c r="F251" s="51" t="n"/>
      <c r="G251" s="51" t="n"/>
      <c r="H251" s="51" t="n"/>
      <c r="I251" s="51" t="n"/>
      <c r="J251" s="51" t="n"/>
      <c r="K251" s="51" t="n"/>
    </row>
    <row r="252">
      <c r="B252" s="51" t="n"/>
      <c r="C252" s="51" t="n"/>
      <c r="D252" s="51" t="n"/>
      <c r="E252" s="51" t="n"/>
      <c r="F252" s="51" t="n"/>
      <c r="G252" s="51" t="n"/>
      <c r="H252" s="51" t="n"/>
      <c r="I252" s="51" t="n"/>
      <c r="J252" s="51" t="n"/>
      <c r="K252" s="51" t="n"/>
    </row>
    <row r="253">
      <c r="B253" s="51" t="n"/>
      <c r="C253" s="51" t="n"/>
      <c r="D253" s="51" t="n"/>
      <c r="E253" s="51" t="n"/>
      <c r="F253" s="51" t="n"/>
      <c r="G253" s="51" t="n"/>
      <c r="H253" s="51" t="n"/>
      <c r="I253" s="51" t="n"/>
      <c r="J253" s="51" t="n"/>
      <c r="K253" s="51" t="n"/>
    </row>
    <row r="254">
      <c r="B254" s="51" t="n"/>
      <c r="C254" s="51" t="n"/>
      <c r="D254" s="51" t="n"/>
      <c r="E254" s="51" t="n"/>
      <c r="F254" s="51" t="n"/>
      <c r="G254" s="51" t="n"/>
      <c r="H254" s="51" t="n"/>
      <c r="I254" s="51" t="n"/>
      <c r="J254" s="51" t="n"/>
      <c r="K254" s="51" t="n"/>
    </row>
    <row r="255">
      <c r="B255" s="51" t="n"/>
      <c r="C255" s="51" t="n"/>
      <c r="D255" s="51" t="n"/>
      <c r="E255" s="51" t="n"/>
      <c r="F255" s="51" t="n"/>
      <c r="G255" s="51" t="n"/>
      <c r="H255" s="51" t="n"/>
      <c r="I255" s="51" t="n"/>
      <c r="J255" s="51" t="n"/>
      <c r="K255" s="51" t="n"/>
    </row>
    <row r="256">
      <c r="B256" s="51" t="n"/>
      <c r="C256" s="51" t="n"/>
      <c r="D256" s="51" t="n"/>
      <c r="E256" s="51" t="n"/>
      <c r="F256" s="51" t="n"/>
      <c r="G256" s="51" t="n"/>
      <c r="H256" s="51" t="n"/>
      <c r="I256" s="51" t="n"/>
      <c r="J256" s="51" t="n"/>
      <c r="K256" s="51" t="n"/>
    </row>
    <row r="257">
      <c r="B257" s="51" t="n"/>
      <c r="C257" s="51" t="n"/>
      <c r="D257" s="51" t="n"/>
      <c r="E257" s="51" t="n"/>
      <c r="F257" s="51" t="n"/>
      <c r="G257" s="51" t="n"/>
      <c r="H257" s="51" t="n"/>
      <c r="I257" s="51" t="n"/>
      <c r="J257" s="51" t="n"/>
      <c r="K257" s="51" t="n"/>
    </row>
    <row r="258">
      <c r="B258" s="51" t="n"/>
      <c r="C258" s="51" t="n"/>
      <c r="D258" s="51" t="n"/>
      <c r="E258" s="51" t="n"/>
      <c r="F258" s="51" t="n"/>
      <c r="G258" s="51" t="n"/>
      <c r="H258" s="51" t="n"/>
      <c r="I258" s="51" t="n"/>
      <c r="J258" s="51" t="n"/>
      <c r="K258" s="51" t="n"/>
    </row>
    <row r="259">
      <c r="B259" s="51" t="n"/>
      <c r="C259" s="51" t="n"/>
      <c r="D259" s="51" t="n"/>
      <c r="E259" s="51" t="n"/>
      <c r="F259" s="51" t="n"/>
      <c r="G259" s="51" t="n"/>
      <c r="H259" s="51" t="n"/>
      <c r="I259" s="51" t="n"/>
      <c r="J259" s="51" t="n"/>
      <c r="K259" s="51" t="n"/>
    </row>
    <row r="260">
      <c r="B260" s="51" t="n"/>
      <c r="C260" s="51" t="n"/>
      <c r="D260" s="51" t="n"/>
      <c r="E260" s="51" t="n"/>
      <c r="F260" s="51" t="n"/>
      <c r="G260" s="51" t="n"/>
      <c r="H260" s="51" t="n"/>
      <c r="I260" s="51" t="n"/>
      <c r="J260" s="51" t="n"/>
      <c r="K260" s="51" t="n"/>
    </row>
    <row r="261">
      <c r="B261" s="51" t="n"/>
      <c r="C261" s="51" t="n"/>
      <c r="D261" s="51" t="n"/>
      <c r="E261" s="51" t="n"/>
      <c r="F261" s="51" t="n"/>
      <c r="G261" s="51" t="n"/>
      <c r="H261" s="51" t="n"/>
      <c r="I261" s="51" t="n"/>
      <c r="J261" s="51" t="n"/>
      <c r="K261" s="51" t="n"/>
    </row>
    <row r="262">
      <c r="B262" s="51" t="n"/>
      <c r="C262" s="51" t="n"/>
      <c r="D262" s="51" t="n"/>
      <c r="E262" s="51" t="n"/>
      <c r="F262" s="51" t="n"/>
      <c r="G262" s="51" t="n"/>
      <c r="H262" s="51" t="n"/>
      <c r="I262" s="51" t="n"/>
      <c r="J262" s="51" t="n"/>
      <c r="K262" s="51" t="n"/>
    </row>
    <row r="263">
      <c r="B263" s="51" t="n"/>
      <c r="C263" s="51" t="n"/>
      <c r="D263" s="51" t="n"/>
      <c r="E263" s="51" t="n"/>
      <c r="F263" s="51" t="n"/>
      <c r="G263" s="51" t="n"/>
      <c r="H263" s="51" t="n"/>
      <c r="I263" s="51" t="n"/>
      <c r="J263" s="51" t="n"/>
      <c r="K263" s="51" t="n"/>
    </row>
    <row r="264">
      <c r="B264" s="51" t="n"/>
      <c r="C264" s="51" t="n"/>
      <c r="D264" s="51" t="n"/>
      <c r="E264" s="51" t="n"/>
      <c r="F264" s="51" t="n"/>
      <c r="G264" s="51" t="n"/>
      <c r="H264" s="51" t="n"/>
      <c r="I264" s="51" t="n"/>
      <c r="J264" s="51" t="n"/>
      <c r="K264" s="51" t="n"/>
    </row>
    <row r="265">
      <c r="B265" s="51" t="n"/>
      <c r="C265" s="51" t="n"/>
      <c r="D265" s="51" t="n"/>
      <c r="E265" s="51" t="n"/>
      <c r="F265" s="51" t="n"/>
      <c r="G265" s="51" t="n"/>
      <c r="H265" s="51" t="n"/>
      <c r="I265" s="51" t="n"/>
      <c r="J265" s="51" t="n"/>
      <c r="K265" s="51" t="n"/>
    </row>
    <row r="266">
      <c r="B266" s="51" t="n"/>
      <c r="C266" s="51" t="n"/>
      <c r="D266" s="51" t="n"/>
      <c r="E266" s="51" t="n"/>
      <c r="F266" s="51" t="n"/>
      <c r="G266" s="51" t="n"/>
      <c r="H266" s="51" t="n"/>
      <c r="I266" s="51" t="n"/>
      <c r="J266" s="51" t="n"/>
      <c r="K266" s="51" t="n"/>
    </row>
    <row r="267">
      <c r="B267" s="51" t="n"/>
      <c r="C267" s="51" t="n"/>
      <c r="D267" s="51" t="n"/>
      <c r="E267" s="51" t="n"/>
      <c r="F267" s="51" t="n"/>
      <c r="G267" s="51" t="n"/>
      <c r="H267" s="51" t="n"/>
      <c r="I267" s="51" t="n"/>
      <c r="J267" s="51" t="n"/>
      <c r="K267" s="51" t="n"/>
    </row>
    <row r="268">
      <c r="B268" s="51" t="n"/>
      <c r="C268" s="51" t="n"/>
      <c r="D268" s="51" t="n"/>
      <c r="E268" s="51" t="n"/>
      <c r="F268" s="51" t="n"/>
      <c r="G268" s="51" t="n"/>
      <c r="H268" s="51" t="n"/>
      <c r="I268" s="51" t="n"/>
      <c r="J268" s="51" t="n"/>
      <c r="K268" s="51" t="n"/>
    </row>
    <row r="269">
      <c r="B269" s="51" t="n"/>
      <c r="C269" s="51" t="n"/>
      <c r="D269" s="51" t="n"/>
      <c r="E269" s="51" t="n"/>
      <c r="F269" s="51" t="n"/>
      <c r="G269" s="51" t="n"/>
      <c r="H269" s="51" t="n"/>
      <c r="I269" s="51" t="n"/>
      <c r="J269" s="51" t="n"/>
      <c r="K269" s="51" t="n"/>
    </row>
    <row r="270">
      <c r="B270" s="51" t="n"/>
      <c r="C270" s="51" t="n"/>
      <c r="D270" s="51" t="n"/>
      <c r="E270" s="51" t="n"/>
      <c r="F270" s="51" t="n"/>
      <c r="G270" s="51" t="n"/>
      <c r="H270" s="51" t="n"/>
      <c r="I270" s="51" t="n"/>
      <c r="J270" s="51" t="n"/>
      <c r="K270" s="51" t="n"/>
    </row>
    <row r="271">
      <c r="B271" s="51" t="n"/>
      <c r="C271" s="51" t="n"/>
      <c r="D271" s="51" t="n"/>
      <c r="E271" s="51" t="n"/>
      <c r="F271" s="51" t="n"/>
      <c r="G271" s="51" t="n"/>
      <c r="H271" s="51" t="n"/>
      <c r="I271" s="51" t="n"/>
      <c r="J271" s="51" t="n"/>
      <c r="K271" s="51" t="n"/>
    </row>
    <row r="272">
      <c r="B272" s="51" t="n"/>
      <c r="C272" s="51" t="n"/>
      <c r="D272" s="51" t="n"/>
      <c r="E272" s="51" t="n"/>
      <c r="F272" s="51" t="n"/>
      <c r="G272" s="51" t="n"/>
      <c r="H272" s="51" t="n"/>
      <c r="I272" s="51" t="n"/>
      <c r="J272" s="51" t="n"/>
      <c r="K272" s="51" t="n"/>
    </row>
    <row r="273">
      <c r="B273" s="51" t="n"/>
      <c r="C273" s="51" t="n"/>
      <c r="D273" s="51" t="n"/>
      <c r="E273" s="51" t="n"/>
      <c r="F273" s="51" t="n"/>
      <c r="G273" s="51" t="n"/>
      <c r="H273" s="51" t="n"/>
      <c r="I273" s="51" t="n"/>
      <c r="J273" s="51" t="n"/>
      <c r="K273" s="51" t="n"/>
    </row>
    <row r="274">
      <c r="B274" s="51" t="n"/>
      <c r="C274" s="51" t="n"/>
      <c r="D274" s="51" t="n"/>
      <c r="E274" s="51" t="n"/>
      <c r="F274" s="51" t="n"/>
      <c r="G274" s="51" t="n"/>
      <c r="H274" s="51" t="n"/>
      <c r="I274" s="51" t="n"/>
      <c r="J274" s="51" t="n"/>
      <c r="K274" s="51" t="n"/>
    </row>
    <row r="275">
      <c r="B275" s="51" t="n"/>
      <c r="C275" s="51" t="n"/>
      <c r="D275" s="51" t="n"/>
      <c r="E275" s="51" t="n"/>
      <c r="F275" s="51" t="n"/>
      <c r="G275" s="51" t="n"/>
      <c r="H275" s="51" t="n"/>
      <c r="I275" s="51" t="n"/>
      <c r="J275" s="51" t="n"/>
      <c r="K275" s="51" t="n"/>
    </row>
    <row r="276">
      <c r="B276" s="51" t="n"/>
      <c r="C276" s="51" t="n"/>
      <c r="D276" s="51" t="n"/>
      <c r="E276" s="51" t="n"/>
      <c r="F276" s="51" t="n"/>
      <c r="G276" s="51" t="n"/>
      <c r="H276" s="51" t="n"/>
      <c r="I276" s="51" t="n"/>
      <c r="J276" s="51" t="n"/>
      <c r="K276" s="51" t="n"/>
    </row>
    <row r="277">
      <c r="B277" s="51" t="n"/>
      <c r="C277" s="51" t="n"/>
      <c r="D277" s="51" t="n"/>
      <c r="E277" s="51" t="n"/>
      <c r="F277" s="51" t="n"/>
      <c r="G277" s="51" t="n"/>
      <c r="H277" s="51" t="n"/>
      <c r="I277" s="51" t="n"/>
      <c r="J277" s="51" t="n"/>
      <c r="K277" s="51" t="n"/>
    </row>
    <row r="278">
      <c r="B278" s="51" t="n"/>
      <c r="C278" s="51" t="n"/>
      <c r="D278" s="51" t="n"/>
      <c r="E278" s="51" t="n"/>
      <c r="F278" s="51" t="n"/>
      <c r="G278" s="51" t="n"/>
      <c r="H278" s="51" t="n"/>
      <c r="I278" s="51" t="n"/>
      <c r="J278" s="51" t="n"/>
      <c r="K278" s="51" t="n"/>
    </row>
    <row r="279">
      <c r="B279" s="51" t="n"/>
      <c r="C279" s="51" t="n"/>
      <c r="D279" s="51" t="n"/>
      <c r="E279" s="51" t="n"/>
      <c r="F279" s="51" t="n"/>
      <c r="G279" s="51" t="n"/>
      <c r="H279" s="51" t="n"/>
      <c r="I279" s="51" t="n"/>
      <c r="J279" s="51" t="n"/>
      <c r="K279" s="51" t="n"/>
    </row>
    <row r="280">
      <c r="B280" s="51" t="n"/>
      <c r="C280" s="51" t="n"/>
      <c r="D280" s="51" t="n"/>
      <c r="E280" s="51" t="n"/>
      <c r="F280" s="51" t="n"/>
      <c r="G280" s="51" t="n"/>
      <c r="H280" s="51" t="n"/>
      <c r="I280" s="51" t="n"/>
      <c r="J280" s="51" t="n"/>
      <c r="K280" s="51" t="n"/>
    </row>
    <row r="281">
      <c r="B281" s="51" t="n"/>
      <c r="C281" s="51" t="n"/>
      <c r="D281" s="51" t="n"/>
      <c r="E281" s="51" t="n"/>
      <c r="F281" s="51" t="n"/>
      <c r="G281" s="51" t="n"/>
      <c r="H281" s="51" t="n"/>
      <c r="I281" s="51" t="n"/>
      <c r="J281" s="51" t="n"/>
      <c r="K281" s="51" t="n"/>
    </row>
    <row r="282">
      <c r="B282" s="51" t="n"/>
      <c r="C282" s="51" t="n"/>
      <c r="D282" s="51" t="n"/>
      <c r="E282" s="51" t="n"/>
      <c r="F282" s="51" t="n"/>
      <c r="G282" s="51" t="n"/>
      <c r="H282" s="51" t="n"/>
      <c r="I282" s="51" t="n"/>
      <c r="J282" s="51" t="n"/>
      <c r="K282" s="51" t="n"/>
    </row>
    <row r="283">
      <c r="B283" s="51" t="n"/>
      <c r="C283" s="51" t="n"/>
      <c r="D283" s="51" t="n"/>
      <c r="E283" s="51" t="n"/>
      <c r="F283" s="51" t="n"/>
      <c r="G283" s="51" t="n"/>
      <c r="H283" s="51" t="n"/>
      <c r="I283" s="51" t="n"/>
      <c r="J283" s="51" t="n"/>
      <c r="K283" s="51" t="n"/>
    </row>
    <row r="284">
      <c r="B284" s="51" t="n"/>
      <c r="C284" s="51" t="n"/>
      <c r="D284" s="51" t="n"/>
      <c r="E284" s="51" t="n"/>
      <c r="F284" s="51" t="n"/>
      <c r="G284" s="51" t="n"/>
      <c r="H284" s="51" t="n"/>
      <c r="I284" s="51" t="n"/>
      <c r="J284" s="51" t="n"/>
      <c r="K284" s="51" t="n"/>
    </row>
    <row r="285">
      <c r="B285" s="51" t="n"/>
      <c r="C285" s="51" t="n"/>
      <c r="D285" s="51" t="n"/>
      <c r="E285" s="51" t="n"/>
      <c r="F285" s="51" t="n"/>
      <c r="G285" s="51" t="n"/>
      <c r="H285" s="51" t="n"/>
      <c r="I285" s="51" t="n"/>
      <c r="J285" s="51" t="n"/>
      <c r="K285" s="51" t="n"/>
    </row>
    <row r="286">
      <c r="B286" s="51" t="n"/>
      <c r="C286" s="51" t="n"/>
      <c r="D286" s="51" t="n"/>
      <c r="E286" s="51" t="n"/>
      <c r="F286" s="51" t="n"/>
      <c r="G286" s="51" t="n"/>
      <c r="H286" s="51" t="n"/>
      <c r="I286" s="51" t="n"/>
      <c r="J286" s="51" t="n"/>
      <c r="K286" s="51" t="n"/>
    </row>
    <row r="287">
      <c r="B287" s="51" t="n"/>
      <c r="C287" s="51" t="n"/>
      <c r="D287" s="51" t="n"/>
      <c r="E287" s="51" t="n"/>
      <c r="F287" s="51" t="n"/>
      <c r="G287" s="51" t="n"/>
      <c r="H287" s="51" t="n"/>
      <c r="I287" s="51" t="n"/>
      <c r="J287" s="51" t="n"/>
      <c r="K287" s="51" t="n"/>
    </row>
    <row r="288">
      <c r="B288" s="51" t="n"/>
      <c r="C288" s="51" t="n"/>
      <c r="D288" s="51" t="n"/>
      <c r="E288" s="51" t="n"/>
      <c r="F288" s="51" t="n"/>
      <c r="G288" s="51" t="n"/>
      <c r="H288" s="51" t="n"/>
      <c r="I288" s="51" t="n"/>
      <c r="J288" s="51" t="n"/>
      <c r="K288" s="51" t="n"/>
    </row>
    <row r="289">
      <c r="B289" s="51" t="n"/>
      <c r="C289" s="51" t="n"/>
      <c r="D289" s="51" t="n"/>
      <c r="E289" s="51" t="n"/>
      <c r="F289" s="51" t="n"/>
      <c r="G289" s="51" t="n"/>
      <c r="H289" s="51" t="n"/>
      <c r="I289" s="51" t="n"/>
      <c r="J289" s="51" t="n"/>
      <c r="K289" s="51" t="n"/>
    </row>
    <row r="290">
      <c r="B290" s="51" t="n"/>
      <c r="C290" s="51" t="n"/>
      <c r="D290" s="51" t="n"/>
      <c r="E290" s="51" t="n"/>
      <c r="F290" s="51" t="n"/>
      <c r="G290" s="51" t="n"/>
      <c r="H290" s="51" t="n"/>
      <c r="I290" s="51" t="n"/>
      <c r="J290" s="51" t="n"/>
      <c r="K290" s="51" t="n"/>
    </row>
    <row r="291">
      <c r="B291" s="51" t="n"/>
      <c r="C291" s="51" t="n"/>
      <c r="D291" s="51" t="n"/>
      <c r="E291" s="51" t="n"/>
      <c r="F291" s="51" t="n"/>
      <c r="G291" s="51" t="n"/>
      <c r="H291" s="51" t="n"/>
      <c r="I291" s="51" t="n"/>
      <c r="J291" s="51" t="n"/>
      <c r="K291" s="51" t="n"/>
    </row>
    <row r="292">
      <c r="B292" s="51" t="n"/>
      <c r="C292" s="51" t="n"/>
      <c r="D292" s="51" t="n"/>
      <c r="E292" s="51" t="n"/>
      <c r="F292" s="51" t="n"/>
      <c r="G292" s="51" t="n"/>
      <c r="H292" s="51" t="n"/>
      <c r="I292" s="51" t="n"/>
      <c r="J292" s="51" t="n"/>
      <c r="K292" s="51" t="n"/>
    </row>
    <row r="293">
      <c r="B293" s="51" t="n"/>
      <c r="C293" s="51" t="n"/>
      <c r="D293" s="51" t="n"/>
      <c r="E293" s="51" t="n"/>
      <c r="F293" s="51" t="n"/>
      <c r="G293" s="51" t="n"/>
      <c r="H293" s="51" t="n"/>
      <c r="I293" s="51" t="n"/>
      <c r="J293" s="51" t="n"/>
      <c r="K293" s="51" t="n"/>
    </row>
    <row r="294">
      <c r="B294" s="51" t="n"/>
      <c r="C294" s="51" t="n"/>
      <c r="D294" s="51" t="n"/>
      <c r="E294" s="51" t="n"/>
      <c r="F294" s="51" t="n"/>
      <c r="G294" s="51" t="n"/>
      <c r="H294" s="51" t="n"/>
      <c r="I294" s="51" t="n"/>
      <c r="J294" s="51" t="n"/>
      <c r="K294" s="51" t="n"/>
    </row>
    <row r="295">
      <c r="B295" s="51" t="n"/>
      <c r="C295" s="51" t="n"/>
      <c r="D295" s="51" t="n"/>
      <c r="E295" s="51" t="n"/>
      <c r="F295" s="51" t="n"/>
      <c r="G295" s="51" t="n"/>
      <c r="H295" s="51" t="n"/>
      <c r="I295" s="51" t="n"/>
      <c r="J295" s="51" t="n"/>
      <c r="K295" s="51" t="n"/>
    </row>
    <row r="296">
      <c r="B296" s="51" t="n"/>
      <c r="C296" s="51" t="n"/>
      <c r="D296" s="51" t="n"/>
      <c r="E296" s="51" t="n"/>
      <c r="F296" s="51" t="n"/>
      <c r="G296" s="51" t="n"/>
      <c r="H296" s="51" t="n"/>
      <c r="I296" s="51" t="n"/>
      <c r="J296" s="51" t="n"/>
      <c r="K296" s="51" t="n"/>
    </row>
    <row r="297">
      <c r="B297" s="51" t="n"/>
      <c r="C297" s="51" t="n"/>
      <c r="D297" s="51" t="n"/>
      <c r="E297" s="51" t="n"/>
      <c r="F297" s="51" t="n"/>
      <c r="G297" s="51" t="n"/>
      <c r="H297" s="51" t="n"/>
      <c r="I297" s="51" t="n"/>
      <c r="J297" s="51" t="n"/>
      <c r="K297" s="51" t="n"/>
    </row>
    <row r="298">
      <c r="B298" s="51" t="n"/>
      <c r="C298" s="51" t="n"/>
      <c r="D298" s="51" t="n"/>
      <c r="E298" s="51" t="n"/>
      <c r="F298" s="51" t="n"/>
      <c r="G298" s="51" t="n"/>
      <c r="H298" s="51" t="n"/>
      <c r="I298" s="51" t="n"/>
      <c r="J298" s="51" t="n"/>
      <c r="K298" s="51" t="n"/>
    </row>
    <row r="299">
      <c r="B299" s="51" t="n"/>
      <c r="C299" s="51" t="n"/>
      <c r="D299" s="51" t="n"/>
      <c r="E299" s="51" t="n"/>
      <c r="F299" s="51" t="n"/>
      <c r="G299" s="51" t="n"/>
      <c r="H299" s="51" t="n"/>
      <c r="I299" s="51" t="n"/>
      <c r="J299" s="51" t="n"/>
      <c r="K299" s="51" t="n"/>
    </row>
    <row r="300">
      <c r="B300" s="51" t="n"/>
      <c r="C300" s="51" t="n"/>
      <c r="D300" s="51" t="n"/>
      <c r="E300" s="51" t="n"/>
      <c r="F300" s="51" t="n"/>
      <c r="G300" s="51" t="n"/>
      <c r="H300" s="51" t="n"/>
      <c r="I300" s="51" t="n"/>
      <c r="J300" s="51" t="n"/>
      <c r="K300" s="51" t="n"/>
    </row>
    <row r="301">
      <c r="B301" s="51" t="n"/>
      <c r="C301" s="51" t="n"/>
      <c r="D301" s="51" t="n"/>
      <c r="E301" s="51" t="n"/>
      <c r="F301" s="51" t="n"/>
      <c r="G301" s="51" t="n"/>
      <c r="H301" s="51" t="n"/>
      <c r="I301" s="51" t="n"/>
      <c r="J301" s="51" t="n"/>
      <c r="K301" s="51" t="n"/>
    </row>
    <row r="302">
      <c r="B302" s="51" t="n"/>
      <c r="C302" s="51" t="n"/>
      <c r="D302" s="51" t="n"/>
      <c r="E302" s="51" t="n"/>
      <c r="F302" s="51" t="n"/>
      <c r="G302" s="51" t="n"/>
      <c r="H302" s="51" t="n"/>
      <c r="I302" s="51" t="n"/>
      <c r="J302" s="51" t="n"/>
      <c r="K302" s="51" t="n"/>
    </row>
    <row r="303">
      <c r="B303" s="51" t="n"/>
      <c r="C303" s="51" t="n"/>
      <c r="D303" s="51" t="n"/>
      <c r="E303" s="51" t="n"/>
      <c r="F303" s="51" t="n"/>
      <c r="G303" s="51" t="n"/>
      <c r="H303" s="51" t="n"/>
      <c r="I303" s="51" t="n"/>
      <c r="J303" s="51" t="n"/>
      <c r="K303" s="51" t="n"/>
    </row>
    <row r="304">
      <c r="B304" s="51" t="n"/>
      <c r="C304" s="51" t="n"/>
      <c r="D304" s="51" t="n"/>
      <c r="E304" s="51" t="n"/>
      <c r="F304" s="51" t="n"/>
      <c r="G304" s="51" t="n"/>
      <c r="H304" s="51" t="n"/>
      <c r="I304" s="51" t="n"/>
      <c r="J304" s="51" t="n"/>
      <c r="K304" s="51" t="n"/>
    </row>
    <row r="305">
      <c r="B305" s="51" t="n"/>
      <c r="C305" s="51" t="n"/>
      <c r="D305" s="51" t="n"/>
      <c r="E305" s="51" t="n"/>
      <c r="F305" s="51" t="n"/>
      <c r="G305" s="51" t="n"/>
      <c r="H305" s="51" t="n"/>
      <c r="I305" s="51" t="n"/>
      <c r="J305" s="51" t="n"/>
      <c r="K305" s="51" t="n"/>
    </row>
    <row r="306">
      <c r="B306" s="51" t="n"/>
      <c r="C306" s="51" t="n"/>
      <c r="D306" s="51" t="n"/>
      <c r="E306" s="51" t="n"/>
      <c r="F306" s="51" t="n"/>
      <c r="G306" s="51" t="n"/>
      <c r="H306" s="51" t="n"/>
      <c r="I306" s="51" t="n"/>
      <c r="J306" s="51" t="n"/>
      <c r="K306" s="51" t="n"/>
    </row>
    <row r="307">
      <c r="B307" s="51" t="n"/>
      <c r="C307" s="51" t="n"/>
      <c r="D307" s="51" t="n"/>
      <c r="E307" s="51" t="n"/>
      <c r="F307" s="51" t="n"/>
      <c r="G307" s="51" t="n"/>
      <c r="H307" s="51" t="n"/>
      <c r="I307" s="51" t="n"/>
      <c r="J307" s="51" t="n"/>
      <c r="K307" s="51" t="n"/>
    </row>
    <row r="308">
      <c r="B308" s="51" t="n"/>
      <c r="C308" s="51" t="n"/>
      <c r="D308" s="51" t="n"/>
      <c r="E308" s="51" t="n"/>
      <c r="F308" s="51" t="n"/>
      <c r="G308" s="51" t="n"/>
      <c r="H308" s="51" t="n"/>
      <c r="I308" s="51" t="n"/>
      <c r="J308" s="51" t="n"/>
      <c r="K308" s="51" t="n"/>
    </row>
    <row r="309">
      <c r="B309" s="51" t="n"/>
      <c r="C309" s="51" t="n"/>
      <c r="D309" s="51" t="n"/>
      <c r="E309" s="51" t="n"/>
      <c r="F309" s="51" t="n"/>
      <c r="G309" s="51" t="n"/>
      <c r="H309" s="51" t="n"/>
      <c r="I309" s="51" t="n"/>
      <c r="J309" s="51" t="n"/>
      <c r="K309" s="51" t="n"/>
    </row>
    <row r="310">
      <c r="B310" s="51" t="n"/>
      <c r="C310" s="51" t="n"/>
      <c r="D310" s="51" t="n"/>
      <c r="E310" s="51" t="n"/>
      <c r="F310" s="51" t="n"/>
      <c r="G310" s="51" t="n"/>
      <c r="H310" s="51" t="n"/>
      <c r="I310" s="51" t="n"/>
      <c r="J310" s="51" t="n"/>
      <c r="K310" s="51" t="n"/>
    </row>
    <row r="311">
      <c r="B311" s="51" t="n"/>
      <c r="C311" s="51" t="n"/>
      <c r="D311" s="51" t="n"/>
      <c r="E311" s="51" t="n"/>
      <c r="F311" s="51" t="n"/>
      <c r="G311" s="51" t="n"/>
      <c r="H311" s="51" t="n"/>
      <c r="I311" s="51" t="n"/>
      <c r="J311" s="51" t="n"/>
      <c r="K311" s="51" t="n"/>
    </row>
    <row r="312">
      <c r="B312" s="51" t="n"/>
      <c r="C312" s="51" t="n"/>
      <c r="D312" s="51" t="n"/>
      <c r="E312" s="51" t="n"/>
      <c r="F312" s="51" t="n"/>
      <c r="G312" s="51" t="n"/>
      <c r="H312" s="51" t="n"/>
      <c r="I312" s="51" t="n"/>
      <c r="J312" s="51" t="n"/>
      <c r="K312" s="51" t="n"/>
    </row>
    <row r="313">
      <c r="B313" s="51" t="n"/>
      <c r="C313" s="51" t="n"/>
      <c r="D313" s="51" t="n"/>
      <c r="E313" s="51" t="n"/>
      <c r="F313" s="51" t="n"/>
      <c r="G313" s="51" t="n"/>
      <c r="H313" s="51" t="n"/>
      <c r="I313" s="51" t="n"/>
      <c r="J313" s="51" t="n"/>
      <c r="K313" s="51" t="n"/>
    </row>
    <row r="314">
      <c r="B314" s="51" t="n"/>
      <c r="C314" s="51" t="n"/>
      <c r="D314" s="51" t="n"/>
      <c r="E314" s="51" t="n"/>
      <c r="F314" s="51" t="n"/>
      <c r="G314" s="51" t="n"/>
      <c r="H314" s="51" t="n"/>
      <c r="I314" s="51" t="n"/>
      <c r="J314" s="51" t="n"/>
      <c r="K314" s="51" t="n"/>
    </row>
    <row r="315">
      <c r="B315" s="51" t="n"/>
      <c r="C315" s="51" t="n"/>
      <c r="D315" s="51" t="n"/>
      <c r="E315" s="51" t="n"/>
      <c r="F315" s="51" t="n"/>
      <c r="G315" s="51" t="n"/>
      <c r="H315" s="51" t="n"/>
      <c r="I315" s="51" t="n"/>
      <c r="J315" s="51" t="n"/>
      <c r="K315" s="51" t="n"/>
    </row>
    <row r="316">
      <c r="B316" s="51" t="n"/>
      <c r="C316" s="51" t="n"/>
      <c r="D316" s="51" t="n"/>
      <c r="E316" s="51" t="n"/>
      <c r="F316" s="51" t="n"/>
      <c r="G316" s="51" t="n"/>
      <c r="H316" s="51" t="n"/>
      <c r="I316" s="51" t="n"/>
      <c r="J316" s="51" t="n"/>
      <c r="K316" s="51" t="n"/>
    </row>
    <row r="317">
      <c r="B317" s="51" t="n"/>
      <c r="C317" s="51" t="n"/>
      <c r="D317" s="51" t="n"/>
      <c r="E317" s="51" t="n"/>
      <c r="F317" s="51" t="n"/>
      <c r="G317" s="51" t="n"/>
      <c r="H317" s="51" t="n"/>
      <c r="I317" s="51" t="n"/>
      <c r="J317" s="51" t="n"/>
      <c r="K317" s="51" t="n"/>
    </row>
    <row r="318">
      <c r="B318" s="51" t="n"/>
      <c r="C318" s="51" t="n"/>
      <c r="D318" s="51" t="n"/>
      <c r="E318" s="51" t="n"/>
      <c r="F318" s="51" t="n"/>
      <c r="G318" s="51" t="n"/>
      <c r="H318" s="51" t="n"/>
      <c r="I318" s="51" t="n"/>
      <c r="J318" s="51" t="n"/>
      <c r="K318" s="51" t="n"/>
    </row>
    <row r="319">
      <c r="B319" s="51" t="n"/>
      <c r="C319" s="51" t="n"/>
      <c r="D319" s="51" t="n"/>
      <c r="E319" s="51" t="n"/>
      <c r="F319" s="51" t="n"/>
      <c r="G319" s="51" t="n"/>
      <c r="H319" s="51" t="n"/>
      <c r="I319" s="51" t="n"/>
      <c r="J319" s="51" t="n"/>
      <c r="K319" s="51" t="n"/>
    </row>
    <row r="320">
      <c r="B320" s="51" t="n"/>
      <c r="C320" s="51" t="n"/>
      <c r="D320" s="51" t="n"/>
      <c r="E320" s="51" t="n"/>
      <c r="F320" s="51" t="n"/>
      <c r="G320" s="51" t="n"/>
      <c r="H320" s="51" t="n"/>
      <c r="I320" s="51" t="n"/>
      <c r="J320" s="51" t="n"/>
      <c r="K320" s="51" t="n"/>
    </row>
    <row r="321">
      <c r="B321" s="51" t="n"/>
      <c r="C321" s="51" t="n"/>
      <c r="D321" s="51" t="n"/>
      <c r="E321" s="51" t="n"/>
      <c r="F321" s="51" t="n"/>
      <c r="G321" s="51" t="n"/>
      <c r="H321" s="51" t="n"/>
      <c r="I321" s="51" t="n"/>
      <c r="J321" s="51" t="n"/>
      <c r="K321" s="51" t="n"/>
    </row>
    <row r="322">
      <c r="B322" s="51" t="n"/>
      <c r="C322" s="51" t="n"/>
      <c r="D322" s="51" t="n"/>
      <c r="E322" s="51" t="n"/>
      <c r="F322" s="51" t="n"/>
      <c r="G322" s="51" t="n"/>
      <c r="H322" s="51" t="n"/>
      <c r="I322" s="51" t="n"/>
      <c r="J322" s="51" t="n"/>
      <c r="K322" s="51" t="n"/>
    </row>
    <row r="323">
      <c r="B323" s="51" t="n"/>
      <c r="C323" s="51" t="n"/>
      <c r="D323" s="51" t="n"/>
      <c r="E323" s="51" t="n"/>
      <c r="F323" s="51" t="n"/>
      <c r="G323" s="51" t="n"/>
      <c r="H323" s="51" t="n"/>
      <c r="I323" s="51" t="n"/>
      <c r="J323" s="51" t="n"/>
      <c r="K323" s="51" t="n"/>
    </row>
    <row r="324">
      <c r="B324" s="51" t="n"/>
      <c r="C324" s="51" t="n"/>
      <c r="D324" s="51" t="n"/>
      <c r="E324" s="51" t="n"/>
      <c r="F324" s="51" t="n"/>
      <c r="G324" s="51" t="n"/>
      <c r="H324" s="51" t="n"/>
      <c r="I324" s="51" t="n"/>
      <c r="J324" s="51" t="n"/>
      <c r="K324" s="51" t="n"/>
    </row>
    <row r="325">
      <c r="B325" s="51" t="n"/>
      <c r="C325" s="51" t="n"/>
      <c r="D325" s="51" t="n"/>
      <c r="E325" s="51" t="n"/>
      <c r="F325" s="51" t="n"/>
      <c r="G325" s="51" t="n"/>
      <c r="H325" s="51" t="n"/>
      <c r="I325" s="51" t="n"/>
      <c r="J325" s="51" t="n"/>
      <c r="K325" s="51" t="n"/>
    </row>
    <row r="326">
      <c r="B326" s="51" t="n"/>
      <c r="C326" s="51" t="n"/>
      <c r="D326" s="51" t="n"/>
      <c r="E326" s="51" t="n"/>
      <c r="F326" s="51" t="n"/>
      <c r="G326" s="51" t="n"/>
      <c r="H326" s="51" t="n"/>
      <c r="I326" s="51" t="n"/>
      <c r="J326" s="51" t="n"/>
      <c r="K326" s="51" t="n"/>
    </row>
    <row r="327">
      <c r="B327" s="51" t="n"/>
      <c r="C327" s="51" t="n"/>
      <c r="D327" s="51" t="n"/>
      <c r="E327" s="51" t="n"/>
      <c r="F327" s="51" t="n"/>
      <c r="G327" s="51" t="n"/>
      <c r="H327" s="51" t="n"/>
      <c r="I327" s="51" t="n"/>
      <c r="J327" s="51" t="n"/>
      <c r="K327" s="51" t="n"/>
    </row>
    <row r="328">
      <c r="B328" s="51" t="n"/>
      <c r="C328" s="51" t="n"/>
      <c r="D328" s="51" t="n"/>
      <c r="E328" s="51" t="n"/>
      <c r="F328" s="51" t="n"/>
      <c r="G328" s="51" t="n"/>
      <c r="H328" s="51" t="n"/>
      <c r="I328" s="51" t="n"/>
      <c r="J328" s="51" t="n"/>
      <c r="K328" s="51" t="n"/>
    </row>
    <row r="329">
      <c r="B329" s="51" t="n"/>
      <c r="C329" s="51" t="n"/>
      <c r="D329" s="51" t="n"/>
      <c r="E329" s="51" t="n"/>
      <c r="F329" s="51" t="n"/>
      <c r="G329" s="51" t="n"/>
      <c r="H329" s="51" t="n"/>
      <c r="I329" s="51" t="n"/>
      <c r="J329" s="51" t="n"/>
      <c r="K329" s="51" t="n"/>
    </row>
    <row r="330">
      <c r="B330" s="51" t="n"/>
      <c r="C330" s="51" t="n"/>
      <c r="D330" s="51" t="n"/>
      <c r="E330" s="51" t="n"/>
      <c r="F330" s="51" t="n"/>
      <c r="G330" s="51" t="n"/>
      <c r="H330" s="51" t="n"/>
      <c r="I330" s="51" t="n"/>
      <c r="J330" s="51" t="n"/>
      <c r="K330" s="51" t="n"/>
    </row>
    <row r="331">
      <c r="B331" s="51" t="n"/>
      <c r="C331" s="51" t="n"/>
      <c r="D331" s="51" t="n"/>
      <c r="E331" s="51" t="n"/>
      <c r="F331" s="51" t="n"/>
      <c r="G331" s="51" t="n"/>
      <c r="H331" s="51" t="n"/>
      <c r="I331" s="51" t="n"/>
      <c r="J331" s="51" t="n"/>
      <c r="K331" s="51" t="n"/>
    </row>
    <row r="332">
      <c r="B332" s="51" t="n"/>
      <c r="C332" s="51" t="n"/>
      <c r="D332" s="51" t="n"/>
      <c r="E332" s="51" t="n"/>
      <c r="F332" s="51" t="n"/>
      <c r="G332" s="51" t="n"/>
      <c r="H332" s="51" t="n"/>
      <c r="I332" s="51" t="n"/>
      <c r="J332" s="51" t="n"/>
      <c r="K332" s="51" t="n"/>
    </row>
    <row r="333">
      <c r="B333" s="51" t="n"/>
      <c r="C333" s="51" t="n"/>
      <c r="D333" s="51" t="n"/>
      <c r="E333" s="51" t="n"/>
      <c r="F333" s="51" t="n"/>
      <c r="G333" s="51" t="n"/>
      <c r="H333" s="51" t="n"/>
      <c r="I333" s="51" t="n"/>
      <c r="J333" s="51" t="n"/>
      <c r="K333" s="51" t="n"/>
    </row>
    <row r="334">
      <c r="B334" s="51" t="n"/>
      <c r="C334" s="51" t="n"/>
      <c r="D334" s="51" t="n"/>
      <c r="E334" s="51" t="n"/>
      <c r="F334" s="51" t="n"/>
      <c r="G334" s="51" t="n"/>
      <c r="H334" s="51" t="n"/>
      <c r="I334" s="51" t="n"/>
      <c r="J334" s="51" t="n"/>
      <c r="K334" s="51" t="n"/>
    </row>
    <row r="335">
      <c r="B335" s="51" t="n"/>
      <c r="C335" s="51" t="n"/>
      <c r="D335" s="51" t="n"/>
      <c r="E335" s="51" t="n"/>
      <c r="F335" s="51" t="n"/>
      <c r="G335" s="51" t="n"/>
      <c r="H335" s="51" t="n"/>
      <c r="I335" s="51" t="n"/>
      <c r="J335" s="51" t="n"/>
      <c r="K335" s="51" t="n"/>
    </row>
    <row r="336">
      <c r="B336" s="51" t="n"/>
      <c r="C336" s="51" t="n"/>
      <c r="D336" s="51" t="n"/>
      <c r="E336" s="51" t="n"/>
      <c r="F336" s="51" t="n"/>
      <c r="G336" s="51" t="n"/>
      <c r="H336" s="51" t="n"/>
      <c r="I336" s="51" t="n"/>
      <c r="J336" s="51" t="n"/>
      <c r="K336" s="51" t="n"/>
    </row>
    <row r="337">
      <c r="B337" s="51" t="n"/>
      <c r="C337" s="51" t="n"/>
      <c r="D337" s="51" t="n"/>
      <c r="E337" s="51" t="n"/>
      <c r="F337" s="51" t="n"/>
      <c r="G337" s="51" t="n"/>
      <c r="H337" s="51" t="n"/>
      <c r="I337" s="51" t="n"/>
      <c r="J337" s="51" t="n"/>
      <c r="K337" s="51" t="n"/>
    </row>
    <row r="338">
      <c r="B338" s="51" t="n"/>
      <c r="C338" s="51" t="n"/>
      <c r="D338" s="51" t="n"/>
      <c r="E338" s="51" t="n"/>
      <c r="F338" s="51" t="n"/>
      <c r="G338" s="51" t="n"/>
      <c r="H338" s="51" t="n"/>
      <c r="I338" s="51" t="n"/>
      <c r="J338" s="51" t="n"/>
      <c r="K338" s="51" t="n"/>
    </row>
    <row r="339">
      <c r="B339" s="51" t="n"/>
      <c r="C339" s="51" t="n"/>
      <c r="D339" s="51" t="n"/>
      <c r="E339" s="51" t="n"/>
      <c r="F339" s="51" t="n"/>
      <c r="G339" s="51" t="n"/>
      <c r="H339" s="51" t="n"/>
      <c r="I339" s="51" t="n"/>
      <c r="J339" s="51" t="n"/>
      <c r="K339" s="51" t="n"/>
    </row>
    <row r="340">
      <c r="B340" s="51" t="n"/>
      <c r="C340" s="51" t="n"/>
      <c r="D340" s="51" t="n"/>
      <c r="E340" s="51" t="n"/>
      <c r="F340" s="51" t="n"/>
      <c r="G340" s="51" t="n"/>
      <c r="H340" s="51" t="n"/>
      <c r="I340" s="51" t="n"/>
      <c r="J340" s="51" t="n"/>
      <c r="K340" s="51" t="n"/>
    </row>
    <row r="341">
      <c r="B341" s="51" t="n"/>
      <c r="C341" s="51" t="n"/>
      <c r="D341" s="51" t="n"/>
      <c r="E341" s="51" t="n"/>
      <c r="F341" s="51" t="n"/>
      <c r="G341" s="51" t="n"/>
      <c r="H341" s="51" t="n"/>
      <c r="I341" s="51" t="n"/>
      <c r="J341" s="51" t="n"/>
      <c r="K341" s="51" t="n"/>
    </row>
    <row r="342">
      <c r="B342" s="51" t="n"/>
      <c r="C342" s="51" t="n"/>
      <c r="D342" s="51" t="n"/>
      <c r="E342" s="51" t="n"/>
      <c r="F342" s="51" t="n"/>
      <c r="G342" s="51" t="n"/>
      <c r="H342" s="51" t="n"/>
      <c r="I342" s="51" t="n"/>
      <c r="J342" s="51" t="n"/>
      <c r="K342" s="51" t="n"/>
    </row>
    <row r="343">
      <c r="B343" s="51" t="n"/>
      <c r="C343" s="51" t="n"/>
      <c r="D343" s="51" t="n"/>
      <c r="E343" s="51" t="n"/>
      <c r="F343" s="51" t="n"/>
      <c r="G343" s="51" t="n"/>
      <c r="H343" s="51" t="n"/>
      <c r="I343" s="51" t="n"/>
      <c r="J343" s="51" t="n"/>
      <c r="K343" s="51" t="n"/>
    </row>
    <row r="344">
      <c r="B344" s="51" t="n"/>
      <c r="C344" s="51" t="n"/>
      <c r="D344" s="51" t="n"/>
      <c r="E344" s="51" t="n"/>
      <c r="F344" s="51" t="n"/>
      <c r="G344" s="51" t="n"/>
      <c r="H344" s="51" t="n"/>
      <c r="I344" s="51" t="n"/>
      <c r="J344" s="51" t="n"/>
      <c r="K344" s="51" t="n"/>
    </row>
    <row r="345">
      <c r="B345" s="51" t="n"/>
      <c r="C345" s="51" t="n"/>
      <c r="D345" s="51" t="n"/>
      <c r="E345" s="51" t="n"/>
      <c r="F345" s="51" t="n"/>
      <c r="G345" s="51" t="n"/>
      <c r="H345" s="51" t="n"/>
      <c r="I345" s="51" t="n"/>
      <c r="J345" s="51" t="n"/>
      <c r="K345" s="51" t="n"/>
    </row>
    <row r="346">
      <c r="B346" s="51" t="n"/>
      <c r="C346" s="51" t="n"/>
      <c r="D346" s="51" t="n"/>
      <c r="E346" s="51" t="n"/>
      <c r="F346" s="51" t="n"/>
      <c r="G346" s="51" t="n"/>
      <c r="H346" s="51" t="n"/>
      <c r="I346" s="51" t="n"/>
      <c r="J346" s="51" t="n"/>
      <c r="K346" s="51" t="n"/>
    </row>
    <row r="347">
      <c r="B347" s="51" t="n"/>
      <c r="C347" s="51" t="n"/>
      <c r="D347" s="51" t="n"/>
      <c r="E347" s="51" t="n"/>
      <c r="F347" s="51" t="n"/>
      <c r="G347" s="51" t="n"/>
      <c r="H347" s="51" t="n"/>
      <c r="I347" s="51" t="n"/>
      <c r="J347" s="51" t="n"/>
      <c r="K347" s="51" t="n"/>
    </row>
    <row r="348">
      <c r="B348" s="51" t="n"/>
      <c r="C348" s="51" t="n"/>
      <c r="D348" s="51" t="n"/>
      <c r="E348" s="51" t="n"/>
      <c r="F348" s="51" t="n"/>
      <c r="G348" s="51" t="n"/>
      <c r="H348" s="51" t="n"/>
      <c r="I348" s="51" t="n"/>
      <c r="J348" s="51" t="n"/>
      <c r="K348" s="51" t="n"/>
    </row>
    <row r="349">
      <c r="B349" s="51" t="n"/>
      <c r="C349" s="51" t="n"/>
      <c r="D349" s="51" t="n"/>
      <c r="E349" s="51" t="n"/>
      <c r="F349" s="51" t="n"/>
      <c r="G349" s="51" t="n"/>
      <c r="H349" s="51" t="n"/>
      <c r="I349" s="51" t="n"/>
      <c r="J349" s="51" t="n"/>
      <c r="K349" s="51" t="n"/>
    </row>
    <row r="350">
      <c r="B350" s="51" t="n"/>
      <c r="C350" s="51" t="n"/>
      <c r="D350" s="51" t="n"/>
      <c r="E350" s="51" t="n"/>
      <c r="F350" s="51" t="n"/>
      <c r="G350" s="51" t="n"/>
      <c r="H350" s="51" t="n"/>
      <c r="I350" s="51" t="n"/>
      <c r="J350" s="51" t="n"/>
      <c r="K350" s="51" t="n"/>
    </row>
    <row r="351">
      <c r="B351" s="51" t="n"/>
      <c r="C351" s="51" t="n"/>
      <c r="D351" s="51" t="n"/>
      <c r="E351" s="51" t="n"/>
      <c r="F351" s="51" t="n"/>
      <c r="G351" s="51" t="n"/>
      <c r="H351" s="51" t="n"/>
      <c r="I351" s="51" t="n"/>
      <c r="J351" s="51" t="n"/>
      <c r="K351" s="51" t="n"/>
    </row>
    <row r="352">
      <c r="B352" s="51" t="n"/>
      <c r="C352" s="51" t="n"/>
      <c r="D352" s="51" t="n"/>
      <c r="E352" s="51" t="n"/>
      <c r="F352" s="51" t="n"/>
      <c r="G352" s="51" t="n"/>
      <c r="H352" s="51" t="n"/>
      <c r="I352" s="51" t="n"/>
      <c r="J352" s="51" t="n"/>
      <c r="K352" s="51" t="n"/>
    </row>
    <row r="353">
      <c r="B353" s="51" t="n"/>
      <c r="C353" s="51" t="n"/>
      <c r="D353" s="51" t="n"/>
      <c r="E353" s="51" t="n"/>
      <c r="F353" s="51" t="n"/>
      <c r="G353" s="51" t="n"/>
      <c r="H353" s="51" t="n"/>
      <c r="I353" s="51" t="n"/>
      <c r="J353" s="51" t="n"/>
      <c r="K353" s="51" t="n"/>
    </row>
    <row r="354">
      <c r="B354" s="51" t="n"/>
      <c r="C354" s="51" t="n"/>
      <c r="D354" s="51" t="n"/>
      <c r="E354" s="51" t="n"/>
      <c r="F354" s="51" t="n"/>
      <c r="G354" s="51" t="n"/>
      <c r="H354" s="51" t="n"/>
      <c r="I354" s="51" t="n"/>
      <c r="J354" s="51" t="n"/>
      <c r="K354" s="51" t="n"/>
    </row>
    <row r="355">
      <c r="B355" s="51" t="n"/>
      <c r="C355" s="51" t="n"/>
      <c r="D355" s="51" t="n"/>
      <c r="E355" s="51" t="n"/>
      <c r="F355" s="51" t="n"/>
      <c r="G355" s="51" t="n"/>
      <c r="H355" s="51" t="n"/>
      <c r="I355" s="51" t="n"/>
      <c r="J355" s="51" t="n"/>
      <c r="K355" s="51" t="n"/>
    </row>
    <row r="356">
      <c r="B356" s="51" t="n"/>
      <c r="C356" s="51" t="n"/>
      <c r="D356" s="51" t="n"/>
      <c r="E356" s="51" t="n"/>
      <c r="F356" s="51" t="n"/>
      <c r="G356" s="51" t="n"/>
      <c r="H356" s="51" t="n"/>
      <c r="I356" s="51" t="n"/>
      <c r="J356" s="51" t="n"/>
      <c r="K356" s="51" t="n"/>
    </row>
    <row r="357">
      <c r="B357" s="51" t="n"/>
      <c r="C357" s="51" t="n"/>
      <c r="D357" s="51" t="n"/>
      <c r="E357" s="51" t="n"/>
      <c r="F357" s="51" t="n"/>
      <c r="G357" s="51" t="n"/>
      <c r="H357" s="51" t="n"/>
      <c r="I357" s="51" t="n"/>
      <c r="J357" s="51" t="n"/>
      <c r="K357" s="51" t="n"/>
    </row>
    <row r="358">
      <c r="B358" s="51" t="n"/>
      <c r="C358" s="51" t="n"/>
      <c r="D358" s="51" t="n"/>
      <c r="E358" s="51" t="n"/>
      <c r="F358" s="51" t="n"/>
      <c r="G358" s="51" t="n"/>
      <c r="H358" s="51" t="n"/>
      <c r="I358" s="51" t="n"/>
      <c r="J358" s="51" t="n"/>
      <c r="K358" s="51" t="n"/>
    </row>
    <row r="359">
      <c r="B359" s="51" t="n"/>
      <c r="C359" s="51" t="n"/>
      <c r="D359" s="51" t="n"/>
      <c r="E359" s="51" t="n"/>
      <c r="F359" s="51" t="n"/>
      <c r="G359" s="51" t="n"/>
      <c r="H359" s="51" t="n"/>
      <c r="I359" s="51" t="n"/>
      <c r="J359" s="51" t="n"/>
      <c r="K359" s="51" t="n"/>
    </row>
    <row r="360">
      <c r="B360" s="51" t="n"/>
      <c r="C360" s="51" t="n"/>
      <c r="D360" s="51" t="n"/>
      <c r="E360" s="51" t="n"/>
      <c r="F360" s="51" t="n"/>
      <c r="G360" s="51" t="n"/>
      <c r="H360" s="51" t="n"/>
      <c r="I360" s="51" t="n"/>
      <c r="J360" s="51" t="n"/>
      <c r="K360" s="51" t="n"/>
    </row>
    <row r="361">
      <c r="B361" s="51" t="n"/>
      <c r="C361" s="51" t="n"/>
      <c r="D361" s="51" t="n"/>
      <c r="E361" s="51" t="n"/>
      <c r="F361" s="51" t="n"/>
      <c r="G361" s="51" t="n"/>
      <c r="H361" s="51" t="n"/>
      <c r="I361" s="51" t="n"/>
      <c r="J361" s="51" t="n"/>
      <c r="K361" s="51" t="n"/>
    </row>
    <row r="362">
      <c r="B362" s="51" t="n"/>
      <c r="C362" s="51" t="n"/>
      <c r="D362" s="51" t="n"/>
      <c r="E362" s="51" t="n"/>
      <c r="F362" s="51" t="n"/>
      <c r="G362" s="51" t="n"/>
      <c r="H362" s="51" t="n"/>
      <c r="I362" s="51" t="n"/>
      <c r="J362" s="51" t="n"/>
      <c r="K362" s="51" t="n"/>
    </row>
    <row r="363">
      <c r="B363" s="51" t="n"/>
      <c r="C363" s="51" t="n"/>
      <c r="D363" s="51" t="n"/>
      <c r="E363" s="51" t="n"/>
      <c r="F363" s="51" t="n"/>
      <c r="G363" s="51" t="n"/>
      <c r="H363" s="51" t="n"/>
      <c r="I363" s="51" t="n"/>
      <c r="J363" s="51" t="n"/>
      <c r="K363" s="51" t="n"/>
    </row>
    <row r="364">
      <c r="B364" s="51" t="n"/>
      <c r="C364" s="51" t="n"/>
      <c r="D364" s="51" t="n"/>
      <c r="E364" s="51" t="n"/>
      <c r="F364" s="51" t="n"/>
      <c r="G364" s="51" t="n"/>
      <c r="H364" s="51" t="n"/>
      <c r="I364" s="51" t="n"/>
      <c r="J364" s="51" t="n"/>
      <c r="K364" s="51" t="n"/>
    </row>
    <row r="365">
      <c r="B365" s="51" t="n"/>
      <c r="C365" s="51" t="n"/>
      <c r="D365" s="51" t="n"/>
      <c r="E365" s="51" t="n"/>
      <c r="F365" s="51" t="n"/>
      <c r="G365" s="51" t="n"/>
      <c r="H365" s="51" t="n"/>
      <c r="I365" s="51" t="n"/>
      <c r="J365" s="51" t="n"/>
      <c r="K365" s="51" t="n"/>
    </row>
    <row r="366">
      <c r="B366" s="51" t="n"/>
      <c r="C366" s="51" t="n"/>
      <c r="D366" s="51" t="n"/>
      <c r="E366" s="51" t="n"/>
      <c r="F366" s="51" t="n"/>
      <c r="G366" s="51" t="n"/>
      <c r="H366" s="51" t="n"/>
      <c r="I366" s="51" t="n"/>
      <c r="J366" s="51" t="n"/>
      <c r="K366" s="51" t="n"/>
    </row>
    <row r="367">
      <c r="B367" s="51" t="n"/>
      <c r="C367" s="51" t="n"/>
      <c r="D367" s="51" t="n"/>
      <c r="E367" s="51" t="n"/>
      <c r="F367" s="51" t="n"/>
      <c r="G367" s="51" t="n"/>
      <c r="H367" s="51" t="n"/>
      <c r="I367" s="51" t="n"/>
      <c r="J367" s="51" t="n"/>
      <c r="K367" s="51" t="n"/>
    </row>
    <row r="368">
      <c r="B368" s="51" t="n"/>
      <c r="C368" s="51" t="n"/>
      <c r="D368" s="51" t="n"/>
      <c r="E368" s="51" t="n"/>
      <c r="F368" s="51" t="n"/>
      <c r="G368" s="51" t="n"/>
      <c r="H368" s="51" t="n"/>
      <c r="I368" s="51" t="n"/>
      <c r="J368" s="51" t="n"/>
      <c r="K368" s="51" t="n"/>
    </row>
    <row r="369">
      <c r="B369" s="51" t="n"/>
      <c r="C369" s="51" t="n"/>
      <c r="D369" s="51" t="n"/>
      <c r="E369" s="51" t="n"/>
      <c r="F369" s="51" t="n"/>
      <c r="G369" s="51" t="n"/>
      <c r="H369" s="51" t="n"/>
      <c r="I369" s="51" t="n"/>
      <c r="J369" s="51" t="n"/>
      <c r="K369" s="51" t="n"/>
    </row>
    <row r="370">
      <c r="B370" s="51" t="n"/>
      <c r="C370" s="51" t="n"/>
      <c r="D370" s="51" t="n"/>
      <c r="E370" s="51" t="n"/>
      <c r="F370" s="51" t="n"/>
      <c r="G370" s="51" t="n"/>
      <c r="H370" s="51" t="n"/>
      <c r="I370" s="51" t="n"/>
      <c r="J370" s="51" t="n"/>
      <c r="K370" s="51" t="n"/>
    </row>
    <row r="371">
      <c r="B371" s="51" t="n"/>
      <c r="C371" s="51" t="n"/>
      <c r="D371" s="51" t="n"/>
      <c r="E371" s="51" t="n"/>
      <c r="F371" s="51" t="n"/>
      <c r="G371" s="51" t="n"/>
      <c r="H371" s="51" t="n"/>
      <c r="I371" s="51" t="n"/>
      <c r="J371" s="51" t="n"/>
      <c r="K371" s="51" t="n"/>
    </row>
    <row r="372">
      <c r="B372" s="51" t="n"/>
      <c r="C372" s="51" t="n"/>
      <c r="D372" s="51" t="n"/>
      <c r="E372" s="51" t="n"/>
      <c r="F372" s="51" t="n"/>
      <c r="G372" s="51" t="n"/>
      <c r="H372" s="51" t="n"/>
      <c r="I372" s="51" t="n"/>
      <c r="J372" s="51" t="n"/>
      <c r="K372" s="51" t="n"/>
    </row>
    <row r="373">
      <c r="B373" s="51" t="n"/>
      <c r="C373" s="51" t="n"/>
      <c r="D373" s="51" t="n"/>
      <c r="E373" s="51" t="n"/>
      <c r="F373" s="51" t="n"/>
      <c r="G373" s="51" t="n"/>
      <c r="H373" s="51" t="n"/>
      <c r="I373" s="51" t="n"/>
      <c r="J373" s="51" t="n"/>
      <c r="K373" s="51" t="n"/>
    </row>
    <row r="374">
      <c r="B374" s="51" t="n"/>
      <c r="C374" s="51" t="n"/>
      <c r="D374" s="51" t="n"/>
      <c r="E374" s="51" t="n"/>
      <c r="F374" s="51" t="n"/>
      <c r="G374" s="51" t="n"/>
      <c r="H374" s="51" t="n"/>
      <c r="I374" s="51" t="n"/>
      <c r="J374" s="51" t="n"/>
      <c r="K374" s="51" t="n"/>
    </row>
    <row r="375">
      <c r="B375" s="51" t="n"/>
      <c r="C375" s="51" t="n"/>
      <c r="D375" s="51" t="n"/>
      <c r="E375" s="51" t="n"/>
      <c r="F375" s="51" t="n"/>
      <c r="G375" s="51" t="n"/>
      <c r="H375" s="51" t="n"/>
      <c r="I375" s="51" t="n"/>
      <c r="J375" s="51" t="n"/>
      <c r="K375" s="51" t="n"/>
    </row>
    <row r="376">
      <c r="B376" s="51" t="n"/>
      <c r="C376" s="51" t="n"/>
      <c r="D376" s="51" t="n"/>
      <c r="E376" s="51" t="n"/>
      <c r="F376" s="51" t="n"/>
      <c r="G376" s="51" t="n"/>
      <c r="H376" s="51" t="n"/>
      <c r="I376" s="51" t="n"/>
      <c r="J376" s="51" t="n"/>
      <c r="K376" s="51" t="n"/>
    </row>
    <row r="377">
      <c r="B377" s="51" t="n"/>
      <c r="C377" s="51" t="n"/>
      <c r="D377" s="51" t="n"/>
      <c r="E377" s="51" t="n"/>
      <c r="F377" s="51" t="n"/>
      <c r="G377" s="51" t="n"/>
      <c r="H377" s="51" t="n"/>
      <c r="I377" s="51" t="n"/>
      <c r="J377" s="51" t="n"/>
      <c r="K377" s="51" t="n"/>
    </row>
    <row r="378">
      <c r="B378" s="51" t="n"/>
      <c r="C378" s="51" t="n"/>
      <c r="D378" s="51" t="n"/>
      <c r="E378" s="51" t="n"/>
      <c r="F378" s="51" t="n"/>
      <c r="G378" s="51" t="n"/>
      <c r="H378" s="51" t="n"/>
      <c r="I378" s="51" t="n"/>
      <c r="J378" s="51" t="n"/>
      <c r="K378" s="51" t="n"/>
    </row>
    <row r="379">
      <c r="B379" s="51" t="n"/>
      <c r="C379" s="51" t="n"/>
      <c r="D379" s="51" t="n"/>
      <c r="E379" s="51" t="n"/>
      <c r="F379" s="51" t="n"/>
      <c r="G379" s="51" t="n"/>
      <c r="H379" s="51" t="n"/>
      <c r="I379" s="51" t="n"/>
      <c r="J379" s="51" t="n"/>
      <c r="K379" s="51" t="n"/>
    </row>
    <row r="380">
      <c r="B380" s="51" t="n"/>
      <c r="C380" s="51" t="n"/>
      <c r="D380" s="51" t="n"/>
      <c r="E380" s="51" t="n"/>
      <c r="F380" s="51" t="n"/>
      <c r="G380" s="51" t="n"/>
      <c r="H380" s="51" t="n"/>
      <c r="I380" s="51" t="n"/>
      <c r="J380" s="51" t="n"/>
      <c r="K380" s="51" t="n"/>
    </row>
    <row r="381">
      <c r="B381" s="51" t="n"/>
      <c r="C381" s="51" t="n"/>
      <c r="D381" s="51" t="n"/>
      <c r="E381" s="51" t="n"/>
      <c r="F381" s="51" t="n"/>
      <c r="G381" s="51" t="n"/>
      <c r="H381" s="51" t="n"/>
      <c r="I381" s="51" t="n"/>
      <c r="J381" s="51" t="n"/>
      <c r="K381" s="51" t="n"/>
    </row>
    <row r="382">
      <c r="B382" s="51" t="n"/>
      <c r="C382" s="51" t="n"/>
      <c r="D382" s="51" t="n"/>
      <c r="E382" s="51" t="n"/>
      <c r="F382" s="51" t="n"/>
      <c r="G382" s="51" t="n"/>
      <c r="H382" s="51" t="n"/>
      <c r="I382" s="51" t="n"/>
      <c r="J382" s="51" t="n"/>
      <c r="K382" s="51" t="n"/>
    </row>
    <row r="383">
      <c r="B383" s="51" t="n"/>
      <c r="C383" s="51" t="n"/>
      <c r="D383" s="51" t="n"/>
      <c r="E383" s="51" t="n"/>
      <c r="F383" s="51" t="n"/>
      <c r="G383" s="51" t="n"/>
      <c r="H383" s="51" t="n"/>
      <c r="I383" s="51" t="n"/>
      <c r="J383" s="51" t="n"/>
      <c r="K383" s="51" t="n"/>
    </row>
    <row r="384">
      <c r="B384" s="51" t="n"/>
      <c r="C384" s="51" t="n"/>
      <c r="D384" s="51" t="n"/>
      <c r="E384" s="51" t="n"/>
      <c r="F384" s="51" t="n"/>
      <c r="G384" s="51" t="n"/>
      <c r="H384" s="51" t="n"/>
      <c r="I384" s="51" t="n"/>
      <c r="J384" s="51" t="n"/>
      <c r="K384" s="51" t="n"/>
    </row>
    <row r="385">
      <c r="B385" s="51" t="n"/>
      <c r="C385" s="51" t="n"/>
      <c r="D385" s="51" t="n"/>
      <c r="E385" s="51" t="n"/>
      <c r="F385" s="51" t="n"/>
      <c r="G385" s="51" t="n"/>
      <c r="H385" s="51" t="n"/>
      <c r="I385" s="51" t="n"/>
      <c r="J385" s="51" t="n"/>
      <c r="K385" s="51" t="n"/>
    </row>
    <row r="386">
      <c r="B386" s="51" t="n"/>
      <c r="C386" s="51" t="n"/>
      <c r="D386" s="51" t="n"/>
      <c r="E386" s="51" t="n"/>
      <c r="F386" s="51" t="n"/>
      <c r="G386" s="51" t="n"/>
      <c r="H386" s="51" t="n"/>
      <c r="I386" s="51" t="n"/>
      <c r="J386" s="51" t="n"/>
      <c r="K386" s="51" t="n"/>
    </row>
    <row r="387">
      <c r="B387" s="51" t="n"/>
      <c r="C387" s="51" t="n"/>
      <c r="D387" s="51" t="n"/>
      <c r="E387" s="51" t="n"/>
      <c r="F387" s="51" t="n"/>
      <c r="G387" s="51" t="n"/>
      <c r="H387" s="51" t="n"/>
      <c r="I387" s="51" t="n"/>
      <c r="J387" s="51" t="n"/>
      <c r="K387" s="51" t="n"/>
    </row>
    <row r="388">
      <c r="B388" s="51" t="n"/>
      <c r="C388" s="51" t="n"/>
      <c r="D388" s="51" t="n"/>
      <c r="E388" s="51" t="n"/>
      <c r="F388" s="51" t="n"/>
      <c r="G388" s="51" t="n"/>
      <c r="H388" s="51" t="n"/>
      <c r="I388" s="51" t="n"/>
      <c r="J388" s="51" t="n"/>
      <c r="K388" s="51" t="n"/>
    </row>
    <row r="389">
      <c r="B389" s="51" t="n"/>
      <c r="C389" s="51" t="n"/>
      <c r="D389" s="51" t="n"/>
      <c r="E389" s="51" t="n"/>
      <c r="F389" s="51" t="n"/>
      <c r="G389" s="51" t="n"/>
      <c r="H389" s="51" t="n"/>
      <c r="I389" s="51" t="n"/>
      <c r="J389" s="51" t="n"/>
      <c r="K389" s="51" t="n"/>
    </row>
    <row r="390">
      <c r="B390" s="51" t="n"/>
      <c r="C390" s="51" t="n"/>
      <c r="D390" s="51" t="n"/>
      <c r="E390" s="51" t="n"/>
      <c r="F390" s="51" t="n"/>
      <c r="G390" s="51" t="n"/>
      <c r="H390" s="51" t="n"/>
      <c r="I390" s="51" t="n"/>
      <c r="J390" s="51" t="n"/>
      <c r="K390" s="51" t="n"/>
    </row>
    <row r="391">
      <c r="B391" s="51" t="n"/>
      <c r="C391" s="51" t="n"/>
      <c r="D391" s="51" t="n"/>
      <c r="E391" s="51" t="n"/>
      <c r="F391" s="51" t="n"/>
      <c r="G391" s="51" t="n"/>
      <c r="H391" s="51" t="n"/>
      <c r="I391" s="51" t="n"/>
      <c r="J391" s="51" t="n"/>
      <c r="K391" s="51" t="n"/>
    </row>
    <row r="392">
      <c r="B392" s="51" t="n"/>
      <c r="C392" s="51" t="n"/>
      <c r="D392" s="51" t="n"/>
      <c r="E392" s="51" t="n"/>
      <c r="F392" s="51" t="n"/>
      <c r="G392" s="51" t="n"/>
      <c r="H392" s="51" t="n"/>
      <c r="I392" s="51" t="n"/>
      <c r="J392" s="51" t="n"/>
      <c r="K392" s="51" t="n"/>
    </row>
    <row r="393">
      <c r="B393" s="51" t="n"/>
      <c r="C393" s="51" t="n"/>
      <c r="D393" s="51" t="n"/>
      <c r="E393" s="51" t="n"/>
      <c r="F393" s="51" t="n"/>
      <c r="G393" s="51" t="n"/>
      <c r="H393" s="51" t="n"/>
      <c r="I393" s="51" t="n"/>
      <c r="J393" s="51" t="n"/>
      <c r="K393" s="51" t="n"/>
    </row>
    <row r="394">
      <c r="B394" s="51" t="n"/>
      <c r="C394" s="51" t="n"/>
      <c r="D394" s="51" t="n"/>
      <c r="E394" s="51" t="n"/>
      <c r="F394" s="51" t="n"/>
      <c r="G394" s="51" t="n"/>
      <c r="H394" s="51" t="n"/>
      <c r="I394" s="51" t="n"/>
      <c r="J394" s="51" t="n"/>
      <c r="K394" s="51" t="n"/>
    </row>
    <row r="395">
      <c r="B395" s="51" t="n"/>
      <c r="C395" s="51" t="n"/>
      <c r="D395" s="51" t="n"/>
      <c r="E395" s="51" t="n"/>
      <c r="F395" s="51" t="n"/>
      <c r="G395" s="51" t="n"/>
      <c r="H395" s="51" t="n"/>
      <c r="I395" s="51" t="n"/>
      <c r="J395" s="51" t="n"/>
      <c r="K395" s="51" t="n"/>
    </row>
    <row r="396">
      <c r="B396" s="51" t="n"/>
      <c r="C396" s="51" t="n"/>
      <c r="D396" s="51" t="n"/>
      <c r="E396" s="51" t="n"/>
      <c r="F396" s="51" t="n"/>
      <c r="G396" s="51" t="n"/>
      <c r="H396" s="51" t="n"/>
      <c r="I396" s="51" t="n"/>
      <c r="J396" s="51" t="n"/>
      <c r="K396" s="51" t="n"/>
    </row>
    <row r="397">
      <c r="B397" s="51" t="n"/>
      <c r="C397" s="51" t="n"/>
      <c r="D397" s="51" t="n"/>
      <c r="E397" s="51" t="n"/>
      <c r="F397" s="51" t="n"/>
      <c r="G397" s="51" t="n"/>
      <c r="H397" s="51" t="n"/>
      <c r="I397" s="51" t="n"/>
      <c r="J397" s="51" t="n"/>
      <c r="K397" s="51" t="n"/>
    </row>
    <row r="398">
      <c r="B398" s="51" t="n"/>
      <c r="C398" s="51" t="n"/>
      <c r="D398" s="51" t="n"/>
      <c r="E398" s="51" t="n"/>
      <c r="F398" s="51" t="n"/>
      <c r="G398" s="51" t="n"/>
      <c r="H398" s="51" t="n"/>
      <c r="I398" s="51" t="n"/>
      <c r="J398" s="51" t="n"/>
      <c r="K398" s="51" t="n"/>
    </row>
    <row r="399">
      <c r="B399" s="51" t="n"/>
      <c r="C399" s="51" t="n"/>
      <c r="D399" s="51" t="n"/>
      <c r="E399" s="51" t="n"/>
      <c r="F399" s="51" t="n"/>
      <c r="G399" s="51" t="n"/>
      <c r="H399" s="51" t="n"/>
      <c r="I399" s="51" t="n"/>
      <c r="J399" s="51" t="n"/>
      <c r="K399" s="51" t="n"/>
    </row>
    <row r="400">
      <c r="B400" s="51" t="n"/>
      <c r="C400" s="51" t="n"/>
      <c r="D400" s="51" t="n"/>
      <c r="E400" s="51" t="n"/>
      <c r="F400" s="51" t="n"/>
      <c r="G400" s="51" t="n"/>
      <c r="H400" s="51" t="n"/>
      <c r="I400" s="51" t="n"/>
      <c r="J400" s="51" t="n"/>
      <c r="K400" s="51" t="n"/>
    </row>
    <row r="401">
      <c r="B401" s="51" t="n"/>
      <c r="C401" s="51" t="n"/>
      <c r="D401" s="51" t="n"/>
      <c r="E401" s="51" t="n"/>
      <c r="F401" s="51" t="n"/>
      <c r="G401" s="51" t="n"/>
      <c r="H401" s="51" t="n"/>
      <c r="I401" s="51" t="n"/>
      <c r="J401" s="51" t="n"/>
      <c r="K401" s="51" t="n"/>
    </row>
    <row r="402">
      <c r="B402" s="51" t="n"/>
      <c r="C402" s="51" t="n"/>
      <c r="D402" s="51" t="n"/>
      <c r="E402" s="51" t="n"/>
      <c r="F402" s="51" t="n"/>
      <c r="G402" s="51" t="n"/>
      <c r="H402" s="51" t="n"/>
      <c r="I402" s="51" t="n"/>
      <c r="J402" s="51" t="n"/>
      <c r="K402" s="51" t="n"/>
    </row>
    <row r="403">
      <c r="B403" s="51" t="n"/>
      <c r="C403" s="51" t="n"/>
      <c r="D403" s="51" t="n"/>
      <c r="E403" s="51" t="n"/>
      <c r="F403" s="51" t="n"/>
      <c r="G403" s="51" t="n"/>
      <c r="H403" s="51" t="n"/>
      <c r="I403" s="51" t="n"/>
      <c r="J403" s="51" t="n"/>
      <c r="K403" s="51" t="n"/>
    </row>
    <row r="404">
      <c r="B404" s="51" t="n"/>
      <c r="C404" s="51" t="n"/>
      <c r="D404" s="51" t="n"/>
      <c r="E404" s="51" t="n"/>
      <c r="F404" s="51" t="n"/>
      <c r="G404" s="51" t="n"/>
      <c r="H404" s="51" t="n"/>
      <c r="I404" s="51" t="n"/>
      <c r="J404" s="51" t="n"/>
      <c r="K404" s="51" t="n"/>
    </row>
    <row r="405">
      <c r="B405" s="51" t="n"/>
      <c r="C405" s="51" t="n"/>
      <c r="D405" s="51" t="n"/>
      <c r="E405" s="51" t="n"/>
      <c r="F405" s="51" t="n"/>
      <c r="G405" s="51" t="n"/>
      <c r="H405" s="51" t="n"/>
      <c r="I405" s="51" t="n"/>
      <c r="J405" s="51" t="n"/>
      <c r="K405" s="51" t="n"/>
    </row>
    <row r="406">
      <c r="B406" s="51" t="n"/>
      <c r="C406" s="51" t="n"/>
      <c r="D406" s="51" t="n"/>
      <c r="E406" s="51" t="n"/>
      <c r="F406" s="51" t="n"/>
      <c r="G406" s="51" t="n"/>
      <c r="H406" s="51" t="n"/>
      <c r="I406" s="51" t="n"/>
      <c r="J406" s="51" t="n"/>
      <c r="K406" s="51" t="n"/>
    </row>
    <row r="407">
      <c r="B407" s="51" t="n"/>
      <c r="C407" s="51" t="n"/>
      <c r="D407" s="51" t="n"/>
      <c r="E407" s="51" t="n"/>
      <c r="F407" s="51" t="n"/>
      <c r="G407" s="51" t="n"/>
      <c r="H407" s="51" t="n"/>
      <c r="I407" s="51" t="n"/>
      <c r="J407" s="51" t="n"/>
      <c r="K407" s="51" t="n"/>
    </row>
    <row r="408">
      <c r="B408" s="51" t="n"/>
      <c r="C408" s="51" t="n"/>
      <c r="D408" s="51" t="n"/>
      <c r="E408" s="51" t="n"/>
      <c r="F408" s="51" t="n"/>
      <c r="G408" s="51" t="n"/>
      <c r="H408" s="51" t="n"/>
      <c r="I408" s="51" t="n"/>
      <c r="J408" s="51" t="n"/>
      <c r="K408" s="51" t="n"/>
    </row>
    <row r="409">
      <c r="B409" s="51" t="n"/>
      <c r="C409" s="51" t="n"/>
      <c r="D409" s="51" t="n"/>
      <c r="E409" s="51" t="n"/>
      <c r="F409" s="51" t="n"/>
      <c r="G409" s="51" t="n"/>
      <c r="H409" s="51" t="n"/>
      <c r="I409" s="51" t="n"/>
      <c r="J409" s="51" t="n"/>
      <c r="K409" s="51" t="n"/>
    </row>
    <row r="410">
      <c r="B410" s="51" t="n"/>
      <c r="C410" s="51" t="n"/>
      <c r="D410" s="51" t="n"/>
      <c r="E410" s="51" t="n"/>
      <c r="F410" s="51" t="n"/>
      <c r="G410" s="51" t="n"/>
      <c r="H410" s="51" t="n"/>
      <c r="I410" s="51" t="n"/>
      <c r="J410" s="51" t="n"/>
      <c r="K410" s="51" t="n"/>
    </row>
    <row r="411">
      <c r="B411" s="51" t="n"/>
      <c r="C411" s="51" t="n"/>
      <c r="D411" s="51" t="n"/>
      <c r="E411" s="51" t="n"/>
      <c r="F411" s="51" t="n"/>
      <c r="G411" s="51" t="n"/>
      <c r="H411" s="51" t="n"/>
      <c r="I411" s="51" t="n"/>
      <c r="J411" s="51" t="n"/>
      <c r="K411" s="51" t="n"/>
    </row>
    <row r="412">
      <c r="B412" s="51" t="n"/>
      <c r="C412" s="51" t="n"/>
      <c r="D412" s="51" t="n"/>
      <c r="E412" s="51" t="n"/>
      <c r="F412" s="51" t="n"/>
      <c r="G412" s="51" t="n"/>
      <c r="H412" s="51" t="n"/>
      <c r="I412" s="51" t="n"/>
      <c r="J412" s="51" t="n"/>
      <c r="K412" s="51" t="n"/>
    </row>
    <row r="413">
      <c r="B413" s="51" t="n"/>
      <c r="C413" s="51" t="n"/>
      <c r="D413" s="51" t="n"/>
      <c r="E413" s="51" t="n"/>
      <c r="F413" s="51" t="n"/>
      <c r="G413" s="51" t="n"/>
      <c r="H413" s="51" t="n"/>
      <c r="I413" s="51" t="n"/>
      <c r="J413" s="51" t="n"/>
      <c r="K413" s="51" t="n"/>
    </row>
    <row r="414">
      <c r="B414" s="51" t="n"/>
      <c r="C414" s="51" t="n"/>
      <c r="D414" s="51" t="n"/>
      <c r="E414" s="51" t="n"/>
      <c r="F414" s="51" t="n"/>
      <c r="G414" s="51" t="n"/>
      <c r="H414" s="51" t="n"/>
      <c r="I414" s="51" t="n"/>
      <c r="J414" s="51" t="n"/>
      <c r="K414" s="51" t="n"/>
    </row>
    <row r="415">
      <c r="B415" s="51" t="n"/>
      <c r="C415" s="51" t="n"/>
      <c r="D415" s="51" t="n"/>
      <c r="E415" s="51" t="n"/>
      <c r="F415" s="51" t="n"/>
      <c r="G415" s="51" t="n"/>
      <c r="H415" s="51" t="n"/>
      <c r="I415" s="51" t="n"/>
      <c r="J415" s="51" t="n"/>
      <c r="K415" s="51" t="n"/>
    </row>
    <row r="416">
      <c r="B416" s="51" t="n"/>
      <c r="C416" s="51" t="n"/>
      <c r="D416" s="51" t="n"/>
      <c r="E416" s="51" t="n"/>
      <c r="F416" s="51" t="n"/>
      <c r="G416" s="51" t="n"/>
      <c r="H416" s="51" t="n"/>
      <c r="I416" s="51" t="n"/>
      <c r="J416" s="51" t="n"/>
      <c r="K416" s="51" t="n"/>
    </row>
    <row r="417">
      <c r="B417" s="51" t="n"/>
      <c r="C417" s="51" t="n"/>
      <c r="D417" s="51" t="n"/>
      <c r="E417" s="51" t="n"/>
      <c r="F417" s="51" t="n"/>
      <c r="G417" s="51" t="n"/>
      <c r="H417" s="51" t="n"/>
      <c r="I417" s="51" t="n"/>
      <c r="J417" s="51" t="n"/>
      <c r="K417" s="51" t="n"/>
    </row>
    <row r="418">
      <c r="B418" s="51" t="n"/>
      <c r="C418" s="51" t="n"/>
      <c r="D418" s="51" t="n"/>
      <c r="E418" s="51" t="n"/>
      <c r="F418" s="51" t="n"/>
      <c r="G418" s="51" t="n"/>
      <c r="H418" s="51" t="n"/>
      <c r="I418" s="51" t="n"/>
      <c r="J418" s="51" t="n"/>
      <c r="K418" s="51" t="n"/>
    </row>
    <row r="419">
      <c r="B419" s="51" t="n"/>
      <c r="C419" s="51" t="n"/>
      <c r="D419" s="51" t="n"/>
      <c r="E419" s="51" t="n"/>
      <c r="F419" s="51" t="n"/>
      <c r="G419" s="51" t="n"/>
      <c r="H419" s="51" t="n"/>
      <c r="I419" s="51" t="n"/>
      <c r="J419" s="51" t="n"/>
      <c r="K419" s="51" t="n"/>
    </row>
    <row r="420">
      <c r="B420" s="51" t="n"/>
      <c r="C420" s="51" t="n"/>
      <c r="D420" s="51" t="n"/>
      <c r="E420" s="51" t="n"/>
      <c r="F420" s="51" t="n"/>
      <c r="G420" s="51" t="n"/>
      <c r="H420" s="51" t="n"/>
      <c r="I420" s="51" t="n"/>
      <c r="J420" s="51" t="n"/>
      <c r="K420" s="51" t="n"/>
    </row>
    <row r="421">
      <c r="B421" s="51" t="n"/>
      <c r="C421" s="51" t="n"/>
      <c r="D421" s="51" t="n"/>
      <c r="E421" s="51" t="n"/>
      <c r="F421" s="51" t="n"/>
      <c r="G421" s="51" t="n"/>
      <c r="H421" s="51" t="n"/>
      <c r="I421" s="51" t="n"/>
      <c r="J421" s="51" t="n"/>
      <c r="K421" s="51" t="n"/>
    </row>
    <row r="422">
      <c r="B422" s="51" t="n"/>
      <c r="C422" s="51" t="n"/>
      <c r="D422" s="51" t="n"/>
      <c r="E422" s="51" t="n"/>
      <c r="F422" s="51" t="n"/>
      <c r="G422" s="51" t="n"/>
      <c r="H422" s="51" t="n"/>
      <c r="I422" s="51" t="n"/>
      <c r="J422" s="51" t="n"/>
      <c r="K422" s="51" t="n"/>
    </row>
    <row r="423">
      <c r="B423" s="51" t="n"/>
      <c r="C423" s="51" t="n"/>
      <c r="D423" s="51" t="n"/>
      <c r="E423" s="51" t="n"/>
      <c r="F423" s="51" t="n"/>
      <c r="G423" s="51" t="n"/>
      <c r="H423" s="51" t="n"/>
      <c r="I423" s="51" t="n"/>
      <c r="J423" s="51" t="n"/>
      <c r="K423" s="51" t="n"/>
    </row>
    <row r="424">
      <c r="B424" s="51" t="n"/>
      <c r="C424" s="51" t="n"/>
      <c r="D424" s="51" t="n"/>
      <c r="E424" s="51" t="n"/>
      <c r="F424" s="51" t="n"/>
      <c r="G424" s="51" t="n"/>
      <c r="H424" s="51" t="n"/>
      <c r="I424" s="51" t="n"/>
      <c r="J424" s="51" t="n"/>
      <c r="K424" s="51" t="n"/>
    </row>
    <row r="425">
      <c r="B425" s="51" t="n"/>
      <c r="C425" s="51" t="n"/>
      <c r="D425" s="51" t="n"/>
      <c r="E425" s="51" t="n"/>
      <c r="F425" s="51" t="n"/>
      <c r="G425" s="51" t="n"/>
      <c r="H425" s="51" t="n"/>
      <c r="I425" s="51" t="n"/>
      <c r="J425" s="51" t="n"/>
      <c r="K425" s="51" t="n"/>
    </row>
    <row r="426">
      <c r="B426" s="51" t="n"/>
      <c r="C426" s="51" t="n"/>
      <c r="D426" s="51" t="n"/>
      <c r="E426" s="51" t="n"/>
      <c r="F426" s="51" t="n"/>
      <c r="G426" s="51" t="n"/>
      <c r="H426" s="51" t="n"/>
      <c r="I426" s="51" t="n"/>
      <c r="J426" s="51" t="n"/>
      <c r="K426" s="51" t="n"/>
    </row>
    <row r="427">
      <c r="B427" s="51" t="n"/>
      <c r="C427" s="51" t="n"/>
      <c r="D427" s="51" t="n"/>
      <c r="E427" s="51" t="n"/>
      <c r="F427" s="51" t="n"/>
      <c r="G427" s="51" t="n"/>
      <c r="H427" s="51" t="n"/>
      <c r="I427" s="51" t="n"/>
      <c r="J427" s="51" t="n"/>
      <c r="K427" s="51" t="n"/>
    </row>
    <row r="428">
      <c r="B428" s="51" t="n"/>
      <c r="C428" s="51" t="n"/>
      <c r="D428" s="51" t="n"/>
      <c r="E428" s="51" t="n"/>
      <c r="F428" s="51" t="n"/>
      <c r="G428" s="51" t="n"/>
      <c r="H428" s="51" t="n"/>
      <c r="I428" s="51" t="n"/>
      <c r="J428" s="51" t="n"/>
      <c r="K428" s="51" t="n"/>
    </row>
    <row r="429">
      <c r="B429" s="51" t="n"/>
      <c r="C429" s="51" t="n"/>
      <c r="D429" s="51" t="n"/>
      <c r="E429" s="51" t="n"/>
      <c r="F429" s="51" t="n"/>
      <c r="G429" s="51" t="n"/>
      <c r="H429" s="51" t="n"/>
      <c r="I429" s="51" t="n"/>
      <c r="J429" s="51" t="n"/>
      <c r="K429" s="51" t="n"/>
    </row>
    <row r="430">
      <c r="B430" s="51" t="n"/>
      <c r="C430" s="51" t="n"/>
      <c r="D430" s="51" t="n"/>
      <c r="E430" s="51" t="n"/>
      <c r="F430" s="51" t="n"/>
      <c r="G430" s="51" t="n"/>
      <c r="H430" s="51" t="n"/>
      <c r="I430" s="51" t="n"/>
      <c r="J430" s="51" t="n"/>
      <c r="K430" s="51" t="n"/>
    </row>
    <row r="431">
      <c r="B431" s="51" t="n"/>
      <c r="C431" s="51" t="n"/>
      <c r="D431" s="51" t="n"/>
      <c r="E431" s="51" t="n"/>
      <c r="F431" s="51" t="n"/>
      <c r="G431" s="51" t="n"/>
      <c r="H431" s="51" t="n"/>
      <c r="I431" s="51" t="n"/>
      <c r="J431" s="51" t="n"/>
      <c r="K431" s="51" t="n"/>
    </row>
    <row r="432">
      <c r="B432" s="51" t="n"/>
      <c r="C432" s="51" t="n"/>
      <c r="D432" s="51" t="n"/>
      <c r="E432" s="51" t="n"/>
      <c r="F432" s="51" t="n"/>
      <c r="G432" s="51" t="n"/>
      <c r="H432" s="51" t="n"/>
      <c r="I432" s="51" t="n"/>
      <c r="J432" s="51" t="n"/>
      <c r="K432" s="51" t="n"/>
    </row>
    <row r="433">
      <c r="B433" s="51" t="n"/>
      <c r="C433" s="51" t="n"/>
      <c r="D433" s="51" t="n"/>
      <c r="E433" s="51" t="n"/>
      <c r="F433" s="51" t="n"/>
      <c r="G433" s="51" t="n"/>
      <c r="H433" s="51" t="n"/>
      <c r="I433" s="51" t="n"/>
      <c r="J433" s="51" t="n"/>
      <c r="K433" s="51" t="n"/>
    </row>
    <row r="434">
      <c r="B434" s="51" t="n"/>
      <c r="C434" s="51" t="n"/>
      <c r="D434" s="51" t="n"/>
      <c r="E434" s="51" t="n"/>
      <c r="F434" s="51" t="n"/>
      <c r="G434" s="51" t="n"/>
      <c r="H434" s="51" t="n"/>
      <c r="I434" s="51" t="n"/>
      <c r="J434" s="51" t="n"/>
      <c r="K434" s="51" t="n"/>
    </row>
    <row r="435">
      <c r="B435" s="51" t="n"/>
      <c r="C435" s="51" t="n"/>
      <c r="D435" s="51" t="n"/>
      <c r="E435" s="51" t="n"/>
      <c r="F435" s="51" t="n"/>
      <c r="G435" s="51" t="n"/>
      <c r="H435" s="51" t="n"/>
      <c r="I435" s="51" t="n"/>
      <c r="J435" s="51" t="n"/>
      <c r="K435" s="51" t="n"/>
    </row>
    <row r="436">
      <c r="B436" s="51" t="n"/>
      <c r="C436" s="51" t="n"/>
      <c r="D436" s="51" t="n"/>
      <c r="E436" s="51" t="n"/>
      <c r="F436" s="51" t="n"/>
      <c r="G436" s="51" t="n"/>
      <c r="H436" s="51" t="n"/>
      <c r="I436" s="51" t="n"/>
      <c r="J436" s="51" t="n"/>
      <c r="K436" s="51" t="n"/>
    </row>
    <row r="437">
      <c r="B437" s="51" t="n"/>
      <c r="C437" s="51" t="n"/>
      <c r="D437" s="51" t="n"/>
      <c r="E437" s="51" t="n"/>
      <c r="F437" s="51" t="n"/>
      <c r="G437" s="51" t="n"/>
      <c r="H437" s="51" t="n"/>
      <c r="I437" s="51" t="n"/>
      <c r="J437" s="51" t="n"/>
      <c r="K437" s="51" t="n"/>
    </row>
    <row r="438">
      <c r="B438" s="51" t="n"/>
      <c r="C438" s="51" t="n"/>
      <c r="D438" s="51" t="n"/>
      <c r="E438" s="51" t="n"/>
      <c r="F438" s="51" t="n"/>
      <c r="G438" s="51" t="n"/>
      <c r="H438" s="51" t="n"/>
      <c r="I438" s="51" t="n"/>
      <c r="J438" s="51" t="n"/>
      <c r="K438" s="51" t="n"/>
    </row>
    <row r="439">
      <c r="B439" s="51" t="n"/>
      <c r="C439" s="51" t="n"/>
      <c r="D439" s="51" t="n"/>
      <c r="E439" s="51" t="n"/>
      <c r="F439" s="51" t="n"/>
      <c r="G439" s="51" t="n"/>
      <c r="H439" s="51" t="n"/>
      <c r="I439" s="51" t="n"/>
      <c r="J439" s="51" t="n"/>
      <c r="K439" s="51" t="n"/>
    </row>
    <row r="440">
      <c r="B440" s="51" t="n"/>
      <c r="C440" s="51" t="n"/>
      <c r="D440" s="51" t="n"/>
      <c r="E440" s="51" t="n"/>
      <c r="F440" s="51" t="n"/>
      <c r="G440" s="51" t="n"/>
      <c r="H440" s="51" t="n"/>
      <c r="I440" s="51" t="n"/>
      <c r="J440" s="51" t="n"/>
      <c r="K440" s="51" t="n"/>
    </row>
    <row r="441">
      <c r="B441" s="51" t="n"/>
      <c r="C441" s="51" t="n"/>
      <c r="D441" s="51" t="n"/>
      <c r="E441" s="51" t="n"/>
      <c r="F441" s="51" t="n"/>
      <c r="G441" s="51" t="n"/>
      <c r="H441" s="51" t="n"/>
      <c r="I441" s="51" t="n"/>
      <c r="J441" s="51" t="n"/>
      <c r="K441" s="51" t="n"/>
    </row>
    <row r="442">
      <c r="B442" s="51" t="n"/>
      <c r="C442" s="51" t="n"/>
      <c r="D442" s="51" t="n"/>
      <c r="E442" s="51" t="n"/>
      <c r="F442" s="51" t="n"/>
      <c r="G442" s="51" t="n"/>
      <c r="H442" s="51" t="n"/>
      <c r="I442" s="51" t="n"/>
      <c r="J442" s="51" t="n"/>
      <c r="K442" s="51" t="n"/>
    </row>
    <row r="443">
      <c r="B443" s="51" t="n"/>
      <c r="C443" s="51" t="n"/>
      <c r="D443" s="51" t="n"/>
      <c r="E443" s="51" t="n"/>
      <c r="F443" s="51" t="n"/>
      <c r="G443" s="51" t="n"/>
      <c r="H443" s="51" t="n"/>
      <c r="I443" s="51" t="n"/>
      <c r="J443" s="51" t="n"/>
      <c r="K443" s="51" t="n"/>
    </row>
    <row r="444">
      <c r="B444" s="51" t="n"/>
      <c r="C444" s="51" t="n"/>
      <c r="D444" s="51" t="n"/>
      <c r="E444" s="51" t="n"/>
      <c r="F444" s="51" t="n"/>
      <c r="G444" s="51" t="n"/>
      <c r="H444" s="51" t="n"/>
      <c r="I444" s="51" t="n"/>
      <c r="J444" s="51" t="n"/>
      <c r="K444" s="51" t="n"/>
    </row>
    <row r="445">
      <c r="B445" s="51" t="n"/>
      <c r="C445" s="51" t="n"/>
      <c r="D445" s="51" t="n"/>
      <c r="E445" s="51" t="n"/>
      <c r="F445" s="51" t="n"/>
      <c r="G445" s="51" t="n"/>
      <c r="H445" s="51" t="n"/>
      <c r="I445" s="51" t="n"/>
      <c r="J445" s="51" t="n"/>
      <c r="K445" s="51" t="n"/>
    </row>
    <row r="446">
      <c r="B446" s="51" t="n"/>
      <c r="C446" s="51" t="n"/>
      <c r="D446" s="51" t="n"/>
      <c r="E446" s="51" t="n"/>
      <c r="F446" s="51" t="n"/>
      <c r="G446" s="51" t="n"/>
      <c r="H446" s="51" t="n"/>
      <c r="I446" s="51" t="n"/>
      <c r="J446" s="51" t="n"/>
      <c r="K446" s="51" t="n"/>
    </row>
    <row r="447">
      <c r="B447" s="51" t="n"/>
      <c r="C447" s="51" t="n"/>
      <c r="D447" s="51" t="n"/>
      <c r="E447" s="51" t="n"/>
      <c r="F447" s="51" t="n"/>
      <c r="G447" s="51" t="n"/>
      <c r="H447" s="51" t="n"/>
      <c r="I447" s="51" t="n"/>
      <c r="J447" s="51" t="n"/>
      <c r="K447" s="51" t="n"/>
    </row>
    <row r="448">
      <c r="B448" s="51" t="n"/>
      <c r="C448" s="51" t="n"/>
      <c r="D448" s="51" t="n"/>
      <c r="E448" s="51" t="n"/>
      <c r="F448" s="51" t="n"/>
      <c r="G448" s="51" t="n"/>
      <c r="H448" s="51" t="n"/>
      <c r="I448" s="51" t="n"/>
      <c r="J448" s="51" t="n"/>
      <c r="K448" s="51" t="n"/>
    </row>
    <row r="449">
      <c r="B449" s="51" t="n"/>
      <c r="C449" s="51" t="n"/>
      <c r="D449" s="51" t="n"/>
      <c r="E449" s="51" t="n"/>
      <c r="F449" s="51" t="n"/>
      <c r="G449" s="51" t="n"/>
      <c r="H449" s="51" t="n"/>
      <c r="I449" s="51" t="n"/>
      <c r="J449" s="51" t="n"/>
      <c r="K449" s="51" t="n"/>
    </row>
    <row r="450">
      <c r="B450" s="51" t="n"/>
      <c r="C450" s="51" t="n"/>
      <c r="D450" s="51" t="n"/>
      <c r="E450" s="51" t="n"/>
      <c r="F450" s="51" t="n"/>
      <c r="G450" s="51" t="n"/>
      <c r="H450" s="51" t="n"/>
      <c r="I450" s="51" t="n"/>
      <c r="J450" s="51" t="n"/>
      <c r="K450" s="51" t="n"/>
    </row>
    <row r="451">
      <c r="B451" s="51" t="n"/>
      <c r="C451" s="51" t="n"/>
      <c r="D451" s="51" t="n"/>
      <c r="E451" s="51" t="n"/>
      <c r="F451" s="51" t="n"/>
      <c r="G451" s="51" t="n"/>
      <c r="H451" s="51" t="n"/>
      <c r="I451" s="51" t="n"/>
      <c r="J451" s="51" t="n"/>
      <c r="K451" s="51" t="n"/>
    </row>
    <row r="452">
      <c r="B452" s="51" t="n"/>
      <c r="C452" s="51" t="n"/>
      <c r="D452" s="51" t="n"/>
      <c r="E452" s="51" t="n"/>
      <c r="F452" s="51" t="n"/>
      <c r="G452" s="51" t="n"/>
      <c r="H452" s="51" t="n"/>
      <c r="I452" s="51" t="n"/>
      <c r="J452" s="51" t="n"/>
      <c r="K452" s="51" t="n"/>
    </row>
    <row r="453">
      <c r="B453" s="51" t="n"/>
      <c r="C453" s="51" t="n"/>
      <c r="D453" s="51" t="n"/>
      <c r="E453" s="51" t="n"/>
      <c r="F453" s="51" t="n"/>
      <c r="G453" s="51" t="n"/>
      <c r="H453" s="51" t="n"/>
      <c r="I453" s="51" t="n"/>
      <c r="J453" s="51" t="n"/>
      <c r="K453" s="51" t="n"/>
    </row>
    <row r="454">
      <c r="B454" s="51" t="n"/>
      <c r="C454" s="51" t="n"/>
      <c r="D454" s="51" t="n"/>
      <c r="E454" s="51" t="n"/>
      <c r="F454" s="51" t="n"/>
      <c r="G454" s="51" t="n"/>
      <c r="H454" s="51" t="n"/>
      <c r="I454" s="51" t="n"/>
      <c r="J454" s="51" t="n"/>
      <c r="K454" s="51" t="n"/>
    </row>
    <row r="455">
      <c r="B455" s="51" t="n"/>
      <c r="C455" s="51" t="n"/>
      <c r="D455" s="51" t="n"/>
      <c r="E455" s="51" t="n"/>
      <c r="F455" s="51" t="n"/>
      <c r="G455" s="51" t="n"/>
      <c r="H455" s="51" t="n"/>
      <c r="I455" s="51" t="n"/>
      <c r="J455" s="51" t="n"/>
      <c r="K455" s="51" t="n"/>
    </row>
    <row r="456">
      <c r="B456" s="51" t="n"/>
      <c r="C456" s="51" t="n"/>
      <c r="D456" s="51" t="n"/>
      <c r="E456" s="51" t="n"/>
      <c r="F456" s="51" t="n"/>
      <c r="G456" s="51" t="n"/>
      <c r="H456" s="51" t="n"/>
      <c r="I456" s="51" t="n"/>
      <c r="J456" s="51" t="n"/>
      <c r="K456" s="51" t="n"/>
    </row>
    <row r="457">
      <c r="B457" s="51" t="n"/>
      <c r="C457" s="51" t="n"/>
      <c r="D457" s="51" t="n"/>
      <c r="E457" s="51" t="n"/>
      <c r="F457" s="51" t="n"/>
      <c r="G457" s="51" t="n"/>
      <c r="H457" s="51" t="n"/>
      <c r="I457" s="51" t="n"/>
      <c r="J457" s="51" t="n"/>
      <c r="K457" s="51" t="n"/>
    </row>
    <row r="458">
      <c r="B458" s="51" t="n"/>
      <c r="C458" s="51" t="n"/>
      <c r="D458" s="51" t="n"/>
      <c r="E458" s="51" t="n"/>
      <c r="F458" s="51" t="n"/>
      <c r="G458" s="51" t="n"/>
      <c r="H458" s="51" t="n"/>
      <c r="I458" s="51" t="n"/>
      <c r="J458" s="51" t="n"/>
      <c r="K458" s="51" t="n"/>
    </row>
    <row r="459">
      <c r="B459" s="51" t="n"/>
      <c r="C459" s="51" t="n"/>
      <c r="D459" s="51" t="n"/>
      <c r="E459" s="51" t="n"/>
      <c r="F459" s="51" t="n"/>
      <c r="G459" s="51" t="n"/>
      <c r="H459" s="51" t="n"/>
      <c r="I459" s="51" t="n"/>
      <c r="J459" s="51" t="n"/>
      <c r="K459" s="51" t="n"/>
    </row>
    <row r="460">
      <c r="B460" s="51" t="n"/>
      <c r="C460" s="51" t="n"/>
      <c r="D460" s="51" t="n"/>
      <c r="E460" s="51" t="n"/>
      <c r="F460" s="51" t="n"/>
      <c r="G460" s="51" t="n"/>
      <c r="H460" s="51" t="n"/>
      <c r="I460" s="51" t="n"/>
      <c r="J460" s="51" t="n"/>
      <c r="K460" s="51" t="n"/>
    </row>
    <row r="461">
      <c r="B461" s="51" t="n"/>
      <c r="C461" s="51" t="n"/>
      <c r="D461" s="51" t="n"/>
      <c r="E461" s="51" t="n"/>
      <c r="F461" s="51" t="n"/>
      <c r="G461" s="51" t="n"/>
      <c r="H461" s="51" t="n"/>
      <c r="I461" s="51" t="n"/>
      <c r="J461" s="51" t="n"/>
      <c r="K461" s="51" t="n"/>
    </row>
    <row r="462">
      <c r="B462" s="51" t="n"/>
      <c r="C462" s="51" t="n"/>
      <c r="D462" s="51" t="n"/>
      <c r="E462" s="51" t="n"/>
      <c r="F462" s="51" t="n"/>
      <c r="G462" s="51" t="n"/>
      <c r="H462" s="51" t="n"/>
      <c r="I462" s="51" t="n"/>
      <c r="J462" s="51" t="n"/>
      <c r="K462" s="51" t="n"/>
    </row>
    <row r="463">
      <c r="B463" s="51" t="n"/>
      <c r="C463" s="51" t="n"/>
      <c r="D463" s="51" t="n"/>
      <c r="E463" s="51" t="n"/>
      <c r="F463" s="51" t="n"/>
      <c r="G463" s="51" t="n"/>
      <c r="H463" s="51" t="n"/>
      <c r="I463" s="51" t="n"/>
      <c r="J463" s="51" t="n"/>
      <c r="K463" s="51" t="n"/>
    </row>
    <row r="464">
      <c r="B464" s="51" t="n"/>
      <c r="C464" s="51" t="n"/>
      <c r="D464" s="51" t="n"/>
      <c r="E464" s="51" t="n"/>
      <c r="F464" s="51" t="n"/>
      <c r="G464" s="51" t="n"/>
      <c r="H464" s="51" t="n"/>
      <c r="I464" s="51" t="n"/>
      <c r="J464" s="51" t="n"/>
      <c r="K464" s="51" t="n"/>
    </row>
    <row r="465">
      <c r="B465" s="51" t="n"/>
      <c r="C465" s="51" t="n"/>
      <c r="D465" s="51" t="n"/>
      <c r="E465" s="51" t="n"/>
      <c r="F465" s="51" t="n"/>
      <c r="G465" s="51" t="n"/>
      <c r="H465" s="51" t="n"/>
      <c r="I465" s="51" t="n"/>
      <c r="J465" s="51" t="n"/>
      <c r="K465" s="51" t="n"/>
    </row>
    <row r="466">
      <c r="B466" s="51" t="n"/>
      <c r="C466" s="51" t="n"/>
      <c r="D466" s="51" t="n"/>
      <c r="E466" s="51" t="n"/>
      <c r="F466" s="51" t="n"/>
      <c r="G466" s="51" t="n"/>
      <c r="H466" s="51" t="n"/>
      <c r="I466" s="51" t="n"/>
      <c r="J466" s="51" t="n"/>
      <c r="K466" s="51" t="n"/>
    </row>
    <row r="467">
      <c r="B467" s="51" t="n"/>
      <c r="C467" s="51" t="n"/>
      <c r="D467" s="51" t="n"/>
      <c r="E467" s="51" t="n"/>
      <c r="F467" s="51" t="n"/>
      <c r="G467" s="51" t="n"/>
      <c r="H467" s="51" t="n"/>
      <c r="I467" s="51" t="n"/>
      <c r="J467" s="51" t="n"/>
      <c r="K467" s="51" t="n"/>
    </row>
    <row r="468">
      <c r="B468" s="51" t="n"/>
      <c r="C468" s="51" t="n"/>
      <c r="D468" s="51" t="n"/>
      <c r="E468" s="51" t="n"/>
      <c r="F468" s="51" t="n"/>
      <c r="G468" s="51" t="n"/>
      <c r="H468" s="51" t="n"/>
      <c r="I468" s="51" t="n"/>
      <c r="J468" s="51" t="n"/>
      <c r="K468" s="51" t="n"/>
    </row>
    <row r="469">
      <c r="B469" s="51" t="n"/>
      <c r="C469" s="51" t="n"/>
      <c r="D469" s="51" t="n"/>
      <c r="E469" s="51" t="n"/>
      <c r="F469" s="51" t="n"/>
      <c r="G469" s="51" t="n"/>
      <c r="H469" s="51" t="n"/>
      <c r="I469" s="51" t="n"/>
      <c r="J469" s="51" t="n"/>
      <c r="K469" s="51" t="n"/>
    </row>
    <row r="470">
      <c r="B470" s="51" t="n"/>
      <c r="C470" s="51" t="n"/>
      <c r="D470" s="51" t="n"/>
      <c r="E470" s="51" t="n"/>
      <c r="F470" s="51" t="n"/>
      <c r="G470" s="51" t="n"/>
      <c r="H470" s="51" t="n"/>
      <c r="I470" s="51" t="n"/>
      <c r="J470" s="51" t="n"/>
      <c r="K470" s="51" t="n"/>
    </row>
    <row r="471">
      <c r="B471" s="51" t="n"/>
      <c r="C471" s="51" t="n"/>
      <c r="D471" s="51" t="n"/>
      <c r="E471" s="51" t="n"/>
      <c r="F471" s="51" t="n"/>
      <c r="G471" s="51" t="n"/>
      <c r="H471" s="51" t="n"/>
      <c r="I471" s="51" t="n"/>
      <c r="J471" s="51" t="n"/>
      <c r="K471" s="51" t="n"/>
    </row>
    <row r="472">
      <c r="B472" s="51" t="n"/>
      <c r="C472" s="51" t="n"/>
      <c r="D472" s="51" t="n"/>
      <c r="E472" s="51" t="n"/>
      <c r="F472" s="51" t="n"/>
      <c r="G472" s="51" t="n"/>
      <c r="H472" s="51" t="n"/>
      <c r="I472" s="51" t="n"/>
      <c r="J472" s="51" t="n"/>
      <c r="K472" s="51" t="n"/>
    </row>
    <row r="473">
      <c r="B473" s="51" t="n"/>
      <c r="C473" s="51" t="n"/>
      <c r="D473" s="51" t="n"/>
      <c r="E473" s="51" t="n"/>
      <c r="F473" s="51" t="n"/>
      <c r="G473" s="51" t="n"/>
      <c r="H473" s="51" t="n"/>
      <c r="I473" s="51" t="n"/>
      <c r="J473" s="51" t="n"/>
      <c r="K473" s="51" t="n"/>
    </row>
    <row r="474">
      <c r="B474" s="51" t="n"/>
      <c r="C474" s="51" t="n"/>
      <c r="D474" s="51" t="n"/>
      <c r="E474" s="51" t="n"/>
      <c r="F474" s="51" t="n"/>
      <c r="G474" s="51" t="n"/>
      <c r="H474" s="51" t="n"/>
      <c r="I474" s="51" t="n"/>
      <c r="J474" s="51" t="n"/>
      <c r="K474" s="51" t="n"/>
    </row>
    <row r="475">
      <c r="B475" s="51" t="n"/>
      <c r="C475" s="51" t="n"/>
      <c r="D475" s="51" t="n"/>
      <c r="E475" s="51" t="n"/>
      <c r="F475" s="51" t="n"/>
      <c r="G475" s="51" t="n"/>
      <c r="H475" s="51" t="n"/>
      <c r="I475" s="51" t="n"/>
      <c r="J475" s="51" t="n"/>
      <c r="K475" s="51" t="n"/>
    </row>
    <row r="476">
      <c r="B476" s="51" t="n"/>
      <c r="C476" s="51" t="n"/>
      <c r="D476" s="51" t="n"/>
      <c r="E476" s="51" t="n"/>
      <c r="F476" s="51" t="n"/>
      <c r="G476" s="51" t="n"/>
      <c r="H476" s="51" t="n"/>
      <c r="I476" s="51" t="n"/>
      <c r="J476" s="51" t="n"/>
      <c r="K476" s="51" t="n"/>
    </row>
    <row r="477">
      <c r="B477" s="51" t="n"/>
      <c r="C477" s="51" t="n"/>
      <c r="D477" s="51" t="n"/>
      <c r="E477" s="51" t="n"/>
      <c r="F477" s="51" t="n"/>
      <c r="G477" s="51" t="n"/>
      <c r="H477" s="51" t="n"/>
      <c r="I477" s="51" t="n"/>
      <c r="J477" s="51" t="n"/>
      <c r="K477" s="51" t="n"/>
    </row>
    <row r="478">
      <c r="B478" s="51" t="n"/>
      <c r="C478" s="51" t="n"/>
      <c r="D478" s="51" t="n"/>
      <c r="E478" s="51" t="n"/>
      <c r="F478" s="51" t="n"/>
      <c r="G478" s="51" t="n"/>
      <c r="H478" s="51" t="n"/>
      <c r="I478" s="51" t="n"/>
      <c r="J478" s="51" t="n"/>
      <c r="K478" s="51" t="n"/>
    </row>
    <row r="479">
      <c r="B479" s="51" t="n"/>
      <c r="C479" s="51" t="n"/>
      <c r="D479" s="51" t="n"/>
      <c r="E479" s="51" t="n"/>
      <c r="F479" s="51" t="n"/>
      <c r="G479" s="51" t="n"/>
      <c r="H479" s="51" t="n"/>
      <c r="I479" s="51" t="n"/>
      <c r="J479" s="51" t="n"/>
      <c r="K479" s="51" t="n"/>
    </row>
    <row r="480">
      <c r="B480" s="51" t="n"/>
      <c r="C480" s="51" t="n"/>
      <c r="D480" s="51" t="n"/>
      <c r="E480" s="51" t="n"/>
      <c r="F480" s="51" t="n"/>
      <c r="G480" s="51" t="n"/>
      <c r="H480" s="51" t="n"/>
      <c r="I480" s="51" t="n"/>
      <c r="J480" s="51" t="n"/>
      <c r="K480" s="51" t="n"/>
    </row>
    <row r="481">
      <c r="B481" s="51" t="n"/>
      <c r="C481" s="51" t="n"/>
      <c r="D481" s="51" t="n"/>
      <c r="E481" s="51" t="n"/>
      <c r="F481" s="51" t="n"/>
      <c r="G481" s="51" t="n"/>
      <c r="H481" s="51" t="n"/>
      <c r="I481" s="51" t="n"/>
      <c r="J481" s="51" t="n"/>
      <c r="K481" s="51" t="n"/>
    </row>
    <row r="482">
      <c r="B482" s="51" t="n"/>
      <c r="C482" s="51" t="n"/>
      <c r="D482" s="51" t="n"/>
      <c r="E482" s="51" t="n"/>
      <c r="F482" s="51" t="n"/>
      <c r="G482" s="51" t="n"/>
      <c r="H482" s="51" t="n"/>
      <c r="I482" s="51" t="n"/>
      <c r="J482" s="51" t="n"/>
      <c r="K482" s="51" t="n"/>
    </row>
    <row r="483">
      <c r="B483" s="51" t="n"/>
      <c r="C483" s="51" t="n"/>
      <c r="D483" s="51" t="n"/>
      <c r="E483" s="51" t="n"/>
      <c r="F483" s="51" t="n"/>
      <c r="G483" s="51" t="n"/>
      <c r="H483" s="51" t="n"/>
      <c r="I483" s="51" t="n"/>
      <c r="J483" s="51" t="n"/>
      <c r="K483" s="51" t="n"/>
    </row>
    <row r="484">
      <c r="B484" s="51" t="n"/>
      <c r="C484" s="51" t="n"/>
      <c r="D484" s="51" t="n"/>
      <c r="E484" s="51" t="n"/>
      <c r="F484" s="51" t="n"/>
      <c r="G484" s="51" t="n"/>
      <c r="H484" s="51" t="n"/>
      <c r="I484" s="51" t="n"/>
      <c r="J484" s="51" t="n"/>
      <c r="K484" s="51" t="n"/>
    </row>
    <row r="485">
      <c r="B485" s="51" t="n"/>
      <c r="C485" s="51" t="n"/>
      <c r="D485" s="51" t="n"/>
      <c r="E485" s="51" t="n"/>
      <c r="F485" s="51" t="n"/>
      <c r="G485" s="51" t="n"/>
      <c r="H485" s="51" t="n"/>
      <c r="I485" s="51" t="n"/>
      <c r="J485" s="51" t="n"/>
      <c r="K485" s="51" t="n"/>
    </row>
    <row r="486">
      <c r="B486" s="51" t="n"/>
      <c r="C486" s="51" t="n"/>
      <c r="D486" s="51" t="n"/>
      <c r="E486" s="51" t="n"/>
      <c r="F486" s="51" t="n"/>
      <c r="G486" s="51" t="n"/>
      <c r="H486" s="51" t="n"/>
      <c r="I486" s="51" t="n"/>
      <c r="J486" s="51" t="n"/>
      <c r="K486" s="51" t="n"/>
    </row>
    <row r="487">
      <c r="B487" s="51" t="n"/>
      <c r="C487" s="51" t="n"/>
      <c r="D487" s="51" t="n"/>
      <c r="E487" s="51" t="n"/>
      <c r="F487" s="51" t="n"/>
      <c r="G487" s="51" t="n"/>
      <c r="H487" s="51" t="n"/>
      <c r="I487" s="51" t="n"/>
      <c r="J487" s="51" t="n"/>
      <c r="K487" s="51" t="n"/>
    </row>
    <row r="488">
      <c r="B488" s="51" t="n"/>
      <c r="C488" s="51" t="n"/>
      <c r="D488" s="51" t="n"/>
      <c r="E488" s="51" t="n"/>
      <c r="F488" s="51" t="n"/>
      <c r="G488" s="51" t="n"/>
      <c r="H488" s="51" t="n"/>
      <c r="I488" s="51" t="n"/>
      <c r="J488" s="51" t="n"/>
      <c r="K488" s="51" t="n"/>
    </row>
    <row r="489">
      <c r="B489" s="51" t="n"/>
      <c r="C489" s="51" t="n"/>
      <c r="D489" s="51" t="n"/>
      <c r="E489" s="51" t="n"/>
      <c r="F489" s="51" t="n"/>
      <c r="G489" s="51" t="n"/>
      <c r="H489" s="51" t="n"/>
      <c r="I489" s="51" t="n"/>
      <c r="J489" s="51" t="n"/>
      <c r="K489" s="51" t="n"/>
    </row>
    <row r="490">
      <c r="B490" s="51" t="n"/>
      <c r="C490" s="51" t="n"/>
      <c r="D490" s="51" t="n"/>
      <c r="E490" s="51" t="n"/>
      <c r="F490" s="51" t="n"/>
      <c r="G490" s="51" t="n"/>
      <c r="H490" s="51" t="n"/>
      <c r="I490" s="51" t="n"/>
      <c r="J490" s="51" t="n"/>
      <c r="K490" s="51" t="n"/>
    </row>
    <row r="491">
      <c r="B491" s="51" t="n"/>
      <c r="C491" s="51" t="n"/>
      <c r="D491" s="51" t="n"/>
      <c r="E491" s="51" t="n"/>
      <c r="F491" s="51" t="n"/>
      <c r="G491" s="51" t="n"/>
      <c r="H491" s="51" t="n"/>
      <c r="I491" s="51" t="n"/>
      <c r="J491" s="51" t="n"/>
      <c r="K491" s="51" t="n"/>
    </row>
    <row r="492">
      <c r="B492" s="51" t="n"/>
      <c r="C492" s="51" t="n"/>
      <c r="D492" s="51" t="n"/>
      <c r="E492" s="51" t="n"/>
      <c r="F492" s="51" t="n"/>
      <c r="G492" s="51" t="n"/>
      <c r="H492" s="51" t="n"/>
      <c r="I492" s="51" t="n"/>
      <c r="J492" s="51" t="n"/>
      <c r="K492" s="51" t="n"/>
    </row>
    <row r="493">
      <c r="B493" s="51" t="n"/>
      <c r="C493" s="51" t="n"/>
      <c r="D493" s="51" t="n"/>
      <c r="E493" s="51" t="n"/>
      <c r="F493" s="51" t="n"/>
      <c r="G493" s="51" t="n"/>
      <c r="H493" s="51" t="n"/>
      <c r="I493" s="51" t="n"/>
      <c r="J493" s="51" t="n"/>
      <c r="K493" s="51" t="n"/>
    </row>
    <row r="494">
      <c r="B494" s="51" t="n"/>
      <c r="C494" s="51" t="n"/>
      <c r="D494" s="51" t="n"/>
      <c r="E494" s="51" t="n"/>
      <c r="F494" s="51" t="n"/>
      <c r="G494" s="51" t="n"/>
      <c r="H494" s="51" t="n"/>
      <c r="I494" s="51" t="n"/>
      <c r="J494" s="51" t="n"/>
      <c r="K494" s="51" t="n"/>
    </row>
    <row r="495">
      <c r="B495" s="51" t="n"/>
      <c r="C495" s="51" t="n"/>
      <c r="D495" s="51" t="n"/>
      <c r="E495" s="51" t="n"/>
      <c r="F495" s="51" t="n"/>
      <c r="G495" s="51" t="n"/>
      <c r="H495" s="51" t="n"/>
      <c r="I495" s="51" t="n"/>
      <c r="J495" s="51" t="n"/>
      <c r="K495" s="51" t="n"/>
    </row>
    <row r="496">
      <c r="B496" s="51" t="n"/>
      <c r="C496" s="51" t="n"/>
      <c r="D496" s="51" t="n"/>
      <c r="E496" s="51" t="n"/>
      <c r="F496" s="51" t="n"/>
      <c r="G496" s="51" t="n"/>
      <c r="H496" s="51" t="n"/>
      <c r="I496" s="51" t="n"/>
      <c r="J496" s="51" t="n"/>
      <c r="K496" s="51" t="n"/>
    </row>
    <row r="497">
      <c r="B497" s="51" t="n"/>
      <c r="C497" s="51" t="n"/>
      <c r="D497" s="51" t="n"/>
      <c r="E497" s="51" t="n"/>
      <c r="F497" s="51" t="n"/>
      <c r="G497" s="51" t="n"/>
      <c r="H497" s="51" t="n"/>
      <c r="I497" s="51" t="n"/>
      <c r="J497" s="51" t="n"/>
      <c r="K497" s="51" t="n"/>
    </row>
    <row r="498">
      <c r="B498" s="51" t="n"/>
      <c r="C498" s="51" t="n"/>
      <c r="D498" s="51" t="n"/>
      <c r="E498" s="51" t="n"/>
      <c r="F498" s="51" t="n"/>
      <c r="G498" s="51" t="n"/>
      <c r="H498" s="51" t="n"/>
      <c r="I498" s="51" t="n"/>
      <c r="J498" s="51" t="n"/>
      <c r="K498" s="51" t="n"/>
    </row>
    <row r="499">
      <c r="B499" s="51" t="n"/>
      <c r="C499" s="51" t="n"/>
      <c r="D499" s="51" t="n"/>
      <c r="E499" s="51" t="n"/>
      <c r="F499" s="51" t="n"/>
      <c r="G499" s="51" t="n"/>
      <c r="H499" s="51" t="n"/>
      <c r="I499" s="51" t="n"/>
      <c r="J499" s="51" t="n"/>
      <c r="K499" s="51" t="n"/>
    </row>
    <row r="500">
      <c r="B500" s="51" t="n"/>
      <c r="C500" s="51" t="n"/>
      <c r="D500" s="51" t="n"/>
      <c r="E500" s="51" t="n"/>
      <c r="F500" s="51" t="n"/>
      <c r="G500" s="51" t="n"/>
      <c r="H500" s="51" t="n"/>
      <c r="I500" s="51" t="n"/>
      <c r="J500" s="51" t="n"/>
      <c r="K500" s="51" t="n"/>
    </row>
    <row r="501">
      <c r="B501" s="51" t="n"/>
      <c r="C501" s="51" t="n"/>
      <c r="D501" s="51" t="n"/>
      <c r="E501" s="51" t="n"/>
      <c r="F501" s="51" t="n"/>
      <c r="G501" s="51" t="n"/>
      <c r="H501" s="51" t="n"/>
      <c r="I501" s="51" t="n"/>
      <c r="J501" s="51" t="n"/>
      <c r="K501" s="51" t="n"/>
    </row>
    <row r="502">
      <c r="B502" s="51" t="n"/>
      <c r="C502" s="51" t="n"/>
      <c r="D502" s="51" t="n"/>
      <c r="E502" s="51" t="n"/>
      <c r="F502" s="51" t="n"/>
      <c r="G502" s="51" t="n"/>
      <c r="H502" s="51" t="n"/>
      <c r="I502" s="51" t="n"/>
      <c r="J502" s="51" t="n"/>
      <c r="K502" s="51" t="n"/>
    </row>
    <row r="503">
      <c r="B503" s="51" t="n"/>
      <c r="C503" s="51" t="n"/>
      <c r="D503" s="51" t="n"/>
      <c r="E503" s="51" t="n"/>
      <c r="F503" s="51" t="n"/>
      <c r="G503" s="51" t="n"/>
      <c r="H503" s="51" t="n"/>
      <c r="I503" s="51" t="n"/>
      <c r="J503" s="51" t="n"/>
      <c r="K503" s="51" t="n"/>
    </row>
    <row r="504">
      <c r="B504" s="51" t="n"/>
      <c r="C504" s="51" t="n"/>
      <c r="D504" s="51" t="n"/>
      <c r="E504" s="51" t="n"/>
      <c r="F504" s="51" t="n"/>
      <c r="G504" s="51" t="n"/>
      <c r="H504" s="51" t="n"/>
      <c r="I504" s="51" t="n"/>
      <c r="J504" s="51" t="n"/>
      <c r="K504" s="51" t="n"/>
    </row>
    <row r="505">
      <c r="B505" s="51" t="n"/>
      <c r="C505" s="51" t="n"/>
      <c r="D505" s="51" t="n"/>
      <c r="E505" s="51" t="n"/>
      <c r="F505" s="51" t="n"/>
      <c r="G505" s="51" t="n"/>
      <c r="H505" s="51" t="n"/>
      <c r="I505" s="51" t="n"/>
      <c r="J505" s="51" t="n"/>
      <c r="K505" s="51" t="n"/>
    </row>
    <row r="506">
      <c r="B506" s="51" t="n"/>
      <c r="C506" s="51" t="n"/>
      <c r="D506" s="51" t="n"/>
      <c r="E506" s="51" t="n"/>
      <c r="F506" s="51" t="n"/>
      <c r="G506" s="51" t="n"/>
      <c r="H506" s="51" t="n"/>
      <c r="I506" s="51" t="n"/>
      <c r="J506" s="51" t="n"/>
      <c r="K506" s="51" t="n"/>
    </row>
    <row r="507">
      <c r="B507" s="51" t="n"/>
      <c r="C507" s="51" t="n"/>
      <c r="D507" s="51" t="n"/>
      <c r="E507" s="51" t="n"/>
      <c r="F507" s="51" t="n"/>
      <c r="G507" s="51" t="n"/>
      <c r="H507" s="51" t="n"/>
      <c r="I507" s="51" t="n"/>
      <c r="J507" s="51" t="n"/>
      <c r="K507" s="51" t="n"/>
    </row>
    <row r="508">
      <c r="B508" s="51" t="n"/>
      <c r="C508" s="51" t="n"/>
      <c r="D508" s="51" t="n"/>
      <c r="E508" s="51" t="n"/>
      <c r="F508" s="51" t="n"/>
      <c r="G508" s="51" t="n"/>
      <c r="H508" s="51" t="n"/>
      <c r="I508" s="51" t="n"/>
      <c r="J508" s="51" t="n"/>
      <c r="K508" s="51" t="n"/>
    </row>
    <row r="509">
      <c r="B509" s="51" t="n"/>
      <c r="C509" s="51" t="n"/>
      <c r="D509" s="51" t="n"/>
      <c r="E509" s="51" t="n"/>
      <c r="F509" s="51" t="n"/>
      <c r="G509" s="51" t="n"/>
      <c r="H509" s="51" t="n"/>
      <c r="I509" s="51" t="n"/>
      <c r="J509" s="51" t="n"/>
      <c r="K509" s="51" t="n"/>
    </row>
    <row r="510">
      <c r="B510" s="51" t="n"/>
      <c r="C510" s="51" t="n"/>
      <c r="D510" s="51" t="n"/>
      <c r="E510" s="51" t="n"/>
      <c r="F510" s="51" t="n"/>
      <c r="G510" s="51" t="n"/>
      <c r="H510" s="51" t="n"/>
      <c r="I510" s="51" t="n"/>
      <c r="J510" s="51" t="n"/>
      <c r="K510" s="51" t="n"/>
    </row>
    <row r="511">
      <c r="B511" s="51" t="n"/>
      <c r="C511" s="51" t="n"/>
      <c r="D511" s="51" t="n"/>
      <c r="E511" s="51" t="n"/>
      <c r="F511" s="51" t="n"/>
      <c r="G511" s="51" t="n"/>
      <c r="H511" s="51" t="n"/>
      <c r="I511" s="51" t="n"/>
      <c r="J511" s="51" t="n"/>
      <c r="K511" s="51" t="n"/>
    </row>
    <row r="512">
      <c r="B512" s="51" t="n"/>
      <c r="C512" s="51" t="n"/>
      <c r="D512" s="51" t="n"/>
      <c r="E512" s="51" t="n"/>
      <c r="F512" s="51" t="n"/>
      <c r="G512" s="51" t="n"/>
      <c r="H512" s="51" t="n"/>
      <c r="I512" s="51" t="n"/>
      <c r="J512" s="51" t="n"/>
      <c r="K512" s="51" t="n"/>
    </row>
    <row r="513">
      <c r="B513" s="51" t="n"/>
      <c r="C513" s="51" t="n"/>
      <c r="D513" s="51" t="n"/>
      <c r="E513" s="51" t="n"/>
      <c r="F513" s="51" t="n"/>
      <c r="G513" s="51" t="n"/>
      <c r="H513" s="51" t="n"/>
      <c r="I513" s="51" t="n"/>
      <c r="J513" s="51" t="n"/>
      <c r="K513" s="51" t="n"/>
    </row>
    <row r="514">
      <c r="B514" s="51" t="n"/>
      <c r="C514" s="51" t="n"/>
      <c r="D514" s="51" t="n"/>
      <c r="E514" s="51" t="n"/>
      <c r="F514" s="51" t="n"/>
      <c r="G514" s="51" t="n"/>
      <c r="H514" s="51" t="n"/>
      <c r="I514" s="51" t="n"/>
      <c r="J514" s="51" t="n"/>
      <c r="K514" s="51" t="n"/>
    </row>
    <row r="515">
      <c r="B515" s="51" t="n"/>
      <c r="C515" s="51" t="n"/>
      <c r="D515" s="51" t="n"/>
      <c r="E515" s="51" t="n"/>
      <c r="F515" s="51" t="n"/>
      <c r="G515" s="51" t="n"/>
      <c r="H515" s="51" t="n"/>
      <c r="I515" s="51" t="n"/>
      <c r="J515" s="51" t="n"/>
      <c r="K515" s="51" t="n"/>
    </row>
    <row r="516">
      <c r="B516" s="51" t="n"/>
      <c r="C516" s="51" t="n"/>
      <c r="D516" s="51" t="n"/>
      <c r="E516" s="51" t="n"/>
      <c r="F516" s="51" t="n"/>
      <c r="G516" s="51" t="n"/>
      <c r="H516" s="51" t="n"/>
      <c r="I516" s="51" t="n"/>
      <c r="J516" s="51" t="n"/>
      <c r="K516" s="51" t="n"/>
    </row>
    <row r="517">
      <c r="B517" s="51" t="n"/>
      <c r="C517" s="51" t="n"/>
      <c r="D517" s="51" t="n"/>
      <c r="E517" s="51" t="n"/>
      <c r="F517" s="51" t="n"/>
      <c r="G517" s="51" t="n"/>
      <c r="H517" s="51" t="n"/>
      <c r="I517" s="51" t="n"/>
      <c r="J517" s="51" t="n"/>
      <c r="K517" s="51" t="n"/>
    </row>
  </sheetData>
  <mergeCells count="7">
    <mergeCell ref="B8:K8"/>
    <mergeCell ref="B4:K4"/>
    <mergeCell ref="B10:C10"/>
    <mergeCell ref="B7:K7"/>
    <mergeCell ref="B6:K6"/>
    <mergeCell ref="B3:K3"/>
    <mergeCell ref="B5:K5"/>
  </mergeCells>
  <conditionalFormatting sqref="E9">
    <cfRule type="cellIs" priority="1" operator="greaterThan" dxfId="5">
      <formula>0</formula>
    </cfRule>
  </conditionalFormatting>
  <conditionalFormatting sqref="B17:B517">
    <cfRule type="expression" priority="2" dxfId="6">
      <formula>AND(LEN($B17&amp;$C17&amp;$D17&amp;$E17&amp;$F17&amp;$G17&amp;$H17&amp;$I17&amp;$J17&amp;$K17)&gt;0,B17="")</formula>
    </cfRule>
  </conditionalFormatting>
  <conditionalFormatting sqref="C17:C517">
    <cfRule type="expression" priority="3" dxfId="6">
      <formula>AND(LEN($B17&amp;$C17&amp;$D17&amp;$E17&amp;$F17&amp;$G17&amp;$H17&amp;$I17&amp;$J17&amp;$K17)&gt;0,C17="")</formula>
    </cfRule>
  </conditionalFormatting>
  <conditionalFormatting sqref="D17:D517">
    <cfRule type="expression" priority="4" dxfId="6">
      <formula>AND(LEN($B17&amp;$C17&amp;$D17&amp;$E17&amp;$F17&amp;$G17&amp;$H17&amp;$I17&amp;$J17&amp;$K17)&gt;0,D17="")</formula>
    </cfRule>
  </conditionalFormatting>
  <conditionalFormatting sqref="E17:E517">
    <cfRule type="expression" priority="5" dxfId="6">
      <formula>AND(LEN($B17&amp;$C17&amp;$D17&amp;$E17&amp;$F17&amp;$G17&amp;$H17&amp;$I17&amp;$J17&amp;$K17)&gt;0,E17="")</formula>
    </cfRule>
  </conditionalFormatting>
  <conditionalFormatting sqref="K17:K517">
    <cfRule type="expression" priority="6" dxfId="6">
      <formula>AND(LEN($B17&amp;$C17&amp;$D17&amp;$E17&amp;$F17&amp;$G17&amp;$H17&amp;$I17&amp;$J17&amp;$K17)&gt;0,K17="")</formula>
    </cfRule>
  </conditionalFormatting>
  <dataValidations count="11">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Bank account code" error="The code is not in D0-11, column Bank account code. Enter it there first, or keep it if it is a code BIBS already holds." promptTitle="Bank account code" prompt="Yes. Account of the statement Allowed: A code of D0-11 Company bank accounts, column Bank account code" type="list" errorStyle="warning">
      <formula1>=CODES_D0_11_BANK_ACCOUNT_CODE</formula1>
    </dataValidation>
    <dataValidation sqref="C17:C517" showDropDown="0" showInputMessage="1" showErrorMessage="0" allowBlank="1" promptTitle="Layout name" prompt="Yes. Name of the layout"/>
    <dataValidation sqref="D17:D517" showDropDown="0" showInputMessage="1" showErrorMessage="0" allowBlank="1" promptTitle="Date column" prompt="Yes. Column of the transaction date"/>
    <dataValidation sqref="E17:E517" showDropDown="0" showInputMessage="1" showErrorMessage="0" allowBlank="1" promptTitle="Description column" prompt="Yes. Column of the description"/>
    <dataValidation sqref="F17:F517" showDropDown="0" showInputMessage="1" showErrorMessage="0" allowBlank="1" promptTitle="Reference column" prompt="No. Column of the reference"/>
    <dataValidation sqref="G17:G517" showDropDown="0" showInputMessage="1" showErrorMessage="0" allowBlank="1" promptTitle="Debit column" prompt="Conditional: separate columns. Column of the debits"/>
    <dataValidation sqref="H17:H517" showDropDown="0" showInputMessage="1" showErrorMessage="0" allowBlank="1" promptTitle="Credit column" prompt="Conditional: separate columns. Column of the credits"/>
    <dataValidation sqref="I17:I517" showDropDown="0" showInputMessage="1" showErrorMessage="0" allowBlank="1" promptTitle="Amount column" prompt="Conditional: one signed column. Column of a signed amount"/>
    <dataValidation sqref="J17:J517" showDropDown="0" showInputMessage="1" showErrorMessage="0" allowBlank="1" promptTitle="Balance column" prompt="No. Column of the running balance"/>
    <dataValidation sqref="K17:K517" showDropDown="0" showInputMessage="1" showErrorMessage="0" allowBlank="1" promptTitle="Date format" prompt="Yes. Format of the dates in the file"/>
  </dataValidations>
  <hyperlinks>
    <hyperlink ref="A2" location="'Start here'!A1"/>
    <hyperlink ref="K2" location="'Questions and comments'!A1"/>
    <hyperlink ref="B8" location="'D0-11 Bank accounts'!A1"/>
    <hyperlink ref="B14" location="'D0-11 Bank accounts'!B16"/>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40" customWidth="1" min="2" max="2"/>
    <col width="26" customWidth="1" min="3" max="3"/>
    <col width="25" customWidth="1" min="4" max="4"/>
    <col width="23" customWidth="1" min="5" max="5"/>
    <col width="37" customWidth="1" min="6" max="6"/>
    <col width="34" customWidth="1" min="7" max="7"/>
    <col width="12" customWidth="1" min="8" max="8"/>
    <col width="12" customWidth="1" min="9" max="9"/>
  </cols>
  <sheetData>
    <row r="1" ht="26" customHeight="1">
      <c r="A1" s="27" t="inlineStr">
        <is>
          <t>PM-07 Package map (legacy package to BIBS package version)</t>
        </is>
      </c>
      <c r="I1" s="28" t="inlineStr">
        <is>
          <t>Step 29 of 31</t>
        </is>
      </c>
    </row>
    <row r="2">
      <c r="A2" s="29" t="inlineStr">
        <is>
          <t>← Back to Start here</t>
        </is>
      </c>
      <c r="B2" s="30" t="inlineStr">
        <is>
          <t>Step 29 of 31. Fill in one row per record below the column headers; the guide above each column says what to enter.</t>
        </is>
      </c>
      <c r="I2" s="31" t="inlineStr">
        <is>
          <t>Ask a question →</t>
        </is>
      </c>
    </row>
    <row r="3" outlineLevel="1" ht="15.5" customHeight="1">
      <c r="A3" s="32" t="inlineStr">
        <is>
          <t>Purpose</t>
        </is>
      </c>
      <c r="B3" s="33" t="inlineStr">
        <is>
          <t>Entries from each legacy package and version to the BIBS package version that renews it, with qualifiers where one legacy package splits; read at Renewal sanitation (check PACKAGE_REMAP)</t>
        </is>
      </c>
    </row>
    <row r="4" outlineLevel="1" ht="15.5" customHeight="1">
      <c r="A4" s="32" t="inlineStr">
        <is>
          <t>Provided by</t>
        </is>
      </c>
      <c r="B4" s="33" t="inlineStr">
        <is>
          <t>TSU (prepares); Product Owner, MBS (approves each map version)</t>
        </is>
      </c>
    </row>
    <row r="5" outlineLevel="1" ht="15.5" customHeight="1">
      <c r="A5" s="32" t="inlineStr">
        <is>
          <t>Due</t>
        </is>
      </c>
      <c r="B5" s="34" t="inlineStr">
        <is>
          <t>18-Jun-2027 – Code maps approved (M5)</t>
        </is>
      </c>
    </row>
    <row r="6" outlineLevel="1" ht="15.5" customHeight="1">
      <c r="A6" s="32" t="inlineStr">
        <is>
          <t>How it is loaded</t>
        </is>
      </c>
      <c r="B6" s="33" t="inlineStr">
        <is>
          <t>Data migration object R06 (loaded as reference data and handed to the Renewal package map); new map versions until the map freeze (T-7), then maintained in Renewal</t>
        </is>
      </c>
    </row>
    <row r="7" outlineLevel="1" ht="15.5" customHeight="1">
      <c r="A7" s="32" t="inlineStr">
        <is>
          <t>Source</t>
        </is>
      </c>
      <c r="B7" s="33" t="inlineStr">
        <is>
          <t>QPS package list of the in-force policies expiring from go-live</t>
        </is>
      </c>
    </row>
    <row r="8" outlineLevel="1" ht="26" customHeight="1">
      <c r="A8" s="32" t="inlineStr">
        <is>
          <t>Depends on</t>
        </is>
      </c>
      <c r="B8" s="55" t="inlineStr">
        <is>
          <t>PM-01 Product catalogue →</t>
        </is>
      </c>
      <c r="C8" s="55" t="inlineStr">
        <is>
          <t>PM-05 Insurers, branches and commission rates →</t>
        </is>
      </c>
      <c r="D8" s="55" t="inlineStr">
        <is>
          <t>PM-06 Packages in force at go-live →</t>
        </is>
      </c>
    </row>
    <row r="9" ht="26" customHeight="1">
      <c r="A9" s="36" t="inlineStr">
        <is>
          <t>Progress</t>
        </is>
      </c>
      <c r="B9" s="37" t="inlineStr">
        <is>
          <t>Rows entered</t>
        </is>
      </c>
      <c r="C9" s="38">
        <f>SUMPRODUCT(((ROW($B$17:$B$517)&gt;17)+($B$17&lt;&gt;"PKG-MOTOR-FLEET; 3")&gt;0)*(LEN($B$17:$B$517&amp;$C$17:$C$517&amp;$D$17:$D$517&amp;$E$17:$E$517&amp;$F$17:$F$517&amp;$G$17:$G$517&amp;$H$17:$H$517&amp;$I$17:$I$517)&gt;0))</f>
        <v/>
      </c>
      <c r="D9" s="37" t="inlineStr">
        <is>
          <t>Mandatory cells missing</t>
        </is>
      </c>
      <c r="E9" s="38">
        <f>SUMPRODUCT(((ROW($B$17:$B$517)&gt;17)+($B$17&lt;&gt;"PKG-MOTOR-FLEET; 3")&gt;0)*(LEN($B$17:$B$517&amp;$C$17:$C$517&amp;$D$17:$D$517&amp;$E$17:$E$517&amp;$F$17:$F$517&amp;$G$17:$G$517&amp;$H$17:$H$517&amp;$I$17:$I$517)&gt;0)*(($B$17:$B$517="")+($H$17:$H$517="")))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c r="H11" s="42" t="n"/>
      <c r="I11" s="42" t="n"/>
    </row>
    <row r="12" ht="17" customHeight="1">
      <c r="A12" s="43" t="inlineStr">
        <is>
          <t>Mandatory</t>
        </is>
      </c>
      <c r="B12" s="44" t="inlineStr">
        <is>
          <t>Yes</t>
        </is>
      </c>
      <c r="C12" s="45" t="inlineStr">
        <is>
          <t>No</t>
        </is>
      </c>
      <c r="D12" s="45" t="inlineStr">
        <is>
          <t>No</t>
        </is>
      </c>
      <c r="E12" s="45" t="inlineStr">
        <is>
          <t>No</t>
        </is>
      </c>
      <c r="F12" s="45" t="inlineStr">
        <is>
          <t>No</t>
        </is>
      </c>
      <c r="G12" s="45" t="inlineStr">
        <is>
          <t>Conditional: action MAP</t>
        </is>
      </c>
      <c r="H12" s="44" t="inlineStr">
        <is>
          <t>Yes</t>
        </is>
      </c>
      <c r="I12" s="45" t="inlineStr">
        <is>
          <t>No</t>
        </is>
      </c>
    </row>
    <row r="13" ht="30" customHeight="1">
      <c r="A13" s="43" t="inlineStr">
        <is>
          <t>Format</t>
        </is>
      </c>
      <c r="B13" s="45" t="inlineStr">
        <is>
          <t>As stored in QPS</t>
        </is>
      </c>
      <c r="C13" s="45" t="inlineStr">
        <is>
          <t>Text</t>
        </is>
      </c>
      <c r="D13" s="45" t="inlineStr">
        <is>
          <t>Risk code of CI-01</t>
        </is>
      </c>
      <c r="E13" s="45" t="inlineStr">
        <is>
          <t>Partner code of CI-05</t>
        </is>
      </c>
      <c r="F13" s="45" t="inlineStr">
        <is>
          <t>PHP amounts</t>
        </is>
      </c>
      <c r="G13" s="45" t="inlineStr">
        <is>
          <t>A package version active in Product Maintenance</t>
        </is>
      </c>
      <c r="H13" s="45" t="inlineStr">
        <is>
          <t>MAP or REJECT</t>
        </is>
      </c>
      <c r="I13" s="45" t="inlineStr">
        <is>
          <t>Text</t>
        </is>
      </c>
    </row>
    <row r="14" ht="43" customHeight="1">
      <c r="A14" s="43" t="inlineStr">
        <is>
          <t>Allowed values</t>
        </is>
      </c>
      <c r="B14" s="45" t="inlineStr">
        <is>
          <t>Free entry</t>
        </is>
      </c>
      <c r="C14" s="45" t="inlineStr">
        <is>
          <t>Free entry</t>
        </is>
      </c>
      <c r="D14" s="53" t="inlineStr">
        <is>
          <t>A code of PM-01 Product catalogue, column Risk code</t>
        </is>
      </c>
      <c r="E14" s="53" t="inlineStr">
        <is>
          <t>A code of PM-05 Insurers, branches and commission rates, column Partner code</t>
        </is>
      </c>
      <c r="F14" s="45" t="inlineStr">
        <is>
          <t>Free entry</t>
        </is>
      </c>
      <c r="G14" s="53" t="inlineStr">
        <is>
          <t>Codes of PM-06 Packages in force at go-live, column Risk code (one or more)</t>
        </is>
      </c>
      <c r="H14" s="53" t="inlineStr">
        <is>
          <t>MAP, REJECT (list Package map action)</t>
        </is>
      </c>
      <c r="I14" s="45" t="inlineStr">
        <is>
          <t>Free entry</t>
        </is>
      </c>
    </row>
    <row r="15" ht="69" customHeight="1">
      <c r="A15" s="43" t="inlineStr">
        <is>
          <t>What to enter</t>
        </is>
      </c>
      <c r="B15" s="45" t="inlineStr">
        <is>
          <t>Package of the legacy policy headers</t>
        </is>
      </c>
      <c r="C15" s="45" t="inlineStr">
        <is>
          <t>For reading only</t>
        </is>
      </c>
      <c r="D15" s="45" t="inlineStr">
        <is>
          <t>When one legacy package maps to several BIBS packages by product</t>
        </is>
      </c>
      <c r="E15" s="45" t="inlineStr">
        <is>
          <t>When the split is by insurer</t>
        </is>
      </c>
      <c r="F15" s="45" t="inlineStr">
        <is>
          <t>When the split is by sum-insured band</t>
        </is>
      </c>
      <c r="G15" s="45" t="inlineStr">
        <is>
          <t>Target of the entry</t>
        </is>
      </c>
      <c r="H15" s="45" t="inlineStr">
        <is>
          <t>REJECT sends the candidate to the Renewal Exception bucket</t>
        </is>
      </c>
      <c r="I15" s="45" t="inlineStr">
        <is>
          <t>Reason of a REJECT or a split</t>
        </is>
      </c>
    </row>
    <row r="16" ht="30" customHeight="1">
      <c r="A16" s="46" t="inlineStr">
        <is>
          <t>Row</t>
        </is>
      </c>
      <c r="B16" s="47" t="inlineStr">
        <is>
          <t>Legacy package code / Legacy version *</t>
        </is>
      </c>
      <c r="C16" s="47" t="inlineStr">
        <is>
          <t>Legacy package name</t>
        </is>
      </c>
      <c r="D16" s="47" t="inlineStr">
        <is>
          <t>Qualifier: risk code</t>
        </is>
      </c>
      <c r="E16" s="47" t="inlineStr">
        <is>
          <t>Qualifier: insurer</t>
        </is>
      </c>
      <c r="F16" s="47" t="inlineStr">
        <is>
          <t>Qualifier: sum insured from / to</t>
        </is>
      </c>
      <c r="G16" s="47" t="inlineStr">
        <is>
          <t>BIBS risk code / BIBS version</t>
        </is>
      </c>
      <c r="H16" s="47" t="inlineStr">
        <is>
          <t>Action *</t>
        </is>
      </c>
      <c r="I16" s="47" t="inlineStr">
        <is>
          <t>Remarks</t>
        </is>
      </c>
    </row>
    <row r="17" ht="18" customHeight="1">
      <c r="A17" s="48" t="inlineStr">
        <is>
          <t>Example – overwrite or delete</t>
        </is>
      </c>
      <c r="B17" s="49" t="inlineStr">
        <is>
          <t>PKG-MOTOR-FLEET; 3</t>
        </is>
      </c>
      <c r="C17" s="49" t="inlineStr">
        <is>
          <t>Motor fleet package 2025</t>
        </is>
      </c>
      <c r="D17" s="49" t="inlineStr">
        <is>
          <t>MTR30</t>
        </is>
      </c>
      <c r="E17" s="49" t="n"/>
      <c r="F17" s="49" t="n"/>
      <c r="G17" s="49" t="inlineStr">
        <is>
          <t>MTR30; 1</t>
        </is>
      </c>
      <c r="H17" s="49" t="inlineStr">
        <is>
          <t>MAP</t>
        </is>
      </c>
      <c r="I17" s="49" t="n"/>
    </row>
    <row r="18">
      <c r="B18" s="51" t="n"/>
      <c r="C18" s="51" t="n"/>
      <c r="D18" s="51" t="n"/>
      <c r="E18" s="51" t="n"/>
      <c r="F18" s="51" t="n"/>
      <c r="G18" s="51" t="n"/>
      <c r="H18" s="51" t="n"/>
      <c r="I18" s="51" t="n"/>
    </row>
    <row r="19">
      <c r="B19" s="51" t="n"/>
      <c r="C19" s="51" t="n"/>
      <c r="D19" s="51" t="n"/>
      <c r="E19" s="51" t="n"/>
      <c r="F19" s="51" t="n"/>
      <c r="G19" s="51" t="n"/>
      <c r="H19" s="51" t="n"/>
      <c r="I19" s="51" t="n"/>
    </row>
    <row r="20">
      <c r="B20" s="51" t="n"/>
      <c r="C20" s="51" t="n"/>
      <c r="D20" s="51" t="n"/>
      <c r="E20" s="51" t="n"/>
      <c r="F20" s="51" t="n"/>
      <c r="G20" s="51" t="n"/>
      <c r="H20" s="51" t="n"/>
      <c r="I20" s="51" t="n"/>
    </row>
    <row r="21">
      <c r="B21" s="51" t="n"/>
      <c r="C21" s="51" t="n"/>
      <c r="D21" s="51" t="n"/>
      <c r="E21" s="51" t="n"/>
      <c r="F21" s="51" t="n"/>
      <c r="G21" s="51" t="n"/>
      <c r="H21" s="51" t="n"/>
      <c r="I21" s="51" t="n"/>
    </row>
    <row r="22">
      <c r="B22" s="51" t="n"/>
      <c r="C22" s="51" t="n"/>
      <c r="D22" s="51" t="n"/>
      <c r="E22" s="51" t="n"/>
      <c r="F22" s="51" t="n"/>
      <c r="G22" s="51" t="n"/>
      <c r="H22" s="51" t="n"/>
      <c r="I22" s="51" t="n"/>
    </row>
    <row r="23">
      <c r="B23" s="51" t="n"/>
      <c r="C23" s="51" t="n"/>
      <c r="D23" s="51" t="n"/>
      <c r="E23" s="51" t="n"/>
      <c r="F23" s="51" t="n"/>
      <c r="G23" s="51" t="n"/>
      <c r="H23" s="51" t="n"/>
      <c r="I23" s="51" t="n"/>
    </row>
    <row r="24">
      <c r="B24" s="51" t="n"/>
      <c r="C24" s="51" t="n"/>
      <c r="D24" s="51" t="n"/>
      <c r="E24" s="51" t="n"/>
      <c r="F24" s="51" t="n"/>
      <c r="G24" s="51" t="n"/>
      <c r="H24" s="51" t="n"/>
      <c r="I24" s="51" t="n"/>
    </row>
    <row r="25">
      <c r="B25" s="51" t="n"/>
      <c r="C25" s="51" t="n"/>
      <c r="D25" s="51" t="n"/>
      <c r="E25" s="51" t="n"/>
      <c r="F25" s="51" t="n"/>
      <c r="G25" s="51" t="n"/>
      <c r="H25" s="51" t="n"/>
      <c r="I25" s="51" t="n"/>
    </row>
    <row r="26">
      <c r="B26" s="51" t="n"/>
      <c r="C26" s="51" t="n"/>
      <c r="D26" s="51" t="n"/>
      <c r="E26" s="51" t="n"/>
      <c r="F26" s="51" t="n"/>
      <c r="G26" s="51" t="n"/>
      <c r="H26" s="51" t="n"/>
      <c r="I26" s="51" t="n"/>
    </row>
    <row r="27">
      <c r="B27" s="51" t="n"/>
      <c r="C27" s="51" t="n"/>
      <c r="D27" s="51" t="n"/>
      <c r="E27" s="51" t="n"/>
      <c r="F27" s="51" t="n"/>
      <c r="G27" s="51" t="n"/>
      <c r="H27" s="51" t="n"/>
      <c r="I27" s="51" t="n"/>
    </row>
    <row r="28">
      <c r="B28" s="51" t="n"/>
      <c r="C28" s="51" t="n"/>
      <c r="D28" s="51" t="n"/>
      <c r="E28" s="51" t="n"/>
      <c r="F28" s="51" t="n"/>
      <c r="G28" s="51" t="n"/>
      <c r="H28" s="51" t="n"/>
      <c r="I28" s="51" t="n"/>
    </row>
    <row r="29">
      <c r="B29" s="51" t="n"/>
      <c r="C29" s="51" t="n"/>
      <c r="D29" s="51" t="n"/>
      <c r="E29" s="51" t="n"/>
      <c r="F29" s="51" t="n"/>
      <c r="G29" s="51" t="n"/>
      <c r="H29" s="51" t="n"/>
      <c r="I29" s="51" t="n"/>
    </row>
    <row r="30">
      <c r="B30" s="51" t="n"/>
      <c r="C30" s="51" t="n"/>
      <c r="D30" s="51" t="n"/>
      <c r="E30" s="51" t="n"/>
      <c r="F30" s="51" t="n"/>
      <c r="G30" s="51" t="n"/>
      <c r="H30" s="51" t="n"/>
      <c r="I30" s="51" t="n"/>
    </row>
    <row r="31">
      <c r="B31" s="51" t="n"/>
      <c r="C31" s="51" t="n"/>
      <c r="D31" s="51" t="n"/>
      <c r="E31" s="51" t="n"/>
      <c r="F31" s="51" t="n"/>
      <c r="G31" s="51" t="n"/>
      <c r="H31" s="51" t="n"/>
      <c r="I31" s="51" t="n"/>
    </row>
    <row r="32">
      <c r="B32" s="51" t="n"/>
      <c r="C32" s="51" t="n"/>
      <c r="D32" s="51" t="n"/>
      <c r="E32" s="51" t="n"/>
      <c r="F32" s="51" t="n"/>
      <c r="G32" s="51" t="n"/>
      <c r="H32" s="51" t="n"/>
      <c r="I32" s="51" t="n"/>
    </row>
    <row r="33">
      <c r="B33" s="51" t="n"/>
      <c r="C33" s="51" t="n"/>
      <c r="D33" s="51" t="n"/>
      <c r="E33" s="51" t="n"/>
      <c r="F33" s="51" t="n"/>
      <c r="G33" s="51" t="n"/>
      <c r="H33" s="51" t="n"/>
      <c r="I33" s="51" t="n"/>
    </row>
    <row r="34">
      <c r="B34" s="51" t="n"/>
      <c r="C34" s="51" t="n"/>
      <c r="D34" s="51" t="n"/>
      <c r="E34" s="51" t="n"/>
      <c r="F34" s="51" t="n"/>
      <c r="G34" s="51" t="n"/>
      <c r="H34" s="51" t="n"/>
      <c r="I34" s="51" t="n"/>
    </row>
    <row r="35">
      <c r="B35" s="51" t="n"/>
      <c r="C35" s="51" t="n"/>
      <c r="D35" s="51" t="n"/>
      <c r="E35" s="51" t="n"/>
      <c r="F35" s="51" t="n"/>
      <c r="G35" s="51" t="n"/>
      <c r="H35" s="51" t="n"/>
      <c r="I35" s="51" t="n"/>
    </row>
    <row r="36">
      <c r="B36" s="51" t="n"/>
      <c r="C36" s="51" t="n"/>
      <c r="D36" s="51" t="n"/>
      <c r="E36" s="51" t="n"/>
      <c r="F36" s="51" t="n"/>
      <c r="G36" s="51" t="n"/>
      <c r="H36" s="51" t="n"/>
      <c r="I36" s="51" t="n"/>
    </row>
    <row r="37">
      <c r="B37" s="51" t="n"/>
      <c r="C37" s="51" t="n"/>
      <c r="D37" s="51" t="n"/>
      <c r="E37" s="51" t="n"/>
      <c r="F37" s="51" t="n"/>
      <c r="G37" s="51" t="n"/>
      <c r="H37" s="51" t="n"/>
      <c r="I37" s="51" t="n"/>
    </row>
    <row r="38">
      <c r="B38" s="51" t="n"/>
      <c r="C38" s="51" t="n"/>
      <c r="D38" s="51" t="n"/>
      <c r="E38" s="51" t="n"/>
      <c r="F38" s="51" t="n"/>
      <c r="G38" s="51" t="n"/>
      <c r="H38" s="51" t="n"/>
      <c r="I38" s="51" t="n"/>
    </row>
    <row r="39">
      <c r="B39" s="51" t="n"/>
      <c r="C39" s="51" t="n"/>
      <c r="D39" s="51" t="n"/>
      <c r="E39" s="51" t="n"/>
      <c r="F39" s="51" t="n"/>
      <c r="G39" s="51" t="n"/>
      <c r="H39" s="51" t="n"/>
      <c r="I39" s="51" t="n"/>
    </row>
    <row r="40">
      <c r="B40" s="51" t="n"/>
      <c r="C40" s="51" t="n"/>
      <c r="D40" s="51" t="n"/>
      <c r="E40" s="51" t="n"/>
      <c r="F40" s="51" t="n"/>
      <c r="G40" s="51" t="n"/>
      <c r="H40" s="51" t="n"/>
      <c r="I40" s="51" t="n"/>
    </row>
    <row r="41">
      <c r="B41" s="51" t="n"/>
      <c r="C41" s="51" t="n"/>
      <c r="D41" s="51" t="n"/>
      <c r="E41" s="51" t="n"/>
      <c r="F41" s="51" t="n"/>
      <c r="G41" s="51" t="n"/>
      <c r="H41" s="51" t="n"/>
      <c r="I41" s="51" t="n"/>
    </row>
    <row r="42">
      <c r="B42" s="51" t="n"/>
      <c r="C42" s="51" t="n"/>
      <c r="D42" s="51" t="n"/>
      <c r="E42" s="51" t="n"/>
      <c r="F42" s="51" t="n"/>
      <c r="G42" s="51" t="n"/>
      <c r="H42" s="51" t="n"/>
      <c r="I42" s="51" t="n"/>
    </row>
    <row r="43">
      <c r="B43" s="51" t="n"/>
      <c r="C43" s="51" t="n"/>
      <c r="D43" s="51" t="n"/>
      <c r="E43" s="51" t="n"/>
      <c r="F43" s="51" t="n"/>
      <c r="G43" s="51" t="n"/>
      <c r="H43" s="51" t="n"/>
      <c r="I43" s="51" t="n"/>
    </row>
    <row r="44">
      <c r="B44" s="51" t="n"/>
      <c r="C44" s="51" t="n"/>
      <c r="D44" s="51" t="n"/>
      <c r="E44" s="51" t="n"/>
      <c r="F44" s="51" t="n"/>
      <c r="G44" s="51" t="n"/>
      <c r="H44" s="51" t="n"/>
      <c r="I44" s="51" t="n"/>
    </row>
    <row r="45">
      <c r="B45" s="51" t="n"/>
      <c r="C45" s="51" t="n"/>
      <c r="D45" s="51" t="n"/>
      <c r="E45" s="51" t="n"/>
      <c r="F45" s="51" t="n"/>
      <c r="G45" s="51" t="n"/>
      <c r="H45" s="51" t="n"/>
      <c r="I45" s="51" t="n"/>
    </row>
    <row r="46">
      <c r="B46" s="51" t="n"/>
      <c r="C46" s="51" t="n"/>
      <c r="D46" s="51" t="n"/>
      <c r="E46" s="51" t="n"/>
      <c r="F46" s="51" t="n"/>
      <c r="G46" s="51" t="n"/>
      <c r="H46" s="51" t="n"/>
      <c r="I46" s="51" t="n"/>
    </row>
    <row r="47">
      <c r="B47" s="51" t="n"/>
      <c r="C47" s="51" t="n"/>
      <c r="D47" s="51" t="n"/>
      <c r="E47" s="51" t="n"/>
      <c r="F47" s="51" t="n"/>
      <c r="G47" s="51" t="n"/>
      <c r="H47" s="51" t="n"/>
      <c r="I47" s="51" t="n"/>
    </row>
    <row r="48">
      <c r="B48" s="51" t="n"/>
      <c r="C48" s="51" t="n"/>
      <c r="D48" s="51" t="n"/>
      <c r="E48" s="51" t="n"/>
      <c r="F48" s="51" t="n"/>
      <c r="G48" s="51" t="n"/>
      <c r="H48" s="51" t="n"/>
      <c r="I48" s="51" t="n"/>
    </row>
    <row r="49">
      <c r="B49" s="51" t="n"/>
      <c r="C49" s="51" t="n"/>
      <c r="D49" s="51" t="n"/>
      <c r="E49" s="51" t="n"/>
      <c r="F49" s="51" t="n"/>
      <c r="G49" s="51" t="n"/>
      <c r="H49" s="51" t="n"/>
      <c r="I49" s="51" t="n"/>
    </row>
    <row r="50">
      <c r="B50" s="51" t="n"/>
      <c r="C50" s="51" t="n"/>
      <c r="D50" s="51" t="n"/>
      <c r="E50" s="51" t="n"/>
      <c r="F50" s="51" t="n"/>
      <c r="G50" s="51" t="n"/>
      <c r="H50" s="51" t="n"/>
      <c r="I50" s="51" t="n"/>
    </row>
    <row r="51">
      <c r="B51" s="51" t="n"/>
      <c r="C51" s="51" t="n"/>
      <c r="D51" s="51" t="n"/>
      <c r="E51" s="51" t="n"/>
      <c r="F51" s="51" t="n"/>
      <c r="G51" s="51" t="n"/>
      <c r="H51" s="51" t="n"/>
      <c r="I51" s="51" t="n"/>
    </row>
    <row r="52">
      <c r="B52" s="51" t="n"/>
      <c r="C52" s="51" t="n"/>
      <c r="D52" s="51" t="n"/>
      <c r="E52" s="51" t="n"/>
      <c r="F52" s="51" t="n"/>
      <c r="G52" s="51" t="n"/>
      <c r="H52" s="51" t="n"/>
      <c r="I52" s="51" t="n"/>
    </row>
    <row r="53">
      <c r="B53" s="51" t="n"/>
      <c r="C53" s="51" t="n"/>
      <c r="D53" s="51" t="n"/>
      <c r="E53" s="51" t="n"/>
      <c r="F53" s="51" t="n"/>
      <c r="G53" s="51" t="n"/>
      <c r="H53" s="51" t="n"/>
      <c r="I53" s="51" t="n"/>
    </row>
    <row r="54">
      <c r="B54" s="51" t="n"/>
      <c r="C54" s="51" t="n"/>
      <c r="D54" s="51" t="n"/>
      <c r="E54" s="51" t="n"/>
      <c r="F54" s="51" t="n"/>
      <c r="G54" s="51" t="n"/>
      <c r="H54" s="51" t="n"/>
      <c r="I54" s="51" t="n"/>
    </row>
    <row r="55">
      <c r="B55" s="51" t="n"/>
      <c r="C55" s="51" t="n"/>
      <c r="D55" s="51" t="n"/>
      <c r="E55" s="51" t="n"/>
      <c r="F55" s="51" t="n"/>
      <c r="G55" s="51" t="n"/>
      <c r="H55" s="51" t="n"/>
      <c r="I55" s="51" t="n"/>
    </row>
    <row r="56">
      <c r="B56" s="51" t="n"/>
      <c r="C56" s="51" t="n"/>
      <c r="D56" s="51" t="n"/>
      <c r="E56" s="51" t="n"/>
      <c r="F56" s="51" t="n"/>
      <c r="G56" s="51" t="n"/>
      <c r="H56" s="51" t="n"/>
      <c r="I56" s="51" t="n"/>
    </row>
    <row r="57">
      <c r="B57" s="51" t="n"/>
      <c r="C57" s="51" t="n"/>
      <c r="D57" s="51" t="n"/>
      <c r="E57" s="51" t="n"/>
      <c r="F57" s="51" t="n"/>
      <c r="G57" s="51" t="n"/>
      <c r="H57" s="51" t="n"/>
      <c r="I57" s="51" t="n"/>
    </row>
    <row r="58">
      <c r="B58" s="51" t="n"/>
      <c r="C58" s="51" t="n"/>
      <c r="D58" s="51" t="n"/>
      <c r="E58" s="51" t="n"/>
      <c r="F58" s="51" t="n"/>
      <c r="G58" s="51" t="n"/>
      <c r="H58" s="51" t="n"/>
      <c r="I58" s="51" t="n"/>
    </row>
    <row r="59">
      <c r="B59" s="51" t="n"/>
      <c r="C59" s="51" t="n"/>
      <c r="D59" s="51" t="n"/>
      <c r="E59" s="51" t="n"/>
      <c r="F59" s="51" t="n"/>
      <c r="G59" s="51" t="n"/>
      <c r="H59" s="51" t="n"/>
      <c r="I59" s="51" t="n"/>
    </row>
    <row r="60">
      <c r="B60" s="51" t="n"/>
      <c r="C60" s="51" t="n"/>
      <c r="D60" s="51" t="n"/>
      <c r="E60" s="51" t="n"/>
      <c r="F60" s="51" t="n"/>
      <c r="G60" s="51" t="n"/>
      <c r="H60" s="51" t="n"/>
      <c r="I60" s="51" t="n"/>
    </row>
    <row r="61">
      <c r="B61" s="51" t="n"/>
      <c r="C61" s="51" t="n"/>
      <c r="D61" s="51" t="n"/>
      <c r="E61" s="51" t="n"/>
      <c r="F61" s="51" t="n"/>
      <c r="G61" s="51" t="n"/>
      <c r="H61" s="51" t="n"/>
      <c r="I61" s="51" t="n"/>
    </row>
    <row r="62">
      <c r="B62" s="51" t="n"/>
      <c r="C62" s="51" t="n"/>
      <c r="D62" s="51" t="n"/>
      <c r="E62" s="51" t="n"/>
      <c r="F62" s="51" t="n"/>
      <c r="G62" s="51" t="n"/>
      <c r="H62" s="51" t="n"/>
      <c r="I62" s="51" t="n"/>
    </row>
    <row r="63">
      <c r="B63" s="51" t="n"/>
      <c r="C63" s="51" t="n"/>
      <c r="D63" s="51" t="n"/>
      <c r="E63" s="51" t="n"/>
      <c r="F63" s="51" t="n"/>
      <c r="G63" s="51" t="n"/>
      <c r="H63" s="51" t="n"/>
      <c r="I63" s="51" t="n"/>
    </row>
    <row r="64">
      <c r="B64" s="51" t="n"/>
      <c r="C64" s="51" t="n"/>
      <c r="D64" s="51" t="n"/>
      <c r="E64" s="51" t="n"/>
      <c r="F64" s="51" t="n"/>
      <c r="G64" s="51" t="n"/>
      <c r="H64" s="51" t="n"/>
      <c r="I64" s="51" t="n"/>
    </row>
    <row r="65">
      <c r="B65" s="51" t="n"/>
      <c r="C65" s="51" t="n"/>
      <c r="D65" s="51" t="n"/>
      <c r="E65" s="51" t="n"/>
      <c r="F65" s="51" t="n"/>
      <c r="G65" s="51" t="n"/>
      <c r="H65" s="51" t="n"/>
      <c r="I65" s="51" t="n"/>
    </row>
    <row r="66">
      <c r="B66" s="51" t="n"/>
      <c r="C66" s="51" t="n"/>
      <c r="D66" s="51" t="n"/>
      <c r="E66" s="51" t="n"/>
      <c r="F66" s="51" t="n"/>
      <c r="G66" s="51" t="n"/>
      <c r="H66" s="51" t="n"/>
      <c r="I66" s="51" t="n"/>
    </row>
    <row r="67">
      <c r="B67" s="51" t="n"/>
      <c r="C67" s="51" t="n"/>
      <c r="D67" s="51" t="n"/>
      <c r="E67" s="51" t="n"/>
      <c r="F67" s="51" t="n"/>
      <c r="G67" s="51" t="n"/>
      <c r="H67" s="51" t="n"/>
      <c r="I67" s="51" t="n"/>
    </row>
    <row r="68">
      <c r="B68" s="51" t="n"/>
      <c r="C68" s="51" t="n"/>
      <c r="D68" s="51" t="n"/>
      <c r="E68" s="51" t="n"/>
      <c r="F68" s="51" t="n"/>
      <c r="G68" s="51" t="n"/>
      <c r="H68" s="51" t="n"/>
      <c r="I68" s="51" t="n"/>
    </row>
    <row r="69">
      <c r="B69" s="51" t="n"/>
      <c r="C69" s="51" t="n"/>
      <c r="D69" s="51" t="n"/>
      <c r="E69" s="51" t="n"/>
      <c r="F69" s="51" t="n"/>
      <c r="G69" s="51" t="n"/>
      <c r="H69" s="51" t="n"/>
      <c r="I69" s="51" t="n"/>
    </row>
    <row r="70">
      <c r="B70" s="51" t="n"/>
      <c r="C70" s="51" t="n"/>
      <c r="D70" s="51" t="n"/>
      <c r="E70" s="51" t="n"/>
      <c r="F70" s="51" t="n"/>
      <c r="G70" s="51" t="n"/>
      <c r="H70" s="51" t="n"/>
      <c r="I70" s="51" t="n"/>
    </row>
    <row r="71">
      <c r="B71" s="51" t="n"/>
      <c r="C71" s="51" t="n"/>
      <c r="D71" s="51" t="n"/>
      <c r="E71" s="51" t="n"/>
      <c r="F71" s="51" t="n"/>
      <c r="G71" s="51" t="n"/>
      <c r="H71" s="51" t="n"/>
      <c r="I71" s="51" t="n"/>
    </row>
    <row r="72">
      <c r="B72" s="51" t="n"/>
      <c r="C72" s="51" t="n"/>
      <c r="D72" s="51" t="n"/>
      <c r="E72" s="51" t="n"/>
      <c r="F72" s="51" t="n"/>
      <c r="G72" s="51" t="n"/>
      <c r="H72" s="51" t="n"/>
      <c r="I72" s="51" t="n"/>
    </row>
    <row r="73">
      <c r="B73" s="51" t="n"/>
      <c r="C73" s="51" t="n"/>
      <c r="D73" s="51" t="n"/>
      <c r="E73" s="51" t="n"/>
      <c r="F73" s="51" t="n"/>
      <c r="G73" s="51" t="n"/>
      <c r="H73" s="51" t="n"/>
      <c r="I73" s="51" t="n"/>
    </row>
    <row r="74">
      <c r="B74" s="51" t="n"/>
      <c r="C74" s="51" t="n"/>
      <c r="D74" s="51" t="n"/>
      <c r="E74" s="51" t="n"/>
      <c r="F74" s="51" t="n"/>
      <c r="G74" s="51" t="n"/>
      <c r="H74" s="51" t="n"/>
      <c r="I74" s="51" t="n"/>
    </row>
    <row r="75">
      <c r="B75" s="51" t="n"/>
      <c r="C75" s="51" t="n"/>
      <c r="D75" s="51" t="n"/>
      <c r="E75" s="51" t="n"/>
      <c r="F75" s="51" t="n"/>
      <c r="G75" s="51" t="n"/>
      <c r="H75" s="51" t="n"/>
      <c r="I75" s="51" t="n"/>
    </row>
    <row r="76">
      <c r="B76" s="51" t="n"/>
      <c r="C76" s="51" t="n"/>
      <c r="D76" s="51" t="n"/>
      <c r="E76" s="51" t="n"/>
      <c r="F76" s="51" t="n"/>
      <c r="G76" s="51" t="n"/>
      <c r="H76" s="51" t="n"/>
      <c r="I76" s="51" t="n"/>
    </row>
    <row r="77">
      <c r="B77" s="51" t="n"/>
      <c r="C77" s="51" t="n"/>
      <c r="D77" s="51" t="n"/>
      <c r="E77" s="51" t="n"/>
      <c r="F77" s="51" t="n"/>
      <c r="G77" s="51" t="n"/>
      <c r="H77" s="51" t="n"/>
      <c r="I77" s="51" t="n"/>
    </row>
    <row r="78">
      <c r="B78" s="51" t="n"/>
      <c r="C78" s="51" t="n"/>
      <c r="D78" s="51" t="n"/>
      <c r="E78" s="51" t="n"/>
      <c r="F78" s="51" t="n"/>
      <c r="G78" s="51" t="n"/>
      <c r="H78" s="51" t="n"/>
      <c r="I78" s="51" t="n"/>
    </row>
    <row r="79">
      <c r="B79" s="51" t="n"/>
      <c r="C79" s="51" t="n"/>
      <c r="D79" s="51" t="n"/>
      <c r="E79" s="51" t="n"/>
      <c r="F79" s="51" t="n"/>
      <c r="G79" s="51" t="n"/>
      <c r="H79" s="51" t="n"/>
      <c r="I79" s="51" t="n"/>
    </row>
    <row r="80">
      <c r="B80" s="51" t="n"/>
      <c r="C80" s="51" t="n"/>
      <c r="D80" s="51" t="n"/>
      <c r="E80" s="51" t="n"/>
      <c r="F80" s="51" t="n"/>
      <c r="G80" s="51" t="n"/>
      <c r="H80" s="51" t="n"/>
      <c r="I80" s="51" t="n"/>
    </row>
    <row r="81">
      <c r="B81" s="51" t="n"/>
      <c r="C81" s="51" t="n"/>
      <c r="D81" s="51" t="n"/>
      <c r="E81" s="51" t="n"/>
      <c r="F81" s="51" t="n"/>
      <c r="G81" s="51" t="n"/>
      <c r="H81" s="51" t="n"/>
      <c r="I81" s="51" t="n"/>
    </row>
    <row r="82">
      <c r="B82" s="51" t="n"/>
      <c r="C82" s="51" t="n"/>
      <c r="D82" s="51" t="n"/>
      <c r="E82" s="51" t="n"/>
      <c r="F82" s="51" t="n"/>
      <c r="G82" s="51" t="n"/>
      <c r="H82" s="51" t="n"/>
      <c r="I82" s="51" t="n"/>
    </row>
    <row r="83">
      <c r="B83" s="51" t="n"/>
      <c r="C83" s="51" t="n"/>
      <c r="D83" s="51" t="n"/>
      <c r="E83" s="51" t="n"/>
      <c r="F83" s="51" t="n"/>
      <c r="G83" s="51" t="n"/>
      <c r="H83" s="51" t="n"/>
      <c r="I83" s="51" t="n"/>
    </row>
    <row r="84">
      <c r="B84" s="51" t="n"/>
      <c r="C84" s="51" t="n"/>
      <c r="D84" s="51" t="n"/>
      <c r="E84" s="51" t="n"/>
      <c r="F84" s="51" t="n"/>
      <c r="G84" s="51" t="n"/>
      <c r="H84" s="51" t="n"/>
      <c r="I84" s="51" t="n"/>
    </row>
    <row r="85">
      <c r="B85" s="51" t="n"/>
      <c r="C85" s="51" t="n"/>
      <c r="D85" s="51" t="n"/>
      <c r="E85" s="51" t="n"/>
      <c r="F85" s="51" t="n"/>
      <c r="G85" s="51" t="n"/>
      <c r="H85" s="51" t="n"/>
      <c r="I85" s="51" t="n"/>
    </row>
    <row r="86">
      <c r="B86" s="51" t="n"/>
      <c r="C86" s="51" t="n"/>
      <c r="D86" s="51" t="n"/>
      <c r="E86" s="51" t="n"/>
      <c r="F86" s="51" t="n"/>
      <c r="G86" s="51" t="n"/>
      <c r="H86" s="51" t="n"/>
      <c r="I86" s="51" t="n"/>
    </row>
    <row r="87">
      <c r="B87" s="51" t="n"/>
      <c r="C87" s="51" t="n"/>
      <c r="D87" s="51" t="n"/>
      <c r="E87" s="51" t="n"/>
      <c r="F87" s="51" t="n"/>
      <c r="G87" s="51" t="n"/>
      <c r="H87" s="51" t="n"/>
      <c r="I87" s="51" t="n"/>
    </row>
    <row r="88">
      <c r="B88" s="51" t="n"/>
      <c r="C88" s="51" t="n"/>
      <c r="D88" s="51" t="n"/>
      <c r="E88" s="51" t="n"/>
      <c r="F88" s="51" t="n"/>
      <c r="G88" s="51" t="n"/>
      <c r="H88" s="51" t="n"/>
      <c r="I88" s="51" t="n"/>
    </row>
    <row r="89">
      <c r="B89" s="51" t="n"/>
      <c r="C89" s="51" t="n"/>
      <c r="D89" s="51" t="n"/>
      <c r="E89" s="51" t="n"/>
      <c r="F89" s="51" t="n"/>
      <c r="G89" s="51" t="n"/>
      <c r="H89" s="51" t="n"/>
      <c r="I89" s="51" t="n"/>
    </row>
    <row r="90">
      <c r="B90" s="51" t="n"/>
      <c r="C90" s="51" t="n"/>
      <c r="D90" s="51" t="n"/>
      <c r="E90" s="51" t="n"/>
      <c r="F90" s="51" t="n"/>
      <c r="G90" s="51" t="n"/>
      <c r="H90" s="51" t="n"/>
      <c r="I90" s="51" t="n"/>
    </row>
    <row r="91">
      <c r="B91" s="51" t="n"/>
      <c r="C91" s="51" t="n"/>
      <c r="D91" s="51" t="n"/>
      <c r="E91" s="51" t="n"/>
      <c r="F91" s="51" t="n"/>
      <c r="G91" s="51" t="n"/>
      <c r="H91" s="51" t="n"/>
      <c r="I91" s="51" t="n"/>
    </row>
    <row r="92">
      <c r="B92" s="51" t="n"/>
      <c r="C92" s="51" t="n"/>
      <c r="D92" s="51" t="n"/>
      <c r="E92" s="51" t="n"/>
      <c r="F92" s="51" t="n"/>
      <c r="G92" s="51" t="n"/>
      <c r="H92" s="51" t="n"/>
      <c r="I92" s="51" t="n"/>
    </row>
    <row r="93">
      <c r="B93" s="51" t="n"/>
      <c r="C93" s="51" t="n"/>
      <c r="D93" s="51" t="n"/>
      <c r="E93" s="51" t="n"/>
      <c r="F93" s="51" t="n"/>
      <c r="G93" s="51" t="n"/>
      <c r="H93" s="51" t="n"/>
      <c r="I93" s="51" t="n"/>
    </row>
    <row r="94">
      <c r="B94" s="51" t="n"/>
      <c r="C94" s="51" t="n"/>
      <c r="D94" s="51" t="n"/>
      <c r="E94" s="51" t="n"/>
      <c r="F94" s="51" t="n"/>
      <c r="G94" s="51" t="n"/>
      <c r="H94" s="51" t="n"/>
      <c r="I94" s="51" t="n"/>
    </row>
    <row r="95">
      <c r="B95" s="51" t="n"/>
      <c r="C95" s="51" t="n"/>
      <c r="D95" s="51" t="n"/>
      <c r="E95" s="51" t="n"/>
      <c r="F95" s="51" t="n"/>
      <c r="G95" s="51" t="n"/>
      <c r="H95" s="51" t="n"/>
      <c r="I95" s="51" t="n"/>
    </row>
    <row r="96">
      <c r="B96" s="51" t="n"/>
      <c r="C96" s="51" t="n"/>
      <c r="D96" s="51" t="n"/>
      <c r="E96" s="51" t="n"/>
      <c r="F96" s="51" t="n"/>
      <c r="G96" s="51" t="n"/>
      <c r="H96" s="51" t="n"/>
      <c r="I96" s="51" t="n"/>
    </row>
    <row r="97">
      <c r="B97" s="51" t="n"/>
      <c r="C97" s="51" t="n"/>
      <c r="D97" s="51" t="n"/>
      <c r="E97" s="51" t="n"/>
      <c r="F97" s="51" t="n"/>
      <c r="G97" s="51" t="n"/>
      <c r="H97" s="51" t="n"/>
      <c r="I97" s="51" t="n"/>
    </row>
    <row r="98">
      <c r="B98" s="51" t="n"/>
      <c r="C98" s="51" t="n"/>
      <c r="D98" s="51" t="n"/>
      <c r="E98" s="51" t="n"/>
      <c r="F98" s="51" t="n"/>
      <c r="G98" s="51" t="n"/>
      <c r="H98" s="51" t="n"/>
      <c r="I98" s="51" t="n"/>
    </row>
    <row r="99">
      <c r="B99" s="51" t="n"/>
      <c r="C99" s="51" t="n"/>
      <c r="D99" s="51" t="n"/>
      <c r="E99" s="51" t="n"/>
      <c r="F99" s="51" t="n"/>
      <c r="G99" s="51" t="n"/>
      <c r="H99" s="51" t="n"/>
      <c r="I99" s="51" t="n"/>
    </row>
    <row r="100">
      <c r="B100" s="51" t="n"/>
      <c r="C100" s="51" t="n"/>
      <c r="D100" s="51" t="n"/>
      <c r="E100" s="51" t="n"/>
      <c r="F100" s="51" t="n"/>
      <c r="G100" s="51" t="n"/>
      <c r="H100" s="51" t="n"/>
      <c r="I100" s="51" t="n"/>
    </row>
    <row r="101">
      <c r="B101" s="51" t="n"/>
      <c r="C101" s="51" t="n"/>
      <c r="D101" s="51" t="n"/>
      <c r="E101" s="51" t="n"/>
      <c r="F101" s="51" t="n"/>
      <c r="G101" s="51" t="n"/>
      <c r="H101" s="51" t="n"/>
      <c r="I101" s="51" t="n"/>
    </row>
    <row r="102">
      <c r="B102" s="51" t="n"/>
      <c r="C102" s="51" t="n"/>
      <c r="D102" s="51" t="n"/>
      <c r="E102" s="51" t="n"/>
      <c r="F102" s="51" t="n"/>
      <c r="G102" s="51" t="n"/>
      <c r="H102" s="51" t="n"/>
      <c r="I102" s="51" t="n"/>
    </row>
    <row r="103">
      <c r="B103" s="51" t="n"/>
      <c r="C103" s="51" t="n"/>
      <c r="D103" s="51" t="n"/>
      <c r="E103" s="51" t="n"/>
      <c r="F103" s="51" t="n"/>
      <c r="G103" s="51" t="n"/>
      <c r="H103" s="51" t="n"/>
      <c r="I103" s="51" t="n"/>
    </row>
    <row r="104">
      <c r="B104" s="51" t="n"/>
      <c r="C104" s="51" t="n"/>
      <c r="D104" s="51" t="n"/>
      <c r="E104" s="51" t="n"/>
      <c r="F104" s="51" t="n"/>
      <c r="G104" s="51" t="n"/>
      <c r="H104" s="51" t="n"/>
      <c r="I104" s="51" t="n"/>
    </row>
    <row r="105">
      <c r="B105" s="51" t="n"/>
      <c r="C105" s="51" t="n"/>
      <c r="D105" s="51" t="n"/>
      <c r="E105" s="51" t="n"/>
      <c r="F105" s="51" t="n"/>
      <c r="G105" s="51" t="n"/>
      <c r="H105" s="51" t="n"/>
      <c r="I105" s="51" t="n"/>
    </row>
    <row r="106">
      <c r="B106" s="51" t="n"/>
      <c r="C106" s="51" t="n"/>
      <c r="D106" s="51" t="n"/>
      <c r="E106" s="51" t="n"/>
      <c r="F106" s="51" t="n"/>
      <c r="G106" s="51" t="n"/>
      <c r="H106" s="51" t="n"/>
      <c r="I106" s="51" t="n"/>
    </row>
    <row r="107">
      <c r="B107" s="51" t="n"/>
      <c r="C107" s="51" t="n"/>
      <c r="D107" s="51" t="n"/>
      <c r="E107" s="51" t="n"/>
      <c r="F107" s="51" t="n"/>
      <c r="G107" s="51" t="n"/>
      <c r="H107" s="51" t="n"/>
      <c r="I107" s="51" t="n"/>
    </row>
    <row r="108">
      <c r="B108" s="51" t="n"/>
      <c r="C108" s="51" t="n"/>
      <c r="D108" s="51" t="n"/>
      <c r="E108" s="51" t="n"/>
      <c r="F108" s="51" t="n"/>
      <c r="G108" s="51" t="n"/>
      <c r="H108" s="51" t="n"/>
      <c r="I108" s="51" t="n"/>
    </row>
    <row r="109">
      <c r="B109" s="51" t="n"/>
      <c r="C109" s="51" t="n"/>
      <c r="D109" s="51" t="n"/>
      <c r="E109" s="51" t="n"/>
      <c r="F109" s="51" t="n"/>
      <c r="G109" s="51" t="n"/>
      <c r="H109" s="51" t="n"/>
      <c r="I109" s="51" t="n"/>
    </row>
    <row r="110">
      <c r="B110" s="51" t="n"/>
      <c r="C110" s="51" t="n"/>
      <c r="D110" s="51" t="n"/>
      <c r="E110" s="51" t="n"/>
      <c r="F110" s="51" t="n"/>
      <c r="G110" s="51" t="n"/>
      <c r="H110" s="51" t="n"/>
      <c r="I110" s="51" t="n"/>
    </row>
    <row r="111">
      <c r="B111" s="51" t="n"/>
      <c r="C111" s="51" t="n"/>
      <c r="D111" s="51" t="n"/>
      <c r="E111" s="51" t="n"/>
      <c r="F111" s="51" t="n"/>
      <c r="G111" s="51" t="n"/>
      <c r="H111" s="51" t="n"/>
      <c r="I111" s="51" t="n"/>
    </row>
    <row r="112">
      <c r="B112" s="51" t="n"/>
      <c r="C112" s="51" t="n"/>
      <c r="D112" s="51" t="n"/>
      <c r="E112" s="51" t="n"/>
      <c r="F112" s="51" t="n"/>
      <c r="G112" s="51" t="n"/>
      <c r="H112" s="51" t="n"/>
      <c r="I112" s="51" t="n"/>
    </row>
    <row r="113">
      <c r="B113" s="51" t="n"/>
      <c r="C113" s="51" t="n"/>
      <c r="D113" s="51" t="n"/>
      <c r="E113" s="51" t="n"/>
      <c r="F113" s="51" t="n"/>
      <c r="G113" s="51" t="n"/>
      <c r="H113" s="51" t="n"/>
      <c r="I113" s="51" t="n"/>
    </row>
    <row r="114">
      <c r="B114" s="51" t="n"/>
      <c r="C114" s="51" t="n"/>
      <c r="D114" s="51" t="n"/>
      <c r="E114" s="51" t="n"/>
      <c r="F114" s="51" t="n"/>
      <c r="G114" s="51" t="n"/>
      <c r="H114" s="51" t="n"/>
      <c r="I114" s="51" t="n"/>
    </row>
    <row r="115">
      <c r="B115" s="51" t="n"/>
      <c r="C115" s="51" t="n"/>
      <c r="D115" s="51" t="n"/>
      <c r="E115" s="51" t="n"/>
      <c r="F115" s="51" t="n"/>
      <c r="G115" s="51" t="n"/>
      <c r="H115" s="51" t="n"/>
      <c r="I115" s="51" t="n"/>
    </row>
    <row r="116">
      <c r="B116" s="51" t="n"/>
      <c r="C116" s="51" t="n"/>
      <c r="D116" s="51" t="n"/>
      <c r="E116" s="51" t="n"/>
      <c r="F116" s="51" t="n"/>
      <c r="G116" s="51" t="n"/>
      <c r="H116" s="51" t="n"/>
      <c r="I116" s="51" t="n"/>
    </row>
    <row r="117">
      <c r="B117" s="51" t="n"/>
      <c r="C117" s="51" t="n"/>
      <c r="D117" s="51" t="n"/>
      <c r="E117" s="51" t="n"/>
      <c r="F117" s="51" t="n"/>
      <c r="G117" s="51" t="n"/>
      <c r="H117" s="51" t="n"/>
      <c r="I117" s="51" t="n"/>
    </row>
    <row r="118">
      <c r="B118" s="51" t="n"/>
      <c r="C118" s="51" t="n"/>
      <c r="D118" s="51" t="n"/>
      <c r="E118" s="51" t="n"/>
      <c r="F118" s="51" t="n"/>
      <c r="G118" s="51" t="n"/>
      <c r="H118" s="51" t="n"/>
      <c r="I118" s="51" t="n"/>
    </row>
    <row r="119">
      <c r="B119" s="51" t="n"/>
      <c r="C119" s="51" t="n"/>
      <c r="D119" s="51" t="n"/>
      <c r="E119" s="51" t="n"/>
      <c r="F119" s="51" t="n"/>
      <c r="G119" s="51" t="n"/>
      <c r="H119" s="51" t="n"/>
      <c r="I119" s="51" t="n"/>
    </row>
    <row r="120">
      <c r="B120" s="51" t="n"/>
      <c r="C120" s="51" t="n"/>
      <c r="D120" s="51" t="n"/>
      <c r="E120" s="51" t="n"/>
      <c r="F120" s="51" t="n"/>
      <c r="G120" s="51" t="n"/>
      <c r="H120" s="51" t="n"/>
      <c r="I120" s="51" t="n"/>
    </row>
    <row r="121">
      <c r="B121" s="51" t="n"/>
      <c r="C121" s="51" t="n"/>
      <c r="D121" s="51" t="n"/>
      <c r="E121" s="51" t="n"/>
      <c r="F121" s="51" t="n"/>
      <c r="G121" s="51" t="n"/>
      <c r="H121" s="51" t="n"/>
      <c r="I121" s="51" t="n"/>
    </row>
    <row r="122">
      <c r="B122" s="51" t="n"/>
      <c r="C122" s="51" t="n"/>
      <c r="D122" s="51" t="n"/>
      <c r="E122" s="51" t="n"/>
      <c r="F122" s="51" t="n"/>
      <c r="G122" s="51" t="n"/>
      <c r="H122" s="51" t="n"/>
      <c r="I122" s="51" t="n"/>
    </row>
    <row r="123">
      <c r="B123" s="51" t="n"/>
      <c r="C123" s="51" t="n"/>
      <c r="D123" s="51" t="n"/>
      <c r="E123" s="51" t="n"/>
      <c r="F123" s="51" t="n"/>
      <c r="G123" s="51" t="n"/>
      <c r="H123" s="51" t="n"/>
      <c r="I123" s="51" t="n"/>
    </row>
    <row r="124">
      <c r="B124" s="51" t="n"/>
      <c r="C124" s="51" t="n"/>
      <c r="D124" s="51" t="n"/>
      <c r="E124" s="51" t="n"/>
      <c r="F124" s="51" t="n"/>
      <c r="G124" s="51" t="n"/>
      <c r="H124" s="51" t="n"/>
      <c r="I124" s="51" t="n"/>
    </row>
    <row r="125">
      <c r="B125" s="51" t="n"/>
      <c r="C125" s="51" t="n"/>
      <c r="D125" s="51" t="n"/>
      <c r="E125" s="51" t="n"/>
      <c r="F125" s="51" t="n"/>
      <c r="G125" s="51" t="n"/>
      <c r="H125" s="51" t="n"/>
      <c r="I125" s="51" t="n"/>
    </row>
    <row r="126">
      <c r="B126" s="51" t="n"/>
      <c r="C126" s="51" t="n"/>
      <c r="D126" s="51" t="n"/>
      <c r="E126" s="51" t="n"/>
      <c r="F126" s="51" t="n"/>
      <c r="G126" s="51" t="n"/>
      <c r="H126" s="51" t="n"/>
      <c r="I126" s="51" t="n"/>
    </row>
    <row r="127">
      <c r="B127" s="51" t="n"/>
      <c r="C127" s="51" t="n"/>
      <c r="D127" s="51" t="n"/>
      <c r="E127" s="51" t="n"/>
      <c r="F127" s="51" t="n"/>
      <c r="G127" s="51" t="n"/>
      <c r="H127" s="51" t="n"/>
      <c r="I127" s="51" t="n"/>
    </row>
    <row r="128">
      <c r="B128" s="51" t="n"/>
      <c r="C128" s="51" t="n"/>
      <c r="D128" s="51" t="n"/>
      <c r="E128" s="51" t="n"/>
      <c r="F128" s="51" t="n"/>
      <c r="G128" s="51" t="n"/>
      <c r="H128" s="51" t="n"/>
      <c r="I128" s="51" t="n"/>
    </row>
    <row r="129">
      <c r="B129" s="51" t="n"/>
      <c r="C129" s="51" t="n"/>
      <c r="D129" s="51" t="n"/>
      <c r="E129" s="51" t="n"/>
      <c r="F129" s="51" t="n"/>
      <c r="G129" s="51" t="n"/>
      <c r="H129" s="51" t="n"/>
      <c r="I129" s="51" t="n"/>
    </row>
    <row r="130">
      <c r="B130" s="51" t="n"/>
      <c r="C130" s="51" t="n"/>
      <c r="D130" s="51" t="n"/>
      <c r="E130" s="51" t="n"/>
      <c r="F130" s="51" t="n"/>
      <c r="G130" s="51" t="n"/>
      <c r="H130" s="51" t="n"/>
      <c r="I130" s="51" t="n"/>
    </row>
    <row r="131">
      <c r="B131" s="51" t="n"/>
      <c r="C131" s="51" t="n"/>
      <c r="D131" s="51" t="n"/>
      <c r="E131" s="51" t="n"/>
      <c r="F131" s="51" t="n"/>
      <c r="G131" s="51" t="n"/>
      <c r="H131" s="51" t="n"/>
      <c r="I131" s="51" t="n"/>
    </row>
    <row r="132">
      <c r="B132" s="51" t="n"/>
      <c r="C132" s="51" t="n"/>
      <c r="D132" s="51" t="n"/>
      <c r="E132" s="51" t="n"/>
      <c r="F132" s="51" t="n"/>
      <c r="G132" s="51" t="n"/>
      <c r="H132" s="51" t="n"/>
      <c r="I132" s="51" t="n"/>
    </row>
    <row r="133">
      <c r="B133" s="51" t="n"/>
      <c r="C133" s="51" t="n"/>
      <c r="D133" s="51" t="n"/>
      <c r="E133" s="51" t="n"/>
      <c r="F133" s="51" t="n"/>
      <c r="G133" s="51" t="n"/>
      <c r="H133" s="51" t="n"/>
      <c r="I133" s="51" t="n"/>
    </row>
    <row r="134">
      <c r="B134" s="51" t="n"/>
      <c r="C134" s="51" t="n"/>
      <c r="D134" s="51" t="n"/>
      <c r="E134" s="51" t="n"/>
      <c r="F134" s="51" t="n"/>
      <c r="G134" s="51" t="n"/>
      <c r="H134" s="51" t="n"/>
      <c r="I134" s="51" t="n"/>
    </row>
    <row r="135">
      <c r="B135" s="51" t="n"/>
      <c r="C135" s="51" t="n"/>
      <c r="D135" s="51" t="n"/>
      <c r="E135" s="51" t="n"/>
      <c r="F135" s="51" t="n"/>
      <c r="G135" s="51" t="n"/>
      <c r="H135" s="51" t="n"/>
      <c r="I135" s="51" t="n"/>
    </row>
    <row r="136">
      <c r="B136" s="51" t="n"/>
      <c r="C136" s="51" t="n"/>
      <c r="D136" s="51" t="n"/>
      <c r="E136" s="51" t="n"/>
      <c r="F136" s="51" t="n"/>
      <c r="G136" s="51" t="n"/>
      <c r="H136" s="51" t="n"/>
      <c r="I136" s="51" t="n"/>
    </row>
    <row r="137">
      <c r="B137" s="51" t="n"/>
      <c r="C137" s="51" t="n"/>
      <c r="D137" s="51" t="n"/>
      <c r="E137" s="51" t="n"/>
      <c r="F137" s="51" t="n"/>
      <c r="G137" s="51" t="n"/>
      <c r="H137" s="51" t="n"/>
      <c r="I137" s="51" t="n"/>
    </row>
    <row r="138">
      <c r="B138" s="51" t="n"/>
      <c r="C138" s="51" t="n"/>
      <c r="D138" s="51" t="n"/>
      <c r="E138" s="51" t="n"/>
      <c r="F138" s="51" t="n"/>
      <c r="G138" s="51" t="n"/>
      <c r="H138" s="51" t="n"/>
      <c r="I138" s="51" t="n"/>
    </row>
    <row r="139">
      <c r="B139" s="51" t="n"/>
      <c r="C139" s="51" t="n"/>
      <c r="D139" s="51" t="n"/>
      <c r="E139" s="51" t="n"/>
      <c r="F139" s="51" t="n"/>
      <c r="G139" s="51" t="n"/>
      <c r="H139" s="51" t="n"/>
      <c r="I139" s="51" t="n"/>
    </row>
    <row r="140">
      <c r="B140" s="51" t="n"/>
      <c r="C140" s="51" t="n"/>
      <c r="D140" s="51" t="n"/>
      <c r="E140" s="51" t="n"/>
      <c r="F140" s="51" t="n"/>
      <c r="G140" s="51" t="n"/>
      <c r="H140" s="51" t="n"/>
      <c r="I140" s="51" t="n"/>
    </row>
    <row r="141">
      <c r="B141" s="51" t="n"/>
      <c r="C141" s="51" t="n"/>
      <c r="D141" s="51" t="n"/>
      <c r="E141" s="51" t="n"/>
      <c r="F141" s="51" t="n"/>
      <c r="G141" s="51" t="n"/>
      <c r="H141" s="51" t="n"/>
      <c r="I141" s="51" t="n"/>
    </row>
    <row r="142">
      <c r="B142" s="51" t="n"/>
      <c r="C142" s="51" t="n"/>
      <c r="D142" s="51" t="n"/>
      <c r="E142" s="51" t="n"/>
      <c r="F142" s="51" t="n"/>
      <c r="G142" s="51" t="n"/>
      <c r="H142" s="51" t="n"/>
      <c r="I142" s="51" t="n"/>
    </row>
    <row r="143">
      <c r="B143" s="51" t="n"/>
      <c r="C143" s="51" t="n"/>
      <c r="D143" s="51" t="n"/>
      <c r="E143" s="51" t="n"/>
      <c r="F143" s="51" t="n"/>
      <c r="G143" s="51" t="n"/>
      <c r="H143" s="51" t="n"/>
      <c r="I143" s="51" t="n"/>
    </row>
    <row r="144">
      <c r="B144" s="51" t="n"/>
      <c r="C144" s="51" t="n"/>
      <c r="D144" s="51" t="n"/>
      <c r="E144" s="51" t="n"/>
      <c r="F144" s="51" t="n"/>
      <c r="G144" s="51" t="n"/>
      <c r="H144" s="51" t="n"/>
      <c r="I144" s="51" t="n"/>
    </row>
    <row r="145">
      <c r="B145" s="51" t="n"/>
      <c r="C145" s="51" t="n"/>
      <c r="D145" s="51" t="n"/>
      <c r="E145" s="51" t="n"/>
      <c r="F145" s="51" t="n"/>
      <c r="G145" s="51" t="n"/>
      <c r="H145" s="51" t="n"/>
      <c r="I145" s="51" t="n"/>
    </row>
    <row r="146">
      <c r="B146" s="51" t="n"/>
      <c r="C146" s="51" t="n"/>
      <c r="D146" s="51" t="n"/>
      <c r="E146" s="51" t="n"/>
      <c r="F146" s="51" t="n"/>
      <c r="G146" s="51" t="n"/>
      <c r="H146" s="51" t="n"/>
      <c r="I146" s="51" t="n"/>
    </row>
    <row r="147">
      <c r="B147" s="51" t="n"/>
      <c r="C147" s="51" t="n"/>
      <c r="D147" s="51" t="n"/>
      <c r="E147" s="51" t="n"/>
      <c r="F147" s="51" t="n"/>
      <c r="G147" s="51" t="n"/>
      <c r="H147" s="51" t="n"/>
      <c r="I147" s="51" t="n"/>
    </row>
    <row r="148">
      <c r="B148" s="51" t="n"/>
      <c r="C148" s="51" t="n"/>
      <c r="D148" s="51" t="n"/>
      <c r="E148" s="51" t="n"/>
      <c r="F148" s="51" t="n"/>
      <c r="G148" s="51" t="n"/>
      <c r="H148" s="51" t="n"/>
      <c r="I148" s="51" t="n"/>
    </row>
    <row r="149">
      <c r="B149" s="51" t="n"/>
      <c r="C149" s="51" t="n"/>
      <c r="D149" s="51" t="n"/>
      <c r="E149" s="51" t="n"/>
      <c r="F149" s="51" t="n"/>
      <c r="G149" s="51" t="n"/>
      <c r="H149" s="51" t="n"/>
      <c r="I149" s="51" t="n"/>
    </row>
    <row r="150">
      <c r="B150" s="51" t="n"/>
      <c r="C150" s="51" t="n"/>
      <c r="D150" s="51" t="n"/>
      <c r="E150" s="51" t="n"/>
      <c r="F150" s="51" t="n"/>
      <c r="G150" s="51" t="n"/>
      <c r="H150" s="51" t="n"/>
      <c r="I150" s="51" t="n"/>
    </row>
    <row r="151">
      <c r="B151" s="51" t="n"/>
      <c r="C151" s="51" t="n"/>
      <c r="D151" s="51" t="n"/>
      <c r="E151" s="51" t="n"/>
      <c r="F151" s="51" t="n"/>
      <c r="G151" s="51" t="n"/>
      <c r="H151" s="51" t="n"/>
      <c r="I151" s="51" t="n"/>
    </row>
    <row r="152">
      <c r="B152" s="51" t="n"/>
      <c r="C152" s="51" t="n"/>
      <c r="D152" s="51" t="n"/>
      <c r="E152" s="51" t="n"/>
      <c r="F152" s="51" t="n"/>
      <c r="G152" s="51" t="n"/>
      <c r="H152" s="51" t="n"/>
      <c r="I152" s="51" t="n"/>
    </row>
    <row r="153">
      <c r="B153" s="51" t="n"/>
      <c r="C153" s="51" t="n"/>
      <c r="D153" s="51" t="n"/>
      <c r="E153" s="51" t="n"/>
      <c r="F153" s="51" t="n"/>
      <c r="G153" s="51" t="n"/>
      <c r="H153" s="51" t="n"/>
      <c r="I153" s="51" t="n"/>
    </row>
    <row r="154">
      <c r="B154" s="51" t="n"/>
      <c r="C154" s="51" t="n"/>
      <c r="D154" s="51" t="n"/>
      <c r="E154" s="51" t="n"/>
      <c r="F154" s="51" t="n"/>
      <c r="G154" s="51" t="n"/>
      <c r="H154" s="51" t="n"/>
      <c r="I154" s="51" t="n"/>
    </row>
    <row r="155">
      <c r="B155" s="51" t="n"/>
      <c r="C155" s="51" t="n"/>
      <c r="D155" s="51" t="n"/>
      <c r="E155" s="51" t="n"/>
      <c r="F155" s="51" t="n"/>
      <c r="G155" s="51" t="n"/>
      <c r="H155" s="51" t="n"/>
      <c r="I155" s="51" t="n"/>
    </row>
    <row r="156">
      <c r="B156" s="51" t="n"/>
      <c r="C156" s="51" t="n"/>
      <c r="D156" s="51" t="n"/>
      <c r="E156" s="51" t="n"/>
      <c r="F156" s="51" t="n"/>
      <c r="G156" s="51" t="n"/>
      <c r="H156" s="51" t="n"/>
      <c r="I156" s="51" t="n"/>
    </row>
    <row r="157">
      <c r="B157" s="51" t="n"/>
      <c r="C157" s="51" t="n"/>
      <c r="D157" s="51" t="n"/>
      <c r="E157" s="51" t="n"/>
      <c r="F157" s="51" t="n"/>
      <c r="G157" s="51" t="n"/>
      <c r="H157" s="51" t="n"/>
      <c r="I157" s="51" t="n"/>
    </row>
    <row r="158">
      <c r="B158" s="51" t="n"/>
      <c r="C158" s="51" t="n"/>
      <c r="D158" s="51" t="n"/>
      <c r="E158" s="51" t="n"/>
      <c r="F158" s="51" t="n"/>
      <c r="G158" s="51" t="n"/>
      <c r="H158" s="51" t="n"/>
      <c r="I158" s="51" t="n"/>
    </row>
    <row r="159">
      <c r="B159" s="51" t="n"/>
      <c r="C159" s="51" t="n"/>
      <c r="D159" s="51" t="n"/>
      <c r="E159" s="51" t="n"/>
      <c r="F159" s="51" t="n"/>
      <c r="G159" s="51" t="n"/>
      <c r="H159" s="51" t="n"/>
      <c r="I159" s="51" t="n"/>
    </row>
    <row r="160">
      <c r="B160" s="51" t="n"/>
      <c r="C160" s="51" t="n"/>
      <c r="D160" s="51" t="n"/>
      <c r="E160" s="51" t="n"/>
      <c r="F160" s="51" t="n"/>
      <c r="G160" s="51" t="n"/>
      <c r="H160" s="51" t="n"/>
      <c r="I160" s="51" t="n"/>
    </row>
    <row r="161">
      <c r="B161" s="51" t="n"/>
      <c r="C161" s="51" t="n"/>
      <c r="D161" s="51" t="n"/>
      <c r="E161" s="51" t="n"/>
      <c r="F161" s="51" t="n"/>
      <c r="G161" s="51" t="n"/>
      <c r="H161" s="51" t="n"/>
      <c r="I161" s="51" t="n"/>
    </row>
    <row r="162">
      <c r="B162" s="51" t="n"/>
      <c r="C162" s="51" t="n"/>
      <c r="D162" s="51" t="n"/>
      <c r="E162" s="51" t="n"/>
      <c r="F162" s="51" t="n"/>
      <c r="G162" s="51" t="n"/>
      <c r="H162" s="51" t="n"/>
      <c r="I162" s="51" t="n"/>
    </row>
    <row r="163">
      <c r="B163" s="51" t="n"/>
      <c r="C163" s="51" t="n"/>
      <c r="D163" s="51" t="n"/>
      <c r="E163" s="51" t="n"/>
      <c r="F163" s="51" t="n"/>
      <c r="G163" s="51" t="n"/>
      <c r="H163" s="51" t="n"/>
      <c r="I163" s="51" t="n"/>
    </row>
    <row r="164">
      <c r="B164" s="51" t="n"/>
      <c r="C164" s="51" t="n"/>
      <c r="D164" s="51" t="n"/>
      <c r="E164" s="51" t="n"/>
      <c r="F164" s="51" t="n"/>
      <c r="G164" s="51" t="n"/>
      <c r="H164" s="51" t="n"/>
      <c r="I164" s="51" t="n"/>
    </row>
    <row r="165">
      <c r="B165" s="51" t="n"/>
      <c r="C165" s="51" t="n"/>
      <c r="D165" s="51" t="n"/>
      <c r="E165" s="51" t="n"/>
      <c r="F165" s="51" t="n"/>
      <c r="G165" s="51" t="n"/>
      <c r="H165" s="51" t="n"/>
      <c r="I165" s="51" t="n"/>
    </row>
    <row r="166">
      <c r="B166" s="51" t="n"/>
      <c r="C166" s="51" t="n"/>
      <c r="D166" s="51" t="n"/>
      <c r="E166" s="51" t="n"/>
      <c r="F166" s="51" t="n"/>
      <c r="G166" s="51" t="n"/>
      <c r="H166" s="51" t="n"/>
      <c r="I166" s="51" t="n"/>
    </row>
    <row r="167">
      <c r="B167" s="51" t="n"/>
      <c r="C167" s="51" t="n"/>
      <c r="D167" s="51" t="n"/>
      <c r="E167" s="51" t="n"/>
      <c r="F167" s="51" t="n"/>
      <c r="G167" s="51" t="n"/>
      <c r="H167" s="51" t="n"/>
      <c r="I167" s="51" t="n"/>
    </row>
    <row r="168">
      <c r="B168" s="51" t="n"/>
      <c r="C168" s="51" t="n"/>
      <c r="D168" s="51" t="n"/>
      <c r="E168" s="51" t="n"/>
      <c r="F168" s="51" t="n"/>
      <c r="G168" s="51" t="n"/>
      <c r="H168" s="51" t="n"/>
      <c r="I168" s="51" t="n"/>
    </row>
    <row r="169">
      <c r="B169" s="51" t="n"/>
      <c r="C169" s="51" t="n"/>
      <c r="D169" s="51" t="n"/>
      <c r="E169" s="51" t="n"/>
      <c r="F169" s="51" t="n"/>
      <c r="G169" s="51" t="n"/>
      <c r="H169" s="51" t="n"/>
      <c r="I169" s="51" t="n"/>
    </row>
    <row r="170">
      <c r="B170" s="51" t="n"/>
      <c r="C170" s="51" t="n"/>
      <c r="D170" s="51" t="n"/>
      <c r="E170" s="51" t="n"/>
      <c r="F170" s="51" t="n"/>
      <c r="G170" s="51" t="n"/>
      <c r="H170" s="51" t="n"/>
      <c r="I170" s="51" t="n"/>
    </row>
    <row r="171">
      <c r="B171" s="51" t="n"/>
      <c r="C171" s="51" t="n"/>
      <c r="D171" s="51" t="n"/>
      <c r="E171" s="51" t="n"/>
      <c r="F171" s="51" t="n"/>
      <c r="G171" s="51" t="n"/>
      <c r="H171" s="51" t="n"/>
      <c r="I171" s="51" t="n"/>
    </row>
    <row r="172">
      <c r="B172" s="51" t="n"/>
      <c r="C172" s="51" t="n"/>
      <c r="D172" s="51" t="n"/>
      <c r="E172" s="51" t="n"/>
      <c r="F172" s="51" t="n"/>
      <c r="G172" s="51" t="n"/>
      <c r="H172" s="51" t="n"/>
      <c r="I172" s="51" t="n"/>
    </row>
    <row r="173">
      <c r="B173" s="51" t="n"/>
      <c r="C173" s="51" t="n"/>
      <c r="D173" s="51" t="n"/>
      <c r="E173" s="51" t="n"/>
      <c r="F173" s="51" t="n"/>
      <c r="G173" s="51" t="n"/>
      <c r="H173" s="51" t="n"/>
      <c r="I173" s="51" t="n"/>
    </row>
    <row r="174">
      <c r="B174" s="51" t="n"/>
      <c r="C174" s="51" t="n"/>
      <c r="D174" s="51" t="n"/>
      <c r="E174" s="51" t="n"/>
      <c r="F174" s="51" t="n"/>
      <c r="G174" s="51" t="n"/>
      <c r="H174" s="51" t="n"/>
      <c r="I174" s="51" t="n"/>
    </row>
    <row r="175">
      <c r="B175" s="51" t="n"/>
      <c r="C175" s="51" t="n"/>
      <c r="D175" s="51" t="n"/>
      <c r="E175" s="51" t="n"/>
      <c r="F175" s="51" t="n"/>
      <c r="G175" s="51" t="n"/>
      <c r="H175" s="51" t="n"/>
      <c r="I175" s="51" t="n"/>
    </row>
    <row r="176">
      <c r="B176" s="51" t="n"/>
      <c r="C176" s="51" t="n"/>
      <c r="D176" s="51" t="n"/>
      <c r="E176" s="51" t="n"/>
      <c r="F176" s="51" t="n"/>
      <c r="G176" s="51" t="n"/>
      <c r="H176" s="51" t="n"/>
      <c r="I176" s="51" t="n"/>
    </row>
    <row r="177">
      <c r="B177" s="51" t="n"/>
      <c r="C177" s="51" t="n"/>
      <c r="D177" s="51" t="n"/>
      <c r="E177" s="51" t="n"/>
      <c r="F177" s="51" t="n"/>
      <c r="G177" s="51" t="n"/>
      <c r="H177" s="51" t="n"/>
      <c r="I177" s="51" t="n"/>
    </row>
    <row r="178">
      <c r="B178" s="51" t="n"/>
      <c r="C178" s="51" t="n"/>
      <c r="D178" s="51" t="n"/>
      <c r="E178" s="51" t="n"/>
      <c r="F178" s="51" t="n"/>
      <c r="G178" s="51" t="n"/>
      <c r="H178" s="51" t="n"/>
      <c r="I178" s="51" t="n"/>
    </row>
    <row r="179">
      <c r="B179" s="51" t="n"/>
      <c r="C179" s="51" t="n"/>
      <c r="D179" s="51" t="n"/>
      <c r="E179" s="51" t="n"/>
      <c r="F179" s="51" t="n"/>
      <c r="G179" s="51" t="n"/>
      <c r="H179" s="51" t="n"/>
      <c r="I179" s="51" t="n"/>
    </row>
    <row r="180">
      <c r="B180" s="51" t="n"/>
      <c r="C180" s="51" t="n"/>
      <c r="D180" s="51" t="n"/>
      <c r="E180" s="51" t="n"/>
      <c r="F180" s="51" t="n"/>
      <c r="G180" s="51" t="n"/>
      <c r="H180" s="51" t="n"/>
      <c r="I180" s="51" t="n"/>
    </row>
    <row r="181">
      <c r="B181" s="51" t="n"/>
      <c r="C181" s="51" t="n"/>
      <c r="D181" s="51" t="n"/>
      <c r="E181" s="51" t="n"/>
      <c r="F181" s="51" t="n"/>
      <c r="G181" s="51" t="n"/>
      <c r="H181" s="51" t="n"/>
      <c r="I181" s="51" t="n"/>
    </row>
    <row r="182">
      <c r="B182" s="51" t="n"/>
      <c r="C182" s="51" t="n"/>
      <c r="D182" s="51" t="n"/>
      <c r="E182" s="51" t="n"/>
      <c r="F182" s="51" t="n"/>
      <c r="G182" s="51" t="n"/>
      <c r="H182" s="51" t="n"/>
      <c r="I182" s="51" t="n"/>
    </row>
    <row r="183">
      <c r="B183" s="51" t="n"/>
      <c r="C183" s="51" t="n"/>
      <c r="D183" s="51" t="n"/>
      <c r="E183" s="51" t="n"/>
      <c r="F183" s="51" t="n"/>
      <c r="G183" s="51" t="n"/>
      <c r="H183" s="51" t="n"/>
      <c r="I183" s="51" t="n"/>
    </row>
    <row r="184">
      <c r="B184" s="51" t="n"/>
      <c r="C184" s="51" t="n"/>
      <c r="D184" s="51" t="n"/>
      <c r="E184" s="51" t="n"/>
      <c r="F184" s="51" t="n"/>
      <c r="G184" s="51" t="n"/>
      <c r="H184" s="51" t="n"/>
      <c r="I184" s="51" t="n"/>
    </row>
    <row r="185">
      <c r="B185" s="51" t="n"/>
      <c r="C185" s="51" t="n"/>
      <c r="D185" s="51" t="n"/>
      <c r="E185" s="51" t="n"/>
      <c r="F185" s="51" t="n"/>
      <c r="G185" s="51" t="n"/>
      <c r="H185" s="51" t="n"/>
      <c r="I185" s="51" t="n"/>
    </row>
    <row r="186">
      <c r="B186" s="51" t="n"/>
      <c r="C186" s="51" t="n"/>
      <c r="D186" s="51" t="n"/>
      <c r="E186" s="51" t="n"/>
      <c r="F186" s="51" t="n"/>
      <c r="G186" s="51" t="n"/>
      <c r="H186" s="51" t="n"/>
      <c r="I186" s="51" t="n"/>
    </row>
    <row r="187">
      <c r="B187" s="51" t="n"/>
      <c r="C187" s="51" t="n"/>
      <c r="D187" s="51" t="n"/>
      <c r="E187" s="51" t="n"/>
      <c r="F187" s="51" t="n"/>
      <c r="G187" s="51" t="n"/>
      <c r="H187" s="51" t="n"/>
      <c r="I187" s="51" t="n"/>
    </row>
    <row r="188">
      <c r="B188" s="51" t="n"/>
      <c r="C188" s="51" t="n"/>
      <c r="D188" s="51" t="n"/>
      <c r="E188" s="51" t="n"/>
      <c r="F188" s="51" t="n"/>
      <c r="G188" s="51" t="n"/>
      <c r="H188" s="51" t="n"/>
      <c r="I188" s="51" t="n"/>
    </row>
    <row r="189">
      <c r="B189" s="51" t="n"/>
      <c r="C189" s="51" t="n"/>
      <c r="D189" s="51" t="n"/>
      <c r="E189" s="51" t="n"/>
      <c r="F189" s="51" t="n"/>
      <c r="G189" s="51" t="n"/>
      <c r="H189" s="51" t="n"/>
      <c r="I189" s="51" t="n"/>
    </row>
    <row r="190">
      <c r="B190" s="51" t="n"/>
      <c r="C190" s="51" t="n"/>
      <c r="D190" s="51" t="n"/>
      <c r="E190" s="51" t="n"/>
      <c r="F190" s="51" t="n"/>
      <c r="G190" s="51" t="n"/>
      <c r="H190" s="51" t="n"/>
      <c r="I190" s="51" t="n"/>
    </row>
    <row r="191">
      <c r="B191" s="51" t="n"/>
      <c r="C191" s="51" t="n"/>
      <c r="D191" s="51" t="n"/>
      <c r="E191" s="51" t="n"/>
      <c r="F191" s="51" t="n"/>
      <c r="G191" s="51" t="n"/>
      <c r="H191" s="51" t="n"/>
      <c r="I191" s="51" t="n"/>
    </row>
    <row r="192">
      <c r="B192" s="51" t="n"/>
      <c r="C192" s="51" t="n"/>
      <c r="D192" s="51" t="n"/>
      <c r="E192" s="51" t="n"/>
      <c r="F192" s="51" t="n"/>
      <c r="G192" s="51" t="n"/>
      <c r="H192" s="51" t="n"/>
      <c r="I192" s="51" t="n"/>
    </row>
    <row r="193">
      <c r="B193" s="51" t="n"/>
      <c r="C193" s="51" t="n"/>
      <c r="D193" s="51" t="n"/>
      <c r="E193" s="51" t="n"/>
      <c r="F193" s="51" t="n"/>
      <c r="G193" s="51" t="n"/>
      <c r="H193" s="51" t="n"/>
      <c r="I193" s="51" t="n"/>
    </row>
    <row r="194">
      <c r="B194" s="51" t="n"/>
      <c r="C194" s="51" t="n"/>
      <c r="D194" s="51" t="n"/>
      <c r="E194" s="51" t="n"/>
      <c r="F194" s="51" t="n"/>
      <c r="G194" s="51" t="n"/>
      <c r="H194" s="51" t="n"/>
      <c r="I194" s="51" t="n"/>
    </row>
    <row r="195">
      <c r="B195" s="51" t="n"/>
      <c r="C195" s="51" t="n"/>
      <c r="D195" s="51" t="n"/>
      <c r="E195" s="51" t="n"/>
      <c r="F195" s="51" t="n"/>
      <c r="G195" s="51" t="n"/>
      <c r="H195" s="51" t="n"/>
      <c r="I195" s="51" t="n"/>
    </row>
    <row r="196">
      <c r="B196" s="51" t="n"/>
      <c r="C196" s="51" t="n"/>
      <c r="D196" s="51" t="n"/>
      <c r="E196" s="51" t="n"/>
      <c r="F196" s="51" t="n"/>
      <c r="G196" s="51" t="n"/>
      <c r="H196" s="51" t="n"/>
      <c r="I196" s="51" t="n"/>
    </row>
    <row r="197">
      <c r="B197" s="51" t="n"/>
      <c r="C197" s="51" t="n"/>
      <c r="D197" s="51" t="n"/>
      <c r="E197" s="51" t="n"/>
      <c r="F197" s="51" t="n"/>
      <c r="G197" s="51" t="n"/>
      <c r="H197" s="51" t="n"/>
      <c r="I197" s="51" t="n"/>
    </row>
    <row r="198">
      <c r="B198" s="51" t="n"/>
      <c r="C198" s="51" t="n"/>
      <c r="D198" s="51" t="n"/>
      <c r="E198" s="51" t="n"/>
      <c r="F198" s="51" t="n"/>
      <c r="G198" s="51" t="n"/>
      <c r="H198" s="51" t="n"/>
      <c r="I198" s="51" t="n"/>
    </row>
    <row r="199">
      <c r="B199" s="51" t="n"/>
      <c r="C199" s="51" t="n"/>
      <c r="D199" s="51" t="n"/>
      <c r="E199" s="51" t="n"/>
      <c r="F199" s="51" t="n"/>
      <c r="G199" s="51" t="n"/>
      <c r="H199" s="51" t="n"/>
      <c r="I199" s="51" t="n"/>
    </row>
    <row r="200">
      <c r="B200" s="51" t="n"/>
      <c r="C200" s="51" t="n"/>
      <c r="D200" s="51" t="n"/>
      <c r="E200" s="51" t="n"/>
      <c r="F200" s="51" t="n"/>
      <c r="G200" s="51" t="n"/>
      <c r="H200" s="51" t="n"/>
      <c r="I200" s="51" t="n"/>
    </row>
    <row r="201">
      <c r="B201" s="51" t="n"/>
      <c r="C201" s="51" t="n"/>
      <c r="D201" s="51" t="n"/>
      <c r="E201" s="51" t="n"/>
      <c r="F201" s="51" t="n"/>
      <c r="G201" s="51" t="n"/>
      <c r="H201" s="51" t="n"/>
      <c r="I201" s="51" t="n"/>
    </row>
    <row r="202">
      <c r="B202" s="51" t="n"/>
      <c r="C202" s="51" t="n"/>
      <c r="D202" s="51" t="n"/>
      <c r="E202" s="51" t="n"/>
      <c r="F202" s="51" t="n"/>
      <c r="G202" s="51" t="n"/>
      <c r="H202" s="51" t="n"/>
      <c r="I202" s="51" t="n"/>
    </row>
    <row r="203">
      <c r="B203" s="51" t="n"/>
      <c r="C203" s="51" t="n"/>
      <c r="D203" s="51" t="n"/>
      <c r="E203" s="51" t="n"/>
      <c r="F203" s="51" t="n"/>
      <c r="G203" s="51" t="n"/>
      <c r="H203" s="51" t="n"/>
      <c r="I203" s="51" t="n"/>
    </row>
    <row r="204">
      <c r="B204" s="51" t="n"/>
      <c r="C204" s="51" t="n"/>
      <c r="D204" s="51" t="n"/>
      <c r="E204" s="51" t="n"/>
      <c r="F204" s="51" t="n"/>
      <c r="G204" s="51" t="n"/>
      <c r="H204" s="51" t="n"/>
      <c r="I204" s="51" t="n"/>
    </row>
    <row r="205">
      <c r="B205" s="51" t="n"/>
      <c r="C205" s="51" t="n"/>
      <c r="D205" s="51" t="n"/>
      <c r="E205" s="51" t="n"/>
      <c r="F205" s="51" t="n"/>
      <c r="G205" s="51" t="n"/>
      <c r="H205" s="51" t="n"/>
      <c r="I205" s="51" t="n"/>
    </row>
    <row r="206">
      <c r="B206" s="51" t="n"/>
      <c r="C206" s="51" t="n"/>
      <c r="D206" s="51" t="n"/>
      <c r="E206" s="51" t="n"/>
      <c r="F206" s="51" t="n"/>
      <c r="G206" s="51" t="n"/>
      <c r="H206" s="51" t="n"/>
      <c r="I206" s="51" t="n"/>
    </row>
    <row r="207">
      <c r="B207" s="51" t="n"/>
      <c r="C207" s="51" t="n"/>
      <c r="D207" s="51" t="n"/>
      <c r="E207" s="51" t="n"/>
      <c r="F207" s="51" t="n"/>
      <c r="G207" s="51" t="n"/>
      <c r="H207" s="51" t="n"/>
      <c r="I207" s="51" t="n"/>
    </row>
    <row r="208">
      <c r="B208" s="51" t="n"/>
      <c r="C208" s="51" t="n"/>
      <c r="D208" s="51" t="n"/>
      <c r="E208" s="51" t="n"/>
      <c r="F208" s="51" t="n"/>
      <c r="G208" s="51" t="n"/>
      <c r="H208" s="51" t="n"/>
      <c r="I208" s="51" t="n"/>
    </row>
    <row r="209">
      <c r="B209" s="51" t="n"/>
      <c r="C209" s="51" t="n"/>
      <c r="D209" s="51" t="n"/>
      <c r="E209" s="51" t="n"/>
      <c r="F209" s="51" t="n"/>
      <c r="G209" s="51" t="n"/>
      <c r="H209" s="51" t="n"/>
      <c r="I209" s="51" t="n"/>
    </row>
    <row r="210">
      <c r="B210" s="51" t="n"/>
      <c r="C210" s="51" t="n"/>
      <c r="D210" s="51" t="n"/>
      <c r="E210" s="51" t="n"/>
      <c r="F210" s="51" t="n"/>
      <c r="G210" s="51" t="n"/>
      <c r="H210" s="51" t="n"/>
      <c r="I210" s="51" t="n"/>
    </row>
    <row r="211">
      <c r="B211" s="51" t="n"/>
      <c r="C211" s="51" t="n"/>
      <c r="D211" s="51" t="n"/>
      <c r="E211" s="51" t="n"/>
      <c r="F211" s="51" t="n"/>
      <c r="G211" s="51" t="n"/>
      <c r="H211" s="51" t="n"/>
      <c r="I211" s="51" t="n"/>
    </row>
    <row r="212">
      <c r="B212" s="51" t="n"/>
      <c r="C212" s="51" t="n"/>
      <c r="D212" s="51" t="n"/>
      <c r="E212" s="51" t="n"/>
      <c r="F212" s="51" t="n"/>
      <c r="G212" s="51" t="n"/>
      <c r="H212" s="51" t="n"/>
      <c r="I212" s="51" t="n"/>
    </row>
    <row r="213">
      <c r="B213" s="51" t="n"/>
      <c r="C213" s="51" t="n"/>
      <c r="D213" s="51" t="n"/>
      <c r="E213" s="51" t="n"/>
      <c r="F213" s="51" t="n"/>
      <c r="G213" s="51" t="n"/>
      <c r="H213" s="51" t="n"/>
      <c r="I213" s="51" t="n"/>
    </row>
    <row r="214">
      <c r="B214" s="51" t="n"/>
      <c r="C214" s="51" t="n"/>
      <c r="D214" s="51" t="n"/>
      <c r="E214" s="51" t="n"/>
      <c r="F214" s="51" t="n"/>
      <c r="G214" s="51" t="n"/>
      <c r="H214" s="51" t="n"/>
      <c r="I214" s="51" t="n"/>
    </row>
    <row r="215">
      <c r="B215" s="51" t="n"/>
      <c r="C215" s="51" t="n"/>
      <c r="D215" s="51" t="n"/>
      <c r="E215" s="51" t="n"/>
      <c r="F215" s="51" t="n"/>
      <c r="G215" s="51" t="n"/>
      <c r="H215" s="51" t="n"/>
      <c r="I215" s="51" t="n"/>
    </row>
    <row r="216">
      <c r="B216" s="51" t="n"/>
      <c r="C216" s="51" t="n"/>
      <c r="D216" s="51" t="n"/>
      <c r="E216" s="51" t="n"/>
      <c r="F216" s="51" t="n"/>
      <c r="G216" s="51" t="n"/>
      <c r="H216" s="51" t="n"/>
      <c r="I216" s="51" t="n"/>
    </row>
    <row r="217">
      <c r="B217" s="51" t="n"/>
      <c r="C217" s="51" t="n"/>
      <c r="D217" s="51" t="n"/>
      <c r="E217" s="51" t="n"/>
      <c r="F217" s="51" t="n"/>
      <c r="G217" s="51" t="n"/>
      <c r="H217" s="51" t="n"/>
      <c r="I217" s="51" t="n"/>
    </row>
    <row r="218">
      <c r="B218" s="51" t="n"/>
      <c r="C218" s="51" t="n"/>
      <c r="D218" s="51" t="n"/>
      <c r="E218" s="51" t="n"/>
      <c r="F218" s="51" t="n"/>
      <c r="G218" s="51" t="n"/>
      <c r="H218" s="51" t="n"/>
      <c r="I218" s="51" t="n"/>
    </row>
    <row r="219">
      <c r="B219" s="51" t="n"/>
      <c r="C219" s="51" t="n"/>
      <c r="D219" s="51" t="n"/>
      <c r="E219" s="51" t="n"/>
      <c r="F219" s="51" t="n"/>
      <c r="G219" s="51" t="n"/>
      <c r="H219" s="51" t="n"/>
      <c r="I219" s="51" t="n"/>
    </row>
    <row r="220">
      <c r="B220" s="51" t="n"/>
      <c r="C220" s="51" t="n"/>
      <c r="D220" s="51" t="n"/>
      <c r="E220" s="51" t="n"/>
      <c r="F220" s="51" t="n"/>
      <c r="G220" s="51" t="n"/>
      <c r="H220" s="51" t="n"/>
      <c r="I220" s="51" t="n"/>
    </row>
    <row r="221">
      <c r="B221" s="51" t="n"/>
      <c r="C221" s="51" t="n"/>
      <c r="D221" s="51" t="n"/>
      <c r="E221" s="51" t="n"/>
      <c r="F221" s="51" t="n"/>
      <c r="G221" s="51" t="n"/>
      <c r="H221" s="51" t="n"/>
      <c r="I221" s="51" t="n"/>
    </row>
    <row r="222">
      <c r="B222" s="51" t="n"/>
      <c r="C222" s="51" t="n"/>
      <c r="D222" s="51" t="n"/>
      <c r="E222" s="51" t="n"/>
      <c r="F222" s="51" t="n"/>
      <c r="G222" s="51" t="n"/>
      <c r="H222" s="51" t="n"/>
      <c r="I222" s="51" t="n"/>
    </row>
    <row r="223">
      <c r="B223" s="51" t="n"/>
      <c r="C223" s="51" t="n"/>
      <c r="D223" s="51" t="n"/>
      <c r="E223" s="51" t="n"/>
      <c r="F223" s="51" t="n"/>
      <c r="G223" s="51" t="n"/>
      <c r="H223" s="51" t="n"/>
      <c r="I223" s="51" t="n"/>
    </row>
    <row r="224">
      <c r="B224" s="51" t="n"/>
      <c r="C224" s="51" t="n"/>
      <c r="D224" s="51" t="n"/>
      <c r="E224" s="51" t="n"/>
      <c r="F224" s="51" t="n"/>
      <c r="G224" s="51" t="n"/>
      <c r="H224" s="51" t="n"/>
      <c r="I224" s="51" t="n"/>
    </row>
    <row r="225">
      <c r="B225" s="51" t="n"/>
      <c r="C225" s="51" t="n"/>
      <c r="D225" s="51" t="n"/>
      <c r="E225" s="51" t="n"/>
      <c r="F225" s="51" t="n"/>
      <c r="G225" s="51" t="n"/>
      <c r="H225" s="51" t="n"/>
      <c r="I225" s="51" t="n"/>
    </row>
    <row r="226">
      <c r="B226" s="51" t="n"/>
      <c r="C226" s="51" t="n"/>
      <c r="D226" s="51" t="n"/>
      <c r="E226" s="51" t="n"/>
      <c r="F226" s="51" t="n"/>
      <c r="G226" s="51" t="n"/>
      <c r="H226" s="51" t="n"/>
      <c r="I226" s="51" t="n"/>
    </row>
    <row r="227">
      <c r="B227" s="51" t="n"/>
      <c r="C227" s="51" t="n"/>
      <c r="D227" s="51" t="n"/>
      <c r="E227" s="51" t="n"/>
      <c r="F227" s="51" t="n"/>
      <c r="G227" s="51" t="n"/>
      <c r="H227" s="51" t="n"/>
      <c r="I227" s="51" t="n"/>
    </row>
    <row r="228">
      <c r="B228" s="51" t="n"/>
      <c r="C228" s="51" t="n"/>
      <c r="D228" s="51" t="n"/>
      <c r="E228" s="51" t="n"/>
      <c r="F228" s="51" t="n"/>
      <c r="G228" s="51" t="n"/>
      <c r="H228" s="51" t="n"/>
      <c r="I228" s="51" t="n"/>
    </row>
    <row r="229">
      <c r="B229" s="51" t="n"/>
      <c r="C229" s="51" t="n"/>
      <c r="D229" s="51" t="n"/>
      <c r="E229" s="51" t="n"/>
      <c r="F229" s="51" t="n"/>
      <c r="G229" s="51" t="n"/>
      <c r="H229" s="51" t="n"/>
      <c r="I229" s="51" t="n"/>
    </row>
    <row r="230">
      <c r="B230" s="51" t="n"/>
      <c r="C230" s="51" t="n"/>
      <c r="D230" s="51" t="n"/>
      <c r="E230" s="51" t="n"/>
      <c r="F230" s="51" t="n"/>
      <c r="G230" s="51" t="n"/>
      <c r="H230" s="51" t="n"/>
      <c r="I230" s="51" t="n"/>
    </row>
    <row r="231">
      <c r="B231" s="51" t="n"/>
      <c r="C231" s="51" t="n"/>
      <c r="D231" s="51" t="n"/>
      <c r="E231" s="51" t="n"/>
      <c r="F231" s="51" t="n"/>
      <c r="G231" s="51" t="n"/>
      <c r="H231" s="51" t="n"/>
      <c r="I231" s="51" t="n"/>
    </row>
    <row r="232">
      <c r="B232" s="51" t="n"/>
      <c r="C232" s="51" t="n"/>
      <c r="D232" s="51" t="n"/>
      <c r="E232" s="51" t="n"/>
      <c r="F232" s="51" t="n"/>
      <c r="G232" s="51" t="n"/>
      <c r="H232" s="51" t="n"/>
      <c r="I232" s="51" t="n"/>
    </row>
    <row r="233">
      <c r="B233" s="51" t="n"/>
      <c r="C233" s="51" t="n"/>
      <c r="D233" s="51" t="n"/>
      <c r="E233" s="51" t="n"/>
      <c r="F233" s="51" t="n"/>
      <c r="G233" s="51" t="n"/>
      <c r="H233" s="51" t="n"/>
      <c r="I233" s="51" t="n"/>
    </row>
    <row r="234">
      <c r="B234" s="51" t="n"/>
      <c r="C234" s="51" t="n"/>
      <c r="D234" s="51" t="n"/>
      <c r="E234" s="51" t="n"/>
      <c r="F234" s="51" t="n"/>
      <c r="G234" s="51" t="n"/>
      <c r="H234" s="51" t="n"/>
      <c r="I234" s="51" t="n"/>
    </row>
    <row r="235">
      <c r="B235" s="51" t="n"/>
      <c r="C235" s="51" t="n"/>
      <c r="D235" s="51" t="n"/>
      <c r="E235" s="51" t="n"/>
      <c r="F235" s="51" t="n"/>
      <c r="G235" s="51" t="n"/>
      <c r="H235" s="51" t="n"/>
      <c r="I235" s="51" t="n"/>
    </row>
    <row r="236">
      <c r="B236" s="51" t="n"/>
      <c r="C236" s="51" t="n"/>
      <c r="D236" s="51" t="n"/>
      <c r="E236" s="51" t="n"/>
      <c r="F236" s="51" t="n"/>
      <c r="G236" s="51" t="n"/>
      <c r="H236" s="51" t="n"/>
      <c r="I236" s="51" t="n"/>
    </row>
    <row r="237">
      <c r="B237" s="51" t="n"/>
      <c r="C237" s="51" t="n"/>
      <c r="D237" s="51" t="n"/>
      <c r="E237" s="51" t="n"/>
      <c r="F237" s="51" t="n"/>
      <c r="G237" s="51" t="n"/>
      <c r="H237" s="51" t="n"/>
      <c r="I237" s="51" t="n"/>
    </row>
    <row r="238">
      <c r="B238" s="51" t="n"/>
      <c r="C238" s="51" t="n"/>
      <c r="D238" s="51" t="n"/>
      <c r="E238" s="51" t="n"/>
      <c r="F238" s="51" t="n"/>
      <c r="G238" s="51" t="n"/>
      <c r="H238" s="51" t="n"/>
      <c r="I238" s="51" t="n"/>
    </row>
    <row r="239">
      <c r="B239" s="51" t="n"/>
      <c r="C239" s="51" t="n"/>
      <c r="D239" s="51" t="n"/>
      <c r="E239" s="51" t="n"/>
      <c r="F239" s="51" t="n"/>
      <c r="G239" s="51" t="n"/>
      <c r="H239" s="51" t="n"/>
      <c r="I239" s="51" t="n"/>
    </row>
    <row r="240">
      <c r="B240" s="51" t="n"/>
      <c r="C240" s="51" t="n"/>
      <c r="D240" s="51" t="n"/>
      <c r="E240" s="51" t="n"/>
      <c r="F240" s="51" t="n"/>
      <c r="G240" s="51" t="n"/>
      <c r="H240" s="51" t="n"/>
      <c r="I240" s="51" t="n"/>
    </row>
    <row r="241">
      <c r="B241" s="51" t="n"/>
      <c r="C241" s="51" t="n"/>
      <c r="D241" s="51" t="n"/>
      <c r="E241" s="51" t="n"/>
      <c r="F241" s="51" t="n"/>
      <c r="G241" s="51" t="n"/>
      <c r="H241" s="51" t="n"/>
      <c r="I241" s="51" t="n"/>
    </row>
    <row r="242">
      <c r="B242" s="51" t="n"/>
      <c r="C242" s="51" t="n"/>
      <c r="D242" s="51" t="n"/>
      <c r="E242" s="51" t="n"/>
      <c r="F242" s="51" t="n"/>
      <c r="G242" s="51" t="n"/>
      <c r="H242" s="51" t="n"/>
      <c r="I242" s="51" t="n"/>
    </row>
    <row r="243">
      <c r="B243" s="51" t="n"/>
      <c r="C243" s="51" t="n"/>
      <c r="D243" s="51" t="n"/>
      <c r="E243" s="51" t="n"/>
      <c r="F243" s="51" t="n"/>
      <c r="G243" s="51" t="n"/>
      <c r="H243" s="51" t="n"/>
      <c r="I243" s="51" t="n"/>
    </row>
    <row r="244">
      <c r="B244" s="51" t="n"/>
      <c r="C244" s="51" t="n"/>
      <c r="D244" s="51" t="n"/>
      <c r="E244" s="51" t="n"/>
      <c r="F244" s="51" t="n"/>
      <c r="G244" s="51" t="n"/>
      <c r="H244" s="51" t="n"/>
      <c r="I244" s="51" t="n"/>
    </row>
    <row r="245">
      <c r="B245" s="51" t="n"/>
      <c r="C245" s="51" t="n"/>
      <c r="D245" s="51" t="n"/>
      <c r="E245" s="51" t="n"/>
      <c r="F245" s="51" t="n"/>
      <c r="G245" s="51" t="n"/>
      <c r="H245" s="51" t="n"/>
      <c r="I245" s="51" t="n"/>
    </row>
    <row r="246">
      <c r="B246" s="51" t="n"/>
      <c r="C246" s="51" t="n"/>
      <c r="D246" s="51" t="n"/>
      <c r="E246" s="51" t="n"/>
      <c r="F246" s="51" t="n"/>
      <c r="G246" s="51" t="n"/>
      <c r="H246" s="51" t="n"/>
      <c r="I246" s="51" t="n"/>
    </row>
    <row r="247">
      <c r="B247" s="51" t="n"/>
      <c r="C247" s="51" t="n"/>
      <c r="D247" s="51" t="n"/>
      <c r="E247" s="51" t="n"/>
      <c r="F247" s="51" t="n"/>
      <c r="G247" s="51" t="n"/>
      <c r="H247" s="51" t="n"/>
      <c r="I247" s="51" t="n"/>
    </row>
    <row r="248">
      <c r="B248" s="51" t="n"/>
      <c r="C248" s="51" t="n"/>
      <c r="D248" s="51" t="n"/>
      <c r="E248" s="51" t="n"/>
      <c r="F248" s="51" t="n"/>
      <c r="G248" s="51" t="n"/>
      <c r="H248" s="51" t="n"/>
      <c r="I248" s="51" t="n"/>
    </row>
    <row r="249">
      <c r="B249" s="51" t="n"/>
      <c r="C249" s="51" t="n"/>
      <c r="D249" s="51" t="n"/>
      <c r="E249" s="51" t="n"/>
      <c r="F249" s="51" t="n"/>
      <c r="G249" s="51" t="n"/>
      <c r="H249" s="51" t="n"/>
      <c r="I249" s="51" t="n"/>
    </row>
    <row r="250">
      <c r="B250" s="51" t="n"/>
      <c r="C250" s="51" t="n"/>
      <c r="D250" s="51" t="n"/>
      <c r="E250" s="51" t="n"/>
      <c r="F250" s="51" t="n"/>
      <c r="G250" s="51" t="n"/>
      <c r="H250" s="51" t="n"/>
      <c r="I250" s="51" t="n"/>
    </row>
    <row r="251">
      <c r="B251" s="51" t="n"/>
      <c r="C251" s="51" t="n"/>
      <c r="D251" s="51" t="n"/>
      <c r="E251" s="51" t="n"/>
      <c r="F251" s="51" t="n"/>
      <c r="G251" s="51" t="n"/>
      <c r="H251" s="51" t="n"/>
      <c r="I251" s="51" t="n"/>
    </row>
    <row r="252">
      <c r="B252" s="51" t="n"/>
      <c r="C252" s="51" t="n"/>
      <c r="D252" s="51" t="n"/>
      <c r="E252" s="51" t="n"/>
      <c r="F252" s="51" t="n"/>
      <c r="G252" s="51" t="n"/>
      <c r="H252" s="51" t="n"/>
      <c r="I252" s="51" t="n"/>
    </row>
    <row r="253">
      <c r="B253" s="51" t="n"/>
      <c r="C253" s="51" t="n"/>
      <c r="D253" s="51" t="n"/>
      <c r="E253" s="51" t="n"/>
      <c r="F253" s="51" t="n"/>
      <c r="G253" s="51" t="n"/>
      <c r="H253" s="51" t="n"/>
      <c r="I253" s="51" t="n"/>
    </row>
    <row r="254">
      <c r="B254" s="51" t="n"/>
      <c r="C254" s="51" t="n"/>
      <c r="D254" s="51" t="n"/>
      <c r="E254" s="51" t="n"/>
      <c r="F254" s="51" t="n"/>
      <c r="G254" s="51" t="n"/>
      <c r="H254" s="51" t="n"/>
      <c r="I254" s="51" t="n"/>
    </row>
    <row r="255">
      <c r="B255" s="51" t="n"/>
      <c r="C255" s="51" t="n"/>
      <c r="D255" s="51" t="n"/>
      <c r="E255" s="51" t="n"/>
      <c r="F255" s="51" t="n"/>
      <c r="G255" s="51" t="n"/>
      <c r="H255" s="51" t="n"/>
      <c r="I255" s="51" t="n"/>
    </row>
    <row r="256">
      <c r="B256" s="51" t="n"/>
      <c r="C256" s="51" t="n"/>
      <c r="D256" s="51" t="n"/>
      <c r="E256" s="51" t="n"/>
      <c r="F256" s="51" t="n"/>
      <c r="G256" s="51" t="n"/>
      <c r="H256" s="51" t="n"/>
      <c r="I256" s="51" t="n"/>
    </row>
    <row r="257">
      <c r="B257" s="51" t="n"/>
      <c r="C257" s="51" t="n"/>
      <c r="D257" s="51" t="n"/>
      <c r="E257" s="51" t="n"/>
      <c r="F257" s="51" t="n"/>
      <c r="G257" s="51" t="n"/>
      <c r="H257" s="51" t="n"/>
      <c r="I257" s="51" t="n"/>
    </row>
    <row r="258">
      <c r="B258" s="51" t="n"/>
      <c r="C258" s="51" t="n"/>
      <c r="D258" s="51" t="n"/>
      <c r="E258" s="51" t="n"/>
      <c r="F258" s="51" t="n"/>
      <c r="G258" s="51" t="n"/>
      <c r="H258" s="51" t="n"/>
      <c r="I258" s="51" t="n"/>
    </row>
    <row r="259">
      <c r="B259" s="51" t="n"/>
      <c r="C259" s="51" t="n"/>
      <c r="D259" s="51" t="n"/>
      <c r="E259" s="51" t="n"/>
      <c r="F259" s="51" t="n"/>
      <c r="G259" s="51" t="n"/>
      <c r="H259" s="51" t="n"/>
      <c r="I259" s="51" t="n"/>
    </row>
    <row r="260">
      <c r="B260" s="51" t="n"/>
      <c r="C260" s="51" t="n"/>
      <c r="D260" s="51" t="n"/>
      <c r="E260" s="51" t="n"/>
      <c r="F260" s="51" t="n"/>
      <c r="G260" s="51" t="n"/>
      <c r="H260" s="51" t="n"/>
      <c r="I260" s="51" t="n"/>
    </row>
    <row r="261">
      <c r="B261" s="51" t="n"/>
      <c r="C261" s="51" t="n"/>
      <c r="D261" s="51" t="n"/>
      <c r="E261" s="51" t="n"/>
      <c r="F261" s="51" t="n"/>
      <c r="G261" s="51" t="n"/>
      <c r="H261" s="51" t="n"/>
      <c r="I261" s="51" t="n"/>
    </row>
    <row r="262">
      <c r="B262" s="51" t="n"/>
      <c r="C262" s="51" t="n"/>
      <c r="D262" s="51" t="n"/>
      <c r="E262" s="51" t="n"/>
      <c r="F262" s="51" t="n"/>
      <c r="G262" s="51" t="n"/>
      <c r="H262" s="51" t="n"/>
      <c r="I262" s="51" t="n"/>
    </row>
    <row r="263">
      <c r="B263" s="51" t="n"/>
      <c r="C263" s="51" t="n"/>
      <c r="D263" s="51" t="n"/>
      <c r="E263" s="51" t="n"/>
      <c r="F263" s="51" t="n"/>
      <c r="G263" s="51" t="n"/>
      <c r="H263" s="51" t="n"/>
      <c r="I263" s="51" t="n"/>
    </row>
    <row r="264">
      <c r="B264" s="51" t="n"/>
      <c r="C264" s="51" t="n"/>
      <c r="D264" s="51" t="n"/>
      <c r="E264" s="51" t="n"/>
      <c r="F264" s="51" t="n"/>
      <c r="G264" s="51" t="n"/>
      <c r="H264" s="51" t="n"/>
      <c r="I264" s="51" t="n"/>
    </row>
    <row r="265">
      <c r="B265" s="51" t="n"/>
      <c r="C265" s="51" t="n"/>
      <c r="D265" s="51" t="n"/>
      <c r="E265" s="51" t="n"/>
      <c r="F265" s="51" t="n"/>
      <c r="G265" s="51" t="n"/>
      <c r="H265" s="51" t="n"/>
      <c r="I265" s="51" t="n"/>
    </row>
    <row r="266">
      <c r="B266" s="51" t="n"/>
      <c r="C266" s="51" t="n"/>
      <c r="D266" s="51" t="n"/>
      <c r="E266" s="51" t="n"/>
      <c r="F266" s="51" t="n"/>
      <c r="G266" s="51" t="n"/>
      <c r="H266" s="51" t="n"/>
      <c r="I266" s="51" t="n"/>
    </row>
    <row r="267">
      <c r="B267" s="51" t="n"/>
      <c r="C267" s="51" t="n"/>
      <c r="D267" s="51" t="n"/>
      <c r="E267" s="51" t="n"/>
      <c r="F267" s="51" t="n"/>
      <c r="G267" s="51" t="n"/>
      <c r="H267" s="51" t="n"/>
      <c r="I267" s="51" t="n"/>
    </row>
    <row r="268">
      <c r="B268" s="51" t="n"/>
      <c r="C268" s="51" t="n"/>
      <c r="D268" s="51" t="n"/>
      <c r="E268" s="51" t="n"/>
      <c r="F268" s="51" t="n"/>
      <c r="G268" s="51" t="n"/>
      <c r="H268" s="51" t="n"/>
      <c r="I268" s="51" t="n"/>
    </row>
    <row r="269">
      <c r="B269" s="51" t="n"/>
      <c r="C269" s="51" t="n"/>
      <c r="D269" s="51" t="n"/>
      <c r="E269" s="51" t="n"/>
      <c r="F269" s="51" t="n"/>
      <c r="G269" s="51" t="n"/>
      <c r="H269" s="51" t="n"/>
      <c r="I269" s="51" t="n"/>
    </row>
    <row r="270">
      <c r="B270" s="51" t="n"/>
      <c r="C270" s="51" t="n"/>
      <c r="D270" s="51" t="n"/>
      <c r="E270" s="51" t="n"/>
      <c r="F270" s="51" t="n"/>
      <c r="G270" s="51" t="n"/>
      <c r="H270" s="51" t="n"/>
      <c r="I270" s="51" t="n"/>
    </row>
    <row r="271">
      <c r="B271" s="51" t="n"/>
      <c r="C271" s="51" t="n"/>
      <c r="D271" s="51" t="n"/>
      <c r="E271" s="51" t="n"/>
      <c r="F271" s="51" t="n"/>
      <c r="G271" s="51" t="n"/>
      <c r="H271" s="51" t="n"/>
      <c r="I271" s="51" t="n"/>
    </row>
    <row r="272">
      <c r="B272" s="51" t="n"/>
      <c r="C272" s="51" t="n"/>
      <c r="D272" s="51" t="n"/>
      <c r="E272" s="51" t="n"/>
      <c r="F272" s="51" t="n"/>
      <c r="G272" s="51" t="n"/>
      <c r="H272" s="51" t="n"/>
      <c r="I272" s="51" t="n"/>
    </row>
    <row r="273">
      <c r="B273" s="51" t="n"/>
      <c r="C273" s="51" t="n"/>
      <c r="D273" s="51" t="n"/>
      <c r="E273" s="51" t="n"/>
      <c r="F273" s="51" t="n"/>
      <c r="G273" s="51" t="n"/>
      <c r="H273" s="51" t="n"/>
      <c r="I273" s="51" t="n"/>
    </row>
    <row r="274">
      <c r="B274" s="51" t="n"/>
      <c r="C274" s="51" t="n"/>
      <c r="D274" s="51" t="n"/>
      <c r="E274" s="51" t="n"/>
      <c r="F274" s="51" t="n"/>
      <c r="G274" s="51" t="n"/>
      <c r="H274" s="51" t="n"/>
      <c r="I274" s="51" t="n"/>
    </row>
    <row r="275">
      <c r="B275" s="51" t="n"/>
      <c r="C275" s="51" t="n"/>
      <c r="D275" s="51" t="n"/>
      <c r="E275" s="51" t="n"/>
      <c r="F275" s="51" t="n"/>
      <c r="G275" s="51" t="n"/>
      <c r="H275" s="51" t="n"/>
      <c r="I275" s="51" t="n"/>
    </row>
    <row r="276">
      <c r="B276" s="51" t="n"/>
      <c r="C276" s="51" t="n"/>
      <c r="D276" s="51" t="n"/>
      <c r="E276" s="51" t="n"/>
      <c r="F276" s="51" t="n"/>
      <c r="G276" s="51" t="n"/>
      <c r="H276" s="51" t="n"/>
      <c r="I276" s="51" t="n"/>
    </row>
    <row r="277">
      <c r="B277" s="51" t="n"/>
      <c r="C277" s="51" t="n"/>
      <c r="D277" s="51" t="n"/>
      <c r="E277" s="51" t="n"/>
      <c r="F277" s="51" t="n"/>
      <c r="G277" s="51" t="n"/>
      <c r="H277" s="51" t="n"/>
      <c r="I277" s="51" t="n"/>
    </row>
    <row r="278">
      <c r="B278" s="51" t="n"/>
      <c r="C278" s="51" t="n"/>
      <c r="D278" s="51" t="n"/>
      <c r="E278" s="51" t="n"/>
      <c r="F278" s="51" t="n"/>
      <c r="G278" s="51" t="n"/>
      <c r="H278" s="51" t="n"/>
      <c r="I278" s="51" t="n"/>
    </row>
    <row r="279">
      <c r="B279" s="51" t="n"/>
      <c r="C279" s="51" t="n"/>
      <c r="D279" s="51" t="n"/>
      <c r="E279" s="51" t="n"/>
      <c r="F279" s="51" t="n"/>
      <c r="G279" s="51" t="n"/>
      <c r="H279" s="51" t="n"/>
      <c r="I279" s="51" t="n"/>
    </row>
    <row r="280">
      <c r="B280" s="51" t="n"/>
      <c r="C280" s="51" t="n"/>
      <c r="D280" s="51" t="n"/>
      <c r="E280" s="51" t="n"/>
      <c r="F280" s="51" t="n"/>
      <c r="G280" s="51" t="n"/>
      <c r="H280" s="51" t="n"/>
      <c r="I280" s="51" t="n"/>
    </row>
    <row r="281">
      <c r="B281" s="51" t="n"/>
      <c r="C281" s="51" t="n"/>
      <c r="D281" s="51" t="n"/>
      <c r="E281" s="51" t="n"/>
      <c r="F281" s="51" t="n"/>
      <c r="G281" s="51" t="n"/>
      <c r="H281" s="51" t="n"/>
      <c r="I281" s="51" t="n"/>
    </row>
    <row r="282">
      <c r="B282" s="51" t="n"/>
      <c r="C282" s="51" t="n"/>
      <c r="D282" s="51" t="n"/>
      <c r="E282" s="51" t="n"/>
      <c r="F282" s="51" t="n"/>
      <c r="G282" s="51" t="n"/>
      <c r="H282" s="51" t="n"/>
      <c r="I282" s="51" t="n"/>
    </row>
    <row r="283">
      <c r="B283" s="51" t="n"/>
      <c r="C283" s="51" t="n"/>
      <c r="D283" s="51" t="n"/>
      <c r="E283" s="51" t="n"/>
      <c r="F283" s="51" t="n"/>
      <c r="G283" s="51" t="n"/>
      <c r="H283" s="51" t="n"/>
      <c r="I283" s="51" t="n"/>
    </row>
    <row r="284">
      <c r="B284" s="51" t="n"/>
      <c r="C284" s="51" t="n"/>
      <c r="D284" s="51" t="n"/>
      <c r="E284" s="51" t="n"/>
      <c r="F284" s="51" t="n"/>
      <c r="G284" s="51" t="n"/>
      <c r="H284" s="51" t="n"/>
      <c r="I284" s="51" t="n"/>
    </row>
    <row r="285">
      <c r="B285" s="51" t="n"/>
      <c r="C285" s="51" t="n"/>
      <c r="D285" s="51" t="n"/>
      <c r="E285" s="51" t="n"/>
      <c r="F285" s="51" t="n"/>
      <c r="G285" s="51" t="n"/>
      <c r="H285" s="51" t="n"/>
      <c r="I285" s="51" t="n"/>
    </row>
    <row r="286">
      <c r="B286" s="51" t="n"/>
      <c r="C286" s="51" t="n"/>
      <c r="D286" s="51" t="n"/>
      <c r="E286" s="51" t="n"/>
      <c r="F286" s="51" t="n"/>
      <c r="G286" s="51" t="n"/>
      <c r="H286" s="51" t="n"/>
      <c r="I286" s="51" t="n"/>
    </row>
    <row r="287">
      <c r="B287" s="51" t="n"/>
      <c r="C287" s="51" t="n"/>
      <c r="D287" s="51" t="n"/>
      <c r="E287" s="51" t="n"/>
      <c r="F287" s="51" t="n"/>
      <c r="G287" s="51" t="n"/>
      <c r="H287" s="51" t="n"/>
      <c r="I287" s="51" t="n"/>
    </row>
    <row r="288">
      <c r="B288" s="51" t="n"/>
      <c r="C288" s="51" t="n"/>
      <c r="D288" s="51" t="n"/>
      <c r="E288" s="51" t="n"/>
      <c r="F288" s="51" t="n"/>
      <c r="G288" s="51" t="n"/>
      <c r="H288" s="51" t="n"/>
      <c r="I288" s="51" t="n"/>
    </row>
    <row r="289">
      <c r="B289" s="51" t="n"/>
      <c r="C289" s="51" t="n"/>
      <c r="D289" s="51" t="n"/>
      <c r="E289" s="51" t="n"/>
      <c r="F289" s="51" t="n"/>
      <c r="G289" s="51" t="n"/>
      <c r="H289" s="51" t="n"/>
      <c r="I289" s="51" t="n"/>
    </row>
    <row r="290">
      <c r="B290" s="51" t="n"/>
      <c r="C290" s="51" t="n"/>
      <c r="D290" s="51" t="n"/>
      <c r="E290" s="51" t="n"/>
      <c r="F290" s="51" t="n"/>
      <c r="G290" s="51" t="n"/>
      <c r="H290" s="51" t="n"/>
      <c r="I290" s="51" t="n"/>
    </row>
    <row r="291">
      <c r="B291" s="51" t="n"/>
      <c r="C291" s="51" t="n"/>
      <c r="D291" s="51" t="n"/>
      <c r="E291" s="51" t="n"/>
      <c r="F291" s="51" t="n"/>
      <c r="G291" s="51" t="n"/>
      <c r="H291" s="51" t="n"/>
      <c r="I291" s="51" t="n"/>
    </row>
    <row r="292">
      <c r="B292" s="51" t="n"/>
      <c r="C292" s="51" t="n"/>
      <c r="D292" s="51" t="n"/>
      <c r="E292" s="51" t="n"/>
      <c r="F292" s="51" t="n"/>
      <c r="G292" s="51" t="n"/>
      <c r="H292" s="51" t="n"/>
      <c r="I292" s="51" t="n"/>
    </row>
    <row r="293">
      <c r="B293" s="51" t="n"/>
      <c r="C293" s="51" t="n"/>
      <c r="D293" s="51" t="n"/>
      <c r="E293" s="51" t="n"/>
      <c r="F293" s="51" t="n"/>
      <c r="G293" s="51" t="n"/>
      <c r="H293" s="51" t="n"/>
      <c r="I293" s="51" t="n"/>
    </row>
    <row r="294">
      <c r="B294" s="51" t="n"/>
      <c r="C294" s="51" t="n"/>
      <c r="D294" s="51" t="n"/>
      <c r="E294" s="51" t="n"/>
      <c r="F294" s="51" t="n"/>
      <c r="G294" s="51" t="n"/>
      <c r="H294" s="51" t="n"/>
      <c r="I294" s="51" t="n"/>
    </row>
    <row r="295">
      <c r="B295" s="51" t="n"/>
      <c r="C295" s="51" t="n"/>
      <c r="D295" s="51" t="n"/>
      <c r="E295" s="51" t="n"/>
      <c r="F295" s="51" t="n"/>
      <c r="G295" s="51" t="n"/>
      <c r="H295" s="51" t="n"/>
      <c r="I295" s="51" t="n"/>
    </row>
    <row r="296">
      <c r="B296" s="51" t="n"/>
      <c r="C296" s="51" t="n"/>
      <c r="D296" s="51" t="n"/>
      <c r="E296" s="51" t="n"/>
      <c r="F296" s="51" t="n"/>
      <c r="G296" s="51" t="n"/>
      <c r="H296" s="51" t="n"/>
      <c r="I296" s="51" t="n"/>
    </row>
    <row r="297">
      <c r="B297" s="51" t="n"/>
      <c r="C297" s="51" t="n"/>
      <c r="D297" s="51" t="n"/>
      <c r="E297" s="51" t="n"/>
      <c r="F297" s="51" t="n"/>
      <c r="G297" s="51" t="n"/>
      <c r="H297" s="51" t="n"/>
      <c r="I297" s="51" t="n"/>
    </row>
    <row r="298">
      <c r="B298" s="51" t="n"/>
      <c r="C298" s="51" t="n"/>
      <c r="D298" s="51" t="n"/>
      <c r="E298" s="51" t="n"/>
      <c r="F298" s="51" t="n"/>
      <c r="G298" s="51" t="n"/>
      <c r="H298" s="51" t="n"/>
      <c r="I298" s="51" t="n"/>
    </row>
    <row r="299">
      <c r="B299" s="51" t="n"/>
      <c r="C299" s="51" t="n"/>
      <c r="D299" s="51" t="n"/>
      <c r="E299" s="51" t="n"/>
      <c r="F299" s="51" t="n"/>
      <c r="G299" s="51" t="n"/>
      <c r="H299" s="51" t="n"/>
      <c r="I299" s="51" t="n"/>
    </row>
    <row r="300">
      <c r="B300" s="51" t="n"/>
      <c r="C300" s="51" t="n"/>
      <c r="D300" s="51" t="n"/>
      <c r="E300" s="51" t="n"/>
      <c r="F300" s="51" t="n"/>
      <c r="G300" s="51" t="n"/>
      <c r="H300" s="51" t="n"/>
      <c r="I300" s="51" t="n"/>
    </row>
    <row r="301">
      <c r="B301" s="51" t="n"/>
      <c r="C301" s="51" t="n"/>
      <c r="D301" s="51" t="n"/>
      <c r="E301" s="51" t="n"/>
      <c r="F301" s="51" t="n"/>
      <c r="G301" s="51" t="n"/>
      <c r="H301" s="51" t="n"/>
      <c r="I301" s="51" t="n"/>
    </row>
    <row r="302">
      <c r="B302" s="51" t="n"/>
      <c r="C302" s="51" t="n"/>
      <c r="D302" s="51" t="n"/>
      <c r="E302" s="51" t="n"/>
      <c r="F302" s="51" t="n"/>
      <c r="G302" s="51" t="n"/>
      <c r="H302" s="51" t="n"/>
      <c r="I302" s="51" t="n"/>
    </row>
    <row r="303">
      <c r="B303" s="51" t="n"/>
      <c r="C303" s="51" t="n"/>
      <c r="D303" s="51" t="n"/>
      <c r="E303" s="51" t="n"/>
      <c r="F303" s="51" t="n"/>
      <c r="G303" s="51" t="n"/>
      <c r="H303" s="51" t="n"/>
      <c r="I303" s="51" t="n"/>
    </row>
    <row r="304">
      <c r="B304" s="51" t="n"/>
      <c r="C304" s="51" t="n"/>
      <c r="D304" s="51" t="n"/>
      <c r="E304" s="51" t="n"/>
      <c r="F304" s="51" t="n"/>
      <c r="G304" s="51" t="n"/>
      <c r="H304" s="51" t="n"/>
      <c r="I304" s="51" t="n"/>
    </row>
    <row r="305">
      <c r="B305" s="51" t="n"/>
      <c r="C305" s="51" t="n"/>
      <c r="D305" s="51" t="n"/>
      <c r="E305" s="51" t="n"/>
      <c r="F305" s="51" t="n"/>
      <c r="G305" s="51" t="n"/>
      <c r="H305" s="51" t="n"/>
      <c r="I305" s="51" t="n"/>
    </row>
    <row r="306">
      <c r="B306" s="51" t="n"/>
      <c r="C306" s="51" t="n"/>
      <c r="D306" s="51" t="n"/>
      <c r="E306" s="51" t="n"/>
      <c r="F306" s="51" t="n"/>
      <c r="G306" s="51" t="n"/>
      <c r="H306" s="51" t="n"/>
      <c r="I306" s="51" t="n"/>
    </row>
    <row r="307">
      <c r="B307" s="51" t="n"/>
      <c r="C307" s="51" t="n"/>
      <c r="D307" s="51" t="n"/>
      <c r="E307" s="51" t="n"/>
      <c r="F307" s="51" t="n"/>
      <c r="G307" s="51" t="n"/>
      <c r="H307" s="51" t="n"/>
      <c r="I307" s="51" t="n"/>
    </row>
    <row r="308">
      <c r="B308" s="51" t="n"/>
      <c r="C308" s="51" t="n"/>
      <c r="D308" s="51" t="n"/>
      <c r="E308" s="51" t="n"/>
      <c r="F308" s="51" t="n"/>
      <c r="G308" s="51" t="n"/>
      <c r="H308" s="51" t="n"/>
      <c r="I308" s="51" t="n"/>
    </row>
    <row r="309">
      <c r="B309" s="51" t="n"/>
      <c r="C309" s="51" t="n"/>
      <c r="D309" s="51" t="n"/>
      <c r="E309" s="51" t="n"/>
      <c r="F309" s="51" t="n"/>
      <c r="G309" s="51" t="n"/>
      <c r="H309" s="51" t="n"/>
      <c r="I309" s="51" t="n"/>
    </row>
    <row r="310">
      <c r="B310" s="51" t="n"/>
      <c r="C310" s="51" t="n"/>
      <c r="D310" s="51" t="n"/>
      <c r="E310" s="51" t="n"/>
      <c r="F310" s="51" t="n"/>
      <c r="G310" s="51" t="n"/>
      <c r="H310" s="51" t="n"/>
      <c r="I310" s="51" t="n"/>
    </row>
    <row r="311">
      <c r="B311" s="51" t="n"/>
      <c r="C311" s="51" t="n"/>
      <c r="D311" s="51" t="n"/>
      <c r="E311" s="51" t="n"/>
      <c r="F311" s="51" t="n"/>
      <c r="G311" s="51" t="n"/>
      <c r="H311" s="51" t="n"/>
      <c r="I311" s="51" t="n"/>
    </row>
    <row r="312">
      <c r="B312" s="51" t="n"/>
      <c r="C312" s="51" t="n"/>
      <c r="D312" s="51" t="n"/>
      <c r="E312" s="51" t="n"/>
      <c r="F312" s="51" t="n"/>
      <c r="G312" s="51" t="n"/>
      <c r="H312" s="51" t="n"/>
      <c r="I312" s="51" t="n"/>
    </row>
    <row r="313">
      <c r="B313" s="51" t="n"/>
      <c r="C313" s="51" t="n"/>
      <c r="D313" s="51" t="n"/>
      <c r="E313" s="51" t="n"/>
      <c r="F313" s="51" t="n"/>
      <c r="G313" s="51" t="n"/>
      <c r="H313" s="51" t="n"/>
      <c r="I313" s="51" t="n"/>
    </row>
    <row r="314">
      <c r="B314" s="51" t="n"/>
      <c r="C314" s="51" t="n"/>
      <c r="D314" s="51" t="n"/>
      <c r="E314" s="51" t="n"/>
      <c r="F314" s="51" t="n"/>
      <c r="G314" s="51" t="n"/>
      <c r="H314" s="51" t="n"/>
      <c r="I314" s="51" t="n"/>
    </row>
    <row r="315">
      <c r="B315" s="51" t="n"/>
      <c r="C315" s="51" t="n"/>
      <c r="D315" s="51" t="n"/>
      <c r="E315" s="51" t="n"/>
      <c r="F315" s="51" t="n"/>
      <c r="G315" s="51" t="n"/>
      <c r="H315" s="51" t="n"/>
      <c r="I315" s="51" t="n"/>
    </row>
    <row r="316">
      <c r="B316" s="51" t="n"/>
      <c r="C316" s="51" t="n"/>
      <c r="D316" s="51" t="n"/>
      <c r="E316" s="51" t="n"/>
      <c r="F316" s="51" t="n"/>
      <c r="G316" s="51" t="n"/>
      <c r="H316" s="51" t="n"/>
      <c r="I316" s="51" t="n"/>
    </row>
    <row r="317">
      <c r="B317" s="51" t="n"/>
      <c r="C317" s="51" t="n"/>
      <c r="D317" s="51" t="n"/>
      <c r="E317" s="51" t="n"/>
      <c r="F317" s="51" t="n"/>
      <c r="G317" s="51" t="n"/>
      <c r="H317" s="51" t="n"/>
      <c r="I317" s="51" t="n"/>
    </row>
    <row r="318">
      <c r="B318" s="51" t="n"/>
      <c r="C318" s="51" t="n"/>
      <c r="D318" s="51" t="n"/>
      <c r="E318" s="51" t="n"/>
      <c r="F318" s="51" t="n"/>
      <c r="G318" s="51" t="n"/>
      <c r="H318" s="51" t="n"/>
      <c r="I318" s="51" t="n"/>
    </row>
    <row r="319">
      <c r="B319" s="51" t="n"/>
      <c r="C319" s="51" t="n"/>
      <c r="D319" s="51" t="n"/>
      <c r="E319" s="51" t="n"/>
      <c r="F319" s="51" t="n"/>
      <c r="G319" s="51" t="n"/>
      <c r="H319" s="51" t="n"/>
      <c r="I319" s="51" t="n"/>
    </row>
    <row r="320">
      <c r="B320" s="51" t="n"/>
      <c r="C320" s="51" t="n"/>
      <c r="D320" s="51" t="n"/>
      <c r="E320" s="51" t="n"/>
      <c r="F320" s="51" t="n"/>
      <c r="G320" s="51" t="n"/>
      <c r="H320" s="51" t="n"/>
      <c r="I320" s="51" t="n"/>
    </row>
    <row r="321">
      <c r="B321" s="51" t="n"/>
      <c r="C321" s="51" t="n"/>
      <c r="D321" s="51" t="n"/>
      <c r="E321" s="51" t="n"/>
      <c r="F321" s="51" t="n"/>
      <c r="G321" s="51" t="n"/>
      <c r="H321" s="51" t="n"/>
      <c r="I321" s="51" t="n"/>
    </row>
    <row r="322">
      <c r="B322" s="51" t="n"/>
      <c r="C322" s="51" t="n"/>
      <c r="D322" s="51" t="n"/>
      <c r="E322" s="51" t="n"/>
      <c r="F322" s="51" t="n"/>
      <c r="G322" s="51" t="n"/>
      <c r="H322" s="51" t="n"/>
      <c r="I322" s="51" t="n"/>
    </row>
    <row r="323">
      <c r="B323" s="51" t="n"/>
      <c r="C323" s="51" t="n"/>
      <c r="D323" s="51" t="n"/>
      <c r="E323" s="51" t="n"/>
      <c r="F323" s="51" t="n"/>
      <c r="G323" s="51" t="n"/>
      <c r="H323" s="51" t="n"/>
      <c r="I323" s="51" t="n"/>
    </row>
    <row r="324">
      <c r="B324" s="51" t="n"/>
      <c r="C324" s="51" t="n"/>
      <c r="D324" s="51" t="n"/>
      <c r="E324" s="51" t="n"/>
      <c r="F324" s="51" t="n"/>
      <c r="G324" s="51" t="n"/>
      <c r="H324" s="51" t="n"/>
      <c r="I324" s="51" t="n"/>
    </row>
    <row r="325">
      <c r="B325" s="51" t="n"/>
      <c r="C325" s="51" t="n"/>
      <c r="D325" s="51" t="n"/>
      <c r="E325" s="51" t="n"/>
      <c r="F325" s="51" t="n"/>
      <c r="G325" s="51" t="n"/>
      <c r="H325" s="51" t="n"/>
      <c r="I325" s="51" t="n"/>
    </row>
    <row r="326">
      <c r="B326" s="51" t="n"/>
      <c r="C326" s="51" t="n"/>
      <c r="D326" s="51" t="n"/>
      <c r="E326" s="51" t="n"/>
      <c r="F326" s="51" t="n"/>
      <c r="G326" s="51" t="n"/>
      <c r="H326" s="51" t="n"/>
      <c r="I326" s="51" t="n"/>
    </row>
    <row r="327">
      <c r="B327" s="51" t="n"/>
      <c r="C327" s="51" t="n"/>
      <c r="D327" s="51" t="n"/>
      <c r="E327" s="51" t="n"/>
      <c r="F327" s="51" t="n"/>
      <c r="G327" s="51" t="n"/>
      <c r="H327" s="51" t="n"/>
      <c r="I327" s="51" t="n"/>
    </row>
    <row r="328">
      <c r="B328" s="51" t="n"/>
      <c r="C328" s="51" t="n"/>
      <c r="D328" s="51" t="n"/>
      <c r="E328" s="51" t="n"/>
      <c r="F328" s="51" t="n"/>
      <c r="G328" s="51" t="n"/>
      <c r="H328" s="51" t="n"/>
      <c r="I328" s="51" t="n"/>
    </row>
    <row r="329">
      <c r="B329" s="51" t="n"/>
      <c r="C329" s="51" t="n"/>
      <c r="D329" s="51" t="n"/>
      <c r="E329" s="51" t="n"/>
      <c r="F329" s="51" t="n"/>
      <c r="G329" s="51" t="n"/>
      <c r="H329" s="51" t="n"/>
      <c r="I329" s="51" t="n"/>
    </row>
    <row r="330">
      <c r="B330" s="51" t="n"/>
      <c r="C330" s="51" t="n"/>
      <c r="D330" s="51" t="n"/>
      <c r="E330" s="51" t="n"/>
      <c r="F330" s="51" t="n"/>
      <c r="G330" s="51" t="n"/>
      <c r="H330" s="51" t="n"/>
      <c r="I330" s="51" t="n"/>
    </row>
    <row r="331">
      <c r="B331" s="51" t="n"/>
      <c r="C331" s="51" t="n"/>
      <c r="D331" s="51" t="n"/>
      <c r="E331" s="51" t="n"/>
      <c r="F331" s="51" t="n"/>
      <c r="G331" s="51" t="n"/>
      <c r="H331" s="51" t="n"/>
      <c r="I331" s="51" t="n"/>
    </row>
    <row r="332">
      <c r="B332" s="51" t="n"/>
      <c r="C332" s="51" t="n"/>
      <c r="D332" s="51" t="n"/>
      <c r="E332" s="51" t="n"/>
      <c r="F332" s="51" t="n"/>
      <c r="G332" s="51" t="n"/>
      <c r="H332" s="51" t="n"/>
      <c r="I332" s="51" t="n"/>
    </row>
    <row r="333">
      <c r="B333" s="51" t="n"/>
      <c r="C333" s="51" t="n"/>
      <c r="D333" s="51" t="n"/>
      <c r="E333" s="51" t="n"/>
      <c r="F333" s="51" t="n"/>
      <c r="G333" s="51" t="n"/>
      <c r="H333" s="51" t="n"/>
      <c r="I333" s="51" t="n"/>
    </row>
    <row r="334">
      <c r="B334" s="51" t="n"/>
      <c r="C334" s="51" t="n"/>
      <c r="D334" s="51" t="n"/>
      <c r="E334" s="51" t="n"/>
      <c r="F334" s="51" t="n"/>
      <c r="G334" s="51" t="n"/>
      <c r="H334" s="51" t="n"/>
      <c r="I334" s="51" t="n"/>
    </row>
    <row r="335">
      <c r="B335" s="51" t="n"/>
      <c r="C335" s="51" t="n"/>
      <c r="D335" s="51" t="n"/>
      <c r="E335" s="51" t="n"/>
      <c r="F335" s="51" t="n"/>
      <c r="G335" s="51" t="n"/>
      <c r="H335" s="51" t="n"/>
      <c r="I335" s="51" t="n"/>
    </row>
    <row r="336">
      <c r="B336" s="51" t="n"/>
      <c r="C336" s="51" t="n"/>
      <c r="D336" s="51" t="n"/>
      <c r="E336" s="51" t="n"/>
      <c r="F336" s="51" t="n"/>
      <c r="G336" s="51" t="n"/>
      <c r="H336" s="51" t="n"/>
      <c r="I336" s="51" t="n"/>
    </row>
    <row r="337">
      <c r="B337" s="51" t="n"/>
      <c r="C337" s="51" t="n"/>
      <c r="D337" s="51" t="n"/>
      <c r="E337" s="51" t="n"/>
      <c r="F337" s="51" t="n"/>
      <c r="G337" s="51" t="n"/>
      <c r="H337" s="51" t="n"/>
      <c r="I337" s="51" t="n"/>
    </row>
    <row r="338">
      <c r="B338" s="51" t="n"/>
      <c r="C338" s="51" t="n"/>
      <c r="D338" s="51" t="n"/>
      <c r="E338" s="51" t="n"/>
      <c r="F338" s="51" t="n"/>
      <c r="G338" s="51" t="n"/>
      <c r="H338" s="51" t="n"/>
      <c r="I338" s="51" t="n"/>
    </row>
    <row r="339">
      <c r="B339" s="51" t="n"/>
      <c r="C339" s="51" t="n"/>
      <c r="D339" s="51" t="n"/>
      <c r="E339" s="51" t="n"/>
      <c r="F339" s="51" t="n"/>
      <c r="G339" s="51" t="n"/>
      <c r="H339" s="51" t="n"/>
      <c r="I339" s="51" t="n"/>
    </row>
    <row r="340">
      <c r="B340" s="51" t="n"/>
      <c r="C340" s="51" t="n"/>
      <c r="D340" s="51" t="n"/>
      <c r="E340" s="51" t="n"/>
      <c r="F340" s="51" t="n"/>
      <c r="G340" s="51" t="n"/>
      <c r="H340" s="51" t="n"/>
      <c r="I340" s="51" t="n"/>
    </row>
    <row r="341">
      <c r="B341" s="51" t="n"/>
      <c r="C341" s="51" t="n"/>
      <c r="D341" s="51" t="n"/>
      <c r="E341" s="51" t="n"/>
      <c r="F341" s="51" t="n"/>
      <c r="G341" s="51" t="n"/>
      <c r="H341" s="51" t="n"/>
      <c r="I341" s="51" t="n"/>
    </row>
    <row r="342">
      <c r="B342" s="51" t="n"/>
      <c r="C342" s="51" t="n"/>
      <c r="D342" s="51" t="n"/>
      <c r="E342" s="51" t="n"/>
      <c r="F342" s="51" t="n"/>
      <c r="G342" s="51" t="n"/>
      <c r="H342" s="51" t="n"/>
      <c r="I342" s="51" t="n"/>
    </row>
    <row r="343">
      <c r="B343" s="51" t="n"/>
      <c r="C343" s="51" t="n"/>
      <c r="D343" s="51" t="n"/>
      <c r="E343" s="51" t="n"/>
      <c r="F343" s="51" t="n"/>
      <c r="G343" s="51" t="n"/>
      <c r="H343" s="51" t="n"/>
      <c r="I343" s="51" t="n"/>
    </row>
    <row r="344">
      <c r="B344" s="51" t="n"/>
      <c r="C344" s="51" t="n"/>
      <c r="D344" s="51" t="n"/>
      <c r="E344" s="51" t="n"/>
      <c r="F344" s="51" t="n"/>
      <c r="G344" s="51" t="n"/>
      <c r="H344" s="51" t="n"/>
      <c r="I344" s="51" t="n"/>
    </row>
    <row r="345">
      <c r="B345" s="51" t="n"/>
      <c r="C345" s="51" t="n"/>
      <c r="D345" s="51" t="n"/>
      <c r="E345" s="51" t="n"/>
      <c r="F345" s="51" t="n"/>
      <c r="G345" s="51" t="n"/>
      <c r="H345" s="51" t="n"/>
      <c r="I345" s="51" t="n"/>
    </row>
    <row r="346">
      <c r="B346" s="51" t="n"/>
      <c r="C346" s="51" t="n"/>
      <c r="D346" s="51" t="n"/>
      <c r="E346" s="51" t="n"/>
      <c r="F346" s="51" t="n"/>
      <c r="G346" s="51" t="n"/>
      <c r="H346" s="51" t="n"/>
      <c r="I346" s="51" t="n"/>
    </row>
    <row r="347">
      <c r="B347" s="51" t="n"/>
      <c r="C347" s="51" t="n"/>
      <c r="D347" s="51" t="n"/>
      <c r="E347" s="51" t="n"/>
      <c r="F347" s="51" t="n"/>
      <c r="G347" s="51" t="n"/>
      <c r="H347" s="51" t="n"/>
      <c r="I347" s="51" t="n"/>
    </row>
    <row r="348">
      <c r="B348" s="51" t="n"/>
      <c r="C348" s="51" t="n"/>
      <c r="D348" s="51" t="n"/>
      <c r="E348" s="51" t="n"/>
      <c r="F348" s="51" t="n"/>
      <c r="G348" s="51" t="n"/>
      <c r="H348" s="51" t="n"/>
      <c r="I348" s="51" t="n"/>
    </row>
    <row r="349">
      <c r="B349" s="51" t="n"/>
      <c r="C349" s="51" t="n"/>
      <c r="D349" s="51" t="n"/>
      <c r="E349" s="51" t="n"/>
      <c r="F349" s="51" t="n"/>
      <c r="G349" s="51" t="n"/>
      <c r="H349" s="51" t="n"/>
      <c r="I349" s="51" t="n"/>
    </row>
    <row r="350">
      <c r="B350" s="51" t="n"/>
      <c r="C350" s="51" t="n"/>
      <c r="D350" s="51" t="n"/>
      <c r="E350" s="51" t="n"/>
      <c r="F350" s="51" t="n"/>
      <c r="G350" s="51" t="n"/>
      <c r="H350" s="51" t="n"/>
      <c r="I350" s="51" t="n"/>
    </row>
    <row r="351">
      <c r="B351" s="51" t="n"/>
      <c r="C351" s="51" t="n"/>
      <c r="D351" s="51" t="n"/>
      <c r="E351" s="51" t="n"/>
      <c r="F351" s="51" t="n"/>
      <c r="G351" s="51" t="n"/>
      <c r="H351" s="51" t="n"/>
      <c r="I351" s="51" t="n"/>
    </row>
    <row r="352">
      <c r="B352" s="51" t="n"/>
      <c r="C352" s="51" t="n"/>
      <c r="D352" s="51" t="n"/>
      <c r="E352" s="51" t="n"/>
      <c r="F352" s="51" t="n"/>
      <c r="G352" s="51" t="n"/>
      <c r="H352" s="51" t="n"/>
      <c r="I352" s="51" t="n"/>
    </row>
    <row r="353">
      <c r="B353" s="51" t="n"/>
      <c r="C353" s="51" t="n"/>
      <c r="D353" s="51" t="n"/>
      <c r="E353" s="51" t="n"/>
      <c r="F353" s="51" t="n"/>
      <c r="G353" s="51" t="n"/>
      <c r="H353" s="51" t="n"/>
      <c r="I353" s="51" t="n"/>
    </row>
    <row r="354">
      <c r="B354" s="51" t="n"/>
      <c r="C354" s="51" t="n"/>
      <c r="D354" s="51" t="n"/>
      <c r="E354" s="51" t="n"/>
      <c r="F354" s="51" t="n"/>
      <c r="G354" s="51" t="n"/>
      <c r="H354" s="51" t="n"/>
      <c r="I354" s="51" t="n"/>
    </row>
    <row r="355">
      <c r="B355" s="51" t="n"/>
      <c r="C355" s="51" t="n"/>
      <c r="D355" s="51" t="n"/>
      <c r="E355" s="51" t="n"/>
      <c r="F355" s="51" t="n"/>
      <c r="G355" s="51" t="n"/>
      <c r="H355" s="51" t="n"/>
      <c r="I355" s="51" t="n"/>
    </row>
    <row r="356">
      <c r="B356" s="51" t="n"/>
      <c r="C356" s="51" t="n"/>
      <c r="D356" s="51" t="n"/>
      <c r="E356" s="51" t="n"/>
      <c r="F356" s="51" t="n"/>
      <c r="G356" s="51" t="n"/>
      <c r="H356" s="51" t="n"/>
      <c r="I356" s="51" t="n"/>
    </row>
    <row r="357">
      <c r="B357" s="51" t="n"/>
      <c r="C357" s="51" t="n"/>
      <c r="D357" s="51" t="n"/>
      <c r="E357" s="51" t="n"/>
      <c r="F357" s="51" t="n"/>
      <c r="G357" s="51" t="n"/>
      <c r="H357" s="51" t="n"/>
      <c r="I357" s="51" t="n"/>
    </row>
    <row r="358">
      <c r="B358" s="51" t="n"/>
      <c r="C358" s="51" t="n"/>
      <c r="D358" s="51" t="n"/>
      <c r="E358" s="51" t="n"/>
      <c r="F358" s="51" t="n"/>
      <c r="G358" s="51" t="n"/>
      <c r="H358" s="51" t="n"/>
      <c r="I358" s="51" t="n"/>
    </row>
    <row r="359">
      <c r="B359" s="51" t="n"/>
      <c r="C359" s="51" t="n"/>
      <c r="D359" s="51" t="n"/>
      <c r="E359" s="51" t="n"/>
      <c r="F359" s="51" t="n"/>
      <c r="G359" s="51" t="n"/>
      <c r="H359" s="51" t="n"/>
      <c r="I359" s="51" t="n"/>
    </row>
    <row r="360">
      <c r="B360" s="51" t="n"/>
      <c r="C360" s="51" t="n"/>
      <c r="D360" s="51" t="n"/>
      <c r="E360" s="51" t="n"/>
      <c r="F360" s="51" t="n"/>
      <c r="G360" s="51" t="n"/>
      <c r="H360" s="51" t="n"/>
      <c r="I360" s="51" t="n"/>
    </row>
    <row r="361">
      <c r="B361" s="51" t="n"/>
      <c r="C361" s="51" t="n"/>
      <c r="D361" s="51" t="n"/>
      <c r="E361" s="51" t="n"/>
      <c r="F361" s="51" t="n"/>
      <c r="G361" s="51" t="n"/>
      <c r="H361" s="51" t="n"/>
      <c r="I361" s="51" t="n"/>
    </row>
    <row r="362">
      <c r="B362" s="51" t="n"/>
      <c r="C362" s="51" t="n"/>
      <c r="D362" s="51" t="n"/>
      <c r="E362" s="51" t="n"/>
      <c r="F362" s="51" t="n"/>
      <c r="G362" s="51" t="n"/>
      <c r="H362" s="51" t="n"/>
      <c r="I362" s="51" t="n"/>
    </row>
    <row r="363">
      <c r="B363" s="51" t="n"/>
      <c r="C363" s="51" t="n"/>
      <c r="D363" s="51" t="n"/>
      <c r="E363" s="51" t="n"/>
      <c r="F363" s="51" t="n"/>
      <c r="G363" s="51" t="n"/>
      <c r="H363" s="51" t="n"/>
      <c r="I363" s="51" t="n"/>
    </row>
    <row r="364">
      <c r="B364" s="51" t="n"/>
      <c r="C364" s="51" t="n"/>
      <c r="D364" s="51" t="n"/>
      <c r="E364" s="51" t="n"/>
      <c r="F364" s="51" t="n"/>
      <c r="G364" s="51" t="n"/>
      <c r="H364" s="51" t="n"/>
      <c r="I364" s="51" t="n"/>
    </row>
    <row r="365">
      <c r="B365" s="51" t="n"/>
      <c r="C365" s="51" t="n"/>
      <c r="D365" s="51" t="n"/>
      <c r="E365" s="51" t="n"/>
      <c r="F365" s="51" t="n"/>
      <c r="G365" s="51" t="n"/>
      <c r="H365" s="51" t="n"/>
      <c r="I365" s="51" t="n"/>
    </row>
    <row r="366">
      <c r="B366" s="51" t="n"/>
      <c r="C366" s="51" t="n"/>
      <c r="D366" s="51" t="n"/>
      <c r="E366" s="51" t="n"/>
      <c r="F366" s="51" t="n"/>
      <c r="G366" s="51" t="n"/>
      <c r="H366" s="51" t="n"/>
      <c r="I366" s="51" t="n"/>
    </row>
    <row r="367">
      <c r="B367" s="51" t="n"/>
      <c r="C367" s="51" t="n"/>
      <c r="D367" s="51" t="n"/>
      <c r="E367" s="51" t="n"/>
      <c r="F367" s="51" t="n"/>
      <c r="G367" s="51" t="n"/>
      <c r="H367" s="51" t="n"/>
      <c r="I367" s="51" t="n"/>
    </row>
    <row r="368">
      <c r="B368" s="51" t="n"/>
      <c r="C368" s="51" t="n"/>
      <c r="D368" s="51" t="n"/>
      <c r="E368" s="51" t="n"/>
      <c r="F368" s="51" t="n"/>
      <c r="G368" s="51" t="n"/>
      <c r="H368" s="51" t="n"/>
      <c r="I368" s="51" t="n"/>
    </row>
    <row r="369">
      <c r="B369" s="51" t="n"/>
      <c r="C369" s="51" t="n"/>
      <c r="D369" s="51" t="n"/>
      <c r="E369" s="51" t="n"/>
      <c r="F369" s="51" t="n"/>
      <c r="G369" s="51" t="n"/>
      <c r="H369" s="51" t="n"/>
      <c r="I369" s="51" t="n"/>
    </row>
    <row r="370">
      <c r="B370" s="51" t="n"/>
      <c r="C370" s="51" t="n"/>
      <c r="D370" s="51" t="n"/>
      <c r="E370" s="51" t="n"/>
      <c r="F370" s="51" t="n"/>
      <c r="G370" s="51" t="n"/>
      <c r="H370" s="51" t="n"/>
      <c r="I370" s="51" t="n"/>
    </row>
    <row r="371">
      <c r="B371" s="51" t="n"/>
      <c r="C371" s="51" t="n"/>
      <c r="D371" s="51" t="n"/>
      <c r="E371" s="51" t="n"/>
      <c r="F371" s="51" t="n"/>
      <c r="G371" s="51" t="n"/>
      <c r="H371" s="51" t="n"/>
      <c r="I371" s="51" t="n"/>
    </row>
    <row r="372">
      <c r="B372" s="51" t="n"/>
      <c r="C372" s="51" t="n"/>
      <c r="D372" s="51" t="n"/>
      <c r="E372" s="51" t="n"/>
      <c r="F372" s="51" t="n"/>
      <c r="G372" s="51" t="n"/>
      <c r="H372" s="51" t="n"/>
      <c r="I372" s="51" t="n"/>
    </row>
    <row r="373">
      <c r="B373" s="51" t="n"/>
      <c r="C373" s="51" t="n"/>
      <c r="D373" s="51" t="n"/>
      <c r="E373" s="51" t="n"/>
      <c r="F373" s="51" t="n"/>
      <c r="G373" s="51" t="n"/>
      <c r="H373" s="51" t="n"/>
      <c r="I373" s="51" t="n"/>
    </row>
    <row r="374">
      <c r="B374" s="51" t="n"/>
      <c r="C374" s="51" t="n"/>
      <c r="D374" s="51" t="n"/>
      <c r="E374" s="51" t="n"/>
      <c r="F374" s="51" t="n"/>
      <c r="G374" s="51" t="n"/>
      <c r="H374" s="51" t="n"/>
      <c r="I374" s="51" t="n"/>
    </row>
    <row r="375">
      <c r="B375" s="51" t="n"/>
      <c r="C375" s="51" t="n"/>
      <c r="D375" s="51" t="n"/>
      <c r="E375" s="51" t="n"/>
      <c r="F375" s="51" t="n"/>
      <c r="G375" s="51" t="n"/>
      <c r="H375" s="51" t="n"/>
      <c r="I375" s="51" t="n"/>
    </row>
    <row r="376">
      <c r="B376" s="51" t="n"/>
      <c r="C376" s="51" t="n"/>
      <c r="D376" s="51" t="n"/>
      <c r="E376" s="51" t="n"/>
      <c r="F376" s="51" t="n"/>
      <c r="G376" s="51" t="n"/>
      <c r="H376" s="51" t="n"/>
      <c r="I376" s="51" t="n"/>
    </row>
    <row r="377">
      <c r="B377" s="51" t="n"/>
      <c r="C377" s="51" t="n"/>
      <c r="D377" s="51" t="n"/>
      <c r="E377" s="51" t="n"/>
      <c r="F377" s="51" t="n"/>
      <c r="G377" s="51" t="n"/>
      <c r="H377" s="51" t="n"/>
      <c r="I377" s="51" t="n"/>
    </row>
    <row r="378">
      <c r="B378" s="51" t="n"/>
      <c r="C378" s="51" t="n"/>
      <c r="D378" s="51" t="n"/>
      <c r="E378" s="51" t="n"/>
      <c r="F378" s="51" t="n"/>
      <c r="G378" s="51" t="n"/>
      <c r="H378" s="51" t="n"/>
      <c r="I378" s="51" t="n"/>
    </row>
    <row r="379">
      <c r="B379" s="51" t="n"/>
      <c r="C379" s="51" t="n"/>
      <c r="D379" s="51" t="n"/>
      <c r="E379" s="51" t="n"/>
      <c r="F379" s="51" t="n"/>
      <c r="G379" s="51" t="n"/>
      <c r="H379" s="51" t="n"/>
      <c r="I379" s="51" t="n"/>
    </row>
    <row r="380">
      <c r="B380" s="51" t="n"/>
      <c r="C380" s="51" t="n"/>
      <c r="D380" s="51" t="n"/>
      <c r="E380" s="51" t="n"/>
      <c r="F380" s="51" t="n"/>
      <c r="G380" s="51" t="n"/>
      <c r="H380" s="51" t="n"/>
      <c r="I380" s="51" t="n"/>
    </row>
    <row r="381">
      <c r="B381" s="51" t="n"/>
      <c r="C381" s="51" t="n"/>
      <c r="D381" s="51" t="n"/>
      <c r="E381" s="51" t="n"/>
      <c r="F381" s="51" t="n"/>
      <c r="G381" s="51" t="n"/>
      <c r="H381" s="51" t="n"/>
      <c r="I381" s="51" t="n"/>
    </row>
    <row r="382">
      <c r="B382" s="51" t="n"/>
      <c r="C382" s="51" t="n"/>
      <c r="D382" s="51" t="n"/>
      <c r="E382" s="51" t="n"/>
      <c r="F382" s="51" t="n"/>
      <c r="G382" s="51" t="n"/>
      <c r="H382" s="51" t="n"/>
      <c r="I382" s="51" t="n"/>
    </row>
    <row r="383">
      <c r="B383" s="51" t="n"/>
      <c r="C383" s="51" t="n"/>
      <c r="D383" s="51" t="n"/>
      <c r="E383" s="51" t="n"/>
      <c r="F383" s="51" t="n"/>
      <c r="G383" s="51" t="n"/>
      <c r="H383" s="51" t="n"/>
      <c r="I383" s="51" t="n"/>
    </row>
    <row r="384">
      <c r="B384" s="51" t="n"/>
      <c r="C384" s="51" t="n"/>
      <c r="D384" s="51" t="n"/>
      <c r="E384" s="51" t="n"/>
      <c r="F384" s="51" t="n"/>
      <c r="G384" s="51" t="n"/>
      <c r="H384" s="51" t="n"/>
      <c r="I384" s="51" t="n"/>
    </row>
    <row r="385">
      <c r="B385" s="51" t="n"/>
      <c r="C385" s="51" t="n"/>
      <c r="D385" s="51" t="n"/>
      <c r="E385" s="51" t="n"/>
      <c r="F385" s="51" t="n"/>
      <c r="G385" s="51" t="n"/>
      <c r="H385" s="51" t="n"/>
      <c r="I385" s="51" t="n"/>
    </row>
    <row r="386">
      <c r="B386" s="51" t="n"/>
      <c r="C386" s="51" t="n"/>
      <c r="D386" s="51" t="n"/>
      <c r="E386" s="51" t="n"/>
      <c r="F386" s="51" t="n"/>
      <c r="G386" s="51" t="n"/>
      <c r="H386" s="51" t="n"/>
      <c r="I386" s="51" t="n"/>
    </row>
    <row r="387">
      <c r="B387" s="51" t="n"/>
      <c r="C387" s="51" t="n"/>
      <c r="D387" s="51" t="n"/>
      <c r="E387" s="51" t="n"/>
      <c r="F387" s="51" t="n"/>
      <c r="G387" s="51" t="n"/>
      <c r="H387" s="51" t="n"/>
      <c r="I387" s="51" t="n"/>
    </row>
    <row r="388">
      <c r="B388" s="51" t="n"/>
      <c r="C388" s="51" t="n"/>
      <c r="D388" s="51" t="n"/>
      <c r="E388" s="51" t="n"/>
      <c r="F388" s="51" t="n"/>
      <c r="G388" s="51" t="n"/>
      <c r="H388" s="51" t="n"/>
      <c r="I388" s="51" t="n"/>
    </row>
    <row r="389">
      <c r="B389" s="51" t="n"/>
      <c r="C389" s="51" t="n"/>
      <c r="D389" s="51" t="n"/>
      <c r="E389" s="51" t="n"/>
      <c r="F389" s="51" t="n"/>
      <c r="G389" s="51" t="n"/>
      <c r="H389" s="51" t="n"/>
      <c r="I389" s="51" t="n"/>
    </row>
    <row r="390">
      <c r="B390" s="51" t="n"/>
      <c r="C390" s="51" t="n"/>
      <c r="D390" s="51" t="n"/>
      <c r="E390" s="51" t="n"/>
      <c r="F390" s="51" t="n"/>
      <c r="G390" s="51" t="n"/>
      <c r="H390" s="51" t="n"/>
      <c r="I390" s="51" t="n"/>
    </row>
    <row r="391">
      <c r="B391" s="51" t="n"/>
      <c r="C391" s="51" t="n"/>
      <c r="D391" s="51" t="n"/>
      <c r="E391" s="51" t="n"/>
      <c r="F391" s="51" t="n"/>
      <c r="G391" s="51" t="n"/>
      <c r="H391" s="51" t="n"/>
      <c r="I391" s="51" t="n"/>
    </row>
    <row r="392">
      <c r="B392" s="51" t="n"/>
      <c r="C392" s="51" t="n"/>
      <c r="D392" s="51" t="n"/>
      <c r="E392" s="51" t="n"/>
      <c r="F392" s="51" t="n"/>
      <c r="G392" s="51" t="n"/>
      <c r="H392" s="51" t="n"/>
      <c r="I392" s="51" t="n"/>
    </row>
    <row r="393">
      <c r="B393" s="51" t="n"/>
      <c r="C393" s="51" t="n"/>
      <c r="D393" s="51" t="n"/>
      <c r="E393" s="51" t="n"/>
      <c r="F393" s="51" t="n"/>
      <c r="G393" s="51" t="n"/>
      <c r="H393" s="51" t="n"/>
      <c r="I393" s="51" t="n"/>
    </row>
    <row r="394">
      <c r="B394" s="51" t="n"/>
      <c r="C394" s="51" t="n"/>
      <c r="D394" s="51" t="n"/>
      <c r="E394" s="51" t="n"/>
      <c r="F394" s="51" t="n"/>
      <c r="G394" s="51" t="n"/>
      <c r="H394" s="51" t="n"/>
      <c r="I394" s="51" t="n"/>
    </row>
    <row r="395">
      <c r="B395" s="51" t="n"/>
      <c r="C395" s="51" t="n"/>
      <c r="D395" s="51" t="n"/>
      <c r="E395" s="51" t="n"/>
      <c r="F395" s="51" t="n"/>
      <c r="G395" s="51" t="n"/>
      <c r="H395" s="51" t="n"/>
      <c r="I395" s="51" t="n"/>
    </row>
    <row r="396">
      <c r="B396" s="51" t="n"/>
      <c r="C396" s="51" t="n"/>
      <c r="D396" s="51" t="n"/>
      <c r="E396" s="51" t="n"/>
      <c r="F396" s="51" t="n"/>
      <c r="G396" s="51" t="n"/>
      <c r="H396" s="51" t="n"/>
      <c r="I396" s="51" t="n"/>
    </row>
    <row r="397">
      <c r="B397" s="51" t="n"/>
      <c r="C397" s="51" t="n"/>
      <c r="D397" s="51" t="n"/>
      <c r="E397" s="51" t="n"/>
      <c r="F397" s="51" t="n"/>
      <c r="G397" s="51" t="n"/>
      <c r="H397" s="51" t="n"/>
      <c r="I397" s="51" t="n"/>
    </row>
    <row r="398">
      <c r="B398" s="51" t="n"/>
      <c r="C398" s="51" t="n"/>
      <c r="D398" s="51" t="n"/>
      <c r="E398" s="51" t="n"/>
      <c r="F398" s="51" t="n"/>
      <c r="G398" s="51" t="n"/>
      <c r="H398" s="51" t="n"/>
      <c r="I398" s="51" t="n"/>
    </row>
    <row r="399">
      <c r="B399" s="51" t="n"/>
      <c r="C399" s="51" t="n"/>
      <c r="D399" s="51" t="n"/>
      <c r="E399" s="51" t="n"/>
      <c r="F399" s="51" t="n"/>
      <c r="G399" s="51" t="n"/>
      <c r="H399" s="51" t="n"/>
      <c r="I399" s="51" t="n"/>
    </row>
    <row r="400">
      <c r="B400" s="51" t="n"/>
      <c r="C400" s="51" t="n"/>
      <c r="D400" s="51" t="n"/>
      <c r="E400" s="51" t="n"/>
      <c r="F400" s="51" t="n"/>
      <c r="G400" s="51" t="n"/>
      <c r="H400" s="51" t="n"/>
      <c r="I400" s="51" t="n"/>
    </row>
    <row r="401">
      <c r="B401" s="51" t="n"/>
      <c r="C401" s="51" t="n"/>
      <c r="D401" s="51" t="n"/>
      <c r="E401" s="51" t="n"/>
      <c r="F401" s="51" t="n"/>
      <c r="G401" s="51" t="n"/>
      <c r="H401" s="51" t="n"/>
      <c r="I401" s="51" t="n"/>
    </row>
    <row r="402">
      <c r="B402" s="51" t="n"/>
      <c r="C402" s="51" t="n"/>
      <c r="D402" s="51" t="n"/>
      <c r="E402" s="51" t="n"/>
      <c r="F402" s="51" t="n"/>
      <c r="G402" s="51" t="n"/>
      <c r="H402" s="51" t="n"/>
      <c r="I402" s="51" t="n"/>
    </row>
    <row r="403">
      <c r="B403" s="51" t="n"/>
      <c r="C403" s="51" t="n"/>
      <c r="D403" s="51" t="n"/>
      <c r="E403" s="51" t="n"/>
      <c r="F403" s="51" t="n"/>
      <c r="G403" s="51" t="n"/>
      <c r="H403" s="51" t="n"/>
      <c r="I403" s="51" t="n"/>
    </row>
    <row r="404">
      <c r="B404" s="51" t="n"/>
      <c r="C404" s="51" t="n"/>
      <c r="D404" s="51" t="n"/>
      <c r="E404" s="51" t="n"/>
      <c r="F404" s="51" t="n"/>
      <c r="G404" s="51" t="n"/>
      <c r="H404" s="51" t="n"/>
      <c r="I404" s="51" t="n"/>
    </row>
    <row r="405">
      <c r="B405" s="51" t="n"/>
      <c r="C405" s="51" t="n"/>
      <c r="D405" s="51" t="n"/>
      <c r="E405" s="51" t="n"/>
      <c r="F405" s="51" t="n"/>
      <c r="G405" s="51" t="n"/>
      <c r="H405" s="51" t="n"/>
      <c r="I405" s="51" t="n"/>
    </row>
    <row r="406">
      <c r="B406" s="51" t="n"/>
      <c r="C406" s="51" t="n"/>
      <c r="D406" s="51" t="n"/>
      <c r="E406" s="51" t="n"/>
      <c r="F406" s="51" t="n"/>
      <c r="G406" s="51" t="n"/>
      <c r="H406" s="51" t="n"/>
      <c r="I406" s="51" t="n"/>
    </row>
    <row r="407">
      <c r="B407" s="51" t="n"/>
      <c r="C407" s="51" t="n"/>
      <c r="D407" s="51" t="n"/>
      <c r="E407" s="51" t="n"/>
      <c r="F407" s="51" t="n"/>
      <c r="G407" s="51" t="n"/>
      <c r="H407" s="51" t="n"/>
      <c r="I407" s="51" t="n"/>
    </row>
    <row r="408">
      <c r="B408" s="51" t="n"/>
      <c r="C408" s="51" t="n"/>
      <c r="D408" s="51" t="n"/>
      <c r="E408" s="51" t="n"/>
      <c r="F408" s="51" t="n"/>
      <c r="G408" s="51" t="n"/>
      <c r="H408" s="51" t="n"/>
      <c r="I408" s="51" t="n"/>
    </row>
    <row r="409">
      <c r="B409" s="51" t="n"/>
      <c r="C409" s="51" t="n"/>
      <c r="D409" s="51" t="n"/>
      <c r="E409" s="51" t="n"/>
      <c r="F409" s="51" t="n"/>
      <c r="G409" s="51" t="n"/>
      <c r="H409" s="51" t="n"/>
      <c r="I409" s="51" t="n"/>
    </row>
    <row r="410">
      <c r="B410" s="51" t="n"/>
      <c r="C410" s="51" t="n"/>
      <c r="D410" s="51" t="n"/>
      <c r="E410" s="51" t="n"/>
      <c r="F410" s="51" t="n"/>
      <c r="G410" s="51" t="n"/>
      <c r="H410" s="51" t="n"/>
      <c r="I410" s="51" t="n"/>
    </row>
    <row r="411">
      <c r="B411" s="51" t="n"/>
      <c r="C411" s="51" t="n"/>
      <c r="D411" s="51" t="n"/>
      <c r="E411" s="51" t="n"/>
      <c r="F411" s="51" t="n"/>
      <c r="G411" s="51" t="n"/>
      <c r="H411" s="51" t="n"/>
      <c r="I411" s="51" t="n"/>
    </row>
    <row r="412">
      <c r="B412" s="51" t="n"/>
      <c r="C412" s="51" t="n"/>
      <c r="D412" s="51" t="n"/>
      <c r="E412" s="51" t="n"/>
      <c r="F412" s="51" t="n"/>
      <c r="G412" s="51" t="n"/>
      <c r="H412" s="51" t="n"/>
      <c r="I412" s="51" t="n"/>
    </row>
    <row r="413">
      <c r="B413" s="51" t="n"/>
      <c r="C413" s="51" t="n"/>
      <c r="D413" s="51" t="n"/>
      <c r="E413" s="51" t="n"/>
      <c r="F413" s="51" t="n"/>
      <c r="G413" s="51" t="n"/>
      <c r="H413" s="51" t="n"/>
      <c r="I413" s="51" t="n"/>
    </row>
    <row r="414">
      <c r="B414" s="51" t="n"/>
      <c r="C414" s="51" t="n"/>
      <c r="D414" s="51" t="n"/>
      <c r="E414" s="51" t="n"/>
      <c r="F414" s="51" t="n"/>
      <c r="G414" s="51" t="n"/>
      <c r="H414" s="51" t="n"/>
      <c r="I414" s="51" t="n"/>
    </row>
    <row r="415">
      <c r="B415" s="51" t="n"/>
      <c r="C415" s="51" t="n"/>
      <c r="D415" s="51" t="n"/>
      <c r="E415" s="51" t="n"/>
      <c r="F415" s="51" t="n"/>
      <c r="G415" s="51" t="n"/>
      <c r="H415" s="51" t="n"/>
      <c r="I415" s="51" t="n"/>
    </row>
    <row r="416">
      <c r="B416" s="51" t="n"/>
      <c r="C416" s="51" t="n"/>
      <c r="D416" s="51" t="n"/>
      <c r="E416" s="51" t="n"/>
      <c r="F416" s="51" t="n"/>
      <c r="G416" s="51" t="n"/>
      <c r="H416" s="51" t="n"/>
      <c r="I416" s="51" t="n"/>
    </row>
    <row r="417">
      <c r="B417" s="51" t="n"/>
      <c r="C417" s="51" t="n"/>
      <c r="D417" s="51" t="n"/>
      <c r="E417" s="51" t="n"/>
      <c r="F417" s="51" t="n"/>
      <c r="G417" s="51" t="n"/>
      <c r="H417" s="51" t="n"/>
      <c r="I417" s="51" t="n"/>
    </row>
    <row r="418">
      <c r="B418" s="51" t="n"/>
      <c r="C418" s="51" t="n"/>
      <c r="D418" s="51" t="n"/>
      <c r="E418" s="51" t="n"/>
      <c r="F418" s="51" t="n"/>
      <c r="G418" s="51" t="n"/>
      <c r="H418" s="51" t="n"/>
      <c r="I418" s="51" t="n"/>
    </row>
    <row r="419">
      <c r="B419" s="51" t="n"/>
      <c r="C419" s="51" t="n"/>
      <c r="D419" s="51" t="n"/>
      <c r="E419" s="51" t="n"/>
      <c r="F419" s="51" t="n"/>
      <c r="G419" s="51" t="n"/>
      <c r="H419" s="51" t="n"/>
      <c r="I419" s="51" t="n"/>
    </row>
    <row r="420">
      <c r="B420" s="51" t="n"/>
      <c r="C420" s="51" t="n"/>
      <c r="D420" s="51" t="n"/>
      <c r="E420" s="51" t="n"/>
      <c r="F420" s="51" t="n"/>
      <c r="G420" s="51" t="n"/>
      <c r="H420" s="51" t="n"/>
      <c r="I420" s="51" t="n"/>
    </row>
    <row r="421">
      <c r="B421" s="51" t="n"/>
      <c r="C421" s="51" t="n"/>
      <c r="D421" s="51" t="n"/>
      <c r="E421" s="51" t="n"/>
      <c r="F421" s="51" t="n"/>
      <c r="G421" s="51" t="n"/>
      <c r="H421" s="51" t="n"/>
      <c r="I421" s="51" t="n"/>
    </row>
    <row r="422">
      <c r="B422" s="51" t="n"/>
      <c r="C422" s="51" t="n"/>
      <c r="D422" s="51" t="n"/>
      <c r="E422" s="51" t="n"/>
      <c r="F422" s="51" t="n"/>
      <c r="G422" s="51" t="n"/>
      <c r="H422" s="51" t="n"/>
      <c r="I422" s="51" t="n"/>
    </row>
    <row r="423">
      <c r="B423" s="51" t="n"/>
      <c r="C423" s="51" t="n"/>
      <c r="D423" s="51" t="n"/>
      <c r="E423" s="51" t="n"/>
      <c r="F423" s="51" t="n"/>
      <c r="G423" s="51" t="n"/>
      <c r="H423" s="51" t="n"/>
      <c r="I423" s="51" t="n"/>
    </row>
    <row r="424">
      <c r="B424" s="51" t="n"/>
      <c r="C424" s="51" t="n"/>
      <c r="D424" s="51" t="n"/>
      <c r="E424" s="51" t="n"/>
      <c r="F424" s="51" t="n"/>
      <c r="G424" s="51" t="n"/>
      <c r="H424" s="51" t="n"/>
      <c r="I424" s="51" t="n"/>
    </row>
    <row r="425">
      <c r="B425" s="51" t="n"/>
      <c r="C425" s="51" t="n"/>
      <c r="D425" s="51" t="n"/>
      <c r="E425" s="51" t="n"/>
      <c r="F425" s="51" t="n"/>
      <c r="G425" s="51" t="n"/>
      <c r="H425" s="51" t="n"/>
      <c r="I425" s="51" t="n"/>
    </row>
    <row r="426">
      <c r="B426" s="51" t="n"/>
      <c r="C426" s="51" t="n"/>
      <c r="D426" s="51" t="n"/>
      <c r="E426" s="51" t="n"/>
      <c r="F426" s="51" t="n"/>
      <c r="G426" s="51" t="n"/>
      <c r="H426" s="51" t="n"/>
      <c r="I426" s="51" t="n"/>
    </row>
    <row r="427">
      <c r="B427" s="51" t="n"/>
      <c r="C427" s="51" t="n"/>
      <c r="D427" s="51" t="n"/>
      <c r="E427" s="51" t="n"/>
      <c r="F427" s="51" t="n"/>
      <c r="G427" s="51" t="n"/>
      <c r="H427" s="51" t="n"/>
      <c r="I427" s="51" t="n"/>
    </row>
    <row r="428">
      <c r="B428" s="51" t="n"/>
      <c r="C428" s="51" t="n"/>
      <c r="D428" s="51" t="n"/>
      <c r="E428" s="51" t="n"/>
      <c r="F428" s="51" t="n"/>
      <c r="G428" s="51" t="n"/>
      <c r="H428" s="51" t="n"/>
      <c r="I428" s="51" t="n"/>
    </row>
    <row r="429">
      <c r="B429" s="51" t="n"/>
      <c r="C429" s="51" t="n"/>
      <c r="D429" s="51" t="n"/>
      <c r="E429" s="51" t="n"/>
      <c r="F429" s="51" t="n"/>
      <c r="G429" s="51" t="n"/>
      <c r="H429" s="51" t="n"/>
      <c r="I429" s="51" t="n"/>
    </row>
    <row r="430">
      <c r="B430" s="51" t="n"/>
      <c r="C430" s="51" t="n"/>
      <c r="D430" s="51" t="n"/>
      <c r="E430" s="51" t="n"/>
      <c r="F430" s="51" t="n"/>
      <c r="G430" s="51" t="n"/>
      <c r="H430" s="51" t="n"/>
      <c r="I430" s="51" t="n"/>
    </row>
    <row r="431">
      <c r="B431" s="51" t="n"/>
      <c r="C431" s="51" t="n"/>
      <c r="D431" s="51" t="n"/>
      <c r="E431" s="51" t="n"/>
      <c r="F431" s="51" t="n"/>
      <c r="G431" s="51" t="n"/>
      <c r="H431" s="51" t="n"/>
      <c r="I431" s="51" t="n"/>
    </row>
    <row r="432">
      <c r="B432" s="51" t="n"/>
      <c r="C432" s="51" t="n"/>
      <c r="D432" s="51" t="n"/>
      <c r="E432" s="51" t="n"/>
      <c r="F432" s="51" t="n"/>
      <c r="G432" s="51" t="n"/>
      <c r="H432" s="51" t="n"/>
      <c r="I432" s="51" t="n"/>
    </row>
    <row r="433">
      <c r="B433" s="51" t="n"/>
      <c r="C433" s="51" t="n"/>
      <c r="D433" s="51" t="n"/>
      <c r="E433" s="51" t="n"/>
      <c r="F433" s="51" t="n"/>
      <c r="G433" s="51" t="n"/>
      <c r="H433" s="51" t="n"/>
      <c r="I433" s="51" t="n"/>
    </row>
    <row r="434">
      <c r="B434" s="51" t="n"/>
      <c r="C434" s="51" t="n"/>
      <c r="D434" s="51" t="n"/>
      <c r="E434" s="51" t="n"/>
      <c r="F434" s="51" t="n"/>
      <c r="G434" s="51" t="n"/>
      <c r="H434" s="51" t="n"/>
      <c r="I434" s="51" t="n"/>
    </row>
    <row r="435">
      <c r="B435" s="51" t="n"/>
      <c r="C435" s="51" t="n"/>
      <c r="D435" s="51" t="n"/>
      <c r="E435" s="51" t="n"/>
      <c r="F435" s="51" t="n"/>
      <c r="G435" s="51" t="n"/>
      <c r="H435" s="51" t="n"/>
      <c r="I435" s="51" t="n"/>
    </row>
    <row r="436">
      <c r="B436" s="51" t="n"/>
      <c r="C436" s="51" t="n"/>
      <c r="D436" s="51" t="n"/>
      <c r="E436" s="51" t="n"/>
      <c r="F436" s="51" t="n"/>
      <c r="G436" s="51" t="n"/>
      <c r="H436" s="51" t="n"/>
      <c r="I436" s="51" t="n"/>
    </row>
    <row r="437">
      <c r="B437" s="51" t="n"/>
      <c r="C437" s="51" t="n"/>
      <c r="D437" s="51" t="n"/>
      <c r="E437" s="51" t="n"/>
      <c r="F437" s="51" t="n"/>
      <c r="G437" s="51" t="n"/>
      <c r="H437" s="51" t="n"/>
      <c r="I437" s="51" t="n"/>
    </row>
    <row r="438">
      <c r="B438" s="51" t="n"/>
      <c r="C438" s="51" t="n"/>
      <c r="D438" s="51" t="n"/>
      <c r="E438" s="51" t="n"/>
      <c r="F438" s="51" t="n"/>
      <c r="G438" s="51" t="n"/>
      <c r="H438" s="51" t="n"/>
      <c r="I438" s="51" t="n"/>
    </row>
    <row r="439">
      <c r="B439" s="51" t="n"/>
      <c r="C439" s="51" t="n"/>
      <c r="D439" s="51" t="n"/>
      <c r="E439" s="51" t="n"/>
      <c r="F439" s="51" t="n"/>
      <c r="G439" s="51" t="n"/>
      <c r="H439" s="51" t="n"/>
      <c r="I439" s="51" t="n"/>
    </row>
    <row r="440">
      <c r="B440" s="51" t="n"/>
      <c r="C440" s="51" t="n"/>
      <c r="D440" s="51" t="n"/>
      <c r="E440" s="51" t="n"/>
      <c r="F440" s="51" t="n"/>
      <c r="G440" s="51" t="n"/>
      <c r="H440" s="51" t="n"/>
      <c r="I440" s="51" t="n"/>
    </row>
    <row r="441">
      <c r="B441" s="51" t="n"/>
      <c r="C441" s="51" t="n"/>
      <c r="D441" s="51" t="n"/>
      <c r="E441" s="51" t="n"/>
      <c r="F441" s="51" t="n"/>
      <c r="G441" s="51" t="n"/>
      <c r="H441" s="51" t="n"/>
      <c r="I441" s="51" t="n"/>
    </row>
    <row r="442">
      <c r="B442" s="51" t="n"/>
      <c r="C442" s="51" t="n"/>
      <c r="D442" s="51" t="n"/>
      <c r="E442" s="51" t="n"/>
      <c r="F442" s="51" t="n"/>
      <c r="G442" s="51" t="n"/>
      <c r="H442" s="51" t="n"/>
      <c r="I442" s="51" t="n"/>
    </row>
    <row r="443">
      <c r="B443" s="51" t="n"/>
      <c r="C443" s="51" t="n"/>
      <c r="D443" s="51" t="n"/>
      <c r="E443" s="51" t="n"/>
      <c r="F443" s="51" t="n"/>
      <c r="G443" s="51" t="n"/>
      <c r="H443" s="51" t="n"/>
      <c r="I443" s="51" t="n"/>
    </row>
    <row r="444">
      <c r="B444" s="51" t="n"/>
      <c r="C444" s="51" t="n"/>
      <c r="D444" s="51" t="n"/>
      <c r="E444" s="51" t="n"/>
      <c r="F444" s="51" t="n"/>
      <c r="G444" s="51" t="n"/>
      <c r="H444" s="51" t="n"/>
      <c r="I444" s="51" t="n"/>
    </row>
    <row r="445">
      <c r="B445" s="51" t="n"/>
      <c r="C445" s="51" t="n"/>
      <c r="D445" s="51" t="n"/>
      <c r="E445" s="51" t="n"/>
      <c r="F445" s="51" t="n"/>
      <c r="G445" s="51" t="n"/>
      <c r="H445" s="51" t="n"/>
      <c r="I445" s="51" t="n"/>
    </row>
    <row r="446">
      <c r="B446" s="51" t="n"/>
      <c r="C446" s="51" t="n"/>
      <c r="D446" s="51" t="n"/>
      <c r="E446" s="51" t="n"/>
      <c r="F446" s="51" t="n"/>
      <c r="G446" s="51" t="n"/>
      <c r="H446" s="51" t="n"/>
      <c r="I446" s="51" t="n"/>
    </row>
    <row r="447">
      <c r="B447" s="51" t="n"/>
      <c r="C447" s="51" t="n"/>
      <c r="D447" s="51" t="n"/>
      <c r="E447" s="51" t="n"/>
      <c r="F447" s="51" t="n"/>
      <c r="G447" s="51" t="n"/>
      <c r="H447" s="51" t="n"/>
      <c r="I447" s="51" t="n"/>
    </row>
    <row r="448">
      <c r="B448" s="51" t="n"/>
      <c r="C448" s="51" t="n"/>
      <c r="D448" s="51" t="n"/>
      <c r="E448" s="51" t="n"/>
      <c r="F448" s="51" t="n"/>
      <c r="G448" s="51" t="n"/>
      <c r="H448" s="51" t="n"/>
      <c r="I448" s="51" t="n"/>
    </row>
    <row r="449">
      <c r="B449" s="51" t="n"/>
      <c r="C449" s="51" t="n"/>
      <c r="D449" s="51" t="n"/>
      <c r="E449" s="51" t="n"/>
      <c r="F449" s="51" t="n"/>
      <c r="G449" s="51" t="n"/>
      <c r="H449" s="51" t="n"/>
      <c r="I449" s="51" t="n"/>
    </row>
    <row r="450">
      <c r="B450" s="51" t="n"/>
      <c r="C450" s="51" t="n"/>
      <c r="D450" s="51" t="n"/>
      <c r="E450" s="51" t="n"/>
      <c r="F450" s="51" t="n"/>
      <c r="G450" s="51" t="n"/>
      <c r="H450" s="51" t="n"/>
      <c r="I450" s="51" t="n"/>
    </row>
    <row r="451">
      <c r="B451" s="51" t="n"/>
      <c r="C451" s="51" t="n"/>
      <c r="D451" s="51" t="n"/>
      <c r="E451" s="51" t="n"/>
      <c r="F451" s="51" t="n"/>
      <c r="G451" s="51" t="n"/>
      <c r="H451" s="51" t="n"/>
      <c r="I451" s="51" t="n"/>
    </row>
    <row r="452">
      <c r="B452" s="51" t="n"/>
      <c r="C452" s="51" t="n"/>
      <c r="D452" s="51" t="n"/>
      <c r="E452" s="51" t="n"/>
      <c r="F452" s="51" t="n"/>
      <c r="G452" s="51" t="n"/>
      <c r="H452" s="51" t="n"/>
      <c r="I452" s="51" t="n"/>
    </row>
    <row r="453">
      <c r="B453" s="51" t="n"/>
      <c r="C453" s="51" t="n"/>
      <c r="D453" s="51" t="n"/>
      <c r="E453" s="51" t="n"/>
      <c r="F453" s="51" t="n"/>
      <c r="G453" s="51" t="n"/>
      <c r="H453" s="51" t="n"/>
      <c r="I453" s="51" t="n"/>
    </row>
    <row r="454">
      <c r="B454" s="51" t="n"/>
      <c r="C454" s="51" t="n"/>
      <c r="D454" s="51" t="n"/>
      <c r="E454" s="51" t="n"/>
      <c r="F454" s="51" t="n"/>
      <c r="G454" s="51" t="n"/>
      <c r="H454" s="51" t="n"/>
      <c r="I454" s="51" t="n"/>
    </row>
    <row r="455">
      <c r="B455" s="51" t="n"/>
      <c r="C455" s="51" t="n"/>
      <c r="D455" s="51" t="n"/>
      <c r="E455" s="51" t="n"/>
      <c r="F455" s="51" t="n"/>
      <c r="G455" s="51" t="n"/>
      <c r="H455" s="51" t="n"/>
      <c r="I455" s="51" t="n"/>
    </row>
    <row r="456">
      <c r="B456" s="51" t="n"/>
      <c r="C456" s="51" t="n"/>
      <c r="D456" s="51" t="n"/>
      <c r="E456" s="51" t="n"/>
      <c r="F456" s="51" t="n"/>
      <c r="G456" s="51" t="n"/>
      <c r="H456" s="51" t="n"/>
      <c r="I456" s="51" t="n"/>
    </row>
    <row r="457">
      <c r="B457" s="51" t="n"/>
      <c r="C457" s="51" t="n"/>
      <c r="D457" s="51" t="n"/>
      <c r="E457" s="51" t="n"/>
      <c r="F457" s="51" t="n"/>
      <c r="G457" s="51" t="n"/>
      <c r="H457" s="51" t="n"/>
      <c r="I457" s="51" t="n"/>
    </row>
    <row r="458">
      <c r="B458" s="51" t="n"/>
      <c r="C458" s="51" t="n"/>
      <c r="D458" s="51" t="n"/>
      <c r="E458" s="51" t="n"/>
      <c r="F458" s="51" t="n"/>
      <c r="G458" s="51" t="n"/>
      <c r="H458" s="51" t="n"/>
      <c r="I458" s="51" t="n"/>
    </row>
    <row r="459">
      <c r="B459" s="51" t="n"/>
      <c r="C459" s="51" t="n"/>
      <c r="D459" s="51" t="n"/>
      <c r="E459" s="51" t="n"/>
      <c r="F459" s="51" t="n"/>
      <c r="G459" s="51" t="n"/>
      <c r="H459" s="51" t="n"/>
      <c r="I459" s="51" t="n"/>
    </row>
    <row r="460">
      <c r="B460" s="51" t="n"/>
      <c r="C460" s="51" t="n"/>
      <c r="D460" s="51" t="n"/>
      <c r="E460" s="51" t="n"/>
      <c r="F460" s="51" t="n"/>
      <c r="G460" s="51" t="n"/>
      <c r="H460" s="51" t="n"/>
      <c r="I460" s="51" t="n"/>
    </row>
    <row r="461">
      <c r="B461" s="51" t="n"/>
      <c r="C461" s="51" t="n"/>
      <c r="D461" s="51" t="n"/>
      <c r="E461" s="51" t="n"/>
      <c r="F461" s="51" t="n"/>
      <c r="G461" s="51" t="n"/>
      <c r="H461" s="51" t="n"/>
      <c r="I461" s="51" t="n"/>
    </row>
    <row r="462">
      <c r="B462" s="51" t="n"/>
      <c r="C462" s="51" t="n"/>
      <c r="D462" s="51" t="n"/>
      <c r="E462" s="51" t="n"/>
      <c r="F462" s="51" t="n"/>
      <c r="G462" s="51" t="n"/>
      <c r="H462" s="51" t="n"/>
      <c r="I462" s="51" t="n"/>
    </row>
    <row r="463">
      <c r="B463" s="51" t="n"/>
      <c r="C463" s="51" t="n"/>
      <c r="D463" s="51" t="n"/>
      <c r="E463" s="51" t="n"/>
      <c r="F463" s="51" t="n"/>
      <c r="G463" s="51" t="n"/>
      <c r="H463" s="51" t="n"/>
      <c r="I463" s="51" t="n"/>
    </row>
    <row r="464">
      <c r="B464" s="51" t="n"/>
      <c r="C464" s="51" t="n"/>
      <c r="D464" s="51" t="n"/>
      <c r="E464" s="51" t="n"/>
      <c r="F464" s="51" t="n"/>
      <c r="G464" s="51" t="n"/>
      <c r="H464" s="51" t="n"/>
      <c r="I464" s="51" t="n"/>
    </row>
    <row r="465">
      <c r="B465" s="51" t="n"/>
      <c r="C465" s="51" t="n"/>
      <c r="D465" s="51" t="n"/>
      <c r="E465" s="51" t="n"/>
      <c r="F465" s="51" t="n"/>
      <c r="G465" s="51" t="n"/>
      <c r="H465" s="51" t="n"/>
      <c r="I465" s="51" t="n"/>
    </row>
    <row r="466">
      <c r="B466" s="51" t="n"/>
      <c r="C466" s="51" t="n"/>
      <c r="D466" s="51" t="n"/>
      <c r="E466" s="51" t="n"/>
      <c r="F466" s="51" t="n"/>
      <c r="G466" s="51" t="n"/>
      <c r="H466" s="51" t="n"/>
      <c r="I466" s="51" t="n"/>
    </row>
    <row r="467">
      <c r="B467" s="51" t="n"/>
      <c r="C467" s="51" t="n"/>
      <c r="D467" s="51" t="n"/>
      <c r="E467" s="51" t="n"/>
      <c r="F467" s="51" t="n"/>
      <c r="G467" s="51" t="n"/>
      <c r="H467" s="51" t="n"/>
      <c r="I467" s="51" t="n"/>
    </row>
    <row r="468">
      <c r="B468" s="51" t="n"/>
      <c r="C468" s="51" t="n"/>
      <c r="D468" s="51" t="n"/>
      <c r="E468" s="51" t="n"/>
      <c r="F468" s="51" t="n"/>
      <c r="G468" s="51" t="n"/>
      <c r="H468" s="51" t="n"/>
      <c r="I468" s="51" t="n"/>
    </row>
    <row r="469">
      <c r="B469" s="51" t="n"/>
      <c r="C469" s="51" t="n"/>
      <c r="D469" s="51" t="n"/>
      <c r="E469" s="51" t="n"/>
      <c r="F469" s="51" t="n"/>
      <c r="G469" s="51" t="n"/>
      <c r="H469" s="51" t="n"/>
      <c r="I469" s="51" t="n"/>
    </row>
    <row r="470">
      <c r="B470" s="51" t="n"/>
      <c r="C470" s="51" t="n"/>
      <c r="D470" s="51" t="n"/>
      <c r="E470" s="51" t="n"/>
      <c r="F470" s="51" t="n"/>
      <c r="G470" s="51" t="n"/>
      <c r="H470" s="51" t="n"/>
      <c r="I470" s="51" t="n"/>
    </row>
    <row r="471">
      <c r="B471" s="51" t="n"/>
      <c r="C471" s="51" t="n"/>
      <c r="D471" s="51" t="n"/>
      <c r="E471" s="51" t="n"/>
      <c r="F471" s="51" t="n"/>
      <c r="G471" s="51" t="n"/>
      <c r="H471" s="51" t="n"/>
      <c r="I471" s="51" t="n"/>
    </row>
    <row r="472">
      <c r="B472" s="51" t="n"/>
      <c r="C472" s="51" t="n"/>
      <c r="D472" s="51" t="n"/>
      <c r="E472" s="51" t="n"/>
      <c r="F472" s="51" t="n"/>
      <c r="G472" s="51" t="n"/>
      <c r="H472" s="51" t="n"/>
      <c r="I472" s="51" t="n"/>
    </row>
    <row r="473">
      <c r="B473" s="51" t="n"/>
      <c r="C473" s="51" t="n"/>
      <c r="D473" s="51" t="n"/>
      <c r="E473" s="51" t="n"/>
      <c r="F473" s="51" t="n"/>
      <c r="G473" s="51" t="n"/>
      <c r="H473" s="51" t="n"/>
      <c r="I473" s="51" t="n"/>
    </row>
    <row r="474">
      <c r="B474" s="51" t="n"/>
      <c r="C474" s="51" t="n"/>
      <c r="D474" s="51" t="n"/>
      <c r="E474" s="51" t="n"/>
      <c r="F474" s="51" t="n"/>
      <c r="G474" s="51" t="n"/>
      <c r="H474" s="51" t="n"/>
      <c r="I474" s="51" t="n"/>
    </row>
    <row r="475">
      <c r="B475" s="51" t="n"/>
      <c r="C475" s="51" t="n"/>
      <c r="D475" s="51" t="n"/>
      <c r="E475" s="51" t="n"/>
      <c r="F475" s="51" t="n"/>
      <c r="G475" s="51" t="n"/>
      <c r="H475" s="51" t="n"/>
      <c r="I475" s="51" t="n"/>
    </row>
    <row r="476">
      <c r="B476" s="51" t="n"/>
      <c r="C476" s="51" t="n"/>
      <c r="D476" s="51" t="n"/>
      <c r="E476" s="51" t="n"/>
      <c r="F476" s="51" t="n"/>
      <c r="G476" s="51" t="n"/>
      <c r="H476" s="51" t="n"/>
      <c r="I476" s="51" t="n"/>
    </row>
    <row r="477">
      <c r="B477" s="51" t="n"/>
      <c r="C477" s="51" t="n"/>
      <c r="D477" s="51" t="n"/>
      <c r="E477" s="51" t="n"/>
      <c r="F477" s="51" t="n"/>
      <c r="G477" s="51" t="n"/>
      <c r="H477" s="51" t="n"/>
      <c r="I477" s="51" t="n"/>
    </row>
    <row r="478">
      <c r="B478" s="51" t="n"/>
      <c r="C478" s="51" t="n"/>
      <c r="D478" s="51" t="n"/>
      <c r="E478" s="51" t="n"/>
      <c r="F478" s="51" t="n"/>
      <c r="G478" s="51" t="n"/>
      <c r="H478" s="51" t="n"/>
      <c r="I478" s="51" t="n"/>
    </row>
    <row r="479">
      <c r="B479" s="51" t="n"/>
      <c r="C479" s="51" t="n"/>
      <c r="D479" s="51" t="n"/>
      <c r="E479" s="51" t="n"/>
      <c r="F479" s="51" t="n"/>
      <c r="G479" s="51" t="n"/>
      <c r="H479" s="51" t="n"/>
      <c r="I479" s="51" t="n"/>
    </row>
    <row r="480">
      <c r="B480" s="51" t="n"/>
      <c r="C480" s="51" t="n"/>
      <c r="D480" s="51" t="n"/>
      <c r="E480" s="51" t="n"/>
      <c r="F480" s="51" t="n"/>
      <c r="G480" s="51" t="n"/>
      <c r="H480" s="51" t="n"/>
      <c r="I480" s="51" t="n"/>
    </row>
    <row r="481">
      <c r="B481" s="51" t="n"/>
      <c r="C481" s="51" t="n"/>
      <c r="D481" s="51" t="n"/>
      <c r="E481" s="51" t="n"/>
      <c r="F481" s="51" t="n"/>
      <c r="G481" s="51" t="n"/>
      <c r="H481" s="51" t="n"/>
      <c r="I481" s="51" t="n"/>
    </row>
    <row r="482">
      <c r="B482" s="51" t="n"/>
      <c r="C482" s="51" t="n"/>
      <c r="D482" s="51" t="n"/>
      <c r="E482" s="51" t="n"/>
      <c r="F482" s="51" t="n"/>
      <c r="G482" s="51" t="n"/>
      <c r="H482" s="51" t="n"/>
      <c r="I482" s="51" t="n"/>
    </row>
    <row r="483">
      <c r="B483" s="51" t="n"/>
      <c r="C483" s="51" t="n"/>
      <c r="D483" s="51" t="n"/>
      <c r="E483" s="51" t="n"/>
      <c r="F483" s="51" t="n"/>
      <c r="G483" s="51" t="n"/>
      <c r="H483" s="51" t="n"/>
      <c r="I483" s="51" t="n"/>
    </row>
    <row r="484">
      <c r="B484" s="51" t="n"/>
      <c r="C484" s="51" t="n"/>
      <c r="D484" s="51" t="n"/>
      <c r="E484" s="51" t="n"/>
      <c r="F484" s="51" t="n"/>
      <c r="G484" s="51" t="n"/>
      <c r="H484" s="51" t="n"/>
      <c r="I484" s="51" t="n"/>
    </row>
    <row r="485">
      <c r="B485" s="51" t="n"/>
      <c r="C485" s="51" t="n"/>
      <c r="D485" s="51" t="n"/>
      <c r="E485" s="51" t="n"/>
      <c r="F485" s="51" t="n"/>
      <c r="G485" s="51" t="n"/>
      <c r="H485" s="51" t="n"/>
      <c r="I485" s="51" t="n"/>
    </row>
    <row r="486">
      <c r="B486" s="51" t="n"/>
      <c r="C486" s="51" t="n"/>
      <c r="D486" s="51" t="n"/>
      <c r="E486" s="51" t="n"/>
      <c r="F486" s="51" t="n"/>
      <c r="G486" s="51" t="n"/>
      <c r="H486" s="51" t="n"/>
      <c r="I486" s="51" t="n"/>
    </row>
    <row r="487">
      <c r="B487" s="51" t="n"/>
      <c r="C487" s="51" t="n"/>
      <c r="D487" s="51" t="n"/>
      <c r="E487" s="51" t="n"/>
      <c r="F487" s="51" t="n"/>
      <c r="G487" s="51" t="n"/>
      <c r="H487" s="51" t="n"/>
      <c r="I487" s="51" t="n"/>
    </row>
    <row r="488">
      <c r="B488" s="51" t="n"/>
      <c r="C488" s="51" t="n"/>
      <c r="D488" s="51" t="n"/>
      <c r="E488" s="51" t="n"/>
      <c r="F488" s="51" t="n"/>
      <c r="G488" s="51" t="n"/>
      <c r="H488" s="51" t="n"/>
      <c r="I488" s="51" t="n"/>
    </row>
    <row r="489">
      <c r="B489" s="51" t="n"/>
      <c r="C489" s="51" t="n"/>
      <c r="D489" s="51" t="n"/>
      <c r="E489" s="51" t="n"/>
      <c r="F489" s="51" t="n"/>
      <c r="G489" s="51" t="n"/>
      <c r="H489" s="51" t="n"/>
      <c r="I489" s="51" t="n"/>
    </row>
    <row r="490">
      <c r="B490" s="51" t="n"/>
      <c r="C490" s="51" t="n"/>
      <c r="D490" s="51" t="n"/>
      <c r="E490" s="51" t="n"/>
      <c r="F490" s="51" t="n"/>
      <c r="G490" s="51" t="n"/>
      <c r="H490" s="51" t="n"/>
      <c r="I490" s="51" t="n"/>
    </row>
    <row r="491">
      <c r="B491" s="51" t="n"/>
      <c r="C491" s="51" t="n"/>
      <c r="D491" s="51" t="n"/>
      <c r="E491" s="51" t="n"/>
      <c r="F491" s="51" t="n"/>
      <c r="G491" s="51" t="n"/>
      <c r="H491" s="51" t="n"/>
      <c r="I491" s="51" t="n"/>
    </row>
    <row r="492">
      <c r="B492" s="51" t="n"/>
      <c r="C492" s="51" t="n"/>
      <c r="D492" s="51" t="n"/>
      <c r="E492" s="51" t="n"/>
      <c r="F492" s="51" t="n"/>
      <c r="G492" s="51" t="n"/>
      <c r="H492" s="51" t="n"/>
      <c r="I492" s="51" t="n"/>
    </row>
    <row r="493">
      <c r="B493" s="51" t="n"/>
      <c r="C493" s="51" t="n"/>
      <c r="D493" s="51" t="n"/>
      <c r="E493" s="51" t="n"/>
      <c r="F493" s="51" t="n"/>
      <c r="G493" s="51" t="n"/>
      <c r="H493" s="51" t="n"/>
      <c r="I493" s="51" t="n"/>
    </row>
    <row r="494">
      <c r="B494" s="51" t="n"/>
      <c r="C494" s="51" t="n"/>
      <c r="D494" s="51" t="n"/>
      <c r="E494" s="51" t="n"/>
      <c r="F494" s="51" t="n"/>
      <c r="G494" s="51" t="n"/>
      <c r="H494" s="51" t="n"/>
      <c r="I494" s="51" t="n"/>
    </row>
    <row r="495">
      <c r="B495" s="51" t="n"/>
      <c r="C495" s="51" t="n"/>
      <c r="D495" s="51" t="n"/>
      <c r="E495" s="51" t="n"/>
      <c r="F495" s="51" t="n"/>
      <c r="G495" s="51" t="n"/>
      <c r="H495" s="51" t="n"/>
      <c r="I495" s="51" t="n"/>
    </row>
    <row r="496">
      <c r="B496" s="51" t="n"/>
      <c r="C496" s="51" t="n"/>
      <c r="D496" s="51" t="n"/>
      <c r="E496" s="51" t="n"/>
      <c r="F496" s="51" t="n"/>
      <c r="G496" s="51" t="n"/>
      <c r="H496" s="51" t="n"/>
      <c r="I496" s="51" t="n"/>
    </row>
    <row r="497">
      <c r="B497" s="51" t="n"/>
      <c r="C497" s="51" t="n"/>
      <c r="D497" s="51" t="n"/>
      <c r="E497" s="51" t="n"/>
      <c r="F497" s="51" t="n"/>
      <c r="G497" s="51" t="n"/>
      <c r="H497" s="51" t="n"/>
      <c r="I497" s="51" t="n"/>
    </row>
    <row r="498">
      <c r="B498" s="51" t="n"/>
      <c r="C498" s="51" t="n"/>
      <c r="D498" s="51" t="n"/>
      <c r="E498" s="51" t="n"/>
      <c r="F498" s="51" t="n"/>
      <c r="G498" s="51" t="n"/>
      <c r="H498" s="51" t="n"/>
      <c r="I498" s="51" t="n"/>
    </row>
    <row r="499">
      <c r="B499" s="51" t="n"/>
      <c r="C499" s="51" t="n"/>
      <c r="D499" s="51" t="n"/>
      <c r="E499" s="51" t="n"/>
      <c r="F499" s="51" t="n"/>
      <c r="G499" s="51" t="n"/>
      <c r="H499" s="51" t="n"/>
      <c r="I499" s="51" t="n"/>
    </row>
    <row r="500">
      <c r="B500" s="51" t="n"/>
      <c r="C500" s="51" t="n"/>
      <c r="D500" s="51" t="n"/>
      <c r="E500" s="51" t="n"/>
      <c r="F500" s="51" t="n"/>
      <c r="G500" s="51" t="n"/>
      <c r="H500" s="51" t="n"/>
      <c r="I500" s="51" t="n"/>
    </row>
    <row r="501">
      <c r="B501" s="51" t="n"/>
      <c r="C501" s="51" t="n"/>
      <c r="D501" s="51" t="n"/>
      <c r="E501" s="51" t="n"/>
      <c r="F501" s="51" t="n"/>
      <c r="G501" s="51" t="n"/>
      <c r="H501" s="51" t="n"/>
      <c r="I501" s="51" t="n"/>
    </row>
    <row r="502">
      <c r="B502" s="51" t="n"/>
      <c r="C502" s="51" t="n"/>
      <c r="D502" s="51" t="n"/>
      <c r="E502" s="51" t="n"/>
      <c r="F502" s="51" t="n"/>
      <c r="G502" s="51" t="n"/>
      <c r="H502" s="51" t="n"/>
      <c r="I502" s="51" t="n"/>
    </row>
    <row r="503">
      <c r="B503" s="51" t="n"/>
      <c r="C503" s="51" t="n"/>
      <c r="D503" s="51" t="n"/>
      <c r="E503" s="51" t="n"/>
      <c r="F503" s="51" t="n"/>
      <c r="G503" s="51" t="n"/>
      <c r="H503" s="51" t="n"/>
      <c r="I503" s="51" t="n"/>
    </row>
    <row r="504">
      <c r="B504" s="51" t="n"/>
      <c r="C504" s="51" t="n"/>
      <c r="D504" s="51" t="n"/>
      <c r="E504" s="51" t="n"/>
      <c r="F504" s="51" t="n"/>
      <c r="G504" s="51" t="n"/>
      <c r="H504" s="51" t="n"/>
      <c r="I504" s="51" t="n"/>
    </row>
    <row r="505">
      <c r="B505" s="51" t="n"/>
      <c r="C505" s="51" t="n"/>
      <c r="D505" s="51" t="n"/>
      <c r="E505" s="51" t="n"/>
      <c r="F505" s="51" t="n"/>
      <c r="G505" s="51" t="n"/>
      <c r="H505" s="51" t="n"/>
      <c r="I505" s="51" t="n"/>
    </row>
    <row r="506">
      <c r="B506" s="51" t="n"/>
      <c r="C506" s="51" t="n"/>
      <c r="D506" s="51" t="n"/>
      <c r="E506" s="51" t="n"/>
      <c r="F506" s="51" t="n"/>
      <c r="G506" s="51" t="n"/>
      <c r="H506" s="51" t="n"/>
      <c r="I506" s="51" t="n"/>
    </row>
    <row r="507">
      <c r="B507" s="51" t="n"/>
      <c r="C507" s="51" t="n"/>
      <c r="D507" s="51" t="n"/>
      <c r="E507" s="51" t="n"/>
      <c r="F507" s="51" t="n"/>
      <c r="G507" s="51" t="n"/>
      <c r="H507" s="51" t="n"/>
      <c r="I507" s="51" t="n"/>
    </row>
    <row r="508">
      <c r="B508" s="51" t="n"/>
      <c r="C508" s="51" t="n"/>
      <c r="D508" s="51" t="n"/>
      <c r="E508" s="51" t="n"/>
      <c r="F508" s="51" t="n"/>
      <c r="G508" s="51" t="n"/>
      <c r="H508" s="51" t="n"/>
      <c r="I508" s="51" t="n"/>
    </row>
    <row r="509">
      <c r="B509" s="51" t="n"/>
      <c r="C509" s="51" t="n"/>
      <c r="D509" s="51" t="n"/>
      <c r="E509" s="51" t="n"/>
      <c r="F509" s="51" t="n"/>
      <c r="G509" s="51" t="n"/>
      <c r="H509" s="51" t="n"/>
      <c r="I509" s="51" t="n"/>
    </row>
    <row r="510">
      <c r="B510" s="51" t="n"/>
      <c r="C510" s="51" t="n"/>
      <c r="D510" s="51" t="n"/>
      <c r="E510" s="51" t="n"/>
      <c r="F510" s="51" t="n"/>
      <c r="G510" s="51" t="n"/>
      <c r="H510" s="51" t="n"/>
      <c r="I510" s="51" t="n"/>
    </row>
    <row r="511">
      <c r="B511" s="51" t="n"/>
      <c r="C511" s="51" t="n"/>
      <c r="D511" s="51" t="n"/>
      <c r="E511" s="51" t="n"/>
      <c r="F511" s="51" t="n"/>
      <c r="G511" s="51" t="n"/>
      <c r="H511" s="51" t="n"/>
      <c r="I511" s="51" t="n"/>
    </row>
    <row r="512">
      <c r="B512" s="51" t="n"/>
      <c r="C512" s="51" t="n"/>
      <c r="D512" s="51" t="n"/>
      <c r="E512" s="51" t="n"/>
      <c r="F512" s="51" t="n"/>
      <c r="G512" s="51" t="n"/>
      <c r="H512" s="51" t="n"/>
      <c r="I512" s="51" t="n"/>
    </row>
    <row r="513">
      <c r="B513" s="51" t="n"/>
      <c r="C513" s="51" t="n"/>
      <c r="D513" s="51" t="n"/>
      <c r="E513" s="51" t="n"/>
      <c r="F513" s="51" t="n"/>
      <c r="G513" s="51" t="n"/>
      <c r="H513" s="51" t="n"/>
      <c r="I513" s="51" t="n"/>
    </row>
    <row r="514">
      <c r="B514" s="51" t="n"/>
      <c r="C514" s="51" t="n"/>
      <c r="D514" s="51" t="n"/>
      <c r="E514" s="51" t="n"/>
      <c r="F514" s="51" t="n"/>
      <c r="G514" s="51" t="n"/>
      <c r="H514" s="51" t="n"/>
      <c r="I514" s="51" t="n"/>
    </row>
    <row r="515">
      <c r="B515" s="51" t="n"/>
      <c r="C515" s="51" t="n"/>
      <c r="D515" s="51" t="n"/>
      <c r="E515" s="51" t="n"/>
      <c r="F515" s="51" t="n"/>
      <c r="G515" s="51" t="n"/>
      <c r="H515" s="51" t="n"/>
      <c r="I515" s="51" t="n"/>
    </row>
    <row r="516">
      <c r="B516" s="51" t="n"/>
      <c r="C516" s="51" t="n"/>
      <c r="D516" s="51" t="n"/>
      <c r="E516" s="51" t="n"/>
      <c r="F516" s="51" t="n"/>
      <c r="G516" s="51" t="n"/>
      <c r="H516" s="51" t="n"/>
      <c r="I516" s="51" t="n"/>
    </row>
    <row r="517">
      <c r="B517" s="51" t="n"/>
      <c r="C517" s="51" t="n"/>
      <c r="D517" s="51" t="n"/>
      <c r="E517" s="51" t="n"/>
      <c r="F517" s="51" t="n"/>
      <c r="G517" s="51" t="n"/>
      <c r="H517" s="51" t="n"/>
      <c r="I517" s="51" t="n"/>
    </row>
  </sheetData>
  <mergeCells count="7">
    <mergeCell ref="B7:I7"/>
    <mergeCell ref="B6:I6"/>
    <mergeCell ref="B10:C10"/>
    <mergeCell ref="B3:I3"/>
    <mergeCell ref="B5:I5"/>
    <mergeCell ref="D8:I8"/>
    <mergeCell ref="B4:I4"/>
  </mergeCells>
  <conditionalFormatting sqref="E9">
    <cfRule type="cellIs" priority="1" operator="greaterThan" dxfId="5">
      <formula>0</formula>
    </cfRule>
  </conditionalFormatting>
  <conditionalFormatting sqref="B17:B517">
    <cfRule type="expression" priority="2" dxfId="6">
      <formula>AND(LEN($B17&amp;$C17&amp;$D17&amp;$E17&amp;$F17&amp;$G17&amp;$H17&amp;$I17)&gt;0,B17="")</formula>
    </cfRule>
  </conditionalFormatting>
  <conditionalFormatting sqref="H17:H517">
    <cfRule type="expression" priority="3" dxfId="6">
      <formula>AND(LEN($B17&amp;$C17&amp;$D17&amp;$E17&amp;$F17&amp;$G17&amp;$H17&amp;$I17)&gt;0,H17="")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Legacy package code / Legacy ver" prompt="Yes. Package of the legacy policy headers"/>
    <dataValidation sqref="C17:C517" showDropDown="0" showInputMessage="1" showErrorMessage="0" allowBlank="1" promptTitle="Legacy package name" prompt="No. For reading only"/>
    <dataValidation sqref="D17:D517" showDropDown="0" showInputMessage="1" showErrorMessage="1" allowBlank="1" errorTitle="Qualifier: risk code" error="The code is not in PM-01, column Risk code. Enter it there first, or keep it if it is a code BIBS already holds." promptTitle="Qualifier: risk code" prompt="No. When one legacy package maps to several BIBS packages by product Allowed: A code of PM-01 Product catalogue, column Risk code" type="list" errorStyle="warning">
      <formula1>=CODES_PM_01_RISK_CODE</formula1>
    </dataValidation>
    <dataValidation sqref="E17:E517" showDropDown="0" showInputMessage="1" showErrorMessage="1" allowBlank="1" errorTitle="Qualifier: insurer" error="The code is not in PM-05, column Partner code. Enter it there first, or keep it if it is a code BIBS already holds." promptTitle="Qualifier: insurer" prompt="No. When the split is by insurer Allowed: A code of PM-05 Insurers, branches and commission rates, column Partner code" type="list" errorStyle="warning">
      <formula1>=CODES_PM_05_PARTNER_CODE</formula1>
    </dataValidation>
    <dataValidation sqref="F17:F517" showDropDown="0" showInputMessage="1" showErrorMessage="0" allowBlank="1" promptTitle="Qualifier: sum insured from / to" prompt="No. When the split is by sum-insured band"/>
    <dataValidation sqref="G17:G517" showDropDown="0" showInputMessage="1" showErrorMessage="0" allowBlank="1" promptTitle="BIBS risk code / BIBS version" prompt="Conditional: action MAP. Target of the entry Allowed: Codes of PM-06 Packages in force at go-live, column Risk code (one or more)"/>
    <dataValidation sqref="H17:H517" showDropDown="0" showInputMessage="1" showErrorMessage="1" allowBlank="1" errorTitle="Action" error="Choose a value of the list Package map action (sheet Reference lists)." promptTitle="Action" prompt="Yes. REJECT sends the candidate to the Renewal Exception bucket Allowed: MAP, REJECT (list Package map action)" type="list" errorStyle="stop">
      <formula1>=LIST_MAP_ACTION</formula1>
    </dataValidation>
    <dataValidation sqref="I17:I517" showDropDown="0" showInputMessage="1" showErrorMessage="0" allowBlank="1" promptTitle="Remarks" prompt="No. Reason of a REJECT or a split"/>
  </dataValidations>
  <hyperlinks>
    <hyperlink ref="A2" location="'Start here'!A1"/>
    <hyperlink ref="I2" location="'Questions and comments'!A1"/>
    <hyperlink ref="B8" location="'PM-01 Product catalogue'!A1"/>
    <hyperlink ref="C8" location="'PM-05 Insurers'!A1"/>
    <hyperlink ref="D8" location="'PM-06 Packages'!A1"/>
    <hyperlink ref="D14" location="'PM-01 Product catalogue'!H16"/>
    <hyperlink ref="E14" location="'PM-05 Insurers'!B16"/>
    <hyperlink ref="G14" location="'PM-06 Packages'!B16"/>
    <hyperlink ref="H14" location="'Reference lists'!A90"/>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1.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8" customWidth="1" min="3" max="3"/>
    <col width="40" customWidth="1" min="4" max="4"/>
    <col width="40" customWidth="1" min="5" max="5"/>
    <col width="19" customWidth="1" min="6" max="6"/>
    <col width="12" customWidth="1" min="7" max="7"/>
  </cols>
  <sheetData>
    <row r="1" ht="26" customHeight="1">
      <c r="A1" s="27" t="inlineStr">
        <is>
          <t>PM-08 Document templates</t>
        </is>
      </c>
      <c r="G1" s="28" t="inlineStr">
        <is>
          <t>Step 30 of 31</t>
        </is>
      </c>
    </row>
    <row r="2">
      <c r="A2" s="29" t="inlineStr">
        <is>
          <t>← Back to Start here</t>
        </is>
      </c>
      <c r="B2" s="30" t="inlineStr">
        <is>
          <t>Step 30 of 31. Fill in one row per record below the column headers; the guide above each column says what to enter.</t>
        </is>
      </c>
      <c r="G2" s="31" t="inlineStr">
        <is>
          <t>Ask a question →</t>
        </is>
      </c>
    </row>
    <row r="3" outlineLevel="1" ht="28" customHeight="1">
      <c r="A3" s="32" t="inlineStr">
        <is>
          <t>Purpose</t>
        </is>
      </c>
      <c r="B3" s="33" t="inlineStr">
        <is>
          <t>The texts of the package documents: Package Request Form, quotation slip, comparative table, package slip, package advisory and package renewal advisory, with the merge fields each may use</t>
        </is>
      </c>
    </row>
    <row r="4" outlineLevel="1" ht="15.5" customHeight="1">
      <c r="A4" s="32" t="inlineStr">
        <is>
          <t>Provided by</t>
        </is>
      </c>
      <c r="B4" s="33" t="inlineStr">
        <is>
          <t>TSU and MBS (texts); Business Administrator (maintenance)</t>
        </is>
      </c>
    </row>
    <row r="5" outlineLevel="1" ht="15.5" customHeight="1">
      <c r="A5" s="32" t="inlineStr">
        <is>
          <t>Due</t>
        </is>
      </c>
      <c r="B5" s="34" t="inlineStr">
        <is>
          <t>16-Jul-2027 – Values for UAT</t>
        </is>
      </c>
    </row>
    <row r="6" outlineLevel="1" ht="15.5" customHeight="1">
      <c r="A6" s="32" t="inlineStr">
        <is>
          <t>How it is loaded</t>
        </is>
      </c>
      <c r="B6" s="33" t="inlineStr">
        <is>
          <t>Entered on Document Templates (New Business set, SCR-NB-44) as a new template version effective from a date; not migrated</t>
        </is>
      </c>
    </row>
    <row r="7" outlineLevel="1" ht="15.5" customHeight="1">
      <c r="A7" s="32" t="inlineStr">
        <is>
          <t>Source</t>
        </is>
      </c>
      <c r="B7" s="33" t="inlineStr">
        <is>
          <t>BDOI layouts of the current documents (Q03)</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SUMPRODUCT(((ROW($B$17:$B$517)&gt;17)+($B$17&lt;&gt;"PKG_ADVISORY")&gt;0)*(LEN($B$17:$B$517&amp;$C$17:$C$517&amp;$D$17:$D$517&amp;$E$17:$E$517&amp;$F$17:$F$517)&gt;0))</f>
        <v/>
      </c>
      <c r="D9" s="37" t="inlineStr">
        <is>
          <t>Mandatory cells missing</t>
        </is>
      </c>
      <c r="E9" s="38">
        <f>SUMPRODUCT(((ROW($B$17:$B$517)&gt;17)+($B$17&lt;&gt;"PKG_ADVISORY")&gt;0)*(LEN($B$17:$B$517&amp;$C$17:$C$517&amp;$D$17:$D$517&amp;$E$17:$E$517&amp;$F$17:$F$517)&gt;0)*(($B$17:$B$517="")+($C$17:$C$517="")+($D$17:$D$517="")+($F$17:$F$517="")))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17" customHeight="1">
      <c r="A12" s="43" t="inlineStr">
        <is>
          <t>Mandatory</t>
        </is>
      </c>
      <c r="B12" s="44" t="inlineStr">
        <is>
          <t>Yes</t>
        </is>
      </c>
      <c r="C12" s="44" t="inlineStr">
        <is>
          <t>Yes</t>
        </is>
      </c>
      <c r="D12" s="44" t="inlineStr">
        <is>
          <t>Yes</t>
        </is>
      </c>
      <c r="E12" s="45" t="inlineStr">
        <is>
          <t>No</t>
        </is>
      </c>
      <c r="F12" s="44" t="inlineStr">
        <is>
          <t>Yes</t>
        </is>
      </c>
    </row>
    <row r="13" ht="82" customHeight="1">
      <c r="A13" s="43" t="inlineStr">
        <is>
          <t>Format</t>
        </is>
      </c>
      <c r="B13" s="45" t="inlineStr">
        <is>
          <t>PKG_REQUEST_FORM, PKG_QUOTATION_SLIP, PKG_COMPARATIVE, PKG_SLIP, PKG_ADVISORY, PKG_RENEWAL_ADVISORY</t>
        </is>
      </c>
      <c r="C13" s="45" t="inlineStr">
        <is>
          <t>Text</t>
        </is>
      </c>
      <c r="D13" s="45" t="inlineStr">
        <is>
          <t>Text with merge fields in double braces</t>
        </is>
      </c>
      <c r="E13" s="45" t="inlineStr">
        <is>
          <t>PKG_REQUEST_FORM: reference, requestType, title; PKG_QUOTATION_SLIP: reference, roundNo, replyBy; PKG_COMPARATIVE: reference, roundNo, variant; PKG_SLIP: reference, title; advisories: productCode, productName, versionNo, effectiveFrom, reference</t>
        </is>
      </c>
      <c r="F13" s="45" t="inlineStr">
        <is>
          <t>dd-MMM-yyyy</t>
        </is>
      </c>
    </row>
    <row r="14" ht="30" customHeight="1">
      <c r="A14" s="43" t="inlineStr">
        <is>
          <t>Allowed values</t>
        </is>
      </c>
      <c r="B14" s="53" t="inlineStr">
        <is>
          <t>List Package document template: 6 values, see Reference lists</t>
        </is>
      </c>
      <c r="C14" s="45" t="inlineStr">
        <is>
          <t>Free entry</t>
        </is>
      </c>
      <c r="D14" s="45" t="inlineStr">
        <is>
          <t>Free entry</t>
        </is>
      </c>
      <c r="E14" s="45" t="inlineStr">
        <is>
          <t>Free entry</t>
        </is>
      </c>
      <c r="F14" s="45" t="inlineStr">
        <is>
          <t>A date, for example 15-Jan-2028</t>
        </is>
      </c>
    </row>
    <row r="15" ht="30" customHeight="1">
      <c r="A15" s="43" t="inlineStr">
        <is>
          <t>What to enter</t>
        </is>
      </c>
      <c r="B15" s="45" t="inlineStr">
        <is>
          <t>Template code</t>
        </is>
      </c>
      <c r="C15" s="45" t="inlineStr">
        <is>
          <t>Title of the template version</t>
        </is>
      </c>
      <c r="D15" s="45" t="inlineStr">
        <is>
          <t>Opening text of the document</t>
        </is>
      </c>
      <c r="E15" s="45" t="inlineStr">
        <is>
          <t>Fields filled in by BIBS</t>
        </is>
      </c>
      <c r="F15" s="45" t="inlineStr">
        <is>
          <t>Date from which the version is used</t>
        </is>
      </c>
    </row>
    <row r="16" ht="30" customHeight="1">
      <c r="A16" s="46" t="inlineStr">
        <is>
          <t>Row</t>
        </is>
      </c>
      <c r="B16" s="47" t="inlineStr">
        <is>
          <t>Template *</t>
        </is>
      </c>
      <c r="C16" s="47" t="inlineStr">
        <is>
          <t>Title *</t>
        </is>
      </c>
      <c r="D16" s="47" t="inlineStr">
        <is>
          <t>Text *</t>
        </is>
      </c>
      <c r="E16" s="47" t="inlineStr">
        <is>
          <t>Merge fields used</t>
        </is>
      </c>
      <c r="F16" s="47" t="inlineStr">
        <is>
          <t>Effective from *</t>
        </is>
      </c>
    </row>
    <row r="17" ht="30" customHeight="1">
      <c r="A17" s="48" t="inlineStr">
        <is>
          <t>Example – overwrite or delete</t>
        </is>
      </c>
      <c r="B17" s="49" t="inlineStr">
        <is>
          <t>PKG_ADVISORY</t>
        </is>
      </c>
      <c r="C17" s="49" t="inlineStr">
        <is>
          <t>Package advisory</t>
        </is>
      </c>
      <c r="D17" s="49" t="inlineStr">
        <is>
          <t>This is to advise that the package {{productCode}} - {{productName}} ...</t>
        </is>
      </c>
      <c r="E17" s="49" t="inlineStr">
        <is>
          <t>productCode, productName, versionNo, effectiveFrom, reference</t>
        </is>
      </c>
      <c r="F17" s="50" t="n">
        <v>46327</v>
      </c>
    </row>
    <row r="18">
      <c r="B18" s="51" t="n"/>
      <c r="C18" s="51" t="n"/>
      <c r="D18" s="51" t="n"/>
      <c r="E18" s="51" t="n"/>
      <c r="F18" s="52" t="n"/>
    </row>
    <row r="19">
      <c r="B19" s="51" t="n"/>
      <c r="C19" s="51" t="n"/>
      <c r="D19" s="51" t="n"/>
      <c r="E19" s="51" t="n"/>
      <c r="F19" s="52" t="n"/>
    </row>
    <row r="20">
      <c r="B20" s="51" t="n"/>
      <c r="C20" s="51" t="n"/>
      <c r="D20" s="51" t="n"/>
      <c r="E20" s="51" t="n"/>
      <c r="F20" s="52" t="n"/>
    </row>
    <row r="21">
      <c r="B21" s="51" t="n"/>
      <c r="C21" s="51" t="n"/>
      <c r="D21" s="51" t="n"/>
      <c r="E21" s="51" t="n"/>
      <c r="F21" s="52" t="n"/>
    </row>
    <row r="22">
      <c r="B22" s="51" t="n"/>
      <c r="C22" s="51" t="n"/>
      <c r="D22" s="51" t="n"/>
      <c r="E22" s="51" t="n"/>
      <c r="F22" s="52" t="n"/>
    </row>
    <row r="23">
      <c r="B23" s="51" t="n"/>
      <c r="C23" s="51" t="n"/>
      <c r="D23" s="51" t="n"/>
      <c r="E23" s="51" t="n"/>
      <c r="F23" s="52" t="n"/>
    </row>
    <row r="24">
      <c r="B24" s="51" t="n"/>
      <c r="C24" s="51" t="n"/>
      <c r="D24" s="51" t="n"/>
      <c r="E24" s="51" t="n"/>
      <c r="F24" s="52" t="n"/>
    </row>
    <row r="25">
      <c r="B25" s="51" t="n"/>
      <c r="C25" s="51" t="n"/>
      <c r="D25" s="51" t="n"/>
      <c r="E25" s="51" t="n"/>
      <c r="F25" s="52" t="n"/>
    </row>
    <row r="26">
      <c r="B26" s="51" t="n"/>
      <c r="C26" s="51" t="n"/>
      <c r="D26" s="51" t="n"/>
      <c r="E26" s="51" t="n"/>
      <c r="F26" s="52" t="n"/>
    </row>
    <row r="27">
      <c r="B27" s="51" t="n"/>
      <c r="C27" s="51" t="n"/>
      <c r="D27" s="51" t="n"/>
      <c r="E27" s="51" t="n"/>
      <c r="F27" s="52" t="n"/>
    </row>
    <row r="28">
      <c r="B28" s="51" t="n"/>
      <c r="C28" s="51" t="n"/>
      <c r="D28" s="51" t="n"/>
      <c r="E28" s="51" t="n"/>
      <c r="F28" s="52" t="n"/>
    </row>
    <row r="29">
      <c r="B29" s="51" t="n"/>
      <c r="C29" s="51" t="n"/>
      <c r="D29" s="51" t="n"/>
      <c r="E29" s="51" t="n"/>
      <c r="F29" s="52" t="n"/>
    </row>
    <row r="30">
      <c r="B30" s="51" t="n"/>
      <c r="C30" s="51" t="n"/>
      <c r="D30" s="51" t="n"/>
      <c r="E30" s="51" t="n"/>
      <c r="F30" s="52" t="n"/>
    </row>
    <row r="31">
      <c r="B31" s="51" t="n"/>
      <c r="C31" s="51" t="n"/>
      <c r="D31" s="51" t="n"/>
      <c r="E31" s="51" t="n"/>
      <c r="F31" s="52" t="n"/>
    </row>
    <row r="32">
      <c r="B32" s="51" t="n"/>
      <c r="C32" s="51" t="n"/>
      <c r="D32" s="51" t="n"/>
      <c r="E32" s="51" t="n"/>
      <c r="F32" s="52" t="n"/>
    </row>
    <row r="33">
      <c r="B33" s="51" t="n"/>
      <c r="C33" s="51" t="n"/>
      <c r="D33" s="51" t="n"/>
      <c r="E33" s="51" t="n"/>
      <c r="F33" s="52" t="n"/>
    </row>
    <row r="34">
      <c r="B34" s="51" t="n"/>
      <c r="C34" s="51" t="n"/>
      <c r="D34" s="51" t="n"/>
      <c r="E34" s="51" t="n"/>
      <c r="F34" s="52" t="n"/>
    </row>
    <row r="35">
      <c r="B35" s="51" t="n"/>
      <c r="C35" s="51" t="n"/>
      <c r="D35" s="51" t="n"/>
      <c r="E35" s="51" t="n"/>
      <c r="F35" s="52" t="n"/>
    </row>
    <row r="36">
      <c r="B36" s="51" t="n"/>
      <c r="C36" s="51" t="n"/>
      <c r="D36" s="51" t="n"/>
      <c r="E36" s="51" t="n"/>
      <c r="F36" s="52" t="n"/>
    </row>
    <row r="37">
      <c r="B37" s="51" t="n"/>
      <c r="C37" s="51" t="n"/>
      <c r="D37" s="51" t="n"/>
      <c r="E37" s="51" t="n"/>
      <c r="F37" s="52" t="n"/>
    </row>
    <row r="38">
      <c r="B38" s="51" t="n"/>
      <c r="C38" s="51" t="n"/>
      <c r="D38" s="51" t="n"/>
      <c r="E38" s="51" t="n"/>
      <c r="F38" s="52" t="n"/>
    </row>
    <row r="39">
      <c r="B39" s="51" t="n"/>
      <c r="C39" s="51" t="n"/>
      <c r="D39" s="51" t="n"/>
      <c r="E39" s="51" t="n"/>
      <c r="F39" s="52" t="n"/>
    </row>
    <row r="40">
      <c r="B40" s="51" t="n"/>
      <c r="C40" s="51" t="n"/>
      <c r="D40" s="51" t="n"/>
      <c r="E40" s="51" t="n"/>
      <c r="F40" s="52" t="n"/>
    </row>
    <row r="41">
      <c r="B41" s="51" t="n"/>
      <c r="C41" s="51" t="n"/>
      <c r="D41" s="51" t="n"/>
      <c r="E41" s="51" t="n"/>
      <c r="F41" s="52" t="n"/>
    </row>
    <row r="42">
      <c r="B42" s="51" t="n"/>
      <c r="C42" s="51" t="n"/>
      <c r="D42" s="51" t="n"/>
      <c r="E42" s="51" t="n"/>
      <c r="F42" s="52" t="n"/>
    </row>
    <row r="43">
      <c r="B43" s="51" t="n"/>
      <c r="C43" s="51" t="n"/>
      <c r="D43" s="51" t="n"/>
      <c r="E43" s="51" t="n"/>
      <c r="F43" s="52" t="n"/>
    </row>
    <row r="44">
      <c r="B44" s="51" t="n"/>
      <c r="C44" s="51" t="n"/>
      <c r="D44" s="51" t="n"/>
      <c r="E44" s="51" t="n"/>
      <c r="F44" s="52" t="n"/>
    </row>
    <row r="45">
      <c r="B45" s="51" t="n"/>
      <c r="C45" s="51" t="n"/>
      <c r="D45" s="51" t="n"/>
      <c r="E45" s="51" t="n"/>
      <c r="F45" s="52" t="n"/>
    </row>
    <row r="46">
      <c r="B46" s="51" t="n"/>
      <c r="C46" s="51" t="n"/>
      <c r="D46" s="51" t="n"/>
      <c r="E46" s="51" t="n"/>
      <c r="F46" s="52" t="n"/>
    </row>
    <row r="47">
      <c r="B47" s="51" t="n"/>
      <c r="C47" s="51" t="n"/>
      <c r="D47" s="51" t="n"/>
      <c r="E47" s="51" t="n"/>
      <c r="F47" s="52" t="n"/>
    </row>
    <row r="48">
      <c r="B48" s="51" t="n"/>
      <c r="C48" s="51" t="n"/>
      <c r="D48" s="51" t="n"/>
      <c r="E48" s="51" t="n"/>
      <c r="F48" s="52" t="n"/>
    </row>
    <row r="49">
      <c r="B49" s="51" t="n"/>
      <c r="C49" s="51" t="n"/>
      <c r="D49" s="51" t="n"/>
      <c r="E49" s="51" t="n"/>
      <c r="F49" s="52" t="n"/>
    </row>
    <row r="50">
      <c r="B50" s="51" t="n"/>
      <c r="C50" s="51" t="n"/>
      <c r="D50" s="51" t="n"/>
      <c r="E50" s="51" t="n"/>
      <c r="F50" s="52" t="n"/>
    </row>
    <row r="51">
      <c r="B51" s="51" t="n"/>
      <c r="C51" s="51" t="n"/>
      <c r="D51" s="51" t="n"/>
      <c r="E51" s="51" t="n"/>
      <c r="F51" s="52" t="n"/>
    </row>
    <row r="52">
      <c r="B52" s="51" t="n"/>
      <c r="C52" s="51" t="n"/>
      <c r="D52" s="51" t="n"/>
      <c r="E52" s="51" t="n"/>
      <c r="F52" s="52" t="n"/>
    </row>
    <row r="53">
      <c r="B53" s="51" t="n"/>
      <c r="C53" s="51" t="n"/>
      <c r="D53" s="51" t="n"/>
      <c r="E53" s="51" t="n"/>
      <c r="F53" s="52" t="n"/>
    </row>
    <row r="54">
      <c r="B54" s="51" t="n"/>
      <c r="C54" s="51" t="n"/>
      <c r="D54" s="51" t="n"/>
      <c r="E54" s="51" t="n"/>
      <c r="F54" s="52" t="n"/>
    </row>
    <row r="55">
      <c r="B55" s="51" t="n"/>
      <c r="C55" s="51" t="n"/>
      <c r="D55" s="51" t="n"/>
      <c r="E55" s="51" t="n"/>
      <c r="F55" s="52" t="n"/>
    </row>
    <row r="56">
      <c r="B56" s="51" t="n"/>
      <c r="C56" s="51" t="n"/>
      <c r="D56" s="51" t="n"/>
      <c r="E56" s="51" t="n"/>
      <c r="F56" s="52" t="n"/>
    </row>
    <row r="57">
      <c r="B57" s="51" t="n"/>
      <c r="C57" s="51" t="n"/>
      <c r="D57" s="51" t="n"/>
      <c r="E57" s="51" t="n"/>
      <c r="F57" s="52" t="n"/>
    </row>
    <row r="58">
      <c r="B58" s="51" t="n"/>
      <c r="C58" s="51" t="n"/>
      <c r="D58" s="51" t="n"/>
      <c r="E58" s="51" t="n"/>
      <c r="F58" s="52" t="n"/>
    </row>
    <row r="59">
      <c r="B59" s="51" t="n"/>
      <c r="C59" s="51" t="n"/>
      <c r="D59" s="51" t="n"/>
      <c r="E59" s="51" t="n"/>
      <c r="F59" s="52" t="n"/>
    </row>
    <row r="60">
      <c r="B60" s="51" t="n"/>
      <c r="C60" s="51" t="n"/>
      <c r="D60" s="51" t="n"/>
      <c r="E60" s="51" t="n"/>
      <c r="F60" s="52" t="n"/>
    </row>
    <row r="61">
      <c r="B61" s="51" t="n"/>
      <c r="C61" s="51" t="n"/>
      <c r="D61" s="51" t="n"/>
      <c r="E61" s="51" t="n"/>
      <c r="F61" s="52" t="n"/>
    </row>
    <row r="62">
      <c r="B62" s="51" t="n"/>
      <c r="C62" s="51" t="n"/>
      <c r="D62" s="51" t="n"/>
      <c r="E62" s="51" t="n"/>
      <c r="F62" s="52" t="n"/>
    </row>
    <row r="63">
      <c r="B63" s="51" t="n"/>
      <c r="C63" s="51" t="n"/>
      <c r="D63" s="51" t="n"/>
      <c r="E63" s="51" t="n"/>
      <c r="F63" s="52" t="n"/>
    </row>
    <row r="64">
      <c r="B64" s="51" t="n"/>
      <c r="C64" s="51" t="n"/>
      <c r="D64" s="51" t="n"/>
      <c r="E64" s="51" t="n"/>
      <c r="F64" s="52" t="n"/>
    </row>
    <row r="65">
      <c r="B65" s="51" t="n"/>
      <c r="C65" s="51" t="n"/>
      <c r="D65" s="51" t="n"/>
      <c r="E65" s="51" t="n"/>
      <c r="F65" s="52" t="n"/>
    </row>
    <row r="66">
      <c r="B66" s="51" t="n"/>
      <c r="C66" s="51" t="n"/>
      <c r="D66" s="51" t="n"/>
      <c r="E66" s="51" t="n"/>
      <c r="F66" s="52" t="n"/>
    </row>
    <row r="67">
      <c r="B67" s="51" t="n"/>
      <c r="C67" s="51" t="n"/>
      <c r="D67" s="51" t="n"/>
      <c r="E67" s="51" t="n"/>
      <c r="F67" s="52" t="n"/>
    </row>
    <row r="68">
      <c r="B68" s="51" t="n"/>
      <c r="C68" s="51" t="n"/>
      <c r="D68" s="51" t="n"/>
      <c r="E68" s="51" t="n"/>
      <c r="F68" s="52" t="n"/>
    </row>
    <row r="69">
      <c r="B69" s="51" t="n"/>
      <c r="C69" s="51" t="n"/>
      <c r="D69" s="51" t="n"/>
      <c r="E69" s="51" t="n"/>
      <c r="F69" s="52" t="n"/>
    </row>
    <row r="70">
      <c r="B70" s="51" t="n"/>
      <c r="C70" s="51" t="n"/>
      <c r="D70" s="51" t="n"/>
      <c r="E70" s="51" t="n"/>
      <c r="F70" s="52" t="n"/>
    </row>
    <row r="71">
      <c r="B71" s="51" t="n"/>
      <c r="C71" s="51" t="n"/>
      <c r="D71" s="51" t="n"/>
      <c r="E71" s="51" t="n"/>
      <c r="F71" s="52" t="n"/>
    </row>
    <row r="72">
      <c r="B72" s="51" t="n"/>
      <c r="C72" s="51" t="n"/>
      <c r="D72" s="51" t="n"/>
      <c r="E72" s="51" t="n"/>
      <c r="F72" s="52" t="n"/>
    </row>
    <row r="73">
      <c r="B73" s="51" t="n"/>
      <c r="C73" s="51" t="n"/>
      <c r="D73" s="51" t="n"/>
      <c r="E73" s="51" t="n"/>
      <c r="F73" s="52" t="n"/>
    </row>
    <row r="74">
      <c r="B74" s="51" t="n"/>
      <c r="C74" s="51" t="n"/>
      <c r="D74" s="51" t="n"/>
      <c r="E74" s="51" t="n"/>
      <c r="F74" s="52" t="n"/>
    </row>
    <row r="75">
      <c r="B75" s="51" t="n"/>
      <c r="C75" s="51" t="n"/>
      <c r="D75" s="51" t="n"/>
      <c r="E75" s="51" t="n"/>
      <c r="F75" s="52" t="n"/>
    </row>
    <row r="76">
      <c r="B76" s="51" t="n"/>
      <c r="C76" s="51" t="n"/>
      <c r="D76" s="51" t="n"/>
      <c r="E76" s="51" t="n"/>
      <c r="F76" s="52" t="n"/>
    </row>
    <row r="77">
      <c r="B77" s="51" t="n"/>
      <c r="C77" s="51" t="n"/>
      <c r="D77" s="51" t="n"/>
      <c r="E77" s="51" t="n"/>
      <c r="F77" s="52" t="n"/>
    </row>
    <row r="78">
      <c r="B78" s="51" t="n"/>
      <c r="C78" s="51" t="n"/>
      <c r="D78" s="51" t="n"/>
      <c r="E78" s="51" t="n"/>
      <c r="F78" s="52" t="n"/>
    </row>
    <row r="79">
      <c r="B79" s="51" t="n"/>
      <c r="C79" s="51" t="n"/>
      <c r="D79" s="51" t="n"/>
      <c r="E79" s="51" t="n"/>
      <c r="F79" s="52" t="n"/>
    </row>
    <row r="80">
      <c r="B80" s="51" t="n"/>
      <c r="C80" s="51" t="n"/>
      <c r="D80" s="51" t="n"/>
      <c r="E80" s="51" t="n"/>
      <c r="F80" s="52" t="n"/>
    </row>
    <row r="81">
      <c r="B81" s="51" t="n"/>
      <c r="C81" s="51" t="n"/>
      <c r="D81" s="51" t="n"/>
      <c r="E81" s="51" t="n"/>
      <c r="F81" s="52" t="n"/>
    </row>
    <row r="82">
      <c r="B82" s="51" t="n"/>
      <c r="C82" s="51" t="n"/>
      <c r="D82" s="51" t="n"/>
      <c r="E82" s="51" t="n"/>
      <c r="F82" s="52" t="n"/>
    </row>
    <row r="83">
      <c r="B83" s="51" t="n"/>
      <c r="C83" s="51" t="n"/>
      <c r="D83" s="51" t="n"/>
      <c r="E83" s="51" t="n"/>
      <c r="F83" s="52" t="n"/>
    </row>
    <row r="84">
      <c r="B84" s="51" t="n"/>
      <c r="C84" s="51" t="n"/>
      <c r="D84" s="51" t="n"/>
      <c r="E84" s="51" t="n"/>
      <c r="F84" s="52" t="n"/>
    </row>
    <row r="85">
      <c r="B85" s="51" t="n"/>
      <c r="C85" s="51" t="n"/>
      <c r="D85" s="51" t="n"/>
      <c r="E85" s="51" t="n"/>
      <c r="F85" s="52" t="n"/>
    </row>
    <row r="86">
      <c r="B86" s="51" t="n"/>
      <c r="C86" s="51" t="n"/>
      <c r="D86" s="51" t="n"/>
      <c r="E86" s="51" t="n"/>
      <c r="F86" s="52" t="n"/>
    </row>
    <row r="87">
      <c r="B87" s="51" t="n"/>
      <c r="C87" s="51" t="n"/>
      <c r="D87" s="51" t="n"/>
      <c r="E87" s="51" t="n"/>
      <c r="F87" s="52" t="n"/>
    </row>
    <row r="88">
      <c r="B88" s="51" t="n"/>
      <c r="C88" s="51" t="n"/>
      <c r="D88" s="51" t="n"/>
      <c r="E88" s="51" t="n"/>
      <c r="F88" s="52" t="n"/>
    </row>
    <row r="89">
      <c r="B89" s="51" t="n"/>
      <c r="C89" s="51" t="n"/>
      <c r="D89" s="51" t="n"/>
      <c r="E89" s="51" t="n"/>
      <c r="F89" s="52" t="n"/>
    </row>
    <row r="90">
      <c r="B90" s="51" t="n"/>
      <c r="C90" s="51" t="n"/>
      <c r="D90" s="51" t="n"/>
      <c r="E90" s="51" t="n"/>
      <c r="F90" s="52" t="n"/>
    </row>
    <row r="91">
      <c r="B91" s="51" t="n"/>
      <c r="C91" s="51" t="n"/>
      <c r="D91" s="51" t="n"/>
      <c r="E91" s="51" t="n"/>
      <c r="F91" s="52" t="n"/>
    </row>
    <row r="92">
      <c r="B92" s="51" t="n"/>
      <c r="C92" s="51" t="n"/>
      <c r="D92" s="51" t="n"/>
      <c r="E92" s="51" t="n"/>
      <c r="F92" s="52" t="n"/>
    </row>
    <row r="93">
      <c r="B93" s="51" t="n"/>
      <c r="C93" s="51" t="n"/>
      <c r="D93" s="51" t="n"/>
      <c r="E93" s="51" t="n"/>
      <c r="F93" s="52" t="n"/>
    </row>
    <row r="94">
      <c r="B94" s="51" t="n"/>
      <c r="C94" s="51" t="n"/>
      <c r="D94" s="51" t="n"/>
      <c r="E94" s="51" t="n"/>
      <c r="F94" s="52" t="n"/>
    </row>
    <row r="95">
      <c r="B95" s="51" t="n"/>
      <c r="C95" s="51" t="n"/>
      <c r="D95" s="51" t="n"/>
      <c r="E95" s="51" t="n"/>
      <c r="F95" s="52" t="n"/>
    </row>
    <row r="96">
      <c r="B96" s="51" t="n"/>
      <c r="C96" s="51" t="n"/>
      <c r="D96" s="51" t="n"/>
      <c r="E96" s="51" t="n"/>
      <c r="F96" s="52" t="n"/>
    </row>
    <row r="97">
      <c r="B97" s="51" t="n"/>
      <c r="C97" s="51" t="n"/>
      <c r="D97" s="51" t="n"/>
      <c r="E97" s="51" t="n"/>
      <c r="F97" s="52" t="n"/>
    </row>
    <row r="98">
      <c r="B98" s="51" t="n"/>
      <c r="C98" s="51" t="n"/>
      <c r="D98" s="51" t="n"/>
      <c r="E98" s="51" t="n"/>
      <c r="F98" s="52" t="n"/>
    </row>
    <row r="99">
      <c r="B99" s="51" t="n"/>
      <c r="C99" s="51" t="n"/>
      <c r="D99" s="51" t="n"/>
      <c r="E99" s="51" t="n"/>
      <c r="F99" s="52" t="n"/>
    </row>
    <row r="100">
      <c r="B100" s="51" t="n"/>
      <c r="C100" s="51" t="n"/>
      <c r="D100" s="51" t="n"/>
      <c r="E100" s="51" t="n"/>
      <c r="F100" s="52" t="n"/>
    </row>
    <row r="101">
      <c r="B101" s="51" t="n"/>
      <c r="C101" s="51" t="n"/>
      <c r="D101" s="51" t="n"/>
      <c r="E101" s="51" t="n"/>
      <c r="F101" s="52" t="n"/>
    </row>
    <row r="102">
      <c r="B102" s="51" t="n"/>
      <c r="C102" s="51" t="n"/>
      <c r="D102" s="51" t="n"/>
      <c r="E102" s="51" t="n"/>
      <c r="F102" s="52" t="n"/>
    </row>
    <row r="103">
      <c r="B103" s="51" t="n"/>
      <c r="C103" s="51" t="n"/>
      <c r="D103" s="51" t="n"/>
      <c r="E103" s="51" t="n"/>
      <c r="F103" s="52" t="n"/>
    </row>
    <row r="104">
      <c r="B104" s="51" t="n"/>
      <c r="C104" s="51" t="n"/>
      <c r="D104" s="51" t="n"/>
      <c r="E104" s="51" t="n"/>
      <c r="F104" s="52" t="n"/>
    </row>
    <row r="105">
      <c r="B105" s="51" t="n"/>
      <c r="C105" s="51" t="n"/>
      <c r="D105" s="51" t="n"/>
      <c r="E105" s="51" t="n"/>
      <c r="F105" s="52" t="n"/>
    </row>
    <row r="106">
      <c r="B106" s="51" t="n"/>
      <c r="C106" s="51" t="n"/>
      <c r="D106" s="51" t="n"/>
      <c r="E106" s="51" t="n"/>
      <c r="F106" s="52" t="n"/>
    </row>
    <row r="107">
      <c r="B107" s="51" t="n"/>
      <c r="C107" s="51" t="n"/>
      <c r="D107" s="51" t="n"/>
      <c r="E107" s="51" t="n"/>
      <c r="F107" s="52" t="n"/>
    </row>
    <row r="108">
      <c r="B108" s="51" t="n"/>
      <c r="C108" s="51" t="n"/>
      <c r="D108" s="51" t="n"/>
      <c r="E108" s="51" t="n"/>
      <c r="F108" s="52" t="n"/>
    </row>
    <row r="109">
      <c r="B109" s="51" t="n"/>
      <c r="C109" s="51" t="n"/>
      <c r="D109" s="51" t="n"/>
      <c r="E109" s="51" t="n"/>
      <c r="F109" s="52" t="n"/>
    </row>
    <row r="110">
      <c r="B110" s="51" t="n"/>
      <c r="C110" s="51" t="n"/>
      <c r="D110" s="51" t="n"/>
      <c r="E110" s="51" t="n"/>
      <c r="F110" s="52" t="n"/>
    </row>
    <row r="111">
      <c r="B111" s="51" t="n"/>
      <c r="C111" s="51" t="n"/>
      <c r="D111" s="51" t="n"/>
      <c r="E111" s="51" t="n"/>
      <c r="F111" s="52" t="n"/>
    </row>
    <row r="112">
      <c r="B112" s="51" t="n"/>
      <c r="C112" s="51" t="n"/>
      <c r="D112" s="51" t="n"/>
      <c r="E112" s="51" t="n"/>
      <c r="F112" s="52" t="n"/>
    </row>
    <row r="113">
      <c r="B113" s="51" t="n"/>
      <c r="C113" s="51" t="n"/>
      <c r="D113" s="51" t="n"/>
      <c r="E113" s="51" t="n"/>
      <c r="F113" s="52" t="n"/>
    </row>
    <row r="114">
      <c r="B114" s="51" t="n"/>
      <c r="C114" s="51" t="n"/>
      <c r="D114" s="51" t="n"/>
      <c r="E114" s="51" t="n"/>
      <c r="F114" s="52" t="n"/>
    </row>
    <row r="115">
      <c r="B115" s="51" t="n"/>
      <c r="C115" s="51" t="n"/>
      <c r="D115" s="51" t="n"/>
      <c r="E115" s="51" t="n"/>
      <c r="F115" s="52" t="n"/>
    </row>
    <row r="116">
      <c r="B116" s="51" t="n"/>
      <c r="C116" s="51" t="n"/>
      <c r="D116" s="51" t="n"/>
      <c r="E116" s="51" t="n"/>
      <c r="F116" s="52" t="n"/>
    </row>
    <row r="117">
      <c r="B117" s="51" t="n"/>
      <c r="C117" s="51" t="n"/>
      <c r="D117" s="51" t="n"/>
      <c r="E117" s="51" t="n"/>
      <c r="F117" s="52" t="n"/>
    </row>
    <row r="118">
      <c r="B118" s="51" t="n"/>
      <c r="C118" s="51" t="n"/>
      <c r="D118" s="51" t="n"/>
      <c r="E118" s="51" t="n"/>
      <c r="F118" s="52" t="n"/>
    </row>
    <row r="119">
      <c r="B119" s="51" t="n"/>
      <c r="C119" s="51" t="n"/>
      <c r="D119" s="51" t="n"/>
      <c r="E119" s="51" t="n"/>
      <c r="F119" s="52" t="n"/>
    </row>
    <row r="120">
      <c r="B120" s="51" t="n"/>
      <c r="C120" s="51" t="n"/>
      <c r="D120" s="51" t="n"/>
      <c r="E120" s="51" t="n"/>
      <c r="F120" s="52" t="n"/>
    </row>
    <row r="121">
      <c r="B121" s="51" t="n"/>
      <c r="C121" s="51" t="n"/>
      <c r="D121" s="51" t="n"/>
      <c r="E121" s="51" t="n"/>
      <c r="F121" s="52" t="n"/>
    </row>
    <row r="122">
      <c r="B122" s="51" t="n"/>
      <c r="C122" s="51" t="n"/>
      <c r="D122" s="51" t="n"/>
      <c r="E122" s="51" t="n"/>
      <c r="F122" s="52" t="n"/>
    </row>
    <row r="123">
      <c r="B123" s="51" t="n"/>
      <c r="C123" s="51" t="n"/>
      <c r="D123" s="51" t="n"/>
      <c r="E123" s="51" t="n"/>
      <c r="F123" s="52" t="n"/>
    </row>
    <row r="124">
      <c r="B124" s="51" t="n"/>
      <c r="C124" s="51" t="n"/>
      <c r="D124" s="51" t="n"/>
      <c r="E124" s="51" t="n"/>
      <c r="F124" s="52" t="n"/>
    </row>
    <row r="125">
      <c r="B125" s="51" t="n"/>
      <c r="C125" s="51" t="n"/>
      <c r="D125" s="51" t="n"/>
      <c r="E125" s="51" t="n"/>
      <c r="F125" s="52" t="n"/>
    </row>
    <row r="126">
      <c r="B126" s="51" t="n"/>
      <c r="C126" s="51" t="n"/>
      <c r="D126" s="51" t="n"/>
      <c r="E126" s="51" t="n"/>
      <c r="F126" s="52" t="n"/>
    </row>
    <row r="127">
      <c r="B127" s="51" t="n"/>
      <c r="C127" s="51" t="n"/>
      <c r="D127" s="51" t="n"/>
      <c r="E127" s="51" t="n"/>
      <c r="F127" s="52" t="n"/>
    </row>
    <row r="128">
      <c r="B128" s="51" t="n"/>
      <c r="C128" s="51" t="n"/>
      <c r="D128" s="51" t="n"/>
      <c r="E128" s="51" t="n"/>
      <c r="F128" s="52" t="n"/>
    </row>
    <row r="129">
      <c r="B129" s="51" t="n"/>
      <c r="C129" s="51" t="n"/>
      <c r="D129" s="51" t="n"/>
      <c r="E129" s="51" t="n"/>
      <c r="F129" s="52" t="n"/>
    </row>
    <row r="130">
      <c r="B130" s="51" t="n"/>
      <c r="C130" s="51" t="n"/>
      <c r="D130" s="51" t="n"/>
      <c r="E130" s="51" t="n"/>
      <c r="F130" s="52" t="n"/>
    </row>
    <row r="131">
      <c r="B131" s="51" t="n"/>
      <c r="C131" s="51" t="n"/>
      <c r="D131" s="51" t="n"/>
      <c r="E131" s="51" t="n"/>
      <c r="F131" s="52" t="n"/>
    </row>
    <row r="132">
      <c r="B132" s="51" t="n"/>
      <c r="C132" s="51" t="n"/>
      <c r="D132" s="51" t="n"/>
      <c r="E132" s="51" t="n"/>
      <c r="F132" s="52" t="n"/>
    </row>
    <row r="133">
      <c r="B133" s="51" t="n"/>
      <c r="C133" s="51" t="n"/>
      <c r="D133" s="51" t="n"/>
      <c r="E133" s="51" t="n"/>
      <c r="F133" s="52" t="n"/>
    </row>
    <row r="134">
      <c r="B134" s="51" t="n"/>
      <c r="C134" s="51" t="n"/>
      <c r="D134" s="51" t="n"/>
      <c r="E134" s="51" t="n"/>
      <c r="F134" s="52" t="n"/>
    </row>
    <row r="135">
      <c r="B135" s="51" t="n"/>
      <c r="C135" s="51" t="n"/>
      <c r="D135" s="51" t="n"/>
      <c r="E135" s="51" t="n"/>
      <c r="F135" s="52" t="n"/>
    </row>
    <row r="136">
      <c r="B136" s="51" t="n"/>
      <c r="C136" s="51" t="n"/>
      <c r="D136" s="51" t="n"/>
      <c r="E136" s="51" t="n"/>
      <c r="F136" s="52" t="n"/>
    </row>
    <row r="137">
      <c r="B137" s="51" t="n"/>
      <c r="C137" s="51" t="n"/>
      <c r="D137" s="51" t="n"/>
      <c r="E137" s="51" t="n"/>
      <c r="F137" s="52" t="n"/>
    </row>
    <row r="138">
      <c r="B138" s="51" t="n"/>
      <c r="C138" s="51" t="n"/>
      <c r="D138" s="51" t="n"/>
      <c r="E138" s="51" t="n"/>
      <c r="F138" s="52" t="n"/>
    </row>
    <row r="139">
      <c r="B139" s="51" t="n"/>
      <c r="C139" s="51" t="n"/>
      <c r="D139" s="51" t="n"/>
      <c r="E139" s="51" t="n"/>
      <c r="F139" s="52" t="n"/>
    </row>
    <row r="140">
      <c r="B140" s="51" t="n"/>
      <c r="C140" s="51" t="n"/>
      <c r="D140" s="51" t="n"/>
      <c r="E140" s="51" t="n"/>
      <c r="F140" s="52" t="n"/>
    </row>
    <row r="141">
      <c r="B141" s="51" t="n"/>
      <c r="C141" s="51" t="n"/>
      <c r="D141" s="51" t="n"/>
      <c r="E141" s="51" t="n"/>
      <c r="F141" s="52" t="n"/>
    </row>
    <row r="142">
      <c r="B142" s="51" t="n"/>
      <c r="C142" s="51" t="n"/>
      <c r="D142" s="51" t="n"/>
      <c r="E142" s="51" t="n"/>
      <c r="F142" s="52" t="n"/>
    </row>
    <row r="143">
      <c r="B143" s="51" t="n"/>
      <c r="C143" s="51" t="n"/>
      <c r="D143" s="51" t="n"/>
      <c r="E143" s="51" t="n"/>
      <c r="F143" s="52" t="n"/>
    </row>
    <row r="144">
      <c r="B144" s="51" t="n"/>
      <c r="C144" s="51" t="n"/>
      <c r="D144" s="51" t="n"/>
      <c r="E144" s="51" t="n"/>
      <c r="F144" s="52" t="n"/>
    </row>
    <row r="145">
      <c r="B145" s="51" t="n"/>
      <c r="C145" s="51" t="n"/>
      <c r="D145" s="51" t="n"/>
      <c r="E145" s="51" t="n"/>
      <c r="F145" s="52" t="n"/>
    </row>
    <row r="146">
      <c r="B146" s="51" t="n"/>
      <c r="C146" s="51" t="n"/>
      <c r="D146" s="51" t="n"/>
      <c r="E146" s="51" t="n"/>
      <c r="F146" s="52" t="n"/>
    </row>
    <row r="147">
      <c r="B147" s="51" t="n"/>
      <c r="C147" s="51" t="n"/>
      <c r="D147" s="51" t="n"/>
      <c r="E147" s="51" t="n"/>
      <c r="F147" s="52" t="n"/>
    </row>
    <row r="148">
      <c r="B148" s="51" t="n"/>
      <c r="C148" s="51" t="n"/>
      <c r="D148" s="51" t="n"/>
      <c r="E148" s="51" t="n"/>
      <c r="F148" s="52" t="n"/>
    </row>
    <row r="149">
      <c r="B149" s="51" t="n"/>
      <c r="C149" s="51" t="n"/>
      <c r="D149" s="51" t="n"/>
      <c r="E149" s="51" t="n"/>
      <c r="F149" s="52" t="n"/>
    </row>
    <row r="150">
      <c r="B150" s="51" t="n"/>
      <c r="C150" s="51" t="n"/>
      <c r="D150" s="51" t="n"/>
      <c r="E150" s="51" t="n"/>
      <c r="F150" s="52" t="n"/>
    </row>
    <row r="151">
      <c r="B151" s="51" t="n"/>
      <c r="C151" s="51" t="n"/>
      <c r="D151" s="51" t="n"/>
      <c r="E151" s="51" t="n"/>
      <c r="F151" s="52" t="n"/>
    </row>
    <row r="152">
      <c r="B152" s="51" t="n"/>
      <c r="C152" s="51" t="n"/>
      <c r="D152" s="51" t="n"/>
      <c r="E152" s="51" t="n"/>
      <c r="F152" s="52" t="n"/>
    </row>
    <row r="153">
      <c r="B153" s="51" t="n"/>
      <c r="C153" s="51" t="n"/>
      <c r="D153" s="51" t="n"/>
      <c r="E153" s="51" t="n"/>
      <c r="F153" s="52" t="n"/>
    </row>
    <row r="154">
      <c r="B154" s="51" t="n"/>
      <c r="C154" s="51" t="n"/>
      <c r="D154" s="51" t="n"/>
      <c r="E154" s="51" t="n"/>
      <c r="F154" s="52" t="n"/>
    </row>
    <row r="155">
      <c r="B155" s="51" t="n"/>
      <c r="C155" s="51" t="n"/>
      <c r="D155" s="51" t="n"/>
      <c r="E155" s="51" t="n"/>
      <c r="F155" s="52" t="n"/>
    </row>
    <row r="156">
      <c r="B156" s="51" t="n"/>
      <c r="C156" s="51" t="n"/>
      <c r="D156" s="51" t="n"/>
      <c r="E156" s="51" t="n"/>
      <c r="F156" s="52" t="n"/>
    </row>
    <row r="157">
      <c r="B157" s="51" t="n"/>
      <c r="C157" s="51" t="n"/>
      <c r="D157" s="51" t="n"/>
      <c r="E157" s="51" t="n"/>
      <c r="F157" s="52" t="n"/>
    </row>
    <row r="158">
      <c r="B158" s="51" t="n"/>
      <c r="C158" s="51" t="n"/>
      <c r="D158" s="51" t="n"/>
      <c r="E158" s="51" t="n"/>
      <c r="F158" s="52" t="n"/>
    </row>
    <row r="159">
      <c r="B159" s="51" t="n"/>
      <c r="C159" s="51" t="n"/>
      <c r="D159" s="51" t="n"/>
      <c r="E159" s="51" t="n"/>
      <c r="F159" s="52" t="n"/>
    </row>
    <row r="160">
      <c r="B160" s="51" t="n"/>
      <c r="C160" s="51" t="n"/>
      <c r="D160" s="51" t="n"/>
      <c r="E160" s="51" t="n"/>
      <c r="F160" s="52" t="n"/>
    </row>
    <row r="161">
      <c r="B161" s="51" t="n"/>
      <c r="C161" s="51" t="n"/>
      <c r="D161" s="51" t="n"/>
      <c r="E161" s="51" t="n"/>
      <c r="F161" s="52" t="n"/>
    </row>
    <row r="162">
      <c r="B162" s="51" t="n"/>
      <c r="C162" s="51" t="n"/>
      <c r="D162" s="51" t="n"/>
      <c r="E162" s="51" t="n"/>
      <c r="F162" s="52" t="n"/>
    </row>
    <row r="163">
      <c r="B163" s="51" t="n"/>
      <c r="C163" s="51" t="n"/>
      <c r="D163" s="51" t="n"/>
      <c r="E163" s="51" t="n"/>
      <c r="F163" s="52" t="n"/>
    </row>
    <row r="164">
      <c r="B164" s="51" t="n"/>
      <c r="C164" s="51" t="n"/>
      <c r="D164" s="51" t="n"/>
      <c r="E164" s="51" t="n"/>
      <c r="F164" s="52" t="n"/>
    </row>
    <row r="165">
      <c r="B165" s="51" t="n"/>
      <c r="C165" s="51" t="n"/>
      <c r="D165" s="51" t="n"/>
      <c r="E165" s="51" t="n"/>
      <c r="F165" s="52" t="n"/>
    </row>
    <row r="166">
      <c r="B166" s="51" t="n"/>
      <c r="C166" s="51" t="n"/>
      <c r="D166" s="51" t="n"/>
      <c r="E166" s="51" t="n"/>
      <c r="F166" s="52" t="n"/>
    </row>
    <row r="167">
      <c r="B167" s="51" t="n"/>
      <c r="C167" s="51" t="n"/>
      <c r="D167" s="51" t="n"/>
      <c r="E167" s="51" t="n"/>
      <c r="F167" s="52" t="n"/>
    </row>
    <row r="168">
      <c r="B168" s="51" t="n"/>
      <c r="C168" s="51" t="n"/>
      <c r="D168" s="51" t="n"/>
      <c r="E168" s="51" t="n"/>
      <c r="F168" s="52" t="n"/>
    </row>
    <row r="169">
      <c r="B169" s="51" t="n"/>
      <c r="C169" s="51" t="n"/>
      <c r="D169" s="51" t="n"/>
      <c r="E169" s="51" t="n"/>
      <c r="F169" s="52" t="n"/>
    </row>
    <row r="170">
      <c r="B170" s="51" t="n"/>
      <c r="C170" s="51" t="n"/>
      <c r="D170" s="51" t="n"/>
      <c r="E170" s="51" t="n"/>
      <c r="F170" s="52" t="n"/>
    </row>
    <row r="171">
      <c r="B171" s="51" t="n"/>
      <c r="C171" s="51" t="n"/>
      <c r="D171" s="51" t="n"/>
      <c r="E171" s="51" t="n"/>
      <c r="F171" s="52" t="n"/>
    </row>
    <row r="172">
      <c r="B172" s="51" t="n"/>
      <c r="C172" s="51" t="n"/>
      <c r="D172" s="51" t="n"/>
      <c r="E172" s="51" t="n"/>
      <c r="F172" s="52" t="n"/>
    </row>
    <row r="173">
      <c r="B173" s="51" t="n"/>
      <c r="C173" s="51" t="n"/>
      <c r="D173" s="51" t="n"/>
      <c r="E173" s="51" t="n"/>
      <c r="F173" s="52" t="n"/>
    </row>
    <row r="174">
      <c r="B174" s="51" t="n"/>
      <c r="C174" s="51" t="n"/>
      <c r="D174" s="51" t="n"/>
      <c r="E174" s="51" t="n"/>
      <c r="F174" s="52" t="n"/>
    </row>
    <row r="175">
      <c r="B175" s="51" t="n"/>
      <c r="C175" s="51" t="n"/>
      <c r="D175" s="51" t="n"/>
      <c r="E175" s="51" t="n"/>
      <c r="F175" s="52" t="n"/>
    </row>
    <row r="176">
      <c r="B176" s="51" t="n"/>
      <c r="C176" s="51" t="n"/>
      <c r="D176" s="51" t="n"/>
      <c r="E176" s="51" t="n"/>
      <c r="F176" s="52" t="n"/>
    </row>
    <row r="177">
      <c r="B177" s="51" t="n"/>
      <c r="C177" s="51" t="n"/>
      <c r="D177" s="51" t="n"/>
      <c r="E177" s="51" t="n"/>
      <c r="F177" s="52" t="n"/>
    </row>
    <row r="178">
      <c r="B178" s="51" t="n"/>
      <c r="C178" s="51" t="n"/>
      <c r="D178" s="51" t="n"/>
      <c r="E178" s="51" t="n"/>
      <c r="F178" s="52" t="n"/>
    </row>
    <row r="179">
      <c r="B179" s="51" t="n"/>
      <c r="C179" s="51" t="n"/>
      <c r="D179" s="51" t="n"/>
      <c r="E179" s="51" t="n"/>
      <c r="F179" s="52" t="n"/>
    </row>
    <row r="180">
      <c r="B180" s="51" t="n"/>
      <c r="C180" s="51" t="n"/>
      <c r="D180" s="51" t="n"/>
      <c r="E180" s="51" t="n"/>
      <c r="F180" s="52" t="n"/>
    </row>
    <row r="181">
      <c r="B181" s="51" t="n"/>
      <c r="C181" s="51" t="n"/>
      <c r="D181" s="51" t="n"/>
      <c r="E181" s="51" t="n"/>
      <c r="F181" s="52" t="n"/>
    </row>
    <row r="182">
      <c r="B182" s="51" t="n"/>
      <c r="C182" s="51" t="n"/>
      <c r="D182" s="51" t="n"/>
      <c r="E182" s="51" t="n"/>
      <c r="F182" s="52" t="n"/>
    </row>
    <row r="183">
      <c r="B183" s="51" t="n"/>
      <c r="C183" s="51" t="n"/>
      <c r="D183" s="51" t="n"/>
      <c r="E183" s="51" t="n"/>
      <c r="F183" s="52" t="n"/>
    </row>
    <row r="184">
      <c r="B184" s="51" t="n"/>
      <c r="C184" s="51" t="n"/>
      <c r="D184" s="51" t="n"/>
      <c r="E184" s="51" t="n"/>
      <c r="F184" s="52" t="n"/>
    </row>
    <row r="185">
      <c r="B185" s="51" t="n"/>
      <c r="C185" s="51" t="n"/>
      <c r="D185" s="51" t="n"/>
      <c r="E185" s="51" t="n"/>
      <c r="F185" s="52" t="n"/>
    </row>
    <row r="186">
      <c r="B186" s="51" t="n"/>
      <c r="C186" s="51" t="n"/>
      <c r="D186" s="51" t="n"/>
      <c r="E186" s="51" t="n"/>
      <c r="F186" s="52" t="n"/>
    </row>
    <row r="187">
      <c r="B187" s="51" t="n"/>
      <c r="C187" s="51" t="n"/>
      <c r="D187" s="51" t="n"/>
      <c r="E187" s="51" t="n"/>
      <c r="F187" s="52" t="n"/>
    </row>
    <row r="188">
      <c r="B188" s="51" t="n"/>
      <c r="C188" s="51" t="n"/>
      <c r="D188" s="51" t="n"/>
      <c r="E188" s="51" t="n"/>
      <c r="F188" s="52" t="n"/>
    </row>
    <row r="189">
      <c r="B189" s="51" t="n"/>
      <c r="C189" s="51" t="n"/>
      <c r="D189" s="51" t="n"/>
      <c r="E189" s="51" t="n"/>
      <c r="F189" s="52" t="n"/>
    </row>
    <row r="190">
      <c r="B190" s="51" t="n"/>
      <c r="C190" s="51" t="n"/>
      <c r="D190" s="51" t="n"/>
      <c r="E190" s="51" t="n"/>
      <c r="F190" s="52" t="n"/>
    </row>
    <row r="191">
      <c r="B191" s="51" t="n"/>
      <c r="C191" s="51" t="n"/>
      <c r="D191" s="51" t="n"/>
      <c r="E191" s="51" t="n"/>
      <c r="F191" s="52" t="n"/>
    </row>
    <row r="192">
      <c r="B192" s="51" t="n"/>
      <c r="C192" s="51" t="n"/>
      <c r="D192" s="51" t="n"/>
      <c r="E192" s="51" t="n"/>
      <c r="F192" s="52" t="n"/>
    </row>
    <row r="193">
      <c r="B193" s="51" t="n"/>
      <c r="C193" s="51" t="n"/>
      <c r="D193" s="51" t="n"/>
      <c r="E193" s="51" t="n"/>
      <c r="F193" s="52" t="n"/>
    </row>
    <row r="194">
      <c r="B194" s="51" t="n"/>
      <c r="C194" s="51" t="n"/>
      <c r="D194" s="51" t="n"/>
      <c r="E194" s="51" t="n"/>
      <c r="F194" s="52" t="n"/>
    </row>
    <row r="195">
      <c r="B195" s="51" t="n"/>
      <c r="C195" s="51" t="n"/>
      <c r="D195" s="51" t="n"/>
      <c r="E195" s="51" t="n"/>
      <c r="F195" s="52" t="n"/>
    </row>
    <row r="196">
      <c r="B196" s="51" t="n"/>
      <c r="C196" s="51" t="n"/>
      <c r="D196" s="51" t="n"/>
      <c r="E196" s="51" t="n"/>
      <c r="F196" s="52" t="n"/>
    </row>
    <row r="197">
      <c r="B197" s="51" t="n"/>
      <c r="C197" s="51" t="n"/>
      <c r="D197" s="51" t="n"/>
      <c r="E197" s="51" t="n"/>
      <c r="F197" s="52" t="n"/>
    </row>
    <row r="198">
      <c r="B198" s="51" t="n"/>
      <c r="C198" s="51" t="n"/>
      <c r="D198" s="51" t="n"/>
      <c r="E198" s="51" t="n"/>
      <c r="F198" s="52" t="n"/>
    </row>
    <row r="199">
      <c r="B199" s="51" t="n"/>
      <c r="C199" s="51" t="n"/>
      <c r="D199" s="51" t="n"/>
      <c r="E199" s="51" t="n"/>
      <c r="F199" s="52" t="n"/>
    </row>
    <row r="200">
      <c r="B200" s="51" t="n"/>
      <c r="C200" s="51" t="n"/>
      <c r="D200" s="51" t="n"/>
      <c r="E200" s="51" t="n"/>
      <c r="F200" s="52" t="n"/>
    </row>
    <row r="201">
      <c r="B201" s="51" t="n"/>
      <c r="C201" s="51" t="n"/>
      <c r="D201" s="51" t="n"/>
      <c r="E201" s="51" t="n"/>
      <c r="F201" s="52" t="n"/>
    </row>
    <row r="202">
      <c r="B202" s="51" t="n"/>
      <c r="C202" s="51" t="n"/>
      <c r="D202" s="51" t="n"/>
      <c r="E202" s="51" t="n"/>
      <c r="F202" s="52" t="n"/>
    </row>
    <row r="203">
      <c r="B203" s="51" t="n"/>
      <c r="C203" s="51" t="n"/>
      <c r="D203" s="51" t="n"/>
      <c r="E203" s="51" t="n"/>
      <c r="F203" s="52" t="n"/>
    </row>
    <row r="204">
      <c r="B204" s="51" t="n"/>
      <c r="C204" s="51" t="n"/>
      <c r="D204" s="51" t="n"/>
      <c r="E204" s="51" t="n"/>
      <c r="F204" s="52" t="n"/>
    </row>
    <row r="205">
      <c r="B205" s="51" t="n"/>
      <c r="C205" s="51" t="n"/>
      <c r="D205" s="51" t="n"/>
      <c r="E205" s="51" t="n"/>
      <c r="F205" s="52" t="n"/>
    </row>
    <row r="206">
      <c r="B206" s="51" t="n"/>
      <c r="C206" s="51" t="n"/>
      <c r="D206" s="51" t="n"/>
      <c r="E206" s="51" t="n"/>
      <c r="F206" s="52" t="n"/>
    </row>
    <row r="207">
      <c r="B207" s="51" t="n"/>
      <c r="C207" s="51" t="n"/>
      <c r="D207" s="51" t="n"/>
      <c r="E207" s="51" t="n"/>
      <c r="F207" s="52" t="n"/>
    </row>
    <row r="208">
      <c r="B208" s="51" t="n"/>
      <c r="C208" s="51" t="n"/>
      <c r="D208" s="51" t="n"/>
      <c r="E208" s="51" t="n"/>
      <c r="F208" s="52" t="n"/>
    </row>
    <row r="209">
      <c r="B209" s="51" t="n"/>
      <c r="C209" s="51" t="n"/>
      <c r="D209" s="51" t="n"/>
      <c r="E209" s="51" t="n"/>
      <c r="F209" s="52" t="n"/>
    </row>
    <row r="210">
      <c r="B210" s="51" t="n"/>
      <c r="C210" s="51" t="n"/>
      <c r="D210" s="51" t="n"/>
      <c r="E210" s="51" t="n"/>
      <c r="F210" s="52" t="n"/>
    </row>
    <row r="211">
      <c r="B211" s="51" t="n"/>
      <c r="C211" s="51" t="n"/>
      <c r="D211" s="51" t="n"/>
      <c r="E211" s="51" t="n"/>
      <c r="F211" s="52" t="n"/>
    </row>
    <row r="212">
      <c r="B212" s="51" t="n"/>
      <c r="C212" s="51" t="n"/>
      <c r="D212" s="51" t="n"/>
      <c r="E212" s="51" t="n"/>
      <c r="F212" s="52" t="n"/>
    </row>
    <row r="213">
      <c r="B213" s="51" t="n"/>
      <c r="C213" s="51" t="n"/>
      <c r="D213" s="51" t="n"/>
      <c r="E213" s="51" t="n"/>
      <c r="F213" s="52" t="n"/>
    </row>
    <row r="214">
      <c r="B214" s="51" t="n"/>
      <c r="C214" s="51" t="n"/>
      <c r="D214" s="51" t="n"/>
      <c r="E214" s="51" t="n"/>
      <c r="F214" s="52" t="n"/>
    </row>
    <row r="215">
      <c r="B215" s="51" t="n"/>
      <c r="C215" s="51" t="n"/>
      <c r="D215" s="51" t="n"/>
      <c r="E215" s="51" t="n"/>
      <c r="F215" s="52" t="n"/>
    </row>
    <row r="216">
      <c r="B216" s="51" t="n"/>
      <c r="C216" s="51" t="n"/>
      <c r="D216" s="51" t="n"/>
      <c r="E216" s="51" t="n"/>
      <c r="F216" s="52" t="n"/>
    </row>
    <row r="217">
      <c r="B217" s="51" t="n"/>
      <c r="C217" s="51" t="n"/>
      <c r="D217" s="51" t="n"/>
      <c r="E217" s="51" t="n"/>
      <c r="F217" s="52" t="n"/>
    </row>
    <row r="218">
      <c r="B218" s="51" t="n"/>
      <c r="C218" s="51" t="n"/>
      <c r="D218" s="51" t="n"/>
      <c r="E218" s="51" t="n"/>
      <c r="F218" s="52" t="n"/>
    </row>
    <row r="219">
      <c r="B219" s="51" t="n"/>
      <c r="C219" s="51" t="n"/>
      <c r="D219" s="51" t="n"/>
      <c r="E219" s="51" t="n"/>
      <c r="F219" s="52" t="n"/>
    </row>
    <row r="220">
      <c r="B220" s="51" t="n"/>
      <c r="C220" s="51" t="n"/>
      <c r="D220" s="51" t="n"/>
      <c r="E220" s="51" t="n"/>
      <c r="F220" s="52" t="n"/>
    </row>
    <row r="221">
      <c r="B221" s="51" t="n"/>
      <c r="C221" s="51" t="n"/>
      <c r="D221" s="51" t="n"/>
      <c r="E221" s="51" t="n"/>
      <c r="F221" s="52" t="n"/>
    </row>
    <row r="222">
      <c r="B222" s="51" t="n"/>
      <c r="C222" s="51" t="n"/>
      <c r="D222" s="51" t="n"/>
      <c r="E222" s="51" t="n"/>
      <c r="F222" s="52" t="n"/>
    </row>
    <row r="223">
      <c r="B223" s="51" t="n"/>
      <c r="C223" s="51" t="n"/>
      <c r="D223" s="51" t="n"/>
      <c r="E223" s="51" t="n"/>
      <c r="F223" s="52" t="n"/>
    </row>
    <row r="224">
      <c r="B224" s="51" t="n"/>
      <c r="C224" s="51" t="n"/>
      <c r="D224" s="51" t="n"/>
      <c r="E224" s="51" t="n"/>
      <c r="F224" s="52" t="n"/>
    </row>
    <row r="225">
      <c r="B225" s="51" t="n"/>
      <c r="C225" s="51" t="n"/>
      <c r="D225" s="51" t="n"/>
      <c r="E225" s="51" t="n"/>
      <c r="F225" s="52" t="n"/>
    </row>
    <row r="226">
      <c r="B226" s="51" t="n"/>
      <c r="C226" s="51" t="n"/>
      <c r="D226" s="51" t="n"/>
      <c r="E226" s="51" t="n"/>
      <c r="F226" s="52" t="n"/>
    </row>
    <row r="227">
      <c r="B227" s="51" t="n"/>
      <c r="C227" s="51" t="n"/>
      <c r="D227" s="51" t="n"/>
      <c r="E227" s="51" t="n"/>
      <c r="F227" s="52" t="n"/>
    </row>
    <row r="228">
      <c r="B228" s="51" t="n"/>
      <c r="C228" s="51" t="n"/>
      <c r="D228" s="51" t="n"/>
      <c r="E228" s="51" t="n"/>
      <c r="F228" s="52" t="n"/>
    </row>
    <row r="229">
      <c r="B229" s="51" t="n"/>
      <c r="C229" s="51" t="n"/>
      <c r="D229" s="51" t="n"/>
      <c r="E229" s="51" t="n"/>
      <c r="F229" s="52" t="n"/>
    </row>
    <row r="230">
      <c r="B230" s="51" t="n"/>
      <c r="C230" s="51" t="n"/>
      <c r="D230" s="51" t="n"/>
      <c r="E230" s="51" t="n"/>
      <c r="F230" s="52" t="n"/>
    </row>
    <row r="231">
      <c r="B231" s="51" t="n"/>
      <c r="C231" s="51" t="n"/>
      <c r="D231" s="51" t="n"/>
      <c r="E231" s="51" t="n"/>
      <c r="F231" s="52" t="n"/>
    </row>
    <row r="232">
      <c r="B232" s="51" t="n"/>
      <c r="C232" s="51" t="n"/>
      <c r="D232" s="51" t="n"/>
      <c r="E232" s="51" t="n"/>
      <c r="F232" s="52" t="n"/>
    </row>
    <row r="233">
      <c r="B233" s="51" t="n"/>
      <c r="C233" s="51" t="n"/>
      <c r="D233" s="51" t="n"/>
      <c r="E233" s="51" t="n"/>
      <c r="F233" s="52" t="n"/>
    </row>
    <row r="234">
      <c r="B234" s="51" t="n"/>
      <c r="C234" s="51" t="n"/>
      <c r="D234" s="51" t="n"/>
      <c r="E234" s="51" t="n"/>
      <c r="F234" s="52" t="n"/>
    </row>
    <row r="235">
      <c r="B235" s="51" t="n"/>
      <c r="C235" s="51" t="n"/>
      <c r="D235" s="51" t="n"/>
      <c r="E235" s="51" t="n"/>
      <c r="F235" s="52" t="n"/>
    </row>
    <row r="236">
      <c r="B236" s="51" t="n"/>
      <c r="C236" s="51" t="n"/>
      <c r="D236" s="51" t="n"/>
      <c r="E236" s="51" t="n"/>
      <c r="F236" s="52" t="n"/>
    </row>
    <row r="237">
      <c r="B237" s="51" t="n"/>
      <c r="C237" s="51" t="n"/>
      <c r="D237" s="51" t="n"/>
      <c r="E237" s="51" t="n"/>
      <c r="F237" s="52" t="n"/>
    </row>
    <row r="238">
      <c r="B238" s="51" t="n"/>
      <c r="C238" s="51" t="n"/>
      <c r="D238" s="51" t="n"/>
      <c r="E238" s="51" t="n"/>
      <c r="F238" s="52" t="n"/>
    </row>
    <row r="239">
      <c r="B239" s="51" t="n"/>
      <c r="C239" s="51" t="n"/>
      <c r="D239" s="51" t="n"/>
      <c r="E239" s="51" t="n"/>
      <c r="F239" s="52" t="n"/>
    </row>
    <row r="240">
      <c r="B240" s="51" t="n"/>
      <c r="C240" s="51" t="n"/>
      <c r="D240" s="51" t="n"/>
      <c r="E240" s="51" t="n"/>
      <c r="F240" s="52" t="n"/>
    </row>
    <row r="241">
      <c r="B241" s="51" t="n"/>
      <c r="C241" s="51" t="n"/>
      <c r="D241" s="51" t="n"/>
      <c r="E241" s="51" t="n"/>
      <c r="F241" s="52" t="n"/>
    </row>
    <row r="242">
      <c r="B242" s="51" t="n"/>
      <c r="C242" s="51" t="n"/>
      <c r="D242" s="51" t="n"/>
      <c r="E242" s="51" t="n"/>
      <c r="F242" s="52" t="n"/>
    </row>
    <row r="243">
      <c r="B243" s="51" t="n"/>
      <c r="C243" s="51" t="n"/>
      <c r="D243" s="51" t="n"/>
      <c r="E243" s="51" t="n"/>
      <c r="F243" s="52" t="n"/>
    </row>
    <row r="244">
      <c r="B244" s="51" t="n"/>
      <c r="C244" s="51" t="n"/>
      <c r="D244" s="51" t="n"/>
      <c r="E244" s="51" t="n"/>
      <c r="F244" s="52" t="n"/>
    </row>
    <row r="245">
      <c r="B245" s="51" t="n"/>
      <c r="C245" s="51" t="n"/>
      <c r="D245" s="51" t="n"/>
      <c r="E245" s="51" t="n"/>
      <c r="F245" s="52" t="n"/>
    </row>
    <row r="246">
      <c r="B246" s="51" t="n"/>
      <c r="C246" s="51" t="n"/>
      <c r="D246" s="51" t="n"/>
      <c r="E246" s="51" t="n"/>
      <c r="F246" s="52" t="n"/>
    </row>
    <row r="247">
      <c r="B247" s="51" t="n"/>
      <c r="C247" s="51" t="n"/>
      <c r="D247" s="51" t="n"/>
      <c r="E247" s="51" t="n"/>
      <c r="F247" s="52" t="n"/>
    </row>
    <row r="248">
      <c r="B248" s="51" t="n"/>
      <c r="C248" s="51" t="n"/>
      <c r="D248" s="51" t="n"/>
      <c r="E248" s="51" t="n"/>
      <c r="F248" s="52" t="n"/>
    </row>
    <row r="249">
      <c r="B249" s="51" t="n"/>
      <c r="C249" s="51" t="n"/>
      <c r="D249" s="51" t="n"/>
      <c r="E249" s="51" t="n"/>
      <c r="F249" s="52" t="n"/>
    </row>
    <row r="250">
      <c r="B250" s="51" t="n"/>
      <c r="C250" s="51" t="n"/>
      <c r="D250" s="51" t="n"/>
      <c r="E250" s="51" t="n"/>
      <c r="F250" s="52" t="n"/>
    </row>
    <row r="251">
      <c r="B251" s="51" t="n"/>
      <c r="C251" s="51" t="n"/>
      <c r="D251" s="51" t="n"/>
      <c r="E251" s="51" t="n"/>
      <c r="F251" s="52" t="n"/>
    </row>
    <row r="252">
      <c r="B252" s="51" t="n"/>
      <c r="C252" s="51" t="n"/>
      <c r="D252" s="51" t="n"/>
      <c r="E252" s="51" t="n"/>
      <c r="F252" s="52" t="n"/>
    </row>
    <row r="253">
      <c r="B253" s="51" t="n"/>
      <c r="C253" s="51" t="n"/>
      <c r="D253" s="51" t="n"/>
      <c r="E253" s="51" t="n"/>
      <c r="F253" s="52" t="n"/>
    </row>
    <row r="254">
      <c r="B254" s="51" t="n"/>
      <c r="C254" s="51" t="n"/>
      <c r="D254" s="51" t="n"/>
      <c r="E254" s="51" t="n"/>
      <c r="F254" s="52" t="n"/>
    </row>
    <row r="255">
      <c r="B255" s="51" t="n"/>
      <c r="C255" s="51" t="n"/>
      <c r="D255" s="51" t="n"/>
      <c r="E255" s="51" t="n"/>
      <c r="F255" s="52" t="n"/>
    </row>
    <row r="256">
      <c r="B256" s="51" t="n"/>
      <c r="C256" s="51" t="n"/>
      <c r="D256" s="51" t="n"/>
      <c r="E256" s="51" t="n"/>
      <c r="F256" s="52" t="n"/>
    </row>
    <row r="257">
      <c r="B257" s="51" t="n"/>
      <c r="C257" s="51" t="n"/>
      <c r="D257" s="51" t="n"/>
      <c r="E257" s="51" t="n"/>
      <c r="F257" s="52" t="n"/>
    </row>
    <row r="258">
      <c r="B258" s="51" t="n"/>
      <c r="C258" s="51" t="n"/>
      <c r="D258" s="51" t="n"/>
      <c r="E258" s="51" t="n"/>
      <c r="F258" s="52" t="n"/>
    </row>
    <row r="259">
      <c r="B259" s="51" t="n"/>
      <c r="C259" s="51" t="n"/>
      <c r="D259" s="51" t="n"/>
      <c r="E259" s="51" t="n"/>
      <c r="F259" s="52" t="n"/>
    </row>
    <row r="260">
      <c r="B260" s="51" t="n"/>
      <c r="C260" s="51" t="n"/>
      <c r="D260" s="51" t="n"/>
      <c r="E260" s="51" t="n"/>
      <c r="F260" s="52" t="n"/>
    </row>
    <row r="261">
      <c r="B261" s="51" t="n"/>
      <c r="C261" s="51" t="n"/>
      <c r="D261" s="51" t="n"/>
      <c r="E261" s="51" t="n"/>
      <c r="F261" s="52" t="n"/>
    </row>
    <row r="262">
      <c r="B262" s="51" t="n"/>
      <c r="C262" s="51" t="n"/>
      <c r="D262" s="51" t="n"/>
      <c r="E262" s="51" t="n"/>
      <c r="F262" s="52" t="n"/>
    </row>
    <row r="263">
      <c r="B263" s="51" t="n"/>
      <c r="C263" s="51" t="n"/>
      <c r="D263" s="51" t="n"/>
      <c r="E263" s="51" t="n"/>
      <c r="F263" s="52" t="n"/>
    </row>
    <row r="264">
      <c r="B264" s="51" t="n"/>
      <c r="C264" s="51" t="n"/>
      <c r="D264" s="51" t="n"/>
      <c r="E264" s="51" t="n"/>
      <c r="F264" s="52" t="n"/>
    </row>
    <row r="265">
      <c r="B265" s="51" t="n"/>
      <c r="C265" s="51" t="n"/>
      <c r="D265" s="51" t="n"/>
      <c r="E265" s="51" t="n"/>
      <c r="F265" s="52" t="n"/>
    </row>
    <row r="266">
      <c r="B266" s="51" t="n"/>
      <c r="C266" s="51" t="n"/>
      <c r="D266" s="51" t="n"/>
      <c r="E266" s="51" t="n"/>
      <c r="F266" s="52" t="n"/>
    </row>
    <row r="267">
      <c r="B267" s="51" t="n"/>
      <c r="C267" s="51" t="n"/>
      <c r="D267" s="51" t="n"/>
      <c r="E267" s="51" t="n"/>
      <c r="F267" s="52" t="n"/>
    </row>
    <row r="268">
      <c r="B268" s="51" t="n"/>
      <c r="C268" s="51" t="n"/>
      <c r="D268" s="51" t="n"/>
      <c r="E268" s="51" t="n"/>
      <c r="F268" s="52" t="n"/>
    </row>
    <row r="269">
      <c r="B269" s="51" t="n"/>
      <c r="C269" s="51" t="n"/>
      <c r="D269" s="51" t="n"/>
      <c r="E269" s="51" t="n"/>
      <c r="F269" s="52" t="n"/>
    </row>
    <row r="270">
      <c r="B270" s="51" t="n"/>
      <c r="C270" s="51" t="n"/>
      <c r="D270" s="51" t="n"/>
      <c r="E270" s="51" t="n"/>
      <c r="F270" s="52" t="n"/>
    </row>
    <row r="271">
      <c r="B271" s="51" t="n"/>
      <c r="C271" s="51" t="n"/>
      <c r="D271" s="51" t="n"/>
      <c r="E271" s="51" t="n"/>
      <c r="F271" s="52" t="n"/>
    </row>
    <row r="272">
      <c r="B272" s="51" t="n"/>
      <c r="C272" s="51" t="n"/>
      <c r="D272" s="51" t="n"/>
      <c r="E272" s="51" t="n"/>
      <c r="F272" s="52" t="n"/>
    </row>
    <row r="273">
      <c r="B273" s="51" t="n"/>
      <c r="C273" s="51" t="n"/>
      <c r="D273" s="51" t="n"/>
      <c r="E273" s="51" t="n"/>
      <c r="F273" s="52" t="n"/>
    </row>
    <row r="274">
      <c r="B274" s="51" t="n"/>
      <c r="C274" s="51" t="n"/>
      <c r="D274" s="51" t="n"/>
      <c r="E274" s="51" t="n"/>
      <c r="F274" s="52" t="n"/>
    </row>
    <row r="275">
      <c r="B275" s="51" t="n"/>
      <c r="C275" s="51" t="n"/>
      <c r="D275" s="51" t="n"/>
      <c r="E275" s="51" t="n"/>
      <c r="F275" s="52" t="n"/>
    </row>
    <row r="276">
      <c r="B276" s="51" t="n"/>
      <c r="C276" s="51" t="n"/>
      <c r="D276" s="51" t="n"/>
      <c r="E276" s="51" t="n"/>
      <c r="F276" s="52" t="n"/>
    </row>
    <row r="277">
      <c r="B277" s="51" t="n"/>
      <c r="C277" s="51" t="n"/>
      <c r="D277" s="51" t="n"/>
      <c r="E277" s="51" t="n"/>
      <c r="F277" s="52" t="n"/>
    </row>
    <row r="278">
      <c r="B278" s="51" t="n"/>
      <c r="C278" s="51" t="n"/>
      <c r="D278" s="51" t="n"/>
      <c r="E278" s="51" t="n"/>
      <c r="F278" s="52" t="n"/>
    </row>
    <row r="279">
      <c r="B279" s="51" t="n"/>
      <c r="C279" s="51" t="n"/>
      <c r="D279" s="51" t="n"/>
      <c r="E279" s="51" t="n"/>
      <c r="F279" s="52" t="n"/>
    </row>
    <row r="280">
      <c r="B280" s="51" t="n"/>
      <c r="C280" s="51" t="n"/>
      <c r="D280" s="51" t="n"/>
      <c r="E280" s="51" t="n"/>
      <c r="F280" s="52" t="n"/>
    </row>
    <row r="281">
      <c r="B281" s="51" t="n"/>
      <c r="C281" s="51" t="n"/>
      <c r="D281" s="51" t="n"/>
      <c r="E281" s="51" t="n"/>
      <c r="F281" s="52" t="n"/>
    </row>
    <row r="282">
      <c r="B282" s="51" t="n"/>
      <c r="C282" s="51" t="n"/>
      <c r="D282" s="51" t="n"/>
      <c r="E282" s="51" t="n"/>
      <c r="F282" s="52" t="n"/>
    </row>
    <row r="283">
      <c r="B283" s="51" t="n"/>
      <c r="C283" s="51" t="n"/>
      <c r="D283" s="51" t="n"/>
      <c r="E283" s="51" t="n"/>
      <c r="F283" s="52" t="n"/>
    </row>
    <row r="284">
      <c r="B284" s="51" t="n"/>
      <c r="C284" s="51" t="n"/>
      <c r="D284" s="51" t="n"/>
      <c r="E284" s="51" t="n"/>
      <c r="F284" s="52" t="n"/>
    </row>
    <row r="285">
      <c r="B285" s="51" t="n"/>
      <c r="C285" s="51" t="n"/>
      <c r="D285" s="51" t="n"/>
      <c r="E285" s="51" t="n"/>
      <c r="F285" s="52" t="n"/>
    </row>
    <row r="286">
      <c r="B286" s="51" t="n"/>
      <c r="C286" s="51" t="n"/>
      <c r="D286" s="51" t="n"/>
      <c r="E286" s="51" t="n"/>
      <c r="F286" s="52" t="n"/>
    </row>
    <row r="287">
      <c r="B287" s="51" t="n"/>
      <c r="C287" s="51" t="n"/>
      <c r="D287" s="51" t="n"/>
      <c r="E287" s="51" t="n"/>
      <c r="F287" s="52" t="n"/>
    </row>
    <row r="288">
      <c r="B288" s="51" t="n"/>
      <c r="C288" s="51" t="n"/>
      <c r="D288" s="51" t="n"/>
      <c r="E288" s="51" t="n"/>
      <c r="F288" s="52" t="n"/>
    </row>
    <row r="289">
      <c r="B289" s="51" t="n"/>
      <c r="C289" s="51" t="n"/>
      <c r="D289" s="51" t="n"/>
      <c r="E289" s="51" t="n"/>
      <c r="F289" s="52" t="n"/>
    </row>
    <row r="290">
      <c r="B290" s="51" t="n"/>
      <c r="C290" s="51" t="n"/>
      <c r="D290" s="51" t="n"/>
      <c r="E290" s="51" t="n"/>
      <c r="F290" s="52" t="n"/>
    </row>
    <row r="291">
      <c r="B291" s="51" t="n"/>
      <c r="C291" s="51" t="n"/>
      <c r="D291" s="51" t="n"/>
      <c r="E291" s="51" t="n"/>
      <c r="F291" s="52" t="n"/>
    </row>
    <row r="292">
      <c r="B292" s="51" t="n"/>
      <c r="C292" s="51" t="n"/>
      <c r="D292" s="51" t="n"/>
      <c r="E292" s="51" t="n"/>
      <c r="F292" s="52" t="n"/>
    </row>
    <row r="293">
      <c r="B293" s="51" t="n"/>
      <c r="C293" s="51" t="n"/>
      <c r="D293" s="51" t="n"/>
      <c r="E293" s="51" t="n"/>
      <c r="F293" s="52" t="n"/>
    </row>
    <row r="294">
      <c r="B294" s="51" t="n"/>
      <c r="C294" s="51" t="n"/>
      <c r="D294" s="51" t="n"/>
      <c r="E294" s="51" t="n"/>
      <c r="F294" s="52" t="n"/>
    </row>
    <row r="295">
      <c r="B295" s="51" t="n"/>
      <c r="C295" s="51" t="n"/>
      <c r="D295" s="51" t="n"/>
      <c r="E295" s="51" t="n"/>
      <c r="F295" s="52" t="n"/>
    </row>
    <row r="296">
      <c r="B296" s="51" t="n"/>
      <c r="C296" s="51" t="n"/>
      <c r="D296" s="51" t="n"/>
      <c r="E296" s="51" t="n"/>
      <c r="F296" s="52" t="n"/>
    </row>
    <row r="297">
      <c r="B297" s="51" t="n"/>
      <c r="C297" s="51" t="n"/>
      <c r="D297" s="51" t="n"/>
      <c r="E297" s="51" t="n"/>
      <c r="F297" s="52" t="n"/>
    </row>
    <row r="298">
      <c r="B298" s="51" t="n"/>
      <c r="C298" s="51" t="n"/>
      <c r="D298" s="51" t="n"/>
      <c r="E298" s="51" t="n"/>
      <c r="F298" s="52" t="n"/>
    </row>
    <row r="299">
      <c r="B299" s="51" t="n"/>
      <c r="C299" s="51" t="n"/>
      <c r="D299" s="51" t="n"/>
      <c r="E299" s="51" t="n"/>
      <c r="F299" s="52" t="n"/>
    </row>
    <row r="300">
      <c r="B300" s="51" t="n"/>
      <c r="C300" s="51" t="n"/>
      <c r="D300" s="51" t="n"/>
      <c r="E300" s="51" t="n"/>
      <c r="F300" s="52" t="n"/>
    </row>
    <row r="301">
      <c r="B301" s="51" t="n"/>
      <c r="C301" s="51" t="n"/>
      <c r="D301" s="51" t="n"/>
      <c r="E301" s="51" t="n"/>
      <c r="F301" s="52" t="n"/>
    </row>
    <row r="302">
      <c r="B302" s="51" t="n"/>
      <c r="C302" s="51" t="n"/>
      <c r="D302" s="51" t="n"/>
      <c r="E302" s="51" t="n"/>
      <c r="F302" s="52" t="n"/>
    </row>
    <row r="303">
      <c r="B303" s="51" t="n"/>
      <c r="C303" s="51" t="n"/>
      <c r="D303" s="51" t="n"/>
      <c r="E303" s="51" t="n"/>
      <c r="F303" s="52" t="n"/>
    </row>
    <row r="304">
      <c r="B304" s="51" t="n"/>
      <c r="C304" s="51" t="n"/>
      <c r="D304" s="51" t="n"/>
      <c r="E304" s="51" t="n"/>
      <c r="F304" s="52" t="n"/>
    </row>
    <row r="305">
      <c r="B305" s="51" t="n"/>
      <c r="C305" s="51" t="n"/>
      <c r="D305" s="51" t="n"/>
      <c r="E305" s="51" t="n"/>
      <c r="F305" s="52" t="n"/>
    </row>
    <row r="306">
      <c r="B306" s="51" t="n"/>
      <c r="C306" s="51" t="n"/>
      <c r="D306" s="51" t="n"/>
      <c r="E306" s="51" t="n"/>
      <c r="F306" s="52" t="n"/>
    </row>
    <row r="307">
      <c r="B307" s="51" t="n"/>
      <c r="C307" s="51" t="n"/>
      <c r="D307" s="51" t="n"/>
      <c r="E307" s="51" t="n"/>
      <c r="F307" s="52" t="n"/>
    </row>
    <row r="308">
      <c r="B308" s="51" t="n"/>
      <c r="C308" s="51" t="n"/>
      <c r="D308" s="51" t="n"/>
      <c r="E308" s="51" t="n"/>
      <c r="F308" s="52" t="n"/>
    </row>
    <row r="309">
      <c r="B309" s="51" t="n"/>
      <c r="C309" s="51" t="n"/>
      <c r="D309" s="51" t="n"/>
      <c r="E309" s="51" t="n"/>
      <c r="F309" s="52" t="n"/>
    </row>
    <row r="310">
      <c r="B310" s="51" t="n"/>
      <c r="C310" s="51" t="n"/>
      <c r="D310" s="51" t="n"/>
      <c r="E310" s="51" t="n"/>
      <c r="F310" s="52" t="n"/>
    </row>
    <row r="311">
      <c r="B311" s="51" t="n"/>
      <c r="C311" s="51" t="n"/>
      <c r="D311" s="51" t="n"/>
      <c r="E311" s="51" t="n"/>
      <c r="F311" s="52" t="n"/>
    </row>
    <row r="312">
      <c r="B312" s="51" t="n"/>
      <c r="C312" s="51" t="n"/>
      <c r="D312" s="51" t="n"/>
      <c r="E312" s="51" t="n"/>
      <c r="F312" s="52" t="n"/>
    </row>
    <row r="313">
      <c r="B313" s="51" t="n"/>
      <c r="C313" s="51" t="n"/>
      <c r="D313" s="51" t="n"/>
      <c r="E313" s="51" t="n"/>
      <c r="F313" s="52" t="n"/>
    </row>
    <row r="314">
      <c r="B314" s="51" t="n"/>
      <c r="C314" s="51" t="n"/>
      <c r="D314" s="51" t="n"/>
      <c r="E314" s="51" t="n"/>
      <c r="F314" s="52" t="n"/>
    </row>
    <row r="315">
      <c r="B315" s="51" t="n"/>
      <c r="C315" s="51" t="n"/>
      <c r="D315" s="51" t="n"/>
      <c r="E315" s="51" t="n"/>
      <c r="F315" s="52" t="n"/>
    </row>
    <row r="316">
      <c r="B316" s="51" t="n"/>
      <c r="C316" s="51" t="n"/>
      <c r="D316" s="51" t="n"/>
      <c r="E316" s="51" t="n"/>
      <c r="F316" s="52" t="n"/>
    </row>
    <row r="317">
      <c r="B317" s="51" t="n"/>
      <c r="C317" s="51" t="n"/>
      <c r="D317" s="51" t="n"/>
      <c r="E317" s="51" t="n"/>
      <c r="F317" s="52" t="n"/>
    </row>
    <row r="318">
      <c r="B318" s="51" t="n"/>
      <c r="C318" s="51" t="n"/>
      <c r="D318" s="51" t="n"/>
      <c r="E318" s="51" t="n"/>
      <c r="F318" s="52" t="n"/>
    </row>
    <row r="319">
      <c r="B319" s="51" t="n"/>
      <c r="C319" s="51" t="n"/>
      <c r="D319" s="51" t="n"/>
      <c r="E319" s="51" t="n"/>
      <c r="F319" s="52" t="n"/>
    </row>
    <row r="320">
      <c r="B320" s="51" t="n"/>
      <c r="C320" s="51" t="n"/>
      <c r="D320" s="51" t="n"/>
      <c r="E320" s="51" t="n"/>
      <c r="F320" s="52" t="n"/>
    </row>
    <row r="321">
      <c r="B321" s="51" t="n"/>
      <c r="C321" s="51" t="n"/>
      <c r="D321" s="51" t="n"/>
      <c r="E321" s="51" t="n"/>
      <c r="F321" s="52" t="n"/>
    </row>
    <row r="322">
      <c r="B322" s="51" t="n"/>
      <c r="C322" s="51" t="n"/>
      <c r="D322" s="51" t="n"/>
      <c r="E322" s="51" t="n"/>
      <c r="F322" s="52" t="n"/>
    </row>
    <row r="323">
      <c r="B323" s="51" t="n"/>
      <c r="C323" s="51" t="n"/>
      <c r="D323" s="51" t="n"/>
      <c r="E323" s="51" t="n"/>
      <c r="F323" s="52" t="n"/>
    </row>
    <row r="324">
      <c r="B324" s="51" t="n"/>
      <c r="C324" s="51" t="n"/>
      <c r="D324" s="51" t="n"/>
      <c r="E324" s="51" t="n"/>
      <c r="F324" s="52" t="n"/>
    </row>
    <row r="325">
      <c r="B325" s="51" t="n"/>
      <c r="C325" s="51" t="n"/>
      <c r="D325" s="51" t="n"/>
      <c r="E325" s="51" t="n"/>
      <c r="F325" s="52" t="n"/>
    </row>
    <row r="326">
      <c r="B326" s="51" t="n"/>
      <c r="C326" s="51" t="n"/>
      <c r="D326" s="51" t="n"/>
      <c r="E326" s="51" t="n"/>
      <c r="F326" s="52" t="n"/>
    </row>
    <row r="327">
      <c r="B327" s="51" t="n"/>
      <c r="C327" s="51" t="n"/>
      <c r="D327" s="51" t="n"/>
      <c r="E327" s="51" t="n"/>
      <c r="F327" s="52" t="n"/>
    </row>
    <row r="328">
      <c r="B328" s="51" t="n"/>
      <c r="C328" s="51" t="n"/>
      <c r="D328" s="51" t="n"/>
      <c r="E328" s="51" t="n"/>
      <c r="F328" s="52" t="n"/>
    </row>
    <row r="329">
      <c r="B329" s="51" t="n"/>
      <c r="C329" s="51" t="n"/>
      <c r="D329" s="51" t="n"/>
      <c r="E329" s="51" t="n"/>
      <c r="F329" s="52" t="n"/>
    </row>
    <row r="330">
      <c r="B330" s="51" t="n"/>
      <c r="C330" s="51" t="n"/>
      <c r="D330" s="51" t="n"/>
      <c r="E330" s="51" t="n"/>
      <c r="F330" s="52" t="n"/>
    </row>
    <row r="331">
      <c r="B331" s="51" t="n"/>
      <c r="C331" s="51" t="n"/>
      <c r="D331" s="51" t="n"/>
      <c r="E331" s="51" t="n"/>
      <c r="F331" s="52" t="n"/>
    </row>
    <row r="332">
      <c r="B332" s="51" t="n"/>
      <c r="C332" s="51" t="n"/>
      <c r="D332" s="51" t="n"/>
      <c r="E332" s="51" t="n"/>
      <c r="F332" s="52" t="n"/>
    </row>
    <row r="333">
      <c r="B333" s="51" t="n"/>
      <c r="C333" s="51" t="n"/>
      <c r="D333" s="51" t="n"/>
      <c r="E333" s="51" t="n"/>
      <c r="F333" s="52" t="n"/>
    </row>
    <row r="334">
      <c r="B334" s="51" t="n"/>
      <c r="C334" s="51" t="n"/>
      <c r="D334" s="51" t="n"/>
      <c r="E334" s="51" t="n"/>
      <c r="F334" s="52" t="n"/>
    </row>
    <row r="335">
      <c r="B335" s="51" t="n"/>
      <c r="C335" s="51" t="n"/>
      <c r="D335" s="51" t="n"/>
      <c r="E335" s="51" t="n"/>
      <c r="F335" s="52" t="n"/>
    </row>
    <row r="336">
      <c r="B336" s="51" t="n"/>
      <c r="C336" s="51" t="n"/>
      <c r="D336" s="51" t="n"/>
      <c r="E336" s="51" t="n"/>
      <c r="F336" s="52" t="n"/>
    </row>
    <row r="337">
      <c r="B337" s="51" t="n"/>
      <c r="C337" s="51" t="n"/>
      <c r="D337" s="51" t="n"/>
      <c r="E337" s="51" t="n"/>
      <c r="F337" s="52" t="n"/>
    </row>
    <row r="338">
      <c r="B338" s="51" t="n"/>
      <c r="C338" s="51" t="n"/>
      <c r="D338" s="51" t="n"/>
      <c r="E338" s="51" t="n"/>
      <c r="F338" s="52" t="n"/>
    </row>
    <row r="339">
      <c r="B339" s="51" t="n"/>
      <c r="C339" s="51" t="n"/>
      <c r="D339" s="51" t="n"/>
      <c r="E339" s="51" t="n"/>
      <c r="F339" s="52" t="n"/>
    </row>
    <row r="340">
      <c r="B340" s="51" t="n"/>
      <c r="C340" s="51" t="n"/>
      <c r="D340" s="51" t="n"/>
      <c r="E340" s="51" t="n"/>
      <c r="F340" s="52" t="n"/>
    </row>
    <row r="341">
      <c r="B341" s="51" t="n"/>
      <c r="C341" s="51" t="n"/>
      <c r="D341" s="51" t="n"/>
      <c r="E341" s="51" t="n"/>
      <c r="F341" s="52" t="n"/>
    </row>
    <row r="342">
      <c r="B342" s="51" t="n"/>
      <c r="C342" s="51" t="n"/>
      <c r="D342" s="51" t="n"/>
      <c r="E342" s="51" t="n"/>
      <c r="F342" s="52" t="n"/>
    </row>
    <row r="343">
      <c r="B343" s="51" t="n"/>
      <c r="C343" s="51" t="n"/>
      <c r="D343" s="51" t="n"/>
      <c r="E343" s="51" t="n"/>
      <c r="F343" s="52" t="n"/>
    </row>
    <row r="344">
      <c r="B344" s="51" t="n"/>
      <c r="C344" s="51" t="n"/>
      <c r="D344" s="51" t="n"/>
      <c r="E344" s="51" t="n"/>
      <c r="F344" s="52" t="n"/>
    </row>
    <row r="345">
      <c r="B345" s="51" t="n"/>
      <c r="C345" s="51" t="n"/>
      <c r="D345" s="51" t="n"/>
      <c r="E345" s="51" t="n"/>
      <c r="F345" s="52" t="n"/>
    </row>
    <row r="346">
      <c r="B346" s="51" t="n"/>
      <c r="C346" s="51" t="n"/>
      <c r="D346" s="51" t="n"/>
      <c r="E346" s="51" t="n"/>
      <c r="F346" s="52" t="n"/>
    </row>
    <row r="347">
      <c r="B347" s="51" t="n"/>
      <c r="C347" s="51" t="n"/>
      <c r="D347" s="51" t="n"/>
      <c r="E347" s="51" t="n"/>
      <c r="F347" s="52" t="n"/>
    </row>
    <row r="348">
      <c r="B348" s="51" t="n"/>
      <c r="C348" s="51" t="n"/>
      <c r="D348" s="51" t="n"/>
      <c r="E348" s="51" t="n"/>
      <c r="F348" s="52" t="n"/>
    </row>
    <row r="349">
      <c r="B349" s="51" t="n"/>
      <c r="C349" s="51" t="n"/>
      <c r="D349" s="51" t="n"/>
      <c r="E349" s="51" t="n"/>
      <c r="F349" s="52" t="n"/>
    </row>
    <row r="350">
      <c r="B350" s="51" t="n"/>
      <c r="C350" s="51" t="n"/>
      <c r="D350" s="51" t="n"/>
      <c r="E350" s="51" t="n"/>
      <c r="F350" s="52" t="n"/>
    </row>
    <row r="351">
      <c r="B351" s="51" t="n"/>
      <c r="C351" s="51" t="n"/>
      <c r="D351" s="51" t="n"/>
      <c r="E351" s="51" t="n"/>
      <c r="F351" s="52" t="n"/>
    </row>
    <row r="352">
      <c r="B352" s="51" t="n"/>
      <c r="C352" s="51" t="n"/>
      <c r="D352" s="51" t="n"/>
      <c r="E352" s="51" t="n"/>
      <c r="F352" s="52" t="n"/>
    </row>
    <row r="353">
      <c r="B353" s="51" t="n"/>
      <c r="C353" s="51" t="n"/>
      <c r="D353" s="51" t="n"/>
      <c r="E353" s="51" t="n"/>
      <c r="F353" s="52" t="n"/>
    </row>
    <row r="354">
      <c r="B354" s="51" t="n"/>
      <c r="C354" s="51" t="n"/>
      <c r="D354" s="51" t="n"/>
      <c r="E354" s="51" t="n"/>
      <c r="F354" s="52" t="n"/>
    </row>
    <row r="355">
      <c r="B355" s="51" t="n"/>
      <c r="C355" s="51" t="n"/>
      <c r="D355" s="51" t="n"/>
      <c r="E355" s="51" t="n"/>
      <c r="F355" s="52" t="n"/>
    </row>
    <row r="356">
      <c r="B356" s="51" t="n"/>
      <c r="C356" s="51" t="n"/>
      <c r="D356" s="51" t="n"/>
      <c r="E356" s="51" t="n"/>
      <c r="F356" s="52" t="n"/>
    </row>
    <row r="357">
      <c r="B357" s="51" t="n"/>
      <c r="C357" s="51" t="n"/>
      <c r="D357" s="51" t="n"/>
      <c r="E357" s="51" t="n"/>
      <c r="F357" s="52" t="n"/>
    </row>
    <row r="358">
      <c r="B358" s="51" t="n"/>
      <c r="C358" s="51" t="n"/>
      <c r="D358" s="51" t="n"/>
      <c r="E358" s="51" t="n"/>
      <c r="F358" s="52" t="n"/>
    </row>
    <row r="359">
      <c r="B359" s="51" t="n"/>
      <c r="C359" s="51" t="n"/>
      <c r="D359" s="51" t="n"/>
      <c r="E359" s="51" t="n"/>
      <c r="F359" s="52" t="n"/>
    </row>
    <row r="360">
      <c r="B360" s="51" t="n"/>
      <c r="C360" s="51" t="n"/>
      <c r="D360" s="51" t="n"/>
      <c r="E360" s="51" t="n"/>
      <c r="F360" s="52" t="n"/>
    </row>
    <row r="361">
      <c r="B361" s="51" t="n"/>
      <c r="C361" s="51" t="n"/>
      <c r="D361" s="51" t="n"/>
      <c r="E361" s="51" t="n"/>
      <c r="F361" s="52" t="n"/>
    </row>
    <row r="362">
      <c r="B362" s="51" t="n"/>
      <c r="C362" s="51" t="n"/>
      <c r="D362" s="51" t="n"/>
      <c r="E362" s="51" t="n"/>
      <c r="F362" s="52" t="n"/>
    </row>
    <row r="363">
      <c r="B363" s="51" t="n"/>
      <c r="C363" s="51" t="n"/>
      <c r="D363" s="51" t="n"/>
      <c r="E363" s="51" t="n"/>
      <c r="F363" s="52" t="n"/>
    </row>
    <row r="364">
      <c r="B364" s="51" t="n"/>
      <c r="C364" s="51" t="n"/>
      <c r="D364" s="51" t="n"/>
      <c r="E364" s="51" t="n"/>
      <c r="F364" s="52" t="n"/>
    </row>
    <row r="365">
      <c r="B365" s="51" t="n"/>
      <c r="C365" s="51" t="n"/>
      <c r="D365" s="51" t="n"/>
      <c r="E365" s="51" t="n"/>
      <c r="F365" s="52" t="n"/>
    </row>
    <row r="366">
      <c r="B366" s="51" t="n"/>
      <c r="C366" s="51" t="n"/>
      <c r="D366" s="51" t="n"/>
      <c r="E366" s="51" t="n"/>
      <c r="F366" s="52" t="n"/>
    </row>
    <row r="367">
      <c r="B367" s="51" t="n"/>
      <c r="C367" s="51" t="n"/>
      <c r="D367" s="51" t="n"/>
      <c r="E367" s="51" t="n"/>
      <c r="F367" s="52" t="n"/>
    </row>
    <row r="368">
      <c r="B368" s="51" t="n"/>
      <c r="C368" s="51" t="n"/>
      <c r="D368" s="51" t="n"/>
      <c r="E368" s="51" t="n"/>
      <c r="F368" s="52" t="n"/>
    </row>
    <row r="369">
      <c r="B369" s="51" t="n"/>
      <c r="C369" s="51" t="n"/>
      <c r="D369" s="51" t="n"/>
      <c r="E369" s="51" t="n"/>
      <c r="F369" s="52" t="n"/>
    </row>
    <row r="370">
      <c r="B370" s="51" t="n"/>
      <c r="C370" s="51" t="n"/>
      <c r="D370" s="51" t="n"/>
      <c r="E370" s="51" t="n"/>
      <c r="F370" s="52" t="n"/>
    </row>
    <row r="371">
      <c r="B371" s="51" t="n"/>
      <c r="C371" s="51" t="n"/>
      <c r="D371" s="51" t="n"/>
      <c r="E371" s="51" t="n"/>
      <c r="F371" s="52" t="n"/>
    </row>
    <row r="372">
      <c r="B372" s="51" t="n"/>
      <c r="C372" s="51" t="n"/>
      <c r="D372" s="51" t="n"/>
      <c r="E372" s="51" t="n"/>
      <c r="F372" s="52" t="n"/>
    </row>
    <row r="373">
      <c r="B373" s="51" t="n"/>
      <c r="C373" s="51" t="n"/>
      <c r="D373" s="51" t="n"/>
      <c r="E373" s="51" t="n"/>
      <c r="F373" s="52" t="n"/>
    </row>
    <row r="374">
      <c r="B374" s="51" t="n"/>
      <c r="C374" s="51" t="n"/>
      <c r="D374" s="51" t="n"/>
      <c r="E374" s="51" t="n"/>
      <c r="F374" s="52" t="n"/>
    </row>
    <row r="375">
      <c r="B375" s="51" t="n"/>
      <c r="C375" s="51" t="n"/>
      <c r="D375" s="51" t="n"/>
      <c r="E375" s="51" t="n"/>
      <c r="F375" s="52" t="n"/>
    </row>
    <row r="376">
      <c r="B376" s="51" t="n"/>
      <c r="C376" s="51" t="n"/>
      <c r="D376" s="51" t="n"/>
      <c r="E376" s="51" t="n"/>
      <c r="F376" s="52" t="n"/>
    </row>
    <row r="377">
      <c r="B377" s="51" t="n"/>
      <c r="C377" s="51" t="n"/>
      <c r="D377" s="51" t="n"/>
      <c r="E377" s="51" t="n"/>
      <c r="F377" s="52" t="n"/>
    </row>
    <row r="378">
      <c r="B378" s="51" t="n"/>
      <c r="C378" s="51" t="n"/>
      <c r="D378" s="51" t="n"/>
      <c r="E378" s="51" t="n"/>
      <c r="F378" s="52" t="n"/>
    </row>
    <row r="379">
      <c r="B379" s="51" t="n"/>
      <c r="C379" s="51" t="n"/>
      <c r="D379" s="51" t="n"/>
      <c r="E379" s="51" t="n"/>
      <c r="F379" s="52" t="n"/>
    </row>
    <row r="380">
      <c r="B380" s="51" t="n"/>
      <c r="C380" s="51" t="n"/>
      <c r="D380" s="51" t="n"/>
      <c r="E380" s="51" t="n"/>
      <c r="F380" s="52" t="n"/>
    </row>
    <row r="381">
      <c r="B381" s="51" t="n"/>
      <c r="C381" s="51" t="n"/>
      <c r="D381" s="51" t="n"/>
      <c r="E381" s="51" t="n"/>
      <c r="F381" s="52" t="n"/>
    </row>
    <row r="382">
      <c r="B382" s="51" t="n"/>
      <c r="C382" s="51" t="n"/>
      <c r="D382" s="51" t="n"/>
      <c r="E382" s="51" t="n"/>
      <c r="F382" s="52" t="n"/>
    </row>
    <row r="383">
      <c r="B383" s="51" t="n"/>
      <c r="C383" s="51" t="n"/>
      <c r="D383" s="51" t="n"/>
      <c r="E383" s="51" t="n"/>
      <c r="F383" s="52" t="n"/>
    </row>
    <row r="384">
      <c r="B384" s="51" t="n"/>
      <c r="C384" s="51" t="n"/>
      <c r="D384" s="51" t="n"/>
      <c r="E384" s="51" t="n"/>
      <c r="F384" s="52" t="n"/>
    </row>
    <row r="385">
      <c r="B385" s="51" t="n"/>
      <c r="C385" s="51" t="n"/>
      <c r="D385" s="51" t="n"/>
      <c r="E385" s="51" t="n"/>
      <c r="F385" s="52" t="n"/>
    </row>
    <row r="386">
      <c r="B386" s="51" t="n"/>
      <c r="C386" s="51" t="n"/>
      <c r="D386" s="51" t="n"/>
      <c r="E386" s="51" t="n"/>
      <c r="F386" s="52" t="n"/>
    </row>
    <row r="387">
      <c r="B387" s="51" t="n"/>
      <c r="C387" s="51" t="n"/>
      <c r="D387" s="51" t="n"/>
      <c r="E387" s="51" t="n"/>
      <c r="F387" s="52" t="n"/>
    </row>
    <row r="388">
      <c r="B388" s="51" t="n"/>
      <c r="C388" s="51" t="n"/>
      <c r="D388" s="51" t="n"/>
      <c r="E388" s="51" t="n"/>
      <c r="F388" s="52" t="n"/>
    </row>
    <row r="389">
      <c r="B389" s="51" t="n"/>
      <c r="C389" s="51" t="n"/>
      <c r="D389" s="51" t="n"/>
      <c r="E389" s="51" t="n"/>
      <c r="F389" s="52" t="n"/>
    </row>
    <row r="390">
      <c r="B390" s="51" t="n"/>
      <c r="C390" s="51" t="n"/>
      <c r="D390" s="51" t="n"/>
      <c r="E390" s="51" t="n"/>
      <c r="F390" s="52" t="n"/>
    </row>
    <row r="391">
      <c r="B391" s="51" t="n"/>
      <c r="C391" s="51" t="n"/>
      <c r="D391" s="51" t="n"/>
      <c r="E391" s="51" t="n"/>
      <c r="F391" s="52" t="n"/>
    </row>
    <row r="392">
      <c r="B392" s="51" t="n"/>
      <c r="C392" s="51" t="n"/>
      <c r="D392" s="51" t="n"/>
      <c r="E392" s="51" t="n"/>
      <c r="F392" s="52" t="n"/>
    </row>
    <row r="393">
      <c r="B393" s="51" t="n"/>
      <c r="C393" s="51" t="n"/>
      <c r="D393" s="51" t="n"/>
      <c r="E393" s="51" t="n"/>
      <c r="F393" s="52" t="n"/>
    </row>
    <row r="394">
      <c r="B394" s="51" t="n"/>
      <c r="C394" s="51" t="n"/>
      <c r="D394" s="51" t="n"/>
      <c r="E394" s="51" t="n"/>
      <c r="F394" s="52" t="n"/>
    </row>
    <row r="395">
      <c r="B395" s="51" t="n"/>
      <c r="C395" s="51" t="n"/>
      <c r="D395" s="51" t="n"/>
      <c r="E395" s="51" t="n"/>
      <c r="F395" s="52" t="n"/>
    </row>
    <row r="396">
      <c r="B396" s="51" t="n"/>
      <c r="C396" s="51" t="n"/>
      <c r="D396" s="51" t="n"/>
      <c r="E396" s="51" t="n"/>
      <c r="F396" s="52" t="n"/>
    </row>
    <row r="397">
      <c r="B397" s="51" t="n"/>
      <c r="C397" s="51" t="n"/>
      <c r="D397" s="51" t="n"/>
      <c r="E397" s="51" t="n"/>
      <c r="F397" s="52" t="n"/>
    </row>
    <row r="398">
      <c r="B398" s="51" t="n"/>
      <c r="C398" s="51" t="n"/>
      <c r="D398" s="51" t="n"/>
      <c r="E398" s="51" t="n"/>
      <c r="F398" s="52" t="n"/>
    </row>
    <row r="399">
      <c r="B399" s="51" t="n"/>
      <c r="C399" s="51" t="n"/>
      <c r="D399" s="51" t="n"/>
      <c r="E399" s="51" t="n"/>
      <c r="F399" s="52" t="n"/>
    </row>
    <row r="400">
      <c r="B400" s="51" t="n"/>
      <c r="C400" s="51" t="n"/>
      <c r="D400" s="51" t="n"/>
      <c r="E400" s="51" t="n"/>
      <c r="F400" s="52" t="n"/>
    </row>
    <row r="401">
      <c r="B401" s="51" t="n"/>
      <c r="C401" s="51" t="n"/>
      <c r="D401" s="51" t="n"/>
      <c r="E401" s="51" t="n"/>
      <c r="F401" s="52" t="n"/>
    </row>
    <row r="402">
      <c r="B402" s="51" t="n"/>
      <c r="C402" s="51" t="n"/>
      <c r="D402" s="51" t="n"/>
      <c r="E402" s="51" t="n"/>
      <c r="F402" s="52" t="n"/>
    </row>
    <row r="403">
      <c r="B403" s="51" t="n"/>
      <c r="C403" s="51" t="n"/>
      <c r="D403" s="51" t="n"/>
      <c r="E403" s="51" t="n"/>
      <c r="F403" s="52" t="n"/>
    </row>
    <row r="404">
      <c r="B404" s="51" t="n"/>
      <c r="C404" s="51" t="n"/>
      <c r="D404" s="51" t="n"/>
      <c r="E404" s="51" t="n"/>
      <c r="F404" s="52" t="n"/>
    </row>
    <row r="405">
      <c r="B405" s="51" t="n"/>
      <c r="C405" s="51" t="n"/>
      <c r="D405" s="51" t="n"/>
      <c r="E405" s="51" t="n"/>
      <c r="F405" s="52" t="n"/>
    </row>
    <row r="406">
      <c r="B406" s="51" t="n"/>
      <c r="C406" s="51" t="n"/>
      <c r="D406" s="51" t="n"/>
      <c r="E406" s="51" t="n"/>
      <c r="F406" s="52" t="n"/>
    </row>
    <row r="407">
      <c r="B407" s="51" t="n"/>
      <c r="C407" s="51" t="n"/>
      <c r="D407" s="51" t="n"/>
      <c r="E407" s="51" t="n"/>
      <c r="F407" s="52" t="n"/>
    </row>
    <row r="408">
      <c r="B408" s="51" t="n"/>
      <c r="C408" s="51" t="n"/>
      <c r="D408" s="51" t="n"/>
      <c r="E408" s="51" t="n"/>
      <c r="F408" s="52" t="n"/>
    </row>
    <row r="409">
      <c r="B409" s="51" t="n"/>
      <c r="C409" s="51" t="n"/>
      <c r="D409" s="51" t="n"/>
      <c r="E409" s="51" t="n"/>
      <c r="F409" s="52" t="n"/>
    </row>
    <row r="410">
      <c r="B410" s="51" t="n"/>
      <c r="C410" s="51" t="n"/>
      <c r="D410" s="51" t="n"/>
      <c r="E410" s="51" t="n"/>
      <c r="F410" s="52" t="n"/>
    </row>
    <row r="411">
      <c r="B411" s="51" t="n"/>
      <c r="C411" s="51" t="n"/>
      <c r="D411" s="51" t="n"/>
      <c r="E411" s="51" t="n"/>
      <c r="F411" s="52" t="n"/>
    </row>
    <row r="412">
      <c r="B412" s="51" t="n"/>
      <c r="C412" s="51" t="n"/>
      <c r="D412" s="51" t="n"/>
      <c r="E412" s="51" t="n"/>
      <c r="F412" s="52" t="n"/>
    </row>
    <row r="413">
      <c r="B413" s="51" t="n"/>
      <c r="C413" s="51" t="n"/>
      <c r="D413" s="51" t="n"/>
      <c r="E413" s="51" t="n"/>
      <c r="F413" s="52" t="n"/>
    </row>
    <row r="414">
      <c r="B414" s="51" t="n"/>
      <c r="C414" s="51" t="n"/>
      <c r="D414" s="51" t="n"/>
      <c r="E414" s="51" t="n"/>
      <c r="F414" s="52" t="n"/>
    </row>
    <row r="415">
      <c r="B415" s="51" t="n"/>
      <c r="C415" s="51" t="n"/>
      <c r="D415" s="51" t="n"/>
      <c r="E415" s="51" t="n"/>
      <c r="F415" s="52" t="n"/>
    </row>
    <row r="416">
      <c r="B416" s="51" t="n"/>
      <c r="C416" s="51" t="n"/>
      <c r="D416" s="51" t="n"/>
      <c r="E416" s="51" t="n"/>
      <c r="F416" s="52" t="n"/>
    </row>
    <row r="417">
      <c r="B417" s="51" t="n"/>
      <c r="C417" s="51" t="n"/>
      <c r="D417" s="51" t="n"/>
      <c r="E417" s="51" t="n"/>
      <c r="F417" s="52" t="n"/>
    </row>
    <row r="418">
      <c r="B418" s="51" t="n"/>
      <c r="C418" s="51" t="n"/>
      <c r="D418" s="51" t="n"/>
      <c r="E418" s="51" t="n"/>
      <c r="F418" s="52" t="n"/>
    </row>
    <row r="419">
      <c r="B419" s="51" t="n"/>
      <c r="C419" s="51" t="n"/>
      <c r="D419" s="51" t="n"/>
      <c r="E419" s="51" t="n"/>
      <c r="F419" s="52" t="n"/>
    </row>
    <row r="420">
      <c r="B420" s="51" t="n"/>
      <c r="C420" s="51" t="n"/>
      <c r="D420" s="51" t="n"/>
      <c r="E420" s="51" t="n"/>
      <c r="F420" s="52" t="n"/>
    </row>
    <row r="421">
      <c r="B421" s="51" t="n"/>
      <c r="C421" s="51" t="n"/>
      <c r="D421" s="51" t="n"/>
      <c r="E421" s="51" t="n"/>
      <c r="F421" s="52" t="n"/>
    </row>
    <row r="422">
      <c r="B422" s="51" t="n"/>
      <c r="C422" s="51" t="n"/>
      <c r="D422" s="51" t="n"/>
      <c r="E422" s="51" t="n"/>
      <c r="F422" s="52" t="n"/>
    </row>
    <row r="423">
      <c r="B423" s="51" t="n"/>
      <c r="C423" s="51" t="n"/>
      <c r="D423" s="51" t="n"/>
      <c r="E423" s="51" t="n"/>
      <c r="F423" s="52" t="n"/>
    </row>
    <row r="424">
      <c r="B424" s="51" t="n"/>
      <c r="C424" s="51" t="n"/>
      <c r="D424" s="51" t="n"/>
      <c r="E424" s="51" t="n"/>
      <c r="F424" s="52" t="n"/>
    </row>
    <row r="425">
      <c r="B425" s="51" t="n"/>
      <c r="C425" s="51" t="n"/>
      <c r="D425" s="51" t="n"/>
      <c r="E425" s="51" t="n"/>
      <c r="F425" s="52" t="n"/>
    </row>
    <row r="426">
      <c r="B426" s="51" t="n"/>
      <c r="C426" s="51" t="n"/>
      <c r="D426" s="51" t="n"/>
      <c r="E426" s="51" t="n"/>
      <c r="F426" s="52" t="n"/>
    </row>
    <row r="427">
      <c r="B427" s="51" t="n"/>
      <c r="C427" s="51" t="n"/>
      <c r="D427" s="51" t="n"/>
      <c r="E427" s="51" t="n"/>
      <c r="F427" s="52" t="n"/>
    </row>
    <row r="428">
      <c r="B428" s="51" t="n"/>
      <c r="C428" s="51" t="n"/>
      <c r="D428" s="51" t="n"/>
      <c r="E428" s="51" t="n"/>
      <c r="F428" s="52" t="n"/>
    </row>
    <row r="429">
      <c r="B429" s="51" t="n"/>
      <c r="C429" s="51" t="n"/>
      <c r="D429" s="51" t="n"/>
      <c r="E429" s="51" t="n"/>
      <c r="F429" s="52" t="n"/>
    </row>
    <row r="430">
      <c r="B430" s="51" t="n"/>
      <c r="C430" s="51" t="n"/>
      <c r="D430" s="51" t="n"/>
      <c r="E430" s="51" t="n"/>
      <c r="F430" s="52" t="n"/>
    </row>
    <row r="431">
      <c r="B431" s="51" t="n"/>
      <c r="C431" s="51" t="n"/>
      <c r="D431" s="51" t="n"/>
      <c r="E431" s="51" t="n"/>
      <c r="F431" s="52" t="n"/>
    </row>
    <row r="432">
      <c r="B432" s="51" t="n"/>
      <c r="C432" s="51" t="n"/>
      <c r="D432" s="51" t="n"/>
      <c r="E432" s="51" t="n"/>
      <c r="F432" s="52" t="n"/>
    </row>
    <row r="433">
      <c r="B433" s="51" t="n"/>
      <c r="C433" s="51" t="n"/>
      <c r="D433" s="51" t="n"/>
      <c r="E433" s="51" t="n"/>
      <c r="F433" s="52" t="n"/>
    </row>
    <row r="434">
      <c r="B434" s="51" t="n"/>
      <c r="C434" s="51" t="n"/>
      <c r="D434" s="51" t="n"/>
      <c r="E434" s="51" t="n"/>
      <c r="F434" s="52" t="n"/>
    </row>
    <row r="435">
      <c r="B435" s="51" t="n"/>
      <c r="C435" s="51" t="n"/>
      <c r="D435" s="51" t="n"/>
      <c r="E435" s="51" t="n"/>
      <c r="F435" s="52" t="n"/>
    </row>
    <row r="436">
      <c r="B436" s="51" t="n"/>
      <c r="C436" s="51" t="n"/>
      <c r="D436" s="51" t="n"/>
      <c r="E436" s="51" t="n"/>
      <c r="F436" s="52" t="n"/>
    </row>
    <row r="437">
      <c r="B437" s="51" t="n"/>
      <c r="C437" s="51" t="n"/>
      <c r="D437" s="51" t="n"/>
      <c r="E437" s="51" t="n"/>
      <c r="F437" s="52" t="n"/>
    </row>
    <row r="438">
      <c r="B438" s="51" t="n"/>
      <c r="C438" s="51" t="n"/>
      <c r="D438" s="51" t="n"/>
      <c r="E438" s="51" t="n"/>
      <c r="F438" s="52" t="n"/>
    </row>
    <row r="439">
      <c r="B439" s="51" t="n"/>
      <c r="C439" s="51" t="n"/>
      <c r="D439" s="51" t="n"/>
      <c r="E439" s="51" t="n"/>
      <c r="F439" s="52" t="n"/>
    </row>
    <row r="440">
      <c r="B440" s="51" t="n"/>
      <c r="C440" s="51" t="n"/>
      <c r="D440" s="51" t="n"/>
      <c r="E440" s="51" t="n"/>
      <c r="F440" s="52" t="n"/>
    </row>
    <row r="441">
      <c r="B441" s="51" t="n"/>
      <c r="C441" s="51" t="n"/>
      <c r="D441" s="51" t="n"/>
      <c r="E441" s="51" t="n"/>
      <c r="F441" s="52" t="n"/>
    </row>
    <row r="442">
      <c r="B442" s="51" t="n"/>
      <c r="C442" s="51" t="n"/>
      <c r="D442" s="51" t="n"/>
      <c r="E442" s="51" t="n"/>
      <c r="F442" s="52" t="n"/>
    </row>
    <row r="443">
      <c r="B443" s="51" t="n"/>
      <c r="C443" s="51" t="n"/>
      <c r="D443" s="51" t="n"/>
      <c r="E443" s="51" t="n"/>
      <c r="F443" s="52" t="n"/>
    </row>
    <row r="444">
      <c r="B444" s="51" t="n"/>
      <c r="C444" s="51" t="n"/>
      <c r="D444" s="51" t="n"/>
      <c r="E444" s="51" t="n"/>
      <c r="F444" s="52" t="n"/>
    </row>
    <row r="445">
      <c r="B445" s="51" t="n"/>
      <c r="C445" s="51" t="n"/>
      <c r="D445" s="51" t="n"/>
      <c r="E445" s="51" t="n"/>
      <c r="F445" s="52" t="n"/>
    </row>
    <row r="446">
      <c r="B446" s="51" t="n"/>
      <c r="C446" s="51" t="n"/>
      <c r="D446" s="51" t="n"/>
      <c r="E446" s="51" t="n"/>
      <c r="F446" s="52" t="n"/>
    </row>
    <row r="447">
      <c r="B447" s="51" t="n"/>
      <c r="C447" s="51" t="n"/>
      <c r="D447" s="51" t="n"/>
      <c r="E447" s="51" t="n"/>
      <c r="F447" s="52" t="n"/>
    </row>
    <row r="448">
      <c r="B448" s="51" t="n"/>
      <c r="C448" s="51" t="n"/>
      <c r="D448" s="51" t="n"/>
      <c r="E448" s="51" t="n"/>
      <c r="F448" s="52" t="n"/>
    </row>
    <row r="449">
      <c r="B449" s="51" t="n"/>
      <c r="C449" s="51" t="n"/>
      <c r="D449" s="51" t="n"/>
      <c r="E449" s="51" t="n"/>
      <c r="F449" s="52" t="n"/>
    </row>
    <row r="450">
      <c r="B450" s="51" t="n"/>
      <c r="C450" s="51" t="n"/>
      <c r="D450" s="51" t="n"/>
      <c r="E450" s="51" t="n"/>
      <c r="F450" s="52" t="n"/>
    </row>
    <row r="451">
      <c r="B451" s="51" t="n"/>
      <c r="C451" s="51" t="n"/>
      <c r="D451" s="51" t="n"/>
      <c r="E451" s="51" t="n"/>
      <c r="F451" s="52" t="n"/>
    </row>
    <row r="452">
      <c r="B452" s="51" t="n"/>
      <c r="C452" s="51" t="n"/>
      <c r="D452" s="51" t="n"/>
      <c r="E452" s="51" t="n"/>
      <c r="F452" s="52" t="n"/>
    </row>
    <row r="453">
      <c r="B453" s="51" t="n"/>
      <c r="C453" s="51" t="n"/>
      <c r="D453" s="51" t="n"/>
      <c r="E453" s="51" t="n"/>
      <c r="F453" s="52" t="n"/>
    </row>
    <row r="454">
      <c r="B454" s="51" t="n"/>
      <c r="C454" s="51" t="n"/>
      <c r="D454" s="51" t="n"/>
      <c r="E454" s="51" t="n"/>
      <c r="F454" s="52" t="n"/>
    </row>
    <row r="455">
      <c r="B455" s="51" t="n"/>
      <c r="C455" s="51" t="n"/>
      <c r="D455" s="51" t="n"/>
      <c r="E455" s="51" t="n"/>
      <c r="F455" s="52" t="n"/>
    </row>
    <row r="456">
      <c r="B456" s="51" t="n"/>
      <c r="C456" s="51" t="n"/>
      <c r="D456" s="51" t="n"/>
      <c r="E456" s="51" t="n"/>
      <c r="F456" s="52" t="n"/>
    </row>
    <row r="457">
      <c r="B457" s="51" t="n"/>
      <c r="C457" s="51" t="n"/>
      <c r="D457" s="51" t="n"/>
      <c r="E457" s="51" t="n"/>
      <c r="F457" s="52" t="n"/>
    </row>
    <row r="458">
      <c r="B458" s="51" t="n"/>
      <c r="C458" s="51" t="n"/>
      <c r="D458" s="51" t="n"/>
      <c r="E458" s="51" t="n"/>
      <c r="F458" s="52" t="n"/>
    </row>
    <row r="459">
      <c r="B459" s="51" t="n"/>
      <c r="C459" s="51" t="n"/>
      <c r="D459" s="51" t="n"/>
      <c r="E459" s="51" t="n"/>
      <c r="F459" s="52" t="n"/>
    </row>
    <row r="460">
      <c r="B460" s="51" t="n"/>
      <c r="C460" s="51" t="n"/>
      <c r="D460" s="51" t="n"/>
      <c r="E460" s="51" t="n"/>
      <c r="F460" s="52" t="n"/>
    </row>
    <row r="461">
      <c r="B461" s="51" t="n"/>
      <c r="C461" s="51" t="n"/>
      <c r="D461" s="51" t="n"/>
      <c r="E461" s="51" t="n"/>
      <c r="F461" s="52" t="n"/>
    </row>
    <row r="462">
      <c r="B462" s="51" t="n"/>
      <c r="C462" s="51" t="n"/>
      <c r="D462" s="51" t="n"/>
      <c r="E462" s="51" t="n"/>
      <c r="F462" s="52" t="n"/>
    </row>
    <row r="463">
      <c r="B463" s="51" t="n"/>
      <c r="C463" s="51" t="n"/>
      <c r="D463" s="51" t="n"/>
      <c r="E463" s="51" t="n"/>
      <c r="F463" s="52" t="n"/>
    </row>
    <row r="464">
      <c r="B464" s="51" t="n"/>
      <c r="C464" s="51" t="n"/>
      <c r="D464" s="51" t="n"/>
      <c r="E464" s="51" t="n"/>
      <c r="F464" s="52" t="n"/>
    </row>
    <row r="465">
      <c r="B465" s="51" t="n"/>
      <c r="C465" s="51" t="n"/>
      <c r="D465" s="51" t="n"/>
      <c r="E465" s="51" t="n"/>
      <c r="F465" s="52" t="n"/>
    </row>
    <row r="466">
      <c r="B466" s="51" t="n"/>
      <c r="C466" s="51" t="n"/>
      <c r="D466" s="51" t="n"/>
      <c r="E466" s="51" t="n"/>
      <c r="F466" s="52" t="n"/>
    </row>
    <row r="467">
      <c r="B467" s="51" t="n"/>
      <c r="C467" s="51" t="n"/>
      <c r="D467" s="51" t="n"/>
      <c r="E467" s="51" t="n"/>
      <c r="F467" s="52" t="n"/>
    </row>
    <row r="468">
      <c r="B468" s="51" t="n"/>
      <c r="C468" s="51" t="n"/>
      <c r="D468" s="51" t="n"/>
      <c r="E468" s="51" t="n"/>
      <c r="F468" s="52" t="n"/>
    </row>
    <row r="469">
      <c r="B469" s="51" t="n"/>
      <c r="C469" s="51" t="n"/>
      <c r="D469" s="51" t="n"/>
      <c r="E469" s="51" t="n"/>
      <c r="F469" s="52" t="n"/>
    </row>
    <row r="470">
      <c r="B470" s="51" t="n"/>
      <c r="C470" s="51" t="n"/>
      <c r="D470" s="51" t="n"/>
      <c r="E470" s="51" t="n"/>
      <c r="F470" s="52" t="n"/>
    </row>
    <row r="471">
      <c r="B471" s="51" t="n"/>
      <c r="C471" s="51" t="n"/>
      <c r="D471" s="51" t="n"/>
      <c r="E471" s="51" t="n"/>
      <c r="F471" s="52" t="n"/>
    </row>
    <row r="472">
      <c r="B472" s="51" t="n"/>
      <c r="C472" s="51" t="n"/>
      <c r="D472" s="51" t="n"/>
      <c r="E472" s="51" t="n"/>
      <c r="F472" s="52" t="n"/>
    </row>
    <row r="473">
      <c r="B473" s="51" t="n"/>
      <c r="C473" s="51" t="n"/>
      <c r="D473" s="51" t="n"/>
      <c r="E473" s="51" t="n"/>
      <c r="F473" s="52" t="n"/>
    </row>
    <row r="474">
      <c r="B474" s="51" t="n"/>
      <c r="C474" s="51" t="n"/>
      <c r="D474" s="51" t="n"/>
      <c r="E474" s="51" t="n"/>
      <c r="F474" s="52" t="n"/>
    </row>
    <row r="475">
      <c r="B475" s="51" t="n"/>
      <c r="C475" s="51" t="n"/>
      <c r="D475" s="51" t="n"/>
      <c r="E475" s="51" t="n"/>
      <c r="F475" s="52" t="n"/>
    </row>
    <row r="476">
      <c r="B476" s="51" t="n"/>
      <c r="C476" s="51" t="n"/>
      <c r="D476" s="51" t="n"/>
      <c r="E476" s="51" t="n"/>
      <c r="F476" s="52" t="n"/>
    </row>
    <row r="477">
      <c r="B477" s="51" t="n"/>
      <c r="C477" s="51" t="n"/>
      <c r="D477" s="51" t="n"/>
      <c r="E477" s="51" t="n"/>
      <c r="F477" s="52" t="n"/>
    </row>
    <row r="478">
      <c r="B478" s="51" t="n"/>
      <c r="C478" s="51" t="n"/>
      <c r="D478" s="51" t="n"/>
      <c r="E478" s="51" t="n"/>
      <c r="F478" s="52" t="n"/>
    </row>
    <row r="479">
      <c r="B479" s="51" t="n"/>
      <c r="C479" s="51" t="n"/>
      <c r="D479" s="51" t="n"/>
      <c r="E479" s="51" t="n"/>
      <c r="F479" s="52" t="n"/>
    </row>
    <row r="480">
      <c r="B480" s="51" t="n"/>
      <c r="C480" s="51" t="n"/>
      <c r="D480" s="51" t="n"/>
      <c r="E480" s="51" t="n"/>
      <c r="F480" s="52" t="n"/>
    </row>
    <row r="481">
      <c r="B481" s="51" t="n"/>
      <c r="C481" s="51" t="n"/>
      <c r="D481" s="51" t="n"/>
      <c r="E481" s="51" t="n"/>
      <c r="F481" s="52" t="n"/>
    </row>
    <row r="482">
      <c r="B482" s="51" t="n"/>
      <c r="C482" s="51" t="n"/>
      <c r="D482" s="51" t="n"/>
      <c r="E482" s="51" t="n"/>
      <c r="F482" s="52" t="n"/>
    </row>
    <row r="483">
      <c r="B483" s="51" t="n"/>
      <c r="C483" s="51" t="n"/>
      <c r="D483" s="51" t="n"/>
      <c r="E483" s="51" t="n"/>
      <c r="F483" s="52" t="n"/>
    </row>
    <row r="484">
      <c r="B484" s="51" t="n"/>
      <c r="C484" s="51" t="n"/>
      <c r="D484" s="51" t="n"/>
      <c r="E484" s="51" t="n"/>
      <c r="F484" s="52" t="n"/>
    </row>
    <row r="485">
      <c r="B485" s="51" t="n"/>
      <c r="C485" s="51" t="n"/>
      <c r="D485" s="51" t="n"/>
      <c r="E485" s="51" t="n"/>
      <c r="F485" s="52" t="n"/>
    </row>
    <row r="486">
      <c r="B486" s="51" t="n"/>
      <c r="C486" s="51" t="n"/>
      <c r="D486" s="51" t="n"/>
      <c r="E486" s="51" t="n"/>
      <c r="F486" s="52" t="n"/>
    </row>
    <row r="487">
      <c r="B487" s="51" t="n"/>
      <c r="C487" s="51" t="n"/>
      <c r="D487" s="51" t="n"/>
      <c r="E487" s="51" t="n"/>
      <c r="F487" s="52" t="n"/>
    </row>
    <row r="488">
      <c r="B488" s="51" t="n"/>
      <c r="C488" s="51" t="n"/>
      <c r="D488" s="51" t="n"/>
      <c r="E488" s="51" t="n"/>
      <c r="F488" s="52" t="n"/>
    </row>
    <row r="489">
      <c r="B489" s="51" t="n"/>
      <c r="C489" s="51" t="n"/>
      <c r="D489" s="51" t="n"/>
      <c r="E489" s="51" t="n"/>
      <c r="F489" s="52" t="n"/>
    </row>
    <row r="490">
      <c r="B490" s="51" t="n"/>
      <c r="C490" s="51" t="n"/>
      <c r="D490" s="51" t="n"/>
      <c r="E490" s="51" t="n"/>
      <c r="F490" s="52" t="n"/>
    </row>
    <row r="491">
      <c r="B491" s="51" t="n"/>
      <c r="C491" s="51" t="n"/>
      <c r="D491" s="51" t="n"/>
      <c r="E491" s="51" t="n"/>
      <c r="F491" s="52" t="n"/>
    </row>
    <row r="492">
      <c r="B492" s="51" t="n"/>
      <c r="C492" s="51" t="n"/>
      <c r="D492" s="51" t="n"/>
      <c r="E492" s="51" t="n"/>
      <c r="F492" s="52" t="n"/>
    </row>
    <row r="493">
      <c r="B493" s="51" t="n"/>
      <c r="C493" s="51" t="n"/>
      <c r="D493" s="51" t="n"/>
      <c r="E493" s="51" t="n"/>
      <c r="F493" s="52" t="n"/>
    </row>
    <row r="494">
      <c r="B494" s="51" t="n"/>
      <c r="C494" s="51" t="n"/>
      <c r="D494" s="51" t="n"/>
      <c r="E494" s="51" t="n"/>
      <c r="F494" s="52" t="n"/>
    </row>
    <row r="495">
      <c r="B495" s="51" t="n"/>
      <c r="C495" s="51" t="n"/>
      <c r="D495" s="51" t="n"/>
      <c r="E495" s="51" t="n"/>
      <c r="F495" s="52" t="n"/>
    </row>
    <row r="496">
      <c r="B496" s="51" t="n"/>
      <c r="C496" s="51" t="n"/>
      <c r="D496" s="51" t="n"/>
      <c r="E496" s="51" t="n"/>
      <c r="F496" s="52" t="n"/>
    </row>
    <row r="497">
      <c r="B497" s="51" t="n"/>
      <c r="C497" s="51" t="n"/>
      <c r="D497" s="51" t="n"/>
      <c r="E497" s="51" t="n"/>
      <c r="F497" s="52" t="n"/>
    </row>
    <row r="498">
      <c r="B498" s="51" t="n"/>
      <c r="C498" s="51" t="n"/>
      <c r="D498" s="51" t="n"/>
      <c r="E498" s="51" t="n"/>
      <c r="F498" s="52" t="n"/>
    </row>
    <row r="499">
      <c r="B499" s="51" t="n"/>
      <c r="C499" s="51" t="n"/>
      <c r="D499" s="51" t="n"/>
      <c r="E499" s="51" t="n"/>
      <c r="F499" s="52" t="n"/>
    </row>
    <row r="500">
      <c r="B500" s="51" t="n"/>
      <c r="C500" s="51" t="n"/>
      <c r="D500" s="51" t="n"/>
      <c r="E500" s="51" t="n"/>
      <c r="F500" s="52" t="n"/>
    </row>
    <row r="501">
      <c r="B501" s="51" t="n"/>
      <c r="C501" s="51" t="n"/>
      <c r="D501" s="51" t="n"/>
      <c r="E501" s="51" t="n"/>
      <c r="F501" s="52" t="n"/>
    </row>
    <row r="502">
      <c r="B502" s="51" t="n"/>
      <c r="C502" s="51" t="n"/>
      <c r="D502" s="51" t="n"/>
      <c r="E502" s="51" t="n"/>
      <c r="F502" s="52" t="n"/>
    </row>
    <row r="503">
      <c r="B503" s="51" t="n"/>
      <c r="C503" s="51" t="n"/>
      <c r="D503" s="51" t="n"/>
      <c r="E503" s="51" t="n"/>
      <c r="F503" s="52" t="n"/>
    </row>
    <row r="504">
      <c r="B504" s="51" t="n"/>
      <c r="C504" s="51" t="n"/>
      <c r="D504" s="51" t="n"/>
      <c r="E504" s="51" t="n"/>
      <c r="F504" s="52" t="n"/>
    </row>
    <row r="505">
      <c r="B505" s="51" t="n"/>
      <c r="C505" s="51" t="n"/>
      <c r="D505" s="51" t="n"/>
      <c r="E505" s="51" t="n"/>
      <c r="F505" s="52" t="n"/>
    </row>
    <row r="506">
      <c r="B506" s="51" t="n"/>
      <c r="C506" s="51" t="n"/>
      <c r="D506" s="51" t="n"/>
      <c r="E506" s="51" t="n"/>
      <c r="F506" s="52" t="n"/>
    </row>
    <row r="507">
      <c r="B507" s="51" t="n"/>
      <c r="C507" s="51" t="n"/>
      <c r="D507" s="51" t="n"/>
      <c r="E507" s="51" t="n"/>
      <c r="F507" s="52" t="n"/>
    </row>
    <row r="508">
      <c r="B508" s="51" t="n"/>
      <c r="C508" s="51" t="n"/>
      <c r="D508" s="51" t="n"/>
      <c r="E508" s="51" t="n"/>
      <c r="F508" s="52" t="n"/>
    </row>
    <row r="509">
      <c r="B509" s="51" t="n"/>
      <c r="C509" s="51" t="n"/>
      <c r="D509" s="51" t="n"/>
      <c r="E509" s="51" t="n"/>
      <c r="F509" s="52" t="n"/>
    </row>
    <row r="510">
      <c r="B510" s="51" t="n"/>
      <c r="C510" s="51" t="n"/>
      <c r="D510" s="51" t="n"/>
      <c r="E510" s="51" t="n"/>
      <c r="F510" s="52" t="n"/>
    </row>
    <row r="511">
      <c r="B511" s="51" t="n"/>
      <c r="C511" s="51" t="n"/>
      <c r="D511" s="51" t="n"/>
      <c r="E511" s="51" t="n"/>
      <c r="F511" s="52" t="n"/>
    </row>
    <row r="512">
      <c r="B512" s="51" t="n"/>
      <c r="C512" s="51" t="n"/>
      <c r="D512" s="51" t="n"/>
      <c r="E512" s="51" t="n"/>
      <c r="F512" s="52" t="n"/>
    </row>
    <row r="513">
      <c r="B513" s="51" t="n"/>
      <c r="C513" s="51" t="n"/>
      <c r="D513" s="51" t="n"/>
      <c r="E513" s="51" t="n"/>
      <c r="F513" s="52" t="n"/>
    </row>
    <row r="514">
      <c r="B514" s="51" t="n"/>
      <c r="C514" s="51" t="n"/>
      <c r="D514" s="51" t="n"/>
      <c r="E514" s="51" t="n"/>
      <c r="F514" s="52" t="n"/>
    </row>
    <row r="515">
      <c r="B515" s="51" t="n"/>
      <c r="C515" s="51" t="n"/>
      <c r="D515" s="51" t="n"/>
      <c r="E515" s="51" t="n"/>
      <c r="F515" s="52" t="n"/>
    </row>
    <row r="516">
      <c r="B516" s="51" t="n"/>
      <c r="C516" s="51" t="n"/>
      <c r="D516" s="51" t="n"/>
      <c r="E516" s="51" t="n"/>
      <c r="F516" s="52" t="n"/>
    </row>
    <row r="517">
      <c r="B517" s="51" t="n"/>
      <c r="C517" s="51" t="n"/>
      <c r="D517" s="51" t="n"/>
      <c r="E517" s="51" t="n"/>
      <c r="F517" s="52"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Package document template (sheet Reference lists)." promptTitle="Template" prompt="Yes. Template code Allowed: List Package document template: 6 values, see Reference lists" type="list" errorStyle="stop">
      <formula1>=LIST_PKG_DOCUMENT</formula1>
    </dataValidation>
    <dataValidation sqref="C17:C517" showDropDown="0" showInputMessage="1" showErrorMessage="0" allowBlank="1" promptTitle="Title" prompt="Yes. Title of the template version"/>
    <dataValidation sqref="D17:D517" showDropDown="0" showInputMessage="1" showErrorMessage="0" allowBlank="1" promptTitle="Text" prompt="Yes. Opening text of the document"/>
    <dataValidation sqref="E17:E517" showDropDown="0" showInputMessage="1" showErrorMessage="0" allowBlank="1" promptTitle="Merge fields used" prompt="No. Fields filled in by BIBS"/>
    <dataValidation sqref="F17:F517" showDropDown="0" showInputMessage="1" showErrorMessage="1" allowBlank="1" errorTitle="Effective from" error="Enter a date, for example 15-Jan-2028." promptTitle="Effective from" prompt="Yes. Date from which the version is used Allowed: A date, for example 15-Jan-2028" type="date" operator="greaterThan">
      <formula1>DATE(1900,1,1)</formula1>
    </dataValidation>
  </dataValidations>
  <hyperlinks>
    <hyperlink ref="A2" location="'Start here'!A1"/>
    <hyperlink ref="G2" location="'Questions and comments'!A1"/>
    <hyperlink ref="B14" location="'Reference lists'!A92"/>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23" customWidth="1" min="3" max="3"/>
    <col width="17" customWidth="1" min="4" max="4"/>
    <col width="21" customWidth="1" min="5" max="5"/>
    <col width="16" customWidth="1" min="6" max="6"/>
    <col width="12" customWidth="1" min="7" max="7"/>
  </cols>
  <sheetData>
    <row r="1" ht="26" customHeight="1">
      <c r="A1" s="27" t="inlineStr">
        <is>
          <t>UA-05 Password, session and sign-in parameters</t>
        </is>
      </c>
      <c r="G1" s="28" t="inlineStr">
        <is>
          <t>Step 31 of 31</t>
        </is>
      </c>
    </row>
    <row r="2">
      <c r="A2" s="29" t="inlineStr">
        <is>
          <t>← Back to Start here</t>
        </is>
      </c>
      <c r="B2" s="30" t="inlineStr">
        <is>
          <t>Step 31 of 31. Fill in one row per record below the column headers; the guide above each column says what to enter.</t>
        </is>
      </c>
      <c r="G2" s="31" t="inlineStr">
        <is>
          <t>Ask a question →</t>
        </is>
      </c>
    </row>
    <row r="3" outlineLevel="1" ht="15.5" customHeight="1">
      <c r="A3" s="32" t="inlineStr">
        <is>
          <t>Purpose</t>
        </is>
      </c>
      <c r="B3" s="33" t="inlineStr">
        <is>
          <t>The values of the sign-in, password, session and access-request parameters, as delivered and as BDOI Information Security wants them</t>
        </is>
      </c>
    </row>
    <row r="4" outlineLevel="1" ht="15.5" customHeight="1">
      <c r="A4" s="32" t="inlineStr">
        <is>
          <t>Provided by</t>
        </is>
      </c>
      <c r="B4" s="33" t="inlineStr">
        <is>
          <t>BDOI Information Security; BDOI IT for the sign-in mode</t>
        </is>
      </c>
    </row>
    <row r="5" outlineLevel="1" ht="15.5" customHeight="1">
      <c r="A5" s="32" t="inlineStr">
        <is>
          <t>Due</t>
        </is>
      </c>
      <c r="B5" s="34" t="inlineStr">
        <is>
          <t>16-Jul-2027 – Values for UAT</t>
        </is>
      </c>
    </row>
    <row r="6" outlineLevel="1" ht="28" customHeight="1">
      <c r="A6" s="32" t="inlineStr">
        <is>
          <t>How it is loaded</t>
        </is>
      </c>
      <c r="B6" s="33" t="inlineStr">
        <is>
          <t>System Parameters (SCR-UA-18): entered by the System Administrator and approved by the Information Security Officer, audited; checked in SIT with the test plan</t>
        </is>
      </c>
    </row>
    <row r="7" outlineLevel="1" ht="15.5" customHeight="1">
      <c r="A7" s="32" t="inlineStr">
        <is>
          <t>Source</t>
        </is>
      </c>
      <c r="B7" s="33" t="inlineStr">
        <is>
          <t>BDOI security policy (UQ07, UQ08); the values delivered (FRS section 9.1)</t>
        </is>
      </c>
    </row>
    <row r="8" outlineLevel="1">
      <c r="A8" s="32" t="inlineStr">
        <is>
          <t>Depends on</t>
        </is>
      </c>
      <c r="B8" s="35" t="inlineStr">
        <is>
          <t>Nothing: this template can be filled in first</t>
        </is>
      </c>
    </row>
    <row r="9" ht="26" customHeight="1">
      <c r="A9" s="36" t="inlineStr">
        <is>
          <t>Progress</t>
        </is>
      </c>
      <c r="B9" s="37" t="inlineStr">
        <is>
          <t>Rows entered</t>
        </is>
      </c>
      <c r="C9" s="38">
        <f>SUMPRODUCT(((ROW($B$17:$B$517)&gt;17)+($B$17&lt;&gt;"PASSWORD_MAX_AGE_DAYS")&gt;0)*(LEN($B$17:$B$517&amp;$C$17:$C$517&amp;$D$17:$D$517&amp;$E$17:$E$517&amp;$F$17:$F$517)&gt;0))</f>
        <v/>
      </c>
      <c r="D9" s="37" t="inlineStr">
        <is>
          <t>Mandatory cells missing</t>
        </is>
      </c>
      <c r="E9" s="38">
        <f>SUMPRODUCT(((ROW($B$17:$B$517)&gt;17)+($B$17&lt;&gt;"PASSWORD_MAX_AGE_DAYS")&gt;0)*(LEN($B$17:$B$517&amp;$C$17:$C$517&amp;$D$17:$D$517&amp;$E$17:$E$517&amp;$F$17:$F$517)&gt;0)*(($B$17:$B$517="")+($C$17:$C$517="")+($D$17:$D$517="")+($F$17:$F$517="")))</f>
        <v/>
      </c>
    </row>
    <row r="10" ht="26" customHeight="1">
      <c r="A10" s="39" t="inlineStr">
        <is>
          <t>Confirmed by (BDOI owner)</t>
        </is>
      </c>
      <c r="B10" s="40" t="n"/>
      <c r="C10" s="40" t="n"/>
      <c r="D10" s="37" t="inlineStr">
        <is>
          <t>Date</t>
        </is>
      </c>
      <c r="E10" s="41" t="n"/>
    </row>
    <row r="11" ht="6" customHeight="1">
      <c r="A11" s="42" t="n"/>
      <c r="B11" s="42" t="n"/>
      <c r="C11" s="42" t="n"/>
      <c r="D11" s="42" t="n"/>
      <c r="E11" s="42" t="n"/>
      <c r="F11" s="42" t="n"/>
      <c r="G11" s="42" t="n"/>
    </row>
    <row r="12" ht="30" customHeight="1">
      <c r="A12" s="43" t="inlineStr">
        <is>
          <t>Mandatory</t>
        </is>
      </c>
      <c r="B12" s="44" t="inlineStr">
        <is>
          <t>Yes</t>
        </is>
      </c>
      <c r="C12" s="44" t="inlineStr">
        <is>
          <t>Yes</t>
        </is>
      </c>
      <c r="D12" s="44" t="inlineStr">
        <is>
          <t>Yes</t>
        </is>
      </c>
      <c r="E12" s="45" t="inlineStr">
        <is>
          <t>Conditional: value changed</t>
        </is>
      </c>
      <c r="F12" s="44" t="inlineStr">
        <is>
          <t>Yes</t>
        </is>
      </c>
    </row>
    <row r="13" ht="150" customHeight="1">
      <c r="A13" s="43" t="inlineStr">
        <is>
          <t>Format</t>
        </is>
      </c>
      <c r="B13" s="45" t="inlineStr">
        <is>
          <t>LOGIN_MAX_FAILED_ATTEMPTS, SESSION_IDLE_WARNING_MINUTES, SESSION_TIMEOUT_MINUTES, SESSION_EXPIRY_WARNING_MINUTES, AUTH_MODE, USER_ID_PATTERN, USER_ID_FORMAT_TEXT, PASSWORD_HISTORY_COUNT, PASSWORD_MAX_AGE_DAYS, PASSWORD_MIN_AGE_DAYS, UAM_WORKING_HOURS, UAM_ANY_APPROVER, UAM_ROLE_APPLY_ON_APPROVAL, UAM_EXTERNAL_USERS, UAM_DORMANT_DAYS, UAM_DORMANT_NOTICE_DAYS, JOB_FAILURE_RECIPIENTS</t>
        </is>
      </c>
      <c r="C13" s="45" t="inlineStr">
        <is>
          <t>As on System Parameters</t>
        </is>
      </c>
      <c r="D13" s="45" t="inlineStr">
        <is>
          <t>Same type and range</t>
        </is>
      </c>
      <c r="E13" s="45" t="inlineStr">
        <is>
          <t>Text</t>
        </is>
      </c>
      <c r="F13" s="45" t="inlineStr">
        <is>
          <t>Name</t>
        </is>
      </c>
    </row>
    <row r="14" ht="30" customHeight="1">
      <c r="A14" s="43" t="inlineStr">
        <is>
          <t>Allowed values</t>
        </is>
      </c>
      <c r="B14" s="53" t="inlineStr">
        <is>
          <t>List Sign-in: 17 values, see Reference lists</t>
        </is>
      </c>
      <c r="C14" s="45" t="inlineStr">
        <is>
          <t>Free entry</t>
        </is>
      </c>
      <c r="D14" s="45" t="inlineStr">
        <is>
          <t>Free entry</t>
        </is>
      </c>
      <c r="E14" s="45" t="inlineStr">
        <is>
          <t>Free entry</t>
        </is>
      </c>
      <c r="F14" s="45" t="inlineStr">
        <is>
          <t>Free entry</t>
        </is>
      </c>
    </row>
    <row r="15" ht="43" customHeight="1">
      <c r="A15" s="43" t="inlineStr">
        <is>
          <t>What to enter</t>
        </is>
      </c>
      <c r="B15" s="45" t="inlineStr">
        <is>
          <t>One row per parameter</t>
        </is>
      </c>
      <c r="C15" s="45" t="inlineStr">
        <is>
          <t>The value proposed with the system</t>
        </is>
      </c>
      <c r="D15" s="45" t="inlineStr">
        <is>
          <t>The value BDOI wants</t>
        </is>
      </c>
      <c r="E15" s="45" t="inlineStr">
        <is>
          <t>Policy reference or reason</t>
        </is>
      </c>
      <c r="F15" s="45" t="inlineStr">
        <is>
          <t>Information Security or BDOI IT approver of the value</t>
        </is>
      </c>
    </row>
    <row r="16" ht="30" customHeight="1">
      <c r="A16" s="46" t="inlineStr">
        <is>
          <t>Row</t>
        </is>
      </c>
      <c r="B16" s="47" t="inlineStr">
        <is>
          <t>Parameter *</t>
        </is>
      </c>
      <c r="C16" s="47" t="inlineStr">
        <is>
          <t>Value as delivered *</t>
        </is>
      </c>
      <c r="D16" s="47" t="inlineStr">
        <is>
          <t>Value wanted *</t>
        </is>
      </c>
      <c r="E16" s="47" t="inlineStr">
        <is>
          <t>Reason</t>
        </is>
      </c>
      <c r="F16" s="47" t="inlineStr">
        <is>
          <t>Approved by *</t>
        </is>
      </c>
    </row>
    <row r="17" ht="18" customHeight="1">
      <c r="A17" s="48" t="inlineStr">
        <is>
          <t>Example – overwrite or delete</t>
        </is>
      </c>
      <c r="B17" s="49" t="inlineStr">
        <is>
          <t>PASSWORD_MAX_AGE_DAYS</t>
        </is>
      </c>
      <c r="C17" s="49" t="inlineStr">
        <is>
          <t>90</t>
        </is>
      </c>
      <c r="D17" s="49" t="inlineStr">
        <is>
          <t>90</t>
        </is>
      </c>
      <c r="E17" s="49" t="inlineStr">
        <is>
          <t>BDO password policy</t>
        </is>
      </c>
      <c r="F17" s="49" t="inlineStr">
        <is>
          <t>Ramon Dizon</t>
        </is>
      </c>
    </row>
    <row r="18">
      <c r="B18" s="51" t="n"/>
      <c r="C18" s="51" t="n"/>
      <c r="D18" s="51" t="n"/>
      <c r="E18" s="51" t="n"/>
      <c r="F18" s="51" t="n"/>
    </row>
    <row r="19">
      <c r="B19" s="51" t="n"/>
      <c r="C19" s="51" t="n"/>
      <c r="D19" s="51" t="n"/>
      <c r="E19" s="51" t="n"/>
      <c r="F19" s="51" t="n"/>
    </row>
    <row r="20">
      <c r="B20" s="51" t="n"/>
      <c r="C20" s="51" t="n"/>
      <c r="D20" s="51" t="n"/>
      <c r="E20" s="51" t="n"/>
      <c r="F20" s="51" t="n"/>
    </row>
    <row r="21">
      <c r="B21" s="51" t="n"/>
      <c r="C21" s="51" t="n"/>
      <c r="D21" s="51" t="n"/>
      <c r="E21" s="51" t="n"/>
      <c r="F21" s="51" t="n"/>
    </row>
    <row r="22">
      <c r="B22" s="51" t="n"/>
      <c r="C22" s="51" t="n"/>
      <c r="D22" s="51" t="n"/>
      <c r="E22" s="51" t="n"/>
      <c r="F22" s="51" t="n"/>
    </row>
    <row r="23">
      <c r="B23" s="51" t="n"/>
      <c r="C23" s="51" t="n"/>
      <c r="D23" s="51" t="n"/>
      <c r="E23" s="51" t="n"/>
      <c r="F23" s="51" t="n"/>
    </row>
    <row r="24">
      <c r="B24" s="51" t="n"/>
      <c r="C24" s="51" t="n"/>
      <c r="D24" s="51" t="n"/>
      <c r="E24" s="51" t="n"/>
      <c r="F24" s="51" t="n"/>
    </row>
    <row r="25">
      <c r="B25" s="51" t="n"/>
      <c r="C25" s="51" t="n"/>
      <c r="D25" s="51" t="n"/>
      <c r="E25" s="51" t="n"/>
      <c r="F25" s="51" t="n"/>
    </row>
    <row r="26">
      <c r="B26" s="51" t="n"/>
      <c r="C26" s="51" t="n"/>
      <c r="D26" s="51" t="n"/>
      <c r="E26" s="51" t="n"/>
      <c r="F26" s="51" t="n"/>
    </row>
    <row r="27">
      <c r="B27" s="51" t="n"/>
      <c r="C27" s="51" t="n"/>
      <c r="D27" s="51" t="n"/>
      <c r="E27" s="51" t="n"/>
      <c r="F27" s="51" t="n"/>
    </row>
    <row r="28">
      <c r="B28" s="51" t="n"/>
      <c r="C28" s="51" t="n"/>
      <c r="D28" s="51" t="n"/>
      <c r="E28" s="51" t="n"/>
      <c r="F28" s="51" t="n"/>
    </row>
    <row r="29">
      <c r="B29" s="51" t="n"/>
      <c r="C29" s="51" t="n"/>
      <c r="D29" s="51" t="n"/>
      <c r="E29" s="51" t="n"/>
      <c r="F29" s="51" t="n"/>
    </row>
    <row r="30">
      <c r="B30" s="51" t="n"/>
      <c r="C30" s="51" t="n"/>
      <c r="D30" s="51" t="n"/>
      <c r="E30" s="51" t="n"/>
      <c r="F30" s="51" t="n"/>
    </row>
    <row r="31">
      <c r="B31" s="51" t="n"/>
      <c r="C31" s="51" t="n"/>
      <c r="D31" s="51" t="n"/>
      <c r="E31" s="51" t="n"/>
      <c r="F31" s="51" t="n"/>
    </row>
    <row r="32">
      <c r="B32" s="51" t="n"/>
      <c r="C32" s="51" t="n"/>
      <c r="D32" s="51" t="n"/>
      <c r="E32" s="51" t="n"/>
      <c r="F32" s="51" t="n"/>
    </row>
    <row r="33">
      <c r="B33" s="51" t="n"/>
      <c r="C33" s="51" t="n"/>
      <c r="D33" s="51" t="n"/>
      <c r="E33" s="51" t="n"/>
      <c r="F33" s="51" t="n"/>
    </row>
    <row r="34">
      <c r="B34" s="51" t="n"/>
      <c r="C34" s="51" t="n"/>
      <c r="D34" s="51" t="n"/>
      <c r="E34" s="51" t="n"/>
      <c r="F34" s="51" t="n"/>
    </row>
    <row r="35">
      <c r="B35" s="51" t="n"/>
      <c r="C35" s="51" t="n"/>
      <c r="D35" s="51" t="n"/>
      <c r="E35" s="51" t="n"/>
      <c r="F35" s="51" t="n"/>
    </row>
    <row r="36">
      <c r="B36" s="51" t="n"/>
      <c r="C36" s="51" t="n"/>
      <c r="D36" s="51" t="n"/>
      <c r="E36" s="51" t="n"/>
      <c r="F36" s="51" t="n"/>
    </row>
    <row r="37">
      <c r="B37" s="51" t="n"/>
      <c r="C37" s="51" t="n"/>
      <c r="D37" s="51" t="n"/>
      <c r="E37" s="51" t="n"/>
      <c r="F37" s="51" t="n"/>
    </row>
    <row r="38">
      <c r="B38" s="51" t="n"/>
      <c r="C38" s="51" t="n"/>
      <c r="D38" s="51" t="n"/>
      <c r="E38" s="51" t="n"/>
      <c r="F38" s="51" t="n"/>
    </row>
    <row r="39">
      <c r="B39" s="51" t="n"/>
      <c r="C39" s="51" t="n"/>
      <c r="D39" s="51" t="n"/>
      <c r="E39" s="51" t="n"/>
      <c r="F39" s="51" t="n"/>
    </row>
    <row r="40">
      <c r="B40" s="51" t="n"/>
      <c r="C40" s="51" t="n"/>
      <c r="D40" s="51" t="n"/>
      <c r="E40" s="51" t="n"/>
      <c r="F40" s="51" t="n"/>
    </row>
    <row r="41">
      <c r="B41" s="51" t="n"/>
      <c r="C41" s="51" t="n"/>
      <c r="D41" s="51" t="n"/>
      <c r="E41" s="51" t="n"/>
      <c r="F41" s="51" t="n"/>
    </row>
    <row r="42">
      <c r="B42" s="51" t="n"/>
      <c r="C42" s="51" t="n"/>
      <c r="D42" s="51" t="n"/>
      <c r="E42" s="51" t="n"/>
      <c r="F42" s="51" t="n"/>
    </row>
    <row r="43">
      <c r="B43" s="51" t="n"/>
      <c r="C43" s="51" t="n"/>
      <c r="D43" s="51" t="n"/>
      <c r="E43" s="51" t="n"/>
      <c r="F43" s="51" t="n"/>
    </row>
    <row r="44">
      <c r="B44" s="51" t="n"/>
      <c r="C44" s="51" t="n"/>
      <c r="D44" s="51" t="n"/>
      <c r="E44" s="51" t="n"/>
      <c r="F44" s="51" t="n"/>
    </row>
    <row r="45">
      <c r="B45" s="51" t="n"/>
      <c r="C45" s="51" t="n"/>
      <c r="D45" s="51" t="n"/>
      <c r="E45" s="51" t="n"/>
      <c r="F45" s="51" t="n"/>
    </row>
    <row r="46">
      <c r="B46" s="51" t="n"/>
      <c r="C46" s="51" t="n"/>
      <c r="D46" s="51" t="n"/>
      <c r="E46" s="51" t="n"/>
      <c r="F46" s="51" t="n"/>
    </row>
    <row r="47">
      <c r="B47" s="51" t="n"/>
      <c r="C47" s="51" t="n"/>
      <c r="D47" s="51" t="n"/>
      <c r="E47" s="51" t="n"/>
      <c r="F47" s="51" t="n"/>
    </row>
    <row r="48">
      <c r="B48" s="51" t="n"/>
      <c r="C48" s="51" t="n"/>
      <c r="D48" s="51" t="n"/>
      <c r="E48" s="51" t="n"/>
      <c r="F48" s="51" t="n"/>
    </row>
    <row r="49">
      <c r="B49" s="51" t="n"/>
      <c r="C49" s="51" t="n"/>
      <c r="D49" s="51" t="n"/>
      <c r="E49" s="51" t="n"/>
      <c r="F49" s="51" t="n"/>
    </row>
    <row r="50">
      <c r="B50" s="51" t="n"/>
      <c r="C50" s="51" t="n"/>
      <c r="D50" s="51" t="n"/>
      <c r="E50" s="51" t="n"/>
      <c r="F50" s="51" t="n"/>
    </row>
    <row r="51">
      <c r="B51" s="51" t="n"/>
      <c r="C51" s="51" t="n"/>
      <c r="D51" s="51" t="n"/>
      <c r="E51" s="51" t="n"/>
      <c r="F51" s="51" t="n"/>
    </row>
    <row r="52">
      <c r="B52" s="51" t="n"/>
      <c r="C52" s="51" t="n"/>
      <c r="D52" s="51" t="n"/>
      <c r="E52" s="51" t="n"/>
      <c r="F52" s="51" t="n"/>
    </row>
    <row r="53">
      <c r="B53" s="51" t="n"/>
      <c r="C53" s="51" t="n"/>
      <c r="D53" s="51" t="n"/>
      <c r="E53" s="51" t="n"/>
      <c r="F53" s="51" t="n"/>
    </row>
    <row r="54">
      <c r="B54" s="51" t="n"/>
      <c r="C54" s="51" t="n"/>
      <c r="D54" s="51" t="n"/>
      <c r="E54" s="51" t="n"/>
      <c r="F54" s="51" t="n"/>
    </row>
    <row r="55">
      <c r="B55" s="51" t="n"/>
      <c r="C55" s="51" t="n"/>
      <c r="D55" s="51" t="n"/>
      <c r="E55" s="51" t="n"/>
      <c r="F55" s="51" t="n"/>
    </row>
    <row r="56">
      <c r="B56" s="51" t="n"/>
      <c r="C56" s="51" t="n"/>
      <c r="D56" s="51" t="n"/>
      <c r="E56" s="51" t="n"/>
      <c r="F56" s="51" t="n"/>
    </row>
    <row r="57">
      <c r="B57" s="51" t="n"/>
      <c r="C57" s="51" t="n"/>
      <c r="D57" s="51" t="n"/>
      <c r="E57" s="51" t="n"/>
      <c r="F57" s="51" t="n"/>
    </row>
    <row r="58">
      <c r="B58" s="51" t="n"/>
      <c r="C58" s="51" t="n"/>
      <c r="D58" s="51" t="n"/>
      <c r="E58" s="51" t="n"/>
      <c r="F58" s="51" t="n"/>
    </row>
    <row r="59">
      <c r="B59" s="51" t="n"/>
      <c r="C59" s="51" t="n"/>
      <c r="D59" s="51" t="n"/>
      <c r="E59" s="51" t="n"/>
      <c r="F59" s="51" t="n"/>
    </row>
    <row r="60">
      <c r="B60" s="51" t="n"/>
      <c r="C60" s="51" t="n"/>
      <c r="D60" s="51" t="n"/>
      <c r="E60" s="51" t="n"/>
      <c r="F60" s="51" t="n"/>
    </row>
    <row r="61">
      <c r="B61" s="51" t="n"/>
      <c r="C61" s="51" t="n"/>
      <c r="D61" s="51" t="n"/>
      <c r="E61" s="51" t="n"/>
      <c r="F61" s="51" t="n"/>
    </row>
    <row r="62">
      <c r="B62" s="51" t="n"/>
      <c r="C62" s="51" t="n"/>
      <c r="D62" s="51" t="n"/>
      <c r="E62" s="51" t="n"/>
      <c r="F62" s="51" t="n"/>
    </row>
    <row r="63">
      <c r="B63" s="51" t="n"/>
      <c r="C63" s="51" t="n"/>
      <c r="D63" s="51" t="n"/>
      <c r="E63" s="51" t="n"/>
      <c r="F63" s="51" t="n"/>
    </row>
    <row r="64">
      <c r="B64" s="51" t="n"/>
      <c r="C64" s="51" t="n"/>
      <c r="D64" s="51" t="n"/>
      <c r="E64" s="51" t="n"/>
      <c r="F64" s="51" t="n"/>
    </row>
    <row r="65">
      <c r="B65" s="51" t="n"/>
      <c r="C65" s="51" t="n"/>
      <c r="D65" s="51" t="n"/>
      <c r="E65" s="51" t="n"/>
      <c r="F65" s="51" t="n"/>
    </row>
    <row r="66">
      <c r="B66" s="51" t="n"/>
      <c r="C66" s="51" t="n"/>
      <c r="D66" s="51" t="n"/>
      <c r="E66" s="51" t="n"/>
      <c r="F66" s="51" t="n"/>
    </row>
    <row r="67">
      <c r="B67" s="51" t="n"/>
      <c r="C67" s="51" t="n"/>
      <c r="D67" s="51" t="n"/>
      <c r="E67" s="51" t="n"/>
      <c r="F67" s="51" t="n"/>
    </row>
    <row r="68">
      <c r="B68" s="51" t="n"/>
      <c r="C68" s="51" t="n"/>
      <c r="D68" s="51" t="n"/>
      <c r="E68" s="51" t="n"/>
      <c r="F68" s="51" t="n"/>
    </row>
    <row r="69">
      <c r="B69" s="51" t="n"/>
      <c r="C69" s="51" t="n"/>
      <c r="D69" s="51" t="n"/>
      <c r="E69" s="51" t="n"/>
      <c r="F69" s="51" t="n"/>
    </row>
    <row r="70">
      <c r="B70" s="51" t="n"/>
      <c r="C70" s="51" t="n"/>
      <c r="D70" s="51" t="n"/>
      <c r="E70" s="51" t="n"/>
      <c r="F70" s="51" t="n"/>
    </row>
    <row r="71">
      <c r="B71" s="51" t="n"/>
      <c r="C71" s="51" t="n"/>
      <c r="D71" s="51" t="n"/>
      <c r="E71" s="51" t="n"/>
      <c r="F71" s="51" t="n"/>
    </row>
    <row r="72">
      <c r="B72" s="51" t="n"/>
      <c r="C72" s="51" t="n"/>
      <c r="D72" s="51" t="n"/>
      <c r="E72" s="51" t="n"/>
      <c r="F72" s="51" t="n"/>
    </row>
    <row r="73">
      <c r="B73" s="51" t="n"/>
      <c r="C73" s="51" t="n"/>
      <c r="D73" s="51" t="n"/>
      <c r="E73" s="51" t="n"/>
      <c r="F73" s="51" t="n"/>
    </row>
    <row r="74">
      <c r="B74" s="51" t="n"/>
      <c r="C74" s="51" t="n"/>
      <c r="D74" s="51" t="n"/>
      <c r="E74" s="51" t="n"/>
      <c r="F74" s="51" t="n"/>
    </row>
    <row r="75">
      <c r="B75" s="51" t="n"/>
      <c r="C75" s="51" t="n"/>
      <c r="D75" s="51" t="n"/>
      <c r="E75" s="51" t="n"/>
      <c r="F75" s="51" t="n"/>
    </row>
    <row r="76">
      <c r="B76" s="51" t="n"/>
      <c r="C76" s="51" t="n"/>
      <c r="D76" s="51" t="n"/>
      <c r="E76" s="51" t="n"/>
      <c r="F76" s="51" t="n"/>
    </row>
    <row r="77">
      <c r="B77" s="51" t="n"/>
      <c r="C77" s="51" t="n"/>
      <c r="D77" s="51" t="n"/>
      <c r="E77" s="51" t="n"/>
      <c r="F77" s="51" t="n"/>
    </row>
    <row r="78">
      <c r="B78" s="51" t="n"/>
      <c r="C78" s="51" t="n"/>
      <c r="D78" s="51" t="n"/>
      <c r="E78" s="51" t="n"/>
      <c r="F78" s="51" t="n"/>
    </row>
    <row r="79">
      <c r="B79" s="51" t="n"/>
      <c r="C79" s="51" t="n"/>
      <c r="D79" s="51" t="n"/>
      <c r="E79" s="51" t="n"/>
      <c r="F79" s="51" t="n"/>
    </row>
    <row r="80">
      <c r="B80" s="51" t="n"/>
      <c r="C80" s="51" t="n"/>
      <c r="D80" s="51" t="n"/>
      <c r="E80" s="51" t="n"/>
      <c r="F80" s="51" t="n"/>
    </row>
    <row r="81">
      <c r="B81" s="51" t="n"/>
      <c r="C81" s="51" t="n"/>
      <c r="D81" s="51" t="n"/>
      <c r="E81" s="51" t="n"/>
      <c r="F81" s="51" t="n"/>
    </row>
    <row r="82">
      <c r="B82" s="51" t="n"/>
      <c r="C82" s="51" t="n"/>
      <c r="D82" s="51" t="n"/>
      <c r="E82" s="51" t="n"/>
      <c r="F82" s="51" t="n"/>
    </row>
    <row r="83">
      <c r="B83" s="51" t="n"/>
      <c r="C83" s="51" t="n"/>
      <c r="D83" s="51" t="n"/>
      <c r="E83" s="51" t="n"/>
      <c r="F83" s="51" t="n"/>
    </row>
    <row r="84">
      <c r="B84" s="51" t="n"/>
      <c r="C84" s="51" t="n"/>
      <c r="D84" s="51" t="n"/>
      <c r="E84" s="51" t="n"/>
      <c r="F84" s="51" t="n"/>
    </row>
    <row r="85">
      <c r="B85" s="51" t="n"/>
      <c r="C85" s="51" t="n"/>
      <c r="D85" s="51" t="n"/>
      <c r="E85" s="51" t="n"/>
      <c r="F85" s="51" t="n"/>
    </row>
    <row r="86">
      <c r="B86" s="51" t="n"/>
      <c r="C86" s="51" t="n"/>
      <c r="D86" s="51" t="n"/>
      <c r="E86" s="51" t="n"/>
      <c r="F86" s="51" t="n"/>
    </row>
    <row r="87">
      <c r="B87" s="51" t="n"/>
      <c r="C87" s="51" t="n"/>
      <c r="D87" s="51" t="n"/>
      <c r="E87" s="51" t="n"/>
      <c r="F87" s="51" t="n"/>
    </row>
    <row r="88">
      <c r="B88" s="51" t="n"/>
      <c r="C88" s="51" t="n"/>
      <c r="D88" s="51" t="n"/>
      <c r="E88" s="51" t="n"/>
      <c r="F88" s="51" t="n"/>
    </row>
    <row r="89">
      <c r="B89" s="51" t="n"/>
      <c r="C89" s="51" t="n"/>
      <c r="D89" s="51" t="n"/>
      <c r="E89" s="51" t="n"/>
      <c r="F89" s="51" t="n"/>
    </row>
    <row r="90">
      <c r="B90" s="51" t="n"/>
      <c r="C90" s="51" t="n"/>
      <c r="D90" s="51" t="n"/>
      <c r="E90" s="51" t="n"/>
      <c r="F90" s="51" t="n"/>
    </row>
    <row r="91">
      <c r="B91" s="51" t="n"/>
      <c r="C91" s="51" t="n"/>
      <c r="D91" s="51" t="n"/>
      <c r="E91" s="51" t="n"/>
      <c r="F91" s="51" t="n"/>
    </row>
    <row r="92">
      <c r="B92" s="51" t="n"/>
      <c r="C92" s="51" t="n"/>
      <c r="D92" s="51" t="n"/>
      <c r="E92" s="51" t="n"/>
      <c r="F92" s="51" t="n"/>
    </row>
    <row r="93">
      <c r="B93" s="51" t="n"/>
      <c r="C93" s="51" t="n"/>
      <c r="D93" s="51" t="n"/>
      <c r="E93" s="51" t="n"/>
      <c r="F93" s="51" t="n"/>
    </row>
    <row r="94">
      <c r="B94" s="51" t="n"/>
      <c r="C94" s="51" t="n"/>
      <c r="D94" s="51" t="n"/>
      <c r="E94" s="51" t="n"/>
      <c r="F94" s="51" t="n"/>
    </row>
    <row r="95">
      <c r="B95" s="51" t="n"/>
      <c r="C95" s="51" t="n"/>
      <c r="D95" s="51" t="n"/>
      <c r="E95" s="51" t="n"/>
      <c r="F95" s="51" t="n"/>
    </row>
    <row r="96">
      <c r="B96" s="51" t="n"/>
      <c r="C96" s="51" t="n"/>
      <c r="D96" s="51" t="n"/>
      <c r="E96" s="51" t="n"/>
      <c r="F96" s="51" t="n"/>
    </row>
    <row r="97">
      <c r="B97" s="51" t="n"/>
      <c r="C97" s="51" t="n"/>
      <c r="D97" s="51" t="n"/>
      <c r="E97" s="51" t="n"/>
      <c r="F97" s="51" t="n"/>
    </row>
    <row r="98">
      <c r="B98" s="51" t="n"/>
      <c r="C98" s="51" t="n"/>
      <c r="D98" s="51" t="n"/>
      <c r="E98" s="51" t="n"/>
      <c r="F98" s="51" t="n"/>
    </row>
    <row r="99">
      <c r="B99" s="51" t="n"/>
      <c r="C99" s="51" t="n"/>
      <c r="D99" s="51" t="n"/>
      <c r="E99" s="51" t="n"/>
      <c r="F99" s="51" t="n"/>
    </row>
    <row r="100">
      <c r="B100" s="51" t="n"/>
      <c r="C100" s="51" t="n"/>
      <c r="D100" s="51" t="n"/>
      <c r="E100" s="51" t="n"/>
      <c r="F100" s="51" t="n"/>
    </row>
    <row r="101">
      <c r="B101" s="51" t="n"/>
      <c r="C101" s="51" t="n"/>
      <c r="D101" s="51" t="n"/>
      <c r="E101" s="51" t="n"/>
      <c r="F101" s="51" t="n"/>
    </row>
    <row r="102">
      <c r="B102" s="51" t="n"/>
      <c r="C102" s="51" t="n"/>
      <c r="D102" s="51" t="n"/>
      <c r="E102" s="51" t="n"/>
      <c r="F102" s="51" t="n"/>
    </row>
    <row r="103">
      <c r="B103" s="51" t="n"/>
      <c r="C103" s="51" t="n"/>
      <c r="D103" s="51" t="n"/>
      <c r="E103" s="51" t="n"/>
      <c r="F103" s="51" t="n"/>
    </row>
    <row r="104">
      <c r="B104" s="51" t="n"/>
      <c r="C104" s="51" t="n"/>
      <c r="D104" s="51" t="n"/>
      <c r="E104" s="51" t="n"/>
      <c r="F104" s="51" t="n"/>
    </row>
    <row r="105">
      <c r="B105" s="51" t="n"/>
      <c r="C105" s="51" t="n"/>
      <c r="D105" s="51" t="n"/>
      <c r="E105" s="51" t="n"/>
      <c r="F105" s="51" t="n"/>
    </row>
    <row r="106">
      <c r="B106" s="51" t="n"/>
      <c r="C106" s="51" t="n"/>
      <c r="D106" s="51" t="n"/>
      <c r="E106" s="51" t="n"/>
      <c r="F106" s="51" t="n"/>
    </row>
    <row r="107">
      <c r="B107" s="51" t="n"/>
      <c r="C107" s="51" t="n"/>
      <c r="D107" s="51" t="n"/>
      <c r="E107" s="51" t="n"/>
      <c r="F107" s="51" t="n"/>
    </row>
    <row r="108">
      <c r="B108" s="51" t="n"/>
      <c r="C108" s="51" t="n"/>
      <c r="D108" s="51" t="n"/>
      <c r="E108" s="51" t="n"/>
      <c r="F108" s="51" t="n"/>
    </row>
    <row r="109">
      <c r="B109" s="51" t="n"/>
      <c r="C109" s="51" t="n"/>
      <c r="D109" s="51" t="n"/>
      <c r="E109" s="51" t="n"/>
      <c r="F109" s="51" t="n"/>
    </row>
    <row r="110">
      <c r="B110" s="51" t="n"/>
      <c r="C110" s="51" t="n"/>
      <c r="D110" s="51" t="n"/>
      <c r="E110" s="51" t="n"/>
      <c r="F110" s="51" t="n"/>
    </row>
    <row r="111">
      <c r="B111" s="51" t="n"/>
      <c r="C111" s="51" t="n"/>
      <c r="D111" s="51" t="n"/>
      <c r="E111" s="51" t="n"/>
      <c r="F111" s="51" t="n"/>
    </row>
    <row r="112">
      <c r="B112" s="51" t="n"/>
      <c r="C112" s="51" t="n"/>
      <c r="D112" s="51" t="n"/>
      <c r="E112" s="51" t="n"/>
      <c r="F112" s="51" t="n"/>
    </row>
    <row r="113">
      <c r="B113" s="51" t="n"/>
      <c r="C113" s="51" t="n"/>
      <c r="D113" s="51" t="n"/>
      <c r="E113" s="51" t="n"/>
      <c r="F113" s="51" t="n"/>
    </row>
    <row r="114">
      <c r="B114" s="51" t="n"/>
      <c r="C114" s="51" t="n"/>
      <c r="D114" s="51" t="n"/>
      <c r="E114" s="51" t="n"/>
      <c r="F114" s="51" t="n"/>
    </row>
    <row r="115">
      <c r="B115" s="51" t="n"/>
      <c r="C115" s="51" t="n"/>
      <c r="D115" s="51" t="n"/>
      <c r="E115" s="51" t="n"/>
      <c r="F115" s="51" t="n"/>
    </row>
    <row r="116">
      <c r="B116" s="51" t="n"/>
      <c r="C116" s="51" t="n"/>
      <c r="D116" s="51" t="n"/>
      <c r="E116" s="51" t="n"/>
      <c r="F116" s="51" t="n"/>
    </row>
    <row r="117">
      <c r="B117" s="51" t="n"/>
      <c r="C117" s="51" t="n"/>
      <c r="D117" s="51" t="n"/>
      <c r="E117" s="51" t="n"/>
      <c r="F117" s="51" t="n"/>
    </row>
    <row r="118">
      <c r="B118" s="51" t="n"/>
      <c r="C118" s="51" t="n"/>
      <c r="D118" s="51" t="n"/>
      <c r="E118" s="51" t="n"/>
      <c r="F118" s="51" t="n"/>
    </row>
    <row r="119">
      <c r="B119" s="51" t="n"/>
      <c r="C119" s="51" t="n"/>
      <c r="D119" s="51" t="n"/>
      <c r="E119" s="51" t="n"/>
      <c r="F119" s="51" t="n"/>
    </row>
    <row r="120">
      <c r="B120" s="51" t="n"/>
      <c r="C120" s="51" t="n"/>
      <c r="D120" s="51" t="n"/>
      <c r="E120" s="51" t="n"/>
      <c r="F120" s="51" t="n"/>
    </row>
    <row r="121">
      <c r="B121" s="51" t="n"/>
      <c r="C121" s="51" t="n"/>
      <c r="D121" s="51" t="n"/>
      <c r="E121" s="51" t="n"/>
      <c r="F121" s="51" t="n"/>
    </row>
    <row r="122">
      <c r="B122" s="51" t="n"/>
      <c r="C122" s="51" t="n"/>
      <c r="D122" s="51" t="n"/>
      <c r="E122" s="51" t="n"/>
      <c r="F122" s="51" t="n"/>
    </row>
    <row r="123">
      <c r="B123" s="51" t="n"/>
      <c r="C123" s="51" t="n"/>
      <c r="D123" s="51" t="n"/>
      <c r="E123" s="51" t="n"/>
      <c r="F123" s="51" t="n"/>
    </row>
    <row r="124">
      <c r="B124" s="51" t="n"/>
      <c r="C124" s="51" t="n"/>
      <c r="D124" s="51" t="n"/>
      <c r="E124" s="51" t="n"/>
      <c r="F124" s="51" t="n"/>
    </row>
    <row r="125">
      <c r="B125" s="51" t="n"/>
      <c r="C125" s="51" t="n"/>
      <c r="D125" s="51" t="n"/>
      <c r="E125" s="51" t="n"/>
      <c r="F125" s="51" t="n"/>
    </row>
    <row r="126">
      <c r="B126" s="51" t="n"/>
      <c r="C126" s="51" t="n"/>
      <c r="D126" s="51" t="n"/>
      <c r="E126" s="51" t="n"/>
      <c r="F126" s="51" t="n"/>
    </row>
    <row r="127">
      <c r="B127" s="51" t="n"/>
      <c r="C127" s="51" t="n"/>
      <c r="D127" s="51" t="n"/>
      <c r="E127" s="51" t="n"/>
      <c r="F127" s="51" t="n"/>
    </row>
    <row r="128">
      <c r="B128" s="51" t="n"/>
      <c r="C128" s="51" t="n"/>
      <c r="D128" s="51" t="n"/>
      <c r="E128" s="51" t="n"/>
      <c r="F128" s="51" t="n"/>
    </row>
    <row r="129">
      <c r="B129" s="51" t="n"/>
      <c r="C129" s="51" t="n"/>
      <c r="D129" s="51" t="n"/>
      <c r="E129" s="51" t="n"/>
      <c r="F129" s="51" t="n"/>
    </row>
    <row r="130">
      <c r="B130" s="51" t="n"/>
      <c r="C130" s="51" t="n"/>
      <c r="D130" s="51" t="n"/>
      <c r="E130" s="51" t="n"/>
      <c r="F130" s="51" t="n"/>
    </row>
    <row r="131">
      <c r="B131" s="51" t="n"/>
      <c r="C131" s="51" t="n"/>
      <c r="D131" s="51" t="n"/>
      <c r="E131" s="51" t="n"/>
      <c r="F131" s="51" t="n"/>
    </row>
    <row r="132">
      <c r="B132" s="51" t="n"/>
      <c r="C132" s="51" t="n"/>
      <c r="D132" s="51" t="n"/>
      <c r="E132" s="51" t="n"/>
      <c r="F132" s="51" t="n"/>
    </row>
    <row r="133">
      <c r="B133" s="51" t="n"/>
      <c r="C133" s="51" t="n"/>
      <c r="D133" s="51" t="n"/>
      <c r="E133" s="51" t="n"/>
      <c r="F133" s="51" t="n"/>
    </row>
    <row r="134">
      <c r="B134" s="51" t="n"/>
      <c r="C134" s="51" t="n"/>
      <c r="D134" s="51" t="n"/>
      <c r="E134" s="51" t="n"/>
      <c r="F134" s="51" t="n"/>
    </row>
    <row r="135">
      <c r="B135" s="51" t="n"/>
      <c r="C135" s="51" t="n"/>
      <c r="D135" s="51" t="n"/>
      <c r="E135" s="51" t="n"/>
      <c r="F135" s="51" t="n"/>
    </row>
    <row r="136">
      <c r="B136" s="51" t="n"/>
      <c r="C136" s="51" t="n"/>
      <c r="D136" s="51" t="n"/>
      <c r="E136" s="51" t="n"/>
      <c r="F136" s="51" t="n"/>
    </row>
    <row r="137">
      <c r="B137" s="51" t="n"/>
      <c r="C137" s="51" t="n"/>
      <c r="D137" s="51" t="n"/>
      <c r="E137" s="51" t="n"/>
      <c r="F137" s="51" t="n"/>
    </row>
    <row r="138">
      <c r="B138" s="51" t="n"/>
      <c r="C138" s="51" t="n"/>
      <c r="D138" s="51" t="n"/>
      <c r="E138" s="51" t="n"/>
      <c r="F138" s="51" t="n"/>
    </row>
    <row r="139">
      <c r="B139" s="51" t="n"/>
      <c r="C139" s="51" t="n"/>
      <c r="D139" s="51" t="n"/>
      <c r="E139" s="51" t="n"/>
      <c r="F139" s="51" t="n"/>
    </row>
    <row r="140">
      <c r="B140" s="51" t="n"/>
      <c r="C140" s="51" t="n"/>
      <c r="D140" s="51" t="n"/>
      <c r="E140" s="51" t="n"/>
      <c r="F140" s="51" t="n"/>
    </row>
    <row r="141">
      <c r="B141" s="51" t="n"/>
      <c r="C141" s="51" t="n"/>
      <c r="D141" s="51" t="n"/>
      <c r="E141" s="51" t="n"/>
      <c r="F141" s="51" t="n"/>
    </row>
    <row r="142">
      <c r="B142" s="51" t="n"/>
      <c r="C142" s="51" t="n"/>
      <c r="D142" s="51" t="n"/>
      <c r="E142" s="51" t="n"/>
      <c r="F142" s="51" t="n"/>
    </row>
    <row r="143">
      <c r="B143" s="51" t="n"/>
      <c r="C143" s="51" t="n"/>
      <c r="D143" s="51" t="n"/>
      <c r="E143" s="51" t="n"/>
      <c r="F143" s="51" t="n"/>
    </row>
    <row r="144">
      <c r="B144" s="51" t="n"/>
      <c r="C144" s="51" t="n"/>
      <c r="D144" s="51" t="n"/>
      <c r="E144" s="51" t="n"/>
      <c r="F144" s="51" t="n"/>
    </row>
    <row r="145">
      <c r="B145" s="51" t="n"/>
      <c r="C145" s="51" t="n"/>
      <c r="D145" s="51" t="n"/>
      <c r="E145" s="51" t="n"/>
      <c r="F145" s="51" t="n"/>
    </row>
    <row r="146">
      <c r="B146" s="51" t="n"/>
      <c r="C146" s="51" t="n"/>
      <c r="D146" s="51" t="n"/>
      <c r="E146" s="51" t="n"/>
      <c r="F146" s="51" t="n"/>
    </row>
    <row r="147">
      <c r="B147" s="51" t="n"/>
      <c r="C147" s="51" t="n"/>
      <c r="D147" s="51" t="n"/>
      <c r="E147" s="51" t="n"/>
      <c r="F147" s="51" t="n"/>
    </row>
    <row r="148">
      <c r="B148" s="51" t="n"/>
      <c r="C148" s="51" t="n"/>
      <c r="D148" s="51" t="n"/>
      <c r="E148" s="51" t="n"/>
      <c r="F148" s="51" t="n"/>
    </row>
    <row r="149">
      <c r="B149" s="51" t="n"/>
      <c r="C149" s="51" t="n"/>
      <c r="D149" s="51" t="n"/>
      <c r="E149" s="51" t="n"/>
      <c r="F149" s="51" t="n"/>
    </row>
    <row r="150">
      <c r="B150" s="51" t="n"/>
      <c r="C150" s="51" t="n"/>
      <c r="D150" s="51" t="n"/>
      <c r="E150" s="51" t="n"/>
      <c r="F150" s="51" t="n"/>
    </row>
    <row r="151">
      <c r="B151" s="51" t="n"/>
      <c r="C151" s="51" t="n"/>
      <c r="D151" s="51" t="n"/>
      <c r="E151" s="51" t="n"/>
      <c r="F151" s="51" t="n"/>
    </row>
    <row r="152">
      <c r="B152" s="51" t="n"/>
      <c r="C152" s="51" t="n"/>
      <c r="D152" s="51" t="n"/>
      <c r="E152" s="51" t="n"/>
      <c r="F152" s="51" t="n"/>
    </row>
    <row r="153">
      <c r="B153" s="51" t="n"/>
      <c r="C153" s="51" t="n"/>
      <c r="D153" s="51" t="n"/>
      <c r="E153" s="51" t="n"/>
      <c r="F153" s="51" t="n"/>
    </row>
    <row r="154">
      <c r="B154" s="51" t="n"/>
      <c r="C154" s="51" t="n"/>
      <c r="D154" s="51" t="n"/>
      <c r="E154" s="51" t="n"/>
      <c r="F154" s="51" t="n"/>
    </row>
    <row r="155">
      <c r="B155" s="51" t="n"/>
      <c r="C155" s="51" t="n"/>
      <c r="D155" s="51" t="n"/>
      <c r="E155" s="51" t="n"/>
      <c r="F155" s="51" t="n"/>
    </row>
    <row r="156">
      <c r="B156" s="51" t="n"/>
      <c r="C156" s="51" t="n"/>
      <c r="D156" s="51" t="n"/>
      <c r="E156" s="51" t="n"/>
      <c r="F156" s="51" t="n"/>
    </row>
    <row r="157">
      <c r="B157" s="51" t="n"/>
      <c r="C157" s="51" t="n"/>
      <c r="D157" s="51" t="n"/>
      <c r="E157" s="51" t="n"/>
      <c r="F157" s="51" t="n"/>
    </row>
    <row r="158">
      <c r="B158" s="51" t="n"/>
      <c r="C158" s="51" t="n"/>
      <c r="D158" s="51" t="n"/>
      <c r="E158" s="51" t="n"/>
      <c r="F158" s="51" t="n"/>
    </row>
    <row r="159">
      <c r="B159" s="51" t="n"/>
      <c r="C159" s="51" t="n"/>
      <c r="D159" s="51" t="n"/>
      <c r="E159" s="51" t="n"/>
      <c r="F159" s="51" t="n"/>
    </row>
    <row r="160">
      <c r="B160" s="51" t="n"/>
      <c r="C160" s="51" t="n"/>
      <c r="D160" s="51" t="n"/>
      <c r="E160" s="51" t="n"/>
      <c r="F160" s="51" t="n"/>
    </row>
    <row r="161">
      <c r="B161" s="51" t="n"/>
      <c r="C161" s="51" t="n"/>
      <c r="D161" s="51" t="n"/>
      <c r="E161" s="51" t="n"/>
      <c r="F161" s="51" t="n"/>
    </row>
    <row r="162">
      <c r="B162" s="51" t="n"/>
      <c r="C162" s="51" t="n"/>
      <c r="D162" s="51" t="n"/>
      <c r="E162" s="51" t="n"/>
      <c r="F162" s="51" t="n"/>
    </row>
    <row r="163">
      <c r="B163" s="51" t="n"/>
      <c r="C163" s="51" t="n"/>
      <c r="D163" s="51" t="n"/>
      <c r="E163" s="51" t="n"/>
      <c r="F163" s="51" t="n"/>
    </row>
    <row r="164">
      <c r="B164" s="51" t="n"/>
      <c r="C164" s="51" t="n"/>
      <c r="D164" s="51" t="n"/>
      <c r="E164" s="51" t="n"/>
      <c r="F164" s="51" t="n"/>
    </row>
    <row r="165">
      <c r="B165" s="51" t="n"/>
      <c r="C165" s="51" t="n"/>
      <c r="D165" s="51" t="n"/>
      <c r="E165" s="51" t="n"/>
      <c r="F165" s="51" t="n"/>
    </row>
    <row r="166">
      <c r="B166" s="51" t="n"/>
      <c r="C166" s="51" t="n"/>
      <c r="D166" s="51" t="n"/>
      <c r="E166" s="51" t="n"/>
      <c r="F166" s="51" t="n"/>
    </row>
    <row r="167">
      <c r="B167" s="51" t="n"/>
      <c r="C167" s="51" t="n"/>
      <c r="D167" s="51" t="n"/>
      <c r="E167" s="51" t="n"/>
      <c r="F167" s="51" t="n"/>
    </row>
    <row r="168">
      <c r="B168" s="51" t="n"/>
      <c r="C168" s="51" t="n"/>
      <c r="D168" s="51" t="n"/>
      <c r="E168" s="51" t="n"/>
      <c r="F168" s="51" t="n"/>
    </row>
    <row r="169">
      <c r="B169" s="51" t="n"/>
      <c r="C169" s="51" t="n"/>
      <c r="D169" s="51" t="n"/>
      <c r="E169" s="51" t="n"/>
      <c r="F169" s="51" t="n"/>
    </row>
    <row r="170">
      <c r="B170" s="51" t="n"/>
      <c r="C170" s="51" t="n"/>
      <c r="D170" s="51" t="n"/>
      <c r="E170" s="51" t="n"/>
      <c r="F170" s="51" t="n"/>
    </row>
    <row r="171">
      <c r="B171" s="51" t="n"/>
      <c r="C171" s="51" t="n"/>
      <c r="D171" s="51" t="n"/>
      <c r="E171" s="51" t="n"/>
      <c r="F171" s="51" t="n"/>
    </row>
    <row r="172">
      <c r="B172" s="51" t="n"/>
      <c r="C172" s="51" t="n"/>
      <c r="D172" s="51" t="n"/>
      <c r="E172" s="51" t="n"/>
      <c r="F172" s="51" t="n"/>
    </row>
    <row r="173">
      <c r="B173" s="51" t="n"/>
      <c r="C173" s="51" t="n"/>
      <c r="D173" s="51" t="n"/>
      <c r="E173" s="51" t="n"/>
      <c r="F173" s="51" t="n"/>
    </row>
    <row r="174">
      <c r="B174" s="51" t="n"/>
      <c r="C174" s="51" t="n"/>
      <c r="D174" s="51" t="n"/>
      <c r="E174" s="51" t="n"/>
      <c r="F174" s="51" t="n"/>
    </row>
    <row r="175">
      <c r="B175" s="51" t="n"/>
      <c r="C175" s="51" t="n"/>
      <c r="D175" s="51" t="n"/>
      <c r="E175" s="51" t="n"/>
      <c r="F175" s="51" t="n"/>
    </row>
    <row r="176">
      <c r="B176" s="51" t="n"/>
      <c r="C176" s="51" t="n"/>
      <c r="D176" s="51" t="n"/>
      <c r="E176" s="51" t="n"/>
      <c r="F176" s="51" t="n"/>
    </row>
    <row r="177">
      <c r="B177" s="51" t="n"/>
      <c r="C177" s="51" t="n"/>
      <c r="D177" s="51" t="n"/>
      <c r="E177" s="51" t="n"/>
      <c r="F177" s="51" t="n"/>
    </row>
    <row r="178">
      <c r="B178" s="51" t="n"/>
      <c r="C178" s="51" t="n"/>
      <c r="D178" s="51" t="n"/>
      <c r="E178" s="51" t="n"/>
      <c r="F178" s="51" t="n"/>
    </row>
    <row r="179">
      <c r="B179" s="51" t="n"/>
      <c r="C179" s="51" t="n"/>
      <c r="D179" s="51" t="n"/>
      <c r="E179" s="51" t="n"/>
      <c r="F179" s="51" t="n"/>
    </row>
    <row r="180">
      <c r="B180" s="51" t="n"/>
      <c r="C180" s="51" t="n"/>
      <c r="D180" s="51" t="n"/>
      <c r="E180" s="51" t="n"/>
      <c r="F180" s="51" t="n"/>
    </row>
    <row r="181">
      <c r="B181" s="51" t="n"/>
      <c r="C181" s="51" t="n"/>
      <c r="D181" s="51" t="n"/>
      <c r="E181" s="51" t="n"/>
      <c r="F181" s="51" t="n"/>
    </row>
    <row r="182">
      <c r="B182" s="51" t="n"/>
      <c r="C182" s="51" t="n"/>
      <c r="D182" s="51" t="n"/>
      <c r="E182" s="51" t="n"/>
      <c r="F182" s="51" t="n"/>
    </row>
    <row r="183">
      <c r="B183" s="51" t="n"/>
      <c r="C183" s="51" t="n"/>
      <c r="D183" s="51" t="n"/>
      <c r="E183" s="51" t="n"/>
      <c r="F183" s="51" t="n"/>
    </row>
    <row r="184">
      <c r="B184" s="51" t="n"/>
      <c r="C184" s="51" t="n"/>
      <c r="D184" s="51" t="n"/>
      <c r="E184" s="51" t="n"/>
      <c r="F184" s="51" t="n"/>
    </row>
    <row r="185">
      <c r="B185" s="51" t="n"/>
      <c r="C185" s="51" t="n"/>
      <c r="D185" s="51" t="n"/>
      <c r="E185" s="51" t="n"/>
      <c r="F185" s="51" t="n"/>
    </row>
    <row r="186">
      <c r="B186" s="51" t="n"/>
      <c r="C186" s="51" t="n"/>
      <c r="D186" s="51" t="n"/>
      <c r="E186" s="51" t="n"/>
      <c r="F186" s="51" t="n"/>
    </row>
    <row r="187">
      <c r="B187" s="51" t="n"/>
      <c r="C187" s="51" t="n"/>
      <c r="D187" s="51" t="n"/>
      <c r="E187" s="51" t="n"/>
      <c r="F187" s="51" t="n"/>
    </row>
    <row r="188">
      <c r="B188" s="51" t="n"/>
      <c r="C188" s="51" t="n"/>
      <c r="D188" s="51" t="n"/>
      <c r="E188" s="51" t="n"/>
      <c r="F188" s="51" t="n"/>
    </row>
    <row r="189">
      <c r="B189" s="51" t="n"/>
      <c r="C189" s="51" t="n"/>
      <c r="D189" s="51" t="n"/>
      <c r="E189" s="51" t="n"/>
      <c r="F189" s="51" t="n"/>
    </row>
    <row r="190">
      <c r="B190" s="51" t="n"/>
      <c r="C190" s="51" t="n"/>
      <c r="D190" s="51" t="n"/>
      <c r="E190" s="51" t="n"/>
      <c r="F190" s="51" t="n"/>
    </row>
    <row r="191">
      <c r="B191" s="51" t="n"/>
      <c r="C191" s="51" t="n"/>
      <c r="D191" s="51" t="n"/>
      <c r="E191" s="51" t="n"/>
      <c r="F191" s="51" t="n"/>
    </row>
    <row r="192">
      <c r="B192" s="51" t="n"/>
      <c r="C192" s="51" t="n"/>
      <c r="D192" s="51" t="n"/>
      <c r="E192" s="51" t="n"/>
      <c r="F192" s="51" t="n"/>
    </row>
    <row r="193">
      <c r="B193" s="51" t="n"/>
      <c r="C193" s="51" t="n"/>
      <c r="D193" s="51" t="n"/>
      <c r="E193" s="51" t="n"/>
      <c r="F193" s="51" t="n"/>
    </row>
    <row r="194">
      <c r="B194" s="51" t="n"/>
      <c r="C194" s="51" t="n"/>
      <c r="D194" s="51" t="n"/>
      <c r="E194" s="51" t="n"/>
      <c r="F194" s="51" t="n"/>
    </row>
    <row r="195">
      <c r="B195" s="51" t="n"/>
      <c r="C195" s="51" t="n"/>
      <c r="D195" s="51" t="n"/>
      <c r="E195" s="51" t="n"/>
      <c r="F195" s="51" t="n"/>
    </row>
    <row r="196">
      <c r="B196" s="51" t="n"/>
      <c r="C196" s="51" t="n"/>
      <c r="D196" s="51" t="n"/>
      <c r="E196" s="51" t="n"/>
      <c r="F196" s="51" t="n"/>
    </row>
    <row r="197">
      <c r="B197" s="51" t="n"/>
      <c r="C197" s="51" t="n"/>
      <c r="D197" s="51" t="n"/>
      <c r="E197" s="51" t="n"/>
      <c r="F197" s="51" t="n"/>
    </row>
    <row r="198">
      <c r="B198" s="51" t="n"/>
      <c r="C198" s="51" t="n"/>
      <c r="D198" s="51" t="n"/>
      <c r="E198" s="51" t="n"/>
      <c r="F198" s="51" t="n"/>
    </row>
    <row r="199">
      <c r="B199" s="51" t="n"/>
      <c r="C199" s="51" t="n"/>
      <c r="D199" s="51" t="n"/>
      <c r="E199" s="51" t="n"/>
      <c r="F199" s="51" t="n"/>
    </row>
    <row r="200">
      <c r="B200" s="51" t="n"/>
      <c r="C200" s="51" t="n"/>
      <c r="D200" s="51" t="n"/>
      <c r="E200" s="51" t="n"/>
      <c r="F200" s="51" t="n"/>
    </row>
    <row r="201">
      <c r="B201" s="51" t="n"/>
      <c r="C201" s="51" t="n"/>
      <c r="D201" s="51" t="n"/>
      <c r="E201" s="51" t="n"/>
      <c r="F201" s="51" t="n"/>
    </row>
    <row r="202">
      <c r="B202" s="51" t="n"/>
      <c r="C202" s="51" t="n"/>
      <c r="D202" s="51" t="n"/>
      <c r="E202" s="51" t="n"/>
      <c r="F202" s="51" t="n"/>
    </row>
    <row r="203">
      <c r="B203" s="51" t="n"/>
      <c r="C203" s="51" t="n"/>
      <c r="D203" s="51" t="n"/>
      <c r="E203" s="51" t="n"/>
      <c r="F203" s="51" t="n"/>
    </row>
    <row r="204">
      <c r="B204" s="51" t="n"/>
      <c r="C204" s="51" t="n"/>
      <c r="D204" s="51" t="n"/>
      <c r="E204" s="51" t="n"/>
      <c r="F204" s="51" t="n"/>
    </row>
    <row r="205">
      <c r="B205" s="51" t="n"/>
      <c r="C205" s="51" t="n"/>
      <c r="D205" s="51" t="n"/>
      <c r="E205" s="51" t="n"/>
      <c r="F205" s="51" t="n"/>
    </row>
    <row r="206">
      <c r="B206" s="51" t="n"/>
      <c r="C206" s="51" t="n"/>
      <c r="D206" s="51" t="n"/>
      <c r="E206" s="51" t="n"/>
      <c r="F206" s="51" t="n"/>
    </row>
    <row r="207">
      <c r="B207" s="51" t="n"/>
      <c r="C207" s="51" t="n"/>
      <c r="D207" s="51" t="n"/>
      <c r="E207" s="51" t="n"/>
      <c r="F207" s="51" t="n"/>
    </row>
    <row r="208">
      <c r="B208" s="51" t="n"/>
      <c r="C208" s="51" t="n"/>
      <c r="D208" s="51" t="n"/>
      <c r="E208" s="51" t="n"/>
      <c r="F208" s="51" t="n"/>
    </row>
    <row r="209">
      <c r="B209" s="51" t="n"/>
      <c r="C209" s="51" t="n"/>
      <c r="D209" s="51" t="n"/>
      <c r="E209" s="51" t="n"/>
      <c r="F209" s="51" t="n"/>
    </row>
    <row r="210">
      <c r="B210" s="51" t="n"/>
      <c r="C210" s="51" t="n"/>
      <c r="D210" s="51" t="n"/>
      <c r="E210" s="51" t="n"/>
      <c r="F210" s="51" t="n"/>
    </row>
    <row r="211">
      <c r="B211" s="51" t="n"/>
      <c r="C211" s="51" t="n"/>
      <c r="D211" s="51" t="n"/>
      <c r="E211" s="51" t="n"/>
      <c r="F211" s="51" t="n"/>
    </row>
    <row r="212">
      <c r="B212" s="51" t="n"/>
      <c r="C212" s="51" t="n"/>
      <c r="D212" s="51" t="n"/>
      <c r="E212" s="51" t="n"/>
      <c r="F212" s="51" t="n"/>
    </row>
    <row r="213">
      <c r="B213" s="51" t="n"/>
      <c r="C213" s="51" t="n"/>
      <c r="D213" s="51" t="n"/>
      <c r="E213" s="51" t="n"/>
      <c r="F213" s="51" t="n"/>
    </row>
    <row r="214">
      <c r="B214" s="51" t="n"/>
      <c r="C214" s="51" t="n"/>
      <c r="D214" s="51" t="n"/>
      <c r="E214" s="51" t="n"/>
      <c r="F214" s="51" t="n"/>
    </row>
    <row r="215">
      <c r="B215" s="51" t="n"/>
      <c r="C215" s="51" t="n"/>
      <c r="D215" s="51" t="n"/>
      <c r="E215" s="51" t="n"/>
      <c r="F215" s="51" t="n"/>
    </row>
    <row r="216">
      <c r="B216" s="51" t="n"/>
      <c r="C216" s="51" t="n"/>
      <c r="D216" s="51" t="n"/>
      <c r="E216" s="51" t="n"/>
      <c r="F216" s="51" t="n"/>
    </row>
    <row r="217">
      <c r="B217" s="51" t="n"/>
      <c r="C217" s="51" t="n"/>
      <c r="D217" s="51" t="n"/>
      <c r="E217" s="51" t="n"/>
      <c r="F217" s="51" t="n"/>
    </row>
    <row r="218">
      <c r="B218" s="51" t="n"/>
      <c r="C218" s="51" t="n"/>
      <c r="D218" s="51" t="n"/>
      <c r="E218" s="51" t="n"/>
      <c r="F218" s="51" t="n"/>
    </row>
    <row r="219">
      <c r="B219" s="51" t="n"/>
      <c r="C219" s="51" t="n"/>
      <c r="D219" s="51" t="n"/>
      <c r="E219" s="51" t="n"/>
      <c r="F219" s="51" t="n"/>
    </row>
    <row r="220">
      <c r="B220" s="51" t="n"/>
      <c r="C220" s="51" t="n"/>
      <c r="D220" s="51" t="n"/>
      <c r="E220" s="51" t="n"/>
      <c r="F220" s="51" t="n"/>
    </row>
    <row r="221">
      <c r="B221" s="51" t="n"/>
      <c r="C221" s="51" t="n"/>
      <c r="D221" s="51" t="n"/>
      <c r="E221" s="51" t="n"/>
      <c r="F221" s="51" t="n"/>
    </row>
    <row r="222">
      <c r="B222" s="51" t="n"/>
      <c r="C222" s="51" t="n"/>
      <c r="D222" s="51" t="n"/>
      <c r="E222" s="51" t="n"/>
      <c r="F222" s="51" t="n"/>
    </row>
    <row r="223">
      <c r="B223" s="51" t="n"/>
      <c r="C223" s="51" t="n"/>
      <c r="D223" s="51" t="n"/>
      <c r="E223" s="51" t="n"/>
      <c r="F223" s="51" t="n"/>
    </row>
    <row r="224">
      <c r="B224" s="51" t="n"/>
      <c r="C224" s="51" t="n"/>
      <c r="D224" s="51" t="n"/>
      <c r="E224" s="51" t="n"/>
      <c r="F224" s="51" t="n"/>
    </row>
    <row r="225">
      <c r="B225" s="51" t="n"/>
      <c r="C225" s="51" t="n"/>
      <c r="D225" s="51" t="n"/>
      <c r="E225" s="51" t="n"/>
      <c r="F225" s="51" t="n"/>
    </row>
    <row r="226">
      <c r="B226" s="51" t="n"/>
      <c r="C226" s="51" t="n"/>
      <c r="D226" s="51" t="n"/>
      <c r="E226" s="51" t="n"/>
      <c r="F226" s="51" t="n"/>
    </row>
    <row r="227">
      <c r="B227" s="51" t="n"/>
      <c r="C227" s="51" t="n"/>
      <c r="D227" s="51" t="n"/>
      <c r="E227" s="51" t="n"/>
      <c r="F227" s="51" t="n"/>
    </row>
    <row r="228">
      <c r="B228" s="51" t="n"/>
      <c r="C228" s="51" t="n"/>
      <c r="D228" s="51" t="n"/>
      <c r="E228" s="51" t="n"/>
      <c r="F228" s="51" t="n"/>
    </row>
    <row r="229">
      <c r="B229" s="51" t="n"/>
      <c r="C229" s="51" t="n"/>
      <c r="D229" s="51" t="n"/>
      <c r="E229" s="51" t="n"/>
      <c r="F229" s="51" t="n"/>
    </row>
    <row r="230">
      <c r="B230" s="51" t="n"/>
      <c r="C230" s="51" t="n"/>
      <c r="D230" s="51" t="n"/>
      <c r="E230" s="51" t="n"/>
      <c r="F230" s="51" t="n"/>
    </row>
    <row r="231">
      <c r="B231" s="51" t="n"/>
      <c r="C231" s="51" t="n"/>
      <c r="D231" s="51" t="n"/>
      <c r="E231" s="51" t="n"/>
      <c r="F231" s="51" t="n"/>
    </row>
    <row r="232">
      <c r="B232" s="51" t="n"/>
      <c r="C232" s="51" t="n"/>
      <c r="D232" s="51" t="n"/>
      <c r="E232" s="51" t="n"/>
      <c r="F232" s="51" t="n"/>
    </row>
    <row r="233">
      <c r="B233" s="51" t="n"/>
      <c r="C233" s="51" t="n"/>
      <c r="D233" s="51" t="n"/>
      <c r="E233" s="51" t="n"/>
      <c r="F233" s="51" t="n"/>
    </row>
    <row r="234">
      <c r="B234" s="51" t="n"/>
      <c r="C234" s="51" t="n"/>
      <c r="D234" s="51" t="n"/>
      <c r="E234" s="51" t="n"/>
      <c r="F234" s="51" t="n"/>
    </row>
    <row r="235">
      <c r="B235" s="51" t="n"/>
      <c r="C235" s="51" t="n"/>
      <c r="D235" s="51" t="n"/>
      <c r="E235" s="51" t="n"/>
      <c r="F235" s="51" t="n"/>
    </row>
    <row r="236">
      <c r="B236" s="51" t="n"/>
      <c r="C236" s="51" t="n"/>
      <c r="D236" s="51" t="n"/>
      <c r="E236" s="51" t="n"/>
      <c r="F236" s="51" t="n"/>
    </row>
    <row r="237">
      <c r="B237" s="51" t="n"/>
      <c r="C237" s="51" t="n"/>
      <c r="D237" s="51" t="n"/>
      <c r="E237" s="51" t="n"/>
      <c r="F237" s="51" t="n"/>
    </row>
    <row r="238">
      <c r="B238" s="51" t="n"/>
      <c r="C238" s="51" t="n"/>
      <c r="D238" s="51" t="n"/>
      <c r="E238" s="51" t="n"/>
      <c r="F238" s="51" t="n"/>
    </row>
    <row r="239">
      <c r="B239" s="51" t="n"/>
      <c r="C239" s="51" t="n"/>
      <c r="D239" s="51" t="n"/>
      <c r="E239" s="51" t="n"/>
      <c r="F239" s="51" t="n"/>
    </row>
    <row r="240">
      <c r="B240" s="51" t="n"/>
      <c r="C240" s="51" t="n"/>
      <c r="D240" s="51" t="n"/>
      <c r="E240" s="51" t="n"/>
      <c r="F240" s="51" t="n"/>
    </row>
    <row r="241">
      <c r="B241" s="51" t="n"/>
      <c r="C241" s="51" t="n"/>
      <c r="D241" s="51" t="n"/>
      <c r="E241" s="51" t="n"/>
      <c r="F241" s="51" t="n"/>
    </row>
    <row r="242">
      <c r="B242" s="51" t="n"/>
      <c r="C242" s="51" t="n"/>
      <c r="D242" s="51" t="n"/>
      <c r="E242" s="51" t="n"/>
      <c r="F242" s="51" t="n"/>
    </row>
    <row r="243">
      <c r="B243" s="51" t="n"/>
      <c r="C243" s="51" t="n"/>
      <c r="D243" s="51" t="n"/>
      <c r="E243" s="51" t="n"/>
      <c r="F243" s="51" t="n"/>
    </row>
    <row r="244">
      <c r="B244" s="51" t="n"/>
      <c r="C244" s="51" t="n"/>
      <c r="D244" s="51" t="n"/>
      <c r="E244" s="51" t="n"/>
      <c r="F244" s="51" t="n"/>
    </row>
    <row r="245">
      <c r="B245" s="51" t="n"/>
      <c r="C245" s="51" t="n"/>
      <c r="D245" s="51" t="n"/>
      <c r="E245" s="51" t="n"/>
      <c r="F245" s="51" t="n"/>
    </row>
    <row r="246">
      <c r="B246" s="51" t="n"/>
      <c r="C246" s="51" t="n"/>
      <c r="D246" s="51" t="n"/>
      <c r="E246" s="51" t="n"/>
      <c r="F246" s="51" t="n"/>
    </row>
    <row r="247">
      <c r="B247" s="51" t="n"/>
      <c r="C247" s="51" t="n"/>
      <c r="D247" s="51" t="n"/>
      <c r="E247" s="51" t="n"/>
      <c r="F247" s="51" t="n"/>
    </row>
    <row r="248">
      <c r="B248" s="51" t="n"/>
      <c r="C248" s="51" t="n"/>
      <c r="D248" s="51" t="n"/>
      <c r="E248" s="51" t="n"/>
      <c r="F248" s="51" t="n"/>
    </row>
    <row r="249">
      <c r="B249" s="51" t="n"/>
      <c r="C249" s="51" t="n"/>
      <c r="D249" s="51" t="n"/>
      <c r="E249" s="51" t="n"/>
      <c r="F249" s="51" t="n"/>
    </row>
    <row r="250">
      <c r="B250" s="51" t="n"/>
      <c r="C250" s="51" t="n"/>
      <c r="D250" s="51" t="n"/>
      <c r="E250" s="51" t="n"/>
      <c r="F250" s="51" t="n"/>
    </row>
    <row r="251">
      <c r="B251" s="51" t="n"/>
      <c r="C251" s="51" t="n"/>
      <c r="D251" s="51" t="n"/>
      <c r="E251" s="51" t="n"/>
      <c r="F251" s="51" t="n"/>
    </row>
    <row r="252">
      <c r="B252" s="51" t="n"/>
      <c r="C252" s="51" t="n"/>
      <c r="D252" s="51" t="n"/>
      <c r="E252" s="51" t="n"/>
      <c r="F252" s="51" t="n"/>
    </row>
    <row r="253">
      <c r="B253" s="51" t="n"/>
      <c r="C253" s="51" t="n"/>
      <c r="D253" s="51" t="n"/>
      <c r="E253" s="51" t="n"/>
      <c r="F253" s="51" t="n"/>
    </row>
    <row r="254">
      <c r="B254" s="51" t="n"/>
      <c r="C254" s="51" t="n"/>
      <c r="D254" s="51" t="n"/>
      <c r="E254" s="51" t="n"/>
      <c r="F254" s="51" t="n"/>
    </row>
    <row r="255">
      <c r="B255" s="51" t="n"/>
      <c r="C255" s="51" t="n"/>
      <c r="D255" s="51" t="n"/>
      <c r="E255" s="51" t="n"/>
      <c r="F255" s="51" t="n"/>
    </row>
    <row r="256">
      <c r="B256" s="51" t="n"/>
      <c r="C256" s="51" t="n"/>
      <c r="D256" s="51" t="n"/>
      <c r="E256" s="51" t="n"/>
      <c r="F256" s="51" t="n"/>
    </row>
    <row r="257">
      <c r="B257" s="51" t="n"/>
      <c r="C257" s="51" t="n"/>
      <c r="D257" s="51" t="n"/>
      <c r="E257" s="51" t="n"/>
      <c r="F257" s="51" t="n"/>
    </row>
    <row r="258">
      <c r="B258" s="51" t="n"/>
      <c r="C258" s="51" t="n"/>
      <c r="D258" s="51" t="n"/>
      <c r="E258" s="51" t="n"/>
      <c r="F258" s="51" t="n"/>
    </row>
    <row r="259">
      <c r="B259" s="51" t="n"/>
      <c r="C259" s="51" t="n"/>
      <c r="D259" s="51" t="n"/>
      <c r="E259" s="51" t="n"/>
      <c r="F259" s="51" t="n"/>
    </row>
    <row r="260">
      <c r="B260" s="51" t="n"/>
      <c r="C260" s="51" t="n"/>
      <c r="D260" s="51" t="n"/>
      <c r="E260" s="51" t="n"/>
      <c r="F260" s="51" t="n"/>
    </row>
    <row r="261">
      <c r="B261" s="51" t="n"/>
      <c r="C261" s="51" t="n"/>
      <c r="D261" s="51" t="n"/>
      <c r="E261" s="51" t="n"/>
      <c r="F261" s="51" t="n"/>
    </row>
    <row r="262">
      <c r="B262" s="51" t="n"/>
      <c r="C262" s="51" t="n"/>
      <c r="D262" s="51" t="n"/>
      <c r="E262" s="51" t="n"/>
      <c r="F262" s="51" t="n"/>
    </row>
    <row r="263">
      <c r="B263" s="51" t="n"/>
      <c r="C263" s="51" t="n"/>
      <c r="D263" s="51" t="n"/>
      <c r="E263" s="51" t="n"/>
      <c r="F263" s="51" t="n"/>
    </row>
    <row r="264">
      <c r="B264" s="51" t="n"/>
      <c r="C264" s="51" t="n"/>
      <c r="D264" s="51" t="n"/>
      <c r="E264" s="51" t="n"/>
      <c r="F264" s="51" t="n"/>
    </row>
    <row r="265">
      <c r="B265" s="51" t="n"/>
      <c r="C265" s="51" t="n"/>
      <c r="D265" s="51" t="n"/>
      <c r="E265" s="51" t="n"/>
      <c r="F265" s="51" t="n"/>
    </row>
    <row r="266">
      <c r="B266" s="51" t="n"/>
      <c r="C266" s="51" t="n"/>
      <c r="D266" s="51" t="n"/>
      <c r="E266" s="51" t="n"/>
      <c r="F266" s="51" t="n"/>
    </row>
    <row r="267">
      <c r="B267" s="51" t="n"/>
      <c r="C267" s="51" t="n"/>
      <c r="D267" s="51" t="n"/>
      <c r="E267" s="51" t="n"/>
      <c r="F267" s="51" t="n"/>
    </row>
    <row r="268">
      <c r="B268" s="51" t="n"/>
      <c r="C268" s="51" t="n"/>
      <c r="D268" s="51" t="n"/>
      <c r="E268" s="51" t="n"/>
      <c r="F268" s="51" t="n"/>
    </row>
    <row r="269">
      <c r="B269" s="51" t="n"/>
      <c r="C269" s="51" t="n"/>
      <c r="D269" s="51" t="n"/>
      <c r="E269" s="51" t="n"/>
      <c r="F269" s="51" t="n"/>
    </row>
    <row r="270">
      <c r="B270" s="51" t="n"/>
      <c r="C270" s="51" t="n"/>
      <c r="D270" s="51" t="n"/>
      <c r="E270" s="51" t="n"/>
      <c r="F270" s="51" t="n"/>
    </row>
    <row r="271">
      <c r="B271" s="51" t="n"/>
      <c r="C271" s="51" t="n"/>
      <c r="D271" s="51" t="n"/>
      <c r="E271" s="51" t="n"/>
      <c r="F271" s="51" t="n"/>
    </row>
    <row r="272">
      <c r="B272" s="51" t="n"/>
      <c r="C272" s="51" t="n"/>
      <c r="D272" s="51" t="n"/>
      <c r="E272" s="51" t="n"/>
      <c r="F272" s="51" t="n"/>
    </row>
    <row r="273">
      <c r="B273" s="51" t="n"/>
      <c r="C273" s="51" t="n"/>
      <c r="D273" s="51" t="n"/>
      <c r="E273" s="51" t="n"/>
      <c r="F273" s="51" t="n"/>
    </row>
    <row r="274">
      <c r="B274" s="51" t="n"/>
      <c r="C274" s="51" t="n"/>
      <c r="D274" s="51" t="n"/>
      <c r="E274" s="51" t="n"/>
      <c r="F274" s="51" t="n"/>
    </row>
    <row r="275">
      <c r="B275" s="51" t="n"/>
      <c r="C275" s="51" t="n"/>
      <c r="D275" s="51" t="n"/>
      <c r="E275" s="51" t="n"/>
      <c r="F275" s="51" t="n"/>
    </row>
    <row r="276">
      <c r="B276" s="51" t="n"/>
      <c r="C276" s="51" t="n"/>
      <c r="D276" s="51" t="n"/>
      <c r="E276" s="51" t="n"/>
      <c r="F276" s="51" t="n"/>
    </row>
    <row r="277">
      <c r="B277" s="51" t="n"/>
      <c r="C277" s="51" t="n"/>
      <c r="D277" s="51" t="n"/>
      <c r="E277" s="51" t="n"/>
      <c r="F277" s="51" t="n"/>
    </row>
    <row r="278">
      <c r="B278" s="51" t="n"/>
      <c r="C278" s="51" t="n"/>
      <c r="D278" s="51" t="n"/>
      <c r="E278" s="51" t="n"/>
      <c r="F278" s="51" t="n"/>
    </row>
    <row r="279">
      <c r="B279" s="51" t="n"/>
      <c r="C279" s="51" t="n"/>
      <c r="D279" s="51" t="n"/>
      <c r="E279" s="51" t="n"/>
      <c r="F279" s="51" t="n"/>
    </row>
    <row r="280">
      <c r="B280" s="51" t="n"/>
      <c r="C280" s="51" t="n"/>
      <c r="D280" s="51" t="n"/>
      <c r="E280" s="51" t="n"/>
      <c r="F280" s="51" t="n"/>
    </row>
    <row r="281">
      <c r="B281" s="51" t="n"/>
      <c r="C281" s="51" t="n"/>
      <c r="D281" s="51" t="n"/>
      <c r="E281" s="51" t="n"/>
      <c r="F281" s="51" t="n"/>
    </row>
    <row r="282">
      <c r="B282" s="51" t="n"/>
      <c r="C282" s="51" t="n"/>
      <c r="D282" s="51" t="n"/>
      <c r="E282" s="51" t="n"/>
      <c r="F282" s="51" t="n"/>
    </row>
    <row r="283">
      <c r="B283" s="51" t="n"/>
      <c r="C283" s="51" t="n"/>
      <c r="D283" s="51" t="n"/>
      <c r="E283" s="51" t="n"/>
      <c r="F283" s="51" t="n"/>
    </row>
    <row r="284">
      <c r="B284" s="51" t="n"/>
      <c r="C284" s="51" t="n"/>
      <c r="D284" s="51" t="n"/>
      <c r="E284" s="51" t="n"/>
      <c r="F284" s="51" t="n"/>
    </row>
    <row r="285">
      <c r="B285" s="51" t="n"/>
      <c r="C285" s="51" t="n"/>
      <c r="D285" s="51" t="n"/>
      <c r="E285" s="51" t="n"/>
      <c r="F285" s="51" t="n"/>
    </row>
    <row r="286">
      <c r="B286" s="51" t="n"/>
      <c r="C286" s="51" t="n"/>
      <c r="D286" s="51" t="n"/>
      <c r="E286" s="51" t="n"/>
      <c r="F286" s="51" t="n"/>
    </row>
    <row r="287">
      <c r="B287" s="51" t="n"/>
      <c r="C287" s="51" t="n"/>
      <c r="D287" s="51" t="n"/>
      <c r="E287" s="51" t="n"/>
      <c r="F287" s="51" t="n"/>
    </row>
    <row r="288">
      <c r="B288" s="51" t="n"/>
      <c r="C288" s="51" t="n"/>
      <c r="D288" s="51" t="n"/>
      <c r="E288" s="51" t="n"/>
      <c r="F288" s="51" t="n"/>
    </row>
    <row r="289">
      <c r="B289" s="51" t="n"/>
      <c r="C289" s="51" t="n"/>
      <c r="D289" s="51" t="n"/>
      <c r="E289" s="51" t="n"/>
      <c r="F289" s="51" t="n"/>
    </row>
    <row r="290">
      <c r="B290" s="51" t="n"/>
      <c r="C290" s="51" t="n"/>
      <c r="D290" s="51" t="n"/>
      <c r="E290" s="51" t="n"/>
      <c r="F290" s="51" t="n"/>
    </row>
    <row r="291">
      <c r="B291" s="51" t="n"/>
      <c r="C291" s="51" t="n"/>
      <c r="D291" s="51" t="n"/>
      <c r="E291" s="51" t="n"/>
      <c r="F291" s="51" t="n"/>
    </row>
    <row r="292">
      <c r="B292" s="51" t="n"/>
      <c r="C292" s="51" t="n"/>
      <c r="D292" s="51" t="n"/>
      <c r="E292" s="51" t="n"/>
      <c r="F292" s="51" t="n"/>
    </row>
    <row r="293">
      <c r="B293" s="51" t="n"/>
      <c r="C293" s="51" t="n"/>
      <c r="D293" s="51" t="n"/>
      <c r="E293" s="51" t="n"/>
      <c r="F293" s="51" t="n"/>
    </row>
    <row r="294">
      <c r="B294" s="51" t="n"/>
      <c r="C294" s="51" t="n"/>
      <c r="D294" s="51" t="n"/>
      <c r="E294" s="51" t="n"/>
      <c r="F294" s="51" t="n"/>
    </row>
    <row r="295">
      <c r="B295" s="51" t="n"/>
      <c r="C295" s="51" t="n"/>
      <c r="D295" s="51" t="n"/>
      <c r="E295" s="51" t="n"/>
      <c r="F295" s="51" t="n"/>
    </row>
    <row r="296">
      <c r="B296" s="51" t="n"/>
      <c r="C296" s="51" t="n"/>
      <c r="D296" s="51" t="n"/>
      <c r="E296" s="51" t="n"/>
      <c r="F296" s="51" t="n"/>
    </row>
    <row r="297">
      <c r="B297" s="51" t="n"/>
      <c r="C297" s="51" t="n"/>
      <c r="D297" s="51" t="n"/>
      <c r="E297" s="51" t="n"/>
      <c r="F297" s="51" t="n"/>
    </row>
    <row r="298">
      <c r="B298" s="51" t="n"/>
      <c r="C298" s="51" t="n"/>
      <c r="D298" s="51" t="n"/>
      <c r="E298" s="51" t="n"/>
      <c r="F298" s="51" t="n"/>
    </row>
    <row r="299">
      <c r="B299" s="51" t="n"/>
      <c r="C299" s="51" t="n"/>
      <c r="D299" s="51" t="n"/>
      <c r="E299" s="51" t="n"/>
      <c r="F299" s="51" t="n"/>
    </row>
    <row r="300">
      <c r="B300" s="51" t="n"/>
      <c r="C300" s="51" t="n"/>
      <c r="D300" s="51" t="n"/>
      <c r="E300" s="51" t="n"/>
      <c r="F300" s="51" t="n"/>
    </row>
    <row r="301">
      <c r="B301" s="51" t="n"/>
      <c r="C301" s="51" t="n"/>
      <c r="D301" s="51" t="n"/>
      <c r="E301" s="51" t="n"/>
      <c r="F301" s="51" t="n"/>
    </row>
    <row r="302">
      <c r="B302" s="51" t="n"/>
      <c r="C302" s="51" t="n"/>
      <c r="D302" s="51" t="n"/>
      <c r="E302" s="51" t="n"/>
      <c r="F302" s="51" t="n"/>
    </row>
    <row r="303">
      <c r="B303" s="51" t="n"/>
      <c r="C303" s="51" t="n"/>
      <c r="D303" s="51" t="n"/>
      <c r="E303" s="51" t="n"/>
      <c r="F303" s="51" t="n"/>
    </row>
    <row r="304">
      <c r="B304" s="51" t="n"/>
      <c r="C304" s="51" t="n"/>
      <c r="D304" s="51" t="n"/>
      <c r="E304" s="51" t="n"/>
      <c r="F304" s="51" t="n"/>
    </row>
    <row r="305">
      <c r="B305" s="51" t="n"/>
      <c r="C305" s="51" t="n"/>
      <c r="D305" s="51" t="n"/>
      <c r="E305" s="51" t="n"/>
      <c r="F305" s="51" t="n"/>
    </row>
    <row r="306">
      <c r="B306" s="51" t="n"/>
      <c r="C306" s="51" t="n"/>
      <c r="D306" s="51" t="n"/>
      <c r="E306" s="51" t="n"/>
      <c r="F306" s="51" t="n"/>
    </row>
    <row r="307">
      <c r="B307" s="51" t="n"/>
      <c r="C307" s="51" t="n"/>
      <c r="D307" s="51" t="n"/>
      <c r="E307" s="51" t="n"/>
      <c r="F307" s="51" t="n"/>
    </row>
    <row r="308">
      <c r="B308" s="51" t="n"/>
      <c r="C308" s="51" t="n"/>
      <c r="D308" s="51" t="n"/>
      <c r="E308" s="51" t="n"/>
      <c r="F308" s="51" t="n"/>
    </row>
    <row r="309">
      <c r="B309" s="51" t="n"/>
      <c r="C309" s="51" t="n"/>
      <c r="D309" s="51" t="n"/>
      <c r="E309" s="51" t="n"/>
      <c r="F309" s="51" t="n"/>
    </row>
    <row r="310">
      <c r="B310" s="51" t="n"/>
      <c r="C310" s="51" t="n"/>
      <c r="D310" s="51" t="n"/>
      <c r="E310" s="51" t="n"/>
      <c r="F310" s="51" t="n"/>
    </row>
    <row r="311">
      <c r="B311" s="51" t="n"/>
      <c r="C311" s="51" t="n"/>
      <c r="D311" s="51" t="n"/>
      <c r="E311" s="51" t="n"/>
      <c r="F311" s="51" t="n"/>
    </row>
    <row r="312">
      <c r="B312" s="51" t="n"/>
      <c r="C312" s="51" t="n"/>
      <c r="D312" s="51" t="n"/>
      <c r="E312" s="51" t="n"/>
      <c r="F312" s="51" t="n"/>
    </row>
    <row r="313">
      <c r="B313" s="51" t="n"/>
      <c r="C313" s="51" t="n"/>
      <c r="D313" s="51" t="n"/>
      <c r="E313" s="51" t="n"/>
      <c r="F313" s="51" t="n"/>
    </row>
    <row r="314">
      <c r="B314" s="51" t="n"/>
      <c r="C314" s="51" t="n"/>
      <c r="D314" s="51" t="n"/>
      <c r="E314" s="51" t="n"/>
      <c r="F314" s="51" t="n"/>
    </row>
    <row r="315">
      <c r="B315" s="51" t="n"/>
      <c r="C315" s="51" t="n"/>
      <c r="D315" s="51" t="n"/>
      <c r="E315" s="51" t="n"/>
      <c r="F315" s="51" t="n"/>
    </row>
    <row r="316">
      <c r="B316" s="51" t="n"/>
      <c r="C316" s="51" t="n"/>
      <c r="D316" s="51" t="n"/>
      <c r="E316" s="51" t="n"/>
      <c r="F316" s="51" t="n"/>
    </row>
    <row r="317">
      <c r="B317" s="51" t="n"/>
      <c r="C317" s="51" t="n"/>
      <c r="D317" s="51" t="n"/>
      <c r="E317" s="51" t="n"/>
      <c r="F317" s="51" t="n"/>
    </row>
    <row r="318">
      <c r="B318" s="51" t="n"/>
      <c r="C318" s="51" t="n"/>
      <c r="D318" s="51" t="n"/>
      <c r="E318" s="51" t="n"/>
      <c r="F318" s="51" t="n"/>
    </row>
    <row r="319">
      <c r="B319" s="51" t="n"/>
      <c r="C319" s="51" t="n"/>
      <c r="D319" s="51" t="n"/>
      <c r="E319" s="51" t="n"/>
      <c r="F319" s="51" t="n"/>
    </row>
    <row r="320">
      <c r="B320" s="51" t="n"/>
      <c r="C320" s="51" t="n"/>
      <c r="D320" s="51" t="n"/>
      <c r="E320" s="51" t="n"/>
      <c r="F320" s="51" t="n"/>
    </row>
    <row r="321">
      <c r="B321" s="51" t="n"/>
      <c r="C321" s="51" t="n"/>
      <c r="D321" s="51" t="n"/>
      <c r="E321" s="51" t="n"/>
      <c r="F321" s="51" t="n"/>
    </row>
    <row r="322">
      <c r="B322" s="51" t="n"/>
      <c r="C322" s="51" t="n"/>
      <c r="D322" s="51" t="n"/>
      <c r="E322" s="51" t="n"/>
      <c r="F322" s="51" t="n"/>
    </row>
    <row r="323">
      <c r="B323" s="51" t="n"/>
      <c r="C323" s="51" t="n"/>
      <c r="D323" s="51" t="n"/>
      <c r="E323" s="51" t="n"/>
      <c r="F323" s="51" t="n"/>
    </row>
    <row r="324">
      <c r="B324" s="51" t="n"/>
      <c r="C324" s="51" t="n"/>
      <c r="D324" s="51" t="n"/>
      <c r="E324" s="51" t="n"/>
      <c r="F324" s="51" t="n"/>
    </row>
    <row r="325">
      <c r="B325" s="51" t="n"/>
      <c r="C325" s="51" t="n"/>
      <c r="D325" s="51" t="n"/>
      <c r="E325" s="51" t="n"/>
      <c r="F325" s="51" t="n"/>
    </row>
    <row r="326">
      <c r="B326" s="51" t="n"/>
      <c r="C326" s="51" t="n"/>
      <c r="D326" s="51" t="n"/>
      <c r="E326" s="51" t="n"/>
      <c r="F326" s="51" t="n"/>
    </row>
    <row r="327">
      <c r="B327" s="51" t="n"/>
      <c r="C327" s="51" t="n"/>
      <c r="D327" s="51" t="n"/>
      <c r="E327" s="51" t="n"/>
      <c r="F327" s="51" t="n"/>
    </row>
    <row r="328">
      <c r="B328" s="51" t="n"/>
      <c r="C328" s="51" t="n"/>
      <c r="D328" s="51" t="n"/>
      <c r="E328" s="51" t="n"/>
      <c r="F328" s="51" t="n"/>
    </row>
    <row r="329">
      <c r="B329" s="51" t="n"/>
      <c r="C329" s="51" t="n"/>
      <c r="D329" s="51" t="n"/>
      <c r="E329" s="51" t="n"/>
      <c r="F329" s="51" t="n"/>
    </row>
    <row r="330">
      <c r="B330" s="51" t="n"/>
      <c r="C330" s="51" t="n"/>
      <c r="D330" s="51" t="n"/>
      <c r="E330" s="51" t="n"/>
      <c r="F330" s="51" t="n"/>
    </row>
    <row r="331">
      <c r="B331" s="51" t="n"/>
      <c r="C331" s="51" t="n"/>
      <c r="D331" s="51" t="n"/>
      <c r="E331" s="51" t="n"/>
      <c r="F331" s="51" t="n"/>
    </row>
    <row r="332">
      <c r="B332" s="51" t="n"/>
      <c r="C332" s="51" t="n"/>
      <c r="D332" s="51" t="n"/>
      <c r="E332" s="51" t="n"/>
      <c r="F332" s="51" t="n"/>
    </row>
    <row r="333">
      <c r="B333" s="51" t="n"/>
      <c r="C333" s="51" t="n"/>
      <c r="D333" s="51" t="n"/>
      <c r="E333" s="51" t="n"/>
      <c r="F333" s="51" t="n"/>
    </row>
    <row r="334">
      <c r="B334" s="51" t="n"/>
      <c r="C334" s="51" t="n"/>
      <c r="D334" s="51" t="n"/>
      <c r="E334" s="51" t="n"/>
      <c r="F334" s="51" t="n"/>
    </row>
    <row r="335">
      <c r="B335" s="51" t="n"/>
      <c r="C335" s="51" t="n"/>
      <c r="D335" s="51" t="n"/>
      <c r="E335" s="51" t="n"/>
      <c r="F335" s="51" t="n"/>
    </row>
    <row r="336">
      <c r="B336" s="51" t="n"/>
      <c r="C336" s="51" t="n"/>
      <c r="D336" s="51" t="n"/>
      <c r="E336" s="51" t="n"/>
      <c r="F336" s="51" t="n"/>
    </row>
    <row r="337">
      <c r="B337" s="51" t="n"/>
      <c r="C337" s="51" t="n"/>
      <c r="D337" s="51" t="n"/>
      <c r="E337" s="51" t="n"/>
      <c r="F337" s="51" t="n"/>
    </row>
    <row r="338">
      <c r="B338" s="51" t="n"/>
      <c r="C338" s="51" t="n"/>
      <c r="D338" s="51" t="n"/>
      <c r="E338" s="51" t="n"/>
      <c r="F338" s="51" t="n"/>
    </row>
    <row r="339">
      <c r="B339" s="51" t="n"/>
      <c r="C339" s="51" t="n"/>
      <c r="D339" s="51" t="n"/>
      <c r="E339" s="51" t="n"/>
      <c r="F339" s="51" t="n"/>
    </row>
    <row r="340">
      <c r="B340" s="51" t="n"/>
      <c r="C340" s="51" t="n"/>
      <c r="D340" s="51" t="n"/>
      <c r="E340" s="51" t="n"/>
      <c r="F340" s="51" t="n"/>
    </row>
    <row r="341">
      <c r="B341" s="51" t="n"/>
      <c r="C341" s="51" t="n"/>
      <c r="D341" s="51" t="n"/>
      <c r="E341" s="51" t="n"/>
      <c r="F341" s="51" t="n"/>
    </row>
    <row r="342">
      <c r="B342" s="51" t="n"/>
      <c r="C342" s="51" t="n"/>
      <c r="D342" s="51" t="n"/>
      <c r="E342" s="51" t="n"/>
      <c r="F342" s="51" t="n"/>
    </row>
    <row r="343">
      <c r="B343" s="51" t="n"/>
      <c r="C343" s="51" t="n"/>
      <c r="D343" s="51" t="n"/>
      <c r="E343" s="51" t="n"/>
      <c r="F343" s="51" t="n"/>
    </row>
    <row r="344">
      <c r="B344" s="51" t="n"/>
      <c r="C344" s="51" t="n"/>
      <c r="D344" s="51" t="n"/>
      <c r="E344" s="51" t="n"/>
      <c r="F344" s="51" t="n"/>
    </row>
    <row r="345">
      <c r="B345" s="51" t="n"/>
      <c r="C345" s="51" t="n"/>
      <c r="D345" s="51" t="n"/>
      <c r="E345" s="51" t="n"/>
      <c r="F345" s="51" t="n"/>
    </row>
    <row r="346">
      <c r="B346" s="51" t="n"/>
      <c r="C346" s="51" t="n"/>
      <c r="D346" s="51" t="n"/>
      <c r="E346" s="51" t="n"/>
      <c r="F346" s="51" t="n"/>
    </row>
    <row r="347">
      <c r="B347" s="51" t="n"/>
      <c r="C347" s="51" t="n"/>
      <c r="D347" s="51" t="n"/>
      <c r="E347" s="51" t="n"/>
      <c r="F347" s="51" t="n"/>
    </row>
    <row r="348">
      <c r="B348" s="51" t="n"/>
      <c r="C348" s="51" t="n"/>
      <c r="D348" s="51" t="n"/>
      <c r="E348" s="51" t="n"/>
      <c r="F348" s="51" t="n"/>
    </row>
    <row r="349">
      <c r="B349" s="51" t="n"/>
      <c r="C349" s="51" t="n"/>
      <c r="D349" s="51" t="n"/>
      <c r="E349" s="51" t="n"/>
      <c r="F349" s="51" t="n"/>
    </row>
    <row r="350">
      <c r="B350" s="51" t="n"/>
      <c r="C350" s="51" t="n"/>
      <c r="D350" s="51" t="n"/>
      <c r="E350" s="51" t="n"/>
      <c r="F350" s="51" t="n"/>
    </row>
    <row r="351">
      <c r="B351" s="51" t="n"/>
      <c r="C351" s="51" t="n"/>
      <c r="D351" s="51" t="n"/>
      <c r="E351" s="51" t="n"/>
      <c r="F351" s="51" t="n"/>
    </row>
    <row r="352">
      <c r="B352" s="51" t="n"/>
      <c r="C352" s="51" t="n"/>
      <c r="D352" s="51" t="n"/>
      <c r="E352" s="51" t="n"/>
      <c r="F352" s="51" t="n"/>
    </row>
    <row r="353">
      <c r="B353" s="51" t="n"/>
      <c r="C353" s="51" t="n"/>
      <c r="D353" s="51" t="n"/>
      <c r="E353" s="51" t="n"/>
      <c r="F353" s="51" t="n"/>
    </row>
    <row r="354">
      <c r="B354" s="51" t="n"/>
      <c r="C354" s="51" t="n"/>
      <c r="D354" s="51" t="n"/>
      <c r="E354" s="51" t="n"/>
      <c r="F354" s="51" t="n"/>
    </row>
    <row r="355">
      <c r="B355" s="51" t="n"/>
      <c r="C355" s="51" t="n"/>
      <c r="D355" s="51" t="n"/>
      <c r="E355" s="51" t="n"/>
      <c r="F355" s="51" t="n"/>
    </row>
    <row r="356">
      <c r="B356" s="51" t="n"/>
      <c r="C356" s="51" t="n"/>
      <c r="D356" s="51" t="n"/>
      <c r="E356" s="51" t="n"/>
      <c r="F356" s="51" t="n"/>
    </row>
    <row r="357">
      <c r="B357" s="51" t="n"/>
      <c r="C357" s="51" t="n"/>
      <c r="D357" s="51" t="n"/>
      <c r="E357" s="51" t="n"/>
      <c r="F357" s="51" t="n"/>
    </row>
    <row r="358">
      <c r="B358" s="51" t="n"/>
      <c r="C358" s="51" t="n"/>
      <c r="D358" s="51" t="n"/>
      <c r="E358" s="51" t="n"/>
      <c r="F358" s="51" t="n"/>
    </row>
    <row r="359">
      <c r="B359" s="51" t="n"/>
      <c r="C359" s="51" t="n"/>
      <c r="D359" s="51" t="n"/>
      <c r="E359" s="51" t="n"/>
      <c r="F359" s="51" t="n"/>
    </row>
    <row r="360">
      <c r="B360" s="51" t="n"/>
      <c r="C360" s="51" t="n"/>
      <c r="D360" s="51" t="n"/>
      <c r="E360" s="51" t="n"/>
      <c r="F360" s="51" t="n"/>
    </row>
    <row r="361">
      <c r="B361" s="51" t="n"/>
      <c r="C361" s="51" t="n"/>
      <c r="D361" s="51" t="n"/>
      <c r="E361" s="51" t="n"/>
      <c r="F361" s="51" t="n"/>
    </row>
    <row r="362">
      <c r="B362" s="51" t="n"/>
      <c r="C362" s="51" t="n"/>
      <c r="D362" s="51" t="n"/>
      <c r="E362" s="51" t="n"/>
      <c r="F362" s="51" t="n"/>
    </row>
    <row r="363">
      <c r="B363" s="51" t="n"/>
      <c r="C363" s="51" t="n"/>
      <c r="D363" s="51" t="n"/>
      <c r="E363" s="51" t="n"/>
      <c r="F363" s="51" t="n"/>
    </row>
    <row r="364">
      <c r="B364" s="51" t="n"/>
      <c r="C364" s="51" t="n"/>
      <c r="D364" s="51" t="n"/>
      <c r="E364" s="51" t="n"/>
      <c r="F364" s="51" t="n"/>
    </row>
    <row r="365">
      <c r="B365" s="51" t="n"/>
      <c r="C365" s="51" t="n"/>
      <c r="D365" s="51" t="n"/>
      <c r="E365" s="51" t="n"/>
      <c r="F365" s="51" t="n"/>
    </row>
    <row r="366">
      <c r="B366" s="51" t="n"/>
      <c r="C366" s="51" t="n"/>
      <c r="D366" s="51" t="n"/>
      <c r="E366" s="51" t="n"/>
      <c r="F366" s="51" t="n"/>
    </row>
    <row r="367">
      <c r="B367" s="51" t="n"/>
      <c r="C367" s="51" t="n"/>
      <c r="D367" s="51" t="n"/>
      <c r="E367" s="51" t="n"/>
      <c r="F367" s="51" t="n"/>
    </row>
    <row r="368">
      <c r="B368" s="51" t="n"/>
      <c r="C368" s="51" t="n"/>
      <c r="D368" s="51" t="n"/>
      <c r="E368" s="51" t="n"/>
      <c r="F368" s="51" t="n"/>
    </row>
    <row r="369">
      <c r="B369" s="51" t="n"/>
      <c r="C369" s="51" t="n"/>
      <c r="D369" s="51" t="n"/>
      <c r="E369" s="51" t="n"/>
      <c r="F369" s="51" t="n"/>
    </row>
    <row r="370">
      <c r="B370" s="51" t="n"/>
      <c r="C370" s="51" t="n"/>
      <c r="D370" s="51" t="n"/>
      <c r="E370" s="51" t="n"/>
      <c r="F370" s="51" t="n"/>
    </row>
    <row r="371">
      <c r="B371" s="51" t="n"/>
      <c r="C371" s="51" t="n"/>
      <c r="D371" s="51" t="n"/>
      <c r="E371" s="51" t="n"/>
      <c r="F371" s="51" t="n"/>
    </row>
    <row r="372">
      <c r="B372" s="51" t="n"/>
      <c r="C372" s="51" t="n"/>
      <c r="D372" s="51" t="n"/>
      <c r="E372" s="51" t="n"/>
      <c r="F372" s="51" t="n"/>
    </row>
    <row r="373">
      <c r="B373" s="51" t="n"/>
      <c r="C373" s="51" t="n"/>
      <c r="D373" s="51" t="n"/>
      <c r="E373" s="51" t="n"/>
      <c r="F373" s="51" t="n"/>
    </row>
    <row r="374">
      <c r="B374" s="51" t="n"/>
      <c r="C374" s="51" t="n"/>
      <c r="D374" s="51" t="n"/>
      <c r="E374" s="51" t="n"/>
      <c r="F374" s="51" t="n"/>
    </row>
    <row r="375">
      <c r="B375" s="51" t="n"/>
      <c r="C375" s="51" t="n"/>
      <c r="D375" s="51" t="n"/>
      <c r="E375" s="51" t="n"/>
      <c r="F375" s="51" t="n"/>
    </row>
    <row r="376">
      <c r="B376" s="51" t="n"/>
      <c r="C376" s="51" t="n"/>
      <c r="D376" s="51" t="n"/>
      <c r="E376" s="51" t="n"/>
      <c r="F376" s="51" t="n"/>
    </row>
    <row r="377">
      <c r="B377" s="51" t="n"/>
      <c r="C377" s="51" t="n"/>
      <c r="D377" s="51" t="n"/>
      <c r="E377" s="51" t="n"/>
      <c r="F377" s="51" t="n"/>
    </row>
    <row r="378">
      <c r="B378" s="51" t="n"/>
      <c r="C378" s="51" t="n"/>
      <c r="D378" s="51" t="n"/>
      <c r="E378" s="51" t="n"/>
      <c r="F378" s="51" t="n"/>
    </row>
    <row r="379">
      <c r="B379" s="51" t="n"/>
      <c r="C379" s="51" t="n"/>
      <c r="D379" s="51" t="n"/>
      <c r="E379" s="51" t="n"/>
      <c r="F379" s="51" t="n"/>
    </row>
    <row r="380">
      <c r="B380" s="51" t="n"/>
      <c r="C380" s="51" t="n"/>
      <c r="D380" s="51" t="n"/>
      <c r="E380" s="51" t="n"/>
      <c r="F380" s="51" t="n"/>
    </row>
    <row r="381">
      <c r="B381" s="51" t="n"/>
      <c r="C381" s="51" t="n"/>
      <c r="D381" s="51" t="n"/>
      <c r="E381" s="51" t="n"/>
      <c r="F381" s="51" t="n"/>
    </row>
    <row r="382">
      <c r="B382" s="51" t="n"/>
      <c r="C382" s="51" t="n"/>
      <c r="D382" s="51" t="n"/>
      <c r="E382" s="51" t="n"/>
      <c r="F382" s="51" t="n"/>
    </row>
    <row r="383">
      <c r="B383" s="51" t="n"/>
      <c r="C383" s="51" t="n"/>
      <c r="D383" s="51" t="n"/>
      <c r="E383" s="51" t="n"/>
      <c r="F383" s="51" t="n"/>
    </row>
    <row r="384">
      <c r="B384" s="51" t="n"/>
      <c r="C384" s="51" t="n"/>
      <c r="D384" s="51" t="n"/>
      <c r="E384" s="51" t="n"/>
      <c r="F384" s="51" t="n"/>
    </row>
    <row r="385">
      <c r="B385" s="51" t="n"/>
      <c r="C385" s="51" t="n"/>
      <c r="D385" s="51" t="n"/>
      <c r="E385" s="51" t="n"/>
      <c r="F385" s="51" t="n"/>
    </row>
    <row r="386">
      <c r="B386" s="51" t="n"/>
      <c r="C386" s="51" t="n"/>
      <c r="D386" s="51" t="n"/>
      <c r="E386" s="51" t="n"/>
      <c r="F386" s="51" t="n"/>
    </row>
    <row r="387">
      <c r="B387" s="51" t="n"/>
      <c r="C387" s="51" t="n"/>
      <c r="D387" s="51" t="n"/>
      <c r="E387" s="51" t="n"/>
      <c r="F387" s="51" t="n"/>
    </row>
    <row r="388">
      <c r="B388" s="51" t="n"/>
      <c r="C388" s="51" t="n"/>
      <c r="D388" s="51" t="n"/>
      <c r="E388" s="51" t="n"/>
      <c r="F388" s="51" t="n"/>
    </row>
    <row r="389">
      <c r="B389" s="51" t="n"/>
      <c r="C389" s="51" t="n"/>
      <c r="D389" s="51" t="n"/>
      <c r="E389" s="51" t="n"/>
      <c r="F389" s="51" t="n"/>
    </row>
    <row r="390">
      <c r="B390" s="51" t="n"/>
      <c r="C390" s="51" t="n"/>
      <c r="D390" s="51" t="n"/>
      <c r="E390" s="51" t="n"/>
      <c r="F390" s="51" t="n"/>
    </row>
    <row r="391">
      <c r="B391" s="51" t="n"/>
      <c r="C391" s="51" t="n"/>
      <c r="D391" s="51" t="n"/>
      <c r="E391" s="51" t="n"/>
      <c r="F391" s="51" t="n"/>
    </row>
    <row r="392">
      <c r="B392" s="51" t="n"/>
      <c r="C392" s="51" t="n"/>
      <c r="D392" s="51" t="n"/>
      <c r="E392" s="51" t="n"/>
      <c r="F392" s="51" t="n"/>
    </row>
    <row r="393">
      <c r="B393" s="51" t="n"/>
      <c r="C393" s="51" t="n"/>
      <c r="D393" s="51" t="n"/>
      <c r="E393" s="51" t="n"/>
      <c r="F393" s="51" t="n"/>
    </row>
    <row r="394">
      <c r="B394" s="51" t="n"/>
      <c r="C394" s="51" t="n"/>
      <c r="D394" s="51" t="n"/>
      <c r="E394" s="51" t="n"/>
      <c r="F394" s="51" t="n"/>
    </row>
    <row r="395">
      <c r="B395" s="51" t="n"/>
      <c r="C395" s="51" t="n"/>
      <c r="D395" s="51" t="n"/>
      <c r="E395" s="51" t="n"/>
      <c r="F395" s="51" t="n"/>
    </row>
    <row r="396">
      <c r="B396" s="51" t="n"/>
      <c r="C396" s="51" t="n"/>
      <c r="D396" s="51" t="n"/>
      <c r="E396" s="51" t="n"/>
      <c r="F396" s="51" t="n"/>
    </row>
    <row r="397">
      <c r="B397" s="51" t="n"/>
      <c r="C397" s="51" t="n"/>
      <c r="D397" s="51" t="n"/>
      <c r="E397" s="51" t="n"/>
      <c r="F397" s="51" t="n"/>
    </row>
    <row r="398">
      <c r="B398" s="51" t="n"/>
      <c r="C398" s="51" t="n"/>
      <c r="D398" s="51" t="n"/>
      <c r="E398" s="51" t="n"/>
      <c r="F398" s="51" t="n"/>
    </row>
    <row r="399">
      <c r="B399" s="51" t="n"/>
      <c r="C399" s="51" t="n"/>
      <c r="D399" s="51" t="n"/>
      <c r="E399" s="51" t="n"/>
      <c r="F399" s="51" t="n"/>
    </row>
    <row r="400">
      <c r="B400" s="51" t="n"/>
      <c r="C400" s="51" t="n"/>
      <c r="D400" s="51" t="n"/>
      <c r="E400" s="51" t="n"/>
      <c r="F400" s="51" t="n"/>
    </row>
    <row r="401">
      <c r="B401" s="51" t="n"/>
      <c r="C401" s="51" t="n"/>
      <c r="D401" s="51" t="n"/>
      <c r="E401" s="51" t="n"/>
      <c r="F401" s="51" t="n"/>
    </row>
    <row r="402">
      <c r="B402" s="51" t="n"/>
      <c r="C402" s="51" t="n"/>
      <c r="D402" s="51" t="n"/>
      <c r="E402" s="51" t="n"/>
      <c r="F402" s="51" t="n"/>
    </row>
    <row r="403">
      <c r="B403" s="51" t="n"/>
      <c r="C403" s="51" t="n"/>
      <c r="D403" s="51" t="n"/>
      <c r="E403" s="51" t="n"/>
      <c r="F403" s="51" t="n"/>
    </row>
    <row r="404">
      <c r="B404" s="51" t="n"/>
      <c r="C404" s="51" t="n"/>
      <c r="D404" s="51" t="n"/>
      <c r="E404" s="51" t="n"/>
      <c r="F404" s="51" t="n"/>
    </row>
    <row r="405">
      <c r="B405" s="51" t="n"/>
      <c r="C405" s="51" t="n"/>
      <c r="D405" s="51" t="n"/>
      <c r="E405" s="51" t="n"/>
      <c r="F405" s="51" t="n"/>
    </row>
    <row r="406">
      <c r="B406" s="51" t="n"/>
      <c r="C406" s="51" t="n"/>
      <c r="D406" s="51" t="n"/>
      <c r="E406" s="51" t="n"/>
      <c r="F406" s="51" t="n"/>
    </row>
    <row r="407">
      <c r="B407" s="51" t="n"/>
      <c r="C407" s="51" t="n"/>
      <c r="D407" s="51" t="n"/>
      <c r="E407" s="51" t="n"/>
      <c r="F407" s="51" t="n"/>
    </row>
    <row r="408">
      <c r="B408" s="51" t="n"/>
      <c r="C408" s="51" t="n"/>
      <c r="D408" s="51" t="n"/>
      <c r="E408" s="51" t="n"/>
      <c r="F408" s="51" t="n"/>
    </row>
    <row r="409">
      <c r="B409" s="51" t="n"/>
      <c r="C409" s="51" t="n"/>
      <c r="D409" s="51" t="n"/>
      <c r="E409" s="51" t="n"/>
      <c r="F409" s="51" t="n"/>
    </row>
    <row r="410">
      <c r="B410" s="51" t="n"/>
      <c r="C410" s="51" t="n"/>
      <c r="D410" s="51" t="n"/>
      <c r="E410" s="51" t="n"/>
      <c r="F410" s="51" t="n"/>
    </row>
    <row r="411">
      <c r="B411" s="51" t="n"/>
      <c r="C411" s="51" t="n"/>
      <c r="D411" s="51" t="n"/>
      <c r="E411" s="51" t="n"/>
      <c r="F411" s="51" t="n"/>
    </row>
    <row r="412">
      <c r="B412" s="51" t="n"/>
      <c r="C412" s="51" t="n"/>
      <c r="D412" s="51" t="n"/>
      <c r="E412" s="51" t="n"/>
      <c r="F412" s="51" t="n"/>
    </row>
    <row r="413">
      <c r="B413" s="51" t="n"/>
      <c r="C413" s="51" t="n"/>
      <c r="D413" s="51" t="n"/>
      <c r="E413" s="51" t="n"/>
      <c r="F413" s="51" t="n"/>
    </row>
    <row r="414">
      <c r="B414" s="51" t="n"/>
      <c r="C414" s="51" t="n"/>
      <c r="D414" s="51" t="n"/>
      <c r="E414" s="51" t="n"/>
      <c r="F414" s="51" t="n"/>
    </row>
    <row r="415">
      <c r="B415" s="51" t="n"/>
      <c r="C415" s="51" t="n"/>
      <c r="D415" s="51" t="n"/>
      <c r="E415" s="51" t="n"/>
      <c r="F415" s="51" t="n"/>
    </row>
    <row r="416">
      <c r="B416" s="51" t="n"/>
      <c r="C416" s="51" t="n"/>
      <c r="D416" s="51" t="n"/>
      <c r="E416" s="51" t="n"/>
      <c r="F416" s="51" t="n"/>
    </row>
    <row r="417">
      <c r="B417" s="51" t="n"/>
      <c r="C417" s="51" t="n"/>
      <c r="D417" s="51" t="n"/>
      <c r="E417" s="51" t="n"/>
      <c r="F417" s="51" t="n"/>
    </row>
    <row r="418">
      <c r="B418" s="51" t="n"/>
      <c r="C418" s="51" t="n"/>
      <c r="D418" s="51" t="n"/>
      <c r="E418" s="51" t="n"/>
      <c r="F418" s="51" t="n"/>
    </row>
    <row r="419">
      <c r="B419" s="51" t="n"/>
      <c r="C419" s="51" t="n"/>
      <c r="D419" s="51" t="n"/>
      <c r="E419" s="51" t="n"/>
      <c r="F419" s="51" t="n"/>
    </row>
    <row r="420">
      <c r="B420" s="51" t="n"/>
      <c r="C420" s="51" t="n"/>
      <c r="D420" s="51" t="n"/>
      <c r="E420" s="51" t="n"/>
      <c r="F420" s="51" t="n"/>
    </row>
    <row r="421">
      <c r="B421" s="51" t="n"/>
      <c r="C421" s="51" t="n"/>
      <c r="D421" s="51" t="n"/>
      <c r="E421" s="51" t="n"/>
      <c r="F421" s="51" t="n"/>
    </row>
    <row r="422">
      <c r="B422" s="51" t="n"/>
      <c r="C422" s="51" t="n"/>
      <c r="D422" s="51" t="n"/>
      <c r="E422" s="51" t="n"/>
      <c r="F422" s="51" t="n"/>
    </row>
    <row r="423">
      <c r="B423" s="51" t="n"/>
      <c r="C423" s="51" t="n"/>
      <c r="D423" s="51" t="n"/>
      <c r="E423" s="51" t="n"/>
      <c r="F423" s="51" t="n"/>
    </row>
    <row r="424">
      <c r="B424" s="51" t="n"/>
      <c r="C424" s="51" t="n"/>
      <c r="D424" s="51" t="n"/>
      <c r="E424" s="51" t="n"/>
      <c r="F424" s="51" t="n"/>
    </row>
    <row r="425">
      <c r="B425" s="51" t="n"/>
      <c r="C425" s="51" t="n"/>
      <c r="D425" s="51" t="n"/>
      <c r="E425" s="51" t="n"/>
      <c r="F425" s="51" t="n"/>
    </row>
    <row r="426">
      <c r="B426" s="51" t="n"/>
      <c r="C426" s="51" t="n"/>
      <c r="D426" s="51" t="n"/>
      <c r="E426" s="51" t="n"/>
      <c r="F426" s="51" t="n"/>
    </row>
    <row r="427">
      <c r="B427" s="51" t="n"/>
      <c r="C427" s="51" t="n"/>
      <c r="D427" s="51" t="n"/>
      <c r="E427" s="51" t="n"/>
      <c r="F427" s="51" t="n"/>
    </row>
    <row r="428">
      <c r="B428" s="51" t="n"/>
      <c r="C428" s="51" t="n"/>
      <c r="D428" s="51" t="n"/>
      <c r="E428" s="51" t="n"/>
      <c r="F428" s="51" t="n"/>
    </row>
    <row r="429">
      <c r="B429" s="51" t="n"/>
      <c r="C429" s="51" t="n"/>
      <c r="D429" s="51" t="n"/>
      <c r="E429" s="51" t="n"/>
      <c r="F429" s="51" t="n"/>
    </row>
    <row r="430">
      <c r="B430" s="51" t="n"/>
      <c r="C430" s="51" t="n"/>
      <c r="D430" s="51" t="n"/>
      <c r="E430" s="51" t="n"/>
      <c r="F430" s="51" t="n"/>
    </row>
    <row r="431">
      <c r="B431" s="51" t="n"/>
      <c r="C431" s="51" t="n"/>
      <c r="D431" s="51" t="n"/>
      <c r="E431" s="51" t="n"/>
      <c r="F431" s="51" t="n"/>
    </row>
    <row r="432">
      <c r="B432" s="51" t="n"/>
      <c r="C432" s="51" t="n"/>
      <c r="D432" s="51" t="n"/>
      <c r="E432" s="51" t="n"/>
      <c r="F432" s="51" t="n"/>
    </row>
    <row r="433">
      <c r="B433" s="51" t="n"/>
      <c r="C433" s="51" t="n"/>
      <c r="D433" s="51" t="n"/>
      <c r="E433" s="51" t="n"/>
      <c r="F433" s="51" t="n"/>
    </row>
    <row r="434">
      <c r="B434" s="51" t="n"/>
      <c r="C434" s="51" t="n"/>
      <c r="D434" s="51" t="n"/>
      <c r="E434" s="51" t="n"/>
      <c r="F434" s="51" t="n"/>
    </row>
    <row r="435">
      <c r="B435" s="51" t="n"/>
      <c r="C435" s="51" t="n"/>
      <c r="D435" s="51" t="n"/>
      <c r="E435" s="51" t="n"/>
      <c r="F435" s="51" t="n"/>
    </row>
    <row r="436">
      <c r="B436" s="51" t="n"/>
      <c r="C436" s="51" t="n"/>
      <c r="D436" s="51" t="n"/>
      <c r="E436" s="51" t="n"/>
      <c r="F436" s="51" t="n"/>
    </row>
    <row r="437">
      <c r="B437" s="51" t="n"/>
      <c r="C437" s="51" t="n"/>
      <c r="D437" s="51" t="n"/>
      <c r="E437" s="51" t="n"/>
      <c r="F437" s="51" t="n"/>
    </row>
    <row r="438">
      <c r="B438" s="51" t="n"/>
      <c r="C438" s="51" t="n"/>
      <c r="D438" s="51" t="n"/>
      <c r="E438" s="51" t="n"/>
      <c r="F438" s="51" t="n"/>
    </row>
    <row r="439">
      <c r="B439" s="51" t="n"/>
      <c r="C439" s="51" t="n"/>
      <c r="D439" s="51" t="n"/>
      <c r="E439" s="51" t="n"/>
      <c r="F439" s="51" t="n"/>
    </row>
    <row r="440">
      <c r="B440" s="51" t="n"/>
      <c r="C440" s="51" t="n"/>
      <c r="D440" s="51" t="n"/>
      <c r="E440" s="51" t="n"/>
      <c r="F440" s="51" t="n"/>
    </row>
    <row r="441">
      <c r="B441" s="51" t="n"/>
      <c r="C441" s="51" t="n"/>
      <c r="D441" s="51" t="n"/>
      <c r="E441" s="51" t="n"/>
      <c r="F441" s="51" t="n"/>
    </row>
    <row r="442">
      <c r="B442" s="51" t="n"/>
      <c r="C442" s="51" t="n"/>
      <c r="D442" s="51" t="n"/>
      <c r="E442" s="51" t="n"/>
      <c r="F442" s="51" t="n"/>
    </row>
    <row r="443">
      <c r="B443" s="51" t="n"/>
      <c r="C443" s="51" t="n"/>
      <c r="D443" s="51" t="n"/>
      <c r="E443" s="51" t="n"/>
      <c r="F443" s="51" t="n"/>
    </row>
    <row r="444">
      <c r="B444" s="51" t="n"/>
      <c r="C444" s="51" t="n"/>
      <c r="D444" s="51" t="n"/>
      <c r="E444" s="51" t="n"/>
      <c r="F444" s="51" t="n"/>
    </row>
    <row r="445">
      <c r="B445" s="51" t="n"/>
      <c r="C445" s="51" t="n"/>
      <c r="D445" s="51" t="n"/>
      <c r="E445" s="51" t="n"/>
      <c r="F445" s="51" t="n"/>
    </row>
    <row r="446">
      <c r="B446" s="51" t="n"/>
      <c r="C446" s="51" t="n"/>
      <c r="D446" s="51" t="n"/>
      <c r="E446" s="51" t="n"/>
      <c r="F446" s="51" t="n"/>
    </row>
    <row r="447">
      <c r="B447" s="51" t="n"/>
      <c r="C447" s="51" t="n"/>
      <c r="D447" s="51" t="n"/>
      <c r="E447" s="51" t="n"/>
      <c r="F447" s="51" t="n"/>
    </row>
    <row r="448">
      <c r="B448" s="51" t="n"/>
      <c r="C448" s="51" t="n"/>
      <c r="D448" s="51" t="n"/>
      <c r="E448" s="51" t="n"/>
      <c r="F448" s="51" t="n"/>
    </row>
    <row r="449">
      <c r="B449" s="51" t="n"/>
      <c r="C449" s="51" t="n"/>
      <c r="D449" s="51" t="n"/>
      <c r="E449" s="51" t="n"/>
      <c r="F449" s="51" t="n"/>
    </row>
    <row r="450">
      <c r="B450" s="51" t="n"/>
      <c r="C450" s="51" t="n"/>
      <c r="D450" s="51" t="n"/>
      <c r="E450" s="51" t="n"/>
      <c r="F450" s="51" t="n"/>
    </row>
    <row r="451">
      <c r="B451" s="51" t="n"/>
      <c r="C451" s="51" t="n"/>
      <c r="D451" s="51" t="n"/>
      <c r="E451" s="51" t="n"/>
      <c r="F451" s="51" t="n"/>
    </row>
    <row r="452">
      <c r="B452" s="51" t="n"/>
      <c r="C452" s="51" t="n"/>
      <c r="D452" s="51" t="n"/>
      <c r="E452" s="51" t="n"/>
      <c r="F452" s="51" t="n"/>
    </row>
    <row r="453">
      <c r="B453" s="51" t="n"/>
      <c r="C453" s="51" t="n"/>
      <c r="D453" s="51" t="n"/>
      <c r="E453" s="51" t="n"/>
      <c r="F453" s="51" t="n"/>
    </row>
    <row r="454">
      <c r="B454" s="51" t="n"/>
      <c r="C454" s="51" t="n"/>
      <c r="D454" s="51" t="n"/>
      <c r="E454" s="51" t="n"/>
      <c r="F454" s="51" t="n"/>
    </row>
    <row r="455">
      <c r="B455" s="51" t="n"/>
      <c r="C455" s="51" t="n"/>
      <c r="D455" s="51" t="n"/>
      <c r="E455" s="51" t="n"/>
      <c r="F455" s="51" t="n"/>
    </row>
    <row r="456">
      <c r="B456" s="51" t="n"/>
      <c r="C456" s="51" t="n"/>
      <c r="D456" s="51" t="n"/>
      <c r="E456" s="51" t="n"/>
      <c r="F456" s="51" t="n"/>
    </row>
    <row r="457">
      <c r="B457" s="51" t="n"/>
      <c r="C457" s="51" t="n"/>
      <c r="D457" s="51" t="n"/>
      <c r="E457" s="51" t="n"/>
      <c r="F457" s="51" t="n"/>
    </row>
    <row r="458">
      <c r="B458" s="51" t="n"/>
      <c r="C458" s="51" t="n"/>
      <c r="D458" s="51" t="n"/>
      <c r="E458" s="51" t="n"/>
      <c r="F458" s="51" t="n"/>
    </row>
    <row r="459">
      <c r="B459" s="51" t="n"/>
      <c r="C459" s="51" t="n"/>
      <c r="D459" s="51" t="n"/>
      <c r="E459" s="51" t="n"/>
      <c r="F459" s="51" t="n"/>
    </row>
    <row r="460">
      <c r="B460" s="51" t="n"/>
      <c r="C460" s="51" t="n"/>
      <c r="D460" s="51" t="n"/>
      <c r="E460" s="51" t="n"/>
      <c r="F460" s="51" t="n"/>
    </row>
    <row r="461">
      <c r="B461" s="51" t="n"/>
      <c r="C461" s="51" t="n"/>
      <c r="D461" s="51" t="n"/>
      <c r="E461" s="51" t="n"/>
      <c r="F461" s="51" t="n"/>
    </row>
    <row r="462">
      <c r="B462" s="51" t="n"/>
      <c r="C462" s="51" t="n"/>
      <c r="D462" s="51" t="n"/>
      <c r="E462" s="51" t="n"/>
      <c r="F462" s="51" t="n"/>
    </row>
    <row r="463">
      <c r="B463" s="51" t="n"/>
      <c r="C463" s="51" t="n"/>
      <c r="D463" s="51" t="n"/>
      <c r="E463" s="51" t="n"/>
      <c r="F463" s="51" t="n"/>
    </row>
    <row r="464">
      <c r="B464" s="51" t="n"/>
      <c r="C464" s="51" t="n"/>
      <c r="D464" s="51" t="n"/>
      <c r="E464" s="51" t="n"/>
      <c r="F464" s="51" t="n"/>
    </row>
    <row r="465">
      <c r="B465" s="51" t="n"/>
      <c r="C465" s="51" t="n"/>
      <c r="D465" s="51" t="n"/>
      <c r="E465" s="51" t="n"/>
      <c r="F465" s="51" t="n"/>
    </row>
    <row r="466">
      <c r="B466" s="51" t="n"/>
      <c r="C466" s="51" t="n"/>
      <c r="D466" s="51" t="n"/>
      <c r="E466" s="51" t="n"/>
      <c r="F466" s="51" t="n"/>
    </row>
    <row r="467">
      <c r="B467" s="51" t="n"/>
      <c r="C467" s="51" t="n"/>
      <c r="D467" s="51" t="n"/>
      <c r="E467" s="51" t="n"/>
      <c r="F467" s="51" t="n"/>
    </row>
    <row r="468">
      <c r="B468" s="51" t="n"/>
      <c r="C468" s="51" t="n"/>
      <c r="D468" s="51" t="n"/>
      <c r="E468" s="51" t="n"/>
      <c r="F468" s="51" t="n"/>
    </row>
    <row r="469">
      <c r="B469" s="51" t="n"/>
      <c r="C469" s="51" t="n"/>
      <c r="D469" s="51" t="n"/>
      <c r="E469" s="51" t="n"/>
      <c r="F469" s="51" t="n"/>
    </row>
    <row r="470">
      <c r="B470" s="51" t="n"/>
      <c r="C470" s="51" t="n"/>
      <c r="D470" s="51" t="n"/>
      <c r="E470" s="51" t="n"/>
      <c r="F470" s="51" t="n"/>
    </row>
    <row r="471">
      <c r="B471" s="51" t="n"/>
      <c r="C471" s="51" t="n"/>
      <c r="D471" s="51" t="n"/>
      <c r="E471" s="51" t="n"/>
      <c r="F471" s="51" t="n"/>
    </row>
    <row r="472">
      <c r="B472" s="51" t="n"/>
      <c r="C472" s="51" t="n"/>
      <c r="D472" s="51" t="n"/>
      <c r="E472" s="51" t="n"/>
      <c r="F472" s="51" t="n"/>
    </row>
    <row r="473">
      <c r="B473" s="51" t="n"/>
      <c r="C473" s="51" t="n"/>
      <c r="D473" s="51" t="n"/>
      <c r="E473" s="51" t="n"/>
      <c r="F473" s="51" t="n"/>
    </row>
    <row r="474">
      <c r="B474" s="51" t="n"/>
      <c r="C474" s="51" t="n"/>
      <c r="D474" s="51" t="n"/>
      <c r="E474" s="51" t="n"/>
      <c r="F474" s="51" t="n"/>
    </row>
    <row r="475">
      <c r="B475" s="51" t="n"/>
      <c r="C475" s="51" t="n"/>
      <c r="D475" s="51" t="n"/>
      <c r="E475" s="51" t="n"/>
      <c r="F475" s="51" t="n"/>
    </row>
    <row r="476">
      <c r="B476" s="51" t="n"/>
      <c r="C476" s="51" t="n"/>
      <c r="D476" s="51" t="n"/>
      <c r="E476" s="51" t="n"/>
      <c r="F476" s="51" t="n"/>
    </row>
    <row r="477">
      <c r="B477" s="51" t="n"/>
      <c r="C477" s="51" t="n"/>
      <c r="D477" s="51" t="n"/>
      <c r="E477" s="51" t="n"/>
      <c r="F477" s="51" t="n"/>
    </row>
    <row r="478">
      <c r="B478" s="51" t="n"/>
      <c r="C478" s="51" t="n"/>
      <c r="D478" s="51" t="n"/>
      <c r="E478" s="51" t="n"/>
      <c r="F478" s="51" t="n"/>
    </row>
    <row r="479">
      <c r="B479" s="51" t="n"/>
      <c r="C479" s="51" t="n"/>
      <c r="D479" s="51" t="n"/>
      <c r="E479" s="51" t="n"/>
      <c r="F479" s="51" t="n"/>
    </row>
    <row r="480">
      <c r="B480" s="51" t="n"/>
      <c r="C480" s="51" t="n"/>
      <c r="D480" s="51" t="n"/>
      <c r="E480" s="51" t="n"/>
      <c r="F480" s="51" t="n"/>
    </row>
    <row r="481">
      <c r="B481" s="51" t="n"/>
      <c r="C481" s="51" t="n"/>
      <c r="D481" s="51" t="n"/>
      <c r="E481" s="51" t="n"/>
      <c r="F481" s="51" t="n"/>
    </row>
    <row r="482">
      <c r="B482" s="51" t="n"/>
      <c r="C482" s="51" t="n"/>
      <c r="D482" s="51" t="n"/>
      <c r="E482" s="51" t="n"/>
      <c r="F482" s="51" t="n"/>
    </row>
    <row r="483">
      <c r="B483" s="51" t="n"/>
      <c r="C483" s="51" t="n"/>
      <c r="D483" s="51" t="n"/>
      <c r="E483" s="51" t="n"/>
      <c r="F483" s="51" t="n"/>
    </row>
    <row r="484">
      <c r="B484" s="51" t="n"/>
      <c r="C484" s="51" t="n"/>
      <c r="D484" s="51" t="n"/>
      <c r="E484" s="51" t="n"/>
      <c r="F484" s="51" t="n"/>
    </row>
    <row r="485">
      <c r="B485" s="51" t="n"/>
      <c r="C485" s="51" t="n"/>
      <c r="D485" s="51" t="n"/>
      <c r="E485" s="51" t="n"/>
      <c r="F485" s="51" t="n"/>
    </row>
    <row r="486">
      <c r="B486" s="51" t="n"/>
      <c r="C486" s="51" t="n"/>
      <c r="D486" s="51" t="n"/>
      <c r="E486" s="51" t="n"/>
      <c r="F486" s="51" t="n"/>
    </row>
    <row r="487">
      <c r="B487" s="51" t="n"/>
      <c r="C487" s="51" t="n"/>
      <c r="D487" s="51" t="n"/>
      <c r="E487" s="51" t="n"/>
      <c r="F487" s="51" t="n"/>
    </row>
    <row r="488">
      <c r="B488" s="51" t="n"/>
      <c r="C488" s="51" t="n"/>
      <c r="D488" s="51" t="n"/>
      <c r="E488" s="51" t="n"/>
      <c r="F488" s="51" t="n"/>
    </row>
    <row r="489">
      <c r="B489" s="51" t="n"/>
      <c r="C489" s="51" t="n"/>
      <c r="D489" s="51" t="n"/>
      <c r="E489" s="51" t="n"/>
      <c r="F489" s="51" t="n"/>
    </row>
    <row r="490">
      <c r="B490" s="51" t="n"/>
      <c r="C490" s="51" t="n"/>
      <c r="D490" s="51" t="n"/>
      <c r="E490" s="51" t="n"/>
      <c r="F490" s="51" t="n"/>
    </row>
    <row r="491">
      <c r="B491" s="51" t="n"/>
      <c r="C491" s="51" t="n"/>
      <c r="D491" s="51" t="n"/>
      <c r="E491" s="51" t="n"/>
      <c r="F491" s="51" t="n"/>
    </row>
    <row r="492">
      <c r="B492" s="51" t="n"/>
      <c r="C492" s="51" t="n"/>
      <c r="D492" s="51" t="n"/>
      <c r="E492" s="51" t="n"/>
      <c r="F492" s="51" t="n"/>
    </row>
    <row r="493">
      <c r="B493" s="51" t="n"/>
      <c r="C493" s="51" t="n"/>
      <c r="D493" s="51" t="n"/>
      <c r="E493" s="51" t="n"/>
      <c r="F493" s="51" t="n"/>
    </row>
    <row r="494">
      <c r="B494" s="51" t="n"/>
      <c r="C494" s="51" t="n"/>
      <c r="D494" s="51" t="n"/>
      <c r="E494" s="51" t="n"/>
      <c r="F494" s="51" t="n"/>
    </row>
    <row r="495">
      <c r="B495" s="51" t="n"/>
      <c r="C495" s="51" t="n"/>
      <c r="D495" s="51" t="n"/>
      <c r="E495" s="51" t="n"/>
      <c r="F495" s="51" t="n"/>
    </row>
    <row r="496">
      <c r="B496" s="51" t="n"/>
      <c r="C496" s="51" t="n"/>
      <c r="D496" s="51" t="n"/>
      <c r="E496" s="51" t="n"/>
      <c r="F496" s="51" t="n"/>
    </row>
    <row r="497">
      <c r="B497" s="51" t="n"/>
      <c r="C497" s="51" t="n"/>
      <c r="D497" s="51" t="n"/>
      <c r="E497" s="51" t="n"/>
      <c r="F497" s="51" t="n"/>
    </row>
    <row r="498">
      <c r="B498" s="51" t="n"/>
      <c r="C498" s="51" t="n"/>
      <c r="D498" s="51" t="n"/>
      <c r="E498" s="51" t="n"/>
      <c r="F498" s="51" t="n"/>
    </row>
    <row r="499">
      <c r="B499" s="51" t="n"/>
      <c r="C499" s="51" t="n"/>
      <c r="D499" s="51" t="n"/>
      <c r="E499" s="51" t="n"/>
      <c r="F499" s="51" t="n"/>
    </row>
    <row r="500">
      <c r="B500" s="51" t="n"/>
      <c r="C500" s="51" t="n"/>
      <c r="D500" s="51" t="n"/>
      <c r="E500" s="51" t="n"/>
      <c r="F500" s="51" t="n"/>
    </row>
    <row r="501">
      <c r="B501" s="51" t="n"/>
      <c r="C501" s="51" t="n"/>
      <c r="D501" s="51" t="n"/>
      <c r="E501" s="51" t="n"/>
      <c r="F501" s="51" t="n"/>
    </row>
    <row r="502">
      <c r="B502" s="51" t="n"/>
      <c r="C502" s="51" t="n"/>
      <c r="D502" s="51" t="n"/>
      <c r="E502" s="51" t="n"/>
      <c r="F502" s="51" t="n"/>
    </row>
    <row r="503">
      <c r="B503" s="51" t="n"/>
      <c r="C503" s="51" t="n"/>
      <c r="D503" s="51" t="n"/>
      <c r="E503" s="51" t="n"/>
      <c r="F503" s="51" t="n"/>
    </row>
    <row r="504">
      <c r="B504" s="51" t="n"/>
      <c r="C504" s="51" t="n"/>
      <c r="D504" s="51" t="n"/>
      <c r="E504" s="51" t="n"/>
      <c r="F504" s="51" t="n"/>
    </row>
    <row r="505">
      <c r="B505" s="51" t="n"/>
      <c r="C505" s="51" t="n"/>
      <c r="D505" s="51" t="n"/>
      <c r="E505" s="51" t="n"/>
      <c r="F505" s="51" t="n"/>
    </row>
    <row r="506">
      <c r="B506" s="51" t="n"/>
      <c r="C506" s="51" t="n"/>
      <c r="D506" s="51" t="n"/>
      <c r="E506" s="51" t="n"/>
      <c r="F506" s="51" t="n"/>
    </row>
    <row r="507">
      <c r="B507" s="51" t="n"/>
      <c r="C507" s="51" t="n"/>
      <c r="D507" s="51" t="n"/>
      <c r="E507" s="51" t="n"/>
      <c r="F507" s="51" t="n"/>
    </row>
    <row r="508">
      <c r="B508" s="51" t="n"/>
      <c r="C508" s="51" t="n"/>
      <c r="D508" s="51" t="n"/>
      <c r="E508" s="51" t="n"/>
      <c r="F508" s="51" t="n"/>
    </row>
    <row r="509">
      <c r="B509" s="51" t="n"/>
      <c r="C509" s="51" t="n"/>
      <c r="D509" s="51" t="n"/>
      <c r="E509" s="51" t="n"/>
      <c r="F509" s="51" t="n"/>
    </row>
    <row r="510">
      <c r="B510" s="51" t="n"/>
      <c r="C510" s="51" t="n"/>
      <c r="D510" s="51" t="n"/>
      <c r="E510" s="51" t="n"/>
      <c r="F510" s="51" t="n"/>
    </row>
    <row r="511">
      <c r="B511" s="51" t="n"/>
      <c r="C511" s="51" t="n"/>
      <c r="D511" s="51" t="n"/>
      <c r="E511" s="51" t="n"/>
      <c r="F511" s="51" t="n"/>
    </row>
    <row r="512">
      <c r="B512" s="51" t="n"/>
      <c r="C512" s="51" t="n"/>
      <c r="D512" s="51" t="n"/>
      <c r="E512" s="51" t="n"/>
      <c r="F512" s="51" t="n"/>
    </row>
    <row r="513">
      <c r="B513" s="51" t="n"/>
      <c r="C513" s="51" t="n"/>
      <c r="D513" s="51" t="n"/>
      <c r="E513" s="51" t="n"/>
      <c r="F513" s="51" t="n"/>
    </row>
    <row r="514">
      <c r="B514" s="51" t="n"/>
      <c r="C514" s="51" t="n"/>
      <c r="D514" s="51" t="n"/>
      <c r="E514" s="51" t="n"/>
      <c r="F514" s="51" t="n"/>
    </row>
    <row r="515">
      <c r="B515" s="51" t="n"/>
      <c r="C515" s="51" t="n"/>
      <c r="D515" s="51" t="n"/>
      <c r="E515" s="51" t="n"/>
      <c r="F515" s="51" t="n"/>
    </row>
    <row r="516">
      <c r="B516" s="51" t="n"/>
      <c r="C516" s="51" t="n"/>
      <c r="D516" s="51" t="n"/>
      <c r="E516" s="51" t="n"/>
      <c r="F516" s="51" t="n"/>
    </row>
    <row r="517">
      <c r="B517" s="51" t="n"/>
      <c r="C517" s="51" t="n"/>
      <c r="D517" s="51" t="n"/>
      <c r="E517" s="51" t="n"/>
      <c r="F517" s="51" t="n"/>
    </row>
  </sheetData>
  <mergeCells count="7">
    <mergeCell ref="B3:G3"/>
    <mergeCell ref="B5:G5"/>
    <mergeCell ref="B10:C10"/>
    <mergeCell ref="B8:G8"/>
    <mergeCell ref="B4:G4"/>
    <mergeCell ref="B7:G7"/>
    <mergeCell ref="B6:G6"/>
  </mergeCells>
  <conditionalFormatting sqref="E9">
    <cfRule type="cellIs" priority="1" operator="greaterThan" dxfId="5">
      <formula>0</formula>
    </cfRule>
  </conditionalFormatting>
  <conditionalFormatting sqref="B17:B517">
    <cfRule type="expression" priority="2" dxfId="6">
      <formula>AND(LEN($B17&amp;$C17&amp;$D17&amp;$E17&amp;$F17)&gt;0,B17="")</formula>
    </cfRule>
  </conditionalFormatting>
  <conditionalFormatting sqref="C17:C517">
    <cfRule type="expression" priority="3" dxfId="6">
      <formula>AND(LEN($B17&amp;$C17&amp;$D17&amp;$E17&amp;$F17)&gt;0,C17="")</formula>
    </cfRule>
  </conditionalFormatting>
  <conditionalFormatting sqref="D17:D517">
    <cfRule type="expression" priority="4" dxfId="6">
      <formula>AND(LEN($B17&amp;$C17&amp;$D17&amp;$E17&amp;$F17)&gt;0,D17="")</formula>
    </cfRule>
  </conditionalFormatting>
  <conditionalFormatting sqref="F17:F517">
    <cfRule type="expression" priority="5" dxfId="6">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Parameter" error="Choose a value of the list Sign-in (sheet Reference lists)." promptTitle="Parameter" prompt="Yes. One row per parameter Allowed: List Sign-in: 17 values, see Reference lists" type="list" errorStyle="stop">
      <formula1>=LIST_UA_PARAMETER</formula1>
    </dataValidation>
    <dataValidation sqref="C17:C517" showDropDown="0" showInputMessage="1" showErrorMessage="0" allowBlank="1" promptTitle="Value as delivered" prompt="Yes. The value proposed with the system"/>
    <dataValidation sqref="D17:D517" showDropDown="0" showInputMessage="1" showErrorMessage="0" allowBlank="1" promptTitle="Value wanted" prompt="Yes. The value BDOI wants"/>
    <dataValidation sqref="E17:E517" showDropDown="0" showInputMessage="1" showErrorMessage="0" allowBlank="1" promptTitle="Reason" prompt="Conditional: value changed. Policy reference or reason"/>
    <dataValidation sqref="F17:F517" showDropDown="0" showInputMessage="1" showErrorMessage="0" allowBlank="1" promptTitle="Approved by" prompt="Yes. Information Security or BDOI IT approver of the value"/>
  </dataValidations>
  <hyperlinks>
    <hyperlink ref="A2" location="'Start here'!A1"/>
    <hyperlink ref="G2" location="'Questions and comments'!A1"/>
    <hyperlink ref="B14" location="'Reference lists'!A164"/>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fitToPage="1"/>
  </sheetPr>
  <dimension ref="A1:L145"/>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8" customWidth="1" min="4" max="4"/>
    <col width="30" customWidth="1" min="5" max="5"/>
    <col width="10" customWidth="1" min="6" max="6"/>
    <col width="14" customWidth="1" min="7" max="7"/>
    <col width="40" customWidth="1" min="8" max="8"/>
    <col width="22" customWidth="1" min="9" max="9"/>
    <col width="40" customWidth="1" min="10" max="10"/>
    <col width="14" customWidth="1" min="11" max="11"/>
    <col width="36" customWidth="1" min="12" max="12"/>
  </cols>
  <sheetData>
    <row r="1" ht="26" customHeight="1">
      <c r="A1" s="27" t="inlineStr">
        <is>
          <t>Reference: Lists of values</t>
        </is>
      </c>
    </row>
    <row r="2">
      <c r="A2" s="29" t="inlineStr">
        <is>
          <t>← Back to Start here</t>
        </is>
      </c>
      <c r="B2" s="56" t="inlineStr">
        <is>
          <t>Every list of values of BIBS with its owner and its one route</t>
        </is>
      </c>
    </row>
    <row r="4" ht="30" customHeight="1">
      <c r="A4" s="11" t="inlineStr">
        <is>
          <t>List</t>
        </is>
      </c>
      <c r="B4" s="11" t="inlineStr">
        <is>
          <t>Name</t>
        </is>
      </c>
      <c r="C4" s="11" t="inlineStr">
        <is>
          <t>Module</t>
        </is>
      </c>
      <c r="D4" s="11" t="inlineStr">
        <is>
          <t>Drop</t>
        </is>
      </c>
      <c r="E4" s="11" t="inlineStr">
        <is>
          <t>Owner (BDOI unit)</t>
        </is>
      </c>
      <c r="F4" s="11" t="inlineStr">
        <is>
          <t>Values proposed</t>
        </is>
      </c>
      <c r="G4" s="11" t="inlineStr">
        <is>
          <t>Route</t>
        </is>
      </c>
      <c r="H4" s="11" t="inlineStr">
        <is>
          <t>Prepared in</t>
        </is>
      </c>
      <c r="I4" s="11" t="inlineStr">
        <is>
          <t>Due</t>
        </is>
      </c>
      <c r="J4" s="11" t="inlineStr">
        <is>
          <t>Values to keep, add or retire</t>
        </is>
      </c>
      <c r="K4" s="11" t="inlineStr">
        <is>
          <t>Status</t>
        </is>
      </c>
      <c r="L4" s="11" t="inlineStr">
        <is>
          <t>BDOI comments</t>
        </is>
      </c>
    </row>
    <row r="5">
      <c r="A5" s="14" t="inlineStr">
        <is>
          <t>ACSL_CASE_TYPE</t>
        </is>
      </c>
      <c r="B5" s="14" t="inlineStr">
        <is>
          <t>ACSL case type</t>
        </is>
      </c>
      <c r="C5" s="14" t="inlineStr">
        <is>
          <t>Accounting, Disbursement and ACSL</t>
        </is>
      </c>
      <c r="D5" s="14" t="inlineStr">
        <is>
          <t>Drop 1</t>
        </is>
      </c>
      <c r="E5" s="14" t="inlineStr">
        <is>
          <t>Head, Comptrollership</t>
        </is>
      </c>
      <c r="F5" s="14" t="n">
        <v>5</v>
      </c>
      <c r="G5" s="14" t="inlineStr">
        <is>
          <t>Template</t>
        </is>
      </c>
      <c r="H5" s="14" t="inlineStr">
        <is>
          <t>This workbook, sheet Ref Lists of values</t>
        </is>
      </c>
      <c r="I5" s="14" t="inlineStr">
        <is>
          <t>9-Apr-2027 (T-38 weeks)</t>
        </is>
      </c>
      <c r="J5" s="14" t="n"/>
      <c r="K5" s="14" t="inlineStr">
        <is>
          <t>Not started</t>
        </is>
      </c>
      <c r="L5" s="14" t="n"/>
    </row>
    <row r="6">
      <c r="A6" s="14" t="inlineStr">
        <is>
          <t>ACSL_CORRECTION_KIND</t>
        </is>
      </c>
      <c r="B6" s="14" t="inlineStr">
        <is>
          <t>ACSL correction kind</t>
        </is>
      </c>
      <c r="C6" s="14" t="inlineStr">
        <is>
          <t>Accounting, Disbursement and ACSL</t>
        </is>
      </c>
      <c r="D6" s="14" t="inlineStr">
        <is>
          <t>Drop 1</t>
        </is>
      </c>
      <c r="E6" s="14" t="inlineStr">
        <is>
          <t>Head, Comptrollership</t>
        </is>
      </c>
      <c r="F6" s="14" t="n">
        <v>4</v>
      </c>
      <c r="G6" s="14" t="inlineStr">
        <is>
          <t>Template</t>
        </is>
      </c>
      <c r="H6" s="14" t="inlineStr">
        <is>
          <t>This workbook, sheet Ref Lists of values</t>
        </is>
      </c>
      <c r="I6" s="14" t="inlineStr">
        <is>
          <t>9-Apr-2027 (T-38 weeks)</t>
        </is>
      </c>
      <c r="J6" s="14" t="n"/>
      <c r="K6" s="14" t="inlineStr">
        <is>
          <t>Not started</t>
        </is>
      </c>
      <c r="L6" s="14" t="n"/>
    </row>
    <row r="7">
      <c r="A7" s="14" t="inlineStr">
        <is>
          <t>ADJ_RETURN_REASON</t>
        </is>
      </c>
      <c r="B7" s="14" t="inlineStr">
        <is>
          <t>Endorsement return reason</t>
        </is>
      </c>
      <c r="C7" s="14" t="inlineStr">
        <is>
          <t>Operations</t>
        </is>
      </c>
      <c r="D7" s="14" t="inlineStr">
        <is>
          <t>Drop 1</t>
        </is>
      </c>
      <c r="E7" s="14" t="inlineStr">
        <is>
          <t>Head, Operations Services</t>
        </is>
      </c>
      <c r="F7" s="14" t="n">
        <v>6</v>
      </c>
      <c r="G7" s="14" t="inlineStr">
        <is>
          <t>Template</t>
        </is>
      </c>
      <c r="H7" s="14" t="inlineStr">
        <is>
          <t>This workbook, sheet Ref Lists of values</t>
        </is>
      </c>
      <c r="I7" s="14" t="inlineStr">
        <is>
          <t>9-Apr-2027 (T-38 weeks)</t>
        </is>
      </c>
      <c r="J7" s="14" t="n"/>
      <c r="K7" s="14" t="inlineStr">
        <is>
          <t>Not started</t>
        </is>
      </c>
      <c r="L7" s="14" t="n"/>
    </row>
    <row r="8">
      <c r="A8" s="14" t="inlineStr">
        <is>
          <t>AR_CLASS</t>
        </is>
      </c>
      <c r="B8" s="14" t="inlineStr">
        <is>
          <t>Acknowledgement receipt class</t>
        </is>
      </c>
      <c r="C8" s="14" t="inlineStr">
        <is>
          <t>Operations</t>
        </is>
      </c>
      <c r="D8" s="14" t="inlineStr">
        <is>
          <t>Drop 1</t>
        </is>
      </c>
      <c r="E8" s="14" t="inlineStr">
        <is>
          <t>Head, Operations Services</t>
        </is>
      </c>
      <c r="F8" s="14" t="n">
        <v>11</v>
      </c>
      <c r="G8" s="14" t="inlineStr">
        <is>
          <t>Template</t>
        </is>
      </c>
      <c r="H8" s="14" t="inlineStr">
        <is>
          <t>This workbook, sheet Ref Lists of values</t>
        </is>
      </c>
      <c r="I8" s="14" t="inlineStr">
        <is>
          <t>9-Apr-2027 (T-38 weeks)</t>
        </is>
      </c>
      <c r="J8" s="14" t="n"/>
      <c r="K8" s="14" t="inlineStr">
        <is>
          <t>Not started</t>
        </is>
      </c>
      <c r="L8" s="14" t="n"/>
    </row>
    <row r="9">
      <c r="A9" s="14" t="inlineStr">
        <is>
          <t>BCL_ADJUSTER</t>
        </is>
      </c>
      <c r="B9" s="14" t="inlineStr">
        <is>
          <t>Adjuster / appraiser</t>
        </is>
      </c>
      <c r="C9" s="14" t="inlineStr">
        <is>
          <t>Claims</t>
        </is>
      </c>
      <c r="D9" s="14" t="inlineStr">
        <is>
          <t>Drop 2</t>
        </is>
      </c>
      <c r="E9" s="14" t="inlineStr">
        <is>
          <t>Product Owner, Claims</t>
        </is>
      </c>
      <c r="F9" s="14" t="n">
        <v>25</v>
      </c>
      <c r="G9" s="14" t="inlineStr">
        <is>
          <t>Template</t>
        </is>
      </c>
      <c r="H9" s="14" t="inlineStr">
        <is>
          <t>This workbook, sheet Ref Lists of values</t>
        </is>
      </c>
      <c r="I9" s="14" t="inlineStr">
        <is>
          <t>9-Apr-2027 (T-38 weeks)</t>
        </is>
      </c>
      <c r="J9" s="14" t="n"/>
      <c r="K9" s="14" t="inlineStr">
        <is>
          <t>Not started</t>
        </is>
      </c>
      <c r="L9" s="14" t="n"/>
    </row>
    <row r="10">
      <c r="A10" s="14" t="inlineStr">
        <is>
          <t>BCL_CATASTROPHE</t>
        </is>
      </c>
      <c r="B10" s="14" t="inlineStr">
        <is>
          <t>Catastrophe code</t>
        </is>
      </c>
      <c r="C10" s="14" t="inlineStr">
        <is>
          <t>Claims</t>
        </is>
      </c>
      <c r="D10" s="14" t="inlineStr">
        <is>
          <t>Drop 2</t>
        </is>
      </c>
      <c r="E10" s="14" t="inlineStr">
        <is>
          <t>Product Owner, Claims</t>
        </is>
      </c>
      <c r="F10" s="14" t="n">
        <v>7</v>
      </c>
      <c r="G10" s="14" t="inlineStr">
        <is>
          <t>Template</t>
        </is>
      </c>
      <c r="H10" s="14" t="inlineStr">
        <is>
          <t>This workbook, sheet Ref Lists of values</t>
        </is>
      </c>
      <c r="I10" s="14" t="inlineStr">
        <is>
          <t>9-Apr-2027 (T-38 weeks)</t>
        </is>
      </c>
      <c r="J10" s="14" t="n"/>
      <c r="K10" s="14" t="inlineStr">
        <is>
          <t>Not started</t>
        </is>
      </c>
      <c r="L10" s="14" t="n"/>
    </row>
    <row r="11">
      <c r="A11" s="14" t="inlineStr">
        <is>
          <t>BCL_CLAIM_STATUS</t>
        </is>
      </c>
      <c r="B11" s="14" t="inlineStr">
        <is>
          <t>Claim status</t>
        </is>
      </c>
      <c r="C11" s="14" t="inlineStr">
        <is>
          <t>Claims</t>
        </is>
      </c>
      <c r="D11" s="14" t="inlineStr">
        <is>
          <t>Drop 2</t>
        </is>
      </c>
      <c r="E11" s="14" t="inlineStr">
        <is>
          <t>Product Owner, Claims</t>
        </is>
      </c>
      <c r="F11" s="14" t="n">
        <v>18</v>
      </c>
      <c r="G11" s="14" t="inlineStr">
        <is>
          <t>Template</t>
        </is>
      </c>
      <c r="H11" s="14" t="inlineStr">
        <is>
          <t>This workbook, sheet Ref Lists of values</t>
        </is>
      </c>
      <c r="I11" s="14" t="inlineStr">
        <is>
          <t>9-Apr-2027 (T-38 weeks)</t>
        </is>
      </c>
      <c r="J11" s="14" t="n"/>
      <c r="K11" s="14" t="inlineStr">
        <is>
          <t>Not started</t>
        </is>
      </c>
      <c r="L11" s="14" t="n"/>
    </row>
    <row r="12">
      <c r="A12" s="14" t="inlineStr">
        <is>
          <t>BCL_CLAIM_TYPE</t>
        </is>
      </c>
      <c r="B12" s="14" t="inlineStr">
        <is>
          <t>Claim type</t>
        </is>
      </c>
      <c r="C12" s="14" t="inlineStr">
        <is>
          <t>Claims</t>
        </is>
      </c>
      <c r="D12" s="14" t="inlineStr">
        <is>
          <t>Drop 2</t>
        </is>
      </c>
      <c r="E12" s="14" t="inlineStr">
        <is>
          <t>Product Owner, Claims</t>
        </is>
      </c>
      <c r="F12" s="14" t="n">
        <v>10</v>
      </c>
      <c r="G12" s="14" t="inlineStr">
        <is>
          <t>Template</t>
        </is>
      </c>
      <c r="H12" s="14" t="inlineStr">
        <is>
          <t>This workbook, sheet Ref Lists of values</t>
        </is>
      </c>
      <c r="I12" s="14" t="inlineStr">
        <is>
          <t>9-Apr-2027 (T-38 weeks)</t>
        </is>
      </c>
      <c r="J12" s="14" t="n"/>
      <c r="K12" s="14" t="inlineStr">
        <is>
          <t>Not started</t>
        </is>
      </c>
      <c r="L12" s="14" t="n"/>
    </row>
    <row r="13">
      <c r="A13" s="14" t="inlineStr">
        <is>
          <t>BCL_DIARY_TYPE</t>
        </is>
      </c>
      <c r="B13" s="14" t="inlineStr">
        <is>
          <t>Claim diary entry type</t>
        </is>
      </c>
      <c r="C13" s="14" t="inlineStr">
        <is>
          <t>Claims</t>
        </is>
      </c>
      <c r="D13" s="14" t="inlineStr">
        <is>
          <t>Drop 2</t>
        </is>
      </c>
      <c r="E13" s="14" t="inlineStr">
        <is>
          <t>Product Owner, Claims</t>
        </is>
      </c>
      <c r="F13" s="14" t="n">
        <v>5</v>
      </c>
      <c r="G13" s="14" t="inlineStr">
        <is>
          <t>Template</t>
        </is>
      </c>
      <c r="H13" s="14" t="inlineStr">
        <is>
          <t>This workbook, sheet Ref Lists of values</t>
        </is>
      </c>
      <c r="I13" s="14" t="inlineStr">
        <is>
          <t>9-Apr-2027 (T-38 weeks)</t>
        </is>
      </c>
      <c r="J13" s="14" t="n"/>
      <c r="K13" s="14" t="inlineStr">
        <is>
          <t>Not started</t>
        </is>
      </c>
      <c r="L13" s="14" t="n"/>
    </row>
    <row r="14">
      <c r="A14" s="14" t="inlineStr">
        <is>
          <t>BCL_DOCUMENT_TYPE</t>
        </is>
      </c>
      <c r="B14" s="14" t="inlineStr">
        <is>
          <t>Claim document type</t>
        </is>
      </c>
      <c r="C14" s="14" t="inlineStr">
        <is>
          <t>Claims</t>
        </is>
      </c>
      <c r="D14" s="14" t="inlineStr">
        <is>
          <t>Drop 2</t>
        </is>
      </c>
      <c r="E14" s="14" t="inlineStr">
        <is>
          <t>Product Owner, Claims</t>
        </is>
      </c>
      <c r="F14" s="14" t="n">
        <v>9</v>
      </c>
      <c r="G14" s="14" t="inlineStr">
        <is>
          <t>Template</t>
        </is>
      </c>
      <c r="H14" s="14" t="inlineStr">
        <is>
          <t>This workbook, sheet Ref Lists of values</t>
        </is>
      </c>
      <c r="I14" s="14" t="inlineStr">
        <is>
          <t>9-Apr-2027 (T-38 weeks)</t>
        </is>
      </c>
      <c r="J14" s="14" t="n"/>
      <c r="K14" s="14" t="inlineStr">
        <is>
          <t>Not started</t>
        </is>
      </c>
      <c r="L14" s="14" t="n"/>
    </row>
    <row r="15">
      <c r="A15" s="14" t="inlineStr">
        <is>
          <t>BCL_LOSS_NATURE</t>
        </is>
      </c>
      <c r="B15" s="14" t="inlineStr">
        <is>
          <t>Nature of loss</t>
        </is>
      </c>
      <c r="C15" s="14" t="inlineStr">
        <is>
          <t>Claims</t>
        </is>
      </c>
      <c r="D15" s="14" t="inlineStr">
        <is>
          <t>Drop 2</t>
        </is>
      </c>
      <c r="E15" s="14" t="inlineStr">
        <is>
          <t>Product Owner, Claims</t>
        </is>
      </c>
      <c r="F15" s="14" t="n">
        <v>10</v>
      </c>
      <c r="G15" s="14" t="inlineStr">
        <is>
          <t>Template</t>
        </is>
      </c>
      <c r="H15" s="14" t="inlineStr">
        <is>
          <t>This workbook, sheet Ref Lists of values</t>
        </is>
      </c>
      <c r="I15" s="14" t="inlineStr">
        <is>
          <t>9-Apr-2027 (T-38 weeks)</t>
        </is>
      </c>
      <c r="J15" s="14" t="n"/>
      <c r="K15" s="14" t="inlineStr">
        <is>
          <t>Not started</t>
        </is>
      </c>
      <c r="L15" s="14" t="n"/>
    </row>
    <row r="16">
      <c r="A16" s="14" t="inlineStr">
        <is>
          <t>BCL_OVERRIDE_REASON</t>
        </is>
      </c>
      <c r="B16" s="14" t="inlineStr">
        <is>
          <t>Claim override reason</t>
        </is>
      </c>
      <c r="C16" s="14" t="inlineStr">
        <is>
          <t>Claims</t>
        </is>
      </c>
      <c r="D16" s="14" t="inlineStr">
        <is>
          <t>Drop 2</t>
        </is>
      </c>
      <c r="E16" s="14" t="inlineStr">
        <is>
          <t>Product Owner, Claims</t>
        </is>
      </c>
      <c r="F16" s="14" t="n">
        <v>4</v>
      </c>
      <c r="G16" s="14" t="inlineStr">
        <is>
          <t>Template</t>
        </is>
      </c>
      <c r="H16" s="14" t="inlineStr">
        <is>
          <t>This workbook, sheet Ref Lists of values</t>
        </is>
      </c>
      <c r="I16" s="14" t="inlineStr">
        <is>
          <t>9-Apr-2027 (T-38 weeks)</t>
        </is>
      </c>
      <c r="J16" s="14" t="n"/>
      <c r="K16" s="14" t="inlineStr">
        <is>
          <t>Not started</t>
        </is>
      </c>
      <c r="L16" s="14" t="n"/>
    </row>
    <row r="17">
      <c r="A17" s="14" t="inlineStr">
        <is>
          <t>BCL_REOPEN_REASON</t>
        </is>
      </c>
      <c r="B17" s="14" t="inlineStr">
        <is>
          <t>Claim reopen reason</t>
        </is>
      </c>
      <c r="C17" s="14" t="inlineStr">
        <is>
          <t>Claims</t>
        </is>
      </c>
      <c r="D17" s="14" t="inlineStr">
        <is>
          <t>Drop 2</t>
        </is>
      </c>
      <c r="E17" s="14" t="inlineStr">
        <is>
          <t>Product Owner, Claims</t>
        </is>
      </c>
      <c r="F17" s="14" t="n">
        <v>4</v>
      </c>
      <c r="G17" s="14" t="inlineStr">
        <is>
          <t>Template</t>
        </is>
      </c>
      <c r="H17" s="14" t="inlineStr">
        <is>
          <t>This workbook, sheet Ref Lists of values</t>
        </is>
      </c>
      <c r="I17" s="14" t="inlineStr">
        <is>
          <t>9-Apr-2027 (T-38 weeks)</t>
        </is>
      </c>
      <c r="J17" s="14" t="n"/>
      <c r="K17" s="14" t="inlineStr">
        <is>
          <t>Not started</t>
        </is>
      </c>
      <c r="L17" s="14" t="n"/>
    </row>
    <row r="18">
      <c r="A18" s="14" t="inlineStr">
        <is>
          <t>BCL_SETTLEMENT_TYPE</t>
        </is>
      </c>
      <c r="B18" s="14" t="inlineStr">
        <is>
          <t>Requested type of settlement</t>
        </is>
      </c>
      <c r="C18" s="14" t="inlineStr">
        <is>
          <t>Claims</t>
        </is>
      </c>
      <c r="D18" s="14" t="inlineStr">
        <is>
          <t>Drop 2</t>
        </is>
      </c>
      <c r="E18" s="14" t="inlineStr">
        <is>
          <t>Product Owner, Claims</t>
        </is>
      </c>
      <c r="F18" s="14" t="n">
        <v>11</v>
      </c>
      <c r="G18" s="14" t="inlineStr">
        <is>
          <t>Template</t>
        </is>
      </c>
      <c r="H18" s="14" t="inlineStr">
        <is>
          <t>This workbook, sheet Ref Lists of values</t>
        </is>
      </c>
      <c r="I18" s="14" t="inlineStr">
        <is>
          <t>9-Apr-2027 (T-38 weeks)</t>
        </is>
      </c>
      <c r="J18" s="14" t="n"/>
      <c r="K18" s="14" t="inlineStr">
        <is>
          <t>Not started</t>
        </is>
      </c>
      <c r="L18" s="14" t="n"/>
    </row>
    <row r="19">
      <c r="A19" s="14" t="inlineStr">
        <is>
          <t>BCL_UNIT</t>
        </is>
      </c>
      <c r="B19" s="14" t="inlineStr">
        <is>
          <t>Claims unit</t>
        </is>
      </c>
      <c r="C19" s="14" t="inlineStr">
        <is>
          <t>Claims</t>
        </is>
      </c>
      <c r="D19" s="14" t="inlineStr">
        <is>
          <t>Drop 2</t>
        </is>
      </c>
      <c r="E19" s="14" t="inlineStr">
        <is>
          <t>Product Owner, Claims</t>
        </is>
      </c>
      <c r="F19" s="14" t="n">
        <v>7</v>
      </c>
      <c r="G19" s="14" t="inlineStr">
        <is>
          <t>Template</t>
        </is>
      </c>
      <c r="H19" s="14" t="inlineStr">
        <is>
          <t>This workbook, sheet Ref Lists of values</t>
        </is>
      </c>
      <c r="I19" s="14" t="inlineStr">
        <is>
          <t>9-Apr-2027 (T-38 weeks)</t>
        </is>
      </c>
      <c r="J19" s="14" t="n"/>
      <c r="K19" s="14" t="inlineStr">
        <is>
          <t>Not started</t>
        </is>
      </c>
      <c r="L19" s="14" t="n"/>
    </row>
    <row r="20">
      <c r="A20" s="14" t="inlineStr">
        <is>
          <t>BCL_UPDATE_SOURCE</t>
        </is>
      </c>
      <c r="B20" s="14" t="inlineStr">
        <is>
          <t>Insurer update source</t>
        </is>
      </c>
      <c r="C20" s="14" t="inlineStr">
        <is>
          <t>Claims</t>
        </is>
      </c>
      <c r="D20" s="14" t="inlineStr">
        <is>
          <t>Drop 2</t>
        </is>
      </c>
      <c r="E20" s="14" t="inlineStr">
        <is>
          <t>Product Owner, Claims</t>
        </is>
      </c>
      <c r="F20" s="14" t="n">
        <v>5</v>
      </c>
      <c r="G20" s="14" t="inlineStr">
        <is>
          <t>Template</t>
        </is>
      </c>
      <c r="H20" s="14" t="inlineStr">
        <is>
          <t>This workbook, sheet Ref Lists of values</t>
        </is>
      </c>
      <c r="I20" s="14" t="inlineStr">
        <is>
          <t>9-Apr-2027 (T-38 weeks)</t>
        </is>
      </c>
      <c r="J20" s="14" t="n"/>
      <c r="K20" s="14" t="inlineStr">
        <is>
          <t>Not started</t>
        </is>
      </c>
      <c r="L20" s="14" t="n"/>
    </row>
    <row r="21">
      <c r="A21" s="14" t="inlineStr">
        <is>
          <t>BRANCH_EMAIL</t>
        </is>
      </c>
      <c r="B21" s="14" t="inlineStr">
        <is>
          <t>Branch e-mail address</t>
        </is>
      </c>
      <c r="C21" s="14" t="inlineStr">
        <is>
          <t>Operations</t>
        </is>
      </c>
      <c r="D21" s="14" t="inlineStr">
        <is>
          <t>Drop 1</t>
        </is>
      </c>
      <c r="E21" s="14" t="inlineStr">
        <is>
          <t>Head, Operations Services</t>
        </is>
      </c>
      <c r="F21" s="14" t="n">
        <v>0</v>
      </c>
      <c r="G21" s="14" t="inlineStr">
        <is>
          <t>Template</t>
        </is>
      </c>
      <c r="H21" s="14" t="inlineStr">
        <is>
          <t>This workbook, sheet Ref Lists of values</t>
        </is>
      </c>
      <c r="I21" s="14" t="inlineStr">
        <is>
          <t>9-Apr-2027 (T-38 weeks)</t>
        </is>
      </c>
      <c r="J21" s="14" t="n"/>
      <c r="K21" s="14" t="inlineStr">
        <is>
          <t>Not started</t>
        </is>
      </c>
      <c r="L21" s="14" t="n"/>
    </row>
    <row r="22">
      <c r="A22" s="14" t="inlineStr">
        <is>
          <t>CANCELLATION_REASON</t>
        </is>
      </c>
      <c r="B22" s="14" t="inlineStr">
        <is>
          <t>Cancellation reason</t>
        </is>
      </c>
      <c r="C22" s="14" t="inlineStr">
        <is>
          <t>Operations</t>
        </is>
      </c>
      <c r="D22" s="14" t="inlineStr">
        <is>
          <t>Drop 1</t>
        </is>
      </c>
      <c r="E22" s="14" t="inlineStr">
        <is>
          <t>Head, Operations Services</t>
        </is>
      </c>
      <c r="F22" s="14" t="n">
        <v>36</v>
      </c>
      <c r="G22" s="14" t="inlineStr">
        <is>
          <t>Template</t>
        </is>
      </c>
      <c r="H22" s="14" t="inlineStr">
        <is>
          <t>This workbook, sheet Ref Lists of values</t>
        </is>
      </c>
      <c r="I22" s="14" t="inlineStr">
        <is>
          <t>9-Apr-2027 (T-38 weeks)</t>
        </is>
      </c>
      <c r="J22" s="14" t="n"/>
      <c r="K22" s="14" t="inlineStr">
        <is>
          <t>Not started</t>
        </is>
      </c>
      <c r="L22" s="14" t="n"/>
    </row>
    <row r="23">
      <c r="A23" s="14" t="inlineStr">
        <is>
          <t>CIVIL_STATUS</t>
        </is>
      </c>
      <c r="B23" s="14" t="inlineStr">
        <is>
          <t>Civil status</t>
        </is>
      </c>
      <c r="C23" s="14" t="inlineStr">
        <is>
          <t>New Business</t>
        </is>
      </c>
      <c r="D23" s="14" t="inlineStr">
        <is>
          <t>Drop 1</t>
        </is>
      </c>
      <c r="E23" s="14" t="inlineStr">
        <is>
          <t>Product Owner, BDOI (New Business)</t>
        </is>
      </c>
      <c r="F23" s="14" t="n">
        <v>4</v>
      </c>
      <c r="G23" s="14" t="inlineStr">
        <is>
          <t>Migration object</t>
        </is>
      </c>
      <c r="H23" s="14" t="inlineStr">
        <is>
          <t>Migration Workbook, object R01, code map LOV:CIVIL_STATUS</t>
        </is>
      </c>
      <c r="I23" s="14" t="inlineStr">
        <is>
          <t>18-Jun-2027 (T-28 weeks)</t>
        </is>
      </c>
      <c r="J23" s="14" t="n"/>
      <c r="K23" s="14" t="inlineStr">
        <is>
          <t>Not started</t>
        </is>
      </c>
      <c r="L23" s="14" t="n"/>
    </row>
    <row r="24">
      <c r="A24" s="14" t="inlineStr">
        <is>
          <t>CLAUSE_KIND</t>
        </is>
      </c>
      <c r="B24" s="14" t="inlineStr">
        <is>
          <t>Clause kind</t>
        </is>
      </c>
      <c r="C24" s="14" t="inlineStr">
        <is>
          <t>Product Maintenance</t>
        </is>
      </c>
      <c r="D24" s="14" t="inlineStr">
        <is>
          <t>Drop 0</t>
        </is>
      </c>
      <c r="E24" s="14" t="inlineStr">
        <is>
          <t>Product Owner, Marketing Business System (MBS)</t>
        </is>
      </c>
      <c r="F24" s="14" t="n">
        <v>4</v>
      </c>
      <c r="G24" s="14" t="inlineStr">
        <is>
          <t>Template</t>
        </is>
      </c>
      <c r="H24" s="14" t="inlineStr">
        <is>
          <t>BRD-03 template CI-09, sheet PM-09 Lists and parameters</t>
        </is>
      </c>
      <c r="I24" s="14" t="inlineStr">
        <is>
          <t>9-Apr-2027 (T-38 weeks)</t>
        </is>
      </c>
      <c r="J24" s="14" t="n"/>
      <c r="K24" s="14" t="inlineStr">
        <is>
          <t>Not started</t>
        </is>
      </c>
      <c r="L24" s="14" t="n"/>
    </row>
    <row r="25">
      <c r="A25" s="14" t="inlineStr">
        <is>
          <t>CLIENT_CONFIRMATION_CHANNEL</t>
        </is>
      </c>
      <c r="B25" s="14" t="inlineStr">
        <is>
          <t>Client confirmation channel</t>
        </is>
      </c>
      <c r="C25" s="14" t="inlineStr">
        <is>
          <t>New Business</t>
        </is>
      </c>
      <c r="D25" s="14" t="inlineStr">
        <is>
          <t>Drop 1</t>
        </is>
      </c>
      <c r="E25" s="14" t="inlineStr">
        <is>
          <t>Product Owner, BDOI (New Business)</t>
        </is>
      </c>
      <c r="F25" s="14" t="n">
        <v>4</v>
      </c>
      <c r="G25" s="14" t="inlineStr">
        <is>
          <t>Template</t>
        </is>
      </c>
      <c r="H25" s="14" t="inlineStr">
        <is>
          <t>This workbook, sheet Ref Lists of values</t>
        </is>
      </c>
      <c r="I25" s="14" t="inlineStr">
        <is>
          <t>9-Apr-2027 (T-38 weeks)</t>
        </is>
      </c>
      <c r="J25" s="14" t="n"/>
      <c r="K25" s="14" t="inlineStr">
        <is>
          <t>Not started</t>
        </is>
      </c>
      <c r="L25" s="14" t="n"/>
    </row>
    <row r="26">
      <c r="A26" s="14" t="inlineStr">
        <is>
          <t>CLIENT_DEACTIVATION_REASON</t>
        </is>
      </c>
      <c r="B26" s="14" t="inlineStr">
        <is>
          <t>Client deactivation reason</t>
        </is>
      </c>
      <c r="C26" s="14" t="inlineStr">
        <is>
          <t>New Business</t>
        </is>
      </c>
      <c r="D26" s="14" t="inlineStr">
        <is>
          <t>Drop 1</t>
        </is>
      </c>
      <c r="E26" s="14" t="inlineStr">
        <is>
          <t>Product Owner, BDOI (New Business)</t>
        </is>
      </c>
      <c r="F26" s="14" t="n">
        <v>7</v>
      </c>
      <c r="G26" s="14" t="inlineStr">
        <is>
          <t>Template</t>
        </is>
      </c>
      <c r="H26" s="14" t="inlineStr">
        <is>
          <t>This workbook, sheet Ref Lists of values</t>
        </is>
      </c>
      <c r="I26" s="14" t="inlineStr">
        <is>
          <t>9-Apr-2027 (T-38 weeks)</t>
        </is>
      </c>
      <c r="J26" s="14" t="n"/>
      <c r="K26" s="14" t="inlineStr">
        <is>
          <t>Not started</t>
        </is>
      </c>
      <c r="L26" s="14" t="n"/>
    </row>
    <row r="27">
      <c r="A27" s="14" t="inlineStr">
        <is>
          <t>CLIENT_TAG</t>
        </is>
      </c>
      <c r="B27" s="14" t="inlineStr">
        <is>
          <t>Client tag</t>
        </is>
      </c>
      <c r="C27" s="14" t="inlineStr">
        <is>
          <t>New Business</t>
        </is>
      </c>
      <c r="D27" s="14" t="inlineStr">
        <is>
          <t>Drop 1</t>
        </is>
      </c>
      <c r="E27" s="14" t="inlineStr">
        <is>
          <t>Product Owner, BDOI (New Business)</t>
        </is>
      </c>
      <c r="F27" s="14" t="n">
        <v>5</v>
      </c>
      <c r="G27" s="14" t="inlineStr">
        <is>
          <t>Template</t>
        </is>
      </c>
      <c r="H27" s="14" t="inlineStr">
        <is>
          <t>This workbook, sheet Ref Lists of values</t>
        </is>
      </c>
      <c r="I27" s="14" t="inlineStr">
        <is>
          <t>9-Apr-2027 (T-38 weeks)</t>
        </is>
      </c>
      <c r="J27" s="14" t="n"/>
      <c r="K27" s="14" t="inlineStr">
        <is>
          <t>Not started</t>
        </is>
      </c>
      <c r="L27" s="14" t="n"/>
    </row>
    <row r="28">
      <c r="A28" s="14" t="inlineStr">
        <is>
          <t>CLX_BILLING_FREQUENCY</t>
        </is>
      </c>
      <c r="B28" s="14" t="inlineStr">
        <is>
          <t>Billing frequency</t>
        </is>
      </c>
      <c r="C28" s="14" t="inlineStr">
        <is>
          <t>Collections</t>
        </is>
      </c>
      <c r="D28" s="14" t="inlineStr">
        <is>
          <t>Drop 1</t>
        </is>
      </c>
      <c r="E28" s="14" t="inlineStr">
        <is>
          <t>VP and Head, BDOI Operations (Collections)</t>
        </is>
      </c>
      <c r="F28" s="14" t="n">
        <v>4</v>
      </c>
      <c r="G28" s="14" t="inlineStr">
        <is>
          <t>Template</t>
        </is>
      </c>
      <c r="H28" s="14" t="inlineStr">
        <is>
          <t>This workbook, sheet Ref Lists of values</t>
        </is>
      </c>
      <c r="I28" s="14" t="inlineStr">
        <is>
          <t>9-Apr-2027 (T-38 weeks)</t>
        </is>
      </c>
      <c r="J28" s="14" t="n"/>
      <c r="K28" s="14" t="inlineStr">
        <is>
          <t>Not started</t>
        </is>
      </c>
      <c r="L28" s="14" t="n"/>
    </row>
    <row r="29">
      <c r="A29" s="14" t="inlineStr">
        <is>
          <t>CLX_EFFORT_CODE</t>
        </is>
      </c>
      <c r="B29" s="14" t="inlineStr">
        <is>
          <t>Collection effort code</t>
        </is>
      </c>
      <c r="C29" s="14" t="inlineStr">
        <is>
          <t>Collections</t>
        </is>
      </c>
      <c r="D29" s="14" t="inlineStr">
        <is>
          <t>Drop 1</t>
        </is>
      </c>
      <c r="E29" s="14" t="inlineStr">
        <is>
          <t>VP and Head, BDOI Operations (Collections)</t>
        </is>
      </c>
      <c r="F29" s="14" t="n">
        <v>5</v>
      </c>
      <c r="G29" s="14" t="inlineStr">
        <is>
          <t>Template</t>
        </is>
      </c>
      <c r="H29" s="14" t="inlineStr">
        <is>
          <t>This workbook, sheet Ref Lists of values</t>
        </is>
      </c>
      <c r="I29" s="14" t="inlineStr">
        <is>
          <t>9-Apr-2027 (T-38 weeks)</t>
        </is>
      </c>
      <c r="J29" s="14" t="n"/>
      <c r="K29" s="14" t="inlineStr">
        <is>
          <t>Not started</t>
        </is>
      </c>
      <c r="L29" s="14" t="n"/>
    </row>
    <row r="30">
      <c r="A30" s="14" t="inlineStr">
        <is>
          <t>CLX_ESCALATION_REASON</t>
        </is>
      </c>
      <c r="B30" s="14" t="inlineStr">
        <is>
          <t>Escalation reason</t>
        </is>
      </c>
      <c r="C30" s="14" t="inlineStr">
        <is>
          <t>Collections</t>
        </is>
      </c>
      <c r="D30" s="14" t="inlineStr">
        <is>
          <t>Drop 1</t>
        </is>
      </c>
      <c r="E30" s="14" t="inlineStr">
        <is>
          <t>VP and Head, BDOI Operations (Collections)</t>
        </is>
      </c>
      <c r="F30" s="14" t="n">
        <v>6</v>
      </c>
      <c r="G30" s="14" t="inlineStr">
        <is>
          <t>Template</t>
        </is>
      </c>
      <c r="H30" s="14" t="inlineStr">
        <is>
          <t>This workbook, sheet Ref Lists of values</t>
        </is>
      </c>
      <c r="I30" s="14" t="inlineStr">
        <is>
          <t>9-Apr-2027 (T-38 weeks)</t>
        </is>
      </c>
      <c r="J30" s="14" t="n"/>
      <c r="K30" s="14" t="inlineStr">
        <is>
          <t>Not started</t>
        </is>
      </c>
      <c r="L30" s="14" t="n"/>
    </row>
    <row r="31">
      <c r="A31" s="14" t="inlineStr">
        <is>
          <t>CLX_PR_DISPOSITION</t>
        </is>
      </c>
      <c r="B31" s="14" t="inlineStr">
        <is>
          <t>PR collector disposition</t>
        </is>
      </c>
      <c r="C31" s="14" t="inlineStr">
        <is>
          <t>Collections</t>
        </is>
      </c>
      <c r="D31" s="14" t="inlineStr">
        <is>
          <t>Drop 1</t>
        </is>
      </c>
      <c r="E31" s="14" t="inlineStr">
        <is>
          <t>VP and Head, BDOI Operations (Collections)</t>
        </is>
      </c>
      <c r="F31" s="14" t="n">
        <v>8</v>
      </c>
      <c r="G31" s="14" t="inlineStr">
        <is>
          <t>Template</t>
        </is>
      </c>
      <c r="H31" s="14" t="inlineStr">
        <is>
          <t>This workbook, sheet Ref Lists of values</t>
        </is>
      </c>
      <c r="I31" s="14" t="inlineStr">
        <is>
          <t>9-Apr-2027 (T-38 weeks)</t>
        </is>
      </c>
      <c r="J31" s="14" t="n"/>
      <c r="K31" s="14" t="inlineStr">
        <is>
          <t>Not started</t>
        </is>
      </c>
      <c r="L31" s="14" t="n"/>
    </row>
    <row r="32">
      <c r="A32" s="14" t="inlineStr">
        <is>
          <t>CLX_UPP_DISPOSITION</t>
        </is>
      </c>
      <c r="B32" s="14" t="inlineStr">
        <is>
          <t>Unapplied payment disposition (collector)</t>
        </is>
      </c>
      <c r="C32" s="14" t="inlineStr">
        <is>
          <t>Collections</t>
        </is>
      </c>
      <c r="D32" s="14" t="inlineStr">
        <is>
          <t>Drop 1</t>
        </is>
      </c>
      <c r="E32" s="14" t="inlineStr">
        <is>
          <t>VP and Head, BDOI Operations (Collections)</t>
        </is>
      </c>
      <c r="F32" s="14" t="n">
        <v>6</v>
      </c>
      <c r="G32" s="14" t="inlineStr">
        <is>
          <t>Template</t>
        </is>
      </c>
      <c r="H32" s="14" t="inlineStr">
        <is>
          <t>This workbook, sheet Ref Lists of values</t>
        </is>
      </c>
      <c r="I32" s="14" t="inlineStr">
        <is>
          <t>9-Apr-2027 (T-38 weeks)</t>
        </is>
      </c>
      <c r="J32" s="14" t="n"/>
      <c r="K32" s="14" t="inlineStr">
        <is>
          <t>Not started</t>
        </is>
      </c>
      <c r="L32" s="14" t="n"/>
    </row>
    <row r="33">
      <c r="A33" s="14" t="inlineStr">
        <is>
          <t>CONSTRUCTION_CLASS</t>
        </is>
      </c>
      <c r="B33" s="14" t="inlineStr">
        <is>
          <t>Construction class</t>
        </is>
      </c>
      <c r="C33" s="14" t="inlineStr">
        <is>
          <t>New Business</t>
        </is>
      </c>
      <c r="D33" s="14" t="inlineStr">
        <is>
          <t>Drop 1</t>
        </is>
      </c>
      <c r="E33" s="14" t="inlineStr">
        <is>
          <t>Product Owner, BDOI (New Business)</t>
        </is>
      </c>
      <c r="F33" s="14" t="n">
        <v>4</v>
      </c>
      <c r="G33" s="14" t="inlineStr">
        <is>
          <t>Template</t>
        </is>
      </c>
      <c r="H33" s="14" t="inlineStr">
        <is>
          <t>This workbook, sheet Ref Lists of values</t>
        </is>
      </c>
      <c r="I33" s="14" t="inlineStr">
        <is>
          <t>9-Apr-2027 (T-38 weeks)</t>
        </is>
      </c>
      <c r="J33" s="14" t="n"/>
      <c r="K33" s="14" t="inlineStr">
        <is>
          <t>Not started</t>
        </is>
      </c>
      <c r="L33" s="14" t="n"/>
    </row>
    <row r="34">
      <c r="A34" s="14" t="inlineStr">
        <is>
          <t>COVERAGE_KIND</t>
        </is>
      </c>
      <c r="B34" s="14" t="inlineStr">
        <is>
          <t>Coverage kind</t>
        </is>
      </c>
      <c r="C34" s="14" t="inlineStr">
        <is>
          <t>Product Maintenance</t>
        </is>
      </c>
      <c r="D34" s="14" t="inlineStr">
        <is>
          <t>Drop 0</t>
        </is>
      </c>
      <c r="E34" s="14" t="inlineStr">
        <is>
          <t>Product Owner, Marketing Business System (MBS)</t>
        </is>
      </c>
      <c r="F34" s="14" t="n">
        <v>4</v>
      </c>
      <c r="G34" s="14" t="inlineStr">
        <is>
          <t>Template</t>
        </is>
      </c>
      <c r="H34" s="14" t="inlineStr">
        <is>
          <t>BRD-03 template CI-09, sheet PM-09 Lists and parameters</t>
        </is>
      </c>
      <c r="I34" s="14" t="inlineStr">
        <is>
          <t>9-Apr-2027 (T-38 weeks)</t>
        </is>
      </c>
      <c r="J34" s="14" t="n"/>
      <c r="K34" s="14" t="inlineStr">
        <is>
          <t>Not started</t>
        </is>
      </c>
      <c r="L34" s="14" t="n"/>
    </row>
    <row r="35">
      <c r="A35" s="14" t="inlineStr">
        <is>
          <t>CSF_CHANGE_REASON</t>
        </is>
      </c>
      <c r="B35" s="14" t="inlineStr">
        <is>
          <t>Contact change reason</t>
        </is>
      </c>
      <c r="C35" s="14" t="inlineStr">
        <is>
          <t>Customer Servicing Facility</t>
        </is>
      </c>
      <c r="D35" s="14" t="inlineStr">
        <is>
          <t>Drop 1</t>
        </is>
      </c>
      <c r="E35" s="14" t="inlineStr">
        <is>
          <t>Product Owner, Customer Servicing Facility</t>
        </is>
      </c>
      <c r="F35" s="14" t="n">
        <v>4</v>
      </c>
      <c r="G35" s="14" t="inlineStr">
        <is>
          <t>Template</t>
        </is>
      </c>
      <c r="H35" s="14" t="inlineStr">
        <is>
          <t>This workbook, sheet Ref Lists of values</t>
        </is>
      </c>
      <c r="I35" s="14" t="inlineStr">
        <is>
          <t>9-Apr-2027 (T-38 weeks)</t>
        </is>
      </c>
      <c r="J35" s="14" t="n"/>
      <c r="K35" s="14" t="inlineStr">
        <is>
          <t>Not started</t>
        </is>
      </c>
      <c r="L35" s="14" t="n"/>
    </row>
    <row r="36">
      <c r="A36" s="14" t="inlineStr">
        <is>
          <t>CSF_CHANNEL</t>
        </is>
      </c>
      <c r="B36" s="14" t="inlineStr">
        <is>
          <t>Contact channel</t>
        </is>
      </c>
      <c r="C36" s="14" t="inlineStr">
        <is>
          <t>Customer Servicing Facility</t>
        </is>
      </c>
      <c r="D36" s="14" t="inlineStr">
        <is>
          <t>Drop 1</t>
        </is>
      </c>
      <c r="E36" s="14" t="inlineStr">
        <is>
          <t>Product Owner, Customer Servicing Facility</t>
        </is>
      </c>
      <c r="F36" s="14" t="n">
        <v>3</v>
      </c>
      <c r="G36" s="14" t="inlineStr">
        <is>
          <t>Template</t>
        </is>
      </c>
      <c r="H36" s="14" t="inlineStr">
        <is>
          <t>This workbook, sheet Ref Lists of values</t>
        </is>
      </c>
      <c r="I36" s="14" t="inlineStr">
        <is>
          <t>9-Apr-2027 (T-38 weeks)</t>
        </is>
      </c>
      <c r="J36" s="14" t="n"/>
      <c r="K36" s="14" t="inlineStr">
        <is>
          <t>Not started</t>
        </is>
      </c>
      <c r="L36" s="14" t="n"/>
    </row>
    <row r="37">
      <c r="A37" s="14" t="inlineStr">
        <is>
          <t>CSF_DOCUMENT_TYPE</t>
        </is>
      </c>
      <c r="B37" s="14" t="inlineStr">
        <is>
          <t>Contact centre document type</t>
        </is>
      </c>
      <c r="C37" s="14" t="inlineStr">
        <is>
          <t>Customer Servicing Facility</t>
        </is>
      </c>
      <c r="D37" s="14" t="inlineStr">
        <is>
          <t>Drop 1</t>
        </is>
      </c>
      <c r="E37" s="14" t="inlineStr">
        <is>
          <t>Product Owner, Customer Servicing Facility</t>
        </is>
      </c>
      <c r="F37" s="14" t="n">
        <v>7</v>
      </c>
      <c r="G37" s="14" t="inlineStr">
        <is>
          <t>Template</t>
        </is>
      </c>
      <c r="H37" s="14" t="inlineStr">
        <is>
          <t>This workbook, sheet Ref Lists of values</t>
        </is>
      </c>
      <c r="I37" s="14" t="inlineStr">
        <is>
          <t>9-Apr-2027 (T-38 weeks)</t>
        </is>
      </c>
      <c r="J37" s="14" t="n"/>
      <c r="K37" s="14" t="inlineStr">
        <is>
          <t>Not started</t>
        </is>
      </c>
      <c r="L37" s="14" t="n"/>
    </row>
    <row r="38">
      <c r="A38" s="14" t="inlineStr">
        <is>
          <t>CSF_REFERRAL_FIELD</t>
        </is>
      </c>
      <c r="B38" s="14" t="inlineStr">
        <is>
          <t>Change referred to the fulfilment unit</t>
        </is>
      </c>
      <c r="C38" s="14" t="inlineStr">
        <is>
          <t>Customer Servicing Facility</t>
        </is>
      </c>
      <c r="D38" s="14" t="inlineStr">
        <is>
          <t>Drop 1</t>
        </is>
      </c>
      <c r="E38" s="14" t="inlineStr">
        <is>
          <t>Product Owner, Customer Servicing Facility</t>
        </is>
      </c>
      <c r="F38" s="14" t="n">
        <v>6</v>
      </c>
      <c r="G38" s="14" t="inlineStr">
        <is>
          <t>Template</t>
        </is>
      </c>
      <c r="H38" s="14" t="inlineStr">
        <is>
          <t>This workbook, sheet Ref Lists of values</t>
        </is>
      </c>
      <c r="I38" s="14" t="inlineStr">
        <is>
          <t>9-Apr-2027 (T-38 weeks)</t>
        </is>
      </c>
      <c r="J38" s="14" t="n"/>
      <c r="K38" s="14" t="inlineStr">
        <is>
          <t>Not started</t>
        </is>
      </c>
      <c r="L38" s="14" t="n"/>
    </row>
    <row r="39">
      <c r="A39" s="14" t="inlineStr">
        <is>
          <t>CSF_STATUS</t>
        </is>
      </c>
      <c r="B39" s="14" t="inlineStr">
        <is>
          <t>Customer service status</t>
        </is>
      </c>
      <c r="C39" s="14" t="inlineStr">
        <is>
          <t>Customer Servicing Facility</t>
        </is>
      </c>
      <c r="D39" s="14" t="inlineStr">
        <is>
          <t>Drop 1</t>
        </is>
      </c>
      <c r="E39" s="14" t="inlineStr">
        <is>
          <t>Product Owner, Customer Servicing Facility</t>
        </is>
      </c>
      <c r="F39" s="14" t="n">
        <v>5</v>
      </c>
      <c r="G39" s="14" t="inlineStr">
        <is>
          <t>Template</t>
        </is>
      </c>
      <c r="H39" s="14" t="inlineStr">
        <is>
          <t>This workbook, sheet Ref Lists of values</t>
        </is>
      </c>
      <c r="I39" s="14" t="inlineStr">
        <is>
          <t>9-Apr-2027 (T-38 weeks)</t>
        </is>
      </c>
      <c r="J39" s="14" t="n"/>
      <c r="K39" s="14" t="inlineStr">
        <is>
          <t>Not started</t>
        </is>
      </c>
      <c r="L39" s="14" t="n"/>
    </row>
    <row r="40">
      <c r="A40" s="14" t="inlineStr">
        <is>
          <t>CSF_STATUS_MAP</t>
        </is>
      </c>
      <c r="B40" s="14" t="inlineStr">
        <is>
          <t>Customer service status mapping</t>
        </is>
      </c>
      <c r="C40" s="14" t="inlineStr">
        <is>
          <t>Customer Servicing Facility</t>
        </is>
      </c>
      <c r="D40" s="14" t="inlineStr">
        <is>
          <t>Drop 1</t>
        </is>
      </c>
      <c r="E40" s="14" t="inlineStr">
        <is>
          <t>Product Owner, Customer Servicing Facility</t>
        </is>
      </c>
      <c r="F40" s="14" t="n">
        <v>14</v>
      </c>
      <c r="G40" s="14" t="inlineStr">
        <is>
          <t>Template</t>
        </is>
      </c>
      <c r="H40" s="14" t="inlineStr">
        <is>
          <t>This workbook, sheet Ref Lists of values</t>
        </is>
      </c>
      <c r="I40" s="14" t="inlineStr">
        <is>
          <t>9-Apr-2027 (T-38 weeks)</t>
        </is>
      </c>
      <c r="J40" s="14" t="n"/>
      <c r="K40" s="14" t="inlineStr">
        <is>
          <t>Not started</t>
        </is>
      </c>
      <c r="L40" s="14" t="n"/>
    </row>
    <row r="41">
      <c r="A41" s="14" t="inlineStr">
        <is>
          <t>CSF_VERIFY_CHECK</t>
        </is>
      </c>
      <c r="B41" s="14" t="inlineStr">
        <is>
          <t>Caller verification check</t>
        </is>
      </c>
      <c r="C41" s="14" t="inlineStr">
        <is>
          <t>Customer Servicing Facility</t>
        </is>
      </c>
      <c r="D41" s="14" t="inlineStr">
        <is>
          <t>Drop 1</t>
        </is>
      </c>
      <c r="E41" s="14" t="inlineStr">
        <is>
          <t>Product Owner, Customer Servicing Facility</t>
        </is>
      </c>
      <c r="F41" s="14" t="n">
        <v>4</v>
      </c>
      <c r="G41" s="14" t="inlineStr">
        <is>
          <t>Template</t>
        </is>
      </c>
      <c r="H41" s="14" t="inlineStr">
        <is>
          <t>This workbook, sheet Ref Lists of values</t>
        </is>
      </c>
      <c r="I41" s="14" t="inlineStr">
        <is>
          <t>9-Apr-2027 (T-38 weeks)</t>
        </is>
      </c>
      <c r="J41" s="14" t="n"/>
      <c r="K41" s="14" t="inlineStr">
        <is>
          <t>Not started</t>
        </is>
      </c>
      <c r="L41" s="14" t="n"/>
    </row>
    <row r="42">
      <c r="A42" s="14" t="inlineStr">
        <is>
          <t>DISBURSEMENT_TYPE</t>
        </is>
      </c>
      <c r="B42" s="14" t="inlineStr">
        <is>
          <t>Disbursement type</t>
        </is>
      </c>
      <c r="C42" s="14" t="inlineStr">
        <is>
          <t>Accounting, Disbursement and ACSL</t>
        </is>
      </c>
      <c r="D42" s="14" t="inlineStr">
        <is>
          <t>Drop 1</t>
        </is>
      </c>
      <c r="E42" s="14" t="inlineStr">
        <is>
          <t>Head, Comptrollership</t>
        </is>
      </c>
      <c r="F42" s="14" t="n">
        <v>12</v>
      </c>
      <c r="G42" s="14" t="inlineStr">
        <is>
          <t>Template</t>
        </is>
      </c>
      <c r="H42" s="14" t="inlineStr">
        <is>
          <t>This workbook, sheet Ref Lists of values</t>
        </is>
      </c>
      <c r="I42" s="14" t="inlineStr">
        <is>
          <t>9-Apr-2027 (T-38 weeks)</t>
        </is>
      </c>
      <c r="J42" s="14" t="n"/>
      <c r="K42" s="14" t="inlineStr">
        <is>
          <t>Not started</t>
        </is>
      </c>
      <c r="L42" s="14" t="n"/>
    </row>
    <row r="43">
      <c r="A43" s="14" t="inlineStr">
        <is>
          <t>DISB_CANCEL_REASON</t>
        </is>
      </c>
      <c r="B43" s="14" t="inlineStr">
        <is>
          <t>DV cancellation reason</t>
        </is>
      </c>
      <c r="C43" s="14" t="inlineStr">
        <is>
          <t>Accounting, Disbursement and ACSL</t>
        </is>
      </c>
      <c r="D43" s="14" t="inlineStr">
        <is>
          <t>Drop 1</t>
        </is>
      </c>
      <c r="E43" s="14" t="inlineStr">
        <is>
          <t>Head, Comptrollership</t>
        </is>
      </c>
      <c r="F43" s="14" t="n">
        <v>5</v>
      </c>
      <c r="G43" s="14" t="inlineStr">
        <is>
          <t>Template</t>
        </is>
      </c>
      <c r="H43" s="14" t="inlineStr">
        <is>
          <t>This workbook, sheet Ref Lists of values</t>
        </is>
      </c>
      <c r="I43" s="14" t="inlineStr">
        <is>
          <t>9-Apr-2027 (T-38 weeks)</t>
        </is>
      </c>
      <c r="J43" s="14" t="n"/>
      <c r="K43" s="14" t="inlineStr">
        <is>
          <t>Not started</t>
        </is>
      </c>
      <c r="L43" s="14" t="n"/>
    </row>
    <row r="44">
      <c r="A44" s="14" t="inlineStr">
        <is>
          <t>DISB_RETURN_REASON</t>
        </is>
      </c>
      <c r="B44" s="14" t="inlineStr">
        <is>
          <t>DV return / rejection reason</t>
        </is>
      </c>
      <c r="C44" s="14" t="inlineStr">
        <is>
          <t>Accounting, Disbursement and ACSL</t>
        </is>
      </c>
      <c r="D44" s="14" t="inlineStr">
        <is>
          <t>Drop 1</t>
        </is>
      </c>
      <c r="E44" s="14" t="inlineStr">
        <is>
          <t>Head, Comptrollership</t>
        </is>
      </c>
      <c r="F44" s="14" t="n">
        <v>4</v>
      </c>
      <c r="G44" s="14" t="inlineStr">
        <is>
          <t>Template</t>
        </is>
      </c>
      <c r="H44" s="14" t="inlineStr">
        <is>
          <t>This workbook, sheet Ref Lists of values</t>
        </is>
      </c>
      <c r="I44" s="14" t="inlineStr">
        <is>
          <t>9-Apr-2027 (T-38 weeks)</t>
        </is>
      </c>
      <c r="J44" s="14" t="n"/>
      <c r="K44" s="14" t="inlineStr">
        <is>
          <t>Not started</t>
        </is>
      </c>
      <c r="L44" s="14" t="n"/>
    </row>
    <row r="45">
      <c r="A45" s="14" t="inlineStr">
        <is>
          <t>DISPOSITION_TYPE</t>
        </is>
      </c>
      <c r="B45" s="14" t="inlineStr">
        <is>
          <t>Unapplied payment disposition</t>
        </is>
      </c>
      <c r="C45" s="14" t="inlineStr">
        <is>
          <t>Operations</t>
        </is>
      </c>
      <c r="D45" s="14" t="inlineStr">
        <is>
          <t>Drop 1</t>
        </is>
      </c>
      <c r="E45" s="14" t="inlineStr">
        <is>
          <t>Head, Operations Services</t>
        </is>
      </c>
      <c r="F45" s="14" t="n">
        <v>7</v>
      </c>
      <c r="G45" s="14" t="inlineStr">
        <is>
          <t>Template</t>
        </is>
      </c>
      <c r="H45" s="14" t="inlineStr">
        <is>
          <t>This workbook, sheet Ref Lists of values</t>
        </is>
      </c>
      <c r="I45" s="14" t="inlineStr">
        <is>
          <t>9-Apr-2027 (T-38 weeks)</t>
        </is>
      </c>
      <c r="J45" s="14" t="n"/>
      <c r="K45" s="14" t="inlineStr">
        <is>
          <t>Not started</t>
        </is>
      </c>
      <c r="L45" s="14" t="n"/>
    </row>
    <row r="46">
      <c r="A46" s="14" t="inlineStr">
        <is>
          <t>DOCUMENT_TYPE</t>
        </is>
      </c>
      <c r="B46" s="14" t="inlineStr">
        <is>
          <t>Document type</t>
        </is>
      </c>
      <c r="C46" s="14" t="inlineStr">
        <is>
          <t>Product Maintenance</t>
        </is>
      </c>
      <c r="D46" s="14" t="inlineStr">
        <is>
          <t>Drop 0</t>
        </is>
      </c>
      <c r="E46" s="14" t="inlineStr">
        <is>
          <t>Product Owner, Marketing Business System (MBS)</t>
        </is>
      </c>
      <c r="F46" s="14" t="n">
        <v>63</v>
      </c>
      <c r="G46" s="14" t="inlineStr">
        <is>
          <t>Template</t>
        </is>
      </c>
      <c r="H46" s="14" t="inlineStr">
        <is>
          <t>BRD-03 template CI-09, sheet PM-09 Lists and parameters</t>
        </is>
      </c>
      <c r="I46" s="14" t="inlineStr">
        <is>
          <t>9-Apr-2027 (T-38 weeks)</t>
        </is>
      </c>
      <c r="J46" s="14" t="n"/>
      <c r="K46" s="14" t="inlineStr">
        <is>
          <t>Not started</t>
        </is>
      </c>
      <c r="L46" s="14" t="n"/>
    </row>
    <row r="47">
      <c r="A47" s="14" t="inlineStr">
        <is>
          <t>DP_FEEDBACK_REASON</t>
        </is>
      </c>
      <c r="B47" s="14" t="inlineStr">
        <is>
          <t>Direct payment feedback reason</t>
        </is>
      </c>
      <c r="C47" s="14" t="inlineStr">
        <is>
          <t>Collections</t>
        </is>
      </c>
      <c r="D47" s="14" t="inlineStr">
        <is>
          <t>Drop 1</t>
        </is>
      </c>
      <c r="E47" s="14" t="inlineStr">
        <is>
          <t>VP and Head, BDOI Operations (Collections)</t>
        </is>
      </c>
      <c r="F47" s="14" t="n">
        <v>1</v>
      </c>
      <c r="G47" s="14" t="inlineStr">
        <is>
          <t>Template</t>
        </is>
      </c>
      <c r="H47" s="14" t="inlineStr">
        <is>
          <t>This workbook, sheet Ref Lists of values</t>
        </is>
      </c>
      <c r="I47" s="14" t="inlineStr">
        <is>
          <t>9-Apr-2027 (T-38 weeks)</t>
        </is>
      </c>
      <c r="J47" s="14" t="n"/>
      <c r="K47" s="14" t="inlineStr">
        <is>
          <t>Not started</t>
        </is>
      </c>
      <c r="L47" s="14" t="n"/>
    </row>
    <row r="48">
      <c r="A48" s="14" t="inlineStr">
        <is>
          <t>EB_BENEFIT_LINE</t>
        </is>
      </c>
      <c r="B48" s="14" t="inlineStr">
        <is>
          <t>EB benefit line</t>
        </is>
      </c>
      <c r="C48" s="14" t="inlineStr">
        <is>
          <t>Employee Benefits</t>
        </is>
      </c>
      <c r="D48" s="14" t="inlineStr">
        <is>
          <t>Drop 2</t>
        </is>
      </c>
      <c r="E48" s="14" t="inlineStr">
        <is>
          <t>Product Owner, Employee Benefits</t>
        </is>
      </c>
      <c r="F48" s="14" t="n">
        <v>3</v>
      </c>
      <c r="G48" s="14" t="inlineStr">
        <is>
          <t>Template</t>
        </is>
      </c>
      <c r="H48" s="14" t="inlineStr">
        <is>
          <t>This workbook, sheet Ref Lists of values</t>
        </is>
      </c>
      <c r="I48" s="14" t="inlineStr">
        <is>
          <t>9-Apr-2027 (T-38 weeks)</t>
        </is>
      </c>
      <c r="J48" s="14" t="n"/>
      <c r="K48" s="14" t="inlineStr">
        <is>
          <t>Not started</t>
        </is>
      </c>
      <c r="L48" s="14" t="n"/>
    </row>
    <row r="49">
      <c r="A49" s="14" t="inlineStr">
        <is>
          <t>EB_CAPABILITY_FACTOR</t>
        </is>
      </c>
      <c r="B49" s="14" t="inlineStr">
        <is>
          <t>EB capability factor</t>
        </is>
      </c>
      <c r="C49" s="14" t="inlineStr">
        <is>
          <t>Employee Benefits</t>
        </is>
      </c>
      <c r="D49" s="14" t="inlineStr">
        <is>
          <t>Drop 2</t>
        </is>
      </c>
      <c r="E49" s="14" t="inlineStr">
        <is>
          <t>Product Owner, Employee Benefits</t>
        </is>
      </c>
      <c r="F49" s="14" t="n">
        <v>4</v>
      </c>
      <c r="G49" s="14" t="inlineStr">
        <is>
          <t>Template</t>
        </is>
      </c>
      <c r="H49" s="14" t="inlineStr">
        <is>
          <t>This workbook, sheet Ref Lists of values</t>
        </is>
      </c>
      <c r="I49" s="14" t="inlineStr">
        <is>
          <t>9-Apr-2027 (T-38 weeks)</t>
        </is>
      </c>
      <c r="J49" s="14" t="n"/>
      <c r="K49" s="14" t="inlineStr">
        <is>
          <t>Not started</t>
        </is>
      </c>
      <c r="L49" s="14" t="n"/>
    </row>
    <row r="50">
      <c r="A50" s="14" t="inlineStr">
        <is>
          <t>EB_FRANCHISE_REJECT_REASON</t>
        </is>
      </c>
      <c r="B50" s="14" t="inlineStr">
        <is>
          <t>EB franchise rejection reason</t>
        </is>
      </c>
      <c r="C50" s="14" t="inlineStr">
        <is>
          <t>Employee Benefits</t>
        </is>
      </c>
      <c r="D50" s="14" t="inlineStr">
        <is>
          <t>Drop 2</t>
        </is>
      </c>
      <c r="E50" s="14" t="inlineStr">
        <is>
          <t>Product Owner, Employee Benefits</t>
        </is>
      </c>
      <c r="F50" s="14" t="n">
        <v>4</v>
      </c>
      <c r="G50" s="14" t="inlineStr">
        <is>
          <t>Template</t>
        </is>
      </c>
      <c r="H50" s="14" t="inlineStr">
        <is>
          <t>This workbook, sheet Ref Lists of values</t>
        </is>
      </c>
      <c r="I50" s="14" t="inlineStr">
        <is>
          <t>9-Apr-2027 (T-38 weeks)</t>
        </is>
      </c>
      <c r="J50" s="14" t="n"/>
      <c r="K50" s="14" t="inlineStr">
        <is>
          <t>Not started</t>
        </is>
      </c>
      <c r="L50" s="14" t="n"/>
    </row>
    <row r="51">
      <c r="A51" s="14" t="inlineStr">
        <is>
          <t>EB_LOST_REASON</t>
        </is>
      </c>
      <c r="B51" s="14" t="inlineStr">
        <is>
          <t>EB lost / not renewed reason</t>
        </is>
      </c>
      <c r="C51" s="14" t="inlineStr">
        <is>
          <t>Employee Benefits</t>
        </is>
      </c>
      <c r="D51" s="14" t="inlineStr">
        <is>
          <t>Drop 2</t>
        </is>
      </c>
      <c r="E51" s="14" t="inlineStr">
        <is>
          <t>Product Owner, Employee Benefits</t>
        </is>
      </c>
      <c r="F51" s="14" t="n">
        <v>7</v>
      </c>
      <c r="G51" s="14" t="inlineStr">
        <is>
          <t>Template</t>
        </is>
      </c>
      <c r="H51" s="14" t="inlineStr">
        <is>
          <t>This workbook, sheet Ref Lists of values</t>
        </is>
      </c>
      <c r="I51" s="14" t="inlineStr">
        <is>
          <t>9-Apr-2027 (T-38 weeks)</t>
        </is>
      </c>
      <c r="J51" s="14" t="n"/>
      <c r="K51" s="14" t="inlineStr">
        <is>
          <t>Not started</t>
        </is>
      </c>
      <c r="L51" s="14" t="n"/>
    </row>
    <row r="52">
      <c r="A52" s="14" t="inlineStr">
        <is>
          <t>EB_MEMBER_CHANGE_TYPE</t>
        </is>
      </c>
      <c r="B52" s="14" t="inlineStr">
        <is>
          <t>EB member change type</t>
        </is>
      </c>
      <c r="C52" s="14" t="inlineStr">
        <is>
          <t>Employee Benefits</t>
        </is>
      </c>
      <c r="D52" s="14" t="inlineStr">
        <is>
          <t>Drop 2</t>
        </is>
      </c>
      <c r="E52" s="14" t="inlineStr">
        <is>
          <t>Product Owner, Employee Benefits</t>
        </is>
      </c>
      <c r="F52" s="14" t="n">
        <v>4</v>
      </c>
      <c r="G52" s="14" t="inlineStr">
        <is>
          <t>Template</t>
        </is>
      </c>
      <c r="H52" s="14" t="inlineStr">
        <is>
          <t>This workbook, sheet Ref Lists of values</t>
        </is>
      </c>
      <c r="I52" s="14" t="inlineStr">
        <is>
          <t>9-Apr-2027 (T-38 weeks)</t>
        </is>
      </c>
      <c r="J52" s="14" t="n"/>
      <c r="K52" s="14" t="inlineStr">
        <is>
          <t>Not started</t>
        </is>
      </c>
      <c r="L52" s="14" t="n"/>
    </row>
    <row r="53">
      <c r="A53" s="14" t="inlineStr">
        <is>
          <t>EB_PROCESS_TYPE</t>
        </is>
      </c>
      <c r="B53" s="14" t="inlineStr">
        <is>
          <t>EB process type</t>
        </is>
      </c>
      <c r="C53" s="14" t="inlineStr">
        <is>
          <t>Employee Benefits</t>
        </is>
      </c>
      <c r="D53" s="14" t="inlineStr">
        <is>
          <t>Drop 2</t>
        </is>
      </c>
      <c r="E53" s="14" t="inlineStr">
        <is>
          <t>Product Owner, Employee Benefits</t>
        </is>
      </c>
      <c r="F53" s="14" t="n">
        <v>6</v>
      </c>
      <c r="G53" s="14" t="inlineStr">
        <is>
          <t>Template</t>
        </is>
      </c>
      <c r="H53" s="14" t="inlineStr">
        <is>
          <t>This workbook, sheet Ref Lists of values</t>
        </is>
      </c>
      <c r="I53" s="14" t="inlineStr">
        <is>
          <t>9-Apr-2027 (T-38 weeks)</t>
        </is>
      </c>
      <c r="J53" s="14" t="n"/>
      <c r="K53" s="14" t="inlineStr">
        <is>
          <t>Not started</t>
        </is>
      </c>
      <c r="L53" s="14" t="n"/>
    </row>
    <row r="54">
      <c r="A54" s="14" t="inlineStr">
        <is>
          <t>EB_SOA_REJECT_REASON</t>
        </is>
      </c>
      <c r="B54" s="14" t="inlineStr">
        <is>
          <t>EB SOA rejection reason</t>
        </is>
      </c>
      <c r="C54" s="14" t="inlineStr">
        <is>
          <t>Employee Benefits</t>
        </is>
      </c>
      <c r="D54" s="14" t="inlineStr">
        <is>
          <t>Drop 2</t>
        </is>
      </c>
      <c r="E54" s="14" t="inlineStr">
        <is>
          <t>Product Owner, Employee Benefits</t>
        </is>
      </c>
      <c r="F54" s="14" t="n">
        <v>4</v>
      </c>
      <c r="G54" s="14" t="inlineStr">
        <is>
          <t>Template</t>
        </is>
      </c>
      <c r="H54" s="14" t="inlineStr">
        <is>
          <t>This workbook, sheet Ref Lists of values</t>
        </is>
      </c>
      <c r="I54" s="14" t="inlineStr">
        <is>
          <t>9-Apr-2027 (T-38 weeks)</t>
        </is>
      </c>
      <c r="J54" s="14" t="n"/>
      <c r="K54" s="14" t="inlineStr">
        <is>
          <t>Not started</t>
        </is>
      </c>
      <c r="L54" s="14" t="n"/>
    </row>
    <row r="55">
      <c r="A55" s="14" t="inlineStr">
        <is>
          <t>EB_TEAM</t>
        </is>
      </c>
      <c r="B55" s="14" t="inlineStr">
        <is>
          <t>EB team</t>
        </is>
      </c>
      <c r="C55" s="14" t="inlineStr">
        <is>
          <t>Employee Benefits</t>
        </is>
      </c>
      <c r="D55" s="14" t="inlineStr">
        <is>
          <t>Drop 2</t>
        </is>
      </c>
      <c r="E55" s="14" t="inlineStr">
        <is>
          <t>Product Owner, Employee Benefits</t>
        </is>
      </c>
      <c r="F55" s="14" t="n">
        <v>5</v>
      </c>
      <c r="G55" s="14" t="inlineStr">
        <is>
          <t>Template</t>
        </is>
      </c>
      <c r="H55" s="14" t="inlineStr">
        <is>
          <t>This workbook, sheet Ref Lists of values</t>
        </is>
      </c>
      <c r="I55" s="14" t="inlineStr">
        <is>
          <t>9-Apr-2027 (T-38 weeks)</t>
        </is>
      </c>
      <c r="J55" s="14" t="n"/>
      <c r="K55" s="14" t="inlineStr">
        <is>
          <t>Not started</t>
        </is>
      </c>
      <c r="L55" s="14" t="n"/>
    </row>
    <row r="56">
      <c r="A56" s="14" t="inlineStr">
        <is>
          <t>EB_TRACKED_ITEM_TYPE</t>
        </is>
      </c>
      <c r="B56" s="14" t="inlineStr">
        <is>
          <t>EB tracked item type</t>
        </is>
      </c>
      <c r="C56" s="14" t="inlineStr">
        <is>
          <t>Employee Benefits</t>
        </is>
      </c>
      <c r="D56" s="14" t="inlineStr">
        <is>
          <t>Drop 2</t>
        </is>
      </c>
      <c r="E56" s="14" t="inlineStr">
        <is>
          <t>Product Owner, Employee Benefits</t>
        </is>
      </c>
      <c r="F56" s="14" t="n">
        <v>4</v>
      </c>
      <c r="G56" s="14" t="inlineStr">
        <is>
          <t>Template</t>
        </is>
      </c>
      <c r="H56" s="14" t="inlineStr">
        <is>
          <t>This workbook, sheet Ref Lists of values</t>
        </is>
      </c>
      <c r="I56" s="14" t="inlineStr">
        <is>
          <t>9-Apr-2027 (T-38 weeks)</t>
        </is>
      </c>
      <c r="J56" s="14" t="n"/>
      <c r="K56" s="14" t="inlineStr">
        <is>
          <t>Not started</t>
        </is>
      </c>
      <c r="L56" s="14" t="n"/>
    </row>
    <row r="57">
      <c r="A57" s="14" t="inlineStr">
        <is>
          <t>ENDORSEMENT_DOC_TYPE</t>
        </is>
      </c>
      <c r="B57" s="14" t="inlineStr">
        <is>
          <t>Endorsement document type</t>
        </is>
      </c>
      <c r="C57" s="14" t="inlineStr">
        <is>
          <t>Operations</t>
        </is>
      </c>
      <c r="D57" s="14" t="inlineStr">
        <is>
          <t>Drop 1</t>
        </is>
      </c>
      <c r="E57" s="14" t="inlineStr">
        <is>
          <t>Head, Operations Services</t>
        </is>
      </c>
      <c r="F57" s="14" t="n">
        <v>1</v>
      </c>
      <c r="G57" s="14" t="inlineStr">
        <is>
          <t>Template</t>
        </is>
      </c>
      <c r="H57" s="14" t="inlineStr">
        <is>
          <t>This workbook, sheet Ref Lists of values</t>
        </is>
      </c>
      <c r="I57" s="14" t="inlineStr">
        <is>
          <t>9-Apr-2027 (T-38 weeks)</t>
        </is>
      </c>
      <c r="J57" s="14" t="n"/>
      <c r="K57" s="14" t="inlineStr">
        <is>
          <t>Not started</t>
        </is>
      </c>
      <c r="L57" s="14" t="n"/>
    </row>
    <row r="58">
      <c r="A58" s="14" t="inlineStr">
        <is>
          <t>ENDORSEMENT_REQUEST_TYPE</t>
        </is>
      </c>
      <c r="B58" s="14" t="inlineStr">
        <is>
          <t>Endorsement request type</t>
        </is>
      </c>
      <c r="C58" s="14" t="inlineStr">
        <is>
          <t>Operations</t>
        </is>
      </c>
      <c r="D58" s="14" t="inlineStr">
        <is>
          <t>Drop 1</t>
        </is>
      </c>
      <c r="E58" s="14" t="inlineStr">
        <is>
          <t>Head, Operations Services</t>
        </is>
      </c>
      <c r="F58" s="14" t="n">
        <v>12</v>
      </c>
      <c r="G58" s="14" t="inlineStr">
        <is>
          <t>Template</t>
        </is>
      </c>
      <c r="H58" s="14" t="inlineStr">
        <is>
          <t>This workbook, sheet Ref Lists of values</t>
        </is>
      </c>
      <c r="I58" s="14" t="inlineStr">
        <is>
          <t>9-Apr-2027 (T-38 weeks)</t>
        </is>
      </c>
      <c r="J58" s="14" t="n"/>
      <c r="K58" s="14" t="inlineStr">
        <is>
          <t>Not started</t>
        </is>
      </c>
      <c r="L58" s="14" t="n"/>
    </row>
    <row r="59">
      <c r="A59" s="14" t="inlineStr">
        <is>
          <t>ENDORSEMENT_TYPE</t>
        </is>
      </c>
      <c r="B59" s="14" t="inlineStr">
        <is>
          <t>Endorsement type</t>
        </is>
      </c>
      <c r="C59" s="14" t="inlineStr">
        <is>
          <t>Operations</t>
        </is>
      </c>
      <c r="D59" s="14" t="inlineStr">
        <is>
          <t>Drop 1</t>
        </is>
      </c>
      <c r="E59" s="14" t="inlineStr">
        <is>
          <t>Head, Operations Services</t>
        </is>
      </c>
      <c r="F59" s="14" t="n">
        <v>14</v>
      </c>
      <c r="G59" s="14" t="inlineStr">
        <is>
          <t>Template</t>
        </is>
      </c>
      <c r="H59" s="14" t="inlineStr">
        <is>
          <t>This workbook, sheet Ref Lists of values</t>
        </is>
      </c>
      <c r="I59" s="14" t="inlineStr">
        <is>
          <t>9-Apr-2027 (T-38 weeks)</t>
        </is>
      </c>
      <c r="J59" s="14" t="n"/>
      <c r="K59" s="14" t="inlineStr">
        <is>
          <t>Not started</t>
        </is>
      </c>
      <c r="L59" s="14" t="n"/>
    </row>
    <row r="60">
      <c r="A60" s="14" t="inlineStr">
        <is>
          <t>EPOLICY_REJECT_REASON</t>
        </is>
      </c>
      <c r="B60" s="14" t="inlineStr">
        <is>
          <t>E-policy rejection reason</t>
        </is>
      </c>
      <c r="C60" s="14" t="inlineStr">
        <is>
          <t>New Business</t>
        </is>
      </c>
      <c r="D60" s="14" t="inlineStr">
        <is>
          <t>Drop 1</t>
        </is>
      </c>
      <c r="E60" s="14" t="inlineStr">
        <is>
          <t>Product Owner, BDOI (New Business)</t>
        </is>
      </c>
      <c r="F60" s="14" t="n">
        <v>5</v>
      </c>
      <c r="G60" s="14" t="inlineStr">
        <is>
          <t>Template</t>
        </is>
      </c>
      <c r="H60" s="14" t="inlineStr">
        <is>
          <t>This workbook, sheet Ref Lists of values</t>
        </is>
      </c>
      <c r="I60" s="14" t="inlineStr">
        <is>
          <t>9-Apr-2027 (T-38 weeks)</t>
        </is>
      </c>
      <c r="J60" s="14" t="n"/>
      <c r="K60" s="14" t="inlineStr">
        <is>
          <t>Not started</t>
        </is>
      </c>
      <c r="L60" s="14" t="n"/>
    </row>
    <row r="61">
      <c r="A61" s="14" t="inlineStr">
        <is>
          <t>FFY_CANCEL_REASON</t>
        </is>
      </c>
      <c r="B61" s="14" t="inlineStr">
        <is>
          <t>FFY cancellation reason</t>
        </is>
      </c>
      <c r="C61" s="14" t="inlineStr">
        <is>
          <t>New Business</t>
        </is>
      </c>
      <c r="D61" s="14" t="inlineStr">
        <is>
          <t>Drop 1</t>
        </is>
      </c>
      <c r="E61" s="14" t="inlineStr">
        <is>
          <t>Product Owner, BDOI (New Business)</t>
        </is>
      </c>
      <c r="F61" s="14" t="n">
        <v>4</v>
      </c>
      <c r="G61" s="14" t="inlineStr">
        <is>
          <t>Template</t>
        </is>
      </c>
      <c r="H61" s="14" t="inlineStr">
        <is>
          <t>This workbook, sheet Ref Lists of values</t>
        </is>
      </c>
      <c r="I61" s="14" t="inlineStr">
        <is>
          <t>9-Apr-2027 (T-38 weeks)</t>
        </is>
      </c>
      <c r="J61" s="14" t="n"/>
      <c r="K61" s="14" t="inlineStr">
        <is>
          <t>Not started</t>
        </is>
      </c>
      <c r="L61" s="14" t="n"/>
    </row>
    <row r="62">
      <c r="A62" s="14" t="inlineStr">
        <is>
          <t>HOLD_REASON</t>
        </is>
      </c>
      <c r="B62" s="14" t="inlineStr">
        <is>
          <t>Remittance hold reason</t>
        </is>
      </c>
      <c r="C62" s="14" t="inlineStr">
        <is>
          <t>Operations</t>
        </is>
      </c>
      <c r="D62" s="14" t="inlineStr">
        <is>
          <t>Drop 1</t>
        </is>
      </c>
      <c r="E62" s="14" t="inlineStr">
        <is>
          <t>Head, Operations Services</t>
        </is>
      </c>
      <c r="F62" s="14" t="n">
        <v>1</v>
      </c>
      <c r="G62" s="14" t="inlineStr">
        <is>
          <t>Template</t>
        </is>
      </c>
      <c r="H62" s="14" t="inlineStr">
        <is>
          <t>This workbook, sheet Ref Lists of values</t>
        </is>
      </c>
      <c r="I62" s="14" t="inlineStr">
        <is>
          <t>9-Apr-2027 (T-38 weeks)</t>
        </is>
      </c>
      <c r="J62" s="14" t="n"/>
      <c r="K62" s="14" t="inlineStr">
        <is>
          <t>Not started</t>
        </is>
      </c>
      <c r="L62" s="14" t="n"/>
    </row>
    <row r="63">
      <c r="A63" s="14" t="inlineStr">
        <is>
          <t>ID_TYPE</t>
        </is>
      </c>
      <c r="B63" s="14" t="inlineStr">
        <is>
          <t>Identification document</t>
        </is>
      </c>
      <c r="C63" s="14" t="inlineStr">
        <is>
          <t>New Business</t>
        </is>
      </c>
      <c r="D63" s="14" t="inlineStr">
        <is>
          <t>Drop 1</t>
        </is>
      </c>
      <c r="E63" s="14" t="inlineStr">
        <is>
          <t>Product Owner, BDOI (New Business)</t>
        </is>
      </c>
      <c r="F63" s="14" t="n">
        <v>10</v>
      </c>
      <c r="G63" s="14" t="inlineStr">
        <is>
          <t>Migration object</t>
        </is>
      </c>
      <c r="H63" s="14" t="inlineStr">
        <is>
          <t>Migration Workbook, object R01, code map LOV:ID_TYPE</t>
        </is>
      </c>
      <c r="I63" s="14" t="inlineStr">
        <is>
          <t>18-Jun-2027 (T-28 weeks)</t>
        </is>
      </c>
      <c r="J63" s="14" t="n"/>
      <c r="K63" s="14" t="inlineStr">
        <is>
          <t>Not started</t>
        </is>
      </c>
      <c r="L63" s="14" t="n"/>
    </row>
    <row r="64">
      <c r="A64" s="14" t="inlineStr">
        <is>
          <t>INCENTIVE_EXCLUSION_RULE</t>
        </is>
      </c>
      <c r="B64" s="14" t="inlineStr">
        <is>
          <t>Incentive exclusion rule</t>
        </is>
      </c>
      <c r="C64" s="14" t="inlineStr">
        <is>
          <t>New Business</t>
        </is>
      </c>
      <c r="D64" s="14" t="inlineStr">
        <is>
          <t>Drop 1</t>
        </is>
      </c>
      <c r="E64" s="14" t="inlineStr">
        <is>
          <t>Product Owner, BDOI (New Business)</t>
        </is>
      </c>
      <c r="F64" s="14" t="n">
        <v>2</v>
      </c>
      <c r="G64" s="14" t="inlineStr">
        <is>
          <t>Template</t>
        </is>
      </c>
      <c r="H64" s="14" t="inlineStr">
        <is>
          <t>This workbook, sheet Ref Lists of values</t>
        </is>
      </c>
      <c r="I64" s="14" t="inlineStr">
        <is>
          <t>9-Apr-2027 (T-38 weeks)</t>
        </is>
      </c>
      <c r="J64" s="14" t="n"/>
      <c r="K64" s="14" t="inlineStr">
        <is>
          <t>Not started</t>
        </is>
      </c>
      <c r="L64" s="14" t="n"/>
    </row>
    <row r="65">
      <c r="A65" s="14" t="inlineStr">
        <is>
          <t>INCENTIVE_TYPE</t>
        </is>
      </c>
      <c r="B65" s="14" t="inlineStr">
        <is>
          <t>Incentive type</t>
        </is>
      </c>
      <c r="C65" s="14" t="inlineStr">
        <is>
          <t>Product Maintenance</t>
        </is>
      </c>
      <c r="D65" s="14" t="inlineStr">
        <is>
          <t>Drop 0</t>
        </is>
      </c>
      <c r="E65" s="14" t="inlineStr">
        <is>
          <t>Product Owner, Marketing Business System (MBS)</t>
        </is>
      </c>
      <c r="F65" s="14" t="n">
        <v>2</v>
      </c>
      <c r="G65" s="14" t="inlineStr">
        <is>
          <t>Template</t>
        </is>
      </c>
      <c r="H65" s="14" t="inlineStr">
        <is>
          <t>BRD-03 template CI-09, sheet PM-09 Lists and parameters</t>
        </is>
      </c>
      <c r="I65" s="14" t="inlineStr">
        <is>
          <t>9-Apr-2027 (T-38 weeks)</t>
        </is>
      </c>
      <c r="J65" s="14" t="n"/>
      <c r="K65" s="14" t="inlineStr">
        <is>
          <t>Not started</t>
        </is>
      </c>
      <c r="L65" s="14" t="n"/>
    </row>
    <row r="66">
      <c r="A66" s="14" t="inlineStr">
        <is>
          <t>INSTRUCTION_TYPE</t>
        </is>
      </c>
      <c r="B66" s="14" t="inlineStr">
        <is>
          <t>Special instruction type</t>
        </is>
      </c>
      <c r="C66" s="14" t="inlineStr">
        <is>
          <t>New Business</t>
        </is>
      </c>
      <c r="D66" s="14" t="inlineStr">
        <is>
          <t>Drop 1</t>
        </is>
      </c>
      <c r="E66" s="14" t="inlineStr">
        <is>
          <t>Product Owner, BDOI (New Business)</t>
        </is>
      </c>
      <c r="F66" s="14" t="n">
        <v>6</v>
      </c>
      <c r="G66" s="14" t="inlineStr">
        <is>
          <t>Template</t>
        </is>
      </c>
      <c r="H66" s="14" t="inlineStr">
        <is>
          <t>This workbook, sheet Ref Lists of values</t>
        </is>
      </c>
      <c r="I66" s="14" t="inlineStr">
        <is>
          <t>9-Apr-2027 (T-38 weeks)</t>
        </is>
      </c>
      <c r="J66" s="14" t="n"/>
      <c r="K66" s="14" t="inlineStr">
        <is>
          <t>Not started</t>
        </is>
      </c>
      <c r="L66" s="14" t="n"/>
    </row>
    <row r="67">
      <c r="A67" s="14" t="inlineStr">
        <is>
          <t>KYC_DOCS_CORPORATE</t>
        </is>
      </c>
      <c r="B67" s="14" t="inlineStr">
        <is>
          <t>KYC checklist - corporate</t>
        </is>
      </c>
      <c r="C67" s="14" t="inlineStr">
        <is>
          <t>New Business</t>
        </is>
      </c>
      <c r="D67" s="14" t="inlineStr">
        <is>
          <t>Drop 1</t>
        </is>
      </c>
      <c r="E67" s="14" t="inlineStr">
        <is>
          <t>Product Owner, BDOI (New Business)</t>
        </is>
      </c>
      <c r="F67" s="14" t="n">
        <v>4</v>
      </c>
      <c r="G67" s="14" t="inlineStr">
        <is>
          <t>Template</t>
        </is>
      </c>
      <c r="H67" s="14" t="inlineStr">
        <is>
          <t>This workbook, sheet Ref Lists of values</t>
        </is>
      </c>
      <c r="I67" s="14" t="inlineStr">
        <is>
          <t>9-Apr-2027 (T-38 weeks)</t>
        </is>
      </c>
      <c r="J67" s="14" t="n"/>
      <c r="K67" s="14" t="inlineStr">
        <is>
          <t>Not started</t>
        </is>
      </c>
      <c r="L67" s="14" t="n"/>
    </row>
    <row r="68">
      <c r="A68" s="14" t="inlineStr">
        <is>
          <t>KYC_DOCS_INDIVIDUAL</t>
        </is>
      </c>
      <c r="B68" s="14" t="inlineStr">
        <is>
          <t>KYC checklist - individual</t>
        </is>
      </c>
      <c r="C68" s="14" t="inlineStr">
        <is>
          <t>New Business</t>
        </is>
      </c>
      <c r="D68" s="14" t="inlineStr">
        <is>
          <t>Drop 1</t>
        </is>
      </c>
      <c r="E68" s="14" t="inlineStr">
        <is>
          <t>Product Owner, BDOI (New Business)</t>
        </is>
      </c>
      <c r="F68" s="14" t="n">
        <v>2</v>
      </c>
      <c r="G68" s="14" t="inlineStr">
        <is>
          <t>Template</t>
        </is>
      </c>
      <c r="H68" s="14" t="inlineStr">
        <is>
          <t>This workbook, sheet Ref Lists of values</t>
        </is>
      </c>
      <c r="I68" s="14" t="inlineStr">
        <is>
          <t>9-Apr-2027 (T-38 weeks)</t>
        </is>
      </c>
      <c r="J68" s="14" t="n"/>
      <c r="K68" s="14" t="inlineStr">
        <is>
          <t>Not started</t>
        </is>
      </c>
      <c r="L68" s="14" t="n"/>
    </row>
    <row r="69">
      <c r="A69" s="14" t="inlineStr">
        <is>
          <t>KYC_RISK_RATING</t>
        </is>
      </c>
      <c r="B69" s="14" t="inlineStr">
        <is>
          <t>KYC risk rating</t>
        </is>
      </c>
      <c r="C69" s="14" t="inlineStr">
        <is>
          <t>New Business</t>
        </is>
      </c>
      <c r="D69" s="14" t="inlineStr">
        <is>
          <t>Drop 1</t>
        </is>
      </c>
      <c r="E69" s="14" t="inlineStr">
        <is>
          <t>Product Owner, BDOI (New Business)</t>
        </is>
      </c>
      <c r="F69" s="14" t="n">
        <v>3</v>
      </c>
      <c r="G69" s="14" t="inlineStr">
        <is>
          <t>Migration object</t>
        </is>
      </c>
      <c r="H69" s="14" t="inlineStr">
        <is>
          <t>Migration Workbook, object R01, code map LOV:KYC_RISK_RATING</t>
        </is>
      </c>
      <c r="I69" s="14" t="inlineStr">
        <is>
          <t>18-Jun-2027 (T-28 weeks)</t>
        </is>
      </c>
      <c r="J69" s="14" t="n"/>
      <c r="K69" s="14" t="inlineStr">
        <is>
          <t>Not started</t>
        </is>
      </c>
      <c r="L69" s="14" t="n"/>
    </row>
    <row r="70">
      <c r="A70" s="14" t="inlineStr">
        <is>
          <t>LEGACY_RECORD_STATUS</t>
        </is>
      </c>
      <c r="B70" s="14" t="inlineStr">
        <is>
          <t>Legacy record status</t>
        </is>
      </c>
      <c r="C70" s="14" t="inlineStr">
        <is>
          <t>Data Migration</t>
        </is>
      </c>
      <c r="D70" s="14" t="inlineStr">
        <is>
          <t>Drop 0</t>
        </is>
      </c>
      <c r="E70" s="14" t="inlineStr">
        <is>
          <t>Program Manager, Business Project Services (Data Migration)</t>
        </is>
      </c>
      <c r="F70" s="14" t="n">
        <v>18</v>
      </c>
      <c r="G70" s="14" t="inlineStr">
        <is>
          <t>Template</t>
        </is>
      </c>
      <c r="H70" s="14" t="inlineStr">
        <is>
          <t>This workbook, sheet Ref Lists of values</t>
        </is>
      </c>
      <c r="I70" s="14" t="inlineStr">
        <is>
          <t>9-Apr-2027 (T-38 weeks)</t>
        </is>
      </c>
      <c r="J70" s="14" t="n"/>
      <c r="K70" s="14" t="inlineStr">
        <is>
          <t>Not started</t>
        </is>
      </c>
      <c r="L70" s="14" t="n"/>
    </row>
    <row r="71">
      <c r="A71" s="14" t="inlineStr">
        <is>
          <t>LEGACY_RECORD_TYPE</t>
        </is>
      </c>
      <c r="B71" s="14" t="inlineStr">
        <is>
          <t>Legacy record type</t>
        </is>
      </c>
      <c r="C71" s="14" t="inlineStr">
        <is>
          <t>Data Migration</t>
        </is>
      </c>
      <c r="D71" s="14" t="inlineStr">
        <is>
          <t>Drop 0</t>
        </is>
      </c>
      <c r="E71" s="14" t="inlineStr">
        <is>
          <t>Program Manager, Business Project Services (Data Migration)</t>
        </is>
      </c>
      <c r="F71" s="14" t="n">
        <v>11</v>
      </c>
      <c r="G71" s="14" t="inlineStr">
        <is>
          <t>Template</t>
        </is>
      </c>
      <c r="H71" s="14" t="inlineStr">
        <is>
          <t>This workbook, sheet Ref Lists of values</t>
        </is>
      </c>
      <c r="I71" s="14" t="inlineStr">
        <is>
          <t>9-Apr-2027 (T-38 weeks)</t>
        </is>
      </c>
      <c r="J71" s="14" t="n"/>
      <c r="K71" s="14" t="inlineStr">
        <is>
          <t>Not started</t>
        </is>
      </c>
      <c r="L71" s="14" t="n"/>
    </row>
    <row r="72">
      <c r="A72" s="14" t="inlineStr">
        <is>
          <t>MARKET_SEGMENT</t>
        </is>
      </c>
      <c r="B72" s="14" t="inlineStr">
        <is>
          <t>Market segment</t>
        </is>
      </c>
      <c r="C72" s="14" t="inlineStr">
        <is>
          <t>Product Maintenance</t>
        </is>
      </c>
      <c r="D72" s="14" t="inlineStr">
        <is>
          <t>Drop 0</t>
        </is>
      </c>
      <c r="E72" s="14" t="inlineStr">
        <is>
          <t>Product Owner, Marketing Business System (MBS)</t>
        </is>
      </c>
      <c r="F72" s="14" t="n">
        <v>5</v>
      </c>
      <c r="G72" s="14" t="inlineStr">
        <is>
          <t>Migration object</t>
        </is>
      </c>
      <c r="H72" s="14" t="inlineStr">
        <is>
          <t>Migration Workbook, object R01, code map LOV:MARKET_SEGMENT</t>
        </is>
      </c>
      <c r="I72" s="14" t="inlineStr">
        <is>
          <t>18-Jun-2027 (T-28 weeks)</t>
        </is>
      </c>
      <c r="J72" s="14" t="n"/>
      <c r="K72" s="14" t="inlineStr">
        <is>
          <t>Not started</t>
        </is>
      </c>
      <c r="L72" s="14" t="n"/>
    </row>
    <row r="73">
      <c r="A73" s="14" t="inlineStr">
        <is>
          <t>MIG_ACCESS_REASON</t>
        </is>
      </c>
      <c r="B73" s="14" t="inlineStr">
        <is>
          <t>Legacy access reason</t>
        </is>
      </c>
      <c r="C73" s="14" t="inlineStr">
        <is>
          <t>Data Migration</t>
        </is>
      </c>
      <c r="D73" s="14" t="inlineStr">
        <is>
          <t>Drop 0</t>
        </is>
      </c>
      <c r="E73" s="14" t="inlineStr">
        <is>
          <t>Program Manager, Business Project Services (Data Migration)</t>
        </is>
      </c>
      <c r="F73" s="14" t="n">
        <v>6</v>
      </c>
      <c r="G73" s="14" t="inlineStr">
        <is>
          <t>Template</t>
        </is>
      </c>
      <c r="H73" s="14" t="inlineStr">
        <is>
          <t>This workbook, sheet Ref Lists of values</t>
        </is>
      </c>
      <c r="I73" s="14" t="inlineStr">
        <is>
          <t>9-Apr-2027 (T-38 weeks)</t>
        </is>
      </c>
      <c r="J73" s="14" t="n"/>
      <c r="K73" s="14" t="inlineStr">
        <is>
          <t>Not started</t>
        </is>
      </c>
      <c r="L73" s="14" t="n"/>
    </row>
    <row r="74">
      <c r="A74" s="14" t="inlineStr">
        <is>
          <t>MIG_BREAK_REASON</t>
        </is>
      </c>
      <c r="B74" s="14" t="inlineStr">
        <is>
          <t>Reconciliation break reason</t>
        </is>
      </c>
      <c r="C74" s="14" t="inlineStr">
        <is>
          <t>Data Migration</t>
        </is>
      </c>
      <c r="D74" s="14" t="inlineStr">
        <is>
          <t>Drop 0</t>
        </is>
      </c>
      <c r="E74" s="14" t="inlineStr">
        <is>
          <t>Program Manager, Business Project Services (Data Migration)</t>
        </is>
      </c>
      <c r="F74" s="14" t="n">
        <v>6</v>
      </c>
      <c r="G74" s="14" t="inlineStr">
        <is>
          <t>Template</t>
        </is>
      </c>
      <c r="H74" s="14" t="inlineStr">
        <is>
          <t>This workbook, sheet Ref Lists of values</t>
        </is>
      </c>
      <c r="I74" s="14" t="inlineStr">
        <is>
          <t>9-Apr-2027 (T-38 weeks)</t>
        </is>
      </c>
      <c r="J74" s="14" t="n"/>
      <c r="K74" s="14" t="inlineStr">
        <is>
          <t>Not started</t>
        </is>
      </c>
      <c r="L74" s="14" t="n"/>
    </row>
    <row r="75">
      <c r="A75" s="14" t="inlineStr">
        <is>
          <t>MIG_OBJECT_CATEGORY</t>
        </is>
      </c>
      <c r="B75" s="14" t="inlineStr">
        <is>
          <t>Migration object category</t>
        </is>
      </c>
      <c r="C75" s="14" t="inlineStr">
        <is>
          <t>Data Migration</t>
        </is>
      </c>
      <c r="D75" s="14" t="inlineStr">
        <is>
          <t>Drop 0</t>
        </is>
      </c>
      <c r="E75" s="14" t="inlineStr">
        <is>
          <t>Program Manager, Business Project Services (Data Migration)</t>
        </is>
      </c>
      <c r="F75" s="14" t="n">
        <v>6</v>
      </c>
      <c r="G75" s="14" t="inlineStr">
        <is>
          <t>Template</t>
        </is>
      </c>
      <c r="H75" s="14" t="inlineStr">
        <is>
          <t>This workbook, sheet Ref Lists of values</t>
        </is>
      </c>
      <c r="I75" s="14" t="inlineStr">
        <is>
          <t>9-Apr-2027 (T-38 weeks)</t>
        </is>
      </c>
      <c r="J75" s="14" t="n"/>
      <c r="K75" s="14" t="inlineStr">
        <is>
          <t>Not started</t>
        </is>
      </c>
      <c r="L75" s="14" t="n"/>
    </row>
    <row r="76">
      <c r="A76" s="14" t="inlineStr">
        <is>
          <t>MIG_SOURCE_SYSTEM</t>
        </is>
      </c>
      <c r="B76" s="14" t="inlineStr">
        <is>
          <t>Legacy source system</t>
        </is>
      </c>
      <c r="C76" s="14" t="inlineStr">
        <is>
          <t>Data Migration</t>
        </is>
      </c>
      <c r="D76" s="14" t="inlineStr">
        <is>
          <t>Drop 0</t>
        </is>
      </c>
      <c r="E76" s="14" t="inlineStr">
        <is>
          <t>Program Manager, Business Project Services (Data Migration)</t>
        </is>
      </c>
      <c r="F76" s="14" t="n">
        <v>5</v>
      </c>
      <c r="G76" s="14" t="inlineStr">
        <is>
          <t>Template</t>
        </is>
      </c>
      <c r="H76" s="14" t="inlineStr">
        <is>
          <t>This workbook, sheet Ref Lists of values</t>
        </is>
      </c>
      <c r="I76" s="14" t="inlineStr">
        <is>
          <t>9-Apr-2027 (T-38 weeks)</t>
        </is>
      </c>
      <c r="J76" s="14" t="n"/>
      <c r="K76" s="14" t="inlineStr">
        <is>
          <t>Not started</t>
        </is>
      </c>
      <c r="L76" s="14" t="n"/>
    </row>
    <row r="77">
      <c r="A77" s="14" t="inlineStr">
        <is>
          <t>MIG_TRUST_LEVEL</t>
        </is>
      </c>
      <c r="B77" s="14" t="inlineStr">
        <is>
          <t>Data trust level</t>
        </is>
      </c>
      <c r="C77" s="14" t="inlineStr">
        <is>
          <t>Data Migration</t>
        </is>
      </c>
      <c r="D77" s="14" t="inlineStr">
        <is>
          <t>Drop 0</t>
        </is>
      </c>
      <c r="E77" s="14" t="inlineStr">
        <is>
          <t>Program Manager, Business Project Services (Data Migration)</t>
        </is>
      </c>
      <c r="F77" s="14" t="n">
        <v>3</v>
      </c>
      <c r="G77" s="14" t="inlineStr">
        <is>
          <t>Template</t>
        </is>
      </c>
      <c r="H77" s="14" t="inlineStr">
        <is>
          <t>This workbook, sheet Ref Lists of values</t>
        </is>
      </c>
      <c r="I77" s="14" t="inlineStr">
        <is>
          <t>9-Apr-2027 (T-38 weeks)</t>
        </is>
      </c>
      <c r="J77" s="14" t="n"/>
      <c r="K77" s="14" t="inlineStr">
        <is>
          <t>Not started</t>
        </is>
      </c>
      <c r="L77" s="14" t="n"/>
    </row>
    <row r="78">
      <c r="A78" s="14" t="inlineStr">
        <is>
          <t>MIG_WAIVER_REASON</t>
        </is>
      </c>
      <c r="B78" s="14" t="inlineStr">
        <is>
          <t>Row waiver reason</t>
        </is>
      </c>
      <c r="C78" s="14" t="inlineStr">
        <is>
          <t>Data Migration</t>
        </is>
      </c>
      <c r="D78" s="14" t="inlineStr">
        <is>
          <t>Drop 0</t>
        </is>
      </c>
      <c r="E78" s="14" t="inlineStr">
        <is>
          <t>Program Manager, Business Project Services (Data Migration)</t>
        </is>
      </c>
      <c r="F78" s="14" t="n">
        <v>5</v>
      </c>
      <c r="G78" s="14" t="inlineStr">
        <is>
          <t>Template</t>
        </is>
      </c>
      <c r="H78" s="14" t="inlineStr">
        <is>
          <t>This workbook, sheet Ref Lists of values</t>
        </is>
      </c>
      <c r="I78" s="14" t="inlineStr">
        <is>
          <t>9-Apr-2027 (T-38 weeks)</t>
        </is>
      </c>
      <c r="J78" s="14" t="n"/>
      <c r="K78" s="14" t="inlineStr">
        <is>
          <t>Not started</t>
        </is>
      </c>
      <c r="L78" s="14" t="n"/>
    </row>
    <row r="79">
      <c r="A79" s="14" t="inlineStr">
        <is>
          <t>MORTGAGEE_BANK</t>
        </is>
      </c>
      <c r="B79" s="14" t="inlineStr">
        <is>
          <t>Mortgagee bank</t>
        </is>
      </c>
      <c r="C79" s="14" t="inlineStr">
        <is>
          <t>New Business</t>
        </is>
      </c>
      <c r="D79" s="14" t="inlineStr">
        <is>
          <t>Drop 1</t>
        </is>
      </c>
      <c r="E79" s="14" t="inlineStr">
        <is>
          <t>Product Owner, BDOI (New Business)</t>
        </is>
      </c>
      <c r="F79" s="14" t="n">
        <v>4</v>
      </c>
      <c r="G79" s="14" t="inlineStr">
        <is>
          <t>Template</t>
        </is>
      </c>
      <c r="H79" s="14" t="inlineStr">
        <is>
          <t>This workbook, sheet Ref Lists of values</t>
        </is>
      </c>
      <c r="I79" s="14" t="inlineStr">
        <is>
          <t>9-Apr-2027 (T-38 weeks)</t>
        </is>
      </c>
      <c r="J79" s="14" t="n"/>
      <c r="K79" s="14" t="inlineStr">
        <is>
          <t>Not started</t>
        </is>
      </c>
      <c r="L79" s="14" t="n"/>
    </row>
    <row r="80">
      <c r="A80" s="14" t="inlineStr">
        <is>
          <t>NATIONALITY</t>
        </is>
      </c>
      <c r="B80" s="14" t="inlineStr">
        <is>
          <t>Nationality</t>
        </is>
      </c>
      <c r="C80" s="14" t="inlineStr">
        <is>
          <t>New Business</t>
        </is>
      </c>
      <c r="D80" s="14" t="inlineStr">
        <is>
          <t>Drop 1</t>
        </is>
      </c>
      <c r="E80" s="14" t="inlineStr">
        <is>
          <t>Product Owner, BDOI (New Business)</t>
        </is>
      </c>
      <c r="F80" s="14" t="n">
        <v>6</v>
      </c>
      <c r="G80" s="14" t="inlineStr">
        <is>
          <t>Migration object</t>
        </is>
      </c>
      <c r="H80" s="14" t="inlineStr">
        <is>
          <t>Migration Workbook, object R01, code map LOV:NATIONALITY</t>
        </is>
      </c>
      <c r="I80" s="14" t="inlineStr">
        <is>
          <t>18-Jun-2027 (T-28 weeks)</t>
        </is>
      </c>
      <c r="J80" s="14" t="n"/>
      <c r="K80" s="14" t="inlineStr">
        <is>
          <t>Not started</t>
        </is>
      </c>
      <c r="L80" s="14" t="n"/>
    </row>
    <row r="81">
      <c r="A81" s="14" t="inlineStr">
        <is>
          <t>OCCUPANCY</t>
        </is>
      </c>
      <c r="B81" s="14" t="inlineStr">
        <is>
          <t>Occupancy</t>
        </is>
      </c>
      <c r="C81" s="14" t="inlineStr">
        <is>
          <t>New Business</t>
        </is>
      </c>
      <c r="D81" s="14" t="inlineStr">
        <is>
          <t>Drop 1</t>
        </is>
      </c>
      <c r="E81" s="14" t="inlineStr">
        <is>
          <t>Product Owner, BDOI (New Business)</t>
        </is>
      </c>
      <c r="F81" s="14" t="n">
        <v>6</v>
      </c>
      <c r="G81" s="14" t="inlineStr">
        <is>
          <t>Template</t>
        </is>
      </c>
      <c r="H81" s="14" t="inlineStr">
        <is>
          <t>This workbook, sheet Ref Lists of values</t>
        </is>
      </c>
      <c r="I81" s="14" t="inlineStr">
        <is>
          <t>9-Apr-2027 (T-38 weeks)</t>
        </is>
      </c>
      <c r="J81" s="14" t="n"/>
      <c r="K81" s="14" t="inlineStr">
        <is>
          <t>Not started</t>
        </is>
      </c>
      <c r="L81" s="14" t="n"/>
    </row>
    <row r="82">
      <c r="A82" s="14" t="inlineStr">
        <is>
          <t>OPS_EXTERNAL_LINK</t>
        </is>
      </c>
      <c r="B82" s="14" t="inlineStr">
        <is>
          <t>Operations external link</t>
        </is>
      </c>
      <c r="C82" s="14" t="inlineStr">
        <is>
          <t>Operations</t>
        </is>
      </c>
      <c r="D82" s="14" t="inlineStr">
        <is>
          <t>Drop 1</t>
        </is>
      </c>
      <c r="E82" s="14" t="inlineStr">
        <is>
          <t>Head, Operations Services</t>
        </is>
      </c>
      <c r="F82" s="14" t="n">
        <v>0</v>
      </c>
      <c r="G82" s="14" t="inlineStr">
        <is>
          <t>Template</t>
        </is>
      </c>
      <c r="H82" s="14" t="inlineStr">
        <is>
          <t>This workbook, sheet Ref Lists of values</t>
        </is>
      </c>
      <c r="I82" s="14" t="inlineStr">
        <is>
          <t>9-Apr-2027 (T-38 weeks)</t>
        </is>
      </c>
      <c r="J82" s="14" t="n"/>
      <c r="K82" s="14" t="inlineStr">
        <is>
          <t>Not started</t>
        </is>
      </c>
      <c r="L82" s="14" t="n"/>
    </row>
    <row r="83">
      <c r="A83" s="14" t="inlineStr">
        <is>
          <t>OR_TYPE</t>
        </is>
      </c>
      <c r="B83" s="14" t="inlineStr">
        <is>
          <t>Official receipt type</t>
        </is>
      </c>
      <c r="C83" s="14" t="inlineStr">
        <is>
          <t>Operations</t>
        </is>
      </c>
      <c r="D83" s="14" t="inlineStr">
        <is>
          <t>Drop 1</t>
        </is>
      </c>
      <c r="E83" s="14" t="inlineStr">
        <is>
          <t>Head, Operations Services</t>
        </is>
      </c>
      <c r="F83" s="14" t="n">
        <v>6</v>
      </c>
      <c r="G83" s="14" t="inlineStr">
        <is>
          <t>Template</t>
        </is>
      </c>
      <c r="H83" s="14" t="inlineStr">
        <is>
          <t>This workbook, sheet Ref Lists of values</t>
        </is>
      </c>
      <c r="I83" s="14" t="inlineStr">
        <is>
          <t>9-Apr-2027 (T-38 weeks)</t>
        </is>
      </c>
      <c r="J83" s="14" t="n"/>
      <c r="K83" s="14" t="inlineStr">
        <is>
          <t>Not started</t>
        </is>
      </c>
      <c r="L83" s="14" t="n"/>
    </row>
    <row r="84">
      <c r="A84" s="14" t="inlineStr">
        <is>
          <t>PAYEE_CLASS</t>
        </is>
      </c>
      <c r="B84" s="14" t="inlineStr">
        <is>
          <t>Payee class</t>
        </is>
      </c>
      <c r="C84" s="14" t="inlineStr">
        <is>
          <t>Accounting, Disbursement and ACSL</t>
        </is>
      </c>
      <c r="D84" s="14" t="inlineStr">
        <is>
          <t>Drop 1</t>
        </is>
      </c>
      <c r="E84" s="14" t="inlineStr">
        <is>
          <t>Head, Comptrollership</t>
        </is>
      </c>
      <c r="F84" s="14" t="n">
        <v>6</v>
      </c>
      <c r="G84" s="14" t="inlineStr">
        <is>
          <t>Migration object</t>
        </is>
      </c>
      <c r="H84" s="14" t="inlineStr">
        <is>
          <t>Migration Workbook, object R01, code map LOV:PAYEE_CLASS</t>
        </is>
      </c>
      <c r="I84" s="14" t="inlineStr">
        <is>
          <t>18-Jun-2027 (T-28 weeks)</t>
        </is>
      </c>
      <c r="J84" s="14" t="n"/>
      <c r="K84" s="14" t="inlineStr">
        <is>
          <t>Not started</t>
        </is>
      </c>
      <c r="L84" s="14" t="n"/>
    </row>
    <row r="85">
      <c r="A85" s="14" t="inlineStr">
        <is>
          <t>PKG_ADVISORY_GROUP</t>
        </is>
      </c>
      <c r="B85" s="14" t="inlineStr">
        <is>
          <t>Advisory recipient group</t>
        </is>
      </c>
      <c r="C85" s="14" t="inlineStr">
        <is>
          <t>Product Maintenance</t>
        </is>
      </c>
      <c r="D85" s="14" t="inlineStr">
        <is>
          <t>Drop 0</t>
        </is>
      </c>
      <c r="E85" s="14" t="inlineStr">
        <is>
          <t>Product Owner, Marketing Business System (MBS)</t>
        </is>
      </c>
      <c r="F85" s="14" t="n">
        <v>5</v>
      </c>
      <c r="G85" s="14" t="inlineStr">
        <is>
          <t>Template</t>
        </is>
      </c>
      <c r="H85" s="14" t="inlineStr">
        <is>
          <t>BRD-03 template CI-09, sheet PM-09 Lists and parameters</t>
        </is>
      </c>
      <c r="I85" s="14" t="inlineStr">
        <is>
          <t>9-Apr-2027 (T-38 weeks)</t>
        </is>
      </c>
      <c r="J85" s="14" t="n"/>
      <c r="K85" s="14" t="inlineStr">
        <is>
          <t>Not started</t>
        </is>
      </c>
      <c r="L85" s="14" t="n"/>
    </row>
    <row r="86">
      <c r="A86" s="14" t="inlineStr">
        <is>
          <t>PKG_BUSINESS_ORIGIN</t>
        </is>
      </c>
      <c r="B86" s="14" t="inlineStr">
        <is>
          <t>Business origin</t>
        </is>
      </c>
      <c r="C86" s="14" t="inlineStr">
        <is>
          <t>Product Maintenance</t>
        </is>
      </c>
      <c r="D86" s="14" t="inlineStr">
        <is>
          <t>Drop 0</t>
        </is>
      </c>
      <c r="E86" s="14" t="inlineStr">
        <is>
          <t>Product Owner, Marketing Business System (MBS)</t>
        </is>
      </c>
      <c r="F86" s="14" t="n">
        <v>4</v>
      </c>
      <c r="G86" s="14" t="inlineStr">
        <is>
          <t>Template</t>
        </is>
      </c>
      <c r="H86" s="14" t="inlineStr">
        <is>
          <t>This workbook, sheet Ref Lists of values</t>
        </is>
      </c>
      <c r="I86" s="14" t="inlineStr">
        <is>
          <t>9-Apr-2027 (T-38 weeks)</t>
        </is>
      </c>
      <c r="J86" s="14" t="n"/>
      <c r="K86" s="14" t="inlineStr">
        <is>
          <t>Not started</t>
        </is>
      </c>
      <c r="L86" s="14" t="n"/>
    </row>
    <row r="87">
      <c r="A87" s="14" t="inlineStr">
        <is>
          <t>PKG_DEACTIVATION_REASON</t>
        </is>
      </c>
      <c r="B87" s="14" t="inlineStr">
        <is>
          <t>Package deactivation reason</t>
        </is>
      </c>
      <c r="C87" s="14" t="inlineStr">
        <is>
          <t>Product Maintenance</t>
        </is>
      </c>
      <c r="D87" s="14" t="inlineStr">
        <is>
          <t>Drop 0</t>
        </is>
      </c>
      <c r="E87" s="14" t="inlineStr">
        <is>
          <t>Product Owner, Marketing Business System (MBS)</t>
        </is>
      </c>
      <c r="F87" s="14" t="n">
        <v>6</v>
      </c>
      <c r="G87" s="14" t="inlineStr">
        <is>
          <t>Template</t>
        </is>
      </c>
      <c r="H87" s="14" t="inlineStr">
        <is>
          <t>This workbook, sheet Ref Lists of values</t>
        </is>
      </c>
      <c r="I87" s="14" t="inlineStr">
        <is>
          <t>9-Apr-2027 (T-38 weeks)</t>
        </is>
      </c>
      <c r="J87" s="14" t="n"/>
      <c r="K87" s="14" t="inlineStr">
        <is>
          <t>Not started</t>
        </is>
      </c>
      <c r="L87" s="14" t="n"/>
    </row>
    <row r="88">
      <c r="A88" s="14" t="inlineStr">
        <is>
          <t>PKG_NOT_PROCEEDED_REASON</t>
        </is>
      </c>
      <c r="B88" s="14" t="inlineStr">
        <is>
          <t>Package not proceeded reason</t>
        </is>
      </c>
      <c r="C88" s="14" t="inlineStr">
        <is>
          <t>Product Maintenance</t>
        </is>
      </c>
      <c r="D88" s="14" t="inlineStr">
        <is>
          <t>Drop 0</t>
        </is>
      </c>
      <c r="E88" s="14" t="inlineStr">
        <is>
          <t>Product Owner, Marketing Business System (MBS)</t>
        </is>
      </c>
      <c r="F88" s="14" t="n">
        <v>5</v>
      </c>
      <c r="G88" s="14" t="inlineStr">
        <is>
          <t>Template</t>
        </is>
      </c>
      <c r="H88" s="14" t="inlineStr">
        <is>
          <t>BRD-03 template CI-09, sheet PM-09 Lists and parameters</t>
        </is>
      </c>
      <c r="I88" s="14" t="inlineStr">
        <is>
          <t>9-Apr-2027 (T-38 weeks)</t>
        </is>
      </c>
      <c r="J88" s="14" t="n"/>
      <c r="K88" s="14" t="inlineStr">
        <is>
          <t>Not started</t>
        </is>
      </c>
      <c r="L88" s="14" t="n"/>
    </row>
    <row r="89">
      <c r="A89" s="14" t="inlineStr">
        <is>
          <t>PKG_POLICY_TYPE</t>
        </is>
      </c>
      <c r="B89" s="14" t="inlineStr">
        <is>
          <t>Policy type</t>
        </is>
      </c>
      <c r="C89" s="14" t="inlineStr">
        <is>
          <t>Product Maintenance</t>
        </is>
      </c>
      <c r="D89" s="14" t="inlineStr">
        <is>
          <t>Drop 0</t>
        </is>
      </c>
      <c r="E89" s="14" t="inlineStr">
        <is>
          <t>Product Owner, Marketing Business System (MBS)</t>
        </is>
      </c>
      <c r="F89" s="14" t="n">
        <v>5</v>
      </c>
      <c r="G89" s="14" t="inlineStr">
        <is>
          <t>Template</t>
        </is>
      </c>
      <c r="H89" s="14" t="inlineStr">
        <is>
          <t>This workbook, sheet Ref Lists of values</t>
        </is>
      </c>
      <c r="I89" s="14" t="inlineStr">
        <is>
          <t>9-Apr-2027 (T-38 weeks)</t>
        </is>
      </c>
      <c r="J89" s="14" t="n"/>
      <c r="K89" s="14" t="inlineStr">
        <is>
          <t>Not started</t>
        </is>
      </c>
      <c r="L89" s="14" t="n"/>
    </row>
    <row r="90">
      <c r="A90" s="14" t="inlineStr">
        <is>
          <t>PKG_REQUEST_REASON</t>
        </is>
      </c>
      <c r="B90" s="14" t="inlineStr">
        <is>
          <t>Package request reason</t>
        </is>
      </c>
      <c r="C90" s="14" t="inlineStr">
        <is>
          <t>Product Maintenance</t>
        </is>
      </c>
      <c r="D90" s="14" t="inlineStr">
        <is>
          <t>Drop 0</t>
        </is>
      </c>
      <c r="E90" s="14" t="inlineStr">
        <is>
          <t>Product Owner, Marketing Business System (MBS)</t>
        </is>
      </c>
      <c r="F90" s="14" t="n">
        <v>8</v>
      </c>
      <c r="G90" s="14" t="inlineStr">
        <is>
          <t>Template</t>
        </is>
      </c>
      <c r="H90" s="14" t="inlineStr">
        <is>
          <t>BRD-03 template CI-09, sheet PM-09 Lists and parameters</t>
        </is>
      </c>
      <c r="I90" s="14" t="inlineStr">
        <is>
          <t>9-Apr-2027 (T-38 weeks)</t>
        </is>
      </c>
      <c r="J90" s="14" t="n"/>
      <c r="K90" s="14" t="inlineStr">
        <is>
          <t>Not started</t>
        </is>
      </c>
      <c r="L90" s="14" t="n"/>
    </row>
    <row r="91">
      <c r="A91" s="14" t="inlineStr">
        <is>
          <t>PKG_REQUEST_SOURCE</t>
        </is>
      </c>
      <c r="B91" s="14" t="inlineStr">
        <is>
          <t>Package request source</t>
        </is>
      </c>
      <c r="C91" s="14" t="inlineStr">
        <is>
          <t>Product Maintenance</t>
        </is>
      </c>
      <c r="D91" s="14" t="inlineStr">
        <is>
          <t>Drop 0</t>
        </is>
      </c>
      <c r="E91" s="14" t="inlineStr">
        <is>
          <t>Product Owner, Marketing Business System (MBS)</t>
        </is>
      </c>
      <c r="F91" s="14" t="n">
        <v>3</v>
      </c>
      <c r="G91" s="14" t="inlineStr">
        <is>
          <t>Template</t>
        </is>
      </c>
      <c r="H91" s="14" t="inlineStr">
        <is>
          <t>This workbook, sheet Ref Lists of values</t>
        </is>
      </c>
      <c r="I91" s="14" t="inlineStr">
        <is>
          <t>9-Apr-2027 (T-38 weeks)</t>
        </is>
      </c>
      <c r="J91" s="14" t="n"/>
      <c r="K91" s="14" t="inlineStr">
        <is>
          <t>Not started</t>
        </is>
      </c>
      <c r="L91" s="14" t="n"/>
    </row>
    <row r="92">
      <c r="A92" s="14" t="inlineStr">
        <is>
          <t>PKG_REQUEST_TYPE</t>
        </is>
      </c>
      <c r="B92" s="14" t="inlineStr">
        <is>
          <t>Package request type</t>
        </is>
      </c>
      <c r="C92" s="14" t="inlineStr">
        <is>
          <t>Product Maintenance</t>
        </is>
      </c>
      <c r="D92" s="14" t="inlineStr">
        <is>
          <t>Drop 0</t>
        </is>
      </c>
      <c r="E92" s="14" t="inlineStr">
        <is>
          <t>Product Owner, Marketing Business System (MBS)</t>
        </is>
      </c>
      <c r="F92" s="14" t="n">
        <v>6</v>
      </c>
      <c r="G92" s="14" t="inlineStr">
        <is>
          <t>Template</t>
        </is>
      </c>
      <c r="H92" s="14" t="inlineStr">
        <is>
          <t>BRD-03 template CI-09, sheet PM-09 Lists and parameters</t>
        </is>
      </c>
      <c r="I92" s="14" t="inlineStr">
        <is>
          <t>9-Apr-2027 (T-38 weeks)</t>
        </is>
      </c>
      <c r="J92" s="14" t="n"/>
      <c r="K92" s="14" t="inlineStr">
        <is>
          <t>Not started</t>
        </is>
      </c>
      <c r="L92" s="14" t="n"/>
    </row>
    <row r="93">
      <c r="A93" s="14" t="inlineStr">
        <is>
          <t>PKG_RESPONSE_OUTCOME</t>
        </is>
      </c>
      <c r="B93" s="14" t="inlineStr">
        <is>
          <t>Insurer response outcome</t>
        </is>
      </c>
      <c r="C93" s="14" t="inlineStr">
        <is>
          <t>Product Maintenance</t>
        </is>
      </c>
      <c r="D93" s="14" t="inlineStr">
        <is>
          <t>Drop 0</t>
        </is>
      </c>
      <c r="E93" s="14" t="inlineStr">
        <is>
          <t>Product Owner, Marketing Business System (MBS)</t>
        </is>
      </c>
      <c r="F93" s="14" t="n">
        <v>6</v>
      </c>
      <c r="G93" s="14" t="inlineStr">
        <is>
          <t>Template</t>
        </is>
      </c>
      <c r="H93" s="14" t="inlineStr">
        <is>
          <t>BRD-03 template CI-09, sheet PM-09 Lists and parameters</t>
        </is>
      </c>
      <c r="I93" s="14" t="inlineStr">
        <is>
          <t>9-Apr-2027 (T-38 weeks)</t>
        </is>
      </c>
      <c r="J93" s="14" t="n"/>
      <c r="K93" s="14" t="inlineStr">
        <is>
          <t>Not started</t>
        </is>
      </c>
      <c r="L93" s="14" t="n"/>
    </row>
    <row r="94">
      <c r="A94" s="14" t="inlineStr">
        <is>
          <t>PRQ_PAYMENT_MODE</t>
        </is>
      </c>
      <c r="B94" s="14" t="inlineStr">
        <is>
          <t>Request payment mode</t>
        </is>
      </c>
      <c r="C94" s="14" t="inlineStr">
        <is>
          <t>Accounting, Disbursement and ACSL</t>
        </is>
      </c>
      <c r="D94" s="14" t="inlineStr">
        <is>
          <t>Drop 1</t>
        </is>
      </c>
      <c r="E94" s="14" t="inlineStr">
        <is>
          <t>Head, Comptrollership</t>
        </is>
      </c>
      <c r="F94" s="14" t="n">
        <v>6</v>
      </c>
      <c r="G94" s="14" t="inlineStr">
        <is>
          <t>Template</t>
        </is>
      </c>
      <c r="H94" s="14" t="inlineStr">
        <is>
          <t>This workbook, sheet Ref Lists of values</t>
        </is>
      </c>
      <c r="I94" s="14" t="inlineStr">
        <is>
          <t>9-Apr-2027 (T-38 weeks)</t>
        </is>
      </c>
      <c r="J94" s="14" t="n"/>
      <c r="K94" s="14" t="inlineStr">
        <is>
          <t>Not started</t>
        </is>
      </c>
      <c r="L94" s="14" t="n"/>
    </row>
    <row r="95">
      <c r="A95" s="14" t="inlineStr">
        <is>
          <t>PRQ_RFP_TYPE</t>
        </is>
      </c>
      <c r="B95" s="14" t="inlineStr">
        <is>
          <t>Request for payment type</t>
        </is>
      </c>
      <c r="C95" s="14" t="inlineStr">
        <is>
          <t>Accounting, Disbursement and ACSL</t>
        </is>
      </c>
      <c r="D95" s="14" t="inlineStr">
        <is>
          <t>Drop 1</t>
        </is>
      </c>
      <c r="E95" s="14" t="inlineStr">
        <is>
          <t>Head, Comptrollership</t>
        </is>
      </c>
      <c r="F95" s="14" t="n">
        <v>3</v>
      </c>
      <c r="G95" s="14" t="inlineStr">
        <is>
          <t>Template</t>
        </is>
      </c>
      <c r="H95" s="14" t="inlineStr">
        <is>
          <t>This workbook, sheet Ref Lists of values</t>
        </is>
      </c>
      <c r="I95" s="14" t="inlineStr">
        <is>
          <t>9-Apr-2027 (T-38 weeks)</t>
        </is>
      </c>
      <c r="J95" s="14" t="n"/>
      <c r="K95" s="14" t="inlineStr">
        <is>
          <t>Not started</t>
        </is>
      </c>
      <c r="L95" s="14" t="n"/>
    </row>
    <row r="96">
      <c r="A96" s="14" t="inlineStr">
        <is>
          <t>RECEIPT_CANCEL_REASON</t>
        </is>
      </c>
      <c r="B96" s="14" t="inlineStr">
        <is>
          <t>Receipt cancellation reason</t>
        </is>
      </c>
      <c r="C96" s="14" t="inlineStr">
        <is>
          <t>Operations</t>
        </is>
      </c>
      <c r="D96" s="14" t="inlineStr">
        <is>
          <t>Drop 1</t>
        </is>
      </c>
      <c r="E96" s="14" t="inlineStr">
        <is>
          <t>Head, Operations Services</t>
        </is>
      </c>
      <c r="F96" s="14" t="n">
        <v>17</v>
      </c>
      <c r="G96" s="14" t="inlineStr">
        <is>
          <t>Template</t>
        </is>
      </c>
      <c r="H96" s="14" t="inlineStr">
        <is>
          <t>This workbook, sheet Ref Lists of values</t>
        </is>
      </c>
      <c r="I96" s="14" t="inlineStr">
        <is>
          <t>9-Apr-2027 (T-38 weeks)</t>
        </is>
      </c>
      <c r="J96" s="14" t="n"/>
      <c r="K96" s="14" t="inlineStr">
        <is>
          <t>Not started</t>
        </is>
      </c>
      <c r="L96" s="14" t="n"/>
    </row>
    <row r="97">
      <c r="A97" s="14" t="inlineStr">
        <is>
          <t>RECON_COMPANY_CONCERNED</t>
        </is>
      </c>
      <c r="B97" s="14" t="inlineStr">
        <is>
          <t>Company concerned</t>
        </is>
      </c>
      <c r="C97" s="14" t="inlineStr">
        <is>
          <t>Operations</t>
        </is>
      </c>
      <c r="D97" s="14" t="inlineStr">
        <is>
          <t>Drop 1</t>
        </is>
      </c>
      <c r="E97" s="14" t="inlineStr">
        <is>
          <t>Head, Operations Services</t>
        </is>
      </c>
      <c r="F97" s="14" t="n">
        <v>0</v>
      </c>
      <c r="G97" s="14" t="inlineStr">
        <is>
          <t>Template</t>
        </is>
      </c>
      <c r="H97" s="14" t="inlineStr">
        <is>
          <t>This workbook, sheet Ref Lists of values</t>
        </is>
      </c>
      <c r="I97" s="14" t="inlineStr">
        <is>
          <t>9-Apr-2027 (T-38 weeks)</t>
        </is>
      </c>
      <c r="J97" s="14" t="n"/>
      <c r="K97" s="14" t="inlineStr">
        <is>
          <t>Not started</t>
        </is>
      </c>
      <c r="L97" s="14" t="n"/>
    </row>
    <row r="98">
      <c r="A98" s="14" t="inlineStr">
        <is>
          <t>RECON_DISPOSITION</t>
        </is>
      </c>
      <c r="B98" s="14" t="inlineStr">
        <is>
          <t>Reconciliation disposition</t>
        </is>
      </c>
      <c r="C98" s="14" t="inlineStr">
        <is>
          <t>Operations</t>
        </is>
      </c>
      <c r="D98" s="14" t="inlineStr">
        <is>
          <t>Drop 1</t>
        </is>
      </c>
      <c r="E98" s="14" t="inlineStr">
        <is>
          <t>Head, Operations Services</t>
        </is>
      </c>
      <c r="F98" s="14" t="n">
        <v>0</v>
      </c>
      <c r="G98" s="14" t="inlineStr">
        <is>
          <t>Template</t>
        </is>
      </c>
      <c r="H98" s="14" t="inlineStr">
        <is>
          <t>This workbook, sheet Ref Lists of values</t>
        </is>
      </c>
      <c r="I98" s="14" t="inlineStr">
        <is>
          <t>9-Apr-2027 (T-38 weeks)</t>
        </is>
      </c>
      <c r="J98" s="14" t="n"/>
      <c r="K98" s="14" t="inlineStr">
        <is>
          <t>Not started</t>
        </is>
      </c>
      <c r="L98" s="14" t="n"/>
    </row>
    <row r="99">
      <c r="A99" s="14" t="inlineStr">
        <is>
          <t>REFUND_REASON</t>
        </is>
      </c>
      <c r="B99" s="14" t="inlineStr">
        <is>
          <t>Refund reason</t>
        </is>
      </c>
      <c r="C99" s="14" t="inlineStr">
        <is>
          <t>Accounting, Disbursement and ACSL</t>
        </is>
      </c>
      <c r="D99" s="14" t="inlineStr">
        <is>
          <t>Drop 1</t>
        </is>
      </c>
      <c r="E99" s="14" t="inlineStr">
        <is>
          <t>Head, Comptrollership</t>
        </is>
      </c>
      <c r="F99" s="14" t="n">
        <v>5</v>
      </c>
      <c r="G99" s="14" t="inlineStr">
        <is>
          <t>Template</t>
        </is>
      </c>
      <c r="H99" s="14" t="inlineStr">
        <is>
          <t>This workbook, sheet Ref Lists of values</t>
        </is>
      </c>
      <c r="I99" s="14" t="inlineStr">
        <is>
          <t>9-Apr-2027 (T-38 weeks)</t>
        </is>
      </c>
      <c r="J99" s="14" t="n"/>
      <c r="K99" s="14" t="inlineStr">
        <is>
          <t>Not started</t>
        </is>
      </c>
      <c r="L99" s="14" t="n"/>
    </row>
    <row r="100">
      <c r="A100" s="14" t="inlineStr">
        <is>
          <t>REINSTATEMENT_REASON</t>
        </is>
      </c>
      <c r="B100" s="14" t="inlineStr">
        <is>
          <t>Reinstatement reason</t>
        </is>
      </c>
      <c r="C100" s="14" t="inlineStr">
        <is>
          <t>Operations</t>
        </is>
      </c>
      <c r="D100" s="14" t="inlineStr">
        <is>
          <t>Drop 1</t>
        </is>
      </c>
      <c r="E100" s="14" t="inlineStr">
        <is>
          <t>Head, Operations Services</t>
        </is>
      </c>
      <c r="F100" s="14" t="n">
        <v>9</v>
      </c>
      <c r="G100" s="14" t="inlineStr">
        <is>
          <t>Template</t>
        </is>
      </c>
      <c r="H100" s="14" t="inlineStr">
        <is>
          <t>This workbook, sheet Ref Lists of values</t>
        </is>
      </c>
      <c r="I100" s="14" t="inlineStr">
        <is>
          <t>9-Apr-2027 (T-38 weeks)</t>
        </is>
      </c>
      <c r="J100" s="14" t="n"/>
      <c r="K100" s="14" t="inlineStr">
        <is>
          <t>Not started</t>
        </is>
      </c>
      <c r="L100" s="14" t="n"/>
    </row>
    <row r="101">
      <c r="A101" s="14" t="inlineStr">
        <is>
          <t>REMITTANCE_TYPE</t>
        </is>
      </c>
      <c r="B101" s="14" t="inlineStr">
        <is>
          <t>Remittance type</t>
        </is>
      </c>
      <c r="C101" s="14" t="inlineStr">
        <is>
          <t>Operations</t>
        </is>
      </c>
      <c r="D101" s="14" t="inlineStr">
        <is>
          <t>Drop 1</t>
        </is>
      </c>
      <c r="E101" s="14" t="inlineStr">
        <is>
          <t>Head, Operations Services</t>
        </is>
      </c>
      <c r="F101" s="14" t="n">
        <v>3</v>
      </c>
      <c r="G101" s="14" t="inlineStr">
        <is>
          <t>Template</t>
        </is>
      </c>
      <c r="H101" s="14" t="inlineStr">
        <is>
          <t>This workbook, sheet Ref Lists of values</t>
        </is>
      </c>
      <c r="I101" s="14" t="inlineStr">
        <is>
          <t>9-Apr-2027 (T-38 weeks)</t>
        </is>
      </c>
      <c r="J101" s="14" t="n"/>
      <c r="K101" s="14" t="inlineStr">
        <is>
          <t>Not started</t>
        </is>
      </c>
      <c r="L101" s="14" t="n"/>
    </row>
    <row r="102">
      <c r="A102" s="14" t="inlineStr">
        <is>
          <t>REMIT_DEDUCTION_SOURCE</t>
        </is>
      </c>
      <c r="B102" s="14" t="inlineStr">
        <is>
          <t>Remittance deduction source</t>
        </is>
      </c>
      <c r="C102" s="14" t="inlineStr">
        <is>
          <t>Operations</t>
        </is>
      </c>
      <c r="D102" s="14" t="inlineStr">
        <is>
          <t>Drop 1</t>
        </is>
      </c>
      <c r="E102" s="14" t="inlineStr">
        <is>
          <t>Head, Operations Services</t>
        </is>
      </c>
      <c r="F102" s="14" t="n">
        <v>3</v>
      </c>
      <c r="G102" s="14" t="inlineStr">
        <is>
          <t>Template</t>
        </is>
      </c>
      <c r="H102" s="14" t="inlineStr">
        <is>
          <t>This workbook, sheet Ref Lists of values</t>
        </is>
      </c>
      <c r="I102" s="14" t="inlineStr">
        <is>
          <t>9-Apr-2027 (T-38 weeks)</t>
        </is>
      </c>
      <c r="J102" s="14" t="n"/>
      <c r="K102" s="14" t="inlineStr">
        <is>
          <t>Not started</t>
        </is>
      </c>
      <c r="L102" s="14" t="n"/>
    </row>
    <row r="103">
      <c r="A103" s="14" t="inlineStr">
        <is>
          <t>REMIT_EXCLUSION_REASON</t>
        </is>
      </c>
      <c r="B103" s="14" t="inlineStr">
        <is>
          <t>Remittance exclusion reason</t>
        </is>
      </c>
      <c r="C103" s="14" t="inlineStr">
        <is>
          <t>Operations</t>
        </is>
      </c>
      <c r="D103" s="14" t="inlineStr">
        <is>
          <t>Drop 1</t>
        </is>
      </c>
      <c r="E103" s="14" t="inlineStr">
        <is>
          <t>Head, Operations Services</t>
        </is>
      </c>
      <c r="F103" s="14" t="n">
        <v>7</v>
      </c>
      <c r="G103" s="14" t="inlineStr">
        <is>
          <t>Template</t>
        </is>
      </c>
      <c r="H103" s="14" t="inlineStr">
        <is>
          <t>This workbook, sheet Ref Lists of values</t>
        </is>
      </c>
      <c r="I103" s="14" t="inlineStr">
        <is>
          <t>9-Apr-2027 (T-38 weeks)</t>
        </is>
      </c>
      <c r="J103" s="14" t="n"/>
      <c r="K103" s="14" t="inlineStr">
        <is>
          <t>Not started</t>
        </is>
      </c>
      <c r="L103" s="14" t="n"/>
    </row>
    <row r="104">
      <c r="A104" s="14" t="inlineStr">
        <is>
          <t>REMIT_RETURN_REASON</t>
        </is>
      </c>
      <c r="B104" s="14" t="inlineStr">
        <is>
          <t>Remittance return reason</t>
        </is>
      </c>
      <c r="C104" s="14" t="inlineStr">
        <is>
          <t>Operations</t>
        </is>
      </c>
      <c r="D104" s="14" t="inlineStr">
        <is>
          <t>Drop 1</t>
        </is>
      </c>
      <c r="E104" s="14" t="inlineStr">
        <is>
          <t>Head, Operations Services</t>
        </is>
      </c>
      <c r="F104" s="14" t="n">
        <v>1</v>
      </c>
      <c r="G104" s="14" t="inlineStr">
        <is>
          <t>Template</t>
        </is>
      </c>
      <c r="H104" s="14" t="inlineStr">
        <is>
          <t>This workbook, sheet Ref Lists of values</t>
        </is>
      </c>
      <c r="I104" s="14" t="inlineStr">
        <is>
          <t>9-Apr-2027 (T-38 weeks)</t>
        </is>
      </c>
      <c r="J104" s="14" t="n"/>
      <c r="K104" s="14" t="inlineStr">
        <is>
          <t>Not started</t>
        </is>
      </c>
      <c r="L104" s="14" t="n"/>
    </row>
    <row r="105">
      <c r="A105" s="14" t="inlineStr">
        <is>
          <t>RETURN_REASON</t>
        </is>
      </c>
      <c r="B105" s="14" t="inlineStr">
        <is>
          <t>Return reason</t>
        </is>
      </c>
      <c r="C105" s="14" t="inlineStr">
        <is>
          <t>New Business</t>
        </is>
      </c>
      <c r="D105" s="14" t="inlineStr">
        <is>
          <t>Drop 1</t>
        </is>
      </c>
      <c r="E105" s="14" t="inlineStr">
        <is>
          <t>Product Owner, BDOI (New Business)</t>
        </is>
      </c>
      <c r="F105" s="14" t="n">
        <v>7</v>
      </c>
      <c r="G105" s="14" t="inlineStr">
        <is>
          <t>Template</t>
        </is>
      </c>
      <c r="H105" s="14" t="inlineStr">
        <is>
          <t>This workbook, sheet Ref Lists of values</t>
        </is>
      </c>
      <c r="I105" s="14" t="inlineStr">
        <is>
          <t>9-Apr-2027 (T-38 weeks)</t>
        </is>
      </c>
      <c r="J105" s="14" t="n"/>
      <c r="K105" s="14" t="inlineStr">
        <is>
          <t>Not started</t>
        </is>
      </c>
      <c r="L105" s="14" t="n"/>
    </row>
    <row r="106">
      <c r="A106" s="14" t="inlineStr">
        <is>
          <t>RNW_DISPOSITION</t>
        </is>
      </c>
      <c r="B106" s="14" t="inlineStr">
        <is>
          <t>Renewal disposition</t>
        </is>
      </c>
      <c r="C106" s="14" t="inlineStr">
        <is>
          <t>Renewal</t>
        </is>
      </c>
      <c r="D106" s="14" t="inlineStr">
        <is>
          <t>Drop 1</t>
        </is>
      </c>
      <c r="E106" s="14" t="inlineStr">
        <is>
          <t>Product Owner, Renewal</t>
        </is>
      </c>
      <c r="F106" s="14" t="n">
        <v>5</v>
      </c>
      <c r="G106" s="14" t="inlineStr">
        <is>
          <t>Template</t>
        </is>
      </c>
      <c r="H106" s="14" t="inlineStr">
        <is>
          <t>This workbook, sheet Ref Lists of values</t>
        </is>
      </c>
      <c r="I106" s="14" t="inlineStr">
        <is>
          <t>9-Apr-2027 (T-38 weeks)</t>
        </is>
      </c>
      <c r="J106" s="14" t="n"/>
      <c r="K106" s="14" t="inlineStr">
        <is>
          <t>Not started</t>
        </is>
      </c>
      <c r="L106" s="14" t="n"/>
    </row>
    <row r="107">
      <c r="A107" s="14" t="inlineStr">
        <is>
          <t>RNW_FOLLOWUP_CHANNEL</t>
        </is>
      </c>
      <c r="B107" s="14" t="inlineStr">
        <is>
          <t>Renewal follow-up channel</t>
        </is>
      </c>
      <c r="C107" s="14" t="inlineStr">
        <is>
          <t>Renewal</t>
        </is>
      </c>
      <c r="D107" s="14" t="inlineStr">
        <is>
          <t>Drop 1</t>
        </is>
      </c>
      <c r="E107" s="14" t="inlineStr">
        <is>
          <t>Product Owner, Renewal</t>
        </is>
      </c>
      <c r="F107" s="14" t="n">
        <v>3</v>
      </c>
      <c r="G107" s="14" t="inlineStr">
        <is>
          <t>Template</t>
        </is>
      </c>
      <c r="H107" s="14" t="inlineStr">
        <is>
          <t>This workbook, sheet Ref Lists of values</t>
        </is>
      </c>
      <c r="I107" s="14" t="inlineStr">
        <is>
          <t>9-Apr-2027 (T-38 weeks)</t>
        </is>
      </c>
      <c r="J107" s="14" t="n"/>
      <c r="K107" s="14" t="inlineStr">
        <is>
          <t>Not started</t>
        </is>
      </c>
      <c r="L107" s="14" t="n"/>
    </row>
    <row r="108">
      <c r="A108" s="14" t="inlineStr">
        <is>
          <t>RNW_FOLLOWUP_OUTCOME</t>
        </is>
      </c>
      <c r="B108" s="14" t="inlineStr">
        <is>
          <t>Renewal follow-up outcome</t>
        </is>
      </c>
      <c r="C108" s="14" t="inlineStr">
        <is>
          <t>Renewal</t>
        </is>
      </c>
      <c r="D108" s="14" t="inlineStr">
        <is>
          <t>Drop 1</t>
        </is>
      </c>
      <c r="E108" s="14" t="inlineStr">
        <is>
          <t>Product Owner, Renewal</t>
        </is>
      </c>
      <c r="F108" s="14" t="n">
        <v>6</v>
      </c>
      <c r="G108" s="14" t="inlineStr">
        <is>
          <t>Template</t>
        </is>
      </c>
      <c r="H108" s="14" t="inlineStr">
        <is>
          <t>This workbook, sheet Ref Lists of values</t>
        </is>
      </c>
      <c r="I108" s="14" t="inlineStr">
        <is>
          <t>9-Apr-2027 (T-38 weeks)</t>
        </is>
      </c>
      <c r="J108" s="14" t="n"/>
      <c r="K108" s="14" t="inlineStr">
        <is>
          <t>Not started</t>
        </is>
      </c>
      <c r="L108" s="14" t="n"/>
    </row>
    <row r="109">
      <c r="A109" s="14" t="inlineStr">
        <is>
          <t>RNW_INSURER_RESPONSE</t>
        </is>
      </c>
      <c r="B109" s="14" t="inlineStr">
        <is>
          <t>Insurer renewal response</t>
        </is>
      </c>
      <c r="C109" s="14" t="inlineStr">
        <is>
          <t>Renewal</t>
        </is>
      </c>
      <c r="D109" s="14" t="inlineStr">
        <is>
          <t>Drop 1</t>
        </is>
      </c>
      <c r="E109" s="14" t="inlineStr">
        <is>
          <t>Product Owner, Renewal</t>
        </is>
      </c>
      <c r="F109" s="14" t="n">
        <v>3</v>
      </c>
      <c r="G109" s="14" t="inlineStr">
        <is>
          <t>Template</t>
        </is>
      </c>
      <c r="H109" s="14" t="inlineStr">
        <is>
          <t>This workbook, sheet Ref Lists of values</t>
        </is>
      </c>
      <c r="I109" s="14" t="inlineStr">
        <is>
          <t>9-Apr-2027 (T-38 weeks)</t>
        </is>
      </c>
      <c r="J109" s="14" t="n"/>
      <c r="K109" s="14" t="inlineStr">
        <is>
          <t>Not started</t>
        </is>
      </c>
      <c r="L109" s="14" t="n"/>
    </row>
    <row r="110">
      <c r="A110" s="14" t="inlineStr">
        <is>
          <t>RNW_LAMD_STATUS</t>
        </is>
      </c>
      <c r="B110" s="14" t="inlineStr">
        <is>
          <t>LAMD loan status</t>
        </is>
      </c>
      <c r="C110" s="14" t="inlineStr">
        <is>
          <t>Renewal</t>
        </is>
      </c>
      <c r="D110" s="14" t="inlineStr">
        <is>
          <t>Drop 1</t>
        </is>
      </c>
      <c r="E110" s="14" t="inlineStr">
        <is>
          <t>Product Owner, Renewal</t>
        </is>
      </c>
      <c r="F110" s="14" t="n">
        <v>2</v>
      </c>
      <c r="G110" s="14" t="inlineStr">
        <is>
          <t>Template</t>
        </is>
      </c>
      <c r="H110" s="14" t="inlineStr">
        <is>
          <t>This workbook, sheet Ref Lists of values</t>
        </is>
      </c>
      <c r="I110" s="14" t="inlineStr">
        <is>
          <t>9-Apr-2027 (T-38 weeks)</t>
        </is>
      </c>
      <c r="J110" s="14" t="n"/>
      <c r="K110" s="14" t="inlineStr">
        <is>
          <t>Not started</t>
        </is>
      </c>
      <c r="L110" s="14" t="n"/>
    </row>
    <row r="111">
      <c r="A111" s="14" t="inlineStr">
        <is>
          <t>RNW_NONRENEWAL_REASON</t>
        </is>
      </c>
      <c r="B111" s="14" t="inlineStr">
        <is>
          <t>Reason for Not for Renewal</t>
        </is>
      </c>
      <c r="C111" s="14" t="inlineStr">
        <is>
          <t>Renewal</t>
        </is>
      </c>
      <c r="D111" s="14" t="inlineStr">
        <is>
          <t>Drop 1</t>
        </is>
      </c>
      <c r="E111" s="14" t="inlineStr">
        <is>
          <t>Product Owner, Renewal</t>
        </is>
      </c>
      <c r="F111" s="14" t="n">
        <v>24</v>
      </c>
      <c r="G111" s="14" t="inlineStr">
        <is>
          <t>Template</t>
        </is>
      </c>
      <c r="H111" s="14" t="inlineStr">
        <is>
          <t>This workbook, sheet Ref Lists of values</t>
        </is>
      </c>
      <c r="I111" s="14" t="inlineStr">
        <is>
          <t>9-Apr-2027 (T-38 weeks)</t>
        </is>
      </c>
      <c r="J111" s="14" t="n"/>
      <c r="K111" s="14" t="inlineStr">
        <is>
          <t>Not started</t>
        </is>
      </c>
      <c r="L111" s="14" t="n"/>
    </row>
    <row r="112">
      <c r="A112" s="14" t="inlineStr">
        <is>
          <t>RNW_OVERRIDE_REASON</t>
        </is>
      </c>
      <c r="B112" s="14" t="inlineStr">
        <is>
          <t>Renewal override reason</t>
        </is>
      </c>
      <c r="C112" s="14" t="inlineStr">
        <is>
          <t>Renewal</t>
        </is>
      </c>
      <c r="D112" s="14" t="inlineStr">
        <is>
          <t>Drop 1</t>
        </is>
      </c>
      <c r="E112" s="14" t="inlineStr">
        <is>
          <t>Product Owner, Renewal</t>
        </is>
      </c>
      <c r="F112" s="14" t="n">
        <v>5</v>
      </c>
      <c r="G112" s="14" t="inlineStr">
        <is>
          <t>Template</t>
        </is>
      </c>
      <c r="H112" s="14" t="inlineStr">
        <is>
          <t>This workbook, sheet Ref Lists of values</t>
        </is>
      </c>
      <c r="I112" s="14" t="inlineStr">
        <is>
          <t>9-Apr-2027 (T-38 weeks)</t>
        </is>
      </c>
      <c r="J112" s="14" t="n"/>
      <c r="K112" s="14" t="inlineStr">
        <is>
          <t>Not started</t>
        </is>
      </c>
      <c r="L112" s="14" t="n"/>
    </row>
    <row r="113">
      <c r="A113" s="14" t="inlineStr">
        <is>
          <t>RNW_PLACEMENT_REJECT_REASON</t>
        </is>
      </c>
      <c r="B113" s="14" t="inlineStr">
        <is>
          <t>Placement rejection reason</t>
        </is>
      </c>
      <c r="C113" s="14" t="inlineStr">
        <is>
          <t>Renewal</t>
        </is>
      </c>
      <c r="D113" s="14" t="inlineStr">
        <is>
          <t>Drop 1</t>
        </is>
      </c>
      <c r="E113" s="14" t="inlineStr">
        <is>
          <t>Product Owner, Renewal</t>
        </is>
      </c>
      <c r="F113" s="14" t="n">
        <v>7</v>
      </c>
      <c r="G113" s="14" t="inlineStr">
        <is>
          <t>Template</t>
        </is>
      </c>
      <c r="H113" s="14" t="inlineStr">
        <is>
          <t>This workbook, sheet Ref Lists of values</t>
        </is>
      </c>
      <c r="I113" s="14" t="inlineStr">
        <is>
          <t>9-Apr-2027 (T-38 weeks)</t>
        </is>
      </c>
      <c r="J113" s="14" t="n"/>
      <c r="K113" s="14" t="inlineStr">
        <is>
          <t>Not started</t>
        </is>
      </c>
      <c r="L113" s="14" t="n"/>
    </row>
    <row r="114">
      <c r="A114" s="14" t="inlineStr">
        <is>
          <t>RNW_PLACEMENT_RETURN_REASON</t>
        </is>
      </c>
      <c r="B114" s="14" t="inlineStr">
        <is>
          <t>Return reason of a placement</t>
        </is>
      </c>
      <c r="C114" s="14" t="inlineStr">
        <is>
          <t>Renewal</t>
        </is>
      </c>
      <c r="D114" s="14" t="inlineStr">
        <is>
          <t>Drop 1</t>
        </is>
      </c>
      <c r="E114" s="14" t="inlineStr">
        <is>
          <t>Product Owner, Renewal</t>
        </is>
      </c>
      <c r="F114" s="14" t="n">
        <v>39</v>
      </c>
      <c r="G114" s="14" t="inlineStr">
        <is>
          <t>Template</t>
        </is>
      </c>
      <c r="H114" s="14" t="inlineStr">
        <is>
          <t>This workbook, sheet Ref Lists of values</t>
        </is>
      </c>
      <c r="I114" s="14" t="inlineStr">
        <is>
          <t>9-Apr-2027 (T-38 weeks)</t>
        </is>
      </c>
      <c r="J114" s="14" t="n"/>
      <c r="K114" s="14" t="inlineStr">
        <is>
          <t>Not started</t>
        </is>
      </c>
      <c r="L114" s="14" t="n"/>
    </row>
    <row r="115">
      <c r="A115" s="14" t="inlineStr">
        <is>
          <t>RNW_RETURN_REASON</t>
        </is>
      </c>
      <c r="B115" s="14" t="inlineStr">
        <is>
          <t>Renewal return reason</t>
        </is>
      </c>
      <c r="C115" s="14" t="inlineStr">
        <is>
          <t>Renewal</t>
        </is>
      </c>
      <c r="D115" s="14" t="inlineStr">
        <is>
          <t>Drop 1</t>
        </is>
      </c>
      <c r="E115" s="14" t="inlineStr">
        <is>
          <t>Product Owner, Renewal</t>
        </is>
      </c>
      <c r="F115" s="14" t="n">
        <v>5</v>
      </c>
      <c r="G115" s="14" t="inlineStr">
        <is>
          <t>Template</t>
        </is>
      </c>
      <c r="H115" s="14" t="inlineStr">
        <is>
          <t>This workbook, sheet Ref Lists of values</t>
        </is>
      </c>
      <c r="I115" s="14" t="inlineStr">
        <is>
          <t>9-Apr-2027 (T-38 weeks)</t>
        </is>
      </c>
      <c r="J115" s="14" t="n"/>
      <c r="K115" s="14" t="inlineStr">
        <is>
          <t>Not started</t>
        </is>
      </c>
      <c r="L115" s="14" t="n"/>
    </row>
    <row r="116">
      <c r="A116" s="14" t="inlineStr">
        <is>
          <t>RNW_TRANSFER_REASON</t>
        </is>
      </c>
      <c r="B116" s="14" t="inlineStr">
        <is>
          <t>Renewal transfer reason</t>
        </is>
      </c>
      <c r="C116" s="14" t="inlineStr">
        <is>
          <t>Renewal</t>
        </is>
      </c>
      <c r="D116" s="14" t="inlineStr">
        <is>
          <t>Drop 1</t>
        </is>
      </c>
      <c r="E116" s="14" t="inlineStr">
        <is>
          <t>Product Owner, Renewal</t>
        </is>
      </c>
      <c r="F116" s="14" t="n">
        <v>4</v>
      </c>
      <c r="G116" s="14" t="inlineStr">
        <is>
          <t>Template</t>
        </is>
      </c>
      <c r="H116" s="14" t="inlineStr">
        <is>
          <t>This workbook, sheet Ref Lists of values</t>
        </is>
      </c>
      <c r="I116" s="14" t="inlineStr">
        <is>
          <t>9-Apr-2027 (T-38 weeks)</t>
        </is>
      </c>
      <c r="J116" s="14" t="n"/>
      <c r="K116" s="14" t="inlineStr">
        <is>
          <t>Not started</t>
        </is>
      </c>
      <c r="L116" s="14" t="n"/>
    </row>
    <row r="117">
      <c r="A117" s="14" t="inlineStr">
        <is>
          <t>RRF_CATEGORY_A</t>
        </is>
      </c>
      <c r="B117" s="14" t="inlineStr">
        <is>
          <t>Refund category A</t>
        </is>
      </c>
      <c r="C117" s="14" t="inlineStr">
        <is>
          <t>Accounting, Disbursement and ACSL</t>
        </is>
      </c>
      <c r="D117" s="14" t="inlineStr">
        <is>
          <t>Drop 1</t>
        </is>
      </c>
      <c r="E117" s="14" t="inlineStr">
        <is>
          <t>Head, Comptrollership</t>
        </is>
      </c>
      <c r="F117" s="14" t="n">
        <v>1</v>
      </c>
      <c r="G117" s="14" t="inlineStr">
        <is>
          <t>Template</t>
        </is>
      </c>
      <c r="H117" s="14" t="inlineStr">
        <is>
          <t>This workbook, sheet Ref Lists of values</t>
        </is>
      </c>
      <c r="I117" s="14" t="inlineStr">
        <is>
          <t>9-Apr-2027 (T-38 weeks)</t>
        </is>
      </c>
      <c r="J117" s="14" t="n"/>
      <c r="K117" s="14" t="inlineStr">
        <is>
          <t>Not started</t>
        </is>
      </c>
      <c r="L117" s="14" t="n"/>
    </row>
    <row r="118">
      <c r="A118" s="14" t="inlineStr">
        <is>
          <t>RRF_CATEGORY_B</t>
        </is>
      </c>
      <c r="B118" s="14" t="inlineStr">
        <is>
          <t>Refund category B</t>
        </is>
      </c>
      <c r="C118" s="14" t="inlineStr">
        <is>
          <t>Accounting, Disbursement and ACSL</t>
        </is>
      </c>
      <c r="D118" s="14" t="inlineStr">
        <is>
          <t>Drop 1</t>
        </is>
      </c>
      <c r="E118" s="14" t="inlineStr">
        <is>
          <t>Head, Comptrollership</t>
        </is>
      </c>
      <c r="F118" s="14" t="n">
        <v>1</v>
      </c>
      <c r="G118" s="14" t="inlineStr">
        <is>
          <t>Template</t>
        </is>
      </c>
      <c r="H118" s="14" t="inlineStr">
        <is>
          <t>This workbook, sheet Ref Lists of values</t>
        </is>
      </c>
      <c r="I118" s="14" t="inlineStr">
        <is>
          <t>9-Apr-2027 (T-38 weeks)</t>
        </is>
      </c>
      <c r="J118" s="14" t="n"/>
      <c r="K118" s="14" t="inlineStr">
        <is>
          <t>Not started</t>
        </is>
      </c>
      <c r="L118" s="14" t="n"/>
    </row>
    <row r="119">
      <c r="A119" s="14" t="inlineStr">
        <is>
          <t>SBM_BUCKET</t>
        </is>
      </c>
      <c r="B119" s="14" t="inlineStr">
        <is>
          <t>Submitted policy bucket</t>
        </is>
      </c>
      <c r="C119" s="14" t="inlineStr">
        <is>
          <t>Submitted Policies</t>
        </is>
      </c>
      <c r="D119" s="14" t="inlineStr">
        <is>
          <t>Drop 1</t>
        </is>
      </c>
      <c r="E119" s="14" t="inlineStr">
        <is>
          <t>Product Owner, Submitted Policies</t>
        </is>
      </c>
      <c r="F119" s="14" t="n">
        <v>12</v>
      </c>
      <c r="G119" s="14" t="inlineStr">
        <is>
          <t>Template</t>
        </is>
      </c>
      <c r="H119" s="14" t="inlineStr">
        <is>
          <t>This workbook, sheet Ref Lists of values</t>
        </is>
      </c>
      <c r="I119" s="14" t="inlineStr">
        <is>
          <t>9-Apr-2027 (T-38 weeks)</t>
        </is>
      </c>
      <c r="J119" s="14" t="n"/>
      <c r="K119" s="14" t="inlineStr">
        <is>
          <t>Not started</t>
        </is>
      </c>
      <c r="L119" s="14" t="n"/>
    </row>
    <row r="120">
      <c r="A120" s="14" t="inlineStr">
        <is>
          <t>SBM_CONVERSION_STATUS</t>
        </is>
      </c>
      <c r="B120" s="14" t="inlineStr">
        <is>
          <t>Conversion status</t>
        </is>
      </c>
      <c r="C120" s="14" t="inlineStr">
        <is>
          <t>Submitted Policies</t>
        </is>
      </c>
      <c r="D120" s="14" t="inlineStr">
        <is>
          <t>Drop 1</t>
        </is>
      </c>
      <c r="E120" s="14" t="inlineStr">
        <is>
          <t>Product Owner, Submitted Policies</t>
        </is>
      </c>
      <c r="F120" s="14" t="n">
        <v>6</v>
      </c>
      <c r="G120" s="14" t="inlineStr">
        <is>
          <t>Template</t>
        </is>
      </c>
      <c r="H120" s="14" t="inlineStr">
        <is>
          <t>This workbook, sheet Ref Lists of values</t>
        </is>
      </c>
      <c r="I120" s="14" t="inlineStr">
        <is>
          <t>9-Apr-2027 (T-38 weeks)</t>
        </is>
      </c>
      <c r="J120" s="14" t="n"/>
      <c r="K120" s="14" t="inlineStr">
        <is>
          <t>Not started</t>
        </is>
      </c>
      <c r="L120" s="14" t="n"/>
    </row>
    <row r="121">
      <c r="A121" s="14" t="inlineStr">
        <is>
          <t>SBM_DECLINE_REASON</t>
        </is>
      </c>
      <c r="B121" s="14" t="inlineStr">
        <is>
          <t>Insurer re-assignment reason</t>
        </is>
      </c>
      <c r="C121" s="14" t="inlineStr">
        <is>
          <t>Submitted Policies</t>
        </is>
      </c>
      <c r="D121" s="14" t="inlineStr">
        <is>
          <t>Drop 1</t>
        </is>
      </c>
      <c r="E121" s="14" t="inlineStr">
        <is>
          <t>Product Owner, Submitted Policies</t>
        </is>
      </c>
      <c r="F121" s="14" t="n">
        <v>5</v>
      </c>
      <c r="G121" s="14" t="inlineStr">
        <is>
          <t>Template</t>
        </is>
      </c>
      <c r="H121" s="14" t="inlineStr">
        <is>
          <t>This workbook, sheet Ref Lists of values</t>
        </is>
      </c>
      <c r="I121" s="14" t="inlineStr">
        <is>
          <t>9-Apr-2027 (T-38 weeks)</t>
        </is>
      </c>
      <c r="J121" s="14" t="n"/>
      <c r="K121" s="14" t="inlineStr">
        <is>
          <t>Not started</t>
        </is>
      </c>
      <c r="L121" s="14" t="n"/>
    </row>
    <row r="122">
      <c r="A122" s="14" t="inlineStr">
        <is>
          <t>SBM_IAAF_FINDING</t>
        </is>
      </c>
      <c r="B122" s="14" t="inlineStr">
        <is>
          <t>Policy review finding</t>
        </is>
      </c>
      <c r="C122" s="14" t="inlineStr">
        <is>
          <t>Submitted Policies</t>
        </is>
      </c>
      <c r="D122" s="14" t="inlineStr">
        <is>
          <t>Drop 1</t>
        </is>
      </c>
      <c r="E122" s="14" t="inlineStr">
        <is>
          <t>Product Owner, Submitted Policies</t>
        </is>
      </c>
      <c r="F122" s="14" t="n">
        <v>6</v>
      </c>
      <c r="G122" s="14" t="inlineStr">
        <is>
          <t>Template</t>
        </is>
      </c>
      <c r="H122" s="14" t="inlineStr">
        <is>
          <t>This workbook, sheet Ref Lists of values</t>
        </is>
      </c>
      <c r="I122" s="14" t="inlineStr">
        <is>
          <t>9-Apr-2027 (T-38 weeks)</t>
        </is>
      </c>
      <c r="J122" s="14" t="n"/>
      <c r="K122" s="14" t="inlineStr">
        <is>
          <t>Not started</t>
        </is>
      </c>
      <c r="L122" s="14" t="n"/>
    </row>
    <row r="123">
      <c r="A123" s="14" t="inlineStr">
        <is>
          <t>SBM_LETTER_TYPE</t>
        </is>
      </c>
      <c r="B123" s="14" t="inlineStr">
        <is>
          <t>Submitted policy letter type</t>
        </is>
      </c>
      <c r="C123" s="14" t="inlineStr">
        <is>
          <t>Submitted Policies</t>
        </is>
      </c>
      <c r="D123" s="14" t="inlineStr">
        <is>
          <t>Drop 1</t>
        </is>
      </c>
      <c r="E123" s="14" t="inlineStr">
        <is>
          <t>Product Owner, Submitted Policies</t>
        </is>
      </c>
      <c r="F123" s="14" t="n">
        <v>3</v>
      </c>
      <c r="G123" s="14" t="inlineStr">
        <is>
          <t>Template</t>
        </is>
      </c>
      <c r="H123" s="14" t="inlineStr">
        <is>
          <t>This workbook, sheet Ref Lists of values</t>
        </is>
      </c>
      <c r="I123" s="14" t="inlineStr">
        <is>
          <t>9-Apr-2027 (T-38 weeks)</t>
        </is>
      </c>
      <c r="J123" s="14" t="n"/>
      <c r="K123" s="14" t="inlineStr">
        <is>
          <t>Not started</t>
        </is>
      </c>
      <c r="L123" s="14" t="n"/>
    </row>
    <row r="124">
      <c r="A124" s="14" t="inlineStr">
        <is>
          <t>SBM_LOAN_REPORT</t>
        </is>
      </c>
      <c r="B124" s="14" t="inlineStr">
        <is>
          <t>Loan report</t>
        </is>
      </c>
      <c r="C124" s="14" t="inlineStr">
        <is>
          <t>Submitted Policies</t>
        </is>
      </c>
      <c r="D124" s="14" t="inlineStr">
        <is>
          <t>Drop 1</t>
        </is>
      </c>
      <c r="E124" s="14" t="inlineStr">
        <is>
          <t>Product Owner, Submitted Policies</t>
        </is>
      </c>
      <c r="F124" s="14" t="n">
        <v>3</v>
      </c>
      <c r="G124" s="14" t="inlineStr">
        <is>
          <t>Template</t>
        </is>
      </c>
      <c r="H124" s="14" t="inlineStr">
        <is>
          <t>This workbook, sheet Ref Lists of values</t>
        </is>
      </c>
      <c r="I124" s="14" t="inlineStr">
        <is>
          <t>9-Apr-2027 (T-38 weeks)</t>
        </is>
      </c>
      <c r="J124" s="14" t="n"/>
      <c r="K124" s="14" t="inlineStr">
        <is>
          <t>Not started</t>
        </is>
      </c>
      <c r="L124" s="14" t="n"/>
    </row>
    <row r="125">
      <c r="A125" s="14" t="inlineStr">
        <is>
          <t>SBM_LOAN_STATUS</t>
        </is>
      </c>
      <c r="B125" s="14" t="inlineStr">
        <is>
          <t>Loan status</t>
        </is>
      </c>
      <c r="C125" s="14" t="inlineStr">
        <is>
          <t>Submitted Policies</t>
        </is>
      </c>
      <c r="D125" s="14" t="inlineStr">
        <is>
          <t>Drop 1</t>
        </is>
      </c>
      <c r="E125" s="14" t="inlineStr">
        <is>
          <t>Product Owner, Submitted Policies</t>
        </is>
      </c>
      <c r="F125" s="14" t="n">
        <v>4</v>
      </c>
      <c r="G125" s="14" t="inlineStr">
        <is>
          <t>Template</t>
        </is>
      </c>
      <c r="H125" s="14" t="inlineStr">
        <is>
          <t>This workbook, sheet Ref Lists of values</t>
        </is>
      </c>
      <c r="I125" s="14" t="inlineStr">
        <is>
          <t>9-Apr-2027 (T-38 weeks)</t>
        </is>
      </c>
      <c r="J125" s="14" t="n"/>
      <c r="K125" s="14" t="inlineStr">
        <is>
          <t>Not started</t>
        </is>
      </c>
      <c r="L125" s="14" t="n"/>
    </row>
    <row r="126">
      <c r="A126" s="14" t="inlineStr">
        <is>
          <t>SBM_NON_RENEWAL_REASON</t>
        </is>
      </c>
      <c r="B126" s="14" t="inlineStr">
        <is>
          <t>Non-renewal reason (submitted policy)</t>
        </is>
      </c>
      <c r="C126" s="14" t="inlineStr">
        <is>
          <t>Submitted Policies</t>
        </is>
      </c>
      <c r="D126" s="14" t="inlineStr">
        <is>
          <t>Drop 1</t>
        </is>
      </c>
      <c r="E126" s="14" t="inlineStr">
        <is>
          <t>Product Owner, Submitted Policies</t>
        </is>
      </c>
      <c r="F126" s="14" t="n">
        <v>16</v>
      </c>
      <c r="G126" s="14" t="inlineStr">
        <is>
          <t>Template</t>
        </is>
      </c>
      <c r="H126" s="14" t="inlineStr">
        <is>
          <t>This workbook, sheet Ref Lists of values</t>
        </is>
      </c>
      <c r="I126" s="14" t="inlineStr">
        <is>
          <t>9-Apr-2027 (T-38 weeks)</t>
        </is>
      </c>
      <c r="J126" s="14" t="n"/>
      <c r="K126" s="14" t="inlineStr">
        <is>
          <t>Not started</t>
        </is>
      </c>
      <c r="L126" s="14" t="n"/>
    </row>
    <row r="127">
      <c r="A127" s="14" t="inlineStr">
        <is>
          <t>SBM_REASON</t>
        </is>
      </c>
      <c r="B127" s="14" t="inlineStr">
        <is>
          <t>Submitted policy reason</t>
        </is>
      </c>
      <c r="C127" s="14" t="inlineStr">
        <is>
          <t>Submitted Policies</t>
        </is>
      </c>
      <c r="D127" s="14" t="inlineStr">
        <is>
          <t>Drop 1</t>
        </is>
      </c>
      <c r="E127" s="14" t="inlineStr">
        <is>
          <t>Product Owner, Submitted Policies</t>
        </is>
      </c>
      <c r="F127" s="14" t="n">
        <v>15</v>
      </c>
      <c r="G127" s="14" t="inlineStr">
        <is>
          <t>Template</t>
        </is>
      </c>
      <c r="H127" s="14" t="inlineStr">
        <is>
          <t>This workbook, sheet Ref Lists of values</t>
        </is>
      </c>
      <c r="I127" s="14" t="inlineStr">
        <is>
          <t>9-Apr-2027 (T-38 weeks)</t>
        </is>
      </c>
      <c r="J127" s="14" t="n"/>
      <c r="K127" s="14" t="inlineStr">
        <is>
          <t>Not started</t>
        </is>
      </c>
      <c r="L127" s="14" t="n"/>
    </row>
    <row r="128">
      <c r="A128" s="14" t="inlineStr">
        <is>
          <t>SBM_RETURN_REASON</t>
        </is>
      </c>
      <c r="B128" s="14" t="inlineStr">
        <is>
          <t>IAAF or TOR return reason</t>
        </is>
      </c>
      <c r="C128" s="14" t="inlineStr">
        <is>
          <t>Submitted Policies</t>
        </is>
      </c>
      <c r="D128" s="14" t="inlineStr">
        <is>
          <t>Drop 1</t>
        </is>
      </c>
      <c r="E128" s="14" t="inlineStr">
        <is>
          <t>Product Owner, Submitted Policies</t>
        </is>
      </c>
      <c r="F128" s="14" t="n">
        <v>4</v>
      </c>
      <c r="G128" s="14" t="inlineStr">
        <is>
          <t>Template</t>
        </is>
      </c>
      <c r="H128" s="14" t="inlineStr">
        <is>
          <t>This workbook, sheet Ref Lists of values</t>
        </is>
      </c>
      <c r="I128" s="14" t="inlineStr">
        <is>
          <t>9-Apr-2027 (T-38 weeks)</t>
        </is>
      </c>
      <c r="J128" s="14" t="n"/>
      <c r="K128" s="14" t="inlineStr">
        <is>
          <t>Not started</t>
        </is>
      </c>
      <c r="L128" s="14" t="n"/>
    </row>
    <row r="129">
      <c r="A129" s="14" t="inlineStr">
        <is>
          <t>SBM_SEGMENT</t>
        </is>
      </c>
      <c r="B129" s="14" t="inlineStr">
        <is>
          <t>Submitted policy segment</t>
        </is>
      </c>
      <c r="C129" s="14" t="inlineStr">
        <is>
          <t>Submitted Policies</t>
        </is>
      </c>
      <c r="D129" s="14" t="inlineStr">
        <is>
          <t>Drop 1</t>
        </is>
      </c>
      <c r="E129" s="14" t="inlineStr">
        <is>
          <t>Product Owner, Submitted Policies</t>
        </is>
      </c>
      <c r="F129" s="14" t="n">
        <v>4</v>
      </c>
      <c r="G129" s="14" t="inlineStr">
        <is>
          <t>Template</t>
        </is>
      </c>
      <c r="H129" s="14" t="inlineStr">
        <is>
          <t>This workbook, sheet Ref Lists of values</t>
        </is>
      </c>
      <c r="I129" s="14" t="inlineStr">
        <is>
          <t>9-Apr-2027 (T-38 weeks)</t>
        </is>
      </c>
      <c r="J129" s="14" t="n"/>
      <c r="K129" s="14" t="inlineStr">
        <is>
          <t>Not started</t>
        </is>
      </c>
      <c r="L129" s="14" t="n"/>
    </row>
    <row r="130">
      <c r="A130" s="14" t="inlineStr">
        <is>
          <t>SCR_CASE_TYPE</t>
        </is>
      </c>
      <c r="B130" s="14" t="inlineStr">
        <is>
          <t>Screening case type</t>
        </is>
      </c>
      <c r="C130" s="14" t="inlineStr">
        <is>
          <t>Sanction Screening</t>
        </is>
      </c>
      <c r="D130" s="14" t="inlineStr">
        <is>
          <t>Drop 1</t>
        </is>
      </c>
      <c r="E130" s="14" t="inlineStr">
        <is>
          <t>Compliance</t>
        </is>
      </c>
      <c r="F130" s="14" t="n">
        <v>6</v>
      </c>
      <c r="G130" s="14" t="inlineStr">
        <is>
          <t>Template</t>
        </is>
      </c>
      <c r="H130" s="14" t="inlineStr">
        <is>
          <t>This workbook, sheet Ref Lists of values</t>
        </is>
      </c>
      <c r="I130" s="14" t="inlineStr">
        <is>
          <t>9-Apr-2027 (T-38 weeks)</t>
        </is>
      </c>
      <c r="J130" s="14" t="n"/>
      <c r="K130" s="14" t="inlineStr">
        <is>
          <t>Not started</t>
        </is>
      </c>
      <c r="L130" s="14" t="n"/>
    </row>
    <row r="131">
      <c r="A131" s="14" t="inlineStr">
        <is>
          <t>SCR_DISPOSITION</t>
        </is>
      </c>
      <c r="B131" s="14" t="inlineStr">
        <is>
          <t>Screening disposition</t>
        </is>
      </c>
      <c r="C131" s="14" t="inlineStr">
        <is>
          <t>Sanction Screening</t>
        </is>
      </c>
      <c r="D131" s="14" t="inlineStr">
        <is>
          <t>Drop 1</t>
        </is>
      </c>
      <c r="E131" s="14" t="inlineStr">
        <is>
          <t>Compliance</t>
        </is>
      </c>
      <c r="F131" s="14" t="n">
        <v>13</v>
      </c>
      <c r="G131" s="14" t="inlineStr">
        <is>
          <t>Template</t>
        </is>
      </c>
      <c r="H131" s="14" t="inlineStr">
        <is>
          <t>This workbook, sheet Ref Lists of values</t>
        </is>
      </c>
      <c r="I131" s="14" t="inlineStr">
        <is>
          <t>9-Apr-2027 (T-38 weeks)</t>
        </is>
      </c>
      <c r="J131" s="14" t="n"/>
      <c r="K131" s="14" t="inlineStr">
        <is>
          <t>Not started</t>
        </is>
      </c>
      <c r="L131" s="14" t="n"/>
    </row>
    <row r="132">
      <c r="A132" s="14" t="inlineStr">
        <is>
          <t>SCR_DOCUMENT_TYPE</t>
        </is>
      </c>
      <c r="B132" s="14" t="inlineStr">
        <is>
          <t>Screening document type</t>
        </is>
      </c>
      <c r="C132" s="14" t="inlineStr">
        <is>
          <t>Sanction Screening</t>
        </is>
      </c>
      <c r="D132" s="14" t="inlineStr">
        <is>
          <t>Drop 1</t>
        </is>
      </c>
      <c r="E132" s="14" t="inlineStr">
        <is>
          <t>Compliance</t>
        </is>
      </c>
      <c r="F132" s="14" t="n">
        <v>6</v>
      </c>
      <c r="G132" s="14" t="inlineStr">
        <is>
          <t>Template</t>
        </is>
      </c>
      <c r="H132" s="14" t="inlineStr">
        <is>
          <t>This workbook, sheet Ref Lists of values</t>
        </is>
      </c>
      <c r="I132" s="14" t="inlineStr">
        <is>
          <t>9-Apr-2027 (T-38 weeks)</t>
        </is>
      </c>
      <c r="J132" s="14" t="n"/>
      <c r="K132" s="14" t="inlineStr">
        <is>
          <t>Not started</t>
        </is>
      </c>
      <c r="L132" s="14" t="n"/>
    </row>
    <row r="133">
      <c r="A133" s="14" t="inlineStr">
        <is>
          <t>SCR_FORM_TYPE</t>
        </is>
      </c>
      <c r="B133" s="14" t="inlineStr">
        <is>
          <t>Screening form type</t>
        </is>
      </c>
      <c r="C133" s="14" t="inlineStr">
        <is>
          <t>Sanction Screening</t>
        </is>
      </c>
      <c r="D133" s="14" t="inlineStr">
        <is>
          <t>Drop 1</t>
        </is>
      </c>
      <c r="E133" s="14" t="inlineStr">
        <is>
          <t>Compliance</t>
        </is>
      </c>
      <c r="F133" s="14" t="n">
        <v>4</v>
      </c>
      <c r="G133" s="14" t="inlineStr">
        <is>
          <t>Template</t>
        </is>
      </c>
      <c r="H133" s="14" t="inlineStr">
        <is>
          <t>This workbook, sheet Ref Lists of values</t>
        </is>
      </c>
      <c r="I133" s="14" t="inlineStr">
        <is>
          <t>9-Apr-2027 (T-38 weeks)</t>
        </is>
      </c>
      <c r="J133" s="14" t="n"/>
      <c r="K133" s="14" t="inlineStr">
        <is>
          <t>Not started</t>
        </is>
      </c>
      <c r="L133" s="14" t="n"/>
    </row>
    <row r="134">
      <c r="A134" s="14" t="inlineStr">
        <is>
          <t>SCR_LIST_TYPE</t>
        </is>
      </c>
      <c r="B134" s="14" t="inlineStr">
        <is>
          <t>Watchlist type</t>
        </is>
      </c>
      <c r="C134" s="14" t="inlineStr">
        <is>
          <t>Sanction Screening</t>
        </is>
      </c>
      <c r="D134" s="14" t="inlineStr">
        <is>
          <t>Drop 1</t>
        </is>
      </c>
      <c r="E134" s="14" t="inlineStr">
        <is>
          <t>Compliance</t>
        </is>
      </c>
      <c r="F134" s="14" t="n">
        <v>4</v>
      </c>
      <c r="G134" s="14" t="inlineStr">
        <is>
          <t>Template</t>
        </is>
      </c>
      <c r="H134" s="14" t="inlineStr">
        <is>
          <t>This workbook, sheet Ref Lists of values</t>
        </is>
      </c>
      <c r="I134" s="14" t="inlineStr">
        <is>
          <t>9-Apr-2027 (T-38 weeks)</t>
        </is>
      </c>
      <c r="J134" s="14" t="n"/>
      <c r="K134" s="14" t="inlineStr">
        <is>
          <t>Not started</t>
        </is>
      </c>
      <c r="L134" s="14" t="n"/>
    </row>
    <row r="135">
      <c r="A135" s="14" t="inlineStr">
        <is>
          <t>SCR_REASSIGN_REASON</t>
        </is>
      </c>
      <c r="B135" s="14" t="inlineStr">
        <is>
          <t>Case re-assignment reason</t>
        </is>
      </c>
      <c r="C135" s="14" t="inlineStr">
        <is>
          <t>Sanction Screening</t>
        </is>
      </c>
      <c r="D135" s="14" t="inlineStr">
        <is>
          <t>Drop 1</t>
        </is>
      </c>
      <c r="E135" s="14" t="inlineStr">
        <is>
          <t>Compliance</t>
        </is>
      </c>
      <c r="F135" s="14" t="n">
        <v>4</v>
      </c>
      <c r="G135" s="14" t="inlineStr">
        <is>
          <t>Template</t>
        </is>
      </c>
      <c r="H135" s="14" t="inlineStr">
        <is>
          <t>This workbook, sheet Ref Lists of values</t>
        </is>
      </c>
      <c r="I135" s="14" t="inlineStr">
        <is>
          <t>9-Apr-2027 (T-38 weeks)</t>
        </is>
      </c>
      <c r="J135" s="14" t="n"/>
      <c r="K135" s="14" t="inlineStr">
        <is>
          <t>Not started</t>
        </is>
      </c>
      <c r="L135" s="14" t="n"/>
    </row>
    <row r="136">
      <c r="A136" s="14" t="inlineStr">
        <is>
          <t>SCR_STR_REASON</t>
        </is>
      </c>
      <c r="B136" s="14" t="inlineStr">
        <is>
          <t>STR reason</t>
        </is>
      </c>
      <c r="C136" s="14" t="inlineStr">
        <is>
          <t>Sanction Screening</t>
        </is>
      </c>
      <c r="D136" s="14" t="inlineStr">
        <is>
          <t>Drop 1</t>
        </is>
      </c>
      <c r="E136" s="14" t="inlineStr">
        <is>
          <t>Compliance</t>
        </is>
      </c>
      <c r="F136" s="14" t="n">
        <v>0</v>
      </c>
      <c r="G136" s="14" t="inlineStr">
        <is>
          <t>Template</t>
        </is>
      </c>
      <c r="H136" s="14" t="inlineStr">
        <is>
          <t>This workbook, sheet Ref Lists of values</t>
        </is>
      </c>
      <c r="I136" s="14" t="inlineStr">
        <is>
          <t>9-Apr-2027 (T-38 weeks)</t>
        </is>
      </c>
      <c r="J136" s="14" t="n"/>
      <c r="K136" s="14" t="inlineStr">
        <is>
          <t>Not started</t>
        </is>
      </c>
      <c r="L136" s="14" t="n"/>
    </row>
    <row r="137">
      <c r="A137" s="14" t="inlineStr">
        <is>
          <t>SERVICE_FEE_SEGMENT</t>
        </is>
      </c>
      <c r="B137" s="14" t="inlineStr">
        <is>
          <t>Service fee segment</t>
        </is>
      </c>
      <c r="C137" s="14" t="inlineStr">
        <is>
          <t>Accounting, Disbursement and ACSL</t>
        </is>
      </c>
      <c r="D137" s="14" t="inlineStr">
        <is>
          <t>Drop 1</t>
        </is>
      </c>
      <c r="E137" s="14" t="inlineStr">
        <is>
          <t>Head, Comptrollership</t>
        </is>
      </c>
      <c r="F137" s="14" t="n">
        <v>3</v>
      </c>
      <c r="G137" s="14" t="inlineStr">
        <is>
          <t>Template</t>
        </is>
      </c>
      <c r="H137" s="14" t="inlineStr">
        <is>
          <t>This workbook, sheet Ref Lists of values</t>
        </is>
      </c>
      <c r="I137" s="14" t="inlineStr">
        <is>
          <t>9-Apr-2027 (T-38 weeks)</t>
        </is>
      </c>
      <c r="J137" s="14" t="n"/>
      <c r="K137" s="14" t="inlineStr">
        <is>
          <t>Not started</t>
        </is>
      </c>
      <c r="L137" s="14" t="n"/>
    </row>
    <row r="138">
      <c r="A138" s="14" t="inlineStr">
        <is>
          <t>SOURCE_CHANNEL</t>
        </is>
      </c>
      <c r="B138" s="14" t="inlineStr">
        <is>
          <t>Source channel</t>
        </is>
      </c>
      <c r="C138" s="14" t="inlineStr">
        <is>
          <t>New Business</t>
        </is>
      </c>
      <c r="D138" s="14" t="inlineStr">
        <is>
          <t>Drop 1</t>
        </is>
      </c>
      <c r="E138" s="14" t="inlineStr">
        <is>
          <t>Product Owner, BDOI (New Business)</t>
        </is>
      </c>
      <c r="F138" s="14" t="n">
        <v>5</v>
      </c>
      <c r="G138" s="14" t="inlineStr">
        <is>
          <t>Migration object</t>
        </is>
      </c>
      <c r="H138" s="14" t="inlineStr">
        <is>
          <t>Migration Workbook, object R01, code map MIS:BUSINESS_ORIGIN</t>
        </is>
      </c>
      <c r="I138" s="14" t="inlineStr">
        <is>
          <t>18-Jun-2027 (T-28 weeks)</t>
        </is>
      </c>
      <c r="J138" s="14" t="n"/>
      <c r="K138" s="14" t="inlineStr">
        <is>
          <t>Not started</t>
        </is>
      </c>
      <c r="L138" s="14" t="n"/>
    </row>
    <row r="139">
      <c r="A139" s="14" t="inlineStr">
        <is>
          <t>SOURCE_OF_FUNDS</t>
        </is>
      </c>
      <c r="B139" s="14" t="inlineStr">
        <is>
          <t>Source of funds</t>
        </is>
      </c>
      <c r="C139" s="14" t="inlineStr">
        <is>
          <t>New Business</t>
        </is>
      </c>
      <c r="D139" s="14" t="inlineStr">
        <is>
          <t>Drop 1</t>
        </is>
      </c>
      <c r="E139" s="14" t="inlineStr">
        <is>
          <t>Product Owner, BDOI (New Business)</t>
        </is>
      </c>
      <c r="F139" s="14" t="n">
        <v>6</v>
      </c>
      <c r="G139" s="14" t="inlineStr">
        <is>
          <t>Migration object</t>
        </is>
      </c>
      <c r="H139" s="14" t="inlineStr">
        <is>
          <t>Migration Workbook, object R01, code map LOV:SOURCE_OF_FUNDS</t>
        </is>
      </c>
      <c r="I139" s="14" t="inlineStr">
        <is>
          <t>18-Jun-2027 (T-28 weeks)</t>
        </is>
      </c>
      <c r="J139" s="14" t="n"/>
      <c r="K139" s="14" t="inlineStr">
        <is>
          <t>Not started</t>
        </is>
      </c>
      <c r="L139" s="14" t="n"/>
    </row>
    <row r="140">
      <c r="A140" s="14" t="inlineStr">
        <is>
          <t>SPECIAL_REMIT_CONDITION</t>
        </is>
      </c>
      <c r="B140" s="14" t="inlineStr">
        <is>
          <t>Special remittance condition</t>
        </is>
      </c>
      <c r="C140" s="14" t="inlineStr">
        <is>
          <t>Operations</t>
        </is>
      </c>
      <c r="D140" s="14" t="inlineStr">
        <is>
          <t>Drop 1</t>
        </is>
      </c>
      <c r="E140" s="14" t="inlineStr">
        <is>
          <t>Head, Operations Services</t>
        </is>
      </c>
      <c r="F140" s="14" t="n">
        <v>4</v>
      </c>
      <c r="G140" s="14" t="inlineStr">
        <is>
          <t>Template</t>
        </is>
      </c>
      <c r="H140" s="14" t="inlineStr">
        <is>
          <t>This workbook, sheet Ref Lists of values</t>
        </is>
      </c>
      <c r="I140" s="14" t="inlineStr">
        <is>
          <t>9-Apr-2027 (T-38 weeks)</t>
        </is>
      </c>
      <c r="J140" s="14" t="n"/>
      <c r="K140" s="14" t="inlineStr">
        <is>
          <t>Not started</t>
        </is>
      </c>
      <c r="L140" s="14" t="n"/>
    </row>
    <row r="141">
      <c r="A141" s="14" t="inlineStr">
        <is>
          <t>UAM_BUSINESS_UNIT</t>
        </is>
      </c>
      <c r="B141" s="14" t="inlineStr">
        <is>
          <t>Business unit group</t>
        </is>
      </c>
      <c r="C141" s="14" t="inlineStr">
        <is>
          <t>User Access Maintenance</t>
        </is>
      </c>
      <c r="D141" s="14" t="inlineStr">
        <is>
          <t>Drop 0</t>
        </is>
      </c>
      <c r="E141" s="14" t="inlineStr">
        <is>
          <t>Business Administration (User Access)</t>
        </is>
      </c>
      <c r="F141" s="14" t="n">
        <v>0</v>
      </c>
      <c r="G141" s="14" t="inlineStr">
        <is>
          <t>Template</t>
        </is>
      </c>
      <c r="H141" s="14" t="inlineStr">
        <is>
          <t>BRD-11 template CI-06, sheet UA-06 Lists of values</t>
        </is>
      </c>
      <c r="I141" s="14" t="inlineStr">
        <is>
          <t>9-Apr-2027 (T-38 weeks)</t>
        </is>
      </c>
      <c r="J141" s="14" t="n"/>
      <c r="K141" s="14" t="inlineStr">
        <is>
          <t>Not started</t>
        </is>
      </c>
      <c r="L141" s="14" t="n"/>
    </row>
    <row r="142">
      <c r="A142" s="14" t="inlineStr">
        <is>
          <t>UAM_DEACTIVATION_REASON</t>
        </is>
      </c>
      <c r="B142" s="14" t="inlineStr">
        <is>
          <t>User deactivation reason</t>
        </is>
      </c>
      <c r="C142" s="14" t="inlineStr">
        <is>
          <t>User Access Maintenance</t>
        </is>
      </c>
      <c r="D142" s="14" t="inlineStr">
        <is>
          <t>Drop 0</t>
        </is>
      </c>
      <c r="E142" s="14" t="inlineStr">
        <is>
          <t>Business Administration (User Access)</t>
        </is>
      </c>
      <c r="F142" s="14" t="n">
        <v>6</v>
      </c>
      <c r="G142" s="14" t="inlineStr">
        <is>
          <t>Template</t>
        </is>
      </c>
      <c r="H142" s="14" t="inlineStr">
        <is>
          <t>BRD-11 template CI-06, sheet UA-06 Lists of values</t>
        </is>
      </c>
      <c r="I142" s="14" t="inlineStr">
        <is>
          <t>9-Apr-2027 (T-38 weeks)</t>
        </is>
      </c>
      <c r="J142" s="14" t="n"/>
      <c r="K142" s="14" t="inlineStr">
        <is>
          <t>Not started</t>
        </is>
      </c>
      <c r="L142" s="14" t="n"/>
    </row>
    <row r="143">
      <c r="A143" s="14" t="inlineStr">
        <is>
          <t>UAM_USER_LEVEL</t>
        </is>
      </c>
      <c r="B143" s="14" t="inlineStr">
        <is>
          <t>User level</t>
        </is>
      </c>
      <c r="C143" s="14" t="inlineStr">
        <is>
          <t>User Access Maintenance</t>
        </is>
      </c>
      <c r="D143" s="14" t="inlineStr">
        <is>
          <t>Drop 0</t>
        </is>
      </c>
      <c r="E143" s="14" t="inlineStr">
        <is>
          <t>Business Administration (User Access)</t>
        </is>
      </c>
      <c r="F143" s="14" t="n">
        <v>3</v>
      </c>
      <c r="G143" s="14" t="inlineStr">
        <is>
          <t>Template</t>
        </is>
      </c>
      <c r="H143" s="14" t="inlineStr">
        <is>
          <t>BRD-11 template CI-06, sheet UA-06 Lists of values</t>
        </is>
      </c>
      <c r="I143" s="14" t="inlineStr">
        <is>
          <t>9-Apr-2027 (T-38 weeks)</t>
        </is>
      </c>
      <c r="J143" s="14" t="n"/>
      <c r="K143" s="14" t="inlineStr">
        <is>
          <t>Not started</t>
        </is>
      </c>
      <c r="L143" s="14" t="n"/>
    </row>
    <row r="144">
      <c r="A144" s="14" t="inlineStr">
        <is>
          <t>VEHICLE_BODY_TYPE</t>
        </is>
      </c>
      <c r="B144" s="14" t="inlineStr">
        <is>
          <t>Vehicle body type</t>
        </is>
      </c>
      <c r="C144" s="14" t="inlineStr">
        <is>
          <t>New Business</t>
        </is>
      </c>
      <c r="D144" s="14" t="inlineStr">
        <is>
          <t>Drop 1</t>
        </is>
      </c>
      <c r="E144" s="14" t="inlineStr">
        <is>
          <t>Product Owner, BDOI (New Business)</t>
        </is>
      </c>
      <c r="F144" s="14" t="n">
        <v>7</v>
      </c>
      <c r="G144" s="14" t="inlineStr">
        <is>
          <t>Template</t>
        </is>
      </c>
      <c r="H144" s="14" t="inlineStr">
        <is>
          <t>This workbook, sheet Ref Lists of values</t>
        </is>
      </c>
      <c r="I144" s="14" t="inlineStr">
        <is>
          <t>9-Apr-2027 (T-38 weeks)</t>
        </is>
      </c>
      <c r="J144" s="14" t="n"/>
      <c r="K144" s="14" t="inlineStr">
        <is>
          <t>Not started</t>
        </is>
      </c>
      <c r="L144" s="14" t="n"/>
    </row>
    <row r="145">
      <c r="A145" s="14" t="inlineStr">
        <is>
          <t>VOID_REASON</t>
        </is>
      </c>
      <c r="B145" s="14" t="inlineStr">
        <is>
          <t>Void reason</t>
        </is>
      </c>
      <c r="C145" s="14" t="inlineStr">
        <is>
          <t>Operations</t>
        </is>
      </c>
      <c r="D145" s="14" t="inlineStr">
        <is>
          <t>Drop 1</t>
        </is>
      </c>
      <c r="E145" s="14" t="inlineStr">
        <is>
          <t>Head, Operations Services</t>
        </is>
      </c>
      <c r="F145" s="14" t="n">
        <v>4</v>
      </c>
      <c r="G145" s="14" t="inlineStr">
        <is>
          <t>Template</t>
        </is>
      </c>
      <c r="H145" s="14" t="inlineStr">
        <is>
          <t>This workbook, sheet Ref Lists of values</t>
        </is>
      </c>
      <c r="I145" s="14" t="inlineStr">
        <is>
          <t>9-Apr-2027 (T-38 weeks)</t>
        </is>
      </c>
      <c r="J145" s="14" t="n"/>
      <c r="K145" s="14" t="inlineStr">
        <is>
          <t>Not started</t>
        </is>
      </c>
      <c r="L145" s="14" t="n"/>
    </row>
  </sheetData>
  <autoFilter ref="A4:L145"/>
  <conditionalFormatting sqref="K5:K145">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L145">
    <cfRule type="expression" priority="6" dxfId="7">
      <formula>AND(MOD(ROW(),2)=0,$A5&lt;&gt;"")</formula>
    </cfRule>
  </conditionalFormatting>
  <dataValidations count="2">
    <dataValidation sqref="G5:G145" showDropDown="0" showInputMessage="1" showErrorMessage="1" allowBlank="1" errorTitle="Route" error="Choose a value of the list Route (sheet Reference lists)." promptTitle="Route" prompt="Template or Migration object" type="list" errorStyle="stop">
      <formula1>=LIST_ROUTE</formula1>
    </dataValidation>
    <dataValidation sqref="K5:K145"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Q359"/>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20" customWidth="1" min="3" max="3"/>
    <col width="8" customWidth="1" min="4" max="4"/>
    <col width="28" customWidth="1" min="5" max="5"/>
    <col width="60" customWidth="1" min="6" max="6"/>
    <col width="12" customWidth="1" min="7" max="7"/>
    <col width="22" customWidth="1" min="8" max="8"/>
    <col width="12" customWidth="1" min="9" max="9"/>
    <col width="12" customWidth="1" min="10" max="10"/>
    <col width="34" customWidth="1" min="11" max="11"/>
    <col width="22" customWidth="1" min="12" max="12"/>
    <col width="22" customWidth="1" min="13" max="13"/>
    <col width="30" customWidth="1" min="14" max="14"/>
    <col width="20" customWidth="1" min="15" max="15"/>
    <col width="14" customWidth="1" min="16" max="16"/>
    <col width="36" customWidth="1" min="17" max="17"/>
  </cols>
  <sheetData>
    <row r="1" ht="26" customHeight="1">
      <c r="A1" s="27" t="inlineStr">
        <is>
          <t>Reference: System parameters</t>
        </is>
      </c>
    </row>
    <row r="2">
      <c r="A2" s="29" t="inlineStr">
        <is>
          <t>← Back to Start here</t>
        </is>
      </c>
      <c r="B2" s="56" t="inlineStr">
        <is>
          <t>Every system parameter with the value proposed and the value BDOI wants</t>
        </is>
      </c>
    </row>
    <row r="4" ht="30" customHeight="1">
      <c r="A4" s="11" t="inlineStr">
        <is>
          <t>Parameter</t>
        </is>
      </c>
      <c r="B4" s="11" t="inlineStr">
        <is>
          <t>Group</t>
        </is>
      </c>
      <c r="C4" s="11" t="inlineStr">
        <is>
          <t>Module</t>
        </is>
      </c>
      <c r="D4" s="11" t="inlineStr">
        <is>
          <t>Drop</t>
        </is>
      </c>
      <c r="E4" s="11" t="inlineStr">
        <is>
          <t>Owner (BDOI unit)</t>
        </is>
      </c>
      <c r="F4" s="11" t="inlineStr">
        <is>
          <t>What it controls</t>
        </is>
      </c>
      <c r="G4" s="11" t="inlineStr">
        <is>
          <t>Type</t>
        </is>
      </c>
      <c r="H4" s="11" t="inlineStr">
        <is>
          <t>Value proposed</t>
        </is>
      </c>
      <c r="I4" s="11" t="inlineStr">
        <is>
          <t>Allowed range</t>
        </is>
      </c>
      <c r="J4" s="11" t="inlineStr">
        <is>
          <t>Route</t>
        </is>
      </c>
      <c r="K4" s="11" t="inlineStr">
        <is>
          <t>Prepared in</t>
        </is>
      </c>
      <c r="L4" s="11" t="inlineStr">
        <is>
          <t>Due</t>
        </is>
      </c>
      <c r="M4" s="11" t="inlineStr">
        <is>
          <t>Value wanted</t>
        </is>
      </c>
      <c r="N4" s="11" t="inlineStr">
        <is>
          <t>Reason</t>
        </is>
      </c>
      <c r="O4" s="11" t="inlineStr">
        <is>
          <t>Approved by</t>
        </is>
      </c>
      <c r="P4" s="11" t="inlineStr">
        <is>
          <t>Status</t>
        </is>
      </c>
      <c r="Q4" s="11" t="inlineStr">
        <is>
          <t>BDOI comments</t>
        </is>
      </c>
    </row>
    <row r="5">
      <c r="A5" s="14" t="inlineStr">
        <is>
          <t>BROKING_CLOSE_TIME</t>
        </is>
      </c>
      <c r="B5" s="14" t="inlineStr">
        <is>
          <t>Accounting</t>
        </is>
      </c>
      <c r="C5" s="14" t="inlineStr">
        <is>
          <t>Accounting, Disbursement and ACSL</t>
        </is>
      </c>
      <c r="D5" s="14" t="inlineStr">
        <is>
          <t>Drop 1</t>
        </is>
      </c>
      <c r="E5" s="14" t="inlineStr">
        <is>
          <t>Head, Comptrollership</t>
        </is>
      </c>
      <c r="F5" s="14" t="inlineStr">
        <is>
          <t>Time (PHT, HH:MM) at which the broking books are closed on the last day of the month</t>
        </is>
      </c>
      <c r="G5" s="14" t="inlineStr">
        <is>
          <t>string</t>
        </is>
      </c>
      <c r="H5" s="14" t="inlineStr">
        <is>
          <t>23:00</t>
        </is>
      </c>
      <c r="I5" s="14" t="inlineStr"/>
      <c r="J5" s="14" t="inlineStr">
        <is>
          <t>Template</t>
        </is>
      </c>
      <c r="K5" s="14" t="inlineStr">
        <is>
          <t>This workbook, sheet Ref System parameters</t>
        </is>
      </c>
      <c r="L5" s="14" t="inlineStr">
        <is>
          <t>16-Jul-2027 (T-24 weeks)</t>
        </is>
      </c>
      <c r="M5" s="14" t="n"/>
      <c r="N5" s="14" t="n"/>
      <c r="O5" s="14" t="n"/>
      <c r="P5" s="14" t="inlineStr">
        <is>
          <t>Not started</t>
        </is>
      </c>
      <c r="Q5" s="14" t="n"/>
    </row>
    <row r="6">
      <c r="A6" s="14" t="inlineStr">
        <is>
          <t>BROKING_SOURCE_MODULES</t>
        </is>
      </c>
      <c r="B6" s="14" t="inlineStr">
        <is>
          <t>Accounting</t>
        </is>
      </c>
      <c r="C6" s="14" t="inlineStr">
        <is>
          <t>Accounting, Disbursement and ACSL</t>
        </is>
      </c>
      <c r="D6" s="14" t="inlineStr">
        <is>
          <t>Drop 1</t>
        </is>
      </c>
      <c r="E6" s="14" t="inlineStr">
        <is>
          <t>Head, Comptrollership</t>
        </is>
      </c>
      <c r="F6" s="14" t="inlineStr">
        <is>
          <t>Source modules of the broking books: their postings are refused once the BROKING books of the period are closed</t>
        </is>
      </c>
      <c r="G6" s="14" t="inlineStr">
        <is>
          <t>code list</t>
        </is>
      </c>
      <c r="H6" s="14" t="inlineStr">
        <is>
          <t>BOOKING,OPSLEDGER,CASHIERING,REMITTANCE,ADJUSTMENT,COMMISSION,PRODRECON,DISBURSEMENT</t>
        </is>
      </c>
      <c r="I6" s="14" t="inlineStr"/>
      <c r="J6" s="14" t="inlineStr">
        <is>
          <t>Template</t>
        </is>
      </c>
      <c r="K6" s="14" t="inlineStr">
        <is>
          <t>This workbook, sheet Ref System parameters</t>
        </is>
      </c>
      <c r="L6" s="14" t="inlineStr">
        <is>
          <t>16-Jul-2027 (T-24 weeks)</t>
        </is>
      </c>
      <c r="M6" s="14" t="n"/>
      <c r="N6" s="14" t="n"/>
      <c r="O6" s="14" t="n"/>
      <c r="P6" s="14" t="inlineStr">
        <is>
          <t>Not started</t>
        </is>
      </c>
      <c r="Q6" s="14" t="n"/>
    </row>
    <row r="7">
      <c r="A7" s="14" t="inlineStr">
        <is>
          <t>CLOSE_ONLY_PREVIOUS_MONTH</t>
        </is>
      </c>
      <c r="B7" s="14" t="inlineStr">
        <is>
          <t>Accounting</t>
        </is>
      </c>
      <c r="C7" s="14" t="inlineStr">
        <is>
          <t>Accounting, Disbursement and ACSL</t>
        </is>
      </c>
      <c r="D7" s="14" t="inlineStr">
        <is>
          <t>Drop 1</t>
        </is>
      </c>
      <c r="E7" s="14" t="inlineStr">
        <is>
          <t>Head, Comptrollership</t>
        </is>
      </c>
      <c r="F7" s="14" t="inlineStr">
        <is>
          <t>Month-end close only for the previous month and year</t>
        </is>
      </c>
      <c r="G7" s="14" t="inlineStr">
        <is>
          <t>boolean</t>
        </is>
      </c>
      <c r="H7" s="14" t="inlineStr">
        <is>
          <t>true</t>
        </is>
      </c>
      <c r="I7" s="14" t="inlineStr"/>
      <c r="J7" s="14" t="inlineStr">
        <is>
          <t>Template</t>
        </is>
      </c>
      <c r="K7" s="14" t="inlineStr">
        <is>
          <t>This workbook, sheet Ref System parameters</t>
        </is>
      </c>
      <c r="L7" s="14" t="inlineStr">
        <is>
          <t>16-Jul-2027 (T-24 weeks)</t>
        </is>
      </c>
      <c r="M7" s="14" t="n"/>
      <c r="N7" s="14" t="n"/>
      <c r="O7" s="14" t="n"/>
      <c r="P7" s="14" t="inlineStr">
        <is>
          <t>Not started</t>
        </is>
      </c>
      <c r="Q7" s="14" t="n"/>
    </row>
    <row r="8">
      <c r="A8" s="14" t="inlineStr">
        <is>
          <t>EWT_RATE_TOLERANCE</t>
        </is>
      </c>
      <c r="B8" s="14" t="inlineStr">
        <is>
          <t>Accounting</t>
        </is>
      </c>
      <c r="C8" s="14" t="inlineStr">
        <is>
          <t>Accounting, Disbursement and ACSL</t>
        </is>
      </c>
      <c r="D8" s="14" t="inlineStr">
        <is>
          <t>Drop 1</t>
        </is>
      </c>
      <c r="E8" s="14" t="inlineStr">
        <is>
          <t>Head, Comptrollership</t>
        </is>
      </c>
      <c r="F8" s="14" t="inlineStr">
        <is>
          <t>Largest difference in percentage points between the withholding rate of a document and the rate of the ATC before the EWT worksheet flags it</t>
        </is>
      </c>
      <c r="G8" s="14" t="inlineStr">
        <is>
          <t>decimal</t>
        </is>
      </c>
      <c r="H8" s="14" t="inlineStr">
        <is>
          <t>0.05</t>
        </is>
      </c>
      <c r="I8" s="14" t="inlineStr"/>
      <c r="J8" s="14" t="inlineStr">
        <is>
          <t>Template</t>
        </is>
      </c>
      <c r="K8" s="14" t="inlineStr">
        <is>
          <t>This workbook, sheet Ref System parameters</t>
        </is>
      </c>
      <c r="L8" s="14" t="inlineStr">
        <is>
          <t>16-Jul-2027 (T-24 weeks)</t>
        </is>
      </c>
      <c r="M8" s="14" t="n"/>
      <c r="N8" s="14" t="n"/>
      <c r="O8" s="14" t="n"/>
      <c r="P8" s="14" t="inlineStr">
        <is>
          <t>Not started</t>
        </is>
      </c>
      <c r="Q8" s="14" t="n"/>
    </row>
    <row r="9">
      <c r="A9" s="14" t="inlineStr">
        <is>
          <t>OPS_BOOK_RATE_SOURCE</t>
        </is>
      </c>
      <c r="B9" s="14" t="inlineStr">
        <is>
          <t>Accounting</t>
        </is>
      </c>
      <c r="C9" s="14" t="inlineStr">
        <is>
          <t>Accounting, Disbursement and ACSL</t>
        </is>
      </c>
      <c r="D9" s="14" t="inlineStr">
        <is>
          <t>Drop 1</t>
        </is>
      </c>
      <c r="E9" s="14" t="inlineStr">
        <is>
          <t>Head, Comptrollership</t>
        </is>
      </c>
      <c r="F9" s="14" t="inlineStr">
        <is>
          <t>Source of the Operations BOOK rate: CLOSING_PREV_MONTH copies the revaluation rate of the previous month end, MANUAL keeps it by hand</t>
        </is>
      </c>
      <c r="G9" s="14" t="inlineStr">
        <is>
          <t>string</t>
        </is>
      </c>
      <c r="H9" s="14" t="inlineStr">
        <is>
          <t>CLOSING_PREV_MONTH</t>
        </is>
      </c>
      <c r="I9" s="14" t="inlineStr"/>
      <c r="J9" s="14" t="inlineStr">
        <is>
          <t>Template</t>
        </is>
      </c>
      <c r="K9" s="14" t="inlineStr">
        <is>
          <t>This workbook, sheet Ref System parameters</t>
        </is>
      </c>
      <c r="L9" s="14" t="inlineStr">
        <is>
          <t>16-Jul-2027 (T-24 weeks)</t>
        </is>
      </c>
      <c r="M9" s="14" t="n"/>
      <c r="N9" s="14" t="n"/>
      <c r="O9" s="14" t="n"/>
      <c r="P9" s="14" t="inlineStr">
        <is>
          <t>Not started</t>
        </is>
      </c>
      <c r="Q9" s="14" t="n"/>
    </row>
    <row r="10">
      <c r="A10" s="14" t="inlineStr">
        <is>
          <t>YEAR_END_CLOSE_DEADLINE</t>
        </is>
      </c>
      <c r="B10" s="14" t="inlineStr">
        <is>
          <t>Accounting</t>
        </is>
      </c>
      <c r="C10" s="14" t="inlineStr">
        <is>
          <t>Accounting, Disbursement and ACSL</t>
        </is>
      </c>
      <c r="D10" s="14" t="inlineStr">
        <is>
          <t>Drop 1</t>
        </is>
      </c>
      <c r="E10" s="14" t="inlineStr">
        <is>
          <t>Head, Comptrollership</t>
        </is>
      </c>
      <c r="F10" s="14" t="inlineStr">
        <is>
          <t>Month and day (MM-DD) by which the previous year must be closed; YEAR_END_CLOSE_DUE is raised before</t>
        </is>
      </c>
      <c r="G10" s="14" t="inlineStr">
        <is>
          <t>string</t>
        </is>
      </c>
      <c r="H10" s="14" t="inlineStr">
        <is>
          <t>04-15</t>
        </is>
      </c>
      <c r="I10" s="14" t="inlineStr"/>
      <c r="J10" s="14" t="inlineStr">
        <is>
          <t>Template</t>
        </is>
      </c>
      <c r="K10" s="14" t="inlineStr">
        <is>
          <t>This workbook, sheet Ref System parameters</t>
        </is>
      </c>
      <c r="L10" s="14" t="inlineStr">
        <is>
          <t>16-Jul-2027 (T-24 weeks)</t>
        </is>
      </c>
      <c r="M10" s="14" t="n"/>
      <c r="N10" s="14" t="n"/>
      <c r="O10" s="14" t="n"/>
      <c r="P10" s="14" t="inlineStr">
        <is>
          <t>Not started</t>
        </is>
      </c>
      <c r="Q10" s="14" t="n"/>
    </row>
    <row r="11">
      <c r="A11" s="14" t="inlineStr">
        <is>
          <t>ACSL_SOA_MAX_ROWS</t>
        </is>
      </c>
      <c r="B11" s="14" t="inlineStr">
        <is>
          <t>Acsl</t>
        </is>
      </c>
      <c r="C11" s="14" t="inlineStr">
        <is>
          <t>Accounting, Disbursement and ACSL</t>
        </is>
      </c>
      <c r="D11" s="14" t="inlineStr">
        <is>
          <t>Drop 1</t>
        </is>
      </c>
      <c r="E11" s="14" t="inlineStr">
        <is>
          <t>Head, Comptrollership</t>
        </is>
      </c>
      <c r="F11" s="14" t="inlineStr">
        <is>
          <t>Largest number of rows of one insurer statement of account upload</t>
        </is>
      </c>
      <c r="G11" s="14" t="inlineStr">
        <is>
          <t>integer</t>
        </is>
      </c>
      <c r="H11" s="14" t="inlineStr">
        <is>
          <t>20000</t>
        </is>
      </c>
      <c r="I11" s="14" t="inlineStr">
        <is>
          <t>1 to 200000</t>
        </is>
      </c>
      <c r="J11" s="14" t="inlineStr">
        <is>
          <t>Template</t>
        </is>
      </c>
      <c r="K11" s="14" t="inlineStr">
        <is>
          <t>This workbook, sheet Ref System parameters</t>
        </is>
      </c>
      <c r="L11" s="14" t="inlineStr">
        <is>
          <t>16-Jul-2027 (T-24 weeks)</t>
        </is>
      </c>
      <c r="M11" s="14" t="n"/>
      <c r="N11" s="14" t="n"/>
      <c r="O11" s="14" t="n"/>
      <c r="P11" s="14" t="inlineStr">
        <is>
          <t>Not started</t>
        </is>
      </c>
      <c r="Q11" s="14" t="n"/>
    </row>
    <row r="12">
      <c r="A12" s="14" t="inlineStr">
        <is>
          <t>BOOKING_BILLING_NO_LINES</t>
        </is>
      </c>
      <c r="B12" s="14" t="inlineStr">
        <is>
          <t>Booking</t>
        </is>
      </c>
      <c r="C12" s="14" t="inlineStr">
        <is>
          <t>New Business</t>
        </is>
      </c>
      <c r="D12" s="14" t="inlineStr">
        <is>
          <t>Drop 1</t>
        </is>
      </c>
      <c r="E12" s="14" t="inlineStr">
        <is>
          <t>Product Owner, BDOI (New Business)</t>
        </is>
      </c>
      <c r="F12" s="14" t="inlineStr">
        <is>
          <t>Product lines whose bookings need the insurer billing number, unique per insurer</t>
        </is>
      </c>
      <c r="G12" s="14" t="inlineStr">
        <is>
          <t>code list</t>
        </is>
      </c>
      <c r="H12" s="14" t="inlineStr">
        <is>
          <t>HMO,GLI,GPA</t>
        </is>
      </c>
      <c r="I12" s="14" t="inlineStr"/>
      <c r="J12" s="14" t="inlineStr">
        <is>
          <t>Template</t>
        </is>
      </c>
      <c r="K12" s="14" t="inlineStr">
        <is>
          <t>This workbook, sheet Ref System parameters</t>
        </is>
      </c>
      <c r="L12" s="14" t="inlineStr">
        <is>
          <t>16-Jul-2027 (T-24 weeks)</t>
        </is>
      </c>
      <c r="M12" s="14" t="n"/>
      <c r="N12" s="14" t="n"/>
      <c r="O12" s="14" t="n"/>
      <c r="P12" s="14" t="inlineStr">
        <is>
          <t>Not started</t>
        </is>
      </c>
      <c r="Q12" s="14" t="n"/>
    </row>
    <row r="13">
      <c r="A13" s="14" t="inlineStr">
        <is>
          <t>BOOKING_CWT2_SEGMENTS</t>
        </is>
      </c>
      <c r="B13" s="14" t="inlineStr">
        <is>
          <t>Booking</t>
        </is>
      </c>
      <c r="C13" s="14" t="inlineStr">
        <is>
          <t>New Business</t>
        </is>
      </c>
      <c r="D13" s="14" t="inlineStr">
        <is>
          <t>Drop 1</t>
        </is>
      </c>
      <c r="E13" s="14" t="inlineStr">
        <is>
          <t>Product Owner, BDOI (New Business)</t>
        </is>
      </c>
      <c r="F13" s="14" t="inlineStr">
        <is>
          <t>Market segments whose corporate clients withhold 2% creditable tax on premium</t>
        </is>
      </c>
      <c r="G13" s="14" t="inlineStr">
        <is>
          <t>code list</t>
        </is>
      </c>
      <c r="H13" s="14" t="inlineStr">
        <is>
          <t>(blank)</t>
        </is>
      </c>
      <c r="I13" s="14" t="inlineStr"/>
      <c r="J13" s="14" t="inlineStr">
        <is>
          <t>Template</t>
        </is>
      </c>
      <c r="K13" s="14" t="inlineStr">
        <is>
          <t>This workbook, sheet Ref System parameters</t>
        </is>
      </c>
      <c r="L13" s="14" t="inlineStr">
        <is>
          <t>16-Jul-2027 (T-24 weeks)</t>
        </is>
      </c>
      <c r="M13" s="14" t="n"/>
      <c r="N13" s="14" t="n"/>
      <c r="O13" s="14" t="n"/>
      <c r="P13" s="14" t="inlineStr">
        <is>
          <t>Not started</t>
        </is>
      </c>
      <c r="Q13" s="14" t="n"/>
    </row>
    <row r="14">
      <c r="A14" s="14" t="inlineStr">
        <is>
          <t>BOOKING_WTAX_RATE</t>
        </is>
      </c>
      <c r="B14" s="14" t="inlineStr">
        <is>
          <t>Booking</t>
        </is>
      </c>
      <c r="C14" s="14" t="inlineStr">
        <is>
          <t>New Business</t>
        </is>
      </c>
      <c r="D14" s="14" t="inlineStr">
        <is>
          <t>Drop 1</t>
        </is>
      </c>
      <c r="E14" s="14" t="inlineStr">
        <is>
          <t>Product Owner, BDOI (New Business)</t>
        </is>
      </c>
      <c r="F14" s="14" t="inlineStr">
        <is>
          <t>Withholding tax rate (percent) the insurer withholds on the broker commission, printed on the booked invoice and service invoice</t>
        </is>
      </c>
      <c r="G14" s="14" t="inlineStr">
        <is>
          <t>decimal</t>
        </is>
      </c>
      <c r="H14" s="14" t="inlineStr">
        <is>
          <t>10</t>
        </is>
      </c>
      <c r="I14" s="14" t="inlineStr">
        <is>
          <t>0 to 100</t>
        </is>
      </c>
      <c r="J14" s="14" t="inlineStr">
        <is>
          <t>Template</t>
        </is>
      </c>
      <c r="K14" s="14" t="inlineStr">
        <is>
          <t>This workbook, sheet Ref System parameters</t>
        </is>
      </c>
      <c r="L14" s="14" t="inlineStr">
        <is>
          <t>16-Jul-2027 (T-24 weeks)</t>
        </is>
      </c>
      <c r="M14" s="14" t="n"/>
      <c r="N14" s="14" t="n"/>
      <c r="O14" s="14" t="n"/>
      <c r="P14" s="14" t="inlineStr">
        <is>
          <t>Not started</t>
        </is>
      </c>
      <c r="Q14" s="14" t="n"/>
    </row>
    <row r="15">
      <c r="A15" s="14" t="inlineStr">
        <is>
          <t>OPS_COMMISSION_REALIZATION</t>
        </is>
      </c>
      <c r="B15" s="14" t="inlineStr">
        <is>
          <t>Booking</t>
        </is>
      </c>
      <c r="C15" s="14" t="inlineStr">
        <is>
          <t>New Business</t>
        </is>
      </c>
      <c r="D15" s="14" t="inlineStr">
        <is>
          <t>Drop 1</t>
        </is>
      </c>
      <c r="E15" s="14" t="inlineStr">
        <is>
          <t>Product Owner, BDOI (New Business)</t>
        </is>
      </c>
      <c r="F15" s="14" t="inlineStr">
        <is>
          <t>When broker commission is realized: ON_COLLECTION (unrealized at booking, realized when premium is applied) or ON_BOOKING (commission income and output VAT at booking)</t>
        </is>
      </c>
      <c r="G15" s="14" t="inlineStr">
        <is>
          <t>string</t>
        </is>
      </c>
      <c r="H15" s="14" t="inlineStr">
        <is>
          <t>ON_COLLECTION</t>
        </is>
      </c>
      <c r="I15" s="14" t="inlineStr"/>
      <c r="J15" s="14" t="inlineStr">
        <is>
          <t>Template</t>
        </is>
      </c>
      <c r="K15" s="14" t="inlineStr">
        <is>
          <t>This workbook, sheet Ref System parameters</t>
        </is>
      </c>
      <c r="L15" s="14" t="inlineStr">
        <is>
          <t>16-Jul-2027 (T-24 weeks)</t>
        </is>
      </c>
      <c r="M15" s="14" t="n"/>
      <c r="N15" s="14" t="n"/>
      <c r="O15" s="14" t="n"/>
      <c r="P15" s="14" t="inlineStr">
        <is>
          <t>Not started</t>
        </is>
      </c>
      <c r="Q15" s="14" t="n"/>
    </row>
    <row r="16">
      <c r="A16" s="14" t="inlineStr">
        <is>
          <t>SERVICE_INVOICE_CREDIT_DAYS</t>
        </is>
      </c>
      <c r="B16" s="14" t="inlineStr">
        <is>
          <t>Booking</t>
        </is>
      </c>
      <c r="C16" s="14" t="inlineStr">
        <is>
          <t>New Business</t>
        </is>
      </c>
      <c r="D16" s="14" t="inlineStr">
        <is>
          <t>Drop 1</t>
        </is>
      </c>
      <c r="E16" s="14" t="inlineStr">
        <is>
          <t>Product Owner, BDOI (New Business)</t>
        </is>
      </c>
      <c r="F16" s="14" t="inlineStr">
        <is>
          <t>Credit days printed on a service invoice (payment terms merged into its template)</t>
        </is>
      </c>
      <c r="G16" s="14" t="inlineStr">
        <is>
          <t>integer</t>
        </is>
      </c>
      <c r="H16" s="14" t="inlineStr">
        <is>
          <t>30</t>
        </is>
      </c>
      <c r="I16" s="14" t="inlineStr">
        <is>
          <t>0 to 365</t>
        </is>
      </c>
      <c r="J16" s="14" t="inlineStr">
        <is>
          <t>Template</t>
        </is>
      </c>
      <c r="K16" s="14" t="inlineStr">
        <is>
          <t>This workbook, sheet Ref System parameters</t>
        </is>
      </c>
      <c r="L16" s="14" t="inlineStr">
        <is>
          <t>16-Jul-2027 (T-24 weeks)</t>
        </is>
      </c>
      <c r="M16" s="14" t="n"/>
      <c r="N16" s="14" t="n"/>
      <c r="O16" s="14" t="n"/>
      <c r="P16" s="14" t="inlineStr">
        <is>
          <t>Not started</t>
        </is>
      </c>
      <c r="Q16" s="14" t="n"/>
    </row>
    <row r="17">
      <c r="A17" s="14" t="inlineStr">
        <is>
          <t>CLIENT_CREDIT_DAYS</t>
        </is>
      </c>
      <c r="B17" s="14" t="inlineStr">
        <is>
          <t>Broking</t>
        </is>
      </c>
      <c r="C17" s="14" t="inlineStr">
        <is>
          <t>New Business</t>
        </is>
      </c>
      <c r="D17" s="14" t="inlineStr">
        <is>
          <t>Drop 1</t>
        </is>
      </c>
      <c r="E17" s="14" t="inlineStr">
        <is>
          <t>Product Owner, BDOI (New Business)</t>
        </is>
      </c>
      <c r="F17" s="14" t="inlineStr">
        <is>
          <t>Credit days of the accounting party created for a client</t>
        </is>
      </c>
      <c r="G17" s="14" t="inlineStr">
        <is>
          <t>integer</t>
        </is>
      </c>
      <c r="H17" s="14" t="inlineStr">
        <is>
          <t>30</t>
        </is>
      </c>
      <c r="I17" s="14" t="inlineStr">
        <is>
          <t>0 to 365</t>
        </is>
      </c>
      <c r="J17" s="14" t="inlineStr">
        <is>
          <t>Template</t>
        </is>
      </c>
      <c r="K17" s="14" t="inlineStr">
        <is>
          <t>This workbook, sheet Ref System parameters</t>
        </is>
      </c>
      <c r="L17" s="14" t="inlineStr">
        <is>
          <t>16-Jul-2027 (T-24 weeks)</t>
        </is>
      </c>
      <c r="M17" s="14" t="n"/>
      <c r="N17" s="14" t="n"/>
      <c r="O17" s="14" t="n"/>
      <c r="P17" s="14" t="inlineStr">
        <is>
          <t>Not started</t>
        </is>
      </c>
      <c r="Q17" s="14" t="n"/>
    </row>
    <row r="18">
      <c r="A18" s="14" t="inlineStr">
        <is>
          <t>PROPOSAL_NUMBER_PREFIX</t>
        </is>
      </c>
      <c r="B18" s="14" t="inlineStr">
        <is>
          <t>Broking</t>
        </is>
      </c>
      <c r="C18" s="14" t="inlineStr">
        <is>
          <t>New Business</t>
        </is>
      </c>
      <c r="D18" s="14" t="inlineStr">
        <is>
          <t>Drop 1</t>
        </is>
      </c>
      <c r="E18" s="14" t="inlineStr">
        <is>
          <t>Product Owner, BDOI (New Business)</t>
        </is>
      </c>
      <c r="F18" s="14" t="inlineStr">
        <is>
          <t>Prefix of the PRF marketing reference (&lt;prefix&gt;-&lt;yyyy&gt;-nnnnnn)</t>
        </is>
      </c>
      <c r="G18" s="14" t="inlineStr">
        <is>
          <t>string</t>
        </is>
      </c>
      <c r="H18" s="14" t="inlineStr">
        <is>
          <t>PRF</t>
        </is>
      </c>
      <c r="I18" s="14" t="inlineStr"/>
      <c r="J18" s="14" t="inlineStr">
        <is>
          <t>Template</t>
        </is>
      </c>
      <c r="K18" s="14" t="inlineStr">
        <is>
          <t>This workbook, sheet Ref Document numbering</t>
        </is>
      </c>
      <c r="L18" s="14" t="inlineStr">
        <is>
          <t>16-Jul-2027 (T-24 weeks)</t>
        </is>
      </c>
      <c r="M18" s="14" t="n"/>
      <c r="N18" s="14" t="n"/>
      <c r="O18" s="14" t="n"/>
      <c r="P18" s="14" t="inlineStr">
        <is>
          <t>Not started</t>
        </is>
      </c>
      <c r="Q18" s="14" t="n"/>
    </row>
    <row r="19">
      <c r="A19" s="14" t="inlineStr">
        <is>
          <t>PROPOSAL_SLIP_PREFIX</t>
        </is>
      </c>
      <c r="B19" s="14" t="inlineStr">
        <is>
          <t>Broking</t>
        </is>
      </c>
      <c r="C19" s="14" t="inlineStr">
        <is>
          <t>New Business</t>
        </is>
      </c>
      <c r="D19" s="14" t="inlineStr">
        <is>
          <t>Drop 1</t>
        </is>
      </c>
      <c r="E19" s="14" t="inlineStr">
        <is>
          <t>Product Owner, BDOI (New Business)</t>
        </is>
      </c>
      <c r="F19" s="14" t="inlineStr">
        <is>
          <t>Prefix of proposal slip numbers (&lt;prefix&gt;-&lt;yyyy&gt;-nnnnnn)</t>
        </is>
      </c>
      <c r="G19" s="14" t="inlineStr">
        <is>
          <t>string</t>
        </is>
      </c>
      <c r="H19" s="14" t="inlineStr">
        <is>
          <t>PS</t>
        </is>
      </c>
      <c r="I19" s="14" t="inlineStr"/>
      <c r="J19" s="14" t="inlineStr">
        <is>
          <t>Template</t>
        </is>
      </c>
      <c r="K19" s="14" t="inlineStr">
        <is>
          <t>This workbook, sheet Ref Document numbering</t>
        </is>
      </c>
      <c r="L19" s="14" t="inlineStr">
        <is>
          <t>16-Jul-2027 (T-24 weeks)</t>
        </is>
      </c>
      <c r="M19" s="14" t="n"/>
      <c r="N19" s="14" t="n"/>
      <c r="O19" s="14" t="n"/>
      <c r="P19" s="14" t="inlineStr">
        <is>
          <t>Not started</t>
        </is>
      </c>
      <c r="Q19" s="14" t="n"/>
    </row>
    <row r="20">
      <c r="A20" s="14" t="inlineStr">
        <is>
          <t>QUOTATION_EXPIRING_DAYS</t>
        </is>
      </c>
      <c r="B20" s="14" t="inlineStr">
        <is>
          <t>Broking</t>
        </is>
      </c>
      <c r="C20" s="14" t="inlineStr">
        <is>
          <t>New Business</t>
        </is>
      </c>
      <c r="D20" s="14" t="inlineStr">
        <is>
          <t>Drop 1</t>
        </is>
      </c>
      <c r="E20" s="14" t="inlineStr">
        <is>
          <t>Product Owner, BDOI (New Business)</t>
        </is>
      </c>
      <c r="F20" s="14" t="inlineStr">
        <is>
          <t>Quotations whose validity ends within this many days are listed as expiring</t>
        </is>
      </c>
      <c r="G20" s="14" t="inlineStr">
        <is>
          <t>integer</t>
        </is>
      </c>
      <c r="H20" s="14" t="inlineStr">
        <is>
          <t>7</t>
        </is>
      </c>
      <c r="I20" s="14" t="inlineStr">
        <is>
          <t>1 to 90</t>
        </is>
      </c>
      <c r="J20" s="14" t="inlineStr">
        <is>
          <t>Template</t>
        </is>
      </c>
      <c r="K20" s="14" t="inlineStr">
        <is>
          <t>This workbook, sheet Ref System parameters</t>
        </is>
      </c>
      <c r="L20" s="14" t="inlineStr">
        <is>
          <t>16-Jul-2027 (T-24 weeks)</t>
        </is>
      </c>
      <c r="M20" s="14" t="n"/>
      <c r="N20" s="14" t="n"/>
      <c r="O20" s="14" t="n"/>
      <c r="P20" s="14" t="inlineStr">
        <is>
          <t>Not started</t>
        </is>
      </c>
      <c r="Q20" s="14" t="n"/>
    </row>
    <row r="21">
      <c r="A21" s="14" t="inlineStr">
        <is>
          <t>QUOTATION_NUMBER_PREFIX</t>
        </is>
      </c>
      <c r="B21" s="14" t="inlineStr">
        <is>
          <t>Broking</t>
        </is>
      </c>
      <c r="C21" s="14" t="inlineStr">
        <is>
          <t>New Business</t>
        </is>
      </c>
      <c r="D21" s="14" t="inlineStr">
        <is>
          <t>Drop 1</t>
        </is>
      </c>
      <c r="E21" s="14" t="inlineStr">
        <is>
          <t>Product Owner, BDOI (New Business)</t>
        </is>
      </c>
      <c r="F21" s="14" t="inlineStr">
        <is>
          <t>Prefix of package quotation numbers (&lt;prefix&gt;-&lt;yyyy&gt;-nnnnnn), shown as Proposal No.</t>
        </is>
      </c>
      <c r="G21" s="14" t="inlineStr">
        <is>
          <t>string</t>
        </is>
      </c>
      <c r="H21" s="14" t="inlineStr">
        <is>
          <t>QT</t>
        </is>
      </c>
      <c r="I21" s="14" t="inlineStr"/>
      <c r="J21" s="14" t="inlineStr">
        <is>
          <t>Template</t>
        </is>
      </c>
      <c r="K21" s="14" t="inlineStr">
        <is>
          <t>This workbook, sheet Ref Document numbering</t>
        </is>
      </c>
      <c r="L21" s="14" t="inlineStr">
        <is>
          <t>16-Jul-2027 (T-24 weeks)</t>
        </is>
      </c>
      <c r="M21" s="14" t="n"/>
      <c r="N21" s="14" t="n"/>
      <c r="O21" s="14" t="n"/>
      <c r="P21" s="14" t="inlineStr">
        <is>
          <t>Not started</t>
        </is>
      </c>
      <c r="Q21" s="14" t="n"/>
    </row>
    <row r="22">
      <c r="A22" s="14" t="inlineStr">
        <is>
          <t>QUOTATION_REQUEST_PREFIX</t>
        </is>
      </c>
      <c r="B22" s="14" t="inlineStr">
        <is>
          <t>Broking</t>
        </is>
      </c>
      <c r="C22" s="14" t="inlineStr">
        <is>
          <t>New Business</t>
        </is>
      </c>
      <c r="D22" s="14" t="inlineStr">
        <is>
          <t>Drop 1</t>
        </is>
      </c>
      <c r="E22" s="14" t="inlineStr">
        <is>
          <t>Product Owner, BDOI (New Business)</t>
        </is>
      </c>
      <c r="F22" s="14" t="inlineStr">
        <is>
          <t>Prefix of quotation request numbers (&lt;prefix&gt;-&lt;yyyy&gt;-nnnnnn)</t>
        </is>
      </c>
      <c r="G22" s="14" t="inlineStr">
        <is>
          <t>string</t>
        </is>
      </c>
      <c r="H22" s="14" t="inlineStr">
        <is>
          <t>REQ</t>
        </is>
      </c>
      <c r="I22" s="14" t="inlineStr"/>
      <c r="J22" s="14" t="inlineStr">
        <is>
          <t>Template</t>
        </is>
      </c>
      <c r="K22" s="14" t="inlineStr">
        <is>
          <t>This workbook, sheet Ref Document numbering</t>
        </is>
      </c>
      <c r="L22" s="14" t="inlineStr">
        <is>
          <t>16-Jul-2027 (T-24 weeks)</t>
        </is>
      </c>
      <c r="M22" s="14" t="n"/>
      <c r="N22" s="14" t="n"/>
      <c r="O22" s="14" t="n"/>
      <c r="P22" s="14" t="inlineStr">
        <is>
          <t>Not started</t>
        </is>
      </c>
      <c r="Q22" s="14" t="n"/>
    </row>
    <row r="23">
      <c r="A23" s="14" t="inlineStr">
        <is>
          <t>QUOTATION_SLIP_PREFIX</t>
        </is>
      </c>
      <c r="B23" s="14" t="inlineStr">
        <is>
          <t>Broking</t>
        </is>
      </c>
      <c r="C23" s="14" t="inlineStr">
        <is>
          <t>New Business</t>
        </is>
      </c>
      <c r="D23" s="14" t="inlineStr">
        <is>
          <t>Drop 1</t>
        </is>
      </c>
      <c r="E23" s="14" t="inlineStr">
        <is>
          <t>Product Owner, BDOI (New Business)</t>
        </is>
      </c>
      <c r="F23" s="14" t="inlineStr">
        <is>
          <t>Prefix of quotation slip numbers (&lt;prefix&gt;-&lt;yyyy&gt;-nnnnnn)</t>
        </is>
      </c>
      <c r="G23" s="14" t="inlineStr">
        <is>
          <t>string</t>
        </is>
      </c>
      <c r="H23" s="14" t="inlineStr">
        <is>
          <t>QS</t>
        </is>
      </c>
      <c r="I23" s="14" t="inlineStr"/>
      <c r="J23" s="14" t="inlineStr">
        <is>
          <t>Template</t>
        </is>
      </c>
      <c r="K23" s="14" t="inlineStr">
        <is>
          <t>This workbook, sheet Ref Document numbering</t>
        </is>
      </c>
      <c r="L23" s="14" t="inlineStr">
        <is>
          <t>16-Jul-2027 (T-24 weeks)</t>
        </is>
      </c>
      <c r="M23" s="14" t="n"/>
      <c r="N23" s="14" t="n"/>
      <c r="O23" s="14" t="n"/>
      <c r="P23" s="14" t="inlineStr">
        <is>
          <t>Not started</t>
        </is>
      </c>
      <c r="Q23" s="14" t="n"/>
    </row>
    <row r="24">
      <c r="A24" s="14" t="inlineStr">
        <is>
          <t>QUOTATION_SLIP_REPLY_DAYS</t>
        </is>
      </c>
      <c r="B24" s="14" t="inlineStr">
        <is>
          <t>Broking</t>
        </is>
      </c>
      <c r="C24" s="14" t="inlineStr">
        <is>
          <t>New Business</t>
        </is>
      </c>
      <c r="D24" s="14" t="inlineStr">
        <is>
          <t>Drop 1</t>
        </is>
      </c>
      <c r="E24" s="14" t="inlineStr">
        <is>
          <t>Product Owner, BDOI (New Business)</t>
        </is>
      </c>
      <c r="F24" s="14" t="inlineStr">
        <is>
          <t>Days given to insurers to reply to a quotation slip</t>
        </is>
      </c>
      <c r="G24" s="14" t="inlineStr">
        <is>
          <t>integer</t>
        </is>
      </c>
      <c r="H24" s="14" t="inlineStr">
        <is>
          <t>5</t>
        </is>
      </c>
      <c r="I24" s="14" t="inlineStr">
        <is>
          <t>1 to 60</t>
        </is>
      </c>
      <c r="J24" s="14" t="inlineStr">
        <is>
          <t>Template</t>
        </is>
      </c>
      <c r="K24" s="14" t="inlineStr">
        <is>
          <t>This workbook, sheet Ref System parameters</t>
        </is>
      </c>
      <c r="L24" s="14" t="inlineStr">
        <is>
          <t>16-Jul-2027 (T-24 weeks)</t>
        </is>
      </c>
      <c r="M24" s="14" t="n"/>
      <c r="N24" s="14" t="n"/>
      <c r="O24" s="14" t="n"/>
      <c r="P24" s="14" t="inlineStr">
        <is>
          <t>Not started</t>
        </is>
      </c>
      <c r="Q24" s="14" t="n"/>
    </row>
    <row r="25">
      <c r="A25" s="14" t="inlineStr">
        <is>
          <t>QUOTATION_VALIDITY_DAYS</t>
        </is>
      </c>
      <c r="B25" s="14" t="inlineStr">
        <is>
          <t>Broking</t>
        </is>
      </c>
      <c r="C25" s="14" t="inlineStr">
        <is>
          <t>New Business</t>
        </is>
      </c>
      <c r="D25" s="14" t="inlineStr">
        <is>
          <t>Drop 1</t>
        </is>
      </c>
      <c r="E25" s="14" t="inlineStr">
        <is>
          <t>Product Owner, BDOI (New Business)</t>
        </is>
      </c>
      <c r="F25" s="14" t="inlineStr">
        <is>
          <t>Default validity of a quotation in days from its creation</t>
        </is>
      </c>
      <c r="G25" s="14" t="inlineStr">
        <is>
          <t>integer</t>
        </is>
      </c>
      <c r="H25" s="14" t="inlineStr">
        <is>
          <t>30</t>
        </is>
      </c>
      <c r="I25" s="14" t="inlineStr">
        <is>
          <t>1 to 365</t>
        </is>
      </c>
      <c r="J25" s="14" t="inlineStr">
        <is>
          <t>Template</t>
        </is>
      </c>
      <c r="K25" s="14" t="inlineStr">
        <is>
          <t>This workbook, sheet Ref System parameters</t>
        </is>
      </c>
      <c r="L25" s="14" t="inlineStr">
        <is>
          <t>16-Jul-2027 (T-24 weeks)</t>
        </is>
      </c>
      <c r="M25" s="14" t="n"/>
      <c r="N25" s="14" t="n"/>
      <c r="O25" s="14" t="n"/>
      <c r="P25" s="14" t="inlineStr">
        <is>
          <t>Not started</t>
        </is>
      </c>
      <c r="Q25" s="14" t="n"/>
    </row>
    <row r="26">
      <c r="A26" s="14" t="inlineStr">
        <is>
          <t>RATE_EXCEPTION_VALIDITY_DAYS</t>
        </is>
      </c>
      <c r="B26" s="14" t="inlineStr">
        <is>
          <t>Broking</t>
        </is>
      </c>
      <c r="C26" s="14" t="inlineStr">
        <is>
          <t>New Business</t>
        </is>
      </c>
      <c r="D26" s="14" t="inlineStr">
        <is>
          <t>Drop 1</t>
        </is>
      </c>
      <c r="E26" s="14" t="inlineStr">
        <is>
          <t>Product Owner, BDOI (New Business)</t>
        </is>
      </c>
      <c r="F26" s="14" t="inlineStr">
        <is>
          <t>Days a rate-scheme exception stays valid when the request gives no end date</t>
        </is>
      </c>
      <c r="G26" s="14" t="inlineStr">
        <is>
          <t>integer</t>
        </is>
      </c>
      <c r="H26" s="14" t="inlineStr">
        <is>
          <t>30</t>
        </is>
      </c>
      <c r="I26" s="14" t="inlineStr">
        <is>
          <t>1 to 3650</t>
        </is>
      </c>
      <c r="J26" s="14" t="inlineStr">
        <is>
          <t>Template</t>
        </is>
      </c>
      <c r="K26" s="14" t="inlineStr">
        <is>
          <t>This workbook, sheet Ref System parameters</t>
        </is>
      </c>
      <c r="L26" s="14" t="inlineStr">
        <is>
          <t>16-Jul-2027 (T-24 weeks)</t>
        </is>
      </c>
      <c r="M26" s="14" t="n"/>
      <c r="N26" s="14" t="n"/>
      <c r="O26" s="14" t="n"/>
      <c r="P26" s="14" t="inlineStr">
        <is>
          <t>Not started</t>
        </is>
      </c>
      <c r="Q26" s="14" t="n"/>
    </row>
    <row r="27">
      <c r="A27" s="14" t="inlineStr">
        <is>
          <t>BULK_MAX_ROWS</t>
        </is>
      </c>
      <c r="B27" s="14" t="inlineStr">
        <is>
          <t>Bulk</t>
        </is>
      </c>
      <c r="C27" s="14" t="inlineStr">
        <is>
          <t>Platform set-up</t>
        </is>
      </c>
      <c r="D27" s="14" t="inlineStr">
        <is>
          <t>Drop 0</t>
        </is>
      </c>
      <c r="E27" s="14" t="inlineStr">
        <is>
          <t>BDOI IT</t>
        </is>
      </c>
      <c r="F27" s="14" t="inlineStr">
        <is>
          <t>Maximum number of data rows in one bulk upload file</t>
        </is>
      </c>
      <c r="G27" s="14" t="inlineStr">
        <is>
          <t>integer</t>
        </is>
      </c>
      <c r="H27" s="14" t="inlineStr">
        <is>
          <t>5000</t>
        </is>
      </c>
      <c r="I27" s="14" t="inlineStr">
        <is>
          <t>10 to 50000</t>
        </is>
      </c>
      <c r="J27" s="14" t="inlineStr">
        <is>
          <t>Template</t>
        </is>
      </c>
      <c r="K27" s="14" t="inlineStr">
        <is>
          <t>This workbook, sheet Ref System parameters</t>
        </is>
      </c>
      <c r="L27" s="14" t="inlineStr">
        <is>
          <t>16-Jul-2027 (T-24 weeks)</t>
        </is>
      </c>
      <c r="M27" s="14" t="n"/>
      <c r="N27" s="14" t="n"/>
      <c r="O27" s="14" t="n"/>
      <c r="P27" s="14" t="inlineStr">
        <is>
          <t>Not started</t>
        </is>
      </c>
      <c r="Q27" s="14" t="n"/>
    </row>
    <row r="28">
      <c r="A28" s="14" t="inlineStr">
        <is>
          <t>BCL_AGEING_BUCKETS</t>
        </is>
      </c>
      <c r="B28" s="14" t="inlineStr">
        <is>
          <t>Claims Handling</t>
        </is>
      </c>
      <c r="C28" s="14" t="inlineStr">
        <is>
          <t>Claims</t>
        </is>
      </c>
      <c r="D28" s="14" t="inlineStr">
        <is>
          <t>Drop 2</t>
        </is>
      </c>
      <c r="E28" s="14" t="inlineStr">
        <is>
          <t>Product Owner, Claims</t>
        </is>
      </c>
      <c r="F28" s="14" t="inlineStr">
        <is>
          <t>Upper bounds in days of the claims ageing buckets: 0-30, 31-60, 61-90, 91-180, 181+</t>
        </is>
      </c>
      <c r="G28" s="14" t="inlineStr">
        <is>
          <t>integer list</t>
        </is>
      </c>
      <c r="H28" s="14" t="inlineStr">
        <is>
          <t>30,60,90,180</t>
        </is>
      </c>
      <c r="I28" s="14" t="inlineStr">
        <is>
          <t>1 to 3650</t>
        </is>
      </c>
      <c r="J28" s="14" t="inlineStr">
        <is>
          <t>Template</t>
        </is>
      </c>
      <c r="K28" s="14" t="inlineStr">
        <is>
          <t>This workbook, sheet Ref System parameters</t>
        </is>
      </c>
      <c r="L28" s="14" t="inlineStr">
        <is>
          <t>16-Jul-2027 (T-24 weeks)</t>
        </is>
      </c>
      <c r="M28" s="14" t="n"/>
      <c r="N28" s="14" t="n"/>
      <c r="O28" s="14" t="n"/>
      <c r="P28" s="14" t="inlineStr">
        <is>
          <t>Not started</t>
        </is>
      </c>
      <c r="Q28" s="14" t="n"/>
    </row>
    <row r="29">
      <c r="A29" s="14" t="inlineStr">
        <is>
          <t>BCL_AUTH_DP_POLICY</t>
        </is>
      </c>
      <c r="B29" s="14" t="inlineStr">
        <is>
          <t>Claims Handling</t>
        </is>
      </c>
      <c r="C29" s="14" t="inlineStr">
        <is>
          <t>Claims</t>
        </is>
      </c>
      <c r="D29" s="14" t="inlineStr">
        <is>
          <t>Drop 2</t>
        </is>
      </c>
      <c r="E29" s="14" t="inlineStr">
        <is>
          <t>Product Owner, Claims</t>
        </is>
      </c>
      <c r="F29" s="14" t="inlineStr">
        <is>
          <t>Claims authorization code on a direct-payment cover: ALLOW, CONFIRM (insurer payment evidence attached) or BLOCK</t>
        </is>
      </c>
      <c r="G29" s="14" t="inlineStr">
        <is>
          <t>string</t>
        </is>
      </c>
      <c r="H29" s="14" t="inlineStr">
        <is>
          <t>CONFIRM</t>
        </is>
      </c>
      <c r="I29" s="14" t="inlineStr"/>
      <c r="J29" s="14" t="inlineStr">
        <is>
          <t>Template</t>
        </is>
      </c>
      <c r="K29" s="14" t="inlineStr">
        <is>
          <t>This workbook, sheet Ref System parameters</t>
        </is>
      </c>
      <c r="L29" s="14" t="inlineStr">
        <is>
          <t>16-Jul-2027 (T-24 weeks)</t>
        </is>
      </c>
      <c r="M29" s="14" t="n"/>
      <c r="N29" s="14" t="n"/>
      <c r="O29" s="14" t="n"/>
      <c r="P29" s="14" t="inlineStr">
        <is>
          <t>Not started</t>
        </is>
      </c>
      <c r="Q29" s="14" t="n"/>
    </row>
    <row r="30">
      <c r="A30" s="14" t="inlineStr">
        <is>
          <t>BCL_DEFAULT_CURRENCY</t>
        </is>
      </c>
      <c r="B30" s="14" t="inlineStr">
        <is>
          <t>Claims Handling</t>
        </is>
      </c>
      <c r="C30" s="14" t="inlineStr">
        <is>
          <t>Claims</t>
        </is>
      </c>
      <c r="D30" s="14" t="inlineStr">
        <is>
          <t>Drop 2</t>
        </is>
      </c>
      <c r="E30" s="14" t="inlineStr">
        <is>
          <t>Product Owner, Claims</t>
        </is>
      </c>
      <c r="F30" s="14" t="inlineStr">
        <is>
          <t>Currency of a claim whose cover has none</t>
        </is>
      </c>
      <c r="G30" s="14" t="inlineStr">
        <is>
          <t>string</t>
        </is>
      </c>
      <c r="H30" s="14" t="inlineStr">
        <is>
          <t>PHP</t>
        </is>
      </c>
      <c r="I30" s="14" t="inlineStr"/>
      <c r="J30" s="14" t="inlineStr">
        <is>
          <t>Template</t>
        </is>
      </c>
      <c r="K30" s="14" t="inlineStr">
        <is>
          <t>This workbook, sheet Ref System parameters</t>
        </is>
      </c>
      <c r="L30" s="14" t="inlineStr">
        <is>
          <t>16-Jul-2027 (T-24 weeks)</t>
        </is>
      </c>
      <c r="M30" s="14" t="n"/>
      <c r="N30" s="14" t="n"/>
      <c r="O30" s="14" t="n"/>
      <c r="P30" s="14" t="inlineStr">
        <is>
          <t>Not started</t>
        </is>
      </c>
      <c r="Q30" s="14" t="n"/>
    </row>
    <row r="31">
      <c r="A31" s="14" t="inlineStr">
        <is>
          <t>BCL_FOLLOW_UP_DAYS</t>
        </is>
      </c>
      <c r="B31" s="14" t="inlineStr">
        <is>
          <t>Claims Handling</t>
        </is>
      </c>
      <c r="C31" s="14" t="inlineStr">
        <is>
          <t>Claims</t>
        </is>
      </c>
      <c r="D31" s="14" t="inlineStr">
        <is>
          <t>Drop 2</t>
        </is>
      </c>
      <c r="E31" s="14" t="inlineStr">
        <is>
          <t>Product Owner, Claims</t>
        </is>
      </c>
      <c r="F31" s="14" t="inlineStr">
        <is>
          <t>Days from a status change to the next follow-up date when the status has no follow up days attribute</t>
        </is>
      </c>
      <c r="G31" s="14" t="inlineStr">
        <is>
          <t>integer</t>
        </is>
      </c>
      <c r="H31" s="14" t="inlineStr">
        <is>
          <t>7</t>
        </is>
      </c>
      <c r="I31" s="14" t="inlineStr">
        <is>
          <t>1 to 365</t>
        </is>
      </c>
      <c r="J31" s="14" t="inlineStr">
        <is>
          <t>Template</t>
        </is>
      </c>
      <c r="K31" s="14" t="inlineStr">
        <is>
          <t>This workbook, sheet Ref System parameters</t>
        </is>
      </c>
      <c r="L31" s="14" t="inlineStr">
        <is>
          <t>16-Jul-2027 (T-24 weeks)</t>
        </is>
      </c>
      <c r="M31" s="14" t="n"/>
      <c r="N31" s="14" t="n"/>
      <c r="O31" s="14" t="n"/>
      <c r="P31" s="14" t="inlineStr">
        <is>
          <t>Not started</t>
        </is>
      </c>
      <c r="Q31" s="14" t="n"/>
    </row>
    <row r="32">
      <c r="A32" s="14" t="inlineStr">
        <is>
          <t>BCL_PAST_DUE_DAYS</t>
        </is>
      </c>
      <c r="B32" s="14" t="inlineStr">
        <is>
          <t>Claims Handling</t>
        </is>
      </c>
      <c r="C32" s="14" t="inlineStr">
        <is>
          <t>Claims</t>
        </is>
      </c>
      <c r="D32" s="14" t="inlineStr">
        <is>
          <t>Drop 2</t>
        </is>
      </c>
      <c r="E32" s="14" t="inlineStr">
        <is>
          <t>Product Owner, Claims</t>
        </is>
      </c>
      <c r="F32" s="14" t="inlineStr">
        <is>
          <t>Age in days above which an outstanding claim is past due: report and alert BCL_CLAIM_PAST_DUE</t>
        </is>
      </c>
      <c r="G32" s="14" t="inlineStr">
        <is>
          <t>integer</t>
        </is>
      </c>
      <c r="H32" s="14" t="inlineStr">
        <is>
          <t>90</t>
        </is>
      </c>
      <c r="I32" s="14" t="inlineStr">
        <is>
          <t>1 to 3650</t>
        </is>
      </c>
      <c r="J32" s="14" t="inlineStr">
        <is>
          <t>Template</t>
        </is>
      </c>
      <c r="K32" s="14" t="inlineStr">
        <is>
          <t>This workbook, sheet Ref System parameters</t>
        </is>
      </c>
      <c r="L32" s="14" t="inlineStr">
        <is>
          <t>16-Jul-2027 (T-24 weeks)</t>
        </is>
      </c>
      <c r="M32" s="14" t="n"/>
      <c r="N32" s="14" t="n"/>
      <c r="O32" s="14" t="n"/>
      <c r="P32" s="14" t="inlineStr">
        <is>
          <t>Not started</t>
        </is>
      </c>
      <c r="Q32" s="14" t="n"/>
    </row>
    <row r="33">
      <c r="A33" s="14" t="inlineStr">
        <is>
          <t>BCL_PRONE_MIN_CLAIMS</t>
        </is>
      </c>
      <c r="B33" s="14" t="inlineStr">
        <is>
          <t>Claims Handling</t>
        </is>
      </c>
      <c r="C33" s="14" t="inlineStr">
        <is>
          <t>Claims</t>
        </is>
      </c>
      <c r="D33" s="14" t="inlineStr">
        <is>
          <t>Drop 2</t>
        </is>
      </c>
      <c r="E33" s="14" t="inlineStr">
        <is>
          <t>Product Owner, Claims</t>
        </is>
      </c>
      <c r="F33" s="14" t="inlineStr">
        <is>
          <t>Claims at one location that make it claims-prone</t>
        </is>
      </c>
      <c r="G33" s="14" t="inlineStr">
        <is>
          <t>integer</t>
        </is>
      </c>
      <c r="H33" s="14" t="inlineStr">
        <is>
          <t>3</t>
        </is>
      </c>
      <c r="I33" s="14" t="inlineStr">
        <is>
          <t>1 to 100</t>
        </is>
      </c>
      <c r="J33" s="14" t="inlineStr">
        <is>
          <t>Template</t>
        </is>
      </c>
      <c r="K33" s="14" t="inlineStr">
        <is>
          <t>This workbook, sheet Ref System parameters</t>
        </is>
      </c>
      <c r="L33" s="14" t="inlineStr">
        <is>
          <t>16-Jul-2027 (T-24 weeks)</t>
        </is>
      </c>
      <c r="M33" s="14" t="n"/>
      <c r="N33" s="14" t="n"/>
      <c r="O33" s="14" t="n"/>
      <c r="P33" s="14" t="inlineStr">
        <is>
          <t>Not started</t>
        </is>
      </c>
      <c r="Q33" s="14" t="n"/>
    </row>
    <row r="34">
      <c r="A34" s="14" t="inlineStr">
        <is>
          <t>BCL_PRONE_YEARS</t>
        </is>
      </c>
      <c r="B34" s="14" t="inlineStr">
        <is>
          <t>Claims Handling</t>
        </is>
      </c>
      <c r="C34" s="14" t="inlineStr">
        <is>
          <t>Claims</t>
        </is>
      </c>
      <c r="D34" s="14" t="inlineStr">
        <is>
          <t>Drop 2</t>
        </is>
      </c>
      <c r="E34" s="14" t="inlineStr">
        <is>
          <t>Product Owner, Claims</t>
        </is>
      </c>
      <c r="F34" s="14" t="inlineStr">
        <is>
          <t>Look-back years of the claims-prone location analysis</t>
        </is>
      </c>
      <c r="G34" s="14" t="inlineStr">
        <is>
          <t>integer</t>
        </is>
      </c>
      <c r="H34" s="14" t="inlineStr">
        <is>
          <t>3</t>
        </is>
      </c>
      <c r="I34" s="14" t="inlineStr">
        <is>
          <t>1 to 20</t>
        </is>
      </c>
      <c r="J34" s="14" t="inlineStr">
        <is>
          <t>Template</t>
        </is>
      </c>
      <c r="K34" s="14" t="inlineStr">
        <is>
          <t>This workbook, sheet Ref System parameters</t>
        </is>
      </c>
      <c r="L34" s="14" t="inlineStr">
        <is>
          <t>16-Jul-2027 (T-24 weeks)</t>
        </is>
      </c>
      <c r="M34" s="14" t="n"/>
      <c r="N34" s="14" t="n"/>
      <c r="O34" s="14" t="n"/>
      <c r="P34" s="14" t="inlineStr">
        <is>
          <t>Not started</t>
        </is>
      </c>
      <c r="Q34" s="14" t="n"/>
    </row>
    <row r="35">
      <c r="A35" s="14" t="inlineStr">
        <is>
          <t>CLX_AGING_BASIS</t>
        </is>
      </c>
      <c r="B35" s="14" t="inlineStr">
        <is>
          <t>Collections</t>
        </is>
      </c>
      <c r="C35" s="14" t="inlineStr">
        <is>
          <t>Collections</t>
        </is>
      </c>
      <c r="D35" s="14" t="inlineStr">
        <is>
          <t>Drop 1</t>
        </is>
      </c>
      <c r="E35" s="14" t="inlineStr">
        <is>
          <t>VP and Head, BDOI Operations (Collections)</t>
        </is>
      </c>
      <c r="F35" s="14" t="inlineStr">
        <is>
          <t>Date the aging of a collection item counts from: BOOKING or INCEPTION</t>
        </is>
      </c>
      <c r="G35" s="14" t="inlineStr">
        <is>
          <t>string</t>
        </is>
      </c>
      <c r="H35" s="14" t="inlineStr">
        <is>
          <t>BOOKING</t>
        </is>
      </c>
      <c r="I35" s="14" t="inlineStr"/>
      <c r="J35" s="14" t="inlineStr">
        <is>
          <t>Template</t>
        </is>
      </c>
      <c r="K35" s="14" t="inlineStr">
        <is>
          <t>This workbook, sheet Ref System parameters</t>
        </is>
      </c>
      <c r="L35" s="14" t="inlineStr">
        <is>
          <t>16-Jul-2027 (T-24 weeks)</t>
        </is>
      </c>
      <c r="M35" s="14" t="n"/>
      <c r="N35" s="14" t="n"/>
      <c r="O35" s="14" t="n"/>
      <c r="P35" s="14" t="inlineStr">
        <is>
          <t>Not started</t>
        </is>
      </c>
      <c r="Q35" s="14" t="n"/>
    </row>
    <row r="36">
      <c r="A36" s="14" t="inlineStr">
        <is>
          <t>CLX_AGING_BRACKETS</t>
        </is>
      </c>
      <c r="B36" s="14" t="inlineStr">
        <is>
          <t>Collections</t>
        </is>
      </c>
      <c r="C36" s="14" t="inlineStr">
        <is>
          <t>Collections</t>
        </is>
      </c>
      <c r="D36" s="14" t="inlineStr">
        <is>
          <t>Drop 1</t>
        </is>
      </c>
      <c r="E36" s="14" t="inlineStr">
        <is>
          <t>VP and Head, BDOI Operations (Collections)</t>
        </is>
      </c>
      <c r="F36" s="14" t="inlineStr">
        <is>
          <t>Aging brackets of the worklist, the home chart and the reports, in days</t>
        </is>
      </c>
      <c r="G36" s="14" t="inlineStr">
        <is>
          <t>code list</t>
        </is>
      </c>
      <c r="H36" s="14" t="inlineStr">
        <is>
          <t>0-30,31-45,46-60,61-90,91-120,121+</t>
        </is>
      </c>
      <c r="I36" s="14" t="inlineStr"/>
      <c r="J36" s="14" t="inlineStr">
        <is>
          <t>Template</t>
        </is>
      </c>
      <c r="K36" s="14" t="inlineStr">
        <is>
          <t>This workbook, sheet Ref System parameters</t>
        </is>
      </c>
      <c r="L36" s="14" t="inlineStr">
        <is>
          <t>16-Jul-2027 (T-24 weeks)</t>
        </is>
      </c>
      <c r="M36" s="14" t="n"/>
      <c r="N36" s="14" t="n"/>
      <c r="O36" s="14" t="n"/>
      <c r="P36" s="14" t="inlineStr">
        <is>
          <t>Not started</t>
        </is>
      </c>
      <c r="Q36" s="14" t="n"/>
    </row>
    <row r="37">
      <c r="A37" s="14" t="inlineStr">
        <is>
          <t>CLX_EDIT_LOCK_MINUTES</t>
        </is>
      </c>
      <c r="B37" s="14" t="inlineStr">
        <is>
          <t>Collections</t>
        </is>
      </c>
      <c r="C37" s="14" t="inlineStr">
        <is>
          <t>Collections</t>
        </is>
      </c>
      <c r="D37" s="14" t="inlineStr">
        <is>
          <t>Drop 1</t>
        </is>
      </c>
      <c r="E37" s="14" t="inlineStr">
        <is>
          <t>VP and Head, BDOI Operations (Collections)</t>
        </is>
      </c>
      <c r="F37" s="14" t="inlineStr">
        <is>
          <t>Minutes after which the "&lt;user&gt; is editing" lock of a collection account expires</t>
        </is>
      </c>
      <c r="G37" s="14" t="inlineStr">
        <is>
          <t>integer</t>
        </is>
      </c>
      <c r="H37" s="14" t="inlineStr">
        <is>
          <t>15</t>
        </is>
      </c>
      <c r="I37" s="14" t="inlineStr">
        <is>
          <t>1 to 240</t>
        </is>
      </c>
      <c r="J37" s="14" t="inlineStr">
        <is>
          <t>Template</t>
        </is>
      </c>
      <c r="K37" s="14" t="inlineStr">
        <is>
          <t>This workbook, sheet Ref System parameters</t>
        </is>
      </c>
      <c r="L37" s="14" t="inlineStr">
        <is>
          <t>16-Jul-2027 (T-24 weeks)</t>
        </is>
      </c>
      <c r="M37" s="14" t="n"/>
      <c r="N37" s="14" t="n"/>
      <c r="O37" s="14" t="n"/>
      <c r="P37" s="14" t="inlineStr">
        <is>
          <t>Not started</t>
        </is>
      </c>
      <c r="Q37" s="14" t="n"/>
    </row>
    <row r="38">
      <c r="A38" s="14" t="inlineStr">
        <is>
          <t>CLX_EXPORT_MAX_ROWS</t>
        </is>
      </c>
      <c r="B38" s="14" t="inlineStr">
        <is>
          <t>Collections</t>
        </is>
      </c>
      <c r="C38" s="14" t="inlineStr">
        <is>
          <t>Collections</t>
        </is>
      </c>
      <c r="D38" s="14" t="inlineStr">
        <is>
          <t>Drop 1</t>
        </is>
      </c>
      <c r="E38" s="14" t="inlineStr">
        <is>
          <t>VP and Head, BDOI Operations (Collections)</t>
        </is>
      </c>
      <c r="F38" s="14" t="inlineStr">
        <is>
          <t>Maximum rows of an asynchronous Collections export</t>
        </is>
      </c>
      <c r="G38" s="14" t="inlineStr">
        <is>
          <t>integer</t>
        </is>
      </c>
      <c r="H38" s="14" t="inlineStr">
        <is>
          <t>50000</t>
        </is>
      </c>
      <c r="I38" s="14" t="inlineStr">
        <is>
          <t>100 to 1000000</t>
        </is>
      </c>
      <c r="J38" s="14" t="inlineStr">
        <is>
          <t>Template</t>
        </is>
      </c>
      <c r="K38" s="14" t="inlineStr">
        <is>
          <t>This workbook, sheet Ref System parameters</t>
        </is>
      </c>
      <c r="L38" s="14" t="inlineStr">
        <is>
          <t>16-Jul-2027 (T-24 weeks)</t>
        </is>
      </c>
      <c r="M38" s="14" t="n"/>
      <c r="N38" s="14" t="n"/>
      <c r="O38" s="14" t="n"/>
      <c r="P38" s="14" t="inlineStr">
        <is>
          <t>Not started</t>
        </is>
      </c>
      <c r="Q38" s="14" t="n"/>
    </row>
    <row r="39">
      <c r="A39" s="14" t="inlineStr">
        <is>
          <t>CLX_INVOICE_NO_PATTERN</t>
        </is>
      </c>
      <c r="B39" s="14" t="inlineStr">
        <is>
          <t>Collections</t>
        </is>
      </c>
      <c r="C39" s="14" t="inlineStr">
        <is>
          <t>Collections</t>
        </is>
      </c>
      <c r="D39" s="14" t="inlineStr">
        <is>
          <t>Drop 1</t>
        </is>
      </c>
      <c r="E39" s="14" t="inlineStr">
        <is>
          <t>VP and Head, BDOI Operations (Collections)</t>
        </is>
      </c>
      <c r="F39" s="14" t="inlineStr">
        <is>
          <t>Regular expression of the invoice number of "For application to invoice": EBIX I######## or BI-... of this system</t>
        </is>
      </c>
      <c r="G39" s="14" t="inlineStr">
        <is>
          <t>string</t>
        </is>
      </c>
      <c r="H39" s="14" t="inlineStr">
        <is>
          <t>^(I\d{8}|BI-.+)$</t>
        </is>
      </c>
      <c r="I39" s="14" t="inlineStr"/>
      <c r="J39" s="14" t="inlineStr">
        <is>
          <t>Template</t>
        </is>
      </c>
      <c r="K39" s="14" t="inlineStr">
        <is>
          <t>This workbook, sheet Ref System parameters</t>
        </is>
      </c>
      <c r="L39" s="14" t="inlineStr">
        <is>
          <t>16-Jul-2027 (T-24 weeks)</t>
        </is>
      </c>
      <c r="M39" s="14" t="n"/>
      <c r="N39" s="14" t="n"/>
      <c r="O39" s="14" t="n"/>
      <c r="P39" s="14" t="inlineStr">
        <is>
          <t>Not started</t>
        </is>
      </c>
      <c r="Q39" s="14" t="n"/>
    </row>
    <row r="40">
      <c r="A40" s="14" t="inlineStr">
        <is>
          <t>CLX_MIN_BALANCE_THRESHOLD</t>
        </is>
      </c>
      <c r="B40" s="14" t="inlineStr">
        <is>
          <t>Collections</t>
        </is>
      </c>
      <c r="C40" s="14" t="inlineStr">
        <is>
          <t>Collections</t>
        </is>
      </c>
      <c r="D40" s="14" t="inlineStr">
        <is>
          <t>Drop 1</t>
        </is>
      </c>
      <c r="E40" s="14" t="inlineStr">
        <is>
          <t>VP and Head, BDOI Operations (Collections)</t>
        </is>
      </c>
      <c r="F40" s="14" t="inlineStr">
        <is>
          <t>Net outstanding PR above which an invoice enters the collection worklist</t>
        </is>
      </c>
      <c r="G40" s="14" t="inlineStr">
        <is>
          <t>decimal</t>
        </is>
      </c>
      <c r="H40" s="14" t="inlineStr">
        <is>
          <t>10.00</t>
        </is>
      </c>
      <c r="I40" s="14" t="inlineStr">
        <is>
          <t>0 to 100000</t>
        </is>
      </c>
      <c r="J40" s="14" t="inlineStr">
        <is>
          <t>Template</t>
        </is>
      </c>
      <c r="K40" s="14" t="inlineStr">
        <is>
          <t>This workbook, sheet Ref System parameters</t>
        </is>
      </c>
      <c r="L40" s="14" t="inlineStr">
        <is>
          <t>16-Jul-2027 (T-24 weeks)</t>
        </is>
      </c>
      <c r="M40" s="14" t="n"/>
      <c r="N40" s="14" t="n"/>
      <c r="O40" s="14" t="n"/>
      <c r="P40" s="14" t="inlineStr">
        <is>
          <t>Not started</t>
        </is>
      </c>
      <c r="Q40" s="14" t="n"/>
    </row>
    <row r="41">
      <c r="A41" s="14" t="inlineStr">
        <is>
          <t>CLX_PROMISE_GRACE_DAYS</t>
        </is>
      </c>
      <c r="B41" s="14" t="inlineStr">
        <is>
          <t>Collections</t>
        </is>
      </c>
      <c r="C41" s="14" t="inlineStr">
        <is>
          <t>Collections</t>
        </is>
      </c>
      <c r="D41" s="14" t="inlineStr">
        <is>
          <t>Drop 1</t>
        </is>
      </c>
      <c r="E41" s="14" t="inlineStr">
        <is>
          <t>VP and Head, BDOI Operations (Collections)</t>
        </is>
      </c>
      <c r="F41" s="14" t="inlineStr">
        <is>
          <t>Days after the promised date before an unpaid promise to pay is broken</t>
        </is>
      </c>
      <c r="G41" s="14" t="inlineStr">
        <is>
          <t>integer</t>
        </is>
      </c>
      <c r="H41" s="14" t="inlineStr">
        <is>
          <t>0</t>
        </is>
      </c>
      <c r="I41" s="14" t="inlineStr">
        <is>
          <t>0 to 30</t>
        </is>
      </c>
      <c r="J41" s="14" t="inlineStr">
        <is>
          <t>Template</t>
        </is>
      </c>
      <c r="K41" s="14" t="inlineStr">
        <is>
          <t>This workbook, sheet Ref System parameters</t>
        </is>
      </c>
      <c r="L41" s="14" t="inlineStr">
        <is>
          <t>16-Jul-2027 (T-24 weeks)</t>
        </is>
      </c>
      <c r="M41" s="14" t="n"/>
      <c r="N41" s="14" t="n"/>
      <c r="O41" s="14" t="n"/>
      <c r="P41" s="14" t="inlineStr">
        <is>
          <t>Not started</t>
        </is>
      </c>
      <c r="Q41" s="14" t="n"/>
    </row>
    <row r="42">
      <c r="A42" s="14" t="inlineStr">
        <is>
          <t>CONFIG_PROMOTION_MAX_PACKAGE_MB</t>
        </is>
      </c>
      <c r="B42" s="14" t="inlineStr">
        <is>
          <t>Config Promotion</t>
        </is>
      </c>
      <c r="C42" s="14" t="inlineStr">
        <is>
          <t>Platform set-up</t>
        </is>
      </c>
      <c r="D42" s="14" t="inlineStr">
        <is>
          <t>Drop 0</t>
        </is>
      </c>
      <c r="E42" s="14" t="inlineStr">
        <is>
          <t>BDOI IT</t>
        </is>
      </c>
      <c r="F42" s="14" t="inlineStr">
        <is>
          <t>Largest configuration package accepted, in megabytes once unpacked</t>
        </is>
      </c>
      <c r="G42" s="14" t="inlineStr">
        <is>
          <t>integer</t>
        </is>
      </c>
      <c r="H42" s="14" t="inlineStr">
        <is>
          <t>50</t>
        </is>
      </c>
      <c r="I42" s="14" t="inlineStr">
        <is>
          <t>1 to 500</t>
        </is>
      </c>
      <c r="J42" s="14" t="inlineStr">
        <is>
          <t>Template</t>
        </is>
      </c>
      <c r="K42" s="14" t="inlineStr">
        <is>
          <t>This workbook, sheet Ref System parameters</t>
        </is>
      </c>
      <c r="L42" s="14" t="inlineStr">
        <is>
          <t>16-Jul-2027 (T-24 weeks)</t>
        </is>
      </c>
      <c r="M42" s="14" t="n"/>
      <c r="N42" s="14" t="n"/>
      <c r="O42" s="14" t="n"/>
      <c r="P42" s="14" t="inlineStr">
        <is>
          <t>Not started</t>
        </is>
      </c>
      <c r="Q42" s="14" t="n"/>
    </row>
    <row r="43">
      <c r="A43" s="14" t="inlineStr">
        <is>
          <t>CONFIG_PROMOTION_NOTIFY</t>
        </is>
      </c>
      <c r="B43" s="14" t="inlineStr">
        <is>
          <t>Config Promotion</t>
        </is>
      </c>
      <c r="C43" s="14" t="inlineStr">
        <is>
          <t>Platform set-up</t>
        </is>
      </c>
      <c r="D43" s="14" t="inlineStr">
        <is>
          <t>Drop 0</t>
        </is>
      </c>
      <c r="E43" s="14" t="inlineStr">
        <is>
          <t>BDOI IT</t>
        </is>
      </c>
      <c r="F43" s="14" t="inlineStr">
        <is>
          <t>Permissions whose holders are told when a configuration import waits for approval, is applied, rejected or fails</t>
        </is>
      </c>
      <c r="G43" s="14" t="inlineStr">
        <is>
          <t>code list</t>
        </is>
      </c>
      <c r="H43" s="14" t="inlineStr">
        <is>
          <t>CONFIG_IMPORT_APPROVE,CONFIG_BASELINE_MANAGE</t>
        </is>
      </c>
      <c r="I43" s="14" t="inlineStr"/>
      <c r="J43" s="14" t="inlineStr">
        <is>
          <t>Template</t>
        </is>
      </c>
      <c r="K43" s="14" t="inlineStr">
        <is>
          <t>This workbook, sheet Ref System parameters</t>
        </is>
      </c>
      <c r="L43" s="14" t="inlineStr">
        <is>
          <t>16-Jul-2027 (T-24 weeks)</t>
        </is>
      </c>
      <c r="M43" s="14" t="n"/>
      <c r="N43" s="14" t="n"/>
      <c r="O43" s="14" t="n"/>
      <c r="P43" s="14" t="inlineStr">
        <is>
          <t>Not started</t>
        </is>
      </c>
      <c r="Q43" s="14" t="n"/>
    </row>
    <row r="44">
      <c r="A44" s="14" t="inlineStr">
        <is>
          <t>CONFIG_PROMOTION_PIPELINE_APPLY</t>
        </is>
      </c>
      <c r="B44" s="14" t="inlineStr">
        <is>
          <t>Config Promotion</t>
        </is>
      </c>
      <c r="C44" s="14" t="inlineStr">
        <is>
          <t>Platform set-up</t>
        </is>
      </c>
      <c r="D44" s="14" t="inlineStr">
        <is>
          <t>Drop 0</t>
        </is>
      </c>
      <c r="E44" s="14" t="inlineStr">
        <is>
          <t>BDOI IT</t>
        </is>
      </c>
      <c r="F44" s="14" t="inlineStr">
        <is>
          <t>Outside production only: when true, the deployment pipeline may apply its own dry-run import without a second user; production always needs the approval of a second user</t>
        </is>
      </c>
      <c r="G44" s="14" t="inlineStr">
        <is>
          <t>boolean</t>
        </is>
      </c>
      <c r="H44" s="14" t="inlineStr">
        <is>
          <t>false</t>
        </is>
      </c>
      <c r="I44" s="14" t="inlineStr"/>
      <c r="J44" s="14" t="inlineStr">
        <is>
          <t>Template</t>
        </is>
      </c>
      <c r="K44" s="14" t="inlineStr">
        <is>
          <t>This workbook, sheet Ref System parameters</t>
        </is>
      </c>
      <c r="L44" s="14" t="inlineStr">
        <is>
          <t>16-Jul-2027 (T-24 weeks)</t>
        </is>
      </c>
      <c r="M44" s="14" t="n"/>
      <c r="N44" s="14" t="n"/>
      <c r="O44" s="14" t="n"/>
      <c r="P44" s="14" t="inlineStr">
        <is>
          <t>Not started</t>
        </is>
      </c>
      <c r="Q44" s="14" t="n"/>
    </row>
    <row r="45">
      <c r="A45" s="14" t="inlineStr">
        <is>
          <t>CONFIG_PROMOTION_PRODUCTION_WINDOW</t>
        </is>
      </c>
      <c r="B45" s="14" t="inlineStr">
        <is>
          <t>Config Promotion</t>
        </is>
      </c>
      <c r="C45" s="14" t="inlineStr">
        <is>
          <t>Platform set-up</t>
        </is>
      </c>
      <c r="D45" s="14" t="inlineStr">
        <is>
          <t>Drop 0</t>
        </is>
      </c>
      <c r="E45" s="14" t="inlineStr">
        <is>
          <t>BDOI IT</t>
        </is>
      </c>
      <c r="F45" s="14" t="inlineStr">
        <is>
          <t>Change window in which a configuration package may be applied in production, for example SAT-SUN 20:00-06:00 (days, then the hours; an end before the start runs into the next day); empty = no window, production imports are refused</t>
        </is>
      </c>
      <c r="G45" s="14" t="inlineStr">
        <is>
          <t>string</t>
        </is>
      </c>
      <c r="H45" s="14" t="inlineStr">
        <is>
          <t>(blank)</t>
        </is>
      </c>
      <c r="I45" s="14" t="inlineStr"/>
      <c r="J45" s="14" t="inlineStr">
        <is>
          <t>Template</t>
        </is>
      </c>
      <c r="K45" s="14" t="inlineStr">
        <is>
          <t>This workbook, sheet Ref System parameters</t>
        </is>
      </c>
      <c r="L45" s="14" t="inlineStr">
        <is>
          <t>16-Jul-2027 (T-24 weeks)</t>
        </is>
      </c>
      <c r="M45" s="14" t="n"/>
      <c r="N45" s="14" t="n"/>
      <c r="O45" s="14" t="n"/>
      <c r="P45" s="14" t="inlineStr">
        <is>
          <t>Not started</t>
        </is>
      </c>
      <c r="Q45" s="14" t="n"/>
    </row>
    <row r="46">
      <c r="A46" s="14" t="inlineStr">
        <is>
          <t>SUSPENSE_ACCOUNT_CODES</t>
        </is>
      </c>
      <c r="B46" s="14" t="inlineStr">
        <is>
          <t>Controls</t>
        </is>
      </c>
      <c r="C46" s="14" t="inlineStr">
        <is>
          <t>Accounting, Disbursement and ACSL</t>
        </is>
      </c>
      <c r="D46" s="14" t="inlineStr">
        <is>
          <t>Drop 1</t>
        </is>
      </c>
      <c r="E46" s="14" t="inlineStr">
        <is>
          <t>Head, Comptrollership</t>
        </is>
      </c>
      <c r="F46" s="14" t="inlineStr">
        <is>
          <t>GL account codes monitored by the SUSPENSE_BALANCE exception (blank = accounts named Suspense)</t>
        </is>
      </c>
      <c r="G46" s="14" t="inlineStr">
        <is>
          <t>code list</t>
        </is>
      </c>
      <c r="H46" s="14" t="inlineStr">
        <is>
          <t>(blank)</t>
        </is>
      </c>
      <c r="I46" s="14" t="inlineStr"/>
      <c r="J46" s="14" t="inlineStr">
        <is>
          <t>Template</t>
        </is>
      </c>
      <c r="K46" s="14" t="inlineStr">
        <is>
          <t>This workbook, sheet Ref System parameters</t>
        </is>
      </c>
      <c r="L46" s="14" t="inlineStr">
        <is>
          <t>16-Jul-2027 (T-24 weeks)</t>
        </is>
      </c>
      <c r="M46" s="14" t="n"/>
      <c r="N46" s="14" t="n"/>
      <c r="O46" s="14" t="n"/>
      <c r="P46" s="14" t="inlineStr">
        <is>
          <t>Not started</t>
        </is>
      </c>
      <c r="Q46" s="14" t="n"/>
    </row>
    <row r="47">
      <c r="A47" s="14" t="inlineStr">
        <is>
          <t>CLIENT_MIN_AGE</t>
        </is>
      </c>
      <c r="B47" s="14" t="inlineStr">
        <is>
          <t>Crm</t>
        </is>
      </c>
      <c r="C47" s="14" t="inlineStr">
        <is>
          <t>New Business</t>
        </is>
      </c>
      <c r="D47" s="14" t="inlineStr">
        <is>
          <t>Drop 1</t>
        </is>
      </c>
      <c r="E47" s="14" t="inlineStr">
        <is>
          <t>Product Owner, BDOI (New Business)</t>
        </is>
      </c>
      <c r="F47" s="14" t="inlineStr">
        <is>
          <t>Minimum age in years of an individual policyholder</t>
        </is>
      </c>
      <c r="G47" s="14" t="inlineStr">
        <is>
          <t>integer</t>
        </is>
      </c>
      <c r="H47" s="14" t="inlineStr">
        <is>
          <t>18</t>
        </is>
      </c>
      <c r="I47" s="14" t="inlineStr">
        <is>
          <t>0 to 100</t>
        </is>
      </c>
      <c r="J47" s="14" t="inlineStr">
        <is>
          <t>Template</t>
        </is>
      </c>
      <c r="K47" s="14" t="inlineStr">
        <is>
          <t>This workbook, sheet Ref System parameters</t>
        </is>
      </c>
      <c r="L47" s="14" t="inlineStr">
        <is>
          <t>16-Jul-2027 (T-24 weeks)</t>
        </is>
      </c>
      <c r="M47" s="14" t="n"/>
      <c r="N47" s="14" t="n"/>
      <c r="O47" s="14" t="n"/>
      <c r="P47" s="14" t="inlineStr">
        <is>
          <t>Not started</t>
        </is>
      </c>
      <c r="Q47" s="14" t="n"/>
    </row>
    <row r="48">
      <c r="A48" s="14" t="inlineStr">
        <is>
          <t>CLIENT_MIN_FIELDS_CORPORATE</t>
        </is>
      </c>
      <c r="B48" s="14" t="inlineStr">
        <is>
          <t>Crm</t>
        </is>
      </c>
      <c r="C48" s="14" t="inlineStr">
        <is>
          <t>New Business</t>
        </is>
      </c>
      <c r="D48" s="14" t="inlineStr">
        <is>
          <t>Drop 1</t>
        </is>
      </c>
      <c r="E48" s="14" t="inlineStr">
        <is>
          <t>Product Owner, BDOI (New Business)</t>
        </is>
      </c>
      <c r="F48" s="14" t="inlineStr">
        <is>
          <t>Fields a corporate client needs to be complete. Codes: TIN, ID, CONTACT, ADDRESS, MARKET_SEGMENT, SOURCE_OF_FUNDS</t>
        </is>
      </c>
      <c r="G48" s="14" t="inlineStr">
        <is>
          <t>code list</t>
        </is>
      </c>
      <c r="H48" s="14" t="inlineStr">
        <is>
          <t>TIN,CONTACT,ADDRESS,MARKET_SEGMENT</t>
        </is>
      </c>
      <c r="I48" s="14" t="inlineStr"/>
      <c r="J48" s="14" t="inlineStr">
        <is>
          <t>Template</t>
        </is>
      </c>
      <c r="K48" s="14" t="inlineStr">
        <is>
          <t>This workbook, sheet Ref System parameters</t>
        </is>
      </c>
      <c r="L48" s="14" t="inlineStr">
        <is>
          <t>16-Jul-2027 (T-24 weeks)</t>
        </is>
      </c>
      <c r="M48" s="14" t="n"/>
      <c r="N48" s="14" t="n"/>
      <c r="O48" s="14" t="n"/>
      <c r="P48" s="14" t="inlineStr">
        <is>
          <t>Not started</t>
        </is>
      </c>
      <c r="Q48" s="14" t="n"/>
    </row>
    <row r="49">
      <c r="A49" s="14" t="inlineStr">
        <is>
          <t>CLIENT_MIN_FIELDS_INDIVIDUAL</t>
        </is>
      </c>
      <c r="B49" s="14" t="inlineStr">
        <is>
          <t>Crm</t>
        </is>
      </c>
      <c r="C49" s="14" t="inlineStr">
        <is>
          <t>New Business</t>
        </is>
      </c>
      <c r="D49" s="14" t="inlineStr">
        <is>
          <t>Drop 1</t>
        </is>
      </c>
      <c r="E49" s="14" t="inlineStr">
        <is>
          <t>Product Owner, BDOI (New Business)</t>
        </is>
      </c>
      <c r="F49" s="14" t="inlineStr">
        <is>
          <t>Fields an individual client needs to be complete. Codes: BIRTH_DATE, TIN, ID, CONTACT, ADDRESS, MARKET_SEGMENT, NATIONALITY, SOURCE_OF_FUNDS, OCCUPATION</t>
        </is>
      </c>
      <c r="G49" s="14" t="inlineStr">
        <is>
          <t>code list</t>
        </is>
      </c>
      <c r="H49" s="14" t="inlineStr">
        <is>
          <t>BIRTH_DATE,TIN,ID,CONTACT,ADDRESS,MARKET_SEGMENT</t>
        </is>
      </c>
      <c r="I49" s="14" t="inlineStr"/>
      <c r="J49" s="14" t="inlineStr">
        <is>
          <t>Template</t>
        </is>
      </c>
      <c r="K49" s="14" t="inlineStr">
        <is>
          <t>This workbook, sheet Ref System parameters</t>
        </is>
      </c>
      <c r="L49" s="14" t="inlineStr">
        <is>
          <t>16-Jul-2027 (T-24 weeks)</t>
        </is>
      </c>
      <c r="M49" s="14" t="n"/>
      <c r="N49" s="14" t="n"/>
      <c r="O49" s="14" t="n"/>
      <c r="P49" s="14" t="inlineStr">
        <is>
          <t>Not started</t>
        </is>
      </c>
      <c r="Q49" s="14" t="n"/>
    </row>
    <row r="50">
      <c r="A50" s="14" t="inlineStr">
        <is>
          <t>KYC_DUE_WINDOW_DAYS</t>
        </is>
      </c>
      <c r="B50" s="14" t="inlineStr">
        <is>
          <t>Crm</t>
        </is>
      </c>
      <c r="C50" s="14" t="inlineStr">
        <is>
          <t>New Business</t>
        </is>
      </c>
      <c r="D50" s="14" t="inlineStr">
        <is>
          <t>Drop 1</t>
        </is>
      </c>
      <c r="E50" s="14" t="inlineStr">
        <is>
          <t>Product Owner, BDOI (New Business)</t>
        </is>
      </c>
      <c r="F50" s="14" t="inlineStr">
        <is>
          <t>Days ahead in which a KYC review is listed as coming due</t>
        </is>
      </c>
      <c r="G50" s="14" t="inlineStr">
        <is>
          <t>integer</t>
        </is>
      </c>
      <c r="H50" s="14" t="inlineStr">
        <is>
          <t>30</t>
        </is>
      </c>
      <c r="I50" s="14" t="inlineStr">
        <is>
          <t>0 to 365</t>
        </is>
      </c>
      <c r="J50" s="14" t="inlineStr">
        <is>
          <t>Template</t>
        </is>
      </c>
      <c r="K50" s="14" t="inlineStr">
        <is>
          <t>This workbook, sheet Ref System parameters</t>
        </is>
      </c>
      <c r="L50" s="14" t="inlineStr">
        <is>
          <t>16-Jul-2027 (T-24 weeks)</t>
        </is>
      </c>
      <c r="M50" s="14" t="n"/>
      <c r="N50" s="14" t="n"/>
      <c r="O50" s="14" t="n"/>
      <c r="P50" s="14" t="inlineStr">
        <is>
          <t>Not started</t>
        </is>
      </c>
      <c r="Q50" s="14" t="n"/>
    </row>
    <row r="51">
      <c r="A51" s="14" t="inlineStr">
        <is>
          <t>KYC_REVIEW_MONTHS</t>
        </is>
      </c>
      <c r="B51" s="14" t="inlineStr">
        <is>
          <t>Crm</t>
        </is>
      </c>
      <c r="C51" s="14" t="inlineStr">
        <is>
          <t>New Business</t>
        </is>
      </c>
      <c r="D51" s="14" t="inlineStr">
        <is>
          <t>Drop 1</t>
        </is>
      </c>
      <c r="E51" s="14" t="inlineStr">
        <is>
          <t>Product Owner, BDOI (New Business)</t>
        </is>
      </c>
      <c r="F51" s="14" t="inlineStr">
        <is>
          <t>Months between periodic KYC reviews of standard and low risk clients</t>
        </is>
      </c>
      <c r="G51" s="14" t="inlineStr">
        <is>
          <t>integer</t>
        </is>
      </c>
      <c r="H51" s="14" t="inlineStr">
        <is>
          <t>36</t>
        </is>
      </c>
      <c r="I51" s="14" t="inlineStr">
        <is>
          <t>1 to 120</t>
        </is>
      </c>
      <c r="J51" s="14" t="inlineStr">
        <is>
          <t>Template</t>
        </is>
      </c>
      <c r="K51" s="14" t="inlineStr">
        <is>
          <t>This workbook, sheet Ref System parameters</t>
        </is>
      </c>
      <c r="L51" s="14" t="inlineStr">
        <is>
          <t>16-Jul-2027 (T-24 weeks)</t>
        </is>
      </c>
      <c r="M51" s="14" t="n"/>
      <c r="N51" s="14" t="n"/>
      <c r="O51" s="14" t="n"/>
      <c r="P51" s="14" t="inlineStr">
        <is>
          <t>Not started</t>
        </is>
      </c>
      <c r="Q51" s="14" t="n"/>
    </row>
    <row r="52">
      <c r="A52" s="14" t="inlineStr">
        <is>
          <t>KYC_REVIEW_MONTHS_HIGH_RISK</t>
        </is>
      </c>
      <c r="B52" s="14" t="inlineStr">
        <is>
          <t>Crm</t>
        </is>
      </c>
      <c r="C52" s="14" t="inlineStr">
        <is>
          <t>New Business</t>
        </is>
      </c>
      <c r="D52" s="14" t="inlineStr">
        <is>
          <t>Drop 1</t>
        </is>
      </c>
      <c r="E52" s="14" t="inlineStr">
        <is>
          <t>Product Owner, BDOI (New Business)</t>
        </is>
      </c>
      <c r="F52" s="14" t="inlineStr">
        <is>
          <t>Months between periodic KYC reviews of high risk clients</t>
        </is>
      </c>
      <c r="G52" s="14" t="inlineStr">
        <is>
          <t>integer</t>
        </is>
      </c>
      <c r="H52" s="14" t="inlineStr">
        <is>
          <t>12</t>
        </is>
      </c>
      <c r="I52" s="14" t="inlineStr">
        <is>
          <t>1 to 120</t>
        </is>
      </c>
      <c r="J52" s="14" t="inlineStr">
        <is>
          <t>Template</t>
        </is>
      </c>
      <c r="K52" s="14" t="inlineStr">
        <is>
          <t>This workbook, sheet Ref System parameters</t>
        </is>
      </c>
      <c r="L52" s="14" t="inlineStr">
        <is>
          <t>16-Jul-2027 (T-24 weeks)</t>
        </is>
      </c>
      <c r="M52" s="14" t="n"/>
      <c r="N52" s="14" t="n"/>
      <c r="O52" s="14" t="n"/>
      <c r="P52" s="14" t="inlineStr">
        <is>
          <t>Not started</t>
        </is>
      </c>
      <c r="Q52" s="14" t="n"/>
    </row>
    <row r="53">
      <c r="A53" s="14" t="inlineStr">
        <is>
          <t>CSF_LEGACY_SYNC_ENABLED</t>
        </is>
      </c>
      <c r="B53" s="14" t="inlineStr">
        <is>
          <t>Customer Service</t>
        </is>
      </c>
      <c r="C53" s="14" t="inlineStr">
        <is>
          <t>Customer Servicing Facility</t>
        </is>
      </c>
      <c r="D53" s="14" t="inlineStr">
        <is>
          <t>Drop 1</t>
        </is>
      </c>
      <c r="E53" s="14" t="inlineStr">
        <is>
          <t>Product Owner, Customer Servicing Facility</t>
        </is>
      </c>
      <c r="F53" s="14" t="inlineStr">
        <is>
          <t>Send contact changes to the legacy policy systems while they are still in use</t>
        </is>
      </c>
      <c r="G53" s="14" t="inlineStr">
        <is>
          <t>boolean</t>
        </is>
      </c>
      <c r="H53" s="14" t="inlineStr">
        <is>
          <t>false</t>
        </is>
      </c>
      <c r="I53" s="14" t="inlineStr"/>
      <c r="J53" s="14" t="inlineStr">
        <is>
          <t>Template</t>
        </is>
      </c>
      <c r="K53" s="14" t="inlineStr">
        <is>
          <t>This workbook, sheet Ref System parameters</t>
        </is>
      </c>
      <c r="L53" s="14" t="inlineStr">
        <is>
          <t>16-Jul-2027 (T-24 weeks)</t>
        </is>
      </c>
      <c r="M53" s="14" t="n"/>
      <c r="N53" s="14" t="n"/>
      <c r="O53" s="14" t="n"/>
      <c r="P53" s="14" t="inlineStr">
        <is>
          <t>Not started</t>
        </is>
      </c>
      <c r="Q53" s="14" t="n"/>
    </row>
    <row r="54">
      <c r="A54" s="14" t="inlineStr">
        <is>
          <t>CSF_PAYMENT_HISTORY_MONTHS</t>
        </is>
      </c>
      <c r="B54" s="14" t="inlineStr">
        <is>
          <t>Customer Service</t>
        </is>
      </c>
      <c r="C54" s="14" t="inlineStr">
        <is>
          <t>Customer Servicing Facility</t>
        </is>
      </c>
      <c r="D54" s="14" t="inlineStr">
        <is>
          <t>Drop 1</t>
        </is>
      </c>
      <c r="E54" s="14" t="inlineStr">
        <is>
          <t>Product Owner, Customer Servicing Facility</t>
        </is>
      </c>
      <c r="F54" s="14" t="inlineStr">
        <is>
          <t>Months of payment history the contact centre sees before Show Older</t>
        </is>
      </c>
      <c r="G54" s="14" t="inlineStr">
        <is>
          <t>integer</t>
        </is>
      </c>
      <c r="H54" s="14" t="inlineStr">
        <is>
          <t>12</t>
        </is>
      </c>
      <c r="I54" s="14" t="inlineStr">
        <is>
          <t>1 to 120</t>
        </is>
      </c>
      <c r="J54" s="14" t="inlineStr">
        <is>
          <t>Template</t>
        </is>
      </c>
      <c r="K54" s="14" t="inlineStr">
        <is>
          <t>This workbook, sheet Ref System parameters</t>
        </is>
      </c>
      <c r="L54" s="14" t="inlineStr">
        <is>
          <t>16-Jul-2027 (T-24 weeks)</t>
        </is>
      </c>
      <c r="M54" s="14" t="n"/>
      <c r="N54" s="14" t="n"/>
      <c r="O54" s="14" t="n"/>
      <c r="P54" s="14" t="inlineStr">
        <is>
          <t>Not started</t>
        </is>
      </c>
      <c r="Q54" s="14" t="n"/>
    </row>
    <row r="55">
      <c r="A55" s="14" t="inlineStr">
        <is>
          <t>CSF_SEARCH_MAX_RESULTS</t>
        </is>
      </c>
      <c r="B55" s="14" t="inlineStr">
        <is>
          <t>Customer Service</t>
        </is>
      </c>
      <c r="C55" s="14" t="inlineStr">
        <is>
          <t>Customer Servicing Facility</t>
        </is>
      </c>
      <c r="D55" s="14" t="inlineStr">
        <is>
          <t>Drop 1</t>
        </is>
      </c>
      <c r="E55" s="14" t="inlineStr">
        <is>
          <t>Product Owner, Customer Servicing Facility</t>
        </is>
      </c>
      <c r="F55" s="14" t="inlineStr">
        <is>
          <t>Maximum clients a customer search returns before the contact centre officer must refine it</t>
        </is>
      </c>
      <c r="G55" s="14" t="inlineStr">
        <is>
          <t>integer</t>
        </is>
      </c>
      <c r="H55" s="14" t="inlineStr">
        <is>
          <t>50</t>
        </is>
      </c>
      <c r="I55" s="14" t="inlineStr">
        <is>
          <t>5 to 500</t>
        </is>
      </c>
      <c r="J55" s="14" t="inlineStr">
        <is>
          <t>Template</t>
        </is>
      </c>
      <c r="K55" s="14" t="inlineStr">
        <is>
          <t>This workbook, sheet Ref System parameters</t>
        </is>
      </c>
      <c r="L55" s="14" t="inlineStr">
        <is>
          <t>16-Jul-2027 (T-24 weeks)</t>
        </is>
      </c>
      <c r="M55" s="14" t="n"/>
      <c r="N55" s="14" t="n"/>
      <c r="O55" s="14" t="n"/>
      <c r="P55" s="14" t="inlineStr">
        <is>
          <t>Not started</t>
        </is>
      </c>
      <c r="Q55" s="14" t="n"/>
    </row>
    <row r="56">
      <c r="A56" s="14" t="inlineStr">
        <is>
          <t>CSF_SEARCH_MIN_CHARS</t>
        </is>
      </c>
      <c r="B56" s="14" t="inlineStr">
        <is>
          <t>Customer Service</t>
        </is>
      </c>
      <c r="C56" s="14" t="inlineStr">
        <is>
          <t>Customer Servicing Facility</t>
        </is>
      </c>
      <c r="D56" s="14" t="inlineStr">
        <is>
          <t>Drop 1</t>
        </is>
      </c>
      <c r="E56" s="14" t="inlineStr">
        <is>
          <t>Product Owner, Customer Servicing Facility</t>
        </is>
      </c>
      <c r="F56" s="14" t="inlineStr">
        <is>
          <t>Minimum characters of a client name search</t>
        </is>
      </c>
      <c r="G56" s="14" t="inlineStr">
        <is>
          <t>integer</t>
        </is>
      </c>
      <c r="H56" s="14" t="inlineStr">
        <is>
          <t>3</t>
        </is>
      </c>
      <c r="I56" s="14" t="inlineStr">
        <is>
          <t>1 to 20</t>
        </is>
      </c>
      <c r="J56" s="14" t="inlineStr">
        <is>
          <t>Template</t>
        </is>
      </c>
      <c r="K56" s="14" t="inlineStr">
        <is>
          <t>This workbook, sheet Ref System parameters</t>
        </is>
      </c>
      <c r="L56" s="14" t="inlineStr">
        <is>
          <t>16-Jul-2027 (T-24 weeks)</t>
        </is>
      </c>
      <c r="M56" s="14" t="n"/>
      <c r="N56" s="14" t="n"/>
      <c r="O56" s="14" t="n"/>
      <c r="P56" s="14" t="inlineStr">
        <is>
          <t>Not started</t>
        </is>
      </c>
      <c r="Q56" s="14" t="n"/>
    </row>
    <row r="57">
      <c r="A57" s="14" t="inlineStr">
        <is>
          <t>CSF_VERIFICATION_VALID_MINUTES</t>
        </is>
      </c>
      <c r="B57" s="14" t="inlineStr">
        <is>
          <t>Customer Service</t>
        </is>
      </c>
      <c r="C57" s="14" t="inlineStr">
        <is>
          <t>Customer Servicing Facility</t>
        </is>
      </c>
      <c r="D57" s="14" t="inlineStr">
        <is>
          <t>Drop 1</t>
        </is>
      </c>
      <c r="E57" s="14" t="inlineStr">
        <is>
          <t>Product Owner, Customer Servicing Facility</t>
        </is>
      </c>
      <c r="F57" s="14" t="inlineStr">
        <is>
          <t>Minutes a passed verification of a caller stays valid for a change</t>
        </is>
      </c>
      <c r="G57" s="14" t="inlineStr">
        <is>
          <t>integer</t>
        </is>
      </c>
      <c r="H57" s="14" t="inlineStr">
        <is>
          <t>30</t>
        </is>
      </c>
      <c r="I57" s="14" t="inlineStr">
        <is>
          <t>1 to 480</t>
        </is>
      </c>
      <c r="J57" s="14" t="inlineStr">
        <is>
          <t>Template</t>
        </is>
      </c>
      <c r="K57" s="14" t="inlineStr">
        <is>
          <t>This workbook, sheet Ref System parameters</t>
        </is>
      </c>
      <c r="L57" s="14" t="inlineStr">
        <is>
          <t>16-Jul-2027 (T-24 weeks)</t>
        </is>
      </c>
      <c r="M57" s="14" t="n"/>
      <c r="N57" s="14" t="n"/>
      <c r="O57" s="14" t="n"/>
      <c r="P57" s="14" t="inlineStr">
        <is>
          <t>Not started</t>
        </is>
      </c>
      <c r="Q57" s="14" t="n"/>
    </row>
    <row r="58">
      <c r="A58" s="14" t="inlineStr">
        <is>
          <t>CSF_VERIFY_MAX_FAILS</t>
        </is>
      </c>
      <c r="B58" s="14" t="inlineStr">
        <is>
          <t>Customer Service</t>
        </is>
      </c>
      <c r="C58" s="14" t="inlineStr">
        <is>
          <t>Customer Servicing Facility</t>
        </is>
      </c>
      <c r="D58" s="14" t="inlineStr">
        <is>
          <t>Drop 1</t>
        </is>
      </c>
      <c r="E58" s="14" t="inlineStr">
        <is>
          <t>Product Owner, Customer Servicing Facility</t>
        </is>
      </c>
      <c r="F58" s="14" t="inlineStr">
        <is>
          <t>Failed verifications of one client in a day that raise an alert to the supervisors</t>
        </is>
      </c>
      <c r="G58" s="14" t="inlineStr">
        <is>
          <t>integer</t>
        </is>
      </c>
      <c r="H58" s="14" t="inlineStr">
        <is>
          <t>3</t>
        </is>
      </c>
      <c r="I58" s="14" t="inlineStr">
        <is>
          <t>1 to 20</t>
        </is>
      </c>
      <c r="J58" s="14" t="inlineStr">
        <is>
          <t>Template</t>
        </is>
      </c>
      <c r="K58" s="14" t="inlineStr">
        <is>
          <t>This workbook, sheet Ref System parameters</t>
        </is>
      </c>
      <c r="L58" s="14" t="inlineStr">
        <is>
          <t>16-Jul-2027 (T-24 weeks)</t>
        </is>
      </c>
      <c r="M58" s="14" t="n"/>
      <c r="N58" s="14" t="n"/>
      <c r="O58" s="14" t="n"/>
      <c r="P58" s="14" t="inlineStr">
        <is>
          <t>Not started</t>
        </is>
      </c>
      <c r="Q58" s="14" t="n"/>
    </row>
    <row r="59">
      <c r="A59" s="14" t="inlineStr">
        <is>
          <t>CSF_VERIFY_MIN_MATCHES</t>
        </is>
      </c>
      <c r="B59" s="14" t="inlineStr">
        <is>
          <t>Customer Service</t>
        </is>
      </c>
      <c r="C59" s="14" t="inlineStr">
        <is>
          <t>Customer Servicing Facility</t>
        </is>
      </c>
      <c r="D59" s="14" t="inlineStr">
        <is>
          <t>Drop 1</t>
        </is>
      </c>
      <c r="E59" s="14" t="inlineStr">
        <is>
          <t>Product Owner, Customer Servicing Facility</t>
        </is>
      </c>
      <c r="F59" s="14" t="inlineStr">
        <is>
          <t>Verification checks that must match before the contact details of a client can be changed</t>
        </is>
      </c>
      <c r="G59" s="14" t="inlineStr">
        <is>
          <t>integer</t>
        </is>
      </c>
      <c r="H59" s="14" t="inlineStr">
        <is>
          <t>2</t>
        </is>
      </c>
      <c r="I59" s="14" t="inlineStr">
        <is>
          <t>1 to 10</t>
        </is>
      </c>
      <c r="J59" s="14" t="inlineStr">
        <is>
          <t>Template</t>
        </is>
      </c>
      <c r="K59" s="14" t="inlineStr">
        <is>
          <t>This workbook, sheet Ref System parameters</t>
        </is>
      </c>
      <c r="L59" s="14" t="inlineStr">
        <is>
          <t>16-Jul-2027 (T-24 weeks)</t>
        </is>
      </c>
      <c r="M59" s="14" t="n"/>
      <c r="N59" s="14" t="n"/>
      <c r="O59" s="14" t="n"/>
      <c r="P59" s="14" t="inlineStr">
        <is>
          <t>Not started</t>
        </is>
      </c>
      <c r="Q59" s="14" t="n"/>
    </row>
    <row r="60">
      <c r="A60" s="14" t="inlineStr">
        <is>
          <t>INSURER_DEFAULT_CREDIT_DAYS</t>
        </is>
      </c>
      <c r="B60" s="14" t="inlineStr">
        <is>
          <t>Data Migration</t>
        </is>
      </c>
      <c r="C60" s="14" t="inlineStr">
        <is>
          <t>Data Migration</t>
        </is>
      </c>
      <c r="D60" s="14" t="inlineStr">
        <is>
          <t>Drop 0</t>
        </is>
      </c>
      <c r="E60" s="14" t="inlineStr">
        <is>
          <t>Program Manager, Business Project Services (Data Migration)</t>
        </is>
      </c>
      <c r="F60" s="14" t="inlineStr">
        <is>
          <t>Credit days of an insurer loaded by data migration without credit days</t>
        </is>
      </c>
      <c r="G60" s="14" t="inlineStr">
        <is>
          <t>integer</t>
        </is>
      </c>
      <c r="H60" s="14" t="inlineStr">
        <is>
          <t>30</t>
        </is>
      </c>
      <c r="I60" s="14" t="inlineStr">
        <is>
          <t>0 to 365</t>
        </is>
      </c>
      <c r="J60" s="14" t="inlineStr">
        <is>
          <t>Template</t>
        </is>
      </c>
      <c r="K60" s="14" t="inlineStr">
        <is>
          <t>This workbook, sheet Ref System parameters</t>
        </is>
      </c>
      <c r="L60" s="14" t="inlineStr">
        <is>
          <t>16-Jul-2027 (T-24 weeks)</t>
        </is>
      </c>
      <c r="M60" s="14" t="n"/>
      <c r="N60" s="14" t="n"/>
      <c r="O60" s="14" t="n"/>
      <c r="P60" s="14" t="inlineStr">
        <is>
          <t>Not started</t>
        </is>
      </c>
      <c r="Q60" s="14" t="n"/>
    </row>
    <row r="61">
      <c r="A61" s="14" t="inlineStr">
        <is>
          <t>MIG_ACCESS_EXPORT_ALERT_ROWS</t>
        </is>
      </c>
      <c r="B61" s="14" t="inlineStr">
        <is>
          <t>Data Migration</t>
        </is>
      </c>
      <c r="C61" s="14" t="inlineStr">
        <is>
          <t>Data Migration</t>
        </is>
      </c>
      <c r="D61" s="14" t="inlineStr">
        <is>
          <t>Drop 0</t>
        </is>
      </c>
      <c r="E61" s="14" t="inlineStr">
        <is>
          <t>Program Manager, Business Project Services (Data Migration)</t>
        </is>
      </c>
      <c r="F61" s="14" t="inlineStr">
        <is>
          <t>Archive records exported by one user in a day above which the unusual-access alert is raised</t>
        </is>
      </c>
      <c r="G61" s="14" t="inlineStr">
        <is>
          <t>integer</t>
        </is>
      </c>
      <c r="H61" s="14" t="inlineStr">
        <is>
          <t>5000</t>
        </is>
      </c>
      <c r="I61" s="14" t="inlineStr">
        <is>
          <t>1 to 1000000</t>
        </is>
      </c>
      <c r="J61" s="14" t="inlineStr">
        <is>
          <t>Template</t>
        </is>
      </c>
      <c r="K61" s="14" t="inlineStr">
        <is>
          <t>This workbook, sheet Ref System parameters</t>
        </is>
      </c>
      <c r="L61" s="14" t="inlineStr">
        <is>
          <t>16-Jul-2027 (T-24 weeks)</t>
        </is>
      </c>
      <c r="M61" s="14" t="n"/>
      <c r="N61" s="14" t="n"/>
      <c r="O61" s="14" t="n"/>
      <c r="P61" s="14" t="inlineStr">
        <is>
          <t>Not started</t>
        </is>
      </c>
      <c r="Q61" s="14" t="n"/>
    </row>
    <row r="62">
      <c r="A62" s="14" t="inlineStr">
        <is>
          <t>MIG_AMOUNT_TOLERANCE</t>
        </is>
      </c>
      <c r="B62" s="14" t="inlineStr">
        <is>
          <t>Data Migration</t>
        </is>
      </c>
      <c r="C62" s="14" t="inlineStr">
        <is>
          <t>Data Migration</t>
        </is>
      </c>
      <c r="D62" s="14" t="inlineStr">
        <is>
          <t>Drop 0</t>
        </is>
      </c>
      <c r="E62" s="14" t="inlineStr">
        <is>
          <t>Program Manager, Business Project Services (Data Migration)</t>
        </is>
      </c>
      <c r="F62" s="14" t="inlineStr">
        <is>
          <t>Largest amount difference accepted by the amount reconciliation</t>
        </is>
      </c>
      <c r="G62" s="14" t="inlineStr">
        <is>
          <t>decimal</t>
        </is>
      </c>
      <c r="H62" s="14" t="inlineStr">
        <is>
          <t>0.00</t>
        </is>
      </c>
      <c r="I62" s="14" t="inlineStr"/>
      <c r="J62" s="14" t="inlineStr">
        <is>
          <t>Template</t>
        </is>
      </c>
      <c r="K62" s="14" t="inlineStr">
        <is>
          <t>This workbook, sheet Ref System parameters</t>
        </is>
      </c>
      <c r="L62" s="14" t="inlineStr">
        <is>
          <t>16-Jul-2027 (T-24 weeks)</t>
        </is>
      </c>
      <c r="M62" s="14" t="n"/>
      <c r="N62" s="14" t="n"/>
      <c r="O62" s="14" t="n"/>
      <c r="P62" s="14" t="inlineStr">
        <is>
          <t>Not started</t>
        </is>
      </c>
      <c r="Q62" s="14" t="n"/>
    </row>
    <row r="63">
      <c r="A63" s="14" t="inlineStr">
        <is>
          <t>MIG_ARCHIVE_EXPORT_MAX_ROWS</t>
        </is>
      </c>
      <c r="B63" s="14" t="inlineStr">
        <is>
          <t>Data Migration</t>
        </is>
      </c>
      <c r="C63" s="14" t="inlineStr">
        <is>
          <t>Data Migration</t>
        </is>
      </c>
      <c r="D63" s="14" t="inlineStr">
        <is>
          <t>Drop 0</t>
        </is>
      </c>
      <c r="E63" s="14" t="inlineStr">
        <is>
          <t>Program Manager, Business Project Services (Data Migration)</t>
        </is>
      </c>
      <c r="F63" s="14" t="inlineStr">
        <is>
          <t>Largest number of archive records exported to Excel at a time</t>
        </is>
      </c>
      <c r="G63" s="14" t="inlineStr">
        <is>
          <t>integer</t>
        </is>
      </c>
      <c r="H63" s="14" t="inlineStr">
        <is>
          <t>1000</t>
        </is>
      </c>
      <c r="I63" s="14" t="inlineStr">
        <is>
          <t>1 to 100000</t>
        </is>
      </c>
      <c r="J63" s="14" t="inlineStr">
        <is>
          <t>Template</t>
        </is>
      </c>
      <c r="K63" s="14" t="inlineStr">
        <is>
          <t>This workbook, sheet Ref System parameters</t>
        </is>
      </c>
      <c r="L63" s="14" t="inlineStr">
        <is>
          <t>16-Jul-2027 (T-24 weeks)</t>
        </is>
      </c>
      <c r="M63" s="14" t="n"/>
      <c r="N63" s="14" t="n"/>
      <c r="O63" s="14" t="n"/>
      <c r="P63" s="14" t="inlineStr">
        <is>
          <t>Not started</t>
        </is>
      </c>
      <c r="Q63" s="14" t="n"/>
    </row>
    <row r="64">
      <c r="A64" s="14" t="inlineStr">
        <is>
          <t>MIG_CHUNK_SIZE</t>
        </is>
      </c>
      <c r="B64" s="14" t="inlineStr">
        <is>
          <t>Data Migration</t>
        </is>
      </c>
      <c r="C64" s="14" t="inlineStr">
        <is>
          <t>Data Migration</t>
        </is>
      </c>
      <c r="D64" s="14" t="inlineStr">
        <is>
          <t>Drop 0</t>
        </is>
      </c>
      <c r="E64" s="14" t="inlineStr">
        <is>
          <t>Program Manager, Business Project Services (Data Migration)</t>
        </is>
      </c>
      <c r="F64" s="14" t="inlineStr">
        <is>
          <t>Rows loaded per transaction</t>
        </is>
      </c>
      <c r="G64" s="14" t="inlineStr">
        <is>
          <t>integer</t>
        </is>
      </c>
      <c r="H64" s="14" t="inlineStr">
        <is>
          <t>500</t>
        </is>
      </c>
      <c r="I64" s="14" t="inlineStr">
        <is>
          <t>10 to 5000</t>
        </is>
      </c>
      <c r="J64" s="14" t="inlineStr">
        <is>
          <t>Template</t>
        </is>
      </c>
      <c r="K64" s="14" t="inlineStr">
        <is>
          <t>This workbook, sheet Ref System parameters</t>
        </is>
      </c>
      <c r="L64" s="14" t="inlineStr">
        <is>
          <t>16-Jul-2027 (T-24 weeks)</t>
        </is>
      </c>
      <c r="M64" s="14" t="n"/>
      <c r="N64" s="14" t="n"/>
      <c r="O64" s="14" t="n"/>
      <c r="P64" s="14" t="inlineStr">
        <is>
          <t>Not started</t>
        </is>
      </c>
      <c r="Q64" s="14" t="n"/>
    </row>
    <row r="65">
      <c r="A65" s="14" t="inlineStr">
        <is>
          <t>MIG_CLIENT_MATCH_AUTO</t>
        </is>
      </c>
      <c r="B65" s="14" t="inlineStr">
        <is>
          <t>Data Migration</t>
        </is>
      </c>
      <c r="C65" s="14" t="inlineStr">
        <is>
          <t>Data Migration</t>
        </is>
      </c>
      <c r="D65" s="14" t="inlineStr">
        <is>
          <t>Drop 0</t>
        </is>
      </c>
      <c r="E65" s="14" t="inlineStr">
        <is>
          <t>Program Manager, Business Project Services (Data Migration)</t>
        </is>
      </c>
      <c r="F65" s="14" t="inlineStr">
        <is>
          <t>Client match score from which two legacy clients are merged automatically</t>
        </is>
      </c>
      <c r="G65" s="14" t="inlineStr">
        <is>
          <t>integer</t>
        </is>
      </c>
      <c r="H65" s="14" t="inlineStr">
        <is>
          <t>90</t>
        </is>
      </c>
      <c r="I65" s="14" t="inlineStr">
        <is>
          <t>60 to 100</t>
        </is>
      </c>
      <c r="J65" s="14" t="inlineStr">
        <is>
          <t>Template</t>
        </is>
      </c>
      <c r="K65" s="14" t="inlineStr">
        <is>
          <t>This workbook, sheet Ref System parameters</t>
        </is>
      </c>
      <c r="L65" s="14" t="inlineStr">
        <is>
          <t>16-Jul-2027 (T-24 weeks)</t>
        </is>
      </c>
      <c r="M65" s="14" t="n"/>
      <c r="N65" s="14" t="n"/>
      <c r="O65" s="14" t="n"/>
      <c r="P65" s="14" t="inlineStr">
        <is>
          <t>Not started</t>
        </is>
      </c>
      <c r="Q65" s="14" t="n"/>
    </row>
    <row r="66">
      <c r="A66" s="14" t="inlineStr">
        <is>
          <t>MIG_CLIENT_MATCH_REVIEW</t>
        </is>
      </c>
      <c r="B66" s="14" t="inlineStr">
        <is>
          <t>Data Migration</t>
        </is>
      </c>
      <c r="C66" s="14" t="inlineStr">
        <is>
          <t>Data Migration</t>
        </is>
      </c>
      <c r="D66" s="14" t="inlineStr">
        <is>
          <t>Drop 0</t>
        </is>
      </c>
      <c r="E66" s="14" t="inlineStr">
        <is>
          <t>Program Manager, Business Project Services (Data Migration)</t>
        </is>
      </c>
      <c r="F66" s="14" t="inlineStr">
        <is>
          <t>Client match score from which a pair goes to the Data Steward review queue</t>
        </is>
      </c>
      <c r="G66" s="14" t="inlineStr">
        <is>
          <t>integer</t>
        </is>
      </c>
      <c r="H66" s="14" t="inlineStr">
        <is>
          <t>60</t>
        </is>
      </c>
      <c r="I66" s="14" t="inlineStr">
        <is>
          <t>1 to 100</t>
        </is>
      </c>
      <c r="J66" s="14" t="inlineStr">
        <is>
          <t>Template</t>
        </is>
      </c>
      <c r="K66" s="14" t="inlineStr">
        <is>
          <t>This workbook, sheet Ref System parameters</t>
        </is>
      </c>
      <c r="L66" s="14" t="inlineStr">
        <is>
          <t>16-Jul-2027 (T-24 weeks)</t>
        </is>
      </c>
      <c r="M66" s="14" t="n"/>
      <c r="N66" s="14" t="n"/>
      <c r="O66" s="14" t="n"/>
      <c r="P66" s="14" t="inlineStr">
        <is>
          <t>Not started</t>
        </is>
      </c>
      <c r="Q66" s="14" t="n"/>
    </row>
    <row r="67">
      <c r="A67" s="14" t="inlineStr">
        <is>
          <t>MIG_CUTOVER_DATE</t>
        </is>
      </c>
      <c r="B67" s="14" t="inlineStr">
        <is>
          <t>Data Migration</t>
        </is>
      </c>
      <c r="C67" s="14" t="inlineStr">
        <is>
          <t>Data Migration</t>
        </is>
      </c>
      <c r="D67" s="14" t="inlineStr">
        <is>
          <t>Drop 0</t>
        </is>
      </c>
      <c r="E67" s="14" t="inlineStr">
        <is>
          <t>Program Manager, Business Project Services (Data Migration)</t>
        </is>
      </c>
      <c r="F67" s="14" t="inlineStr">
        <is>
          <t>Go-live date (yyyy-MM-dd); the first business day on BIBS</t>
        </is>
      </c>
      <c r="G67" s="14" t="inlineStr">
        <is>
          <t>string</t>
        </is>
      </c>
      <c r="H67" s="14" t="inlineStr">
        <is>
          <t>2028-01-03</t>
        </is>
      </c>
      <c r="I67" s="14" t="inlineStr"/>
      <c r="J67" s="14" t="inlineStr">
        <is>
          <t>Template</t>
        </is>
      </c>
      <c r="K67" s="14" t="inlineStr">
        <is>
          <t>This workbook, sheet Ref System parameters</t>
        </is>
      </c>
      <c r="L67" s="14" t="inlineStr">
        <is>
          <t>16-Jul-2027 (T-24 weeks)</t>
        </is>
      </c>
      <c r="M67" s="14" t="n"/>
      <c r="N67" s="14" t="n"/>
      <c r="O67" s="14" t="n"/>
      <c r="P67" s="14" t="inlineStr">
        <is>
          <t>Not started</t>
        </is>
      </c>
      <c r="Q67" s="14" t="n"/>
    </row>
    <row r="68">
      <c r="A68" s="14" t="inlineStr">
        <is>
          <t>MIG_ENVIRONMENT_CLASS</t>
        </is>
      </c>
      <c r="B68" s="14" t="inlineStr">
        <is>
          <t>Data Migration</t>
        </is>
      </c>
      <c r="C68" s="14" t="inlineStr">
        <is>
          <t>Data Migration</t>
        </is>
      </c>
      <c r="D68" s="14" t="inlineStr">
        <is>
          <t>Drop 0</t>
        </is>
      </c>
      <c r="E68" s="14" t="inlineStr">
        <is>
          <t>Program Manager, Business Project Services (Data Migration)</t>
        </is>
      </c>
      <c r="F68" s="14" t="inlineStr">
        <is>
          <t>PRODUCTION or NON_PRODUCTION; outside production personal data of the extracts is masked before staging</t>
        </is>
      </c>
      <c r="G68" s="14" t="inlineStr">
        <is>
          <t>string</t>
        </is>
      </c>
      <c r="H68" s="14" t="inlineStr">
        <is>
          <t>NON_PRODUCTION</t>
        </is>
      </c>
      <c r="I68" s="14" t="inlineStr"/>
      <c r="J68" s="14" t="inlineStr">
        <is>
          <t>Template</t>
        </is>
      </c>
      <c r="K68" s="14" t="inlineStr">
        <is>
          <t>This workbook, sheet Ref System parameters</t>
        </is>
      </c>
      <c r="L68" s="14" t="inlineStr">
        <is>
          <t>16-Jul-2027 (T-24 weeks)</t>
        </is>
      </c>
      <c r="M68" s="14" t="n"/>
      <c r="N68" s="14" t="n"/>
      <c r="O68" s="14" t="n"/>
      <c r="P68" s="14" t="inlineStr">
        <is>
          <t>Not started</t>
        </is>
      </c>
      <c r="Q68" s="14" t="n"/>
    </row>
    <row r="69">
      <c r="A69" s="14" t="inlineStr">
        <is>
          <t>MIG_FREEZE_AT</t>
        </is>
      </c>
      <c r="B69" s="14" t="inlineStr">
        <is>
          <t>Data Migration</t>
        </is>
      </c>
      <c r="C69" s="14" t="inlineStr">
        <is>
          <t>Data Migration</t>
        </is>
      </c>
      <c r="D69" s="14" t="inlineStr">
        <is>
          <t>Drop 0</t>
        </is>
      </c>
      <c r="E69" s="14" t="inlineStr">
        <is>
          <t>Program Manager, Business Project Services (Data Migration)</t>
        </is>
      </c>
      <c r="F69" s="14" t="inlineStr">
        <is>
          <t>Start of the legacy business freeze (yyyy-MM-dd HH:mm, Philippine time)</t>
        </is>
      </c>
      <c r="G69" s="14" t="inlineStr">
        <is>
          <t>string</t>
        </is>
      </c>
      <c r="H69" s="14" t="inlineStr">
        <is>
          <t>2027-12-31 22:00</t>
        </is>
      </c>
      <c r="I69" s="14" t="inlineStr"/>
      <c r="J69" s="14" t="inlineStr">
        <is>
          <t>Template</t>
        </is>
      </c>
      <c r="K69" s="14" t="inlineStr">
        <is>
          <t>This workbook, sheet Ref System parameters</t>
        </is>
      </c>
      <c r="L69" s="14" t="inlineStr">
        <is>
          <t>16-Jul-2027 (T-24 weeks)</t>
        </is>
      </c>
      <c r="M69" s="14" t="n"/>
      <c r="N69" s="14" t="n"/>
      <c r="O69" s="14" t="n"/>
      <c r="P69" s="14" t="inlineStr">
        <is>
          <t>Not started</t>
        </is>
      </c>
      <c r="Q69" s="14" t="n"/>
    </row>
    <row r="70">
      <c r="A70" s="14" t="inlineStr">
        <is>
          <t>MIG_GOLIVE_RENEWAL_TO</t>
        </is>
      </c>
      <c r="B70" s="14" t="inlineStr">
        <is>
          <t>Data Migration</t>
        </is>
      </c>
      <c r="C70" s="14" t="inlineStr">
        <is>
          <t>Data Migration</t>
        </is>
      </c>
      <c r="D70" s="14" t="inlineStr">
        <is>
          <t>Drop 0</t>
        </is>
      </c>
      <c r="E70" s="14" t="inlineStr">
        <is>
          <t>Program Manager, Business Project Services (Data Migration)</t>
        </is>
      </c>
      <c r="F70" s="14" t="inlineStr">
        <is>
          <t>Last expiry date of the migrated policies taken over by Renewal at go-live (yyyy-MM-dd)</t>
        </is>
      </c>
      <c r="G70" s="14" t="inlineStr">
        <is>
          <t>string</t>
        </is>
      </c>
      <c r="H70" s="14" t="inlineStr">
        <is>
          <t>2028-05-31</t>
        </is>
      </c>
      <c r="I70" s="14" t="inlineStr"/>
      <c r="J70" s="14" t="inlineStr">
        <is>
          <t>Template</t>
        </is>
      </c>
      <c r="K70" s="14" t="inlineStr">
        <is>
          <t>This workbook, sheet Ref System parameters</t>
        </is>
      </c>
      <c r="L70" s="14" t="inlineStr">
        <is>
          <t>16-Jul-2027 (T-24 weeks)</t>
        </is>
      </c>
      <c r="M70" s="14" t="n"/>
      <c r="N70" s="14" t="n"/>
      <c r="O70" s="14" t="n"/>
      <c r="P70" s="14" t="inlineStr">
        <is>
          <t>Not started</t>
        </is>
      </c>
      <c r="Q70" s="14" t="n"/>
    </row>
    <row r="71">
      <c r="A71" s="14" t="inlineStr">
        <is>
          <t>MIG_INVOICE_NO_COLLISION_PREFIX</t>
        </is>
      </c>
      <c r="B71" s="14" t="inlineStr">
        <is>
          <t>Data Migration</t>
        </is>
      </c>
      <c r="C71" s="14" t="inlineStr">
        <is>
          <t>Data Migration</t>
        </is>
      </c>
      <c r="D71" s="14" t="inlineStr">
        <is>
          <t>Drop 0</t>
        </is>
      </c>
      <c r="E71" s="14" t="inlineStr">
        <is>
          <t>Program Manager, Business Project Services (Data Migration)</t>
        </is>
      </c>
      <c r="F71" s="14" t="inlineStr">
        <is>
          <t>Prefix the source system to a legacy invoice number found in two source systems</t>
        </is>
      </c>
      <c r="G71" s="14" t="inlineStr">
        <is>
          <t>boolean</t>
        </is>
      </c>
      <c r="H71" s="14" t="inlineStr">
        <is>
          <t>true</t>
        </is>
      </c>
      <c r="I71" s="14" t="inlineStr"/>
      <c r="J71" s="14" t="inlineStr">
        <is>
          <t>Template</t>
        </is>
      </c>
      <c r="K71" s="14" t="inlineStr">
        <is>
          <t>This workbook, sheet Ref Document numbering</t>
        </is>
      </c>
      <c r="L71" s="14" t="inlineStr">
        <is>
          <t>16-Jul-2027 (T-24 weeks)</t>
        </is>
      </c>
      <c r="M71" s="14" t="n"/>
      <c r="N71" s="14" t="n"/>
      <c r="O71" s="14" t="n"/>
      <c r="P71" s="14" t="inlineStr">
        <is>
          <t>Not started</t>
        </is>
      </c>
      <c r="Q71" s="14" t="n"/>
    </row>
    <row r="72">
      <c r="A72" s="14" t="inlineStr">
        <is>
          <t>MIG_LAST_LEGACY_BUSINESS_DAY</t>
        </is>
      </c>
      <c r="B72" s="14" t="inlineStr">
        <is>
          <t>Data Migration</t>
        </is>
      </c>
      <c r="C72" s="14" t="inlineStr">
        <is>
          <t>Data Migration</t>
        </is>
      </c>
      <c r="D72" s="14" t="inlineStr">
        <is>
          <t>Drop 0</t>
        </is>
      </c>
      <c r="E72" s="14" t="inlineStr">
        <is>
          <t>Program Manager, Business Project Services (Data Migration)</t>
        </is>
      </c>
      <c r="F72" s="14" t="inlineStr">
        <is>
          <t>Last business day processed in the legacy systems (yyyy-MM-dd)</t>
        </is>
      </c>
      <c r="G72" s="14" t="inlineStr">
        <is>
          <t>string</t>
        </is>
      </c>
      <c r="H72" s="14" t="inlineStr">
        <is>
          <t>2027-12-29</t>
        </is>
      </c>
      <c r="I72" s="14" t="inlineStr"/>
      <c r="J72" s="14" t="inlineStr">
        <is>
          <t>Template</t>
        </is>
      </c>
      <c r="K72" s="14" t="inlineStr">
        <is>
          <t>This workbook, sheet Ref System parameters</t>
        </is>
      </c>
      <c r="L72" s="14" t="inlineStr">
        <is>
          <t>16-Jul-2027 (T-24 weeks)</t>
        </is>
      </c>
      <c r="M72" s="14" t="n"/>
      <c r="N72" s="14" t="n"/>
      <c r="O72" s="14" t="n"/>
      <c r="P72" s="14" t="inlineStr">
        <is>
          <t>Not started</t>
        </is>
      </c>
      <c r="Q72" s="14" t="n"/>
    </row>
    <row r="73">
      <c r="A73" s="14" t="inlineStr">
        <is>
          <t>MIG_LEGACY_ACCESS_REASON_REQUIRED</t>
        </is>
      </c>
      <c r="B73" s="14" t="inlineStr">
        <is>
          <t>Data Migration</t>
        </is>
      </c>
      <c r="C73" s="14" t="inlineStr">
        <is>
          <t>Data Migration</t>
        </is>
      </c>
      <c r="D73" s="14" t="inlineStr">
        <is>
          <t>Drop 0</t>
        </is>
      </c>
      <c r="E73" s="14" t="inlineStr">
        <is>
          <t>Program Manager, Business Project Services (Data Migration)</t>
        </is>
      </c>
      <c r="F73" s="14" t="inlineStr">
        <is>
          <t>A reason is required before the legacy archive is searched</t>
        </is>
      </c>
      <c r="G73" s="14" t="inlineStr">
        <is>
          <t>boolean</t>
        </is>
      </c>
      <c r="H73" s="14" t="inlineStr">
        <is>
          <t>true</t>
        </is>
      </c>
      <c r="I73" s="14" t="inlineStr"/>
      <c r="J73" s="14" t="inlineStr">
        <is>
          <t>Template</t>
        </is>
      </c>
      <c r="K73" s="14" t="inlineStr">
        <is>
          <t>This workbook, sheet Ref System parameters</t>
        </is>
      </c>
      <c r="L73" s="14" t="inlineStr">
        <is>
          <t>16-Jul-2027 (T-24 weeks)</t>
        </is>
      </c>
      <c r="M73" s="14" t="n"/>
      <c r="N73" s="14" t="n"/>
      <c r="O73" s="14" t="n"/>
      <c r="P73" s="14" t="inlineStr">
        <is>
          <t>Not started</t>
        </is>
      </c>
      <c r="Q73" s="14" t="n"/>
    </row>
    <row r="74">
      <c r="A74" s="14" t="inlineStr">
        <is>
          <t>MIG_LEGACY_INVOICE_NO_PATTERN</t>
        </is>
      </c>
      <c r="B74" s="14" t="inlineStr">
        <is>
          <t>Data Migration</t>
        </is>
      </c>
      <c r="C74" s="14" t="inlineStr">
        <is>
          <t>Data Migration</t>
        </is>
      </c>
      <c r="D74" s="14" t="inlineStr">
        <is>
          <t>Drop 0</t>
        </is>
      </c>
      <c r="E74" s="14" t="inlineStr">
        <is>
          <t>Program Manager, Business Project Services (Data Migration)</t>
        </is>
      </c>
      <c r="F74" s="14" t="inlineStr">
        <is>
          <t>Patterns of legacy invoice numbers recognised by the payment matcher (comma separated regular expressions)</t>
        </is>
      </c>
      <c r="G74" s="14" t="inlineStr">
        <is>
          <t>string</t>
        </is>
      </c>
      <c r="H74" s="14" t="inlineStr">
        <is>
          <t>^I\d{8}$</t>
        </is>
      </c>
      <c r="I74" s="14" t="inlineStr"/>
      <c r="J74" s="14" t="inlineStr">
        <is>
          <t>Template</t>
        </is>
      </c>
      <c r="K74" s="14" t="inlineStr">
        <is>
          <t>This workbook, sheet Ref System parameters</t>
        </is>
      </c>
      <c r="L74" s="14" t="inlineStr">
        <is>
          <t>16-Jul-2027 (T-24 weeks)</t>
        </is>
      </c>
      <c r="M74" s="14" t="n"/>
      <c r="N74" s="14" t="n"/>
      <c r="O74" s="14" t="n"/>
      <c r="P74" s="14" t="inlineStr">
        <is>
          <t>Not started</t>
        </is>
      </c>
      <c r="Q74" s="14" t="n"/>
    </row>
    <row r="75">
      <c r="A75" s="14" t="inlineStr">
        <is>
          <t>MIG_LEGACY_LINK_EBIX</t>
        </is>
      </c>
      <c r="B75" s="14" t="inlineStr">
        <is>
          <t>Data Migration</t>
        </is>
      </c>
      <c r="C75" s="14" t="inlineStr">
        <is>
          <t>Data Migration</t>
        </is>
      </c>
      <c r="D75" s="14" t="inlineStr">
        <is>
          <t>Drop 0</t>
        </is>
      </c>
      <c r="E75" s="14" t="inlineStr">
        <is>
          <t>Program Manager, Business Project Services (Data Migration)</t>
        </is>
      </c>
      <c r="F75" s="14" t="inlineStr">
        <is>
          <t>Address of the read-only EBIX application for users who still need it</t>
        </is>
      </c>
      <c r="G75" s="14" t="inlineStr">
        <is>
          <t>string</t>
        </is>
      </c>
      <c r="H75" s="14" t="inlineStr">
        <is>
          <t>(blank)</t>
        </is>
      </c>
      <c r="I75" s="14" t="inlineStr"/>
      <c r="J75" s="14" t="inlineStr">
        <is>
          <t>Template</t>
        </is>
      </c>
      <c r="K75" s="14" t="inlineStr">
        <is>
          <t>This workbook, sheet Ref System parameters</t>
        </is>
      </c>
      <c r="L75" s="14" t="inlineStr">
        <is>
          <t>16-Jul-2027 (T-24 weeks)</t>
        </is>
      </c>
      <c r="M75" s="14" t="n"/>
      <c r="N75" s="14" t="n"/>
      <c r="O75" s="14" t="n"/>
      <c r="P75" s="14" t="inlineStr">
        <is>
          <t>Not started</t>
        </is>
      </c>
      <c r="Q75" s="14" t="n"/>
    </row>
    <row r="76">
      <c r="A76" s="14" t="inlineStr">
        <is>
          <t>MIG_LEGACY_LINK_QPS</t>
        </is>
      </c>
      <c r="B76" s="14" t="inlineStr">
        <is>
          <t>Data Migration</t>
        </is>
      </c>
      <c r="C76" s="14" t="inlineStr">
        <is>
          <t>Data Migration</t>
        </is>
      </c>
      <c r="D76" s="14" t="inlineStr">
        <is>
          <t>Drop 0</t>
        </is>
      </c>
      <c r="E76" s="14" t="inlineStr">
        <is>
          <t>Program Manager, Business Project Services (Data Migration)</t>
        </is>
      </c>
      <c r="F76" s="14" t="inlineStr">
        <is>
          <t>Address of the read-only QPS application for users who still need it</t>
        </is>
      </c>
      <c r="G76" s="14" t="inlineStr">
        <is>
          <t>string</t>
        </is>
      </c>
      <c r="H76" s="14" t="inlineStr">
        <is>
          <t>(blank)</t>
        </is>
      </c>
      <c r="I76" s="14" t="inlineStr"/>
      <c r="J76" s="14" t="inlineStr">
        <is>
          <t>Template</t>
        </is>
      </c>
      <c r="K76" s="14" t="inlineStr">
        <is>
          <t>This workbook, sheet Ref System parameters</t>
        </is>
      </c>
      <c r="L76" s="14" t="inlineStr">
        <is>
          <t>16-Jul-2027 (T-24 weeks)</t>
        </is>
      </c>
      <c r="M76" s="14" t="n"/>
      <c r="N76" s="14" t="n"/>
      <c r="O76" s="14" t="n"/>
      <c r="P76" s="14" t="inlineStr">
        <is>
          <t>Not started</t>
        </is>
      </c>
      <c r="Q76" s="14" t="n"/>
    </row>
    <row r="77">
      <c r="A77" s="14" t="inlineStr">
        <is>
          <t>MIG_MAX_ERROR_RATE_FINANCIAL</t>
        </is>
      </c>
      <c r="B77" s="14" t="inlineStr">
        <is>
          <t>Data Migration</t>
        </is>
      </c>
      <c r="C77" s="14" t="inlineStr">
        <is>
          <t>Data Migration</t>
        </is>
      </c>
      <c r="D77" s="14" t="inlineStr">
        <is>
          <t>Drop 0</t>
        </is>
      </c>
      <c r="E77" s="14" t="inlineStr">
        <is>
          <t>Program Manager, Business Project Services (Data Migration)</t>
        </is>
      </c>
      <c r="F77" s="14" t="inlineStr">
        <is>
          <t>Largest percentage of failing or waived rows with which open items, unapplied payments and the trial balance may be loaded</t>
        </is>
      </c>
      <c r="G77" s="14" t="inlineStr">
        <is>
          <t>decimal</t>
        </is>
      </c>
      <c r="H77" s="14" t="inlineStr">
        <is>
          <t>0</t>
        </is>
      </c>
      <c r="I77" s="14" t="inlineStr"/>
      <c r="J77" s="14" t="inlineStr">
        <is>
          <t>Template</t>
        </is>
      </c>
      <c r="K77" s="14" t="inlineStr">
        <is>
          <t>This workbook, sheet Ref System parameters</t>
        </is>
      </c>
      <c r="L77" s="14" t="inlineStr">
        <is>
          <t>16-Jul-2027 (T-24 weeks)</t>
        </is>
      </c>
      <c r="M77" s="14" t="n"/>
      <c r="N77" s="14" t="n"/>
      <c r="O77" s="14" t="n"/>
      <c r="P77" s="14" t="inlineStr">
        <is>
          <t>Not started</t>
        </is>
      </c>
      <c r="Q77" s="14" t="n"/>
    </row>
    <row r="78">
      <c r="A78" s="14" t="inlineStr">
        <is>
          <t>MIG_MAX_ERROR_RATE_MASTER</t>
        </is>
      </c>
      <c r="B78" s="14" t="inlineStr">
        <is>
          <t>Data Migration</t>
        </is>
      </c>
      <c r="C78" s="14" t="inlineStr">
        <is>
          <t>Data Migration</t>
        </is>
      </c>
      <c r="D78" s="14" t="inlineStr">
        <is>
          <t>Drop 0</t>
        </is>
      </c>
      <c r="E78" s="14" t="inlineStr">
        <is>
          <t>Program Manager, Business Project Services (Data Migration)</t>
        </is>
      </c>
      <c r="F78" s="14" t="inlineStr">
        <is>
          <t>Largest percentage of failing or waived rows with which master data may be loaded</t>
        </is>
      </c>
      <c r="G78" s="14" t="inlineStr">
        <is>
          <t>decimal</t>
        </is>
      </c>
      <c r="H78" s="14" t="inlineStr">
        <is>
          <t>0.5</t>
        </is>
      </c>
      <c r="I78" s="14" t="inlineStr"/>
      <c r="J78" s="14" t="inlineStr">
        <is>
          <t>Template</t>
        </is>
      </c>
      <c r="K78" s="14" t="inlineStr">
        <is>
          <t>This workbook, sheet Ref System parameters</t>
        </is>
      </c>
      <c r="L78" s="14" t="inlineStr">
        <is>
          <t>16-Jul-2027 (T-24 weeks)</t>
        </is>
      </c>
      <c r="M78" s="14" t="n"/>
      <c r="N78" s="14" t="n"/>
      <c r="O78" s="14" t="n"/>
      <c r="P78" s="14" t="inlineStr">
        <is>
          <t>Not started</t>
        </is>
      </c>
      <c r="Q78" s="14" t="n"/>
    </row>
    <row r="79">
      <c r="A79" s="14" t="inlineStr">
        <is>
          <t>MIG_OPENING_VALUE_DATE</t>
        </is>
      </c>
      <c r="B79" s="14" t="inlineStr">
        <is>
          <t>Data Migration</t>
        </is>
      </c>
      <c r="C79" s="14" t="inlineStr">
        <is>
          <t>Data Migration</t>
        </is>
      </c>
      <c r="D79" s="14" t="inlineStr">
        <is>
          <t>Drop 0</t>
        </is>
      </c>
      <c r="E79" s="14" t="inlineStr">
        <is>
          <t>Program Manager, Business Project Services (Data Migration)</t>
        </is>
      </c>
      <c r="F79" s="14" t="inlineStr">
        <is>
          <t>Value date of the opening entries and of the opening-balance adjustments (yyyy-MM-dd)</t>
        </is>
      </c>
      <c r="G79" s="14" t="inlineStr">
        <is>
          <t>string</t>
        </is>
      </c>
      <c r="H79" s="14" t="inlineStr">
        <is>
          <t>2028-01-01</t>
        </is>
      </c>
      <c r="I79" s="14" t="inlineStr"/>
      <c r="J79" s="14" t="inlineStr">
        <is>
          <t>Template</t>
        </is>
      </c>
      <c r="K79" s="14" t="inlineStr">
        <is>
          <t>This workbook, sheet Ref System parameters</t>
        </is>
      </c>
      <c r="L79" s="14" t="inlineStr">
        <is>
          <t>16-Jul-2027 (T-24 weeks)</t>
        </is>
      </c>
      <c r="M79" s="14" t="n"/>
      <c r="N79" s="14" t="n"/>
      <c r="O79" s="14" t="n"/>
      <c r="P79" s="14" t="inlineStr">
        <is>
          <t>Not started</t>
        </is>
      </c>
      <c r="Q79" s="14" t="n"/>
    </row>
    <row r="80">
      <c r="A80" s="14" t="inlineStr">
        <is>
          <t>MIG_PARTITIONS</t>
        </is>
      </c>
      <c r="B80" s="14" t="inlineStr">
        <is>
          <t>Data Migration</t>
        </is>
      </c>
      <c r="C80" s="14" t="inlineStr">
        <is>
          <t>Data Migration</t>
        </is>
      </c>
      <c r="D80" s="14" t="inlineStr">
        <is>
          <t>Drop 0</t>
        </is>
      </c>
      <c r="E80" s="14" t="inlineStr">
        <is>
          <t>Program Manager, Business Project Services (Data Migration)</t>
        </is>
      </c>
      <c r="F80" s="14" t="inlineStr">
        <is>
          <t>Partitions loaded in parallel</t>
        </is>
      </c>
      <c r="G80" s="14" t="inlineStr">
        <is>
          <t>integer</t>
        </is>
      </c>
      <c r="H80" s="14" t="inlineStr">
        <is>
          <t>4</t>
        </is>
      </c>
      <c r="I80" s="14" t="inlineStr">
        <is>
          <t>1 to 16</t>
        </is>
      </c>
      <c r="J80" s="14" t="inlineStr">
        <is>
          <t>Template</t>
        </is>
      </c>
      <c r="K80" s="14" t="inlineStr">
        <is>
          <t>This workbook, sheet Ref System parameters</t>
        </is>
      </c>
      <c r="L80" s="14" t="inlineStr">
        <is>
          <t>16-Jul-2027 (T-24 weeks)</t>
        </is>
      </c>
      <c r="M80" s="14" t="n"/>
      <c r="N80" s="14" t="n"/>
      <c r="O80" s="14" t="n"/>
      <c r="P80" s="14" t="inlineStr">
        <is>
          <t>Not started</t>
        </is>
      </c>
      <c r="Q80" s="14" t="n"/>
    </row>
    <row r="81">
      <c r="A81" s="14" t="inlineStr">
        <is>
          <t>MIG_RA_MAX_LEAD_DAYS</t>
        </is>
      </c>
      <c r="B81" s="14" t="inlineStr">
        <is>
          <t>Data Migration</t>
        </is>
      </c>
      <c r="C81" s="14" t="inlineStr">
        <is>
          <t>Data Migration</t>
        </is>
      </c>
      <c r="D81" s="14" t="inlineStr">
        <is>
          <t>Drop 0</t>
        </is>
      </c>
      <c r="E81" s="14" t="inlineStr">
        <is>
          <t>Program Manager, Business Project Services (Data Migration)</t>
        </is>
      </c>
      <c r="F81" s="14" t="inlineStr">
        <is>
          <t>An advice already sent more than this number of days before expiry is loaded with a warning</t>
        </is>
      </c>
      <c r="G81" s="14" t="inlineStr">
        <is>
          <t>integer</t>
        </is>
      </c>
      <c r="H81" s="14" t="inlineStr">
        <is>
          <t>140</t>
        </is>
      </c>
      <c r="I81" s="14" t="inlineStr">
        <is>
          <t>1 to 365</t>
        </is>
      </c>
      <c r="J81" s="14" t="inlineStr">
        <is>
          <t>Template</t>
        </is>
      </c>
      <c r="K81" s="14" t="inlineStr">
        <is>
          <t>This workbook, sheet Ref System parameters</t>
        </is>
      </c>
      <c r="L81" s="14" t="inlineStr">
        <is>
          <t>16-Jul-2027 (T-24 weeks)</t>
        </is>
      </c>
      <c r="M81" s="14" t="n"/>
      <c r="N81" s="14" t="n"/>
      <c r="O81" s="14" t="n"/>
      <c r="P81" s="14" t="inlineStr">
        <is>
          <t>Not started</t>
        </is>
      </c>
      <c r="Q81" s="14" t="n"/>
    </row>
    <row r="82">
      <c r="A82" s="14" t="inlineStr">
        <is>
          <t>MIG_RENEWAL_URGENT_TO</t>
        </is>
      </c>
      <c r="B82" s="14" t="inlineStr">
        <is>
          <t>Data Migration</t>
        </is>
      </c>
      <c r="C82" s="14" t="inlineStr">
        <is>
          <t>Data Migration</t>
        </is>
      </c>
      <c r="D82" s="14" t="inlineStr">
        <is>
          <t>Drop 0</t>
        </is>
      </c>
      <c r="E82" s="14" t="inlineStr">
        <is>
          <t>Program Manager, Business Project Services (Data Migration)</t>
        </is>
      </c>
      <c r="F82" s="14" t="inlineStr">
        <is>
          <t>Migrated policies expiring up to this date are flagged urgent in the go-live renewal queue (yyyy-MM-dd)</t>
        </is>
      </c>
      <c r="G82" s="14" t="inlineStr">
        <is>
          <t>string</t>
        </is>
      </c>
      <c r="H82" s="14" t="inlineStr">
        <is>
          <t>2028-01-31</t>
        </is>
      </c>
      <c r="I82" s="14" t="inlineStr"/>
      <c r="J82" s="14" t="inlineStr">
        <is>
          <t>Template</t>
        </is>
      </c>
      <c r="K82" s="14" t="inlineStr">
        <is>
          <t>This workbook, sheet Ref System parameters</t>
        </is>
      </c>
      <c r="L82" s="14" t="inlineStr">
        <is>
          <t>16-Jul-2027 (T-24 weeks)</t>
        </is>
      </c>
      <c r="M82" s="14" t="n"/>
      <c r="N82" s="14" t="n"/>
      <c r="O82" s="14" t="n"/>
      <c r="P82" s="14" t="inlineStr">
        <is>
          <t>Not started</t>
        </is>
      </c>
      <c r="Q82" s="14" t="n"/>
    </row>
    <row r="83">
      <c r="A83" s="14" t="inlineStr">
        <is>
          <t>MIG_RESUBMIT_DEADLINE</t>
        </is>
      </c>
      <c r="B83" s="14" t="inlineStr">
        <is>
          <t>Data Migration</t>
        </is>
      </c>
      <c r="C83" s="14" t="inlineStr">
        <is>
          <t>Data Migration</t>
        </is>
      </c>
      <c r="D83" s="14" t="inlineStr">
        <is>
          <t>Drop 0</t>
        </is>
      </c>
      <c r="E83" s="14" t="inlineStr">
        <is>
          <t>Program Manager, Business Project Services (Data Migration)</t>
        </is>
      </c>
      <c r="F83" s="14" t="inlineStr">
        <is>
          <t>Last time a corrected resubmission of the advices already sent may be approved (yyyy-MM-dd HH:mm, Philippine time)</t>
        </is>
      </c>
      <c r="G83" s="14" t="inlineStr">
        <is>
          <t>string</t>
        </is>
      </c>
      <c r="H83" s="14" t="inlineStr">
        <is>
          <t>2028-01-02 12:00</t>
        </is>
      </c>
      <c r="I83" s="14" t="inlineStr"/>
      <c r="J83" s="14" t="inlineStr">
        <is>
          <t>Template</t>
        </is>
      </c>
      <c r="K83" s="14" t="inlineStr">
        <is>
          <t>This workbook, sheet Ref System parameters</t>
        </is>
      </c>
      <c r="L83" s="14" t="inlineStr">
        <is>
          <t>16-Jul-2027 (T-24 weeks)</t>
        </is>
      </c>
      <c r="M83" s="14" t="n"/>
      <c r="N83" s="14" t="n"/>
      <c r="O83" s="14" t="n"/>
      <c r="P83" s="14" t="inlineStr">
        <is>
          <t>Not started</t>
        </is>
      </c>
      <c r="Q83" s="14" t="n"/>
    </row>
    <row r="84">
      <c r="A84" s="14" t="inlineStr">
        <is>
          <t>MIG_STAGING_RETENTION_DAYS</t>
        </is>
      </c>
      <c r="B84" s="14" t="inlineStr">
        <is>
          <t>Data Migration</t>
        </is>
      </c>
      <c r="C84" s="14" t="inlineStr">
        <is>
          <t>Data Migration</t>
        </is>
      </c>
      <c r="D84" s="14" t="inlineStr">
        <is>
          <t>Drop 0</t>
        </is>
      </c>
      <c r="E84" s="14" t="inlineStr">
        <is>
          <t>Program Manager, Business Project Services (Data Migration)</t>
        </is>
      </c>
      <c r="F84" s="14" t="inlineStr">
        <is>
          <t>Days staging data and extract files are kept after the batch is signed off or rolled back</t>
        </is>
      </c>
      <c r="G84" s="14" t="inlineStr">
        <is>
          <t>integer</t>
        </is>
      </c>
      <c r="H84" s="14" t="inlineStr">
        <is>
          <t>5</t>
        </is>
      </c>
      <c r="I84" s="14" t="inlineStr">
        <is>
          <t>1 to 5</t>
        </is>
      </c>
      <c r="J84" s="14" t="inlineStr">
        <is>
          <t>Template</t>
        </is>
      </c>
      <c r="K84" s="14" t="inlineStr">
        <is>
          <t>This workbook, sheet Ref System parameters</t>
        </is>
      </c>
      <c r="L84" s="14" t="inlineStr">
        <is>
          <t>16-Jul-2027 (T-24 weeks)</t>
        </is>
      </c>
      <c r="M84" s="14" t="n"/>
      <c r="N84" s="14" t="n"/>
      <c r="O84" s="14" t="n"/>
      <c r="P84" s="14" t="inlineStr">
        <is>
          <t>Not started</t>
        </is>
      </c>
      <c r="Q84" s="14" t="n"/>
    </row>
    <row r="85">
      <c r="A85" s="14" t="inlineStr">
        <is>
          <t>MIG_UPP_ISSUE_AR</t>
        </is>
      </c>
      <c r="B85" s="14" t="inlineStr">
        <is>
          <t>Data Migration</t>
        </is>
      </c>
      <c r="C85" s="14" t="inlineStr">
        <is>
          <t>Data Migration</t>
        </is>
      </c>
      <c r="D85" s="14" t="inlineStr">
        <is>
          <t>Drop 0</t>
        </is>
      </c>
      <c r="E85" s="14" t="inlineStr">
        <is>
          <t>Program Manager, Business Project Services (Data Migration)</t>
        </is>
      </c>
      <c r="F85" s="14" t="inlineStr">
        <is>
          <t>Issue a BIBS acknowledgement receipt for each migrated unapplied payment (no cash posting)</t>
        </is>
      </c>
      <c r="G85" s="14" t="inlineStr">
        <is>
          <t>boolean</t>
        </is>
      </c>
      <c r="H85" s="14" t="inlineStr">
        <is>
          <t>false</t>
        </is>
      </c>
      <c r="I85" s="14" t="inlineStr"/>
      <c r="J85" s="14" t="inlineStr">
        <is>
          <t>Template</t>
        </is>
      </c>
      <c r="K85" s="14" t="inlineStr">
        <is>
          <t>This workbook, sheet Ref System parameters</t>
        </is>
      </c>
      <c r="L85" s="14" t="inlineStr">
        <is>
          <t>16-Jul-2027 (T-24 weeks)</t>
        </is>
      </c>
      <c r="M85" s="14" t="n"/>
      <c r="N85" s="14" t="n"/>
      <c r="O85" s="14" t="n"/>
      <c r="P85" s="14" t="inlineStr">
        <is>
          <t>Not started</t>
        </is>
      </c>
      <c r="Q85" s="14" t="n"/>
    </row>
    <row r="86">
      <c r="A86" s="14" t="inlineStr">
        <is>
          <t>MIG_YEAR_END_OPTION</t>
        </is>
      </c>
      <c r="B86" s="14" t="inlineStr">
        <is>
          <t>Data Migration</t>
        </is>
      </c>
      <c r="C86" s="14" t="inlineStr">
        <is>
          <t>Data Migration</t>
        </is>
      </c>
      <c r="D86" s="14" t="inlineStr">
        <is>
          <t>Drop 0</t>
        </is>
      </c>
      <c r="E86" s="14" t="inlineStr">
        <is>
          <t>Program Manager, Business Project Services (Data Migration)</t>
        </is>
      </c>
      <c r="F86" s="14" t="inlineStr">
        <is>
          <t>Year-end cut-over option: A = provisional opening trial balance at the year-end boundary with controlled true-ups</t>
        </is>
      </c>
      <c r="G86" s="14" t="inlineStr">
        <is>
          <t>string</t>
        </is>
      </c>
      <c r="H86" s="14" t="inlineStr">
        <is>
          <t>A</t>
        </is>
      </c>
      <c r="I86" s="14" t="inlineStr"/>
      <c r="J86" s="14" t="inlineStr">
        <is>
          <t>Template</t>
        </is>
      </c>
      <c r="K86" s="14" t="inlineStr">
        <is>
          <t>This workbook, sheet Ref System parameters</t>
        </is>
      </c>
      <c r="L86" s="14" t="inlineStr">
        <is>
          <t>16-Jul-2027 (T-24 weeks)</t>
        </is>
      </c>
      <c r="M86" s="14" t="n"/>
      <c r="N86" s="14" t="n"/>
      <c r="O86" s="14" t="n"/>
      <c r="P86" s="14" t="inlineStr">
        <is>
          <t>Not started</t>
        </is>
      </c>
      <c r="Q86" s="14" t="n"/>
    </row>
    <row r="87">
      <c r="A87" s="14" t="inlineStr">
        <is>
          <t>DISB_AUTO_APPROVER_ROUTING</t>
        </is>
      </c>
      <c r="B87" s="14" t="inlineStr">
        <is>
          <t>Disbursement</t>
        </is>
      </c>
      <c r="C87" s="14" t="inlineStr">
        <is>
          <t>Accounting, Disbursement and ACSL</t>
        </is>
      </c>
      <c r="D87" s="14" t="inlineStr">
        <is>
          <t>Drop 1</t>
        </is>
      </c>
      <c r="E87" s="14" t="inlineStr">
        <is>
          <t>Head, Comptrollership</t>
        </is>
      </c>
      <c r="F87" s="14" t="inlineStr">
        <is>
          <t>Request types whose disbursement voucher is prepared automatically and routed straight to the approver</t>
        </is>
      </c>
      <c r="G87" s="14" t="inlineStr">
        <is>
          <t>code list</t>
        </is>
      </c>
      <c r="H87" s="14" t="inlineStr">
        <is>
          <t>REFUND,REMITTANCE</t>
        </is>
      </c>
      <c r="I87" s="14" t="inlineStr"/>
      <c r="J87" s="14" t="inlineStr">
        <is>
          <t>Template</t>
        </is>
      </c>
      <c r="K87" s="14" t="inlineStr">
        <is>
          <t>This workbook, sheet Ref System parameters</t>
        </is>
      </c>
      <c r="L87" s="14" t="inlineStr">
        <is>
          <t>16-Jul-2027 (T-24 weeks)</t>
        </is>
      </c>
      <c r="M87" s="14" t="n"/>
      <c r="N87" s="14" t="n"/>
      <c r="O87" s="14" t="n"/>
      <c r="P87" s="14" t="inlineStr">
        <is>
          <t>Not started</t>
        </is>
      </c>
      <c r="Q87" s="14" t="n"/>
    </row>
    <row r="88">
      <c r="A88" s="14" t="inlineStr">
        <is>
          <t>DISB_CHECK_CLEARING</t>
        </is>
      </c>
      <c r="B88" s="14" t="inlineStr">
        <is>
          <t>Disbursement</t>
        </is>
      </c>
      <c r="C88" s="14" t="inlineStr">
        <is>
          <t>Accounting, Disbursement and ACSL</t>
        </is>
      </c>
      <c r="D88" s="14" t="inlineStr">
        <is>
          <t>Drop 1</t>
        </is>
      </c>
      <c r="E88" s="14" t="inlineStr">
        <is>
          <t>Head, Comptrollership</t>
        </is>
      </c>
      <c r="F88" s="14" t="inlineStr">
        <is>
          <t>ON: issued checks are credited to checks outstanding until negotiated; OFF: to the bank at approval</t>
        </is>
      </c>
      <c r="G88" s="14" t="inlineStr">
        <is>
          <t>string</t>
        </is>
      </c>
      <c r="H88" s="14" t="inlineStr">
        <is>
          <t>ON</t>
        </is>
      </c>
      <c r="I88" s="14" t="inlineStr"/>
      <c r="J88" s="14" t="inlineStr">
        <is>
          <t>Template</t>
        </is>
      </c>
      <c r="K88" s="14" t="inlineStr">
        <is>
          <t>This workbook, sheet Ref System parameters</t>
        </is>
      </c>
      <c r="L88" s="14" t="inlineStr">
        <is>
          <t>16-Jul-2027 (T-24 weeks)</t>
        </is>
      </c>
      <c r="M88" s="14" t="n"/>
      <c r="N88" s="14" t="n"/>
      <c r="O88" s="14" t="n"/>
      <c r="P88" s="14" t="inlineStr">
        <is>
          <t>Not started</t>
        </is>
      </c>
      <c r="Q88" s="14" t="n"/>
    </row>
    <row r="89">
      <c r="A89" s="14" t="inlineStr">
        <is>
          <t>DISB_CHECK_CLEARING_ACCOUNT</t>
        </is>
      </c>
      <c r="B89" s="14" t="inlineStr">
        <is>
          <t>Disbursement</t>
        </is>
      </c>
      <c r="C89" s="14" t="inlineStr">
        <is>
          <t>Accounting, Disbursement and ACSL</t>
        </is>
      </c>
      <c r="D89" s="14" t="inlineStr">
        <is>
          <t>Drop 1</t>
        </is>
      </c>
      <c r="E89" s="14" t="inlineStr">
        <is>
          <t>Head, Comptrollership</t>
        </is>
      </c>
      <c r="F89" s="14" t="inlineStr">
        <is>
          <t>Checks outstanding clearing account credited for issued checks while DISB_CHECK_CLEARING = ON</t>
        </is>
      </c>
      <c r="G89" s="14" t="inlineStr">
        <is>
          <t>string</t>
        </is>
      </c>
      <c r="H89" s="14" t="inlineStr">
        <is>
          <t>2241</t>
        </is>
      </c>
      <c r="I89" s="14" t="inlineStr"/>
      <c r="J89" s="14" t="inlineStr">
        <is>
          <t>Template</t>
        </is>
      </c>
      <c r="K89" s="14" t="inlineStr">
        <is>
          <t>This workbook, sheet Ref System parameters</t>
        </is>
      </c>
      <c r="L89" s="14" t="inlineStr">
        <is>
          <t>16-Jul-2027 (T-24 weeks)</t>
        </is>
      </c>
      <c r="M89" s="14" t="n"/>
      <c r="N89" s="14" t="n"/>
      <c r="O89" s="14" t="n"/>
      <c r="P89" s="14" t="inlineStr">
        <is>
          <t>Not started</t>
        </is>
      </c>
      <c r="Q89" s="14" t="n"/>
    </row>
    <row r="90">
      <c r="A90" s="14" t="inlineStr">
        <is>
          <t>DISB_CHECK_SERIES_WARNING</t>
        </is>
      </c>
      <c r="B90" s="14" t="inlineStr">
        <is>
          <t>Disbursement</t>
        </is>
      </c>
      <c r="C90" s="14" t="inlineStr">
        <is>
          <t>Accounting, Disbursement and ACSL</t>
        </is>
      </c>
      <c r="D90" s="14" t="inlineStr">
        <is>
          <t>Drop 1</t>
        </is>
      </c>
      <c r="E90" s="14" t="inlineStr">
        <is>
          <t>Head, Comptrollership</t>
        </is>
      </c>
      <c r="F90" s="14" t="inlineStr">
        <is>
          <t>Remaining check leaves of a paying account at which CHECK_SERIES_LOW is raised</t>
        </is>
      </c>
      <c r="G90" s="14" t="inlineStr">
        <is>
          <t>integer</t>
        </is>
      </c>
      <c r="H90" s="14" t="inlineStr">
        <is>
          <t>20</t>
        </is>
      </c>
      <c r="I90" s="14" t="inlineStr">
        <is>
          <t>1 to 1000</t>
        </is>
      </c>
      <c r="J90" s="14" t="inlineStr">
        <is>
          <t>Template</t>
        </is>
      </c>
      <c r="K90" s="14" t="inlineStr">
        <is>
          <t>This workbook, sheet Ref System parameters</t>
        </is>
      </c>
      <c r="L90" s="14" t="inlineStr">
        <is>
          <t>16-Jul-2027 (T-24 weeks)</t>
        </is>
      </c>
      <c r="M90" s="14" t="n"/>
      <c r="N90" s="14" t="n"/>
      <c r="O90" s="14" t="n"/>
      <c r="P90" s="14" t="inlineStr">
        <is>
          <t>Not started</t>
        </is>
      </c>
      <c r="Q90" s="14" t="n"/>
    </row>
    <row r="91">
      <c r="A91" s="14" t="inlineStr">
        <is>
          <t>DISB_NO_PAYEE_ACTION</t>
        </is>
      </c>
      <c r="B91" s="14" t="inlineStr">
        <is>
          <t>Disbursement</t>
        </is>
      </c>
      <c r="C91" s="14" t="inlineStr">
        <is>
          <t>Accounting, Disbursement and ACSL</t>
        </is>
      </c>
      <c r="D91" s="14" t="inlineStr">
        <is>
          <t>Drop 1</t>
        </is>
      </c>
      <c r="E91" s="14" t="inlineStr">
        <is>
          <t>Head, Comptrollership</t>
        </is>
      </c>
      <c r="F91" s="14" t="inlineStr">
        <is>
          <t>Gateway request whose payee is not maintained: HOLD keeps it as NO_PAYEE, raises DISB_PAYEE_NO_MATCH and a payee request and resumes it once the payee is authorised; RETURN returns it at once to its source</t>
        </is>
      </c>
      <c r="G91" s="14" t="inlineStr">
        <is>
          <t>string</t>
        </is>
      </c>
      <c r="H91" s="14" t="inlineStr">
        <is>
          <t>HOLD</t>
        </is>
      </c>
      <c r="I91" s="14" t="inlineStr"/>
      <c r="J91" s="14" t="inlineStr">
        <is>
          <t>Template</t>
        </is>
      </c>
      <c r="K91" s="14" t="inlineStr">
        <is>
          <t>This workbook, sheet Ref System parameters</t>
        </is>
      </c>
      <c r="L91" s="14" t="inlineStr">
        <is>
          <t>16-Jul-2027 (T-24 weeks)</t>
        </is>
      </c>
      <c r="M91" s="14" t="n"/>
      <c r="N91" s="14" t="n"/>
      <c r="O91" s="14" t="n"/>
      <c r="P91" s="14" t="inlineStr">
        <is>
          <t>Not started</t>
        </is>
      </c>
      <c r="Q91" s="14" t="n"/>
    </row>
    <row r="92">
      <c r="A92" s="14" t="inlineStr">
        <is>
          <t>DISB_STALE_DAYS</t>
        </is>
      </c>
      <c r="B92" s="14" t="inlineStr">
        <is>
          <t>Disbursement</t>
        </is>
      </c>
      <c r="C92" s="14" t="inlineStr">
        <is>
          <t>Accounting, Disbursement and ACSL</t>
        </is>
      </c>
      <c r="D92" s="14" t="inlineStr">
        <is>
          <t>Drop 1</t>
        </is>
      </c>
      <c r="E92" s="14" t="inlineStr">
        <is>
          <t>Head, Comptrollership</t>
        </is>
      </c>
      <c r="F92" s="14" t="inlineStr">
        <is>
          <t>Days after the print date at which a printed or released check becomes stale</t>
        </is>
      </c>
      <c r="G92" s="14" t="inlineStr">
        <is>
          <t>integer</t>
        </is>
      </c>
      <c r="H92" s="14" t="inlineStr">
        <is>
          <t>180</t>
        </is>
      </c>
      <c r="I92" s="14" t="inlineStr">
        <is>
          <t>30 to 720</t>
        </is>
      </c>
      <c r="J92" s="14" t="inlineStr">
        <is>
          <t>Template</t>
        </is>
      </c>
      <c r="K92" s="14" t="inlineStr">
        <is>
          <t>This workbook, sheet Ref System parameters</t>
        </is>
      </c>
      <c r="L92" s="14" t="inlineStr">
        <is>
          <t>16-Jul-2027 (T-24 weeks)</t>
        </is>
      </c>
      <c r="M92" s="14" t="n"/>
      <c r="N92" s="14" t="n"/>
      <c r="O92" s="14" t="n"/>
      <c r="P92" s="14" t="inlineStr">
        <is>
          <t>Not started</t>
        </is>
      </c>
      <c r="Q92" s="14" t="n"/>
    </row>
    <row r="93">
      <c r="A93" s="14" t="inlineStr">
        <is>
          <t>EARLY_INCENTIVE_WTAX_RATE</t>
        </is>
      </c>
      <c r="B93" s="14" t="inlineStr">
        <is>
          <t>Disbursement</t>
        </is>
      </c>
      <c r="C93" s="14" t="inlineStr">
        <is>
          <t>Accounting, Disbursement and ACSL</t>
        </is>
      </c>
      <c r="D93" s="14" t="inlineStr">
        <is>
          <t>Drop 1</t>
        </is>
      </c>
      <c r="E93" s="14" t="inlineStr">
        <is>
          <t>Head, Comptrollership</t>
        </is>
      </c>
      <c r="F93" s="14" t="inlineStr">
        <is>
          <t>Withholding tax rate (percent) of the early-incentive service invoice</t>
        </is>
      </c>
      <c r="G93" s="14" t="inlineStr">
        <is>
          <t>decimal</t>
        </is>
      </c>
      <c r="H93" s="14" t="inlineStr">
        <is>
          <t>2</t>
        </is>
      </c>
      <c r="I93" s="14" t="inlineStr">
        <is>
          <t>0 to 100</t>
        </is>
      </c>
      <c r="J93" s="14" t="inlineStr">
        <is>
          <t>Template</t>
        </is>
      </c>
      <c r="K93" s="14" t="inlineStr">
        <is>
          <t>This workbook, sheet Ref System parameters</t>
        </is>
      </c>
      <c r="L93" s="14" t="inlineStr">
        <is>
          <t>16-Jul-2027 (T-24 weeks)</t>
        </is>
      </c>
      <c r="M93" s="14" t="n"/>
      <c r="N93" s="14" t="n"/>
      <c r="O93" s="14" t="n"/>
      <c r="P93" s="14" t="inlineStr">
        <is>
          <t>Not started</t>
        </is>
      </c>
      <c r="Q93" s="14" t="n"/>
    </row>
    <row r="94">
      <c r="A94" s="14" t="inlineStr">
        <is>
          <t>EB_ADJ_BOOKING_REQUIRES_PAYMENT</t>
        </is>
      </c>
      <c r="B94" s="14" t="inlineStr">
        <is>
          <t>Employee Benefits</t>
        </is>
      </c>
      <c r="C94" s="14" t="inlineStr">
        <is>
          <t>Employee Benefits</t>
        </is>
      </c>
      <c r="D94" s="14" t="inlineStr">
        <is>
          <t>Drop 2</t>
        </is>
      </c>
      <c r="E94" s="14" t="inlineStr">
        <is>
          <t>Product Owner, Employee Benefits</t>
        </is>
      </c>
      <c r="F94" s="14" t="inlineStr">
        <is>
          <t>Raise the endorsement request of a member change only after its billing is paid</t>
        </is>
      </c>
      <c r="G94" s="14" t="inlineStr">
        <is>
          <t>boolean</t>
        </is>
      </c>
      <c r="H94" s="14" t="inlineStr">
        <is>
          <t>false</t>
        </is>
      </c>
      <c r="I94" s="14" t="inlineStr"/>
      <c r="J94" s="14" t="inlineStr">
        <is>
          <t>Template</t>
        </is>
      </c>
      <c r="K94" s="14" t="inlineStr">
        <is>
          <t>This workbook, sheet Ref System parameters</t>
        </is>
      </c>
      <c r="L94" s="14" t="inlineStr">
        <is>
          <t>16-Jul-2027 (T-24 weeks)</t>
        </is>
      </c>
      <c r="M94" s="14" t="n"/>
      <c r="N94" s="14" t="n"/>
      <c r="O94" s="14" t="n"/>
      <c r="P94" s="14" t="inlineStr">
        <is>
          <t>Not started</t>
        </is>
      </c>
      <c r="Q94" s="14" t="n"/>
    </row>
    <row r="95">
      <c r="A95" s="14" t="inlineStr">
        <is>
          <t>EB_COMPARATIVE_DAYS</t>
        </is>
      </c>
      <c r="B95" s="14" t="inlineStr">
        <is>
          <t>Employee Benefits</t>
        </is>
      </c>
      <c r="C95" s="14" t="inlineStr">
        <is>
          <t>Employee Benefits</t>
        </is>
      </c>
      <c r="D95" s="14" t="inlineStr">
        <is>
          <t>Drop 2</t>
        </is>
      </c>
      <c r="E95" s="14" t="inlineStr">
        <is>
          <t>Product Owner, Employee Benefits</t>
        </is>
      </c>
      <c r="F95" s="14" t="inlineStr">
        <is>
          <t>Working days from the last proposal to the comparative sent to the client</t>
        </is>
      </c>
      <c r="G95" s="14" t="inlineStr">
        <is>
          <t>integer</t>
        </is>
      </c>
      <c r="H95" s="14" t="inlineStr">
        <is>
          <t>3</t>
        </is>
      </c>
      <c r="I95" s="14" t="inlineStr">
        <is>
          <t>1 to 30</t>
        </is>
      </c>
      <c r="J95" s="14" t="inlineStr">
        <is>
          <t>Template</t>
        </is>
      </c>
      <c r="K95" s="14" t="inlineStr">
        <is>
          <t>This workbook, sheet Ref System parameters</t>
        </is>
      </c>
      <c r="L95" s="14" t="inlineStr">
        <is>
          <t>16-Jul-2027 (T-24 weeks)</t>
        </is>
      </c>
      <c r="M95" s="14" t="n"/>
      <c r="N95" s="14" t="n"/>
      <c r="O95" s="14" t="n"/>
      <c r="P95" s="14" t="inlineStr">
        <is>
          <t>Not started</t>
        </is>
      </c>
      <c r="Q95" s="14" t="n"/>
    </row>
    <row r="96">
      <c r="A96" s="14" t="inlineStr">
        <is>
          <t>EB_FOLLOWUP_DAYS</t>
        </is>
      </c>
      <c r="B96" s="14" t="inlineStr">
        <is>
          <t>Employee Benefits</t>
        </is>
      </c>
      <c r="C96" s="14" t="inlineStr">
        <is>
          <t>Employee Benefits</t>
        </is>
      </c>
      <c r="D96" s="14" t="inlineStr">
        <is>
          <t>Drop 2</t>
        </is>
      </c>
      <c r="E96" s="14" t="inlineStr">
        <is>
          <t>Product Owner, Employee Benefits</t>
        </is>
      </c>
      <c r="F96" s="14" t="inlineStr">
        <is>
          <t>Working days between follow-ups of a pending tracked item</t>
        </is>
      </c>
      <c r="G96" s="14" t="inlineStr">
        <is>
          <t>integer</t>
        </is>
      </c>
      <c r="H96" s="14" t="inlineStr">
        <is>
          <t>5</t>
        </is>
      </c>
      <c r="I96" s="14" t="inlineStr">
        <is>
          <t>1 to 60</t>
        </is>
      </c>
      <c r="J96" s="14" t="inlineStr">
        <is>
          <t>Template</t>
        </is>
      </c>
      <c r="K96" s="14" t="inlineStr">
        <is>
          <t>This workbook, sheet Ref System parameters</t>
        </is>
      </c>
      <c r="L96" s="14" t="inlineStr">
        <is>
          <t>16-Jul-2027 (T-24 weeks)</t>
        </is>
      </c>
      <c r="M96" s="14" t="n"/>
      <c r="N96" s="14" t="n"/>
      <c r="O96" s="14" t="n"/>
      <c r="P96" s="14" t="inlineStr">
        <is>
          <t>Not started</t>
        </is>
      </c>
      <c r="Q96" s="14" t="n"/>
    </row>
    <row r="97">
      <c r="A97" s="14" t="inlineStr">
        <is>
          <t>EB_FOLLOWUP_MAX</t>
        </is>
      </c>
      <c r="B97" s="14" t="inlineStr">
        <is>
          <t>Employee Benefits</t>
        </is>
      </c>
      <c r="C97" s="14" t="inlineStr">
        <is>
          <t>Employee Benefits</t>
        </is>
      </c>
      <c r="D97" s="14" t="inlineStr">
        <is>
          <t>Drop 2</t>
        </is>
      </c>
      <c r="E97" s="14" t="inlineStr">
        <is>
          <t>Product Owner, Employee Benefits</t>
        </is>
      </c>
      <c r="F97" s="14" t="inlineStr">
        <is>
          <t>Follow-ups sent before a tracked item is escalated</t>
        </is>
      </c>
      <c r="G97" s="14" t="inlineStr">
        <is>
          <t>integer</t>
        </is>
      </c>
      <c r="H97" s="14" t="inlineStr">
        <is>
          <t>3</t>
        </is>
      </c>
      <c r="I97" s="14" t="inlineStr">
        <is>
          <t>1 to 20</t>
        </is>
      </c>
      <c r="J97" s="14" t="inlineStr">
        <is>
          <t>Template</t>
        </is>
      </c>
      <c r="K97" s="14" t="inlineStr">
        <is>
          <t>This workbook, sheet Ref System parameters</t>
        </is>
      </c>
      <c r="L97" s="14" t="inlineStr">
        <is>
          <t>16-Jul-2027 (T-24 weeks)</t>
        </is>
      </c>
      <c r="M97" s="14" t="n"/>
      <c r="N97" s="14" t="n"/>
      <c r="O97" s="14" t="n"/>
      <c r="P97" s="14" t="inlineStr">
        <is>
          <t>Not started</t>
        </is>
      </c>
      <c r="Q97" s="14" t="n"/>
    </row>
    <row r="98">
      <c r="A98" s="14" t="inlineStr">
        <is>
          <t>EB_FRANCHISE_ADVICE_DAYS</t>
        </is>
      </c>
      <c r="B98" s="14" t="inlineStr">
        <is>
          <t>Employee Benefits</t>
        </is>
      </c>
      <c r="C98" s="14" t="inlineStr">
        <is>
          <t>Employee Benefits</t>
        </is>
      </c>
      <c r="D98" s="14" t="inlineStr">
        <is>
          <t>Drop 2</t>
        </is>
      </c>
      <c r="E98" s="14" t="inlineStr">
        <is>
          <t>Product Owner, Employee Benefits</t>
        </is>
      </c>
      <c r="F98" s="14" t="inlineStr">
        <is>
          <t>Working days to advise the client of the franchise outcome</t>
        </is>
      </c>
      <c r="G98" s="14" t="inlineStr">
        <is>
          <t>integer</t>
        </is>
      </c>
      <c r="H98" s="14" t="inlineStr">
        <is>
          <t>2</t>
        </is>
      </c>
      <c r="I98" s="14" t="inlineStr">
        <is>
          <t>1 to 30</t>
        </is>
      </c>
      <c r="J98" s="14" t="inlineStr">
        <is>
          <t>Template</t>
        </is>
      </c>
      <c r="K98" s="14" t="inlineStr">
        <is>
          <t>This workbook, sheet Ref System parameters</t>
        </is>
      </c>
      <c r="L98" s="14" t="inlineStr">
        <is>
          <t>16-Jul-2027 (T-24 weeks)</t>
        </is>
      </c>
      <c r="M98" s="14" t="n"/>
      <c r="N98" s="14" t="n"/>
      <c r="O98" s="14" t="n"/>
      <c r="P98" s="14" t="inlineStr">
        <is>
          <t>Not started</t>
        </is>
      </c>
      <c r="Q98" s="14" t="n"/>
    </row>
    <row r="99">
      <c r="A99" s="14" t="inlineStr">
        <is>
          <t>EB_FRANCHISE_GRACE_DAYS</t>
        </is>
      </c>
      <c r="B99" s="14" t="inlineStr">
        <is>
          <t>Employee Benefits</t>
        </is>
      </c>
      <c r="C99" s="14" t="inlineStr">
        <is>
          <t>Employee Benefits</t>
        </is>
      </c>
      <c r="D99" s="14" t="inlineStr">
        <is>
          <t>Drop 2</t>
        </is>
      </c>
      <c r="E99" s="14" t="inlineStr">
        <is>
          <t>Product Owner, Employee Benefits</t>
        </is>
      </c>
      <c r="F99" s="14" t="inlineStr">
        <is>
          <t>Working days after the franchise decision date before an undecided franchise request expires</t>
        </is>
      </c>
      <c r="G99" s="14" t="inlineStr">
        <is>
          <t>integer</t>
        </is>
      </c>
      <c r="H99" s="14" t="inlineStr">
        <is>
          <t>2</t>
        </is>
      </c>
      <c r="I99" s="14" t="inlineStr">
        <is>
          <t>0 to 30</t>
        </is>
      </c>
      <c r="J99" s="14" t="inlineStr">
        <is>
          <t>Template</t>
        </is>
      </c>
      <c r="K99" s="14" t="inlineStr">
        <is>
          <t>This workbook, sheet Ref System parameters</t>
        </is>
      </c>
      <c r="L99" s="14" t="inlineStr">
        <is>
          <t>16-Jul-2027 (T-24 weeks)</t>
        </is>
      </c>
      <c r="M99" s="14" t="n"/>
      <c r="N99" s="14" t="n"/>
      <c r="O99" s="14" t="n"/>
      <c r="P99" s="14" t="inlineStr">
        <is>
          <t>Not started</t>
        </is>
      </c>
      <c r="Q99" s="14" t="n"/>
    </row>
    <row r="100">
      <c r="A100" s="14" t="inlineStr">
        <is>
          <t>EB_FRANCHISE_TAT_DAYS</t>
        </is>
      </c>
      <c r="B100" s="14" t="inlineStr">
        <is>
          <t>Employee Benefits</t>
        </is>
      </c>
      <c r="C100" s="14" t="inlineStr">
        <is>
          <t>Employee Benefits</t>
        </is>
      </c>
      <c r="D100" s="14" t="inlineStr">
        <is>
          <t>Drop 2</t>
        </is>
      </c>
      <c r="E100" s="14" t="inlineStr">
        <is>
          <t>Product Owner, Employee Benefits</t>
        </is>
      </c>
      <c r="F100" s="14" t="inlineStr">
        <is>
          <t>Working days for the insurer franchise decision</t>
        </is>
      </c>
      <c r="G100" s="14" t="inlineStr">
        <is>
          <t>integer</t>
        </is>
      </c>
      <c r="H100" s="14" t="inlineStr">
        <is>
          <t>5</t>
        </is>
      </c>
      <c r="I100" s="14" t="inlineStr">
        <is>
          <t>1 to 60</t>
        </is>
      </c>
      <c r="J100" s="14" t="inlineStr">
        <is>
          <t>Template</t>
        </is>
      </c>
      <c r="K100" s="14" t="inlineStr">
        <is>
          <t>This workbook, sheet Ref System parameters</t>
        </is>
      </c>
      <c r="L100" s="14" t="inlineStr">
        <is>
          <t>16-Jul-2027 (T-24 weeks)</t>
        </is>
      </c>
      <c r="M100" s="14" t="n"/>
      <c r="N100" s="14" t="n"/>
      <c r="O100" s="14" t="n"/>
      <c r="P100" s="14" t="inlineStr">
        <is>
          <t>Not started</t>
        </is>
      </c>
      <c r="Q100" s="14" t="n"/>
    </row>
    <row r="101">
      <c r="A101" s="14" t="inlineStr">
        <is>
          <t>EB_PROPOSAL_REPLY_DAYS</t>
        </is>
      </c>
      <c r="B101" s="14" t="inlineStr">
        <is>
          <t>Employee Benefits</t>
        </is>
      </c>
      <c r="C101" s="14" t="inlineStr">
        <is>
          <t>Employee Benefits</t>
        </is>
      </c>
      <c r="D101" s="14" t="inlineStr">
        <is>
          <t>Drop 2</t>
        </is>
      </c>
      <c r="E101" s="14" t="inlineStr">
        <is>
          <t>Product Owner, Employee Benefits</t>
        </is>
      </c>
      <c r="F101" s="14" t="inlineStr">
        <is>
          <t>Working days an insurer has to answer a request for proposal</t>
        </is>
      </c>
      <c r="G101" s="14" t="inlineStr">
        <is>
          <t>integer</t>
        </is>
      </c>
      <c r="H101" s="14" t="inlineStr">
        <is>
          <t>5</t>
        </is>
      </c>
      <c r="I101" s="14" t="inlineStr">
        <is>
          <t>1 to 60</t>
        </is>
      </c>
      <c r="J101" s="14" t="inlineStr">
        <is>
          <t>Template</t>
        </is>
      </c>
      <c r="K101" s="14" t="inlineStr">
        <is>
          <t>This workbook, sheet Ref System parameters</t>
        </is>
      </c>
      <c r="L101" s="14" t="inlineStr">
        <is>
          <t>16-Jul-2027 (T-24 weeks)</t>
        </is>
      </c>
      <c r="M101" s="14" t="n"/>
      <c r="N101" s="14" t="n"/>
      <c r="O101" s="14" t="n"/>
      <c r="P101" s="14" t="inlineStr">
        <is>
          <t>Not started</t>
        </is>
      </c>
      <c r="Q101" s="14" t="n"/>
    </row>
    <row r="102">
      <c r="A102" s="14" t="inlineStr">
        <is>
          <t>EB_RA_LEAD_DAYS</t>
        </is>
      </c>
      <c r="B102" s="14" t="inlineStr">
        <is>
          <t>Employee Benefits</t>
        </is>
      </c>
      <c r="C102" s="14" t="inlineStr">
        <is>
          <t>Employee Benefits</t>
        </is>
      </c>
      <c r="D102" s="14" t="inlineStr">
        <is>
          <t>Drop 2</t>
        </is>
      </c>
      <c r="E102" s="14" t="inlineStr">
        <is>
          <t>Product Owner, Employee Benefits</t>
        </is>
      </c>
      <c r="F102" s="14" t="inlineStr">
        <is>
          <t>Days before expiry the renewal advice is sent and the renewal cycle opened</t>
        </is>
      </c>
      <c r="G102" s="14" t="inlineStr">
        <is>
          <t>integer</t>
        </is>
      </c>
      <c r="H102" s="14" t="inlineStr">
        <is>
          <t>135</t>
        </is>
      </c>
      <c r="I102" s="14" t="inlineStr">
        <is>
          <t>1 to 365</t>
        </is>
      </c>
      <c r="J102" s="14" t="inlineStr">
        <is>
          <t>Template</t>
        </is>
      </c>
      <c r="K102" s="14" t="inlineStr">
        <is>
          <t>This workbook, sheet Ref System parameters</t>
        </is>
      </c>
      <c r="L102" s="14" t="inlineStr">
        <is>
          <t>16-Jul-2027 (T-24 weeks)</t>
        </is>
      </c>
      <c r="M102" s="14" t="n"/>
      <c r="N102" s="14" t="n"/>
      <c r="O102" s="14" t="n"/>
      <c r="P102" s="14" t="inlineStr">
        <is>
          <t>Not started</t>
        </is>
      </c>
      <c r="Q102" s="14" t="n"/>
    </row>
    <row r="103">
      <c r="A103" s="14" t="inlineStr">
        <is>
          <t>EB_RA_REMINDER_DAYS</t>
        </is>
      </c>
      <c r="B103" s="14" t="inlineStr">
        <is>
          <t>Employee Benefits</t>
        </is>
      </c>
      <c r="C103" s="14" t="inlineStr">
        <is>
          <t>Employee Benefits</t>
        </is>
      </c>
      <c r="D103" s="14" t="inlineStr">
        <is>
          <t>Drop 2</t>
        </is>
      </c>
      <c r="E103" s="14" t="inlineStr">
        <is>
          <t>Product Owner, Employee Benefits</t>
        </is>
      </c>
      <c r="F103" s="14" t="inlineStr">
        <is>
          <t>Days before expiry of the RA reminders while no feedback is recorded</t>
        </is>
      </c>
      <c r="G103" s="14" t="inlineStr">
        <is>
          <t>integer list</t>
        </is>
      </c>
      <c r="H103" s="14" t="inlineStr">
        <is>
          <t>90,105,120</t>
        </is>
      </c>
      <c r="I103" s="14" t="inlineStr">
        <is>
          <t>1 to 365</t>
        </is>
      </c>
      <c r="J103" s="14" t="inlineStr">
        <is>
          <t>Template</t>
        </is>
      </c>
      <c r="K103" s="14" t="inlineStr">
        <is>
          <t>This workbook, sheet Ref System parameters</t>
        </is>
      </c>
      <c r="L103" s="14" t="inlineStr">
        <is>
          <t>16-Jul-2027 (T-24 weeks)</t>
        </is>
      </c>
      <c r="M103" s="14" t="n"/>
      <c r="N103" s="14" t="n"/>
      <c r="O103" s="14" t="n"/>
      <c r="P103" s="14" t="inlineStr">
        <is>
          <t>Not started</t>
        </is>
      </c>
      <c r="Q103" s="14" t="n"/>
    </row>
    <row r="104">
      <c r="A104" s="14" t="inlineStr">
        <is>
          <t>EB_TAT_BOOKING</t>
        </is>
      </c>
      <c r="B104" s="14" t="inlineStr">
        <is>
          <t>Employee Benefits</t>
        </is>
      </c>
      <c r="C104" s="14" t="inlineStr">
        <is>
          <t>Employee Benefits</t>
        </is>
      </c>
      <c r="D104" s="14" t="inlineStr">
        <is>
          <t>Drop 2</t>
        </is>
      </c>
      <c r="E104" s="14" t="inlineStr">
        <is>
          <t>Product Owner, Employee Benefits</t>
        </is>
      </c>
      <c r="F104" s="14" t="inlineStr">
        <is>
          <t>TAT: working days to book once billing is validated</t>
        </is>
      </c>
      <c r="G104" s="14" t="inlineStr">
        <is>
          <t>integer</t>
        </is>
      </c>
      <c r="H104" s="14" t="inlineStr">
        <is>
          <t>3</t>
        </is>
      </c>
      <c r="I104" s="14" t="inlineStr">
        <is>
          <t>1 to 60</t>
        </is>
      </c>
      <c r="J104" s="14" t="inlineStr">
        <is>
          <t>Template</t>
        </is>
      </c>
      <c r="K104" s="14" t="inlineStr">
        <is>
          <t>This workbook, sheet Ref System parameters</t>
        </is>
      </c>
      <c r="L104" s="14" t="inlineStr">
        <is>
          <t>16-Jul-2027 (T-24 weeks)</t>
        </is>
      </c>
      <c r="M104" s="14" t="n"/>
      <c r="N104" s="14" t="n"/>
      <c r="O104" s="14" t="n"/>
      <c r="P104" s="14" t="inlineStr">
        <is>
          <t>Not started</t>
        </is>
      </c>
      <c r="Q104" s="14" t="n"/>
    </row>
    <row r="105">
      <c r="A105" s="14" t="inlineStr">
        <is>
          <t>EB_TAT_CARDS</t>
        </is>
      </c>
      <c r="B105" s="14" t="inlineStr">
        <is>
          <t>Employee Benefits</t>
        </is>
      </c>
      <c r="C105" s="14" t="inlineStr">
        <is>
          <t>Employee Benefits</t>
        </is>
      </c>
      <c r="D105" s="14" t="inlineStr">
        <is>
          <t>Drop 2</t>
        </is>
      </c>
      <c r="E105" s="14" t="inlineStr">
        <is>
          <t>Product Owner, Employee Benefits</t>
        </is>
      </c>
      <c r="F105" s="14" t="inlineStr">
        <is>
          <t>TAT: working days to submit, validate and release member cards</t>
        </is>
      </c>
      <c r="G105" s="14" t="inlineStr">
        <is>
          <t>integer</t>
        </is>
      </c>
      <c r="H105" s="14" t="inlineStr">
        <is>
          <t>10</t>
        </is>
      </c>
      <c r="I105" s="14" t="inlineStr">
        <is>
          <t>1 to 60</t>
        </is>
      </c>
      <c r="J105" s="14" t="inlineStr">
        <is>
          <t>Template</t>
        </is>
      </c>
      <c r="K105" s="14" t="inlineStr">
        <is>
          <t>This workbook, sheet Ref System parameters</t>
        </is>
      </c>
      <c r="L105" s="14" t="inlineStr">
        <is>
          <t>16-Jul-2027 (T-24 weeks)</t>
        </is>
      </c>
      <c r="M105" s="14" t="n"/>
      <c r="N105" s="14" t="n"/>
      <c r="O105" s="14" t="n"/>
      <c r="P105" s="14" t="inlineStr">
        <is>
          <t>Not started</t>
        </is>
      </c>
      <c r="Q105" s="14" t="n"/>
    </row>
    <row r="106">
      <c r="A106" s="14" t="inlineStr">
        <is>
          <t>EB_TAT_COC</t>
        </is>
      </c>
      <c r="B106" s="14" t="inlineStr">
        <is>
          <t>Employee Benefits</t>
        </is>
      </c>
      <c r="C106" s="14" t="inlineStr">
        <is>
          <t>Employee Benefits</t>
        </is>
      </c>
      <c r="D106" s="14" t="inlineStr">
        <is>
          <t>Drop 2</t>
        </is>
      </c>
      <c r="E106" s="14" t="inlineStr">
        <is>
          <t>Product Owner, Employee Benefits</t>
        </is>
      </c>
      <c r="F106" s="14" t="inlineStr">
        <is>
          <t>TAT: working days for the insurer certificate of cover</t>
        </is>
      </c>
      <c r="G106" s="14" t="inlineStr">
        <is>
          <t>integer</t>
        </is>
      </c>
      <c r="H106" s="14" t="inlineStr">
        <is>
          <t>1</t>
        </is>
      </c>
      <c r="I106" s="14" t="inlineStr">
        <is>
          <t>1 to 60</t>
        </is>
      </c>
      <c r="J106" s="14" t="inlineStr">
        <is>
          <t>Template</t>
        </is>
      </c>
      <c r="K106" s="14" t="inlineStr">
        <is>
          <t>This workbook, sheet Ref System parameters</t>
        </is>
      </c>
      <c r="L106" s="14" t="inlineStr">
        <is>
          <t>16-Jul-2027 (T-24 weeks)</t>
        </is>
      </c>
      <c r="M106" s="14" t="n"/>
      <c r="N106" s="14" t="n"/>
      <c r="O106" s="14" t="n"/>
      <c r="P106" s="14" t="inlineStr">
        <is>
          <t>Not started</t>
        </is>
      </c>
      <c r="Q106" s="14" t="n"/>
    </row>
    <row r="107">
      <c r="A107" s="14" t="inlineStr">
        <is>
          <t>EB_TAT_COLLECTION</t>
        </is>
      </c>
      <c r="B107" s="14" t="inlineStr">
        <is>
          <t>Employee Benefits</t>
        </is>
      </c>
      <c r="C107" s="14" t="inlineStr">
        <is>
          <t>Employee Benefits</t>
        </is>
      </c>
      <c r="D107" s="14" t="inlineStr">
        <is>
          <t>Drop 2</t>
        </is>
      </c>
      <c r="E107" s="14" t="inlineStr">
        <is>
          <t>Product Owner, Employee Benefits</t>
        </is>
      </c>
      <c r="F107" s="14" t="inlineStr">
        <is>
          <t>TAT: working days to collect the premium upon SOA / billing receipt</t>
        </is>
      </c>
      <c r="G107" s="14" t="inlineStr">
        <is>
          <t>integer</t>
        </is>
      </c>
      <c r="H107" s="14" t="inlineStr">
        <is>
          <t>2</t>
        </is>
      </c>
      <c r="I107" s="14" t="inlineStr">
        <is>
          <t>1 to 60</t>
        </is>
      </c>
      <c r="J107" s="14" t="inlineStr">
        <is>
          <t>Template</t>
        </is>
      </c>
      <c r="K107" s="14" t="inlineStr">
        <is>
          <t>This workbook, sheet Ref System parameters</t>
        </is>
      </c>
      <c r="L107" s="14" t="inlineStr">
        <is>
          <t>16-Jul-2027 (T-24 weeks)</t>
        </is>
      </c>
      <c r="M107" s="14" t="n"/>
      <c r="N107" s="14" t="n"/>
      <c r="O107" s="14" t="n"/>
      <c r="P107" s="14" t="inlineStr">
        <is>
          <t>Not started</t>
        </is>
      </c>
      <c r="Q107" s="14" t="n"/>
    </row>
    <row r="108">
      <c r="A108" s="14" t="inlineStr">
        <is>
          <t>EB_TAT_CONFIRMATION</t>
        </is>
      </c>
      <c r="B108" s="14" t="inlineStr">
        <is>
          <t>Employee Benefits</t>
        </is>
      </c>
      <c r="C108" s="14" t="inlineStr">
        <is>
          <t>Employee Benefits</t>
        </is>
      </c>
      <c r="D108" s="14" t="inlineStr">
        <is>
          <t>Drop 2</t>
        </is>
      </c>
      <c r="E108" s="14" t="inlineStr">
        <is>
          <t>Product Owner, Employee Benefits</t>
        </is>
      </c>
      <c r="F108" s="14" t="inlineStr">
        <is>
          <t>TAT: working days to send the client confirmation to the insurer</t>
        </is>
      </c>
      <c r="G108" s="14" t="inlineStr">
        <is>
          <t>integer</t>
        </is>
      </c>
      <c r="H108" s="14" t="inlineStr">
        <is>
          <t>2</t>
        </is>
      </c>
      <c r="I108" s="14" t="inlineStr">
        <is>
          <t>1 to 60</t>
        </is>
      </c>
      <c r="J108" s="14" t="inlineStr">
        <is>
          <t>Template</t>
        </is>
      </c>
      <c r="K108" s="14" t="inlineStr">
        <is>
          <t>This workbook, sheet Ref System parameters</t>
        </is>
      </c>
      <c r="L108" s="14" t="inlineStr">
        <is>
          <t>16-Jul-2027 (T-24 weeks)</t>
        </is>
      </c>
      <c r="M108" s="14" t="n"/>
      <c r="N108" s="14" t="n"/>
      <c r="O108" s="14" t="n"/>
      <c r="P108" s="14" t="inlineStr">
        <is>
          <t>Not started</t>
        </is>
      </c>
      <c r="Q108" s="14" t="n"/>
    </row>
    <row r="109">
      <c r="A109" s="14" t="inlineStr">
        <is>
          <t>EB_TAT_FRANCHISE_SUBMIT</t>
        </is>
      </c>
      <c r="B109" s="14" t="inlineStr">
        <is>
          <t>Employee Benefits</t>
        </is>
      </c>
      <c r="C109" s="14" t="inlineStr">
        <is>
          <t>Employee Benefits</t>
        </is>
      </c>
      <c r="D109" s="14" t="inlineStr">
        <is>
          <t>Drop 2</t>
        </is>
      </c>
      <c r="E109" s="14" t="inlineStr">
        <is>
          <t>Product Owner, Employee Benefits</t>
        </is>
      </c>
      <c r="F109" s="14" t="inlineStr">
        <is>
          <t>TAT: working days to submit a franchise request upon complete documents</t>
        </is>
      </c>
      <c r="G109" s="14" t="inlineStr">
        <is>
          <t>integer</t>
        </is>
      </c>
      <c r="H109" s="14" t="inlineStr">
        <is>
          <t>3</t>
        </is>
      </c>
      <c r="I109" s="14" t="inlineStr">
        <is>
          <t>1 to 60</t>
        </is>
      </c>
      <c r="J109" s="14" t="inlineStr">
        <is>
          <t>Template</t>
        </is>
      </c>
      <c r="K109" s="14" t="inlineStr">
        <is>
          <t>This workbook, sheet Ref System parameters</t>
        </is>
      </c>
      <c r="L109" s="14" t="inlineStr">
        <is>
          <t>16-Jul-2027 (T-24 weeks)</t>
        </is>
      </c>
      <c r="M109" s="14" t="n"/>
      <c r="N109" s="14" t="n"/>
      <c r="O109" s="14" t="n"/>
      <c r="P109" s="14" t="inlineStr">
        <is>
          <t>Not started</t>
        </is>
      </c>
      <c r="Q109" s="14" t="n"/>
    </row>
    <row r="110">
      <c r="A110" s="14" t="inlineStr">
        <is>
          <t>EB_TAT_MEMBER_CHANGE</t>
        </is>
      </c>
      <c r="B110" s="14" t="inlineStr">
        <is>
          <t>Employee Benefits</t>
        </is>
      </c>
      <c r="C110" s="14" t="inlineStr">
        <is>
          <t>Employee Benefits</t>
        </is>
      </c>
      <c r="D110" s="14" t="inlineStr">
        <is>
          <t>Drop 2</t>
        </is>
      </c>
      <c r="E110" s="14" t="inlineStr">
        <is>
          <t>Product Owner, Employee Benefits</t>
        </is>
      </c>
      <c r="F110" s="14" t="inlineStr">
        <is>
          <t>TAT: working days per step of an inclusion / deletion</t>
        </is>
      </c>
      <c r="G110" s="14" t="inlineStr">
        <is>
          <t>integer</t>
        </is>
      </c>
      <c r="H110" s="14" t="inlineStr">
        <is>
          <t>3</t>
        </is>
      </c>
      <c r="I110" s="14" t="inlineStr">
        <is>
          <t>1 to 60</t>
        </is>
      </c>
      <c r="J110" s="14" t="inlineStr">
        <is>
          <t>Template</t>
        </is>
      </c>
      <c r="K110" s="14" t="inlineStr">
        <is>
          <t>This workbook, sheet Ref System parameters</t>
        </is>
      </c>
      <c r="L110" s="14" t="inlineStr">
        <is>
          <t>16-Jul-2027 (T-24 weeks)</t>
        </is>
      </c>
      <c r="M110" s="14" t="n"/>
      <c r="N110" s="14" t="n"/>
      <c r="O110" s="14" t="n"/>
      <c r="P110" s="14" t="inlineStr">
        <is>
          <t>Not started</t>
        </is>
      </c>
      <c r="Q110" s="14" t="n"/>
    </row>
    <row r="111">
      <c r="A111" s="14" t="inlineStr">
        <is>
          <t>EB_TAT_OR</t>
        </is>
      </c>
      <c r="B111" s="14" t="inlineStr">
        <is>
          <t>Employee Benefits</t>
        </is>
      </c>
      <c r="C111" s="14" t="inlineStr">
        <is>
          <t>Employee Benefits</t>
        </is>
      </c>
      <c r="D111" s="14" t="inlineStr">
        <is>
          <t>Drop 2</t>
        </is>
      </c>
      <c r="E111" s="14" t="inlineStr">
        <is>
          <t>Product Owner, Employee Benefits</t>
        </is>
      </c>
      <c r="F111" s="14" t="inlineStr">
        <is>
          <t>TAT: working days for the insurer to submit the official receipt</t>
        </is>
      </c>
      <c r="G111" s="14" t="inlineStr">
        <is>
          <t>integer</t>
        </is>
      </c>
      <c r="H111" s="14" t="inlineStr">
        <is>
          <t>5</t>
        </is>
      </c>
      <c r="I111" s="14" t="inlineStr">
        <is>
          <t>1 to 60</t>
        </is>
      </c>
      <c r="J111" s="14" t="inlineStr">
        <is>
          <t>Template</t>
        </is>
      </c>
      <c r="K111" s="14" t="inlineStr">
        <is>
          <t>This workbook, sheet Ref System parameters</t>
        </is>
      </c>
      <c r="L111" s="14" t="inlineStr">
        <is>
          <t>16-Jul-2027 (T-24 weeks)</t>
        </is>
      </c>
      <c r="M111" s="14" t="n"/>
      <c r="N111" s="14" t="n"/>
      <c r="O111" s="14" t="n"/>
      <c r="P111" s="14" t="inlineStr">
        <is>
          <t>Not started</t>
        </is>
      </c>
      <c r="Q111" s="14" t="n"/>
    </row>
    <row r="112">
      <c r="A112" s="14" t="inlineStr">
        <is>
          <t>EB_TAT_PLACEMENT_REQUEST</t>
        </is>
      </c>
      <c r="B112" s="14" t="inlineStr">
        <is>
          <t>Employee Benefits</t>
        </is>
      </c>
      <c r="C112" s="14" t="inlineStr">
        <is>
          <t>Employee Benefits</t>
        </is>
      </c>
      <c r="D112" s="14" t="inlineStr">
        <is>
          <t>Drop 2</t>
        </is>
      </c>
      <c r="E112" s="14" t="inlineStr">
        <is>
          <t>Product Owner, Employee Benefits</t>
        </is>
      </c>
      <c r="F112" s="14" t="inlineStr">
        <is>
          <t>TAT: working days to request placement and booking upon client confirmation</t>
        </is>
      </c>
      <c r="G112" s="14" t="inlineStr">
        <is>
          <t>integer</t>
        </is>
      </c>
      <c r="H112" s="14" t="inlineStr">
        <is>
          <t>5</t>
        </is>
      </c>
      <c r="I112" s="14" t="inlineStr">
        <is>
          <t>1 to 60</t>
        </is>
      </c>
      <c r="J112" s="14" t="inlineStr">
        <is>
          <t>Template</t>
        </is>
      </c>
      <c r="K112" s="14" t="inlineStr">
        <is>
          <t>This workbook, sheet Ref System parameters</t>
        </is>
      </c>
      <c r="L112" s="14" t="inlineStr">
        <is>
          <t>16-Jul-2027 (T-24 weeks)</t>
        </is>
      </c>
      <c r="M112" s="14" t="n"/>
      <c r="N112" s="14" t="n"/>
      <c r="O112" s="14" t="n"/>
      <c r="P112" s="14" t="inlineStr">
        <is>
          <t>Not started</t>
        </is>
      </c>
      <c r="Q112" s="14" t="n"/>
    </row>
    <row r="113">
      <c r="A113" s="14" t="inlineStr">
        <is>
          <t>EB_TAT_PLACEMENT_SLIP</t>
        </is>
      </c>
      <c r="B113" s="14" t="inlineStr">
        <is>
          <t>Employee Benefits</t>
        </is>
      </c>
      <c r="C113" s="14" t="inlineStr">
        <is>
          <t>Employee Benefits</t>
        </is>
      </c>
      <c r="D113" s="14" t="inlineStr">
        <is>
          <t>Drop 2</t>
        </is>
      </c>
      <c r="E113" s="14" t="inlineStr">
        <is>
          <t>Product Owner, Employee Benefits</t>
        </is>
      </c>
      <c r="F113" s="14" t="inlineStr">
        <is>
          <t>TAT: days for Processing to submit the placement slip</t>
        </is>
      </c>
      <c r="G113" s="14" t="inlineStr">
        <is>
          <t>integer</t>
        </is>
      </c>
      <c r="H113" s="14" t="inlineStr">
        <is>
          <t>3</t>
        </is>
      </c>
      <c r="I113" s="14" t="inlineStr">
        <is>
          <t>1 to 60</t>
        </is>
      </c>
      <c r="J113" s="14" t="inlineStr">
        <is>
          <t>Template</t>
        </is>
      </c>
      <c r="K113" s="14" t="inlineStr">
        <is>
          <t>This workbook, sheet Ref System parameters</t>
        </is>
      </c>
      <c r="L113" s="14" t="inlineStr">
        <is>
          <t>16-Jul-2027 (T-24 weeks)</t>
        </is>
      </c>
      <c r="M113" s="14" t="n"/>
      <c r="N113" s="14" t="n"/>
      <c r="O113" s="14" t="n"/>
      <c r="P113" s="14" t="inlineStr">
        <is>
          <t>Not started</t>
        </is>
      </c>
      <c r="Q113" s="14" t="n"/>
    </row>
    <row r="114">
      <c r="A114" s="14" t="inlineStr">
        <is>
          <t>EB_TAT_POLICY_CHECK</t>
        </is>
      </c>
      <c r="B114" s="14" t="inlineStr">
        <is>
          <t>Employee Benefits</t>
        </is>
      </c>
      <c r="C114" s="14" t="inlineStr">
        <is>
          <t>Employee Benefits</t>
        </is>
      </c>
      <c r="D114" s="14" t="inlineStr">
        <is>
          <t>Drop 2</t>
        </is>
      </c>
      <c r="E114" s="14" t="inlineStr">
        <is>
          <t>Product Owner, Employee Benefits</t>
        </is>
      </c>
      <c r="F114" s="14" t="inlineStr">
        <is>
          <t>TAT: working days to check the policy / contract against the proposal</t>
        </is>
      </c>
      <c r="G114" s="14" t="inlineStr">
        <is>
          <t>integer</t>
        </is>
      </c>
      <c r="H114" s="14" t="inlineStr">
        <is>
          <t>3</t>
        </is>
      </c>
      <c r="I114" s="14" t="inlineStr">
        <is>
          <t>1 to 60</t>
        </is>
      </c>
      <c r="J114" s="14" t="inlineStr">
        <is>
          <t>Template</t>
        </is>
      </c>
      <c r="K114" s="14" t="inlineStr">
        <is>
          <t>This workbook, sheet Ref System parameters</t>
        </is>
      </c>
      <c r="L114" s="14" t="inlineStr">
        <is>
          <t>16-Jul-2027 (T-24 weeks)</t>
        </is>
      </c>
      <c r="M114" s="14" t="n"/>
      <c r="N114" s="14" t="n"/>
      <c r="O114" s="14" t="n"/>
      <c r="P114" s="14" t="inlineStr">
        <is>
          <t>Not started</t>
        </is>
      </c>
      <c r="Q114" s="14" t="n"/>
    </row>
    <row r="115">
      <c r="A115" s="14" t="inlineStr">
        <is>
          <t>EB_TAT_POLICY_SOA</t>
        </is>
      </c>
      <c r="B115" s="14" t="inlineStr">
        <is>
          <t>Employee Benefits</t>
        </is>
      </c>
      <c r="C115" s="14" t="inlineStr">
        <is>
          <t>Employee Benefits</t>
        </is>
      </c>
      <c r="D115" s="14" t="inlineStr">
        <is>
          <t>Drop 2</t>
        </is>
      </c>
      <c r="E115" s="14" t="inlineStr">
        <is>
          <t>Product Owner, Employee Benefits</t>
        </is>
      </c>
      <c r="F115" s="14" t="inlineStr">
        <is>
          <t>TAT: working days for the insurer policy / contract and billing / SOA</t>
        </is>
      </c>
      <c r="G115" s="14" t="inlineStr">
        <is>
          <t>integer</t>
        </is>
      </c>
      <c r="H115" s="14" t="inlineStr">
        <is>
          <t>10</t>
        </is>
      </c>
      <c r="I115" s="14" t="inlineStr">
        <is>
          <t>1 to 60</t>
        </is>
      </c>
      <c r="J115" s="14" t="inlineStr">
        <is>
          <t>Template</t>
        </is>
      </c>
      <c r="K115" s="14" t="inlineStr">
        <is>
          <t>This workbook, sheet Ref System parameters</t>
        </is>
      </c>
      <c r="L115" s="14" t="inlineStr">
        <is>
          <t>16-Jul-2027 (T-24 weeks)</t>
        </is>
      </c>
      <c r="M115" s="14" t="n"/>
      <c r="N115" s="14" t="n"/>
      <c r="O115" s="14" t="n"/>
      <c r="P115" s="14" t="inlineStr">
        <is>
          <t>Not started</t>
        </is>
      </c>
      <c r="Q115" s="14" t="n"/>
    </row>
    <row r="116">
      <c r="A116" s="14" t="inlineStr">
        <is>
          <t>EB_TAT_RELEASE</t>
        </is>
      </c>
      <c r="B116" s="14" t="inlineStr">
        <is>
          <t>Employee Benefits</t>
        </is>
      </c>
      <c r="C116" s="14" t="inlineStr">
        <is>
          <t>Employee Benefits</t>
        </is>
      </c>
      <c r="D116" s="14" t="inlineStr">
        <is>
          <t>Drop 2</t>
        </is>
      </c>
      <c r="E116" s="14" t="inlineStr">
        <is>
          <t>Product Owner, Employee Benefits</t>
        </is>
      </c>
      <c r="F116" s="14" t="inlineStr">
        <is>
          <t>TAT: working days to release the SOA to Collection and the policy to the client</t>
        </is>
      </c>
      <c r="G116" s="14" t="inlineStr">
        <is>
          <t>integer</t>
        </is>
      </c>
      <c r="H116" s="14" t="inlineStr">
        <is>
          <t>3</t>
        </is>
      </c>
      <c r="I116" s="14" t="inlineStr">
        <is>
          <t>1 to 60</t>
        </is>
      </c>
      <c r="J116" s="14" t="inlineStr">
        <is>
          <t>Template</t>
        </is>
      </c>
      <c r="K116" s="14" t="inlineStr">
        <is>
          <t>This workbook, sheet Ref System parameters</t>
        </is>
      </c>
      <c r="L116" s="14" t="inlineStr">
        <is>
          <t>16-Jul-2027 (T-24 weeks)</t>
        </is>
      </c>
      <c r="M116" s="14" t="n"/>
      <c r="N116" s="14" t="n"/>
      <c r="O116" s="14" t="n"/>
      <c r="P116" s="14" t="inlineStr">
        <is>
          <t>Not started</t>
        </is>
      </c>
      <c r="Q116" s="14" t="n"/>
    </row>
    <row r="117">
      <c r="A117" s="14" t="inlineStr">
        <is>
          <t>EB_TAT_RFQ_SUBMIT</t>
        </is>
      </c>
      <c r="B117" s="14" t="inlineStr">
        <is>
          <t>Employee Benefits</t>
        </is>
      </c>
      <c r="C117" s="14" t="inlineStr">
        <is>
          <t>Employee Benefits</t>
        </is>
      </c>
      <c r="D117" s="14" t="inlineStr">
        <is>
          <t>Drop 2</t>
        </is>
      </c>
      <c r="E117" s="14" t="inlineStr">
        <is>
          <t>Product Owner, Employee Benefits</t>
        </is>
      </c>
      <c r="F117" s="14" t="inlineStr">
        <is>
          <t>TAT: working days to send the request for quotation upon franchise approval</t>
        </is>
      </c>
      <c r="G117" s="14" t="inlineStr">
        <is>
          <t>integer</t>
        </is>
      </c>
      <c r="H117" s="14" t="inlineStr">
        <is>
          <t>3</t>
        </is>
      </c>
      <c r="I117" s="14" t="inlineStr">
        <is>
          <t>1 to 60</t>
        </is>
      </c>
      <c r="J117" s="14" t="inlineStr">
        <is>
          <t>Template</t>
        </is>
      </c>
      <c r="K117" s="14" t="inlineStr">
        <is>
          <t>This workbook, sheet Ref System parameters</t>
        </is>
      </c>
      <c r="L117" s="14" t="inlineStr">
        <is>
          <t>16-Jul-2027 (T-24 weeks)</t>
        </is>
      </c>
      <c r="M117" s="14" t="n"/>
      <c r="N117" s="14" t="n"/>
      <c r="O117" s="14" t="n"/>
      <c r="P117" s="14" t="inlineStr">
        <is>
          <t>Not started</t>
        </is>
      </c>
      <c r="Q117" s="14" t="n"/>
    </row>
    <row r="118">
      <c r="A118" s="14" t="inlineStr">
        <is>
          <t>EB_TAT_SOA_VALIDATION</t>
        </is>
      </c>
      <c r="B118" s="14" t="inlineStr">
        <is>
          <t>Employee Benefits</t>
        </is>
      </c>
      <c r="C118" s="14" t="inlineStr">
        <is>
          <t>Employee Benefits</t>
        </is>
      </c>
      <c r="D118" s="14" t="inlineStr">
        <is>
          <t>Drop 2</t>
        </is>
      </c>
      <c r="E118" s="14" t="inlineStr">
        <is>
          <t>Product Owner, Employee Benefits</t>
        </is>
      </c>
      <c r="F118" s="14" t="inlineStr">
        <is>
          <t>TAT: working days for Processing to validate the final SOA</t>
        </is>
      </c>
      <c r="G118" s="14" t="inlineStr">
        <is>
          <t>integer</t>
        </is>
      </c>
      <c r="H118" s="14" t="inlineStr">
        <is>
          <t>3</t>
        </is>
      </c>
      <c r="I118" s="14" t="inlineStr">
        <is>
          <t>1 to 60</t>
        </is>
      </c>
      <c r="J118" s="14" t="inlineStr">
        <is>
          <t>Template</t>
        </is>
      </c>
      <c r="K118" s="14" t="inlineStr">
        <is>
          <t>This workbook, sheet Ref System parameters</t>
        </is>
      </c>
      <c r="L118" s="14" t="inlineStr">
        <is>
          <t>16-Jul-2027 (T-24 weeks)</t>
        </is>
      </c>
      <c r="M118" s="14" t="n"/>
      <c r="N118" s="14" t="n"/>
      <c r="O118" s="14" t="n"/>
      <c r="P118" s="14" t="inlineStr">
        <is>
          <t>Not started</t>
        </is>
      </c>
      <c r="Q118" s="14" t="n"/>
    </row>
    <row r="119">
      <c r="A119" s="14" t="inlineStr">
        <is>
          <t>EPOLICY_PASSWORD_HINT</t>
        </is>
      </c>
      <c r="B119" s="14" t="inlineStr">
        <is>
          <t>Issuance</t>
        </is>
      </c>
      <c r="C119" s="14" t="inlineStr">
        <is>
          <t>New Business</t>
        </is>
      </c>
      <c r="D119" s="14" t="inlineStr">
        <is>
          <t>Drop 1</t>
        </is>
      </c>
      <c r="E119" s="14" t="inlineStr">
        <is>
          <t>Product Owner, BDOI (New Business)</t>
        </is>
      </c>
      <c r="F119" s="14" t="inlineStr">
        <is>
          <t>Text telling the client how the password of the e-policy is formed</t>
        </is>
      </c>
      <c r="G119" s="14" t="inlineStr">
        <is>
          <t>string</t>
        </is>
      </c>
      <c r="H119" s="14" t="inlineStr">
        <is>
          <t>The password follows the BDOI standard; it is sent to you in a separate e-mail.</t>
        </is>
      </c>
      <c r="I119" s="14" t="inlineStr"/>
      <c r="J119" s="14" t="inlineStr">
        <is>
          <t>Template</t>
        </is>
      </c>
      <c r="K119" s="14" t="inlineStr">
        <is>
          <t>This workbook, sheet Ref System parameters</t>
        </is>
      </c>
      <c r="L119" s="14" t="inlineStr">
        <is>
          <t>16-Jul-2027 (T-24 weeks)</t>
        </is>
      </c>
      <c r="M119" s="14" t="n"/>
      <c r="N119" s="14" t="n"/>
      <c r="O119" s="14" t="n"/>
      <c r="P119" s="14" t="inlineStr">
        <is>
          <t>Not started</t>
        </is>
      </c>
      <c r="Q119" s="14" t="n"/>
    </row>
    <row r="120">
      <c r="A120" s="14" t="inlineStr">
        <is>
          <t>IA_TRIGGER</t>
        </is>
      </c>
      <c r="B120" s="14" t="inlineStr">
        <is>
          <t>Issuance</t>
        </is>
      </c>
      <c r="C120" s="14" t="inlineStr">
        <is>
          <t>New Business</t>
        </is>
      </c>
      <c r="D120" s="14" t="inlineStr">
        <is>
          <t>Drop 1</t>
        </is>
      </c>
      <c r="E120" s="14" t="inlineStr">
        <is>
          <t>Product Owner, BDOI (New Business)</t>
        </is>
      </c>
      <c r="F120" s="14" t="inlineStr">
        <is>
          <t>When the Insurance Advice of a mortgaged account is generated automatically: ON_POLICY_ISSUE, ON_PLACEMENT or MANUAL</t>
        </is>
      </c>
      <c r="G120" s="14" t="inlineStr">
        <is>
          <t>string</t>
        </is>
      </c>
      <c r="H120" s="14" t="inlineStr">
        <is>
          <t>ON_POLICY_ISSUE</t>
        </is>
      </c>
      <c r="I120" s="14" t="inlineStr"/>
      <c r="J120" s="14" t="inlineStr">
        <is>
          <t>Template</t>
        </is>
      </c>
      <c r="K120" s="14" t="inlineStr">
        <is>
          <t>This workbook, sheet Ref System parameters</t>
        </is>
      </c>
      <c r="L120" s="14" t="inlineStr">
        <is>
          <t>16-Jul-2027 (T-24 weeks)</t>
        </is>
      </c>
      <c r="M120" s="14" t="n"/>
      <c r="N120" s="14" t="n"/>
      <c r="O120" s="14" t="n"/>
      <c r="P120" s="14" t="inlineStr">
        <is>
          <t>Not started</t>
        </is>
      </c>
      <c r="Q120" s="14" t="n"/>
    </row>
    <row r="121">
      <c r="A121" s="14" t="inlineStr">
        <is>
          <t>MAIL_FROM_ADDRESS</t>
        </is>
      </c>
      <c r="B121" s="14" t="inlineStr">
        <is>
          <t>Messaging</t>
        </is>
      </c>
      <c r="C121" s="14" t="inlineStr">
        <is>
          <t>Platform set-up</t>
        </is>
      </c>
      <c r="D121" s="14" t="inlineStr">
        <is>
          <t>Drop 0</t>
        </is>
      </c>
      <c r="E121" s="14" t="inlineStr">
        <is>
          <t>BDOI IT</t>
        </is>
      </c>
      <c r="F121" s="14" t="inlineStr">
        <is>
          <t>From address of e-mails sent by this system (quotations, slips, e-policies, invoices)</t>
        </is>
      </c>
      <c r="G121" s="14" t="inlineStr">
        <is>
          <t>string</t>
        </is>
      </c>
      <c r="H121" s="14" t="inlineStr">
        <is>
          <t>no-reply@bdoi.example.ph</t>
        </is>
      </c>
      <c r="I121" s="14" t="inlineStr"/>
      <c r="J121" s="14" t="inlineStr">
        <is>
          <t>Template</t>
        </is>
      </c>
      <c r="K121" s="14" t="inlineStr">
        <is>
          <t>This workbook, sheet Ref System parameters</t>
        </is>
      </c>
      <c r="L121" s="14" t="inlineStr">
        <is>
          <t>16-Jul-2027 (T-24 weeks)</t>
        </is>
      </c>
      <c r="M121" s="14" t="n"/>
      <c r="N121" s="14" t="n"/>
      <c r="O121" s="14" t="n"/>
      <c r="P121" s="14" t="inlineStr">
        <is>
          <t>Not started</t>
        </is>
      </c>
      <c r="Q121" s="14" t="n"/>
    </row>
    <row r="122">
      <c r="A122" s="14" t="inlineStr">
        <is>
          <t>MAIL_MAX_ATTEMPTS</t>
        </is>
      </c>
      <c r="B122" s="14" t="inlineStr">
        <is>
          <t>Messaging</t>
        </is>
      </c>
      <c r="C122" s="14" t="inlineStr">
        <is>
          <t>Platform set-up</t>
        </is>
      </c>
      <c r="D122" s="14" t="inlineStr">
        <is>
          <t>Drop 0</t>
        </is>
      </c>
      <c r="E122" s="14" t="inlineStr">
        <is>
          <t>BDOI IT</t>
        </is>
      </c>
      <c r="F122" s="14" t="inlineStr">
        <is>
          <t>Delivery attempts before an e-mail is marked failed</t>
        </is>
      </c>
      <c r="G122" s="14" t="inlineStr">
        <is>
          <t>integer</t>
        </is>
      </c>
      <c r="H122" s="14" t="inlineStr">
        <is>
          <t>3</t>
        </is>
      </c>
      <c r="I122" s="14" t="inlineStr">
        <is>
          <t>1 to 10</t>
        </is>
      </c>
      <c r="J122" s="14" t="inlineStr">
        <is>
          <t>Template</t>
        </is>
      </c>
      <c r="K122" s="14" t="inlineStr">
        <is>
          <t>This workbook, sheet Ref System parameters</t>
        </is>
      </c>
      <c r="L122" s="14" t="inlineStr">
        <is>
          <t>16-Jul-2027 (T-24 weeks)</t>
        </is>
      </c>
      <c r="M122" s="14" t="n"/>
      <c r="N122" s="14" t="n"/>
      <c r="O122" s="14" t="n"/>
      <c r="P122" s="14" t="inlineStr">
        <is>
          <t>Not started</t>
        </is>
      </c>
      <c r="Q122" s="14" t="n"/>
    </row>
    <row r="123">
      <c r="A123" s="14" t="inlineStr">
        <is>
          <t>NB_STALLED_DAYS</t>
        </is>
      </c>
      <c r="B123" s="14" t="inlineStr">
        <is>
          <t>Nb Reports</t>
        </is>
      </c>
      <c r="C123" s="14" t="inlineStr">
        <is>
          <t>New Business</t>
        </is>
      </c>
      <c r="D123" s="14" t="inlineStr">
        <is>
          <t>Drop 1</t>
        </is>
      </c>
      <c r="E123" s="14" t="inlineStr">
        <is>
          <t>Product Owner, BDOI (New Business)</t>
        </is>
      </c>
      <c r="F123" s="14" t="inlineStr">
        <is>
          <t>An open New Business account with no stage movement for this many days is reported as stalled</t>
        </is>
      </c>
      <c r="G123" s="14" t="inlineStr">
        <is>
          <t>integer</t>
        </is>
      </c>
      <c r="H123" s="14" t="inlineStr">
        <is>
          <t>5</t>
        </is>
      </c>
      <c r="I123" s="14" t="inlineStr">
        <is>
          <t>1 to 90</t>
        </is>
      </c>
      <c r="J123" s="14" t="inlineStr">
        <is>
          <t>Template</t>
        </is>
      </c>
      <c r="K123" s="14" t="inlineStr">
        <is>
          <t>This workbook, sheet Ref System parameters</t>
        </is>
      </c>
      <c r="L123" s="14" t="inlineStr">
        <is>
          <t>16-Jul-2027 (T-24 weeks)</t>
        </is>
      </c>
      <c r="M123" s="14" t="n"/>
      <c r="N123" s="14" t="n"/>
      <c r="O123" s="14" t="n"/>
      <c r="P123" s="14" t="inlineStr">
        <is>
          <t>Not started</t>
        </is>
      </c>
      <c r="Q123" s="14" t="n"/>
    </row>
    <row r="124">
      <c r="A124" s="14" t="inlineStr">
        <is>
          <t>ADJ_BASELINE_PERCENT</t>
        </is>
      </c>
      <c r="B124" s="14" t="inlineStr">
        <is>
          <t>Operations</t>
        </is>
      </c>
      <c r="C124" s="14" t="inlineStr">
        <is>
          <t>Operations</t>
        </is>
      </c>
      <c r="D124" s="14" t="inlineStr">
        <is>
          <t>Drop 1</t>
        </is>
      </c>
      <c r="E124" s="14" t="inlineStr">
        <is>
          <t>Head, Operations Services</t>
        </is>
      </c>
      <c r="F124" s="14" t="inlineStr">
        <is>
          <t>Over-adjustment baseline: cumulative adjustments of an invoice above this percent of its original premium need an override reason and raise ADJ_OVER_BASELINE</t>
        </is>
      </c>
      <c r="G124" s="14" t="inlineStr">
        <is>
          <t>decimal</t>
        </is>
      </c>
      <c r="H124" s="14" t="inlineStr">
        <is>
          <t>100</t>
        </is>
      </c>
      <c r="I124" s="14" t="inlineStr">
        <is>
          <t>1 to 1000</t>
        </is>
      </c>
      <c r="J124" s="14" t="inlineStr">
        <is>
          <t>Template</t>
        </is>
      </c>
      <c r="K124" s="14" t="inlineStr">
        <is>
          <t>This workbook, sheet Ref System parameters</t>
        </is>
      </c>
      <c r="L124" s="14" t="inlineStr">
        <is>
          <t>16-Jul-2027 (T-24 weeks)</t>
        </is>
      </c>
      <c r="M124" s="14" t="n"/>
      <c r="N124" s="14" t="n"/>
      <c r="O124" s="14" t="n"/>
      <c r="P124" s="14" t="inlineStr">
        <is>
          <t>Not started</t>
        </is>
      </c>
      <c r="Q124" s="14" t="n"/>
    </row>
    <row r="125">
      <c r="A125" s="14" t="inlineStr">
        <is>
          <t>CASH_AMOUNT_WORDS_UNITS</t>
        </is>
      </c>
      <c r="B125" s="14" t="inlineStr">
        <is>
          <t>Operations</t>
        </is>
      </c>
      <c r="C125" s="14" t="inlineStr">
        <is>
          <t>Operations</t>
        </is>
      </c>
      <c r="D125" s="14" t="inlineStr">
        <is>
          <t>Drop 1</t>
        </is>
      </c>
      <c r="E125" s="14" t="inlineStr">
        <is>
          <t>Head, Operations Services</t>
        </is>
      </c>
      <c r="F125" s="14" t="inlineStr">
        <is>
          <t>Words of the amount printed on a receipt per currency: CURRENCY=units/hundredths, separated by semicolons</t>
        </is>
      </c>
      <c r="G125" s="14" t="inlineStr">
        <is>
          <t>string</t>
        </is>
      </c>
      <c r="H125" s="14" t="inlineStr">
        <is>
          <t>PHP=Pesos/Centavos;USD=US Dollars/Cents</t>
        </is>
      </c>
      <c r="I125" s="14" t="inlineStr"/>
      <c r="J125" s="14" t="inlineStr">
        <is>
          <t>Template</t>
        </is>
      </c>
      <c r="K125" s="14" t="inlineStr">
        <is>
          <t>This workbook, sheet Ref System parameters</t>
        </is>
      </c>
      <c r="L125" s="14" t="inlineStr">
        <is>
          <t>16-Jul-2027 (T-24 weeks)</t>
        </is>
      </c>
      <c r="M125" s="14" t="n"/>
      <c r="N125" s="14" t="n"/>
      <c r="O125" s="14" t="n"/>
      <c r="P125" s="14" t="inlineStr">
        <is>
          <t>Not started</t>
        </is>
      </c>
      <c r="Q125" s="14" t="n"/>
    </row>
    <row r="126">
      <c r="A126" s="14" t="inlineStr">
        <is>
          <t>CASH_AR_REMARKS_REQUIRED</t>
        </is>
      </c>
      <c r="B126" s="14" t="inlineStr">
        <is>
          <t>Operations</t>
        </is>
      </c>
      <c r="C126" s="14" t="inlineStr">
        <is>
          <t>Operations</t>
        </is>
      </c>
      <c r="D126" s="14" t="inlineStr">
        <is>
          <t>Drop 1</t>
        </is>
      </c>
      <c r="E126" s="14" t="inlineStr">
        <is>
          <t>Head, Operations Services</t>
        </is>
      </c>
      <c r="F126" s="14" t="inlineStr">
        <is>
          <t>Y = Remarks are a required field of the AR and OR creation record (Appendix R, C25)</t>
        </is>
      </c>
      <c r="G126" s="14" t="inlineStr">
        <is>
          <t>string</t>
        </is>
      </c>
      <c r="H126" s="14" t="inlineStr">
        <is>
          <t>Y</t>
        </is>
      </c>
      <c r="I126" s="14" t="inlineStr"/>
      <c r="J126" s="14" t="inlineStr">
        <is>
          <t>Template</t>
        </is>
      </c>
      <c r="K126" s="14" t="inlineStr">
        <is>
          <t>This workbook, sheet Ref System parameters</t>
        </is>
      </c>
      <c r="L126" s="14" t="inlineStr">
        <is>
          <t>16-Jul-2027 (T-24 weeks)</t>
        </is>
      </c>
      <c r="M126" s="14" t="n"/>
      <c r="N126" s="14" t="n"/>
      <c r="O126" s="14" t="n"/>
      <c r="P126" s="14" t="inlineStr">
        <is>
          <t>Not started</t>
        </is>
      </c>
      <c r="Q126" s="14" t="n"/>
    </row>
    <row r="127">
      <c r="A127" s="14" t="inlineStr">
        <is>
          <t>CASH_BANK_ACCOUNT</t>
        </is>
      </c>
      <c r="B127" s="14" t="inlineStr">
        <is>
          <t>Operations</t>
        </is>
      </c>
      <c r="C127" s="14" t="inlineStr">
        <is>
          <t>Operations</t>
        </is>
      </c>
      <c r="D127" s="14" t="inlineStr">
        <is>
          <t>Drop 1</t>
        </is>
      </c>
      <c r="E127" s="14" t="inlineStr">
        <is>
          <t>Head, Operations Services</t>
        </is>
      </c>
      <c r="F127" s="14" t="inlineStr">
        <is>
          <t>GL account debited for payments received by check, bank or electronic channels</t>
        </is>
      </c>
      <c r="G127" s="14" t="inlineStr">
        <is>
          <t>string</t>
        </is>
      </c>
      <c r="H127" s="14" t="inlineStr">
        <is>
          <t>(blank)</t>
        </is>
      </c>
      <c r="I127" s="14" t="inlineStr"/>
      <c r="J127" s="14" t="inlineStr">
        <is>
          <t>Template</t>
        </is>
      </c>
      <c r="K127" s="14" t="inlineStr">
        <is>
          <t>This workbook, sheet Ref System parameters</t>
        </is>
      </c>
      <c r="L127" s="14" t="inlineStr">
        <is>
          <t>16-Jul-2027 (T-24 weeks)</t>
        </is>
      </c>
      <c r="M127" s="14" t="n"/>
      <c r="N127" s="14" t="n"/>
      <c r="O127" s="14" t="n"/>
      <c r="P127" s="14" t="inlineStr">
        <is>
          <t>Not started</t>
        </is>
      </c>
      <c r="Q127" s="14" t="n"/>
    </row>
    <row r="128">
      <c r="A128" s="14" t="inlineStr">
        <is>
          <t>CASH_CERTIFICATE_NO_FORMAT</t>
        </is>
      </c>
      <c r="B128" s="14" t="inlineStr">
        <is>
          <t>Operations</t>
        </is>
      </c>
      <c r="C128" s="14" t="inlineStr">
        <is>
          <t>Operations</t>
        </is>
      </c>
      <c r="D128" s="14" t="inlineStr">
        <is>
          <t>Drop 1</t>
        </is>
      </c>
      <c r="E128" s="14" t="inlineStr">
        <is>
          <t>Head, Operations Services</t>
        </is>
      </c>
      <c r="F128" s="14" t="inlineStr">
        <is>
          <t>Acknowledgement certificate number given per printed receipt; tokens {BRANCH}, {MMYYYY} of the print date, {SEQ} (5 digits) (Appendix R, C4)</t>
        </is>
      </c>
      <c r="G128" s="14" t="inlineStr">
        <is>
          <t>string</t>
        </is>
      </c>
      <c r="H128" s="14" t="inlineStr">
        <is>
          <t>AC_{BRANCH}_{MMYYYY}_{SEQ}</t>
        </is>
      </c>
      <c r="I128" s="14" t="inlineStr"/>
      <c r="J128" s="14" t="inlineStr">
        <is>
          <t>Template</t>
        </is>
      </c>
      <c r="K128" s="14" t="inlineStr">
        <is>
          <t>This workbook, sheet Ref System parameters</t>
        </is>
      </c>
      <c r="L128" s="14" t="inlineStr">
        <is>
          <t>16-Jul-2027 (T-24 weeks)</t>
        </is>
      </c>
      <c r="M128" s="14" t="n"/>
      <c r="N128" s="14" t="n"/>
      <c r="O128" s="14" t="n"/>
      <c r="P128" s="14" t="inlineStr">
        <is>
          <t>Not started</t>
        </is>
      </c>
      <c r="Q128" s="14" t="n"/>
    </row>
    <row r="129">
      <c r="A129" s="14" t="inlineStr">
        <is>
          <t>CASH_CHECK_BEFORE_CASH</t>
        </is>
      </c>
      <c r="B129" s="14" t="inlineStr">
        <is>
          <t>Operations</t>
        </is>
      </c>
      <c r="C129" s="14" t="inlineStr">
        <is>
          <t>Operations</t>
        </is>
      </c>
      <c r="D129" s="14" t="inlineStr">
        <is>
          <t>Drop 1</t>
        </is>
      </c>
      <c r="E129" s="14" t="inlineStr">
        <is>
          <t>Head, Operations Services</t>
        </is>
      </c>
      <c r="F129" s="14" t="inlineStr">
        <is>
          <t>Y = check payments are posted and applied before cash payments of the same posting run (Appendix R, C6)</t>
        </is>
      </c>
      <c r="G129" s="14" t="inlineStr">
        <is>
          <t>string</t>
        </is>
      </c>
      <c r="H129" s="14" t="inlineStr">
        <is>
          <t>Y</t>
        </is>
      </c>
      <c r="I129" s="14" t="inlineStr"/>
      <c r="J129" s="14" t="inlineStr">
        <is>
          <t>Template</t>
        </is>
      </c>
      <c r="K129" s="14" t="inlineStr">
        <is>
          <t>This workbook, sheet Ref System parameters</t>
        </is>
      </c>
      <c r="L129" s="14" t="inlineStr">
        <is>
          <t>16-Jul-2027 (T-24 weeks)</t>
        </is>
      </c>
      <c r="M129" s="14" t="n"/>
      <c r="N129" s="14" t="n"/>
      <c r="O129" s="14" t="n"/>
      <c r="P129" s="14" t="inlineStr">
        <is>
          <t>Not started</t>
        </is>
      </c>
      <c r="Q129" s="14" t="n"/>
    </row>
    <row r="130">
      <c r="A130" s="14" t="inlineStr">
        <is>
          <t>CASH_CHECK_CANCEL_REASONS</t>
        </is>
      </c>
      <c r="B130" s="14" t="inlineStr">
        <is>
          <t>Operations</t>
        </is>
      </c>
      <c r="C130" s="14" t="inlineStr">
        <is>
          <t>Operations</t>
        </is>
      </c>
      <c r="D130" s="14" t="inlineStr">
        <is>
          <t>Drop 1</t>
        </is>
      </c>
      <c r="E130" s="14" t="inlineStr">
        <is>
          <t>Head, Operations Services</t>
        </is>
      </c>
      <c r="F130" s="14" t="inlineStr">
        <is>
          <t>Cancellation reasons allowed for a check payment; blank = every reason (Appendix R, C21)</t>
        </is>
      </c>
      <c r="G130" s="14" t="inlineStr">
        <is>
          <t>code list</t>
        </is>
      </c>
      <c r="H130" s="14" t="inlineStr">
        <is>
          <t>PRM_CHECK_AMOUNT,PRM_NO_SIGNATURE,PRM_INCORRECT_PAYEE,PRM_INCORRECT_CHECK</t>
        </is>
      </c>
      <c r="I130" s="14" t="inlineStr"/>
      <c r="J130" s="14" t="inlineStr">
        <is>
          <t>Template</t>
        </is>
      </c>
      <c r="K130" s="14" t="inlineStr">
        <is>
          <t>This workbook, sheet Ref System parameters</t>
        </is>
      </c>
      <c r="L130" s="14" t="inlineStr">
        <is>
          <t>16-Jul-2027 (T-24 weeks)</t>
        </is>
      </c>
      <c r="M130" s="14" t="n"/>
      <c r="N130" s="14" t="n"/>
      <c r="O130" s="14" t="n"/>
      <c r="P130" s="14" t="inlineStr">
        <is>
          <t>Not started</t>
        </is>
      </c>
      <c r="Q130" s="14" t="n"/>
    </row>
    <row r="131">
      <c r="A131" s="14" t="inlineStr">
        <is>
          <t>CASH_CHECK_DATE_RULE</t>
        </is>
      </c>
      <c r="B131" s="14" t="inlineStr">
        <is>
          <t>Operations</t>
        </is>
      </c>
      <c r="C131" s="14" t="inlineStr">
        <is>
          <t>Operations</t>
        </is>
      </c>
      <c r="D131" s="14" t="inlineStr">
        <is>
          <t>Drop 1</t>
        </is>
      </c>
      <c r="E131" s="14" t="inlineStr">
        <is>
          <t>Head, Operations Services</t>
        </is>
      </c>
      <c r="F131" s="14" t="inlineStr">
        <is>
          <t>ON = a check payment is refused at receipting when its date is within the holding period; OFF = accepted when presented (Appendix R, C7)</t>
        </is>
      </c>
      <c r="G131" s="14" t="inlineStr">
        <is>
          <t>string</t>
        </is>
      </c>
      <c r="H131" s="14" t="inlineStr">
        <is>
          <t>ON</t>
        </is>
      </c>
      <c r="I131" s="14" t="inlineStr"/>
      <c r="J131" s="14" t="inlineStr">
        <is>
          <t>Template</t>
        </is>
      </c>
      <c r="K131" s="14" t="inlineStr">
        <is>
          <t>This workbook, sheet Ref System parameters</t>
        </is>
      </c>
      <c r="L131" s="14" t="inlineStr">
        <is>
          <t>16-Jul-2027 (T-24 weeks)</t>
        </is>
      </c>
      <c r="M131" s="14" t="n"/>
      <c r="N131" s="14" t="n"/>
      <c r="O131" s="14" t="n"/>
      <c r="P131" s="14" t="inlineStr">
        <is>
          <t>Not started</t>
        </is>
      </c>
      <c r="Q131" s="14" t="n"/>
    </row>
    <row r="132">
      <c r="A132" s="14" t="inlineStr">
        <is>
          <t>CASH_CHECK_HOLDING_DAYS</t>
        </is>
      </c>
      <c r="B132" s="14" t="inlineStr">
        <is>
          <t>Operations</t>
        </is>
      </c>
      <c r="C132" s="14" t="inlineStr">
        <is>
          <t>Operations</t>
        </is>
      </c>
      <c r="D132" s="14" t="inlineStr">
        <is>
          <t>Drop 1</t>
        </is>
      </c>
      <c r="E132" s="14" t="inlineStr">
        <is>
          <t>Head, Operations Services</t>
        </is>
      </c>
      <c r="F132" s="14" t="inlineStr">
        <is>
          <t>Working days of the check holding period at receipting (Appendix R, C7)</t>
        </is>
      </c>
      <c r="G132" s="14" t="inlineStr">
        <is>
          <t>integer</t>
        </is>
      </c>
      <c r="H132" s="14" t="inlineStr">
        <is>
          <t>4</t>
        </is>
      </c>
      <c r="I132" s="14" t="inlineStr">
        <is>
          <t>0 to 30</t>
        </is>
      </c>
      <c r="J132" s="14" t="inlineStr">
        <is>
          <t>Template</t>
        </is>
      </c>
      <c r="K132" s="14" t="inlineStr">
        <is>
          <t>This workbook, sheet Ref System parameters</t>
        </is>
      </c>
      <c r="L132" s="14" t="inlineStr">
        <is>
          <t>16-Jul-2027 (T-24 weeks)</t>
        </is>
      </c>
      <c r="M132" s="14" t="n"/>
      <c r="N132" s="14" t="n"/>
      <c r="O132" s="14" t="n"/>
      <c r="P132" s="14" t="inlineStr">
        <is>
          <t>Not started</t>
        </is>
      </c>
      <c r="Q132" s="14" t="n"/>
    </row>
    <row r="133">
      <c r="A133" s="14" t="inlineStr">
        <is>
          <t>CASH_COMMISSION_SCHEDULE_MODE</t>
        </is>
      </c>
      <c r="B133" s="14" t="inlineStr">
        <is>
          <t>Operations</t>
        </is>
      </c>
      <c r="C133" s="14" t="inlineStr">
        <is>
          <t>Operations</t>
        </is>
      </c>
      <c r="D133" s="14" t="inlineStr">
        <is>
          <t>Drop 1</t>
        </is>
      </c>
      <c r="E133" s="14" t="inlineStr">
        <is>
          <t>Head, Operations Services</t>
        </is>
      </c>
      <c r="F133" s="14" t="inlineStr">
        <is>
          <t>Commission Schedule: LINE_LEVEL = valid lines are processed; WHOLE_FILE = a file with a failed or unmatched line, or a paid amount different from the outstanding, is not processed (Appendix R, C10)</t>
        </is>
      </c>
      <c r="G133" s="14" t="inlineStr">
        <is>
          <t>string</t>
        </is>
      </c>
      <c r="H133" s="14" t="inlineStr">
        <is>
          <t>LINE_LEVEL</t>
        </is>
      </c>
      <c r="I133" s="14" t="inlineStr"/>
      <c r="J133" s="14" t="inlineStr">
        <is>
          <t>Template</t>
        </is>
      </c>
      <c r="K133" s="14" t="inlineStr">
        <is>
          <t>This workbook, sheet Ref System parameters</t>
        </is>
      </c>
      <c r="L133" s="14" t="inlineStr">
        <is>
          <t>16-Jul-2027 (T-24 weeks)</t>
        </is>
      </c>
      <c r="M133" s="14" t="n"/>
      <c r="N133" s="14" t="n"/>
      <c r="O133" s="14" t="n"/>
      <c r="P133" s="14" t="inlineStr">
        <is>
          <t>Not started</t>
        </is>
      </c>
      <c r="Q133" s="14" t="n"/>
    </row>
    <row r="134">
      <c r="A134" s="14" t="inlineStr">
        <is>
          <t>CASH_DIRECT_CREDIT_MODE</t>
        </is>
      </c>
      <c r="B134" s="14" t="inlineStr">
        <is>
          <t>Operations</t>
        </is>
      </c>
      <c r="C134" s="14" t="inlineStr">
        <is>
          <t>Operations</t>
        </is>
      </c>
      <c r="D134" s="14" t="inlineStr">
        <is>
          <t>Drop 1</t>
        </is>
      </c>
      <c r="E134" s="14" t="inlineStr">
        <is>
          <t>Head, Operations Services</t>
        </is>
      </c>
      <c r="F134" s="14" t="inlineStr">
        <is>
          <t>Direct Credit file: IDENTIFY = it identifies payments already received (BP filename and transaction number); NEW_PAYMENT = every row is a new payment with its own AR (Appendix R, C8)</t>
        </is>
      </c>
      <c r="G134" s="14" t="inlineStr">
        <is>
          <t>string</t>
        </is>
      </c>
      <c r="H134" s="14" t="inlineStr">
        <is>
          <t>IDENTIFY</t>
        </is>
      </c>
      <c r="I134" s="14" t="inlineStr"/>
      <c r="J134" s="14" t="inlineStr">
        <is>
          <t>Template</t>
        </is>
      </c>
      <c r="K134" s="14" t="inlineStr">
        <is>
          <t>This workbook, sheet Ref System parameters</t>
        </is>
      </c>
      <c r="L134" s="14" t="inlineStr">
        <is>
          <t>16-Jul-2027 (T-24 weeks)</t>
        </is>
      </c>
      <c r="M134" s="14" t="n"/>
      <c r="N134" s="14" t="n"/>
      <c r="O134" s="14" t="n"/>
      <c r="P134" s="14" t="inlineStr">
        <is>
          <t>Not started</t>
        </is>
      </c>
      <c r="Q134" s="14" t="n"/>
    </row>
    <row r="135">
      <c r="A135" s="14" t="inlineStr">
        <is>
          <t>CASH_MAX_PAID_AMOUNT</t>
        </is>
      </c>
      <c r="B135" s="14" t="inlineStr">
        <is>
          <t>Operations</t>
        </is>
      </c>
      <c r="C135" s="14" t="inlineStr">
        <is>
          <t>Operations</t>
        </is>
      </c>
      <c r="D135" s="14" t="inlineStr">
        <is>
          <t>Drop 1</t>
        </is>
      </c>
      <c r="E135" s="14" t="inlineStr">
        <is>
          <t>Head, Operations Services</t>
        </is>
      </c>
      <c r="F135" s="14" t="inlineStr">
        <is>
          <t>Highest paid amount of one AR or OR creation record</t>
        </is>
      </c>
      <c r="G135" s="14" t="inlineStr">
        <is>
          <t>decimal</t>
        </is>
      </c>
      <c r="H135" s="14" t="inlineStr">
        <is>
          <t>1000000000.00</t>
        </is>
      </c>
      <c r="I135" s="14" t="inlineStr"/>
      <c r="J135" s="14" t="inlineStr">
        <is>
          <t>Template</t>
        </is>
      </c>
      <c r="K135" s="14" t="inlineStr">
        <is>
          <t>This workbook, sheet Ref System parameters</t>
        </is>
      </c>
      <c r="L135" s="14" t="inlineStr">
        <is>
          <t>16-Jul-2027 (T-24 weeks)</t>
        </is>
      </c>
      <c r="M135" s="14" t="n"/>
      <c r="N135" s="14" t="n"/>
      <c r="O135" s="14" t="n"/>
      <c r="P135" s="14" t="inlineStr">
        <is>
          <t>Not started</t>
        </is>
      </c>
      <c r="Q135" s="14" t="n"/>
    </row>
    <row r="136">
      <c r="A136" s="14" t="inlineStr">
        <is>
          <t>CASH_MFT_COMPANY_CODE</t>
        </is>
      </c>
      <c r="B136" s="14" t="inlineStr">
        <is>
          <t>Operations</t>
        </is>
      </c>
      <c r="C136" s="14" t="inlineStr">
        <is>
          <t>Operations</t>
        </is>
      </c>
      <c r="D136" s="14" t="inlineStr">
        <is>
          <t>Drop 1</t>
        </is>
      </c>
      <c r="E136" s="14" t="inlineStr">
        <is>
          <t>Head, Operations Services</t>
        </is>
      </c>
      <c r="F136" s="14" t="inlineStr">
        <is>
          <t>Company that receives the payment files of the MFT folders (company code); blank = the first company</t>
        </is>
      </c>
      <c r="G136" s="14" t="inlineStr">
        <is>
          <t>string</t>
        </is>
      </c>
      <c r="H136" s="14" t="inlineStr">
        <is>
          <t>(blank)</t>
        </is>
      </c>
      <c r="I136" s="14" t="inlineStr"/>
      <c r="J136" s="14" t="inlineStr">
        <is>
          <t>Template</t>
        </is>
      </c>
      <c r="K136" s="14" t="inlineStr">
        <is>
          <t>This workbook, sheet Ref System parameters</t>
        </is>
      </c>
      <c r="L136" s="14" t="inlineStr">
        <is>
          <t>16-Jul-2027 (T-24 weeks)</t>
        </is>
      </c>
      <c r="M136" s="14" t="n"/>
      <c r="N136" s="14" t="n"/>
      <c r="O136" s="14" t="n"/>
      <c r="P136" s="14" t="inlineStr">
        <is>
          <t>Not started</t>
        </is>
      </c>
      <c r="Q136" s="14" t="n"/>
    </row>
    <row r="137">
      <c r="A137" s="14" t="inlineStr">
        <is>
          <t>CASH_ON_HAND_ACCOUNT</t>
        </is>
      </c>
      <c r="B137" s="14" t="inlineStr">
        <is>
          <t>Operations</t>
        </is>
      </c>
      <c r="C137" s="14" t="inlineStr">
        <is>
          <t>Operations</t>
        </is>
      </c>
      <c r="D137" s="14" t="inlineStr">
        <is>
          <t>Drop 1</t>
        </is>
      </c>
      <c r="E137" s="14" t="inlineStr">
        <is>
          <t>Head, Operations Services</t>
        </is>
      </c>
      <c r="F137" s="14" t="inlineStr">
        <is>
          <t>GL account debited for payments received in cash over the counter</t>
        </is>
      </c>
      <c r="G137" s="14" t="inlineStr">
        <is>
          <t>string</t>
        </is>
      </c>
      <c r="H137" s="14" t="inlineStr">
        <is>
          <t>(blank)</t>
        </is>
      </c>
      <c r="I137" s="14" t="inlineStr"/>
      <c r="J137" s="14" t="inlineStr">
        <is>
          <t>Template</t>
        </is>
      </c>
      <c r="K137" s="14" t="inlineStr">
        <is>
          <t>This workbook, sheet Ref System parameters</t>
        </is>
      </c>
      <c r="L137" s="14" t="inlineStr">
        <is>
          <t>16-Jul-2027 (T-24 weeks)</t>
        </is>
      </c>
      <c r="M137" s="14" t="n"/>
      <c r="N137" s="14" t="n"/>
      <c r="O137" s="14" t="n"/>
      <c r="P137" s="14" t="inlineStr">
        <is>
          <t>Not started</t>
        </is>
      </c>
      <c r="Q137" s="14" t="n"/>
    </row>
    <row r="138">
      <c r="A138" s="14" t="inlineStr">
        <is>
          <t>CASH_POSTING_STEP_RECEIPTS</t>
        </is>
      </c>
      <c r="B138" s="14" t="inlineStr">
        <is>
          <t>Operations</t>
        </is>
      </c>
      <c r="C138" s="14" t="inlineStr">
        <is>
          <t>Operations</t>
        </is>
      </c>
      <c r="D138" s="14" t="inlineStr">
        <is>
          <t>Drop 1</t>
        </is>
      </c>
      <c r="E138" s="14" t="inlineStr">
        <is>
          <t>Head, Operations Services</t>
        </is>
      </c>
      <c r="F138" s="14" t="inlineStr">
        <is>
          <t>Receipt kinds whose number is issued only when a second user posts the creation record (AR, OR); blank = issue at save (Appendix R, C1)</t>
        </is>
      </c>
      <c r="G138" s="14" t="inlineStr">
        <is>
          <t>code list</t>
        </is>
      </c>
      <c r="H138" s="14" t="inlineStr">
        <is>
          <t>AR,OR</t>
        </is>
      </c>
      <c r="I138" s="14" t="inlineStr"/>
      <c r="J138" s="14" t="inlineStr">
        <is>
          <t>Template</t>
        </is>
      </c>
      <c r="K138" s="14" t="inlineStr">
        <is>
          <t>This workbook, sheet Ref System parameters</t>
        </is>
      </c>
      <c r="L138" s="14" t="inlineStr">
        <is>
          <t>16-Jul-2027 (T-24 weeks)</t>
        </is>
      </c>
      <c r="M138" s="14" t="n"/>
      <c r="N138" s="14" t="n"/>
      <c r="O138" s="14" t="n"/>
      <c r="P138" s="14" t="inlineStr">
        <is>
          <t>Not started</t>
        </is>
      </c>
      <c r="Q138" s="14" t="n"/>
    </row>
    <row r="139">
      <c r="A139" s="14" t="inlineStr">
        <is>
          <t>CASH_PR2307_BASE</t>
        </is>
      </c>
      <c r="B139" s="14" t="inlineStr">
        <is>
          <t>Operations</t>
        </is>
      </c>
      <c r="C139" s="14" t="inlineStr">
        <is>
          <t>Operations</t>
        </is>
      </c>
      <c r="D139" s="14" t="inlineStr">
        <is>
          <t>Drop 1</t>
        </is>
      </c>
      <c r="E139" s="14" t="inlineStr">
        <is>
          <t>Head, Operations Services</t>
        </is>
      </c>
      <c r="F139" s="14" t="inlineStr">
        <is>
          <t>Base of the PR 2307 of a 2% CWT account: PREMIUM = the premium amount (every premium receivable component), BASIC = the basic premium only (Appendix R, C26)</t>
        </is>
      </c>
      <c r="G139" s="14" t="inlineStr">
        <is>
          <t>string</t>
        </is>
      </c>
      <c r="H139" s="14" t="inlineStr">
        <is>
          <t>PREMIUM</t>
        </is>
      </c>
      <c r="I139" s="14" t="inlineStr"/>
      <c r="J139" s="14" t="inlineStr">
        <is>
          <t>Template</t>
        </is>
      </c>
      <c r="K139" s="14" t="inlineStr">
        <is>
          <t>This workbook, sheet Ref System parameters</t>
        </is>
      </c>
      <c r="L139" s="14" t="inlineStr">
        <is>
          <t>16-Jul-2027 (T-24 weeks)</t>
        </is>
      </c>
      <c r="M139" s="14" t="n"/>
      <c r="N139" s="14" t="n"/>
      <c r="O139" s="14" t="n"/>
      <c r="P139" s="14" t="inlineStr">
        <is>
          <t>Not started</t>
        </is>
      </c>
      <c r="Q139" s="14" t="n"/>
    </row>
    <row r="140">
      <c r="A140" s="14" t="inlineStr">
        <is>
          <t>CASH_RECEIPT_NO_FORMAT</t>
        </is>
      </c>
      <c r="B140" s="14" t="inlineStr">
        <is>
          <t>Operations</t>
        </is>
      </c>
      <c r="C140" s="14" t="inlineStr">
        <is>
          <t>Operations</t>
        </is>
      </c>
      <c r="D140" s="14" t="inlineStr">
        <is>
          <t>Drop 1</t>
        </is>
      </c>
      <c r="E140" s="14" t="inlineStr">
        <is>
          <t>Head, Operations Services</t>
        </is>
      </c>
      <c r="F140" s="14" t="inlineStr">
        <is>
          <t>Number format proposed for a new AR / OR series; tokens {PREFIX}, {YEAR}, {BRANCH} (branch indicator), {SEQ}; blank = prefix and sequence (Appendix R, C4)</t>
        </is>
      </c>
      <c r="G140" s="14" t="inlineStr">
        <is>
          <t>string</t>
        </is>
      </c>
      <c r="H140" s="14" t="inlineStr">
        <is>
          <t>{PREFIX}-{YEAR}-{BRANCH}-{SEQ}</t>
        </is>
      </c>
      <c r="I140" s="14" t="inlineStr"/>
      <c r="J140" s="14" t="inlineStr">
        <is>
          <t>Template</t>
        </is>
      </c>
      <c r="K140" s="14" t="inlineStr">
        <is>
          <t>This workbook, sheet Ref System parameters</t>
        </is>
      </c>
      <c r="L140" s="14" t="inlineStr">
        <is>
          <t>16-Jul-2027 (T-24 weeks)</t>
        </is>
      </c>
      <c r="M140" s="14" t="n"/>
      <c r="N140" s="14" t="n"/>
      <c r="O140" s="14" t="n"/>
      <c r="P140" s="14" t="inlineStr">
        <is>
          <t>Not started</t>
        </is>
      </c>
      <c r="Q140" s="14" t="n"/>
    </row>
    <row r="141">
      <c r="A141" s="14" t="inlineStr">
        <is>
          <t>CASH_RECORD_NO_FORMAT</t>
        </is>
      </c>
      <c r="B141" s="14" t="inlineStr">
        <is>
          <t>Operations</t>
        </is>
      </c>
      <c r="C141" s="14" t="inlineStr">
        <is>
          <t>Operations</t>
        </is>
      </c>
      <c r="D141" s="14" t="inlineStr">
        <is>
          <t>Drop 1</t>
        </is>
      </c>
      <c r="E141" s="14" t="inlineStr">
        <is>
          <t>Head, Operations Services</t>
        </is>
      </c>
      <c r="F141" s="14" t="inlineStr">
        <is>
          <t>Number of creation, cancellation and reinstatement records; tokens {PREFIX} (CR, CN, RE), {TYPE} (AR, OR), {YEAR}, {SEQ} (Appendix R, C3)</t>
        </is>
      </c>
      <c r="G141" s="14" t="inlineStr">
        <is>
          <t>string</t>
        </is>
      </c>
      <c r="H141" s="14" t="inlineStr">
        <is>
          <t>{PREFIX}-{TYPE}-{SEQ}</t>
        </is>
      </c>
      <c r="I141" s="14" t="inlineStr"/>
      <c r="J141" s="14" t="inlineStr">
        <is>
          <t>Template</t>
        </is>
      </c>
      <c r="K141" s="14" t="inlineStr">
        <is>
          <t>This workbook, sheet Ref System parameters</t>
        </is>
      </c>
      <c r="L141" s="14" t="inlineStr">
        <is>
          <t>16-Jul-2027 (T-24 weeks)</t>
        </is>
      </c>
      <c r="M141" s="14" t="n"/>
      <c r="N141" s="14" t="n"/>
      <c r="O141" s="14" t="n"/>
      <c r="P141" s="14" t="inlineStr">
        <is>
          <t>Not started</t>
        </is>
      </c>
      <c r="Q141" s="14" t="n"/>
    </row>
    <row r="142">
      <c r="A142" s="14" t="inlineStr">
        <is>
          <t>CASH_REINSTATEMENT_SCOPE</t>
        </is>
      </c>
      <c r="B142" s="14" t="inlineStr">
        <is>
          <t>Operations</t>
        </is>
      </c>
      <c r="C142" s="14" t="inlineStr">
        <is>
          <t>Operations</t>
        </is>
      </c>
      <c r="D142" s="14" t="inlineStr">
        <is>
          <t>Drop 1</t>
        </is>
      </c>
      <c r="E142" s="14" t="inlineStr">
        <is>
          <t>Head, Operations Services</t>
        </is>
      </c>
      <c r="F142" s="14" t="inlineStr">
        <is>
          <t>What Reinstate does: ISSUED = reverse the payment of an issued receipt, CANCELLED = restore a cancelled receipt, BOTH (Appendix R, C2)</t>
        </is>
      </c>
      <c r="G142" s="14" t="inlineStr">
        <is>
          <t>string</t>
        </is>
      </c>
      <c r="H142" s="14" t="inlineStr">
        <is>
          <t>BOTH</t>
        </is>
      </c>
      <c r="I142" s="14" t="inlineStr"/>
      <c r="J142" s="14" t="inlineStr">
        <is>
          <t>Template</t>
        </is>
      </c>
      <c r="K142" s="14" t="inlineStr">
        <is>
          <t>This workbook, sheet Ref System parameters</t>
        </is>
      </c>
      <c r="L142" s="14" t="inlineStr">
        <is>
          <t>16-Jul-2027 (T-24 weeks)</t>
        </is>
      </c>
      <c r="M142" s="14" t="n"/>
      <c r="N142" s="14" t="n"/>
      <c r="O142" s="14" t="n"/>
      <c r="P142" s="14" t="inlineStr">
        <is>
          <t>Not started</t>
        </is>
      </c>
      <c r="Q142" s="14" t="n"/>
    </row>
    <row r="143">
      <c r="A143" s="14" t="inlineStr">
        <is>
          <t>CASH_REMITTED_CANCELLATION</t>
        </is>
      </c>
      <c r="B143" s="14" t="inlineStr">
        <is>
          <t>Operations</t>
        </is>
      </c>
      <c r="C143" s="14" t="inlineStr">
        <is>
          <t>Operations</t>
        </is>
      </c>
      <c r="D143" s="14" t="inlineStr">
        <is>
          <t>Drop 1</t>
        </is>
      </c>
      <c r="E143" s="14" t="inlineStr">
        <is>
          <t>Head, Operations Services</t>
        </is>
      </c>
      <c r="F143" s="14" t="inlineStr">
        <is>
          <t>Cancellation of an AR already remitted: AR_INSURER_REFUND = the payment becomes an AR Insurer Refund; REVERSE_ALL = every application is reversed (Appendix R, C9)</t>
        </is>
      </c>
      <c r="G143" s="14" t="inlineStr">
        <is>
          <t>string</t>
        </is>
      </c>
      <c r="H143" s="14" t="inlineStr">
        <is>
          <t>AR_INSURER_REFUND</t>
        </is>
      </c>
      <c r="I143" s="14" t="inlineStr"/>
      <c r="J143" s="14" t="inlineStr">
        <is>
          <t>Template</t>
        </is>
      </c>
      <c r="K143" s="14" t="inlineStr">
        <is>
          <t>This workbook, sheet Ref System parameters</t>
        </is>
      </c>
      <c r="L143" s="14" t="inlineStr">
        <is>
          <t>16-Jul-2027 (T-24 weeks)</t>
        </is>
      </c>
      <c r="M143" s="14" t="n"/>
      <c r="N143" s="14" t="n"/>
      <c r="O143" s="14" t="n"/>
      <c r="P143" s="14" t="inlineStr">
        <is>
          <t>Not started</t>
        </is>
      </c>
      <c r="Q143" s="14" t="n"/>
    </row>
    <row r="144">
      <c r="A144" s="14" t="inlineStr">
        <is>
          <t>CASH_SETTLEMENT_OR_TRIGGER</t>
        </is>
      </c>
      <c r="B144" s="14" t="inlineStr">
        <is>
          <t>Operations</t>
        </is>
      </c>
      <c r="C144" s="14" t="inlineStr">
        <is>
          <t>Operations</t>
        </is>
      </c>
      <c r="D144" s="14" t="inlineStr">
        <is>
          <t>Drop 1</t>
        </is>
      </c>
      <c r="E144" s="14" t="inlineStr">
        <is>
          <t>Head, Operations Services</t>
        </is>
      </c>
      <c r="F144" s="14" t="inlineStr">
        <is>
          <t>When the commission and incentive ORs of an insurer settlement are issued: DISBURSEMENT_APPROVAL = once Disbursement approves the payment request, REMITTANCE_APPROVAL = at the approval of the remittance batch (Appendix R, C12)</t>
        </is>
      </c>
      <c r="G144" s="14" t="inlineStr">
        <is>
          <t>string</t>
        </is>
      </c>
      <c r="H144" s="14" t="inlineStr">
        <is>
          <t>DISBURSEMENT_APPROVAL</t>
        </is>
      </c>
      <c r="I144" s="14" t="inlineStr"/>
      <c r="J144" s="14" t="inlineStr">
        <is>
          <t>Template</t>
        </is>
      </c>
      <c r="K144" s="14" t="inlineStr">
        <is>
          <t>This workbook, sheet Ref System parameters</t>
        </is>
      </c>
      <c r="L144" s="14" t="inlineStr">
        <is>
          <t>16-Jul-2027 (T-24 weeks)</t>
        </is>
      </c>
      <c r="M144" s="14" t="n"/>
      <c r="N144" s="14" t="n"/>
      <c r="O144" s="14" t="n"/>
      <c r="P144" s="14" t="inlineStr">
        <is>
          <t>Not started</t>
        </is>
      </c>
      <c r="Q144" s="14" t="n"/>
    </row>
    <row r="145">
      <c r="A145" s="14" t="inlineStr">
        <is>
          <t>CASH_UNAPPLIED_MARKETING_SCOPE</t>
        </is>
      </c>
      <c r="B145" s="14" t="inlineStr">
        <is>
          <t>Operations</t>
        </is>
      </c>
      <c r="C145" s="14" t="inlineStr">
        <is>
          <t>Operations</t>
        </is>
      </c>
      <c r="D145" s="14" t="inlineStr">
        <is>
          <t>Drop 1</t>
        </is>
      </c>
      <c r="E145" s="14" t="inlineStr">
        <is>
          <t>Head, Operations Services</t>
        </is>
      </c>
      <c r="F145" s="14" t="inlineStr">
        <is>
          <t>What a Marketing user sees in the list of unapplied payments: OWN_UNIT = the records of his or her marketing unit, ALL = every record (Appendix R, C13)</t>
        </is>
      </c>
      <c r="G145" s="14" t="inlineStr">
        <is>
          <t>string</t>
        </is>
      </c>
      <c r="H145" s="14" t="inlineStr">
        <is>
          <t>OWN_UNIT</t>
        </is>
      </c>
      <c r="I145" s="14" t="inlineStr"/>
      <c r="J145" s="14" t="inlineStr">
        <is>
          <t>Template</t>
        </is>
      </c>
      <c r="K145" s="14" t="inlineStr">
        <is>
          <t>This workbook, sheet Ref System parameters</t>
        </is>
      </c>
      <c r="L145" s="14" t="inlineStr">
        <is>
          <t>16-Jul-2027 (T-24 weeks)</t>
        </is>
      </c>
      <c r="M145" s="14" t="n"/>
      <c r="N145" s="14" t="n"/>
      <c r="O145" s="14" t="n"/>
      <c r="P145" s="14" t="inlineStr">
        <is>
          <t>Not started</t>
        </is>
      </c>
      <c r="Q145" s="14" t="n"/>
    </row>
    <row r="146">
      <c r="A146" s="14" t="inlineStr">
        <is>
          <t>CMR_DP_COLLECTION_BANK</t>
        </is>
      </c>
      <c r="B146" s="14" t="inlineStr">
        <is>
          <t>Operations</t>
        </is>
      </c>
      <c r="C146" s="14" t="inlineStr">
        <is>
          <t>Operations</t>
        </is>
      </c>
      <c r="D146" s="14" t="inlineStr">
        <is>
          <t>Drop 1</t>
        </is>
      </c>
      <c r="E146" s="14" t="inlineStr">
        <is>
          <t>Head, Operations Services</t>
        </is>
      </c>
      <c r="F146" s="14" t="inlineStr">
        <is>
          <t>GL bank account proposed for direct payment commission collections (role BANK of OPS_DP_COMMISSION_COLLECT)</t>
        </is>
      </c>
      <c r="G146" s="14" t="inlineStr">
        <is>
          <t>string</t>
        </is>
      </c>
      <c r="H146" s="14" t="inlineStr">
        <is>
          <t>(blank)</t>
        </is>
      </c>
      <c r="I146" s="14" t="inlineStr"/>
      <c r="J146" s="14" t="inlineStr">
        <is>
          <t>Template</t>
        </is>
      </c>
      <c r="K146" s="14" t="inlineStr">
        <is>
          <t>This workbook, sheet Ref System parameters</t>
        </is>
      </c>
      <c r="L146" s="14" t="inlineStr">
        <is>
          <t>16-Jul-2027 (T-24 weeks)</t>
        </is>
      </c>
      <c r="M146" s="14" t="n"/>
      <c r="N146" s="14" t="n"/>
      <c r="O146" s="14" t="n"/>
      <c r="P146" s="14" t="inlineStr">
        <is>
          <t>Not started</t>
        </is>
      </c>
      <c r="Q146" s="14" t="n"/>
    </row>
    <row r="147">
      <c r="A147" s="14" t="inlineStr">
        <is>
          <t>CMR_FEEDBACK_WORKING_DAYS</t>
        </is>
      </c>
      <c r="B147" s="14" t="inlineStr">
        <is>
          <t>Operations</t>
        </is>
      </c>
      <c r="C147" s="14" t="inlineStr">
        <is>
          <t>Operations</t>
        </is>
      </c>
      <c r="D147" s="14" t="inlineStr">
        <is>
          <t>Drop 1</t>
        </is>
      </c>
      <c r="E147" s="14" t="inlineStr">
        <is>
          <t>Head, Operations Services</t>
        </is>
      </c>
      <c r="F147" s="14" t="inlineStr">
        <is>
          <t>Working days an insurer has to answer a direct payment commission billing</t>
        </is>
      </c>
      <c r="G147" s="14" t="inlineStr">
        <is>
          <t>integer</t>
        </is>
      </c>
      <c r="H147" s="14" t="inlineStr">
        <is>
          <t>10</t>
        </is>
      </c>
      <c r="I147" s="14" t="inlineStr">
        <is>
          <t>1 to 60</t>
        </is>
      </c>
      <c r="J147" s="14" t="inlineStr">
        <is>
          <t>Template</t>
        </is>
      </c>
      <c r="K147" s="14" t="inlineStr">
        <is>
          <t>This workbook, sheet Ref System parameters</t>
        </is>
      </c>
      <c r="L147" s="14" t="inlineStr">
        <is>
          <t>16-Jul-2027 (T-24 weeks)</t>
        </is>
      </c>
      <c r="M147" s="14" t="n"/>
      <c r="N147" s="14" t="n"/>
      <c r="O147" s="14" t="n"/>
      <c r="P147" s="14" t="inlineStr">
        <is>
          <t>Not started</t>
        </is>
      </c>
      <c r="Q147" s="14" t="n"/>
    </row>
    <row r="148">
      <c r="A148" s="14" t="inlineStr">
        <is>
          <t>CWT_APPLICATION_PERCENT</t>
        </is>
      </c>
      <c r="B148" s="14" t="inlineStr">
        <is>
          <t>Operations</t>
        </is>
      </c>
      <c r="C148" s="14" t="inlineStr">
        <is>
          <t>Operations</t>
        </is>
      </c>
      <c r="D148" s="14" t="inlineStr">
        <is>
          <t>Drop 1</t>
        </is>
      </c>
      <c r="E148" s="14" t="inlineStr">
        <is>
          <t>Head, Operations Services</t>
        </is>
      </c>
      <c r="F148" s="14" t="inlineStr">
        <is>
          <t>Share of the premium applied for accounts of clients withholding 2% creditable tax</t>
        </is>
      </c>
      <c r="G148" s="14" t="inlineStr">
        <is>
          <t>decimal</t>
        </is>
      </c>
      <c r="H148" s="14" t="inlineStr">
        <is>
          <t>98</t>
        </is>
      </c>
      <c r="I148" s="14" t="inlineStr">
        <is>
          <t>50 to 100</t>
        </is>
      </c>
      <c r="J148" s="14" t="inlineStr">
        <is>
          <t>Template</t>
        </is>
      </c>
      <c r="K148" s="14" t="inlineStr">
        <is>
          <t>This workbook, sheet Ref System parameters</t>
        </is>
      </c>
      <c r="L148" s="14" t="inlineStr">
        <is>
          <t>16-Jul-2027 (T-24 weeks)</t>
        </is>
      </c>
      <c r="M148" s="14" t="n"/>
      <c r="N148" s="14" t="n"/>
      <c r="O148" s="14" t="n"/>
      <c r="P148" s="14" t="inlineStr">
        <is>
          <t>Not started</t>
        </is>
      </c>
      <c r="Q148" s="14" t="n"/>
    </row>
    <row r="149">
      <c r="A149" s="14" t="inlineStr">
        <is>
          <t>DP_PREMIUM_TOLERANCE</t>
        </is>
      </c>
      <c r="B149" s="14" t="inlineStr">
        <is>
          <t>Operations</t>
        </is>
      </c>
      <c r="C149" s="14" t="inlineStr">
        <is>
          <t>Operations</t>
        </is>
      </c>
      <c r="D149" s="14" t="inlineStr">
        <is>
          <t>Drop 1</t>
        </is>
      </c>
      <c r="E149" s="14" t="inlineStr">
        <is>
          <t>Head, Operations Services</t>
        </is>
      </c>
      <c r="F149" s="14" t="inlineStr">
        <is>
          <t>Largest difference between the premium of a direct payment list and the booked gross premium that still passes the check</t>
        </is>
      </c>
      <c r="G149" s="14" t="inlineStr">
        <is>
          <t>decimal</t>
        </is>
      </c>
      <c r="H149" s="14" t="inlineStr">
        <is>
          <t>1.00</t>
        </is>
      </c>
      <c r="I149" s="14" t="inlineStr"/>
      <c r="J149" s="14" t="inlineStr">
        <is>
          <t>Template</t>
        </is>
      </c>
      <c r="K149" s="14" t="inlineStr">
        <is>
          <t>This workbook, sheet Ref System parameters</t>
        </is>
      </c>
      <c r="L149" s="14" t="inlineStr">
        <is>
          <t>16-Jul-2027 (T-24 weeks)</t>
        </is>
      </c>
      <c r="M149" s="14" t="n"/>
      <c r="N149" s="14" t="n"/>
      <c r="O149" s="14" t="n"/>
      <c r="P149" s="14" t="inlineStr">
        <is>
          <t>Not started</t>
        </is>
      </c>
      <c r="Q149" s="14" t="n"/>
    </row>
    <row r="150">
      <c r="A150" s="14" t="inlineStr">
        <is>
          <t>DP_PR_REVERSAL_POSTING</t>
        </is>
      </c>
      <c r="B150" s="14" t="inlineStr">
        <is>
          <t>Operations</t>
        </is>
      </c>
      <c r="C150" s="14" t="inlineStr">
        <is>
          <t>Operations</t>
        </is>
      </c>
      <c r="D150" s="14" t="inlineStr">
        <is>
          <t>Drop 1</t>
        </is>
      </c>
      <c r="E150" s="14" t="inlineStr">
        <is>
          <t>Head, Operations Services</t>
        </is>
      </c>
      <c r="F150" s="14" t="inlineStr">
        <is>
          <t>Post the GL entry of the direct payment PR reversal and reinstatement (OPS_DP_PR_REVERSAL / OPS_DP_REINSTATE). Off while booking posts no premium receivable for direct payment invoices; the ledger reversal is always recorded</t>
        </is>
      </c>
      <c r="G150" s="14" t="inlineStr">
        <is>
          <t>boolean</t>
        </is>
      </c>
      <c r="H150" s="14" t="inlineStr">
        <is>
          <t>false</t>
        </is>
      </c>
      <c r="I150" s="14" t="inlineStr"/>
      <c r="J150" s="14" t="inlineStr">
        <is>
          <t>Template</t>
        </is>
      </c>
      <c r="K150" s="14" t="inlineStr">
        <is>
          <t>This workbook, sheet Ref System parameters</t>
        </is>
      </c>
      <c r="L150" s="14" t="inlineStr">
        <is>
          <t>16-Jul-2027 (T-24 weeks)</t>
        </is>
      </c>
      <c r="M150" s="14" t="n"/>
      <c r="N150" s="14" t="n"/>
      <c r="O150" s="14" t="n"/>
      <c r="P150" s="14" t="inlineStr">
        <is>
          <t>Not started</t>
        </is>
      </c>
      <c r="Q150" s="14" t="n"/>
    </row>
    <row r="151">
      <c r="A151" s="14" t="inlineStr">
        <is>
          <t>JOB_HISTORY_DAYS</t>
        </is>
      </c>
      <c r="B151" s="14" t="inlineStr">
        <is>
          <t>Operations</t>
        </is>
      </c>
      <c r="C151" s="14" t="inlineStr">
        <is>
          <t>Operations</t>
        </is>
      </c>
      <c r="D151" s="14" t="inlineStr">
        <is>
          <t>Drop 1</t>
        </is>
      </c>
      <c r="E151" s="14" t="inlineStr">
        <is>
          <t>Head, Operations Services</t>
        </is>
      </c>
      <c r="F151" s="14" t="inlineStr">
        <is>
          <t>Days of scheduled job history shown in the job monitor</t>
        </is>
      </c>
      <c r="G151" s="14" t="inlineStr">
        <is>
          <t>integer</t>
        </is>
      </c>
      <c r="H151" s="14" t="inlineStr">
        <is>
          <t>90</t>
        </is>
      </c>
      <c r="I151" s="14" t="inlineStr">
        <is>
          <t>1 to 3650</t>
        </is>
      </c>
      <c r="J151" s="14" t="inlineStr">
        <is>
          <t>Template</t>
        </is>
      </c>
      <c r="K151" s="14" t="inlineStr">
        <is>
          <t>This workbook, sheet Ref System parameters</t>
        </is>
      </c>
      <c r="L151" s="14" t="inlineStr">
        <is>
          <t>16-Jul-2027 (T-24 weeks)</t>
        </is>
      </c>
      <c r="M151" s="14" t="n"/>
      <c r="N151" s="14" t="n"/>
      <c r="O151" s="14" t="n"/>
      <c r="P151" s="14" t="inlineStr">
        <is>
          <t>Not started</t>
        </is>
      </c>
      <c r="Q151" s="14" t="n"/>
    </row>
    <row r="152">
      <c r="A152" s="14" t="inlineStr">
        <is>
          <t>MIN_BALANCE_AUTO_MAX</t>
        </is>
      </c>
      <c r="B152" s="14" t="inlineStr">
        <is>
          <t>Operations</t>
        </is>
      </c>
      <c r="C152" s="14" t="inlineStr">
        <is>
          <t>Operations</t>
        </is>
      </c>
      <c r="D152" s="14" t="inlineStr">
        <is>
          <t>Drop 1</t>
        </is>
      </c>
      <c r="E152" s="14" t="inlineStr">
        <is>
          <t>Head, Operations Services</t>
        </is>
      </c>
      <c r="F152" s="14" t="inlineStr">
        <is>
          <t>Minimal balances up to this amount are reversed automatically</t>
        </is>
      </c>
      <c r="G152" s="14" t="inlineStr">
        <is>
          <t>decimal</t>
        </is>
      </c>
      <c r="H152" s="14" t="inlineStr">
        <is>
          <t>10.00</t>
        </is>
      </c>
      <c r="I152" s="14" t="inlineStr">
        <is>
          <t>0 to 1000</t>
        </is>
      </c>
      <c r="J152" s="14" t="inlineStr">
        <is>
          <t>Template</t>
        </is>
      </c>
      <c r="K152" s="14" t="inlineStr">
        <is>
          <t>This workbook, sheet Ref System parameters</t>
        </is>
      </c>
      <c r="L152" s="14" t="inlineStr">
        <is>
          <t>16-Jul-2027 (T-24 weeks)</t>
        </is>
      </c>
      <c r="M152" s="14" t="n"/>
      <c r="N152" s="14" t="n"/>
      <c r="O152" s="14" t="n"/>
      <c r="P152" s="14" t="inlineStr">
        <is>
          <t>Not started</t>
        </is>
      </c>
      <c r="Q152" s="14" t="n"/>
    </row>
    <row r="153">
      <c r="A153" s="14" t="inlineStr">
        <is>
          <t>MIN_BALANCE_FILE_RANGE</t>
        </is>
      </c>
      <c r="B153" s="14" t="inlineStr">
        <is>
          <t>Operations</t>
        </is>
      </c>
      <c r="C153" s="14" t="inlineStr">
        <is>
          <t>Operations</t>
        </is>
      </c>
      <c r="D153" s="14" t="inlineStr">
        <is>
          <t>Drop 1</t>
        </is>
      </c>
      <c r="E153" s="14" t="inlineStr">
        <is>
          <t>Head, Operations Services</t>
        </is>
      </c>
      <c r="F153" s="14" t="inlineStr">
        <is>
          <t>Balance range of the minimal balance write-off file</t>
        </is>
      </c>
      <c r="G153" s="14" t="inlineStr">
        <is>
          <t>string</t>
        </is>
      </c>
      <c r="H153" s="14" t="inlineStr">
        <is>
          <t>10.00-100.00</t>
        </is>
      </c>
      <c r="I153" s="14" t="inlineStr"/>
      <c r="J153" s="14" t="inlineStr">
        <is>
          <t>Template</t>
        </is>
      </c>
      <c r="K153" s="14" t="inlineStr">
        <is>
          <t>This workbook, sheet Ref System parameters</t>
        </is>
      </c>
      <c r="L153" s="14" t="inlineStr">
        <is>
          <t>16-Jul-2027 (T-24 weeks)</t>
        </is>
      </c>
      <c r="M153" s="14" t="n"/>
      <c r="N153" s="14" t="n"/>
      <c r="O153" s="14" t="n"/>
      <c r="P153" s="14" t="inlineStr">
        <is>
          <t>Not started</t>
        </is>
      </c>
      <c r="Q153" s="14" t="n"/>
    </row>
    <row r="154">
      <c r="A154" s="14" t="inlineStr">
        <is>
          <t>OPS_BOOK_RATE_TYPE</t>
        </is>
      </c>
      <c r="B154" s="14" t="inlineStr">
        <is>
          <t>Operations</t>
        </is>
      </c>
      <c r="C154" s="14" t="inlineStr">
        <is>
          <t>Operations</t>
        </is>
      </c>
      <c r="D154" s="14" t="inlineStr">
        <is>
          <t>Drop 1</t>
        </is>
      </c>
      <c r="E154" s="14" t="inlineStr">
        <is>
          <t>Head, Operations Services</t>
        </is>
      </c>
      <c r="F154" s="14" t="inlineStr">
        <is>
          <t>Exchange rate type of Operations postings: the Comptrollership BOOK rate, 2 decimals</t>
        </is>
      </c>
      <c r="G154" s="14" t="inlineStr">
        <is>
          <t>string</t>
        </is>
      </c>
      <c r="H154" s="14" t="inlineStr">
        <is>
          <t>BOOK</t>
        </is>
      </c>
      <c r="I154" s="14" t="inlineStr"/>
      <c r="J154" s="14" t="inlineStr">
        <is>
          <t>Template</t>
        </is>
      </c>
      <c r="K154" s="14" t="inlineStr">
        <is>
          <t>This workbook, sheet Ref System parameters</t>
        </is>
      </c>
      <c r="L154" s="14" t="inlineStr">
        <is>
          <t>16-Jul-2027 (T-24 weeks)</t>
        </is>
      </c>
      <c r="M154" s="14" t="n"/>
      <c r="N154" s="14" t="n"/>
      <c r="O154" s="14" t="n"/>
      <c r="P154" s="14" t="inlineStr">
        <is>
          <t>Not started</t>
        </is>
      </c>
      <c r="Q154" s="14" t="n"/>
    </row>
    <row r="155">
      <c r="A155" s="14" t="inlineStr">
        <is>
          <t>PRODRECON_FILE_PATTERN</t>
        </is>
      </c>
      <c r="B155" s="14" t="inlineStr">
        <is>
          <t>Operations</t>
        </is>
      </c>
      <c r="C155" s="14" t="inlineStr">
        <is>
          <t>Operations</t>
        </is>
      </c>
      <c r="D155" s="14" t="inlineStr">
        <is>
          <t>Drop 1</t>
        </is>
      </c>
      <c r="E155" s="14" t="inlineStr">
        <is>
          <t>Head, Operations Services</t>
        </is>
      </c>
      <c r="F155" s="14" t="inlineStr">
        <is>
          <t>File naming convention of the production register sent to insurers</t>
        </is>
      </c>
      <c r="G155" s="14" t="inlineStr">
        <is>
          <t>string</t>
        </is>
      </c>
      <c r="H155" s="14" t="inlineStr">
        <is>
          <t>(blank)</t>
        </is>
      </c>
      <c r="I155" s="14" t="inlineStr"/>
      <c r="J155" s="14" t="inlineStr">
        <is>
          <t>Template</t>
        </is>
      </c>
      <c r="K155" s="14" t="inlineStr">
        <is>
          <t>This workbook, sheet Ref System parameters</t>
        </is>
      </c>
      <c r="L155" s="14" t="inlineStr">
        <is>
          <t>16-Jul-2027 (T-24 weeks)</t>
        </is>
      </c>
      <c r="M155" s="14" t="n"/>
      <c r="N155" s="14" t="n"/>
      <c r="O155" s="14" t="n"/>
      <c r="P155" s="14" t="inlineStr">
        <is>
          <t>Not started</t>
        </is>
      </c>
      <c r="Q155" s="14" t="n"/>
    </row>
    <row r="156">
      <c r="A156" s="14" t="inlineStr">
        <is>
          <t>RECON_MATCH_KEYS</t>
        </is>
      </c>
      <c r="B156" s="14" t="inlineStr">
        <is>
          <t>Operations</t>
        </is>
      </c>
      <c r="C156" s="14" t="inlineStr">
        <is>
          <t>Operations</t>
        </is>
      </c>
      <c r="D156" s="14" t="inlineStr">
        <is>
          <t>Drop 1</t>
        </is>
      </c>
      <c r="E156" s="14" t="inlineStr">
        <is>
          <t>Head, Operations Services</t>
        </is>
      </c>
      <c r="F156" s="14" t="inlineStr">
        <is>
          <t>Keys pairing an insurer production line with a booked invoice, tried in order: INVOICE_NO, POLICY_NO, PN_NO</t>
        </is>
      </c>
      <c r="G156" s="14" t="inlineStr">
        <is>
          <t>code list</t>
        </is>
      </c>
      <c r="H156" s="14" t="inlineStr">
        <is>
          <t>INVOICE_NO,POLICY_NO</t>
        </is>
      </c>
      <c r="I156" s="14" t="inlineStr"/>
      <c r="J156" s="14" t="inlineStr">
        <is>
          <t>Template</t>
        </is>
      </c>
      <c r="K156" s="14" t="inlineStr">
        <is>
          <t>This workbook, sheet Ref System parameters</t>
        </is>
      </c>
      <c r="L156" s="14" t="inlineStr">
        <is>
          <t>16-Jul-2027 (T-24 weeks)</t>
        </is>
      </c>
      <c r="M156" s="14" t="n"/>
      <c r="N156" s="14" t="n"/>
      <c r="O156" s="14" t="n"/>
      <c r="P156" s="14" t="inlineStr">
        <is>
          <t>Not started</t>
        </is>
      </c>
      <c r="Q156" s="14" t="n"/>
    </row>
    <row r="157">
      <c r="A157" s="14" t="inlineStr">
        <is>
          <t>RECON_TOLERANCE</t>
        </is>
      </c>
      <c r="B157" s="14" t="inlineStr">
        <is>
          <t>Operations</t>
        </is>
      </c>
      <c r="C157" s="14" t="inlineStr">
        <is>
          <t>Operations</t>
        </is>
      </c>
      <c r="D157" s="14" t="inlineStr">
        <is>
          <t>Drop 1</t>
        </is>
      </c>
      <c r="E157" s="14" t="inlineStr">
        <is>
          <t>Head, Operations Services</t>
        </is>
      </c>
      <c r="F157" s="14" t="inlineStr">
        <is>
          <t>Production reconciliation tolerance: differences up to this amount are matched</t>
        </is>
      </c>
      <c r="G157" s="14" t="inlineStr">
        <is>
          <t>decimal</t>
        </is>
      </c>
      <c r="H157" s="14" t="inlineStr">
        <is>
          <t>1.00</t>
        </is>
      </c>
      <c r="I157" s="14" t="inlineStr">
        <is>
          <t>0 to 1000</t>
        </is>
      </c>
      <c r="J157" s="14" t="inlineStr">
        <is>
          <t>Template</t>
        </is>
      </c>
      <c r="K157" s="14" t="inlineStr">
        <is>
          <t>This workbook, sheet Ref System parameters</t>
        </is>
      </c>
      <c r="L157" s="14" t="inlineStr">
        <is>
          <t>16-Jul-2027 (T-24 weeks)</t>
        </is>
      </c>
      <c r="M157" s="14" t="n"/>
      <c r="N157" s="14" t="n"/>
      <c r="O157" s="14" t="n"/>
      <c r="P157" s="14" t="inlineStr">
        <is>
          <t>Not started</t>
        </is>
      </c>
      <c r="Q157" s="14" t="n"/>
    </row>
    <row r="158">
      <c r="A158" s="14" t="inlineStr">
        <is>
          <t>REMIT_CHECK_HOLD_DAYS</t>
        </is>
      </c>
      <c r="B158" s="14" t="inlineStr">
        <is>
          <t>Operations</t>
        </is>
      </c>
      <c r="C158" s="14" t="inlineStr">
        <is>
          <t>Operations</t>
        </is>
      </c>
      <c r="D158" s="14" t="inlineStr">
        <is>
          <t>Drop 1</t>
        </is>
      </c>
      <c r="E158" s="14" t="inlineStr">
        <is>
          <t>Head, Operations Services</t>
        </is>
      </c>
      <c r="F158" s="14" t="inlineStr">
        <is>
          <t>Banking days a check must be held (and cleared) before its payment is remitted</t>
        </is>
      </c>
      <c r="G158" s="14" t="inlineStr">
        <is>
          <t>integer</t>
        </is>
      </c>
      <c r="H158" s="14" t="inlineStr">
        <is>
          <t>3</t>
        </is>
      </c>
      <c r="I158" s="14" t="inlineStr">
        <is>
          <t>0 to 30</t>
        </is>
      </c>
      <c r="J158" s="14" t="inlineStr">
        <is>
          <t>Template</t>
        </is>
      </c>
      <c r="K158" s="14" t="inlineStr">
        <is>
          <t>This workbook, sheet Ref System parameters</t>
        </is>
      </c>
      <c r="L158" s="14" t="inlineStr">
        <is>
          <t>16-Jul-2027 (T-24 weeks)</t>
        </is>
      </c>
      <c r="M158" s="14" t="n"/>
      <c r="N158" s="14" t="n"/>
      <c r="O158" s="14" t="n"/>
      <c r="P158" s="14" t="inlineStr">
        <is>
          <t>Not started</t>
        </is>
      </c>
      <c r="Q158" s="14" t="n"/>
    </row>
    <row r="159">
      <c r="A159" s="14" t="inlineStr">
        <is>
          <t>REMIT_FILE_PATTERN</t>
        </is>
      </c>
      <c r="B159" s="14" t="inlineStr">
        <is>
          <t>Operations</t>
        </is>
      </c>
      <c r="C159" s="14" t="inlineStr">
        <is>
          <t>Operations</t>
        </is>
      </c>
      <c r="D159" s="14" t="inlineStr">
        <is>
          <t>Drop 1</t>
        </is>
      </c>
      <c r="E159" s="14" t="inlineStr">
        <is>
          <t>Head, Operations Services</t>
        </is>
      </c>
      <c r="F159" s="14" t="inlineStr">
        <is>
          <t>File naming convention of the remittance extracts</t>
        </is>
      </c>
      <c r="G159" s="14" t="inlineStr">
        <is>
          <t>string</t>
        </is>
      </c>
      <c r="H159" s="14" t="inlineStr">
        <is>
          <t>(blank)</t>
        </is>
      </c>
      <c r="I159" s="14" t="inlineStr"/>
      <c r="J159" s="14" t="inlineStr">
        <is>
          <t>Template</t>
        </is>
      </c>
      <c r="K159" s="14" t="inlineStr">
        <is>
          <t>This workbook, sheet Ref System parameters</t>
        </is>
      </c>
      <c r="L159" s="14" t="inlineStr">
        <is>
          <t>16-Jul-2027 (T-24 weeks)</t>
        </is>
      </c>
      <c r="M159" s="14" t="n"/>
      <c r="N159" s="14" t="n"/>
      <c r="O159" s="14" t="n"/>
      <c r="P159" s="14" t="inlineStr">
        <is>
          <t>Not started</t>
        </is>
      </c>
      <c r="Q159" s="14" t="n"/>
    </row>
    <row r="160">
      <c r="A160" s="14" t="inlineStr">
        <is>
          <t>REMIT_PAIDAR_OVER_DTIP_MODE</t>
        </is>
      </c>
      <c r="B160" s="14" t="inlineStr">
        <is>
          <t>Operations</t>
        </is>
      </c>
      <c r="C160" s="14" t="inlineStr">
        <is>
          <t>Operations</t>
        </is>
      </c>
      <c r="D160" s="14" t="inlineStr">
        <is>
          <t>Drop 1</t>
        </is>
      </c>
      <c r="E160" s="14" t="inlineStr">
        <is>
          <t>Head, Operations Services</t>
        </is>
      </c>
      <c r="F160" s="14" t="inlineStr">
        <is>
          <t>Paid AR greater than DTIP: EXCLUDE the invoice from extraction or CAP the remittance at the DTIP</t>
        </is>
      </c>
      <c r="G160" s="14" t="inlineStr">
        <is>
          <t>string</t>
        </is>
      </c>
      <c r="H160" s="14" t="inlineStr">
        <is>
          <t>EXCLUDE</t>
        </is>
      </c>
      <c r="I160" s="14" t="inlineStr"/>
      <c r="J160" s="14" t="inlineStr">
        <is>
          <t>Template</t>
        </is>
      </c>
      <c r="K160" s="14" t="inlineStr">
        <is>
          <t>This workbook, sheet Ref System parameters</t>
        </is>
      </c>
      <c r="L160" s="14" t="inlineStr">
        <is>
          <t>16-Jul-2027 (T-24 weeks)</t>
        </is>
      </c>
      <c r="M160" s="14" t="n"/>
      <c r="N160" s="14" t="n"/>
      <c r="O160" s="14" t="n"/>
      <c r="P160" s="14" t="inlineStr">
        <is>
          <t>Not started</t>
        </is>
      </c>
      <c r="Q160" s="14" t="n"/>
    </row>
    <row r="161">
      <c r="A161" s="14" t="inlineStr">
        <is>
          <t>RESERVES_AUTO_RUN_COMPANIES</t>
        </is>
      </c>
      <c r="B161" s="14" t="inlineStr">
        <is>
          <t>Operations</t>
        </is>
      </c>
      <c r="C161" s="14" t="inlineStr">
        <is>
          <t>Operations</t>
        </is>
      </c>
      <c r="D161" s="14" t="inlineStr">
        <is>
          <t>Drop 1</t>
        </is>
      </c>
      <c r="E161" s="14" t="inlineStr">
        <is>
          <t>Head, Operations Services</t>
        </is>
      </c>
      <c r="F161" s="14" t="inlineStr">
        <is>
          <t>Company codes for which the monthly reserve valuation job prepares a run (blank = none)</t>
        </is>
      </c>
      <c r="G161" s="14" t="inlineStr">
        <is>
          <t>code list</t>
        </is>
      </c>
      <c r="H161" s="14" t="inlineStr">
        <is>
          <t>(blank)</t>
        </is>
      </c>
      <c r="I161" s="14" t="inlineStr"/>
      <c r="J161" s="14" t="inlineStr">
        <is>
          <t>Template</t>
        </is>
      </c>
      <c r="K161" s="14" t="inlineStr">
        <is>
          <t>This workbook, sheet Ref System parameters</t>
        </is>
      </c>
      <c r="L161" s="14" t="inlineStr">
        <is>
          <t>16-Jul-2027 (T-24 weeks)</t>
        </is>
      </c>
      <c r="M161" s="14" t="n"/>
      <c r="N161" s="14" t="n"/>
      <c r="O161" s="14" t="n"/>
      <c r="P161" s="14" t="inlineStr">
        <is>
          <t>Not started</t>
        </is>
      </c>
      <c r="Q161" s="14" t="n"/>
    </row>
    <row r="162">
      <c r="A162" s="14" t="inlineStr">
        <is>
          <t>HOLD_COVER_ALERT_DAYS</t>
        </is>
      </c>
      <c r="B162" s="14" t="inlineStr">
        <is>
          <t>Placement</t>
        </is>
      </c>
      <c r="C162" s="14" t="inlineStr">
        <is>
          <t>New Business</t>
        </is>
      </c>
      <c r="D162" s="14" t="inlineStr">
        <is>
          <t>Drop 1</t>
        </is>
      </c>
      <c r="E162" s="14" t="inlineStr">
        <is>
          <t>Product Owner, BDOI (New Business)</t>
        </is>
      </c>
      <c r="F162" s="14" t="inlineStr">
        <is>
          <t>Days before a hold cover expires when Processing is alerted</t>
        </is>
      </c>
      <c r="G162" s="14" t="inlineStr">
        <is>
          <t>integer</t>
        </is>
      </c>
      <c r="H162" s="14" t="inlineStr">
        <is>
          <t>5</t>
        </is>
      </c>
      <c r="I162" s="14" t="inlineStr">
        <is>
          <t>0 to 30</t>
        </is>
      </c>
      <c r="J162" s="14" t="inlineStr">
        <is>
          <t>Template</t>
        </is>
      </c>
      <c r="K162" s="14" t="inlineStr">
        <is>
          <t>This workbook, sheet Ref System parameters</t>
        </is>
      </c>
      <c r="L162" s="14" t="inlineStr">
        <is>
          <t>16-Jul-2027 (T-24 weeks)</t>
        </is>
      </c>
      <c r="M162" s="14" t="n"/>
      <c r="N162" s="14" t="n"/>
      <c r="O162" s="14" t="n"/>
      <c r="P162" s="14" t="inlineStr">
        <is>
          <t>Not started</t>
        </is>
      </c>
      <c r="Q162" s="14" t="n"/>
    </row>
    <row r="163">
      <c r="A163" s="14" t="inlineStr">
        <is>
          <t>HOLD_COVER_DAYS</t>
        </is>
      </c>
      <c r="B163" s="14" t="inlineStr">
        <is>
          <t>Placement</t>
        </is>
      </c>
      <c r="C163" s="14" t="inlineStr">
        <is>
          <t>New Business</t>
        </is>
      </c>
      <c r="D163" s="14" t="inlineStr">
        <is>
          <t>Drop 1</t>
        </is>
      </c>
      <c r="E163" s="14" t="inlineStr">
        <is>
          <t>Product Owner, BDOI (New Business)</t>
        </is>
      </c>
      <c r="F163" s="14" t="inlineStr">
        <is>
          <t>Days of hold cover requested from the insurer while the placement completes</t>
        </is>
      </c>
      <c r="G163" s="14" t="inlineStr">
        <is>
          <t>integer</t>
        </is>
      </c>
      <c r="H163" s="14" t="inlineStr">
        <is>
          <t>30</t>
        </is>
      </c>
      <c r="I163" s="14" t="inlineStr">
        <is>
          <t>1 to 90</t>
        </is>
      </c>
      <c r="J163" s="14" t="inlineStr">
        <is>
          <t>Template</t>
        </is>
      </c>
      <c r="K163" s="14" t="inlineStr">
        <is>
          <t>This workbook, sheet Ref System parameters</t>
        </is>
      </c>
      <c r="L163" s="14" t="inlineStr">
        <is>
          <t>16-Jul-2027 (T-24 weeks)</t>
        </is>
      </c>
      <c r="M163" s="14" t="n"/>
      <c r="N163" s="14" t="n"/>
      <c r="O163" s="14" t="n"/>
      <c r="P163" s="14" t="inlineStr">
        <is>
          <t>Not started</t>
        </is>
      </c>
      <c r="Q163" s="14" t="n"/>
    </row>
    <row r="164">
      <c r="A164" s="14" t="inlineStr">
        <is>
          <t>OTHER_CHARGES_ENABLED</t>
        </is>
      </c>
      <c r="B164" s="14" t="inlineStr">
        <is>
          <t>Product Maintenance</t>
        </is>
      </c>
      <c r="C164" s="14" t="inlineStr">
        <is>
          <t>Product Maintenance</t>
        </is>
      </c>
      <c r="D164" s="14" t="inlineStr">
        <is>
          <t>Drop 0</t>
        </is>
      </c>
      <c r="E164" s="14" t="inlineStr">
        <is>
          <t>Product Owner, Marketing Business System (MBS)</t>
        </is>
      </c>
      <c r="F164" s="14" t="inlineStr">
        <is>
          <t>Bill the other charges of the products (documentation, notarial and authentication fees) with the premium</t>
        </is>
      </c>
      <c r="G164" s="14" t="inlineStr">
        <is>
          <t>boolean</t>
        </is>
      </c>
      <c r="H164" s="14" t="inlineStr">
        <is>
          <t>false</t>
        </is>
      </c>
      <c r="I164" s="14" t="inlineStr"/>
      <c r="J164" s="14" t="inlineStr">
        <is>
          <t>Template</t>
        </is>
      </c>
      <c r="K164" s="14" t="inlineStr">
        <is>
          <t>BRD-03 template CI-09, sheet PM-09 Lists and parameters</t>
        </is>
      </c>
      <c r="L164" s="14" t="inlineStr">
        <is>
          <t>16-Jul-2027 (T-24 weeks)</t>
        </is>
      </c>
      <c r="M164" s="14" t="n"/>
      <c r="N164" s="14" t="n"/>
      <c r="O164" s="14" t="n"/>
      <c r="P164" s="14" t="inlineStr">
        <is>
          <t>Not started</t>
        </is>
      </c>
      <c r="Q164" s="14" t="n"/>
    </row>
    <row r="165">
      <c r="A165" s="14" t="inlineStr">
        <is>
          <t>PACKAGE_ANNIVERSARY_NOTICE_DAYS</t>
        </is>
      </c>
      <c r="B165" s="14" t="inlineStr">
        <is>
          <t>Product Maintenance</t>
        </is>
      </c>
      <c r="C165" s="14" t="inlineStr">
        <is>
          <t>Product Maintenance</t>
        </is>
      </c>
      <c r="D165" s="14" t="inlineStr">
        <is>
          <t>Drop 0</t>
        </is>
      </c>
      <c r="E165" s="14" t="inlineStr">
        <is>
          <t>Product Owner, Marketing Business System (MBS)</t>
        </is>
      </c>
      <c r="F165" s="14" t="inlineStr">
        <is>
          <t>Days before the package anniversary date at which the anniversary notice is raised</t>
        </is>
      </c>
      <c r="G165" s="14" t="inlineStr">
        <is>
          <t>integer</t>
        </is>
      </c>
      <c r="H165" s="14" t="inlineStr">
        <is>
          <t>90</t>
        </is>
      </c>
      <c r="I165" s="14" t="inlineStr">
        <is>
          <t>1 to 365</t>
        </is>
      </c>
      <c r="J165" s="14" t="inlineStr">
        <is>
          <t>Template</t>
        </is>
      </c>
      <c r="K165" s="14" t="inlineStr">
        <is>
          <t>BRD-03 template CI-09, sheet PM-09 Lists and parameters</t>
        </is>
      </c>
      <c r="L165" s="14" t="inlineStr">
        <is>
          <t>16-Jul-2027 (T-24 weeks)</t>
        </is>
      </c>
      <c r="M165" s="14" t="n"/>
      <c r="N165" s="14" t="n"/>
      <c r="O165" s="14" t="n"/>
      <c r="P165" s="14" t="inlineStr">
        <is>
          <t>Not started</t>
        </is>
      </c>
      <c r="Q165" s="14" t="n"/>
    </row>
    <row r="166">
      <c r="A166" s="14" t="inlineStr">
        <is>
          <t>PACKAGE_EXPIRY_NOTICE_DAYS</t>
        </is>
      </c>
      <c r="B166" s="14" t="inlineStr">
        <is>
          <t>Product Maintenance</t>
        </is>
      </c>
      <c r="C166" s="14" t="inlineStr">
        <is>
          <t>Product Maintenance</t>
        </is>
      </c>
      <c r="D166" s="14" t="inlineStr">
        <is>
          <t>Drop 0</t>
        </is>
      </c>
      <c r="E166" s="14" t="inlineStr">
        <is>
          <t>Product Owner, Marketing Business System (MBS)</t>
        </is>
      </c>
      <c r="F166" s="14" t="inlineStr">
        <is>
          <t>Days before the package end date at which PACKAGE_EXPIRING is first raised; again at 30 and 7 days</t>
        </is>
      </c>
      <c r="G166" s="14" t="inlineStr">
        <is>
          <t>integer</t>
        </is>
      </c>
      <c r="H166" s="14" t="inlineStr">
        <is>
          <t>90</t>
        </is>
      </c>
      <c r="I166" s="14" t="inlineStr">
        <is>
          <t>1 to 365</t>
        </is>
      </c>
      <c r="J166" s="14" t="inlineStr">
        <is>
          <t>Template</t>
        </is>
      </c>
      <c r="K166" s="14" t="inlineStr">
        <is>
          <t>BRD-03 template CI-09, sheet PM-09 Lists and parameters</t>
        </is>
      </c>
      <c r="L166" s="14" t="inlineStr">
        <is>
          <t>16-Jul-2027 (T-24 weeks)</t>
        </is>
      </c>
      <c r="M166" s="14" t="n"/>
      <c r="N166" s="14" t="n"/>
      <c r="O166" s="14" t="n"/>
      <c r="P166" s="14" t="inlineStr">
        <is>
          <t>Not started</t>
        </is>
      </c>
      <c r="Q166" s="14" t="n"/>
    </row>
    <row r="167">
      <c r="A167" s="14" t="inlineStr">
        <is>
          <t>PACKAGE_EXPIRY_NOTIFY_MBS</t>
        </is>
      </c>
      <c r="B167" s="14" t="inlineStr">
        <is>
          <t>Product Maintenance</t>
        </is>
      </c>
      <c r="C167" s="14" t="inlineStr">
        <is>
          <t>Product Maintenance</t>
        </is>
      </c>
      <c r="D167" s="14" t="inlineStr">
        <is>
          <t>Drop 0</t>
        </is>
      </c>
      <c r="E167" s="14" t="inlineStr">
        <is>
          <t>Product Owner, Marketing Business System (MBS)</t>
        </is>
      </c>
      <c r="F167" s="14" t="inlineStr">
        <is>
          <t>false: the expiry and anniversary notices go to the TSU Officers and TSU Team Leads (the bank's process); true: MBS is told as well</t>
        </is>
      </c>
      <c r="G167" s="14" t="inlineStr">
        <is>
          <t>boolean</t>
        </is>
      </c>
      <c r="H167" s="14" t="inlineStr">
        <is>
          <t>false</t>
        </is>
      </c>
      <c r="I167" s="14" t="inlineStr"/>
      <c r="J167" s="14" t="inlineStr">
        <is>
          <t>Template</t>
        </is>
      </c>
      <c r="K167" s="14" t="inlineStr">
        <is>
          <t>BRD-03 template CI-09, sheet PM-09 Lists and parameters</t>
        </is>
      </c>
      <c r="L167" s="14" t="inlineStr">
        <is>
          <t>16-Jul-2027 (T-24 weeks)</t>
        </is>
      </c>
      <c r="M167" s="14" t="n"/>
      <c r="N167" s="14" t="n"/>
      <c r="O167" s="14" t="n"/>
      <c r="P167" s="14" t="inlineStr">
        <is>
          <t>Not started</t>
        </is>
      </c>
      <c r="Q167" s="14" t="n"/>
    </row>
    <row r="168">
      <c r="A168" s="14" t="inlineStr">
        <is>
          <t>PACKAGE_EXPIRY_REMINDER_DAYS</t>
        </is>
      </c>
      <c r="B168" s="14" t="inlineStr">
        <is>
          <t>Product Maintenance</t>
        </is>
      </c>
      <c r="C168" s="14" t="inlineStr">
        <is>
          <t>Product Maintenance</t>
        </is>
      </c>
      <c r="D168" s="14" t="inlineStr">
        <is>
          <t>Drop 0</t>
        </is>
      </c>
      <c r="E168" s="14" t="inlineStr">
        <is>
          <t>Product Owner, Marketing Business System (MBS)</t>
        </is>
      </c>
      <c r="F168" s="14" t="inlineStr">
        <is>
          <t>Days before the package end date at which PACKAGE_EXPIRING is raised again after the first notice</t>
        </is>
      </c>
      <c r="G168" s="14" t="inlineStr">
        <is>
          <t>integer list</t>
        </is>
      </c>
      <c r="H168" s="14" t="inlineStr">
        <is>
          <t>30,7</t>
        </is>
      </c>
      <c r="I168" s="14" t="inlineStr"/>
      <c r="J168" s="14" t="inlineStr">
        <is>
          <t>Template</t>
        </is>
      </c>
      <c r="K168" s="14" t="inlineStr">
        <is>
          <t>BRD-03 template CI-09, sheet PM-09 Lists and parameters</t>
        </is>
      </c>
      <c r="L168" s="14" t="inlineStr">
        <is>
          <t>16-Jul-2027 (T-24 weeks)</t>
        </is>
      </c>
      <c r="M168" s="14" t="n"/>
      <c r="N168" s="14" t="n"/>
      <c r="O168" s="14" t="n"/>
      <c r="P168" s="14" t="inlineStr">
        <is>
          <t>Not started</t>
        </is>
      </c>
      <c r="Q168" s="14" t="n"/>
    </row>
    <row r="169">
      <c r="A169" s="14" t="inlineStr">
        <is>
          <t>PACKAGE_RENEWAL_AUTODRAFT</t>
        </is>
      </c>
      <c r="B169" s="14" t="inlineStr">
        <is>
          <t>Product Maintenance</t>
        </is>
      </c>
      <c r="C169" s="14" t="inlineStr">
        <is>
          <t>Product Maintenance</t>
        </is>
      </c>
      <c r="D169" s="14" t="inlineStr">
        <is>
          <t>Drop 0</t>
        </is>
      </c>
      <c r="E169" s="14" t="inlineStr">
        <is>
          <t>Product Owner, Marketing Business System (MBS)</t>
        </is>
      </c>
      <c r="F169" s="14" t="inlineStr">
        <is>
          <t>The expiry monitor drafts a RENEW package request for packages reaching the notice period</t>
        </is>
      </c>
      <c r="G169" s="14" t="inlineStr">
        <is>
          <t>boolean</t>
        </is>
      </c>
      <c r="H169" s="14" t="inlineStr">
        <is>
          <t>false</t>
        </is>
      </c>
      <c r="I169" s="14" t="inlineStr"/>
      <c r="J169" s="14" t="inlineStr">
        <is>
          <t>Template</t>
        </is>
      </c>
      <c r="K169" s="14" t="inlineStr">
        <is>
          <t>BRD-03 template CI-09, sheet PM-09 Lists and parameters</t>
        </is>
      </c>
      <c r="L169" s="14" t="inlineStr">
        <is>
          <t>16-Jul-2027 (T-24 weeks)</t>
        </is>
      </c>
      <c r="M169" s="14" t="n"/>
      <c r="N169" s="14" t="n"/>
      <c r="O169" s="14" t="n"/>
      <c r="P169" s="14" t="inlineStr">
        <is>
          <t>Not started</t>
        </is>
      </c>
      <c r="Q169" s="14" t="n"/>
    </row>
    <row r="170">
      <c r="A170" s="14" t="inlineStr">
        <is>
          <t>PKG_ADVISORY_GROUPS</t>
        </is>
      </c>
      <c r="B170" s="14" t="inlineStr">
        <is>
          <t>Product Maintenance</t>
        </is>
      </c>
      <c r="C170" s="14" t="inlineStr">
        <is>
          <t>Product Maintenance</t>
        </is>
      </c>
      <c r="D170" s="14" t="inlineStr">
        <is>
          <t>Drop 0</t>
        </is>
      </c>
      <c r="E170" s="14" t="inlineStr">
        <is>
          <t>Product Owner, Marketing Business System (MBS)</t>
        </is>
      </c>
      <c r="F170" s="14" t="inlineStr">
        <is>
          <t>Recipient groups (list PKG_ADVISORY_GROUP) proposed on a new package advisory</t>
        </is>
      </c>
      <c r="G170" s="14" t="inlineStr">
        <is>
          <t>code list</t>
        </is>
      </c>
      <c r="H170" s="14" t="inlineStr">
        <is>
          <t>MARKETING,TSU,MBS,OPERATIONS</t>
        </is>
      </c>
      <c r="I170" s="14" t="inlineStr"/>
      <c r="J170" s="14" t="inlineStr">
        <is>
          <t>Template</t>
        </is>
      </c>
      <c r="K170" s="14" t="inlineStr">
        <is>
          <t>BRD-03 template CI-09, sheet PM-09 Lists and parameters</t>
        </is>
      </c>
      <c r="L170" s="14" t="inlineStr">
        <is>
          <t>16-Jul-2027 (T-24 weeks)</t>
        </is>
      </c>
      <c r="M170" s="14" t="n"/>
      <c r="N170" s="14" t="n"/>
      <c r="O170" s="14" t="n"/>
      <c r="P170" s="14" t="inlineStr">
        <is>
          <t>Not started</t>
        </is>
      </c>
      <c r="Q170" s="14" t="n"/>
    </row>
    <row r="171">
      <c r="A171" s="14" t="inlineStr">
        <is>
          <t>PKG_DEACTIVATION_PREFIX</t>
        </is>
      </c>
      <c r="B171" s="14" t="inlineStr">
        <is>
          <t>Product Maintenance</t>
        </is>
      </c>
      <c r="C171" s="14" t="inlineStr">
        <is>
          <t>Product Maintenance</t>
        </is>
      </c>
      <c r="D171" s="14" t="inlineStr">
        <is>
          <t>Drop 0</t>
        </is>
      </c>
      <c r="E171" s="14" t="inlineStr">
        <is>
          <t>Product Owner, Marketing Business System (MBS)</t>
        </is>
      </c>
      <c r="F171" s="14" t="inlineStr">
        <is>
          <t>Prefix of package deactivation request numbers; the year is appended</t>
        </is>
      </c>
      <c r="G171" s="14" t="inlineStr">
        <is>
          <t>string</t>
        </is>
      </c>
      <c r="H171" s="14" t="inlineStr">
        <is>
          <t>PKD-</t>
        </is>
      </c>
      <c r="I171" s="14" t="inlineStr"/>
      <c r="J171" s="14" t="inlineStr">
        <is>
          <t>Template</t>
        </is>
      </c>
      <c r="K171" s="14" t="inlineStr">
        <is>
          <t>BRD-03 template CI-09, sheet PM-09 Lists and parameters</t>
        </is>
      </c>
      <c r="L171" s="14" t="inlineStr">
        <is>
          <t>16-Jul-2027 (T-24 weeks)</t>
        </is>
      </c>
      <c r="M171" s="14" t="n"/>
      <c r="N171" s="14" t="n"/>
      <c r="O171" s="14" t="n"/>
      <c r="P171" s="14" t="inlineStr">
        <is>
          <t>Not started</t>
        </is>
      </c>
      <c r="Q171" s="14" t="n"/>
    </row>
    <row r="172">
      <c r="A172" s="14" t="inlineStr">
        <is>
          <t>PKG_DEPLOYMENT_PREFIX</t>
        </is>
      </c>
      <c r="B172" s="14" t="inlineStr">
        <is>
          <t>Product Maintenance</t>
        </is>
      </c>
      <c r="C172" s="14" t="inlineStr">
        <is>
          <t>Product Maintenance</t>
        </is>
      </c>
      <c r="D172" s="14" t="inlineStr">
        <is>
          <t>Drop 0</t>
        </is>
      </c>
      <c r="E172" s="14" t="inlineStr">
        <is>
          <t>Product Owner, Marketing Business System (MBS)</t>
        </is>
      </c>
      <c r="F172" s="14" t="inlineStr">
        <is>
          <t>Prefix of package deployment request numbers; the year is appended</t>
        </is>
      </c>
      <c r="G172" s="14" t="inlineStr">
        <is>
          <t>string</t>
        </is>
      </c>
      <c r="H172" s="14" t="inlineStr">
        <is>
          <t>PDR-</t>
        </is>
      </c>
      <c r="I172" s="14" t="inlineStr"/>
      <c r="J172" s="14" t="inlineStr">
        <is>
          <t>Template</t>
        </is>
      </c>
      <c r="K172" s="14" t="inlineStr">
        <is>
          <t>BRD-03 template CI-09, sheet PM-09 Lists and parameters</t>
        </is>
      </c>
      <c r="L172" s="14" t="inlineStr">
        <is>
          <t>16-Jul-2027 (T-24 weeks)</t>
        </is>
      </c>
      <c r="M172" s="14" t="n"/>
      <c r="N172" s="14" t="n"/>
      <c r="O172" s="14" t="n"/>
      <c r="P172" s="14" t="inlineStr">
        <is>
          <t>Not started</t>
        </is>
      </c>
      <c r="Q172" s="14" t="n"/>
    </row>
    <row r="173">
      <c r="A173" s="14" t="inlineStr">
        <is>
          <t>PKG_MIN_POLICIES</t>
        </is>
      </c>
      <c r="B173" s="14" t="inlineStr">
        <is>
          <t>Product Maintenance</t>
        </is>
      </c>
      <c r="C173" s="14" t="inlineStr">
        <is>
          <t>Product Maintenance</t>
        </is>
      </c>
      <c r="D173" s="14" t="inlineStr">
        <is>
          <t>Drop 0</t>
        </is>
      </c>
      <c r="E173" s="14" t="inlineStr">
        <is>
          <t>Product Owner, Marketing Business System (MBS)</t>
        </is>
      </c>
      <c r="F173" s="14" t="inlineStr">
        <is>
          <t>Least estimated number of policies of a package request</t>
        </is>
      </c>
      <c r="G173" s="14" t="inlineStr">
        <is>
          <t>integer</t>
        </is>
      </c>
      <c r="H173" s="14" t="inlineStr">
        <is>
          <t>20</t>
        </is>
      </c>
      <c r="I173" s="14" t="inlineStr">
        <is>
          <t>0 to 100000</t>
        </is>
      </c>
      <c r="J173" s="14" t="inlineStr">
        <is>
          <t>Template</t>
        </is>
      </c>
      <c r="K173" s="14" t="inlineStr">
        <is>
          <t>BRD-03 template CI-09, sheet PM-09 Lists and parameters</t>
        </is>
      </c>
      <c r="L173" s="14" t="inlineStr">
        <is>
          <t>16-Jul-2027 (T-24 weeks)</t>
        </is>
      </c>
      <c r="M173" s="14" t="n"/>
      <c r="N173" s="14" t="n"/>
      <c r="O173" s="14" t="n"/>
      <c r="P173" s="14" t="inlineStr">
        <is>
          <t>Not started</t>
        </is>
      </c>
      <c r="Q173" s="14" t="n"/>
    </row>
    <row r="174">
      <c r="A174" s="14" t="inlineStr">
        <is>
          <t>PKG_MIN_PREMIUM</t>
        </is>
      </c>
      <c r="B174" s="14" t="inlineStr">
        <is>
          <t>Product Maintenance</t>
        </is>
      </c>
      <c r="C174" s="14" t="inlineStr">
        <is>
          <t>Product Maintenance</t>
        </is>
      </c>
      <c r="D174" s="14" t="inlineStr">
        <is>
          <t>Drop 0</t>
        </is>
      </c>
      <c r="E174" s="14" t="inlineStr">
        <is>
          <t>Product Owner, Marketing Business System (MBS)</t>
        </is>
      </c>
      <c r="F174" s="14" t="inlineStr">
        <is>
          <t>Least estimated total basic premium of a package request (base currency)</t>
        </is>
      </c>
      <c r="G174" s="14" t="inlineStr">
        <is>
          <t>decimal</t>
        </is>
      </c>
      <c r="H174" s="14" t="inlineStr">
        <is>
          <t>5000000</t>
        </is>
      </c>
      <c r="I174" s="14" t="inlineStr">
        <is>
          <t>0 to -</t>
        </is>
      </c>
      <c r="J174" s="14" t="inlineStr">
        <is>
          <t>Template</t>
        </is>
      </c>
      <c r="K174" s="14" t="inlineStr">
        <is>
          <t>BRD-03 template CI-09, sheet PM-09 Lists and parameters</t>
        </is>
      </c>
      <c r="L174" s="14" t="inlineStr">
        <is>
          <t>16-Jul-2027 (T-24 weeks)</t>
        </is>
      </c>
      <c r="M174" s="14" t="n"/>
      <c r="N174" s="14" t="n"/>
      <c r="O174" s="14" t="n"/>
      <c r="P174" s="14" t="inlineStr">
        <is>
          <t>Not started</t>
        </is>
      </c>
      <c r="Q174" s="14" t="n"/>
    </row>
    <row r="175">
      <c r="A175" s="14" t="inlineStr">
        <is>
          <t>PKG_QS_PREFIX</t>
        </is>
      </c>
      <c r="B175" s="14" t="inlineStr">
        <is>
          <t>Product Maintenance</t>
        </is>
      </c>
      <c r="C175" s="14" t="inlineStr">
        <is>
          <t>Product Maintenance</t>
        </is>
      </c>
      <c r="D175" s="14" t="inlineStr">
        <is>
          <t>Drop 0</t>
        </is>
      </c>
      <c r="E175" s="14" t="inlineStr">
        <is>
          <t>Product Owner, Marketing Business System (MBS)</t>
        </is>
      </c>
      <c r="F175" s="14" t="inlineStr">
        <is>
          <t>Prefix of package quotation slip numbers; the year is appended</t>
        </is>
      </c>
      <c r="G175" s="14" t="inlineStr">
        <is>
          <t>string</t>
        </is>
      </c>
      <c r="H175" s="14" t="inlineStr">
        <is>
          <t>PQS-</t>
        </is>
      </c>
      <c r="I175" s="14" t="inlineStr"/>
      <c r="J175" s="14" t="inlineStr">
        <is>
          <t>Template</t>
        </is>
      </c>
      <c r="K175" s="14" t="inlineStr">
        <is>
          <t>BRD-03 template CI-09, sheet PM-09 Lists and parameters</t>
        </is>
      </c>
      <c r="L175" s="14" t="inlineStr">
        <is>
          <t>16-Jul-2027 (T-24 weeks)</t>
        </is>
      </c>
      <c r="M175" s="14" t="n"/>
      <c r="N175" s="14" t="n"/>
      <c r="O175" s="14" t="n"/>
      <c r="P175" s="14" t="inlineStr">
        <is>
          <t>Not started</t>
        </is>
      </c>
      <c r="Q175" s="14" t="n"/>
    </row>
    <row r="176">
      <c r="A176" s="14" t="inlineStr">
        <is>
          <t>PKG_QS_REPLY_DAYS</t>
        </is>
      </c>
      <c r="B176" s="14" t="inlineStr">
        <is>
          <t>Product Maintenance</t>
        </is>
      </c>
      <c r="C176" s="14" t="inlineStr">
        <is>
          <t>Product Maintenance</t>
        </is>
      </c>
      <c r="D176" s="14" t="inlineStr">
        <is>
          <t>Drop 0</t>
        </is>
      </c>
      <c r="E176" s="14" t="inlineStr">
        <is>
          <t>Product Owner, Marketing Business System (MBS)</t>
        </is>
      </c>
      <c r="F176" s="14" t="inlineStr">
        <is>
          <t>Days insurers have to reply to a package quotation slip</t>
        </is>
      </c>
      <c r="G176" s="14" t="inlineStr">
        <is>
          <t>integer</t>
        </is>
      </c>
      <c r="H176" s="14" t="inlineStr">
        <is>
          <t>5</t>
        </is>
      </c>
      <c r="I176" s="14" t="inlineStr">
        <is>
          <t>1 to 60</t>
        </is>
      </c>
      <c r="J176" s="14" t="inlineStr">
        <is>
          <t>Template</t>
        </is>
      </c>
      <c r="K176" s="14" t="inlineStr">
        <is>
          <t>BRD-03 template CI-09, sheet PM-09 Lists and parameters</t>
        </is>
      </c>
      <c r="L176" s="14" t="inlineStr">
        <is>
          <t>16-Jul-2027 (T-24 weeks)</t>
        </is>
      </c>
      <c r="M176" s="14" t="n"/>
      <c r="N176" s="14" t="n"/>
      <c r="O176" s="14" t="n"/>
      <c r="P176" s="14" t="inlineStr">
        <is>
          <t>Not started</t>
        </is>
      </c>
      <c r="Q176" s="14" t="n"/>
    </row>
    <row r="177">
      <c r="A177" s="14" t="inlineStr">
        <is>
          <t>PKG_REQUEST_PREFIX</t>
        </is>
      </c>
      <c r="B177" s="14" t="inlineStr">
        <is>
          <t>Product Maintenance</t>
        </is>
      </c>
      <c r="C177" s="14" t="inlineStr">
        <is>
          <t>Product Maintenance</t>
        </is>
      </c>
      <c r="D177" s="14" t="inlineStr">
        <is>
          <t>Drop 0</t>
        </is>
      </c>
      <c r="E177" s="14" t="inlineStr">
        <is>
          <t>Product Owner, Marketing Business System (MBS)</t>
        </is>
      </c>
      <c r="F177" s="14" t="inlineStr">
        <is>
          <t>Prefix of package request numbers; the year is appended</t>
        </is>
      </c>
      <c r="G177" s="14" t="inlineStr">
        <is>
          <t>string</t>
        </is>
      </c>
      <c r="H177" s="14" t="inlineStr">
        <is>
          <t>PKR-</t>
        </is>
      </c>
      <c r="I177" s="14" t="inlineStr"/>
      <c r="J177" s="14" t="inlineStr">
        <is>
          <t>Template</t>
        </is>
      </c>
      <c r="K177" s="14" t="inlineStr">
        <is>
          <t>BRD-03 template CI-09, sheet PM-09 Lists and parameters</t>
        </is>
      </c>
      <c r="L177" s="14" t="inlineStr">
        <is>
          <t>16-Jul-2027 (T-24 weeks)</t>
        </is>
      </c>
      <c r="M177" s="14" t="n"/>
      <c r="N177" s="14" t="n"/>
      <c r="O177" s="14" t="n"/>
      <c r="P177" s="14" t="inlineStr">
        <is>
          <t>Not started</t>
        </is>
      </c>
      <c r="Q177" s="14" t="n"/>
    </row>
    <row r="178">
      <c r="A178" s="14" t="inlineStr">
        <is>
          <t>PKG_SLA_MANCOM</t>
        </is>
      </c>
      <c r="B178" s="14" t="inlineStr">
        <is>
          <t>Product Maintenance</t>
        </is>
      </c>
      <c r="C178" s="14" t="inlineStr">
        <is>
          <t>Product Maintenance</t>
        </is>
      </c>
      <c r="D178" s="14" t="inlineStr">
        <is>
          <t>Drop 0</t>
        </is>
      </c>
      <c r="E178" s="14" t="inlineStr">
        <is>
          <t>Product Owner, Marketing Business System (MBS)</t>
        </is>
      </c>
      <c r="F178" s="14" t="inlineStr">
        <is>
          <t>SLA hours of the ManCom sign-off</t>
        </is>
      </c>
      <c r="G178" s="14" t="inlineStr">
        <is>
          <t>integer</t>
        </is>
      </c>
      <c r="H178" s="14" t="inlineStr">
        <is>
          <t>72</t>
        </is>
      </c>
      <c r="I178" s="14" t="inlineStr">
        <is>
          <t>1 to 720</t>
        </is>
      </c>
      <c r="J178" s="14" t="inlineStr">
        <is>
          <t>Template</t>
        </is>
      </c>
      <c r="K178" s="14" t="inlineStr">
        <is>
          <t>BRD-03 template CI-09, sheet PM-09 Lists and parameters</t>
        </is>
      </c>
      <c r="L178" s="14" t="inlineStr">
        <is>
          <t>16-Jul-2027 (T-24 weeks)</t>
        </is>
      </c>
      <c r="M178" s="14" t="n"/>
      <c r="N178" s="14" t="n"/>
      <c r="O178" s="14" t="n"/>
      <c r="P178" s="14" t="inlineStr">
        <is>
          <t>Not started</t>
        </is>
      </c>
      <c r="Q178" s="14" t="n"/>
    </row>
    <row r="179">
      <c r="A179" s="14" t="inlineStr">
        <is>
          <t>PKG_SLA_MBS_SETUP</t>
        </is>
      </c>
      <c r="B179" s="14" t="inlineStr">
        <is>
          <t>Product Maintenance</t>
        </is>
      </c>
      <c r="C179" s="14" t="inlineStr">
        <is>
          <t>Product Maintenance</t>
        </is>
      </c>
      <c r="D179" s="14" t="inlineStr">
        <is>
          <t>Drop 0</t>
        </is>
      </c>
      <c r="E179" s="14" t="inlineStr">
        <is>
          <t>Product Owner, Marketing Business System (MBS)</t>
        </is>
      </c>
      <c r="F179" s="14" t="inlineStr">
        <is>
          <t>SLA hours of the MBS package set-up</t>
        </is>
      </c>
      <c r="G179" s="14" t="inlineStr">
        <is>
          <t>integer</t>
        </is>
      </c>
      <c r="H179" s="14" t="inlineStr">
        <is>
          <t>48</t>
        </is>
      </c>
      <c r="I179" s="14" t="inlineStr">
        <is>
          <t>1 to 720</t>
        </is>
      </c>
      <c r="J179" s="14" t="inlineStr">
        <is>
          <t>Template</t>
        </is>
      </c>
      <c r="K179" s="14" t="inlineStr">
        <is>
          <t>BRD-03 template CI-09, sheet PM-09 Lists and parameters</t>
        </is>
      </c>
      <c r="L179" s="14" t="inlineStr">
        <is>
          <t>16-Jul-2027 (T-24 weeks)</t>
        </is>
      </c>
      <c r="M179" s="14" t="n"/>
      <c r="N179" s="14" t="n"/>
      <c r="O179" s="14" t="n"/>
      <c r="P179" s="14" t="inlineStr">
        <is>
          <t>Not started</t>
        </is>
      </c>
      <c r="Q179" s="14" t="n"/>
    </row>
    <row r="180">
      <c r="A180" s="14" t="inlineStr">
        <is>
          <t>PKG_SLA_MKT_APPROVAL</t>
        </is>
      </c>
      <c r="B180" s="14" t="inlineStr">
        <is>
          <t>Product Maintenance</t>
        </is>
      </c>
      <c r="C180" s="14" t="inlineStr">
        <is>
          <t>Product Maintenance</t>
        </is>
      </c>
      <c r="D180" s="14" t="inlineStr">
        <is>
          <t>Drop 0</t>
        </is>
      </c>
      <c r="E180" s="14" t="inlineStr">
        <is>
          <t>Product Owner, Marketing Business System (MBS)</t>
        </is>
      </c>
      <c r="F180" s="14" t="inlineStr">
        <is>
          <t>SLA hours of the Marketing approval of a package request</t>
        </is>
      </c>
      <c r="G180" s="14" t="inlineStr">
        <is>
          <t>integer</t>
        </is>
      </c>
      <c r="H180" s="14" t="inlineStr">
        <is>
          <t>24</t>
        </is>
      </c>
      <c r="I180" s="14" t="inlineStr">
        <is>
          <t>1 to 720</t>
        </is>
      </c>
      <c r="J180" s="14" t="inlineStr">
        <is>
          <t>Template</t>
        </is>
      </c>
      <c r="K180" s="14" t="inlineStr">
        <is>
          <t>BRD-03 template CI-09, sheet PM-09 Lists and parameters</t>
        </is>
      </c>
      <c r="L180" s="14" t="inlineStr">
        <is>
          <t>16-Jul-2027 (T-24 weeks)</t>
        </is>
      </c>
      <c r="M180" s="14" t="n"/>
      <c r="N180" s="14" t="n"/>
      <c r="O180" s="14" t="n"/>
      <c r="P180" s="14" t="inlineStr">
        <is>
          <t>Not started</t>
        </is>
      </c>
      <c r="Q180" s="14" t="n"/>
    </row>
    <row r="181">
      <c r="A181" s="14" t="inlineStr">
        <is>
          <t>PKG_SLA_NEGOTIATION</t>
        </is>
      </c>
      <c r="B181" s="14" t="inlineStr">
        <is>
          <t>Product Maintenance</t>
        </is>
      </c>
      <c r="C181" s="14" t="inlineStr">
        <is>
          <t>Product Maintenance</t>
        </is>
      </c>
      <c r="D181" s="14" t="inlineStr">
        <is>
          <t>Drop 0</t>
        </is>
      </c>
      <c r="E181" s="14" t="inlineStr">
        <is>
          <t>Product Owner, Marketing Business System (MBS)</t>
        </is>
      </c>
      <c r="F181" s="14" t="inlineStr">
        <is>
          <t>SLA hours of the insurer negotiation stage</t>
        </is>
      </c>
      <c r="G181" s="14" t="inlineStr">
        <is>
          <t>integer</t>
        </is>
      </c>
      <c r="H181" s="14" t="inlineStr">
        <is>
          <t>120</t>
        </is>
      </c>
      <c r="I181" s="14" t="inlineStr">
        <is>
          <t>1 to 2160</t>
        </is>
      </c>
      <c r="J181" s="14" t="inlineStr">
        <is>
          <t>Template</t>
        </is>
      </c>
      <c r="K181" s="14" t="inlineStr">
        <is>
          <t>BRD-03 template CI-09, sheet PM-09 Lists and parameters</t>
        </is>
      </c>
      <c r="L181" s="14" t="inlineStr">
        <is>
          <t>16-Jul-2027 (T-24 weeks)</t>
        </is>
      </c>
      <c r="M181" s="14" t="n"/>
      <c r="N181" s="14" t="n"/>
      <c r="O181" s="14" t="n"/>
      <c r="P181" s="14" t="inlineStr">
        <is>
          <t>Not started</t>
        </is>
      </c>
      <c r="Q181" s="14" t="n"/>
    </row>
    <row r="182">
      <c r="A182" s="14" t="inlineStr">
        <is>
          <t>PKG_SLA_TSU_APPROVAL</t>
        </is>
      </c>
      <c r="B182" s="14" t="inlineStr">
        <is>
          <t>Product Maintenance</t>
        </is>
      </c>
      <c r="C182" s="14" t="inlineStr">
        <is>
          <t>Product Maintenance</t>
        </is>
      </c>
      <c r="D182" s="14" t="inlineStr">
        <is>
          <t>Drop 0</t>
        </is>
      </c>
      <c r="E182" s="14" t="inlineStr">
        <is>
          <t>Product Owner, Marketing Business System (MBS)</t>
        </is>
      </c>
      <c r="F182" s="14" t="inlineStr">
        <is>
          <t>SLA hours of the TSU Team Head approval</t>
        </is>
      </c>
      <c r="G182" s="14" t="inlineStr">
        <is>
          <t>integer</t>
        </is>
      </c>
      <c r="H182" s="14" t="inlineStr">
        <is>
          <t>24</t>
        </is>
      </c>
      <c r="I182" s="14" t="inlineStr">
        <is>
          <t>1 to 720</t>
        </is>
      </c>
      <c r="J182" s="14" t="inlineStr">
        <is>
          <t>Template</t>
        </is>
      </c>
      <c r="K182" s="14" t="inlineStr">
        <is>
          <t>BRD-03 template CI-09, sheet PM-09 Lists and parameters</t>
        </is>
      </c>
      <c r="L182" s="14" t="inlineStr">
        <is>
          <t>16-Jul-2027 (T-24 weeks)</t>
        </is>
      </c>
      <c r="M182" s="14" t="n"/>
      <c r="N182" s="14" t="n"/>
      <c r="O182" s="14" t="n"/>
      <c r="P182" s="14" t="inlineStr">
        <is>
          <t>Not started</t>
        </is>
      </c>
      <c r="Q182" s="14" t="n"/>
    </row>
    <row r="183">
      <c r="A183" s="14" t="inlineStr">
        <is>
          <t>PKG_SLA_TSU_REVIEW</t>
        </is>
      </c>
      <c r="B183" s="14" t="inlineStr">
        <is>
          <t>Product Maintenance</t>
        </is>
      </c>
      <c r="C183" s="14" t="inlineStr">
        <is>
          <t>Product Maintenance</t>
        </is>
      </c>
      <c r="D183" s="14" t="inlineStr">
        <is>
          <t>Drop 0</t>
        </is>
      </c>
      <c r="E183" s="14" t="inlineStr">
        <is>
          <t>Product Owner, Marketing Business System (MBS)</t>
        </is>
      </c>
      <c r="F183" s="14" t="inlineStr">
        <is>
          <t>SLA hours of the TSU Team Lead review and recommendation</t>
        </is>
      </c>
      <c r="G183" s="14" t="inlineStr">
        <is>
          <t>integer</t>
        </is>
      </c>
      <c r="H183" s="14" t="inlineStr">
        <is>
          <t>24</t>
        </is>
      </c>
      <c r="I183" s="14" t="inlineStr">
        <is>
          <t>1 to 720</t>
        </is>
      </c>
      <c r="J183" s="14" t="inlineStr">
        <is>
          <t>Template</t>
        </is>
      </c>
      <c r="K183" s="14" t="inlineStr">
        <is>
          <t>BRD-03 template CI-09, sheet PM-09 Lists and parameters</t>
        </is>
      </c>
      <c r="L183" s="14" t="inlineStr">
        <is>
          <t>16-Jul-2027 (T-24 weeks)</t>
        </is>
      </c>
      <c r="M183" s="14" t="n"/>
      <c r="N183" s="14" t="n"/>
      <c r="O183" s="14" t="n"/>
      <c r="P183" s="14" t="inlineStr">
        <is>
          <t>Not started</t>
        </is>
      </c>
      <c r="Q183" s="14" t="n"/>
    </row>
    <row r="184">
      <c r="A184" s="14" t="inlineStr">
        <is>
          <t>PLACEMENT_UPDATE_DAY</t>
        </is>
      </c>
      <c r="B184" s="14" t="inlineStr">
        <is>
          <t>Product Maintenance</t>
        </is>
      </c>
      <c r="C184" s="14" t="inlineStr">
        <is>
          <t>Product Maintenance</t>
        </is>
      </c>
      <c r="D184" s="14" t="inlineStr">
        <is>
          <t>Drop 0</t>
        </is>
      </c>
      <c r="E184" s="14" t="inlineStr">
        <is>
          <t>Product Owner, Marketing Business System (MBS)</t>
        </is>
      </c>
      <c r="F184" s="14" t="inlineStr">
        <is>
          <t>Weekday of the scheduled Consolidated Placement Update Report (MONDAY to SUNDAY)</t>
        </is>
      </c>
      <c r="G184" s="14" t="inlineStr">
        <is>
          <t>string</t>
        </is>
      </c>
      <c r="H184" s="14" t="inlineStr">
        <is>
          <t>THURSDAY</t>
        </is>
      </c>
      <c r="I184" s="14" t="inlineStr"/>
      <c r="J184" s="14" t="inlineStr">
        <is>
          <t>Template</t>
        </is>
      </c>
      <c r="K184" s="14" t="inlineStr">
        <is>
          <t>BRD-03 template CI-09, sheet PM-09 Lists and parameters</t>
        </is>
      </c>
      <c r="L184" s="14" t="inlineStr">
        <is>
          <t>16-Jul-2027 (T-24 weeks)</t>
        </is>
      </c>
      <c r="M184" s="14" t="n"/>
      <c r="N184" s="14" t="n"/>
      <c r="O184" s="14" t="n"/>
      <c r="P184" s="14" t="inlineStr">
        <is>
          <t>Not started</t>
        </is>
      </c>
      <c r="Q184" s="14" t="n"/>
    </row>
    <row r="185">
      <c r="A185" s="14" t="inlineStr">
        <is>
          <t>PLACEMENT_UPDATE_DAYS</t>
        </is>
      </c>
      <c r="B185" s="14" t="inlineStr">
        <is>
          <t>Product Maintenance</t>
        </is>
      </c>
      <c r="C185" s="14" t="inlineStr">
        <is>
          <t>Product Maintenance</t>
        </is>
      </c>
      <c r="D185" s="14" t="inlineStr">
        <is>
          <t>Drop 0</t>
        </is>
      </c>
      <c r="E185" s="14" t="inlineStr">
        <is>
          <t>Product Owner, Marketing Business System (MBS)</t>
        </is>
      </c>
      <c r="F185" s="14" t="inlineStr">
        <is>
          <t>Length of the reporting period of the Consolidated Placement Update Report in days, ending on the report date</t>
        </is>
      </c>
      <c r="G185" s="14" t="inlineStr">
        <is>
          <t>integer</t>
        </is>
      </c>
      <c r="H185" s="14" t="inlineStr">
        <is>
          <t>7</t>
        </is>
      </c>
      <c r="I185" s="14" t="inlineStr">
        <is>
          <t>1 to 92</t>
        </is>
      </c>
      <c r="J185" s="14" t="inlineStr">
        <is>
          <t>Template</t>
        </is>
      </c>
      <c r="K185" s="14" t="inlineStr">
        <is>
          <t>BRD-03 template CI-09, sheet PM-09 Lists and parameters</t>
        </is>
      </c>
      <c r="L185" s="14" t="inlineStr">
        <is>
          <t>16-Jul-2027 (T-24 weeks)</t>
        </is>
      </c>
      <c r="M185" s="14" t="n"/>
      <c r="N185" s="14" t="n"/>
      <c r="O185" s="14" t="n"/>
      <c r="P185" s="14" t="inlineStr">
        <is>
          <t>Not started</t>
        </is>
      </c>
      <c r="Q185" s="14" t="n"/>
    </row>
    <row r="186">
      <c r="A186" s="14" t="inlineStr">
        <is>
          <t>PLACEMENT_UPDATE_SCOPE</t>
        </is>
      </c>
      <c r="B186" s="14" t="inlineStr">
        <is>
          <t>Product Maintenance</t>
        </is>
      </c>
      <c r="C186" s="14" t="inlineStr">
        <is>
          <t>Product Maintenance</t>
        </is>
      </c>
      <c r="D186" s="14" t="inlineStr">
        <is>
          <t>Drop 0</t>
        </is>
      </c>
      <c r="E186" s="14" t="inlineStr">
        <is>
          <t>Product Owner, Marketing Business System (MBS)</t>
        </is>
      </c>
      <c r="F186" s="14" t="inlineStr">
        <is>
          <t>QUOTATION: the report lists the quotation requests (the bank's process); QUOTATION_AND_PACKAGE: the package requests follow</t>
        </is>
      </c>
      <c r="G186" s="14" t="inlineStr">
        <is>
          <t>string</t>
        </is>
      </c>
      <c r="H186" s="14" t="inlineStr">
        <is>
          <t>QUOTATION</t>
        </is>
      </c>
      <c r="I186" s="14" t="inlineStr"/>
      <c r="J186" s="14" t="inlineStr">
        <is>
          <t>Template</t>
        </is>
      </c>
      <c r="K186" s="14" t="inlineStr">
        <is>
          <t>BRD-03 template CI-09, sheet PM-09 Lists and parameters</t>
        </is>
      </c>
      <c r="L186" s="14" t="inlineStr">
        <is>
          <t>16-Jul-2027 (T-24 weeks)</t>
        </is>
      </c>
      <c r="M186" s="14" t="n"/>
      <c r="N186" s="14" t="n"/>
      <c r="O186" s="14" t="n"/>
      <c r="P186" s="14" t="inlineStr">
        <is>
          <t>Not started</t>
        </is>
      </c>
      <c r="Q186" s="14" t="n"/>
    </row>
    <row r="187">
      <c r="A187" s="14" t="inlineStr">
        <is>
          <t>PLACEMENT_UPDATE_TIME</t>
        </is>
      </c>
      <c r="B187" s="14" t="inlineStr">
        <is>
          <t>Product Maintenance</t>
        </is>
      </c>
      <c r="C187" s="14" t="inlineStr">
        <is>
          <t>Product Maintenance</t>
        </is>
      </c>
      <c r="D187" s="14" t="inlineStr">
        <is>
          <t>Drop 0</t>
        </is>
      </c>
      <c r="E187" s="14" t="inlineStr">
        <is>
          <t>Product Owner, Marketing Business System (MBS)</t>
        </is>
      </c>
      <c r="F187" s="14" t="inlineStr">
        <is>
          <t>Time of the scheduled Consolidated Placement Update Report (HH:MM, business time zone)</t>
        </is>
      </c>
      <c r="G187" s="14" t="inlineStr">
        <is>
          <t>string</t>
        </is>
      </c>
      <c r="H187" s="14" t="inlineStr">
        <is>
          <t>08:00</t>
        </is>
      </c>
      <c r="I187" s="14" t="inlineStr"/>
      <c r="J187" s="14" t="inlineStr">
        <is>
          <t>Template</t>
        </is>
      </c>
      <c r="K187" s="14" t="inlineStr">
        <is>
          <t>BRD-03 template CI-09, sheet PM-09 Lists and parameters</t>
        </is>
      </c>
      <c r="L187" s="14" t="inlineStr">
        <is>
          <t>16-Jul-2027 (T-24 weeks)</t>
        </is>
      </c>
      <c r="M187" s="14" t="n"/>
      <c r="N187" s="14" t="n"/>
      <c r="O187" s="14" t="n"/>
      <c r="P187" s="14" t="inlineStr">
        <is>
          <t>Not started</t>
        </is>
      </c>
      <c r="Q187" s="14" t="n"/>
    </row>
    <row r="188">
      <c r="A188" s="14" t="inlineStr">
        <is>
          <t>PM_DEACTIVATION_ROUTE</t>
        </is>
      </c>
      <c r="B188" s="14" t="inlineStr">
        <is>
          <t>Product Maintenance</t>
        </is>
      </c>
      <c r="C188" s="14" t="inlineStr">
        <is>
          <t>Product Maintenance</t>
        </is>
      </c>
      <c r="D188" s="14" t="inlineStr">
        <is>
          <t>Drop 0</t>
        </is>
      </c>
      <c r="E188" s="14" t="inlineStr">
        <is>
          <t>Product Owner, Marketing Business System (MBS)</t>
        </is>
      </c>
      <c r="F188" s="14" t="inlineStr">
        <is>
          <t>EFFECTIVE_DATED: Deactivate Package asks for the effective date, reason and approver (the bank's process); RETIRE_REQUEST: deactivation through a retirement package request</t>
        </is>
      </c>
      <c r="G188" s="14" t="inlineStr">
        <is>
          <t>string</t>
        </is>
      </c>
      <c r="H188" s="14" t="inlineStr">
        <is>
          <t>EFFECTIVE_DATED</t>
        </is>
      </c>
      <c r="I188" s="14" t="inlineStr"/>
      <c r="J188" s="14" t="inlineStr">
        <is>
          <t>Template</t>
        </is>
      </c>
      <c r="K188" s="14" t="inlineStr">
        <is>
          <t>BRD-03 template CI-09, sheet PM-09 Lists and parameters</t>
        </is>
      </c>
      <c r="L188" s="14" t="inlineStr">
        <is>
          <t>16-Jul-2027 (T-24 weeks)</t>
        </is>
      </c>
      <c r="M188" s="14" t="n"/>
      <c r="N188" s="14" t="n"/>
      <c r="O188" s="14" t="n"/>
      <c r="P188" s="14" t="inlineStr">
        <is>
          <t>Not started</t>
        </is>
      </c>
      <c r="Q188" s="14" t="n"/>
    </row>
    <row r="189">
      <c r="A189" s="14" t="inlineStr">
        <is>
          <t>PM_DEPLOYMENT_REQUEST</t>
        </is>
      </c>
      <c r="B189" s="14" t="inlineStr">
        <is>
          <t>Product Maintenance</t>
        </is>
      </c>
      <c r="C189" s="14" t="inlineStr">
        <is>
          <t>Product Maintenance</t>
        </is>
      </c>
      <c r="D189" s="14" t="inlineStr">
        <is>
          <t>Drop 0</t>
        </is>
      </c>
      <c r="E189" s="14" t="inlineStr">
        <is>
          <t>Product Owner, Marketing Business System (MBS)</t>
        </is>
      </c>
      <c r="F189" s="14" t="inlineStr">
        <is>
          <t>AUTO: the ManCom approval forwards the package to MBS; MANUAL: the Request for Deployment button forwards it (the bank's process)</t>
        </is>
      </c>
      <c r="G189" s="14" t="inlineStr">
        <is>
          <t>string</t>
        </is>
      </c>
      <c r="H189" s="14" t="inlineStr">
        <is>
          <t>AUTO</t>
        </is>
      </c>
      <c r="I189" s="14" t="inlineStr"/>
      <c r="J189" s="14" t="inlineStr">
        <is>
          <t>Template</t>
        </is>
      </c>
      <c r="K189" s="14" t="inlineStr">
        <is>
          <t>BRD-03 template CI-09, sheet PM-09 Lists and parameters</t>
        </is>
      </c>
      <c r="L189" s="14" t="inlineStr">
        <is>
          <t>16-Jul-2027 (T-24 weeks)</t>
        </is>
      </c>
      <c r="M189" s="14" t="n"/>
      <c r="N189" s="14" t="n"/>
      <c r="O189" s="14" t="n"/>
      <c r="P189" s="14" t="inlineStr">
        <is>
          <t>Not started</t>
        </is>
      </c>
      <c r="Q189" s="14" t="n"/>
    </row>
    <row r="190">
      <c r="A190" s="14" t="inlineStr">
        <is>
          <t>PM_DIRECT_MAINTENANCE</t>
        </is>
      </c>
      <c r="B190" s="14" t="inlineStr">
        <is>
          <t>Product Maintenance</t>
        </is>
      </c>
      <c r="C190" s="14" t="inlineStr">
        <is>
          <t>Product Maintenance</t>
        </is>
      </c>
      <c r="D190" s="14" t="inlineStr">
        <is>
          <t>Drop 0</t>
        </is>
      </c>
      <c r="E190" s="14" t="inlineStr">
        <is>
          <t>Product Owner, Marketing Business System (MBS)</t>
        </is>
      </c>
      <c r="F190" s="14" t="inlineStr">
        <is>
          <t>true: authorized users add and update Product Matrix records directly with approval (the bank's process); false: new packages come only from package requests</t>
        </is>
      </c>
      <c r="G190" s="14" t="inlineStr">
        <is>
          <t>boolean</t>
        </is>
      </c>
      <c r="H190" s="14" t="inlineStr">
        <is>
          <t>true</t>
        </is>
      </c>
      <c r="I190" s="14" t="inlineStr"/>
      <c r="J190" s="14" t="inlineStr">
        <is>
          <t>Template</t>
        </is>
      </c>
      <c r="K190" s="14" t="inlineStr">
        <is>
          <t>BRD-03 template CI-09, sheet PM-09 Lists and parameters</t>
        </is>
      </c>
      <c r="L190" s="14" t="inlineStr">
        <is>
          <t>16-Jul-2027 (T-24 weeks)</t>
        </is>
      </c>
      <c r="M190" s="14" t="n"/>
      <c r="N190" s="14" t="n"/>
      <c r="O190" s="14" t="n"/>
      <c r="P190" s="14" t="inlineStr">
        <is>
          <t>Not started</t>
        </is>
      </c>
      <c r="Q190" s="14" t="n"/>
    </row>
    <row r="191">
      <c r="A191" s="14" t="inlineStr">
        <is>
          <t>PM_MANCOM_PRESIDENT</t>
        </is>
      </c>
      <c r="B191" s="14" t="inlineStr">
        <is>
          <t>Product Maintenance</t>
        </is>
      </c>
      <c r="C191" s="14" t="inlineStr">
        <is>
          <t>Product Maintenance</t>
        </is>
      </c>
      <c r="D191" s="14" t="inlineStr">
        <is>
          <t>Drop 0</t>
        </is>
      </c>
      <c r="E191" s="14" t="inlineStr">
        <is>
          <t>Product Owner, Marketing Business System (MBS)</t>
        </is>
      </c>
      <c r="F191" s="14" t="inlineStr">
        <is>
          <t>User ID of the President, who approves after every other selected ManCom approver</t>
        </is>
      </c>
      <c r="G191" s="14" t="inlineStr">
        <is>
          <t>string</t>
        </is>
      </c>
      <c r="H191" s="14" t="inlineStr">
        <is>
          <t>(blank)</t>
        </is>
      </c>
      <c r="I191" s="14" t="inlineStr"/>
      <c r="J191" s="14" t="inlineStr">
        <is>
          <t>Template</t>
        </is>
      </c>
      <c r="K191" s="14" t="inlineStr">
        <is>
          <t>BRD-03 template CI-09, sheet PM-09 Lists and parameters</t>
        </is>
      </c>
      <c r="L191" s="14" t="inlineStr">
        <is>
          <t>16-Jul-2027 (T-24 weeks)</t>
        </is>
      </c>
      <c r="M191" s="14" t="n"/>
      <c r="N191" s="14" t="n"/>
      <c r="O191" s="14" t="n"/>
      <c r="P191" s="14" t="inlineStr">
        <is>
          <t>Not started</t>
        </is>
      </c>
      <c r="Q191" s="14" t="n"/>
    </row>
    <row r="192">
      <c r="A192" s="14" t="inlineStr">
        <is>
          <t>PM_MANCOM_ROUTING</t>
        </is>
      </c>
      <c r="B192" s="14" t="inlineStr">
        <is>
          <t>Product Maintenance</t>
        </is>
      </c>
      <c r="C192" s="14" t="inlineStr">
        <is>
          <t>Product Maintenance</t>
        </is>
      </c>
      <c r="D192" s="14" t="inlineStr">
        <is>
          <t>Drop 0</t>
        </is>
      </c>
      <c r="E192" s="14" t="inlineStr">
        <is>
          <t>Product Owner, Marketing Business System (MBS)</t>
        </is>
      </c>
      <c r="F192" s="14" t="inlineStr">
        <is>
          <t>SELECTED_PARALLEL_THEN_PRESIDENT: the selected ManCom approvers approve in parallel, then the President (the bank's process); ANY_MEMBER: one sign-off</t>
        </is>
      </c>
      <c r="G192" s="14" t="inlineStr">
        <is>
          <t>string</t>
        </is>
      </c>
      <c r="H192" s="14" t="inlineStr">
        <is>
          <t>SELECTED_PARALLEL_THEN_PRESIDENT</t>
        </is>
      </c>
      <c r="I192" s="14" t="inlineStr"/>
      <c r="J192" s="14" t="inlineStr">
        <is>
          <t>Template</t>
        </is>
      </c>
      <c r="K192" s="14" t="inlineStr">
        <is>
          <t>BRD-03 template CI-09, sheet PM-09 Lists and parameters</t>
        </is>
      </c>
      <c r="L192" s="14" t="inlineStr">
        <is>
          <t>16-Jul-2027 (T-24 weeks)</t>
        </is>
      </c>
      <c r="M192" s="14" t="n"/>
      <c r="N192" s="14" t="n"/>
      <c r="O192" s="14" t="n"/>
      <c r="P192" s="14" t="inlineStr">
        <is>
          <t>Not started</t>
        </is>
      </c>
      <c r="Q192" s="14" t="n"/>
    </row>
    <row r="193">
      <c r="A193" s="14" t="inlineStr">
        <is>
          <t>PM_MARKETING_CHAIN</t>
        </is>
      </c>
      <c r="B193" s="14" t="inlineStr">
        <is>
          <t>Product Maintenance</t>
        </is>
      </c>
      <c r="C193" s="14" t="inlineStr">
        <is>
          <t>Product Maintenance</t>
        </is>
      </c>
      <c r="D193" s="14" t="inlineStr">
        <is>
          <t>Drop 0</t>
        </is>
      </c>
      <c r="E193" s="14" t="inlineStr">
        <is>
          <t>Product Owner, Marketing Business System (MBS)</t>
        </is>
      </c>
      <c r="F193" s="14" t="inlineStr">
        <is>
          <t>ANY_ONE: one approval by the Marketing Team Leader, Team Head or Unit Head; TL_TH_UH: approval by the Team Leader, then the Team Head, then the Unit Head (the bank's process)</t>
        </is>
      </c>
      <c r="G193" s="14" t="inlineStr">
        <is>
          <t>string</t>
        </is>
      </c>
      <c r="H193" s="14" t="inlineStr">
        <is>
          <t>ANY_ONE</t>
        </is>
      </c>
      <c r="I193" s="14" t="inlineStr"/>
      <c r="J193" s="14" t="inlineStr">
        <is>
          <t>Template</t>
        </is>
      </c>
      <c r="K193" s="14" t="inlineStr">
        <is>
          <t>BRD-03 template CI-09, sheet PM-09 Lists and parameters</t>
        </is>
      </c>
      <c r="L193" s="14" t="inlineStr">
        <is>
          <t>16-Jul-2027 (T-24 weeks)</t>
        </is>
      </c>
      <c r="M193" s="14" t="n"/>
      <c r="N193" s="14" t="n"/>
      <c r="O193" s="14" t="n"/>
      <c r="P193" s="14" t="inlineStr">
        <is>
          <t>Not started</t>
        </is>
      </c>
      <c r="Q193" s="14" t="n"/>
    </row>
    <row r="194">
      <c r="A194" s="14" t="inlineStr">
        <is>
          <t>RNW_AUTO_ASSIGN_PROCESSING</t>
        </is>
      </c>
      <c r="B194" s="14" t="inlineStr">
        <is>
          <t>Renewal</t>
        </is>
      </c>
      <c r="C194" s="14" t="inlineStr">
        <is>
          <t>Renewal</t>
        </is>
      </c>
      <c r="D194" s="14" t="inlineStr">
        <is>
          <t>Drop 1</t>
        </is>
      </c>
      <c r="E194" s="14" t="inlineStr">
        <is>
          <t>Product Owner, Renewal</t>
        </is>
      </c>
      <c r="F194" s="14" t="inlineStr">
        <is>
          <t>Renewal accounts routed to Processing are assigned automatically to a Processing Officer (fewest open accounts first, then in turn)</t>
        </is>
      </c>
      <c r="G194" s="14" t="inlineStr">
        <is>
          <t>boolean</t>
        </is>
      </c>
      <c r="H194" s="14" t="inlineStr">
        <is>
          <t>false</t>
        </is>
      </c>
      <c r="I194" s="14" t="inlineStr"/>
      <c r="J194" s="14" t="inlineStr">
        <is>
          <t>Template</t>
        </is>
      </c>
      <c r="K194" s="14" t="inlineStr">
        <is>
          <t>This workbook, sheet Ref System parameters</t>
        </is>
      </c>
      <c r="L194" s="14" t="inlineStr">
        <is>
          <t>16-Jul-2027 (T-24 weeks)</t>
        </is>
      </c>
      <c r="M194" s="14" t="n"/>
      <c r="N194" s="14" t="n"/>
      <c r="O194" s="14" t="n"/>
      <c r="P194" s="14" t="inlineStr">
        <is>
          <t>Not started</t>
        </is>
      </c>
      <c r="Q194" s="14" t="n"/>
    </row>
    <row r="195">
      <c r="A195" s="14" t="inlineStr">
        <is>
          <t>RNW_AUTO_ASSIGN_SEGMENTS</t>
        </is>
      </c>
      <c r="B195" s="14" t="inlineStr">
        <is>
          <t>Renewal</t>
        </is>
      </c>
      <c r="C195" s="14" t="inlineStr">
        <is>
          <t>Renewal</t>
        </is>
      </c>
      <c r="D195" s="14" t="inlineStr">
        <is>
          <t>Drop 1</t>
        </is>
      </c>
      <c r="E195" s="14" t="inlineStr">
        <is>
          <t>Product Owner, Renewal</t>
        </is>
      </c>
      <c r="F195" s="14" t="inlineStr">
        <is>
          <t>Market segments whose renewal accounts are assigned automatically to an Account Officer of the team after the classification (* for every segment; none: the Team Leader assigns)</t>
        </is>
      </c>
      <c r="G195" s="14" t="inlineStr">
        <is>
          <t>code list</t>
        </is>
      </c>
      <c r="H195" s="14" t="inlineStr">
        <is>
          <t>(blank)</t>
        </is>
      </c>
      <c r="I195" s="14" t="inlineStr"/>
      <c r="J195" s="14" t="inlineStr">
        <is>
          <t>Template</t>
        </is>
      </c>
      <c r="K195" s="14" t="inlineStr">
        <is>
          <t>This workbook, sheet Ref System parameters</t>
        </is>
      </c>
      <c r="L195" s="14" t="inlineStr">
        <is>
          <t>16-Jul-2027 (T-24 weeks)</t>
        </is>
      </c>
      <c r="M195" s="14" t="n"/>
      <c r="N195" s="14" t="n"/>
      <c r="O195" s="14" t="n"/>
      <c r="P195" s="14" t="inlineStr">
        <is>
          <t>Not started</t>
        </is>
      </c>
      <c r="Q195" s="14" t="n"/>
    </row>
    <row r="196">
      <c r="A196" s="14" t="inlineStr">
        <is>
          <t>RNW_AUTO_PLACEMENT</t>
        </is>
      </c>
      <c r="B196" s="14" t="inlineStr">
        <is>
          <t>Renewal</t>
        </is>
      </c>
      <c r="C196" s="14" t="inlineStr">
        <is>
          <t>Renewal</t>
        </is>
      </c>
      <c r="D196" s="14" t="inlineStr">
        <is>
          <t>Drop 1</t>
        </is>
      </c>
      <c r="E196" s="14" t="inlineStr">
        <is>
          <t>Product Owner, Renewal</t>
        </is>
      </c>
      <c r="F196" s="14" t="inlineStr">
        <is>
          <t>Generate the placement slip automatically once an accepted renewal is ready for placement (off: Processing places the renewal account)</t>
        </is>
      </c>
      <c r="G196" s="14" t="inlineStr">
        <is>
          <t>boolean</t>
        </is>
      </c>
      <c r="H196" s="14" t="inlineStr">
        <is>
          <t>false</t>
        </is>
      </c>
      <c r="I196" s="14" t="inlineStr"/>
      <c r="J196" s="14" t="inlineStr">
        <is>
          <t>Template</t>
        </is>
      </c>
      <c r="K196" s="14" t="inlineStr">
        <is>
          <t>This workbook, sheet Ref System parameters</t>
        </is>
      </c>
      <c r="L196" s="14" t="inlineStr">
        <is>
          <t>16-Jul-2027 (T-24 weeks)</t>
        </is>
      </c>
      <c r="M196" s="14" t="n"/>
      <c r="N196" s="14" t="n"/>
      <c r="O196" s="14" t="n"/>
      <c r="P196" s="14" t="inlineStr">
        <is>
          <t>Not started</t>
        </is>
      </c>
      <c r="Q196" s="14" t="n"/>
    </row>
    <row r="197">
      <c r="A197" s="14" t="inlineStr">
        <is>
          <t>RNW_AUTO_PROMO_RISK_CODES</t>
        </is>
      </c>
      <c r="B197" s="14" t="inlineStr">
        <is>
          <t>Renewal</t>
        </is>
      </c>
      <c r="C197" s="14" t="inlineStr">
        <is>
          <t>Renewal</t>
        </is>
      </c>
      <c r="D197" s="14" t="inlineStr">
        <is>
          <t>Drop 1</t>
        </is>
      </c>
      <c r="E197" s="14" t="inlineStr">
        <is>
          <t>Product Owner, Renewal</t>
        </is>
      </c>
      <c r="F197" s="14" t="inlineStr">
        <is>
          <t>Risk codes of the Auto Promo (first year free) motor policies</t>
        </is>
      </c>
      <c r="G197" s="14" t="inlineStr">
        <is>
          <t>code list</t>
        </is>
      </c>
      <c r="H197" s="14" t="inlineStr">
        <is>
          <t>MTR70,MTR71,MTR72,MTR73</t>
        </is>
      </c>
      <c r="I197" s="14" t="inlineStr"/>
      <c r="J197" s="14" t="inlineStr">
        <is>
          <t>Template</t>
        </is>
      </c>
      <c r="K197" s="14" t="inlineStr">
        <is>
          <t>This workbook, sheet Ref System parameters</t>
        </is>
      </c>
      <c r="L197" s="14" t="inlineStr">
        <is>
          <t>16-Jul-2027 (T-24 weeks)</t>
        </is>
      </c>
      <c r="M197" s="14" t="n"/>
      <c r="N197" s="14" t="n"/>
      <c r="O197" s="14" t="n"/>
      <c r="P197" s="14" t="inlineStr">
        <is>
          <t>Not started</t>
        </is>
      </c>
      <c r="Q197" s="14" t="n"/>
    </row>
    <row r="198">
      <c r="A198" s="14" t="inlineStr">
        <is>
          <t>RNW_BOOK_ON_PLACEMENT_APPROVAL</t>
        </is>
      </c>
      <c r="B198" s="14" t="inlineStr">
        <is>
          <t>Renewal</t>
        </is>
      </c>
      <c r="C198" s="14" t="inlineStr">
        <is>
          <t>Renewal</t>
        </is>
      </c>
      <c r="D198" s="14" t="inlineStr">
        <is>
          <t>Drop 1</t>
        </is>
      </c>
      <c r="E198" s="14" t="inlineStr">
        <is>
          <t>Product Owner, Renewal</t>
        </is>
      </c>
      <c r="F198" s="14" t="inlineStr">
        <is>
          <t>The insurer's approval of the placement books and locks the renewal account (true), or leaves it For Booking for the Processing Officer to book (false)</t>
        </is>
      </c>
      <c r="G198" s="14" t="inlineStr">
        <is>
          <t>boolean</t>
        </is>
      </c>
      <c r="H198" s="14" t="inlineStr">
        <is>
          <t>false</t>
        </is>
      </c>
      <c r="I198" s="14" t="inlineStr"/>
      <c r="J198" s="14" t="inlineStr">
        <is>
          <t>Template</t>
        </is>
      </c>
      <c r="K198" s="14" t="inlineStr">
        <is>
          <t>This workbook, sheet Ref System parameters</t>
        </is>
      </c>
      <c r="L198" s="14" t="inlineStr">
        <is>
          <t>16-Jul-2027 (T-24 weeks)</t>
        </is>
      </c>
      <c r="M198" s="14" t="n"/>
      <c r="N198" s="14" t="n"/>
      <c r="O198" s="14" t="n"/>
      <c r="P198" s="14" t="inlineStr">
        <is>
          <t>Not started</t>
        </is>
      </c>
      <c r="Q198" s="14" t="n"/>
    </row>
    <row r="199">
      <c r="A199" s="14" t="inlineStr">
        <is>
          <t>RNW_BULK_INITIATION_SEGMENTS</t>
        </is>
      </c>
      <c r="B199" s="14" t="inlineStr">
        <is>
          <t>Renewal</t>
        </is>
      </c>
      <c r="C199" s="14" t="inlineStr">
        <is>
          <t>Renewal</t>
        </is>
      </c>
      <c r="D199" s="14" t="inlineStr">
        <is>
          <t>Drop 1</t>
        </is>
      </c>
      <c r="E199" s="14" t="inlineStr">
        <is>
          <t>Product Owner, Renewal</t>
        </is>
      </c>
      <c r="F199" s="14" t="inlineStr">
        <is>
          <t>Market segments whose renewals may be initiated in bulk; the others one at a time</t>
        </is>
      </c>
      <c r="G199" s="14" t="inlineStr">
        <is>
          <t>code list</t>
        </is>
      </c>
      <c r="H199" s="14" t="inlineStr">
        <is>
          <t>CLG</t>
        </is>
      </c>
      <c r="I199" s="14" t="inlineStr"/>
      <c r="J199" s="14" t="inlineStr">
        <is>
          <t>Template</t>
        </is>
      </c>
      <c r="K199" s="14" t="inlineStr">
        <is>
          <t>This workbook, sheet Ref System parameters</t>
        </is>
      </c>
      <c r="L199" s="14" t="inlineStr">
        <is>
          <t>16-Jul-2027 (T-24 weeks)</t>
        </is>
      </c>
      <c r="M199" s="14" t="n"/>
      <c r="N199" s="14" t="n"/>
      <c r="O199" s="14" t="n"/>
      <c r="P199" s="14" t="inlineStr">
        <is>
          <t>Not started</t>
        </is>
      </c>
      <c r="Q199" s="14" t="n"/>
    </row>
    <row r="200">
      <c r="A200" s="14" t="inlineStr">
        <is>
          <t>RNW_CBG_MOTOR_AUTO_UPDATE</t>
        </is>
      </c>
      <c r="B200" s="14" t="inlineStr">
        <is>
          <t>Renewal</t>
        </is>
      </c>
      <c r="C200" s="14" t="inlineStr">
        <is>
          <t>Renewal</t>
        </is>
      </c>
      <c r="D200" s="14" t="inlineStr">
        <is>
          <t>Drop 1</t>
        </is>
      </c>
      <c r="E200" s="14" t="inlineStr">
        <is>
          <t>Product Owner, Renewal</t>
        </is>
      </c>
      <c r="F200" s="14" t="inlineStr">
        <is>
          <t>CBG Motor renewal accounts take the automatic values: depreciated sum insured, BI and PD limits stepped down, Auto Promo renewed as Regular</t>
        </is>
      </c>
      <c r="G200" s="14" t="inlineStr">
        <is>
          <t>boolean</t>
        </is>
      </c>
      <c r="H200" s="14" t="inlineStr">
        <is>
          <t>true</t>
        </is>
      </c>
      <c r="I200" s="14" t="inlineStr"/>
      <c r="J200" s="14" t="inlineStr">
        <is>
          <t>Template</t>
        </is>
      </c>
      <c r="K200" s="14" t="inlineStr">
        <is>
          <t>This workbook, sheet Ref System parameters</t>
        </is>
      </c>
      <c r="L200" s="14" t="inlineStr">
        <is>
          <t>16-Jul-2027 (T-24 weeks)</t>
        </is>
      </c>
      <c r="M200" s="14" t="n"/>
      <c r="N200" s="14" t="n"/>
      <c r="O200" s="14" t="n"/>
      <c r="P200" s="14" t="inlineStr">
        <is>
          <t>Not started</t>
        </is>
      </c>
      <c r="Q200" s="14" t="n"/>
    </row>
    <row r="201">
      <c r="A201" s="14" t="inlineStr">
        <is>
          <t>RNW_CBG_MOTOR_BI_TIERS</t>
        </is>
      </c>
      <c r="B201" s="14" t="inlineStr">
        <is>
          <t>Renewal</t>
        </is>
      </c>
      <c r="C201" s="14" t="inlineStr">
        <is>
          <t>Renewal</t>
        </is>
      </c>
      <c r="D201" s="14" t="inlineStr">
        <is>
          <t>Drop 1</t>
        </is>
      </c>
      <c r="E201" s="14" t="inlineStr">
        <is>
          <t>Product Owner, Renewal</t>
        </is>
      </c>
      <c r="F201" s="14" t="inlineStr">
        <is>
          <t>Bodily injury limits and their premiums (limit:premium) for the step-down of a CBG Motor renewal</t>
        </is>
      </c>
      <c r="G201" s="14" t="inlineStr">
        <is>
          <t>string</t>
        </is>
      </c>
      <c r="H201" s="14" t="inlineStr">
        <is>
          <t>50000:115.00,100000:240.00,150000:310.00,200000:375.00,250000:430.00,300000:495.00,500000:650.00,750000:890.00,1000000:1100.00</t>
        </is>
      </c>
      <c r="I201" s="14" t="inlineStr"/>
      <c r="J201" s="14" t="inlineStr">
        <is>
          <t>Template</t>
        </is>
      </c>
      <c r="K201" s="14" t="inlineStr">
        <is>
          <t>This workbook, sheet Ref System parameters</t>
        </is>
      </c>
      <c r="L201" s="14" t="inlineStr">
        <is>
          <t>16-Jul-2027 (T-24 weeks)</t>
        </is>
      </c>
      <c r="M201" s="14" t="n"/>
      <c r="N201" s="14" t="n"/>
      <c r="O201" s="14" t="n"/>
      <c r="P201" s="14" t="inlineStr">
        <is>
          <t>Not started</t>
        </is>
      </c>
      <c r="Q201" s="14" t="n"/>
    </row>
    <row r="202">
      <c r="A202" s="14" t="inlineStr">
        <is>
          <t>RNW_CBG_MOTOR_PD_TIERS</t>
        </is>
      </c>
      <c r="B202" s="14" t="inlineStr">
        <is>
          <t>Renewal</t>
        </is>
      </c>
      <c r="C202" s="14" t="inlineStr">
        <is>
          <t>Renewal</t>
        </is>
      </c>
      <c r="D202" s="14" t="inlineStr">
        <is>
          <t>Drop 1</t>
        </is>
      </c>
      <c r="E202" s="14" t="inlineStr">
        <is>
          <t>Product Owner, Renewal</t>
        </is>
      </c>
      <c r="F202" s="14" t="inlineStr">
        <is>
          <t>Property damage limits and their premiums (limit:premium) for the step-down of a CBG Motor renewal</t>
        </is>
      </c>
      <c r="G202" s="14" t="inlineStr">
        <is>
          <t>string</t>
        </is>
      </c>
      <c r="H202" s="14" t="inlineStr">
        <is>
          <t>50000:150.00,100000:300.00,150000:400.00,200000:480.00,250000:520.00,300000:560.00,500000:720.00,750000:950.00,1000000:1150.00</t>
        </is>
      </c>
      <c r="I202" s="14" t="inlineStr"/>
      <c r="J202" s="14" t="inlineStr">
        <is>
          <t>Template</t>
        </is>
      </c>
      <c r="K202" s="14" t="inlineStr">
        <is>
          <t>This workbook, sheet Ref System parameters</t>
        </is>
      </c>
      <c r="L202" s="14" t="inlineStr">
        <is>
          <t>16-Jul-2027 (T-24 weeks)</t>
        </is>
      </c>
      <c r="M202" s="14" t="n"/>
      <c r="N202" s="14" t="n"/>
      <c r="O202" s="14" t="n"/>
      <c r="P202" s="14" t="inlineStr">
        <is>
          <t>Not started</t>
        </is>
      </c>
      <c r="Q202" s="14" t="n"/>
    </row>
    <row r="203">
      <c r="A203" s="14" t="inlineStr">
        <is>
          <t>RNW_CBG_SEGMENTS</t>
        </is>
      </c>
      <c r="B203" s="14" t="inlineStr">
        <is>
          <t>Renewal</t>
        </is>
      </c>
      <c r="C203" s="14" t="inlineStr">
        <is>
          <t>Renewal</t>
        </is>
      </c>
      <c r="D203" s="14" t="inlineStr">
        <is>
          <t>Drop 1</t>
        </is>
      </c>
      <c r="E203" s="14" t="inlineStr">
        <is>
          <t>Product Owner, Renewal</t>
        </is>
      </c>
      <c r="F203" s="14" t="inlineStr">
        <is>
          <t>Market segments on the loan-driven straight-through path (no assignment to an AO)</t>
        </is>
      </c>
      <c r="G203" s="14" t="inlineStr">
        <is>
          <t>code list</t>
        </is>
      </c>
      <c r="H203" s="14" t="inlineStr">
        <is>
          <t>CBG</t>
        </is>
      </c>
      <c r="I203" s="14" t="inlineStr"/>
      <c r="J203" s="14" t="inlineStr">
        <is>
          <t>Template</t>
        </is>
      </c>
      <c r="K203" s="14" t="inlineStr">
        <is>
          <t>This workbook, sheet Ref System parameters</t>
        </is>
      </c>
      <c r="L203" s="14" t="inlineStr">
        <is>
          <t>16-Jul-2027 (T-24 weeks)</t>
        </is>
      </c>
      <c r="M203" s="14" t="n"/>
      <c r="N203" s="14" t="n"/>
      <c r="O203" s="14" t="n"/>
      <c r="P203" s="14" t="inlineStr">
        <is>
          <t>Not started</t>
        </is>
      </c>
      <c r="Q203" s="14" t="n"/>
    </row>
    <row r="204">
      <c r="A204" s="14" t="inlineStr">
        <is>
          <t>RNW_CBG_STP_LINES</t>
        </is>
      </c>
      <c r="B204" s="14" t="inlineStr">
        <is>
          <t>Renewal</t>
        </is>
      </c>
      <c r="C204" s="14" t="inlineStr">
        <is>
          <t>Renewal</t>
        </is>
      </c>
      <c r="D204" s="14" t="inlineStr">
        <is>
          <t>Drop 1</t>
        </is>
      </c>
      <c r="E204" s="14" t="inlineStr">
        <is>
          <t>Product Owner, Renewal</t>
        </is>
      </c>
      <c r="F204" s="14" t="inlineStr">
        <is>
          <t>Product lines of the straight-through path of those segments</t>
        </is>
      </c>
      <c r="G204" s="14" t="inlineStr">
        <is>
          <t>code list</t>
        </is>
      </c>
      <c r="H204" s="14" t="inlineStr">
        <is>
          <t>MOTOR,PROPERTY</t>
        </is>
      </c>
      <c r="I204" s="14" t="inlineStr"/>
      <c r="J204" s="14" t="inlineStr">
        <is>
          <t>Template</t>
        </is>
      </c>
      <c r="K204" s="14" t="inlineStr">
        <is>
          <t>This workbook, sheet Ref System parameters</t>
        </is>
      </c>
      <c r="L204" s="14" t="inlineStr">
        <is>
          <t>16-Jul-2027 (T-24 weeks)</t>
        </is>
      </c>
      <c r="M204" s="14" t="n"/>
      <c r="N204" s="14" t="n"/>
      <c r="O204" s="14" t="n"/>
      <c r="P204" s="14" t="inlineStr">
        <is>
          <t>Not started</t>
        </is>
      </c>
      <c r="Q204" s="14" t="n"/>
    </row>
    <row r="205">
      <c r="A205" s="14" t="inlineStr">
        <is>
          <t>RNW_CCM_CLIENT_ID</t>
        </is>
      </c>
      <c r="B205" s="14" t="inlineStr">
        <is>
          <t>Renewal</t>
        </is>
      </c>
      <c r="C205" s="14" t="inlineStr">
        <is>
          <t>Renewal</t>
        </is>
      </c>
      <c r="D205" s="14" t="inlineStr">
        <is>
          <t>Drop 1</t>
        </is>
      </c>
      <c r="E205" s="14" t="inlineStr">
        <is>
          <t>Product Owner, Renewal</t>
        </is>
      </c>
      <c r="F205" s="14" t="inlineStr">
        <is>
          <t>Client identifier of the application at CCM</t>
        </is>
      </c>
      <c r="G205" s="14" t="inlineStr">
        <is>
          <t>string</t>
        </is>
      </c>
      <c r="H205" s="14" t="inlineStr">
        <is>
          <t>(blank)</t>
        </is>
      </c>
      <c r="I205" s="14" t="inlineStr"/>
      <c r="J205" s="14" t="inlineStr">
        <is>
          <t>Template</t>
        </is>
      </c>
      <c r="K205" s="14" t="inlineStr">
        <is>
          <t>This workbook, sheet Ref System parameters</t>
        </is>
      </c>
      <c r="L205" s="14" t="inlineStr">
        <is>
          <t>16-Jul-2027 (T-24 weeks)</t>
        </is>
      </c>
      <c r="M205" s="14" t="n"/>
      <c r="N205" s="14" t="n"/>
      <c r="O205" s="14" t="n"/>
      <c r="P205" s="14" t="inlineStr">
        <is>
          <t>Not started</t>
        </is>
      </c>
      <c r="Q205" s="14" t="n"/>
    </row>
    <row r="206">
      <c r="A206" s="14" t="inlineStr">
        <is>
          <t>RNW_CCM_ENDPOINT</t>
        </is>
      </c>
      <c r="B206" s="14" t="inlineStr">
        <is>
          <t>Renewal</t>
        </is>
      </c>
      <c r="C206" s="14" t="inlineStr">
        <is>
          <t>Renewal</t>
        </is>
      </c>
      <c r="D206" s="14" t="inlineStr">
        <is>
          <t>Drop 1</t>
        </is>
      </c>
      <c r="E206" s="14" t="inlineStr">
        <is>
          <t>Product Owner, Renewal</t>
        </is>
      </c>
      <c r="F206" s="14" t="inlineStr">
        <is>
          <t>Address of the CCM interface (given by the IT team of the bank)</t>
        </is>
      </c>
      <c r="G206" s="14" t="inlineStr">
        <is>
          <t>string</t>
        </is>
      </c>
      <c r="H206" s="14" t="inlineStr">
        <is>
          <t>(blank)</t>
        </is>
      </c>
      <c r="I206" s="14" t="inlineStr"/>
      <c r="J206" s="14" t="inlineStr">
        <is>
          <t>Template</t>
        </is>
      </c>
      <c r="K206" s="14" t="inlineStr">
        <is>
          <t>This workbook, sheet Ref System parameters</t>
        </is>
      </c>
      <c r="L206" s="14" t="inlineStr">
        <is>
          <t>16-Jul-2027 (T-24 weeks)</t>
        </is>
      </c>
      <c r="M206" s="14" t="n"/>
      <c r="N206" s="14" t="n"/>
      <c r="O206" s="14" t="n"/>
      <c r="P206" s="14" t="inlineStr">
        <is>
          <t>Not started</t>
        </is>
      </c>
      <c r="Q206" s="14" t="n"/>
    </row>
    <row r="207">
      <c r="A207" s="14" t="inlineStr">
        <is>
          <t>RNW_CCM_KEY_SETTING</t>
        </is>
      </c>
      <c r="B207" s="14" t="inlineStr">
        <is>
          <t>Renewal</t>
        </is>
      </c>
      <c r="C207" s="14" t="inlineStr">
        <is>
          <t>Renewal</t>
        </is>
      </c>
      <c r="D207" s="14" t="inlineStr">
        <is>
          <t>Drop 1</t>
        </is>
      </c>
      <c r="E207" s="14" t="inlineStr">
        <is>
          <t>Product Owner, Renewal</t>
        </is>
      </c>
      <c r="F207" s="14" t="inlineStr">
        <is>
          <t>Name of the environment setting that holds the CCM access key (kept by BDOI IT, never shown in BIBS)</t>
        </is>
      </c>
      <c r="G207" s="14" t="inlineStr">
        <is>
          <t>string</t>
        </is>
      </c>
      <c r="H207" s="14" t="inlineStr">
        <is>
          <t>BROKERVERSE_CCM_API_KEY</t>
        </is>
      </c>
      <c r="I207" s="14" t="inlineStr"/>
      <c r="J207" s="14" t="inlineStr">
        <is>
          <t>Template</t>
        </is>
      </c>
      <c r="K207" s="14" t="inlineStr">
        <is>
          <t>This workbook, sheet Ref System parameters</t>
        </is>
      </c>
      <c r="L207" s="14" t="inlineStr">
        <is>
          <t>16-Jul-2027 (T-24 weeks)</t>
        </is>
      </c>
      <c r="M207" s="14" t="n"/>
      <c r="N207" s="14" t="n"/>
      <c r="O207" s="14" t="n"/>
      <c r="P207" s="14" t="inlineStr">
        <is>
          <t>Not started</t>
        </is>
      </c>
      <c r="Q207" s="14" t="n"/>
    </row>
    <row r="208">
      <c r="A208" s="14" t="inlineStr">
        <is>
          <t>RNW_CCM_MODE</t>
        </is>
      </c>
      <c r="B208" s="14" t="inlineStr">
        <is>
          <t>Renewal</t>
        </is>
      </c>
      <c r="C208" s="14" t="inlineStr">
        <is>
          <t>Renewal</t>
        </is>
      </c>
      <c r="D208" s="14" t="inlineStr">
        <is>
          <t>Drop 1</t>
        </is>
      </c>
      <c r="E208" s="14" t="inlineStr">
        <is>
          <t>Product Owner, Renewal</t>
        </is>
      </c>
      <c r="F208" s="14" t="inlineStr">
        <is>
          <t>Connection of CCM: LIVE (the CCM interface at the address below) or SIMULATOR (the CCM simulator of SIT and UAT)</t>
        </is>
      </c>
      <c r="G208" s="14" t="inlineStr">
        <is>
          <t>string</t>
        </is>
      </c>
      <c r="H208" s="14" t="inlineStr">
        <is>
          <t>SIMULATOR</t>
        </is>
      </c>
      <c r="I208" s="14" t="inlineStr"/>
      <c r="J208" s="14" t="inlineStr">
        <is>
          <t>Template</t>
        </is>
      </c>
      <c r="K208" s="14" t="inlineStr">
        <is>
          <t>This workbook, sheet Ref System parameters</t>
        </is>
      </c>
      <c r="L208" s="14" t="inlineStr">
        <is>
          <t>16-Jul-2027 (T-24 weeks)</t>
        </is>
      </c>
      <c r="M208" s="14" t="n"/>
      <c r="N208" s="14" t="n"/>
      <c r="O208" s="14" t="n"/>
      <c r="P208" s="14" t="inlineStr">
        <is>
          <t>Not started</t>
        </is>
      </c>
      <c r="Q208" s="14" t="n"/>
    </row>
    <row r="209">
      <c r="A209" s="14" t="inlineStr">
        <is>
          <t>RNW_CCM_TIMEOUT_SECONDS</t>
        </is>
      </c>
      <c r="B209" s="14" t="inlineStr">
        <is>
          <t>Renewal</t>
        </is>
      </c>
      <c r="C209" s="14" t="inlineStr">
        <is>
          <t>Renewal</t>
        </is>
      </c>
      <c r="D209" s="14" t="inlineStr">
        <is>
          <t>Drop 1</t>
        </is>
      </c>
      <c r="E209" s="14" t="inlineStr">
        <is>
          <t>Product Owner, Renewal</t>
        </is>
      </c>
      <c r="F209" s="14" t="inlineStr">
        <is>
          <t>Time limit of a CCM call in seconds</t>
        </is>
      </c>
      <c r="G209" s="14" t="inlineStr">
        <is>
          <t>integer</t>
        </is>
      </c>
      <c r="H209" s="14" t="inlineStr">
        <is>
          <t>30</t>
        </is>
      </c>
      <c r="I209" s="14" t="inlineStr">
        <is>
          <t>5 to 300</t>
        </is>
      </c>
      <c r="J209" s="14" t="inlineStr">
        <is>
          <t>Template</t>
        </is>
      </c>
      <c r="K209" s="14" t="inlineStr">
        <is>
          <t>This workbook, sheet Ref System parameters</t>
        </is>
      </c>
      <c r="L209" s="14" t="inlineStr">
        <is>
          <t>16-Jul-2027 (T-24 weeks)</t>
        </is>
      </c>
      <c r="M209" s="14" t="n"/>
      <c r="N209" s="14" t="n"/>
      <c r="O209" s="14" t="n"/>
      <c r="P209" s="14" t="inlineStr">
        <is>
          <t>Not started</t>
        </is>
      </c>
      <c r="Q209" s="14" t="n"/>
    </row>
    <row r="210">
      <c r="A210" s="14" t="inlineStr">
        <is>
          <t>RNW_CHANNEL_MAX_ATTEMPTS</t>
        </is>
      </c>
      <c r="B210" s="14" t="inlineStr">
        <is>
          <t>Renewal</t>
        </is>
      </c>
      <c r="C210" s="14" t="inlineStr">
        <is>
          <t>Renewal</t>
        </is>
      </c>
      <c r="D210" s="14" t="inlineStr">
        <is>
          <t>Drop 1</t>
        </is>
      </c>
      <c r="E210" s="14" t="inlineStr">
        <is>
          <t>Product Owner, Renewal</t>
        </is>
      </c>
      <c r="F210" s="14" t="inlineStr">
        <is>
          <t>Attempts of the transmission of a message before it is Failed</t>
        </is>
      </c>
      <c r="G210" s="14" t="inlineStr">
        <is>
          <t>integer</t>
        </is>
      </c>
      <c r="H210" s="14" t="inlineStr">
        <is>
          <t>3</t>
        </is>
      </c>
      <c r="I210" s="14" t="inlineStr">
        <is>
          <t>1 to 10</t>
        </is>
      </c>
      <c r="J210" s="14" t="inlineStr">
        <is>
          <t>Template</t>
        </is>
      </c>
      <c r="K210" s="14" t="inlineStr">
        <is>
          <t>This workbook, sheet Ref System parameters</t>
        </is>
      </c>
      <c r="L210" s="14" t="inlineStr">
        <is>
          <t>16-Jul-2027 (T-24 weeks)</t>
        </is>
      </c>
      <c r="M210" s="14" t="n"/>
      <c r="N210" s="14" t="n"/>
      <c r="O210" s="14" t="n"/>
      <c r="P210" s="14" t="inlineStr">
        <is>
          <t>Not started</t>
        </is>
      </c>
      <c r="Q210" s="14" t="n"/>
    </row>
    <row r="211">
      <c r="A211" s="14" t="inlineStr">
        <is>
          <t>RNW_CHANNEL_SIMULATOR_OUTAGE</t>
        </is>
      </c>
      <c r="B211" s="14" t="inlineStr">
        <is>
          <t>Renewal</t>
        </is>
      </c>
      <c r="C211" s="14" t="inlineStr">
        <is>
          <t>Renewal</t>
        </is>
      </c>
      <c r="D211" s="14" t="inlineStr">
        <is>
          <t>Drop 1</t>
        </is>
      </c>
      <c r="E211" s="14" t="inlineStr">
        <is>
          <t>Product Owner, Renewal</t>
        </is>
      </c>
      <c r="F211" s="14" t="inlineStr">
        <is>
          <t>Channels the simulator reports unavailable (CCM, MFT), to test an outage in SIT and UAT</t>
        </is>
      </c>
      <c r="G211" s="14" t="inlineStr">
        <is>
          <t>code list</t>
        </is>
      </c>
      <c r="H211" s="14" t="inlineStr">
        <is>
          <t>(blank)</t>
        </is>
      </c>
      <c r="I211" s="14" t="inlineStr"/>
      <c r="J211" s="14" t="inlineStr">
        <is>
          <t>Template</t>
        </is>
      </c>
      <c r="K211" s="14" t="inlineStr">
        <is>
          <t>This workbook, sheet Ref System parameters</t>
        </is>
      </c>
      <c r="L211" s="14" t="inlineStr">
        <is>
          <t>16-Jul-2027 (T-24 weeks)</t>
        </is>
      </c>
      <c r="M211" s="14" t="n"/>
      <c r="N211" s="14" t="n"/>
      <c r="O211" s="14" t="n"/>
      <c r="P211" s="14" t="inlineStr">
        <is>
          <t>Not started</t>
        </is>
      </c>
      <c r="Q211" s="14" t="n"/>
    </row>
    <row r="212">
      <c r="A212" s="14" t="inlineStr">
        <is>
          <t>RNW_CLEAN_AUTO_RENEWAL</t>
        </is>
      </c>
      <c r="B212" s="14" t="inlineStr">
        <is>
          <t>Renewal</t>
        </is>
      </c>
      <c r="C212" s="14" t="inlineStr">
        <is>
          <t>Renewal</t>
        </is>
      </c>
      <c r="D212" s="14" t="inlineStr">
        <is>
          <t>Drop 1</t>
        </is>
      </c>
      <c r="E212" s="14" t="inlineStr">
        <is>
          <t>Product Owner, Renewal</t>
        </is>
      </c>
      <c r="F212" s="14" t="inlineStr">
        <is>
          <t>Clean renewal accounts are disposed For Renewal automatically and posted (true), or wait for the disposition of Marketing (false)</t>
        </is>
      </c>
      <c r="G212" s="14" t="inlineStr">
        <is>
          <t>boolean</t>
        </is>
      </c>
      <c r="H212" s="14" t="inlineStr">
        <is>
          <t>true</t>
        </is>
      </c>
      <c r="I212" s="14" t="inlineStr"/>
      <c r="J212" s="14" t="inlineStr">
        <is>
          <t>Template</t>
        </is>
      </c>
      <c r="K212" s="14" t="inlineStr">
        <is>
          <t>This workbook, sheet Ref System parameters</t>
        </is>
      </c>
      <c r="L212" s="14" t="inlineStr">
        <is>
          <t>16-Jul-2027 (T-24 weeks)</t>
        </is>
      </c>
      <c r="M212" s="14" t="n"/>
      <c r="N212" s="14" t="n"/>
      <c r="O212" s="14" t="n"/>
      <c r="P212" s="14" t="inlineStr">
        <is>
          <t>Not started</t>
        </is>
      </c>
      <c r="Q212" s="14" t="n"/>
    </row>
    <row r="213">
      <c r="A213" s="14" t="inlineStr">
        <is>
          <t>RNW_CLPC_BILLING_DAYS_BEFORE</t>
        </is>
      </c>
      <c r="B213" s="14" t="inlineStr">
        <is>
          <t>Renewal</t>
        </is>
      </c>
      <c r="C213" s="14" t="inlineStr">
        <is>
          <t>Renewal</t>
        </is>
      </c>
      <c r="D213" s="14" t="inlineStr">
        <is>
          <t>Drop 1</t>
        </is>
      </c>
      <c r="E213" s="14" t="inlineStr">
        <is>
          <t>Product Owner, Renewal</t>
        </is>
      </c>
      <c r="F213" s="14" t="inlineStr">
        <is>
          <t>Days before expiry at which the daily billing job puts a CBG Home account For Billing Generation in the CLPC billing file</t>
        </is>
      </c>
      <c r="G213" s="14" t="inlineStr">
        <is>
          <t>integer</t>
        </is>
      </c>
      <c r="H213" s="14" t="inlineStr">
        <is>
          <t>10</t>
        </is>
      </c>
      <c r="I213" s="14" t="inlineStr">
        <is>
          <t>0 to 120</t>
        </is>
      </c>
      <c r="J213" s="14" t="inlineStr">
        <is>
          <t>Template</t>
        </is>
      </c>
      <c r="K213" s="14" t="inlineStr">
        <is>
          <t>This workbook, sheet Ref System parameters</t>
        </is>
      </c>
      <c r="L213" s="14" t="inlineStr">
        <is>
          <t>16-Jul-2027 (T-24 weeks)</t>
        </is>
      </c>
      <c r="M213" s="14" t="n"/>
      <c r="N213" s="14" t="n"/>
      <c r="O213" s="14" t="n"/>
      <c r="P213" s="14" t="inlineStr">
        <is>
          <t>Not started</t>
        </is>
      </c>
      <c r="Q213" s="14" t="n"/>
    </row>
    <row r="214">
      <c r="A214" s="14" t="inlineStr">
        <is>
          <t>RNW_CLPC_BILLING_RECIPIENTS</t>
        </is>
      </c>
      <c r="B214" s="14" t="inlineStr">
        <is>
          <t>Renewal</t>
        </is>
      </c>
      <c r="C214" s="14" t="inlineStr">
        <is>
          <t>Renewal</t>
        </is>
      </c>
      <c r="D214" s="14" t="inlineStr">
        <is>
          <t>Drop 1</t>
        </is>
      </c>
      <c r="E214" s="14" t="inlineStr">
        <is>
          <t>Product Owner, Renewal</t>
        </is>
      </c>
      <c r="F214" s="14" t="inlineStr">
        <is>
          <t>Recipients of the CLPC billing files, separated by commas</t>
        </is>
      </c>
      <c r="G214" s="14" t="inlineStr">
        <is>
          <t>string</t>
        </is>
      </c>
      <c r="H214" s="14" t="inlineStr">
        <is>
          <t>(blank)</t>
        </is>
      </c>
      <c r="I214" s="14" t="inlineStr"/>
      <c r="J214" s="14" t="inlineStr">
        <is>
          <t>Template</t>
        </is>
      </c>
      <c r="K214" s="14" t="inlineStr">
        <is>
          <t>This workbook, sheet Ref System parameters</t>
        </is>
      </c>
      <c r="L214" s="14" t="inlineStr">
        <is>
          <t>16-Jul-2027 (T-24 weeks)</t>
        </is>
      </c>
      <c r="M214" s="14" t="n"/>
      <c r="N214" s="14" t="n"/>
      <c r="O214" s="14" t="n"/>
      <c r="P214" s="14" t="inlineStr">
        <is>
          <t>Not started</t>
        </is>
      </c>
      <c r="Q214" s="14" t="n"/>
    </row>
    <row r="215">
      <c r="A215" s="14" t="inlineStr">
        <is>
          <t>RNW_CLPC_FFY_DAYS</t>
        </is>
      </c>
      <c r="B215" s="14" t="inlineStr">
        <is>
          <t>Renewal</t>
        </is>
      </c>
      <c r="C215" s="14" t="inlineStr">
        <is>
          <t>Renewal</t>
        </is>
      </c>
      <c r="D215" s="14" t="inlineStr">
        <is>
          <t>Drop 1</t>
        </is>
      </c>
      <c r="E215" s="14" t="inlineStr">
        <is>
          <t>Product Owner, Renewal</t>
        </is>
      </c>
      <c r="F215" s="14" t="inlineStr">
        <is>
          <t>Days of the month on which the billing job puts the FFY Motor accounts For Billing Generation in the CLPC billing file</t>
        </is>
      </c>
      <c r="G215" s="14" t="inlineStr">
        <is>
          <t>code list</t>
        </is>
      </c>
      <c r="H215" s="14" t="inlineStr">
        <is>
          <t>10,25</t>
        </is>
      </c>
      <c r="I215" s="14" t="inlineStr"/>
      <c r="J215" s="14" t="inlineStr">
        <is>
          <t>Template</t>
        </is>
      </c>
      <c r="K215" s="14" t="inlineStr">
        <is>
          <t>This workbook, sheet Ref System parameters</t>
        </is>
      </c>
      <c r="L215" s="14" t="inlineStr">
        <is>
          <t>16-Jul-2027 (T-24 weeks)</t>
        </is>
      </c>
      <c r="M215" s="14" t="n"/>
      <c r="N215" s="14" t="n"/>
      <c r="O215" s="14" t="n"/>
      <c r="P215" s="14" t="inlineStr">
        <is>
          <t>Not started</t>
        </is>
      </c>
      <c r="Q215" s="14" t="n"/>
    </row>
    <row r="216">
      <c r="A216" s="14" t="inlineStr">
        <is>
          <t>RNW_CORPORATE_SEGMENTS</t>
        </is>
      </c>
      <c r="B216" s="14" t="inlineStr">
        <is>
          <t>Renewal</t>
        </is>
      </c>
      <c r="C216" s="14" t="inlineStr">
        <is>
          <t>Renewal</t>
        </is>
      </c>
      <c r="D216" s="14" t="inlineStr">
        <is>
          <t>Drop 1</t>
        </is>
      </c>
      <c r="E216" s="14" t="inlineStr">
        <is>
          <t>Product Owner, Renewal</t>
        </is>
      </c>
      <c r="F216" s="14" t="inlineStr">
        <is>
          <t>Market segments budgeted by team and sub-team (Corporate); the others are budgeted by region</t>
        </is>
      </c>
      <c r="G216" s="14" t="inlineStr">
        <is>
          <t>code list</t>
        </is>
      </c>
      <c r="H216" s="14" t="inlineStr">
        <is>
          <t>CORBANK,COMBANK</t>
        </is>
      </c>
      <c r="I216" s="14" t="inlineStr"/>
      <c r="J216" s="14" t="inlineStr">
        <is>
          <t>Template</t>
        </is>
      </c>
      <c r="K216" s="14" t="inlineStr">
        <is>
          <t>This workbook, sheet Ref System parameters</t>
        </is>
      </c>
      <c r="L216" s="14" t="inlineStr">
        <is>
          <t>16-Jul-2027 (T-24 weeks)</t>
        </is>
      </c>
      <c r="M216" s="14" t="n"/>
      <c r="N216" s="14" t="n"/>
      <c r="O216" s="14" t="n"/>
      <c r="P216" s="14" t="inlineStr">
        <is>
          <t>Not started</t>
        </is>
      </c>
      <c r="Q216" s="14" t="n"/>
    </row>
    <row r="217">
      <c r="A217" s="14" t="inlineStr">
        <is>
          <t>RNW_CTPL_RISK_CODES</t>
        </is>
      </c>
      <c r="B217" s="14" t="inlineStr">
        <is>
          <t>Renewal</t>
        </is>
      </c>
      <c r="C217" s="14" t="inlineStr">
        <is>
          <t>Renewal</t>
        </is>
      </c>
      <c r="D217" s="14" t="inlineStr">
        <is>
          <t>Drop 1</t>
        </is>
      </c>
      <c r="E217" s="14" t="inlineStr">
        <is>
          <t>Product Owner, Renewal</t>
        </is>
      </c>
      <c r="F217" s="14" t="inlineStr">
        <is>
          <t>Risk codes of the compulsory third party liability policies (renewed at their expiring values)</t>
        </is>
      </c>
      <c r="G217" s="14" t="inlineStr">
        <is>
          <t>code list</t>
        </is>
      </c>
      <c r="H217" s="14" t="inlineStr">
        <is>
          <t>CTP01</t>
        </is>
      </c>
      <c r="I217" s="14" t="inlineStr"/>
      <c r="J217" s="14" t="inlineStr">
        <is>
          <t>Template</t>
        </is>
      </c>
      <c r="K217" s="14" t="inlineStr">
        <is>
          <t>This workbook, sheet Ref System parameters</t>
        </is>
      </c>
      <c r="L217" s="14" t="inlineStr">
        <is>
          <t>16-Jul-2027 (T-24 weeks)</t>
        </is>
      </c>
      <c r="M217" s="14" t="n"/>
      <c r="N217" s="14" t="n"/>
      <c r="O217" s="14" t="n"/>
      <c r="P217" s="14" t="inlineStr">
        <is>
          <t>Not started</t>
        </is>
      </c>
      <c r="Q217" s="14" t="n"/>
    </row>
    <row r="218">
      <c r="A218" s="14" t="inlineStr">
        <is>
          <t>RNW_DELIVERY_CHANNEL</t>
        </is>
      </c>
      <c r="B218" s="14" t="inlineStr">
        <is>
          <t>Renewal</t>
        </is>
      </c>
      <c r="C218" s="14" t="inlineStr">
        <is>
          <t>Renewal</t>
        </is>
      </c>
      <c r="D218" s="14" t="inlineStr">
        <is>
          <t>Drop 1</t>
        </is>
      </c>
      <c r="E218" s="14" t="inlineStr">
        <is>
          <t>Product Owner, Renewal</t>
        </is>
      </c>
      <c r="F218" s="14" t="inlineStr">
        <is>
          <t>Channel of the client documents (Renewal Advice, letters, proposals, Insurance Advice, e-policies): CCM, or EMAIL (protected e-mail with the password in a separate e-mail)</t>
        </is>
      </c>
      <c r="G218" s="14" t="inlineStr">
        <is>
          <t>string</t>
        </is>
      </c>
      <c r="H218" s="14" t="inlineStr">
        <is>
          <t>CCM</t>
        </is>
      </c>
      <c r="I218" s="14" t="inlineStr"/>
      <c r="J218" s="14" t="inlineStr">
        <is>
          <t>Template</t>
        </is>
      </c>
      <c r="K218" s="14" t="inlineStr">
        <is>
          <t>This workbook, sheet Ref System parameters</t>
        </is>
      </c>
      <c r="L218" s="14" t="inlineStr">
        <is>
          <t>16-Jul-2027 (T-24 weeks)</t>
        </is>
      </c>
      <c r="M218" s="14" t="n"/>
      <c r="N218" s="14" t="n"/>
      <c r="O218" s="14" t="n"/>
      <c r="P218" s="14" t="inlineStr">
        <is>
          <t>Not started</t>
        </is>
      </c>
      <c r="Q218" s="14" t="n"/>
    </row>
    <row r="219">
      <c r="A219" s="14" t="inlineStr">
        <is>
          <t>RNW_DISPOSITION_SET</t>
        </is>
      </c>
      <c r="B219" s="14" t="inlineStr">
        <is>
          <t>Renewal</t>
        </is>
      </c>
      <c r="C219" s="14" t="inlineStr">
        <is>
          <t>Renewal</t>
        </is>
      </c>
      <c r="D219" s="14" t="inlineStr">
        <is>
          <t>Drop 1</t>
        </is>
      </c>
      <c r="E219" s="14" t="inlineStr">
        <is>
          <t>Product Owner, Renewal</t>
        </is>
      </c>
      <c r="F219" s="14" t="inlineStr">
        <is>
          <t>Dispositions offered to Marketing: SYSTEM (For Renewal, Not for Renewal, For Quotation, For Proposal, Lost Business) or CLIENT (the first four, Lost Business being a reason of Not for Renewal)</t>
        </is>
      </c>
      <c r="G219" s="14" t="inlineStr">
        <is>
          <t>string</t>
        </is>
      </c>
      <c r="H219" s="14" t="inlineStr">
        <is>
          <t>SYSTEM</t>
        </is>
      </c>
      <c r="I219" s="14" t="inlineStr"/>
      <c r="J219" s="14" t="inlineStr">
        <is>
          <t>Template</t>
        </is>
      </c>
      <c r="K219" s="14" t="inlineStr">
        <is>
          <t>This workbook, sheet Ref System parameters</t>
        </is>
      </c>
      <c r="L219" s="14" t="inlineStr">
        <is>
          <t>16-Jul-2027 (T-24 weeks)</t>
        </is>
      </c>
      <c r="M219" s="14" t="n"/>
      <c r="N219" s="14" t="n"/>
      <c r="O219" s="14" t="n"/>
      <c r="P219" s="14" t="inlineStr">
        <is>
          <t>Not started</t>
        </is>
      </c>
      <c r="Q219" s="14" t="n"/>
    </row>
    <row r="220">
      <c r="A220" s="14" t="inlineStr">
        <is>
          <t>RNW_DUPLICATE_CRITERIA</t>
        </is>
      </c>
      <c r="B220" s="14" t="inlineStr">
        <is>
          <t>Renewal</t>
        </is>
      </c>
      <c r="C220" s="14" t="inlineStr">
        <is>
          <t>Renewal</t>
        </is>
      </c>
      <c r="D220" s="14" t="inlineStr">
        <is>
          <t>Drop 1</t>
        </is>
      </c>
      <c r="E220" s="14" t="inlineStr">
        <is>
          <t>Product Owner, Renewal</t>
        </is>
      </c>
      <c r="F220" s="14" t="inlineStr">
        <is>
          <t>Duplicate criteria per product line (LINE:CRITERIA+CRITERIA; * for every line) among CLIENT, RISK_CODE, PN and EXPIRING_POLICY</t>
        </is>
      </c>
      <c r="G220" s="14" t="inlineStr">
        <is>
          <t>string</t>
        </is>
      </c>
      <c r="H220" s="14" t="inlineStr">
        <is>
          <t>*:EXPIRING_POLICY+PN</t>
        </is>
      </c>
      <c r="I220" s="14" t="inlineStr"/>
      <c r="J220" s="14" t="inlineStr">
        <is>
          <t>Template</t>
        </is>
      </c>
      <c r="K220" s="14" t="inlineStr">
        <is>
          <t>This workbook, sheet Ref System parameters</t>
        </is>
      </c>
      <c r="L220" s="14" t="inlineStr">
        <is>
          <t>16-Jul-2027 (T-24 weeks)</t>
        </is>
      </c>
      <c r="M220" s="14" t="n"/>
      <c r="N220" s="14" t="n"/>
      <c r="O220" s="14" t="n"/>
      <c r="P220" s="14" t="inlineStr">
        <is>
          <t>Not started</t>
        </is>
      </c>
      <c r="Q220" s="14" t="n"/>
    </row>
    <row r="221">
      <c r="A221" s="14" t="inlineStr">
        <is>
          <t>RNW_DUPLICATE_MIN_MATCH</t>
        </is>
      </c>
      <c r="B221" s="14" t="inlineStr">
        <is>
          <t>Renewal</t>
        </is>
      </c>
      <c r="C221" s="14" t="inlineStr">
        <is>
          <t>Renewal</t>
        </is>
      </c>
      <c r="D221" s="14" t="inlineStr">
        <is>
          <t>Drop 1</t>
        </is>
      </c>
      <c r="E221" s="14" t="inlineStr">
        <is>
          <t>Product Owner, Renewal</t>
        </is>
      </c>
      <c r="F221" s="14" t="inlineStr">
        <is>
          <t>Number of the duplicate criteria that must match for a potential duplicate (all of them is an exact duplicate)</t>
        </is>
      </c>
      <c r="G221" s="14" t="inlineStr">
        <is>
          <t>integer</t>
        </is>
      </c>
      <c r="H221" s="14" t="inlineStr">
        <is>
          <t>1</t>
        </is>
      </c>
      <c r="I221" s="14" t="inlineStr">
        <is>
          <t>1 to 4</t>
        </is>
      </c>
      <c r="J221" s="14" t="inlineStr">
        <is>
          <t>Template</t>
        </is>
      </c>
      <c r="K221" s="14" t="inlineStr">
        <is>
          <t>This workbook, sheet Ref System parameters</t>
        </is>
      </c>
      <c r="L221" s="14" t="inlineStr">
        <is>
          <t>16-Jul-2027 (T-24 weeks)</t>
        </is>
      </c>
      <c r="M221" s="14" t="n"/>
      <c r="N221" s="14" t="n"/>
      <c r="O221" s="14" t="n"/>
      <c r="P221" s="14" t="inlineStr">
        <is>
          <t>Not started</t>
        </is>
      </c>
      <c r="Q221" s="14" t="n"/>
    </row>
    <row r="222">
      <c r="A222" s="14" t="inlineStr">
        <is>
          <t>RNW_ENDORSEMENT_ROUTE</t>
        </is>
      </c>
      <c r="B222" s="14" t="inlineStr">
        <is>
          <t>Renewal</t>
        </is>
      </c>
      <c r="C222" s="14" t="inlineStr">
        <is>
          <t>Renewal</t>
        </is>
      </c>
      <c r="D222" s="14" t="inlineStr">
        <is>
          <t>Drop 1</t>
        </is>
      </c>
      <c r="E222" s="14" t="inlineStr">
        <is>
          <t>Product Owner, Renewal</t>
        </is>
      </c>
      <c r="F222" s="14" t="inlineStr">
        <is>
          <t>Endorsements of the expiring term: ANY (every endorsement routes the renewal account to Review) or IN_PROGRESS (only an endorsement in progress)</t>
        </is>
      </c>
      <c r="G222" s="14" t="inlineStr">
        <is>
          <t>string</t>
        </is>
      </c>
      <c r="H222" s="14" t="inlineStr">
        <is>
          <t>ANY</t>
        </is>
      </c>
      <c r="I222" s="14" t="inlineStr"/>
      <c r="J222" s="14" t="inlineStr">
        <is>
          <t>Template</t>
        </is>
      </c>
      <c r="K222" s="14" t="inlineStr">
        <is>
          <t>This workbook, sheet Ref System parameters</t>
        </is>
      </c>
      <c r="L222" s="14" t="inlineStr">
        <is>
          <t>16-Jul-2027 (T-24 weeks)</t>
        </is>
      </c>
      <c r="M222" s="14" t="n"/>
      <c r="N222" s="14" t="n"/>
      <c r="O222" s="14" t="n"/>
      <c r="P222" s="14" t="inlineStr">
        <is>
          <t>Not started</t>
        </is>
      </c>
      <c r="Q222" s="14" t="n"/>
    </row>
    <row r="223">
      <c r="A223" s="14" t="inlineStr">
        <is>
          <t>RNW_ESCALATION_DAYS</t>
        </is>
      </c>
      <c r="B223" s="14" t="inlineStr">
        <is>
          <t>Renewal</t>
        </is>
      </c>
      <c r="C223" s="14" t="inlineStr">
        <is>
          <t>Renewal</t>
        </is>
      </c>
      <c r="D223" s="14" t="inlineStr">
        <is>
          <t>Drop 1</t>
        </is>
      </c>
      <c r="E223" s="14" t="inlineStr">
        <is>
          <t>Product Owner, Renewal</t>
        </is>
      </c>
      <c r="F223" s="14" t="inlineStr">
        <is>
          <t>Days to expiry at which an account not disposed or not accepted is at risk, per segment (* = others)</t>
        </is>
      </c>
      <c r="G223" s="14" t="inlineStr">
        <is>
          <t>string</t>
        </is>
      </c>
      <c r="H223" s="14" t="inlineStr">
        <is>
          <t>IBG=60,LEASING=60,*=30</t>
        </is>
      </c>
      <c r="I223" s="14" t="inlineStr"/>
      <c r="J223" s="14" t="inlineStr">
        <is>
          <t>Template</t>
        </is>
      </c>
      <c r="K223" s="14" t="inlineStr">
        <is>
          <t>This workbook, sheet Ref System parameters</t>
        </is>
      </c>
      <c r="L223" s="14" t="inlineStr">
        <is>
          <t>16-Jul-2027 (T-24 weeks)</t>
        </is>
      </c>
      <c r="M223" s="14" t="n"/>
      <c r="N223" s="14" t="n"/>
      <c r="O223" s="14" t="n"/>
      <c r="P223" s="14" t="inlineStr">
        <is>
          <t>Not started</t>
        </is>
      </c>
      <c r="Q223" s="14" t="n"/>
    </row>
    <row r="224">
      <c r="A224" s="14" t="inlineStr">
        <is>
          <t>RNW_EXCEPTION_AGEING_DAYS</t>
        </is>
      </c>
      <c r="B224" s="14" t="inlineStr">
        <is>
          <t>Renewal</t>
        </is>
      </c>
      <c r="C224" s="14" t="inlineStr">
        <is>
          <t>Renewal</t>
        </is>
      </c>
      <c r="D224" s="14" t="inlineStr">
        <is>
          <t>Drop 1</t>
        </is>
      </c>
      <c r="E224" s="14" t="inlineStr">
        <is>
          <t>Product Owner, Renewal</t>
        </is>
      </c>
      <c r="F224" s="14" t="inlineStr">
        <is>
          <t>Working days a renewal may stay in the Exception bucket before its stage owner is alerted</t>
        </is>
      </c>
      <c r="G224" s="14" t="inlineStr">
        <is>
          <t>integer</t>
        </is>
      </c>
      <c r="H224" s="14" t="inlineStr">
        <is>
          <t>5</t>
        </is>
      </c>
      <c r="I224" s="14" t="inlineStr">
        <is>
          <t>1 to 90</t>
        </is>
      </c>
      <c r="J224" s="14" t="inlineStr">
        <is>
          <t>Template</t>
        </is>
      </c>
      <c r="K224" s="14" t="inlineStr">
        <is>
          <t>This workbook, sheet Ref System parameters</t>
        </is>
      </c>
      <c r="L224" s="14" t="inlineStr">
        <is>
          <t>16-Jul-2027 (T-24 weeks)</t>
        </is>
      </c>
      <c r="M224" s="14" t="n"/>
      <c r="N224" s="14" t="n"/>
      <c r="O224" s="14" t="n"/>
      <c r="P224" s="14" t="inlineStr">
        <is>
          <t>Not started</t>
        </is>
      </c>
      <c r="Q224" s="14" t="n"/>
    </row>
    <row r="225">
      <c r="A225" s="14" t="inlineStr">
        <is>
          <t>RNW_EXCLUDED_LINES</t>
        </is>
      </c>
      <c r="B225" s="14" t="inlineStr">
        <is>
          <t>Renewal</t>
        </is>
      </c>
      <c r="C225" s="14" t="inlineStr">
        <is>
          <t>Renewal</t>
        </is>
      </c>
      <c r="D225" s="14" t="inlineStr">
        <is>
          <t>Drop 1</t>
        </is>
      </c>
      <c r="E225" s="14" t="inlineStr">
        <is>
          <t>Product Owner, Renewal</t>
        </is>
      </c>
      <c r="F225" s="14" t="inlineStr">
        <is>
          <t>Product lines never extracted for renewal (renewed as Employee Benefits programmes)</t>
        </is>
      </c>
      <c r="G225" s="14" t="inlineStr">
        <is>
          <t>code list</t>
        </is>
      </c>
      <c r="H225" s="14" t="inlineStr">
        <is>
          <t>HMO,GLI,GPA</t>
        </is>
      </c>
      <c r="I225" s="14" t="inlineStr"/>
      <c r="J225" s="14" t="inlineStr">
        <is>
          <t>Template</t>
        </is>
      </c>
      <c r="K225" s="14" t="inlineStr">
        <is>
          <t>This workbook, sheet Ref System parameters</t>
        </is>
      </c>
      <c r="L225" s="14" t="inlineStr">
        <is>
          <t>16-Jul-2027 (T-24 weeks)</t>
        </is>
      </c>
      <c r="M225" s="14" t="n"/>
      <c r="N225" s="14" t="n"/>
      <c r="O225" s="14" t="n"/>
      <c r="P225" s="14" t="inlineStr">
        <is>
          <t>Not started</t>
        </is>
      </c>
      <c r="Q225" s="14" t="n"/>
    </row>
    <row r="226">
      <c r="A226" s="14" t="inlineStr">
        <is>
          <t>RNW_EXTRACTION_LEAD_DAYS</t>
        </is>
      </c>
      <c r="B226" s="14" t="inlineStr">
        <is>
          <t>Renewal</t>
        </is>
      </c>
      <c r="C226" s="14" t="inlineStr">
        <is>
          <t>Renewal</t>
        </is>
      </c>
      <c r="D226" s="14" t="inlineStr">
        <is>
          <t>Drop 1</t>
        </is>
      </c>
      <c r="E226" s="14" t="inlineStr">
        <is>
          <t>Product Owner, Renewal</t>
        </is>
      </c>
      <c r="F226" s="14" t="inlineStr">
        <is>
          <t>Days before expiry at which the daily extraction takes a policy</t>
        </is>
      </c>
      <c r="G226" s="14" t="inlineStr">
        <is>
          <t>integer</t>
        </is>
      </c>
      <c r="H226" s="14" t="inlineStr">
        <is>
          <t>140</t>
        </is>
      </c>
      <c r="I226" s="14" t="inlineStr">
        <is>
          <t>1 to 400</t>
        </is>
      </c>
      <c r="J226" s="14" t="inlineStr">
        <is>
          <t>Template</t>
        </is>
      </c>
      <c r="K226" s="14" t="inlineStr">
        <is>
          <t>This workbook, sheet Ref System parameters</t>
        </is>
      </c>
      <c r="L226" s="14" t="inlineStr">
        <is>
          <t>16-Jul-2027 (T-24 weeks)</t>
        </is>
      </c>
      <c r="M226" s="14" t="n"/>
      <c r="N226" s="14" t="n"/>
      <c r="O226" s="14" t="n"/>
      <c r="P226" s="14" t="inlineStr">
        <is>
          <t>Not started</t>
        </is>
      </c>
      <c r="Q226" s="14" t="n"/>
    </row>
    <row r="227">
      <c r="A227" s="14" t="inlineStr">
        <is>
          <t>RNW_EXTRACTION_LEAD_DAYS_BY_SEGMENT</t>
        </is>
      </c>
      <c r="B227" s="14" t="inlineStr">
        <is>
          <t>Renewal</t>
        </is>
      </c>
      <c r="C227" s="14" t="inlineStr">
        <is>
          <t>Renewal</t>
        </is>
      </c>
      <c r="D227" s="14" t="inlineStr">
        <is>
          <t>Drop 1</t>
        </is>
      </c>
      <c r="E227" s="14" t="inlineStr">
        <is>
          <t>Product Owner, Renewal</t>
        </is>
      </c>
      <c r="F227" s="14" t="inlineStr">
        <is>
          <t>Lead days per market segment, e.g. CBG=150,IBG=120; empty = the general lead days</t>
        </is>
      </c>
      <c r="G227" s="14" t="inlineStr">
        <is>
          <t>string</t>
        </is>
      </c>
      <c r="H227" s="14" t="inlineStr">
        <is>
          <t>(blank)</t>
        </is>
      </c>
      <c r="I227" s="14" t="inlineStr"/>
      <c r="J227" s="14" t="inlineStr">
        <is>
          <t>Template</t>
        </is>
      </c>
      <c r="K227" s="14" t="inlineStr">
        <is>
          <t>This workbook, sheet Ref System parameters</t>
        </is>
      </c>
      <c r="L227" s="14" t="inlineStr">
        <is>
          <t>16-Jul-2027 (T-24 weeks)</t>
        </is>
      </c>
      <c r="M227" s="14" t="n"/>
      <c r="N227" s="14" t="n"/>
      <c r="O227" s="14" t="n"/>
      <c r="P227" s="14" t="inlineStr">
        <is>
          <t>Not started</t>
        </is>
      </c>
      <c r="Q227" s="14" t="n"/>
    </row>
    <row r="228">
      <c r="A228" s="14" t="inlineStr">
        <is>
          <t>RNW_FILE_NAMES</t>
        </is>
      </c>
      <c r="B228" s="14" t="inlineStr">
        <is>
          <t>Renewal</t>
        </is>
      </c>
      <c r="C228" s="14" t="inlineStr">
        <is>
          <t>Renewal</t>
        </is>
      </c>
      <c r="D228" s="14" t="inlineStr">
        <is>
          <t>Drop 1</t>
        </is>
      </c>
      <c r="E228" s="14" t="inlineStr">
        <is>
          <t>Product Owner, Renewal</t>
        </is>
      </c>
      <c r="F228" s="14" t="inlineStr">
        <is>
          <t>Names of the generated files: CLIENT (&lt;Product&gt;_RA_&lt;Notice&gt;_&lt;Reference&gt;_MMDDYYYY.pdf, &lt;Product&gt;_&lt;Letter&gt;_&lt;Reference&gt;_MMDDYYYY.pdf) or SYSTEM (the letter number)</t>
        </is>
      </c>
      <c r="G228" s="14" t="inlineStr">
        <is>
          <t>string</t>
        </is>
      </c>
      <c r="H228" s="14" t="inlineStr">
        <is>
          <t>CLIENT</t>
        </is>
      </c>
      <c r="I228" s="14" t="inlineStr"/>
      <c r="J228" s="14" t="inlineStr">
        <is>
          <t>Template</t>
        </is>
      </c>
      <c r="K228" s="14" t="inlineStr">
        <is>
          <t>This workbook, sheet Ref System parameters</t>
        </is>
      </c>
      <c r="L228" s="14" t="inlineStr">
        <is>
          <t>16-Jul-2027 (T-24 weeks)</t>
        </is>
      </c>
      <c r="M228" s="14" t="n"/>
      <c r="N228" s="14" t="n"/>
      <c r="O228" s="14" t="n"/>
      <c r="P228" s="14" t="inlineStr">
        <is>
          <t>Not started</t>
        </is>
      </c>
      <c r="Q228" s="14" t="n"/>
    </row>
    <row r="229">
      <c r="A229" s="14" t="inlineStr">
        <is>
          <t>RNW_FIN_IMPACT_TOLERANCE</t>
        </is>
      </c>
      <c r="B229" s="14" t="inlineStr">
        <is>
          <t>Renewal</t>
        </is>
      </c>
      <c r="C229" s="14" t="inlineStr">
        <is>
          <t>Renewal</t>
        </is>
      </c>
      <c r="D229" s="14" t="inlineStr">
        <is>
          <t>Drop 1</t>
        </is>
      </c>
      <c r="E229" s="14" t="inlineStr">
        <is>
          <t>Product Owner, Renewal</t>
        </is>
      </c>
      <c r="F229" s="14" t="inlineStr">
        <is>
          <t>Difference in premium, sum insured or rate above which a renewal has a financial impact</t>
        </is>
      </c>
      <c r="G229" s="14" t="inlineStr">
        <is>
          <t>decimal</t>
        </is>
      </c>
      <c r="H229" s="14" t="inlineStr">
        <is>
          <t>0.00</t>
        </is>
      </c>
      <c r="I229" s="14" t="inlineStr">
        <is>
          <t>0 to -</t>
        </is>
      </c>
      <c r="J229" s="14" t="inlineStr">
        <is>
          <t>Template</t>
        </is>
      </c>
      <c r="K229" s="14" t="inlineStr">
        <is>
          <t>This workbook, sheet Ref System parameters</t>
        </is>
      </c>
      <c r="L229" s="14" t="inlineStr">
        <is>
          <t>16-Jul-2027 (T-24 weeks)</t>
        </is>
      </c>
      <c r="M229" s="14" t="n"/>
      <c r="N229" s="14" t="n"/>
      <c r="O229" s="14" t="n"/>
      <c r="P229" s="14" t="inlineStr">
        <is>
          <t>Not started</t>
        </is>
      </c>
      <c r="Q229" s="14" t="n"/>
    </row>
    <row r="230">
      <c r="A230" s="14" t="inlineStr">
        <is>
          <t>RNW_HOLD_COVER_AUTO_NON_CBG</t>
        </is>
      </c>
      <c r="B230" s="14" t="inlineStr">
        <is>
          <t>Renewal</t>
        </is>
      </c>
      <c r="C230" s="14" t="inlineStr">
        <is>
          <t>Renewal</t>
        </is>
      </c>
      <c r="D230" s="14" t="inlineStr">
        <is>
          <t>Drop 1</t>
        </is>
      </c>
      <c r="E230" s="14" t="inlineStr">
        <is>
          <t>Product Owner, Renewal</t>
        </is>
      </c>
      <c r="F230" s="14" t="inlineStr">
        <is>
          <t>The hold cover of a Non-CBG renewal account is requested automatically once the client confirms the renewal, one request per insurer</t>
        </is>
      </c>
      <c r="G230" s="14" t="inlineStr">
        <is>
          <t>boolean</t>
        </is>
      </c>
      <c r="H230" s="14" t="inlineStr">
        <is>
          <t>true</t>
        </is>
      </c>
      <c r="I230" s="14" t="inlineStr"/>
      <c r="J230" s="14" t="inlineStr">
        <is>
          <t>Template</t>
        </is>
      </c>
      <c r="K230" s="14" t="inlineStr">
        <is>
          <t>This workbook, sheet Ref System parameters</t>
        </is>
      </c>
      <c r="L230" s="14" t="inlineStr">
        <is>
          <t>16-Jul-2027 (T-24 weeks)</t>
        </is>
      </c>
      <c r="M230" s="14" t="n"/>
      <c r="N230" s="14" t="n"/>
      <c r="O230" s="14" t="n"/>
      <c r="P230" s="14" t="inlineStr">
        <is>
          <t>Not started</t>
        </is>
      </c>
      <c r="Q230" s="14" t="n"/>
    </row>
    <row r="231">
      <c r="A231" s="14" t="inlineStr">
        <is>
          <t>RNW_HOLD_COVER_CBG_DAYS_BEFORE</t>
        </is>
      </c>
      <c r="B231" s="14" t="inlineStr">
        <is>
          <t>Renewal</t>
        </is>
      </c>
      <c r="C231" s="14" t="inlineStr">
        <is>
          <t>Renewal</t>
        </is>
      </c>
      <c r="D231" s="14" t="inlineStr">
        <is>
          <t>Drop 1</t>
        </is>
      </c>
      <c r="E231" s="14" t="inlineStr">
        <is>
          <t>Product Owner, Renewal</t>
        </is>
      </c>
      <c r="F231" s="14" t="inlineStr">
        <is>
          <t>Days before expiry at which the hold cover of the Clean CBG renewal accounts is requested, one file per insurer</t>
        </is>
      </c>
      <c r="G231" s="14" t="inlineStr">
        <is>
          <t>integer</t>
        </is>
      </c>
      <c r="H231" s="14" t="inlineStr">
        <is>
          <t>75</t>
        </is>
      </c>
      <c r="I231" s="14" t="inlineStr">
        <is>
          <t>1 to 365</t>
        </is>
      </c>
      <c r="J231" s="14" t="inlineStr">
        <is>
          <t>Template</t>
        </is>
      </c>
      <c r="K231" s="14" t="inlineStr">
        <is>
          <t>This workbook, sheet Ref System parameters</t>
        </is>
      </c>
      <c r="L231" s="14" t="inlineStr">
        <is>
          <t>16-Jul-2027 (T-24 weeks)</t>
        </is>
      </c>
      <c r="M231" s="14" t="n"/>
      <c r="N231" s="14" t="n"/>
      <c r="O231" s="14" t="n"/>
      <c r="P231" s="14" t="inlineStr">
        <is>
          <t>Not started</t>
        </is>
      </c>
      <c r="Q231" s="14" t="n"/>
    </row>
    <row r="232">
      <c r="A232" s="14" t="inlineStr">
        <is>
          <t>RNW_HOLD_COVER_CBG_HOME_EXTENSION</t>
        </is>
      </c>
      <c r="B232" s="14" t="inlineStr">
        <is>
          <t>Renewal</t>
        </is>
      </c>
      <c r="C232" s="14" t="inlineStr">
        <is>
          <t>Renewal</t>
        </is>
      </c>
      <c r="D232" s="14" t="inlineStr">
        <is>
          <t>Drop 1</t>
        </is>
      </c>
      <c r="E232" s="14" t="inlineStr">
        <is>
          <t>Product Owner, Renewal</t>
        </is>
      </c>
      <c r="F232" s="14" t="inlineStr">
        <is>
          <t>Days of the monthly hold cover extension of the CBG Home accounts</t>
        </is>
      </c>
      <c r="G232" s="14" t="inlineStr">
        <is>
          <t>integer</t>
        </is>
      </c>
      <c r="H232" s="14" t="inlineStr">
        <is>
          <t>30</t>
        </is>
      </c>
      <c r="I232" s="14" t="inlineStr">
        <is>
          <t>1 to 365</t>
        </is>
      </c>
      <c r="J232" s="14" t="inlineStr">
        <is>
          <t>Template</t>
        </is>
      </c>
      <c r="K232" s="14" t="inlineStr">
        <is>
          <t>This workbook, sheet Ref System parameters</t>
        </is>
      </c>
      <c r="L232" s="14" t="inlineStr">
        <is>
          <t>16-Jul-2027 (T-24 weeks)</t>
        </is>
      </c>
      <c r="M232" s="14" t="n"/>
      <c r="N232" s="14" t="n"/>
      <c r="O232" s="14" t="n"/>
      <c r="P232" s="14" t="inlineStr">
        <is>
          <t>Not started</t>
        </is>
      </c>
      <c r="Q232" s="14" t="n"/>
    </row>
    <row r="233">
      <c r="A233" s="14" t="inlineStr">
        <is>
          <t>RNW_HOLD_COVER_CBG_HOME_EXTENSION_DAY</t>
        </is>
      </c>
      <c r="B233" s="14" t="inlineStr">
        <is>
          <t>Renewal</t>
        </is>
      </c>
      <c r="C233" s="14" t="inlineStr">
        <is>
          <t>Renewal</t>
        </is>
      </c>
      <c r="D233" s="14" t="inlineStr">
        <is>
          <t>Drop 1</t>
        </is>
      </c>
      <c r="E233" s="14" t="inlineStr">
        <is>
          <t>Product Owner, Renewal</t>
        </is>
      </c>
      <c r="F233" s="14" t="inlineStr">
        <is>
          <t>Day of the month on which the expired and unbooked CBG Home accounts receive a hold cover extension</t>
        </is>
      </c>
      <c r="G233" s="14" t="inlineStr">
        <is>
          <t>integer</t>
        </is>
      </c>
      <c r="H233" s="14" t="inlineStr">
        <is>
          <t>15</t>
        </is>
      </c>
      <c r="I233" s="14" t="inlineStr">
        <is>
          <t>1 to 28</t>
        </is>
      </c>
      <c r="J233" s="14" t="inlineStr">
        <is>
          <t>Template</t>
        </is>
      </c>
      <c r="K233" s="14" t="inlineStr">
        <is>
          <t>This workbook, sheet Ref System parameters</t>
        </is>
      </c>
      <c r="L233" s="14" t="inlineStr">
        <is>
          <t>16-Jul-2027 (T-24 weeks)</t>
        </is>
      </c>
      <c r="M233" s="14" t="n"/>
      <c r="N233" s="14" t="n"/>
      <c r="O233" s="14" t="n"/>
      <c r="P233" s="14" t="inlineStr">
        <is>
          <t>Not started</t>
        </is>
      </c>
      <c r="Q233" s="14" t="n"/>
    </row>
    <row r="234">
      <c r="A234" s="14" t="inlineStr">
        <is>
          <t>RNW_HOLD_COVER_DAYS</t>
        </is>
      </c>
      <c r="B234" s="14" t="inlineStr">
        <is>
          <t>Renewal</t>
        </is>
      </c>
      <c r="C234" s="14" t="inlineStr">
        <is>
          <t>Renewal</t>
        </is>
      </c>
      <c r="D234" s="14" t="inlineStr">
        <is>
          <t>Drop 1</t>
        </is>
      </c>
      <c r="E234" s="14" t="inlineStr">
        <is>
          <t>Product Owner, Renewal</t>
        </is>
      </c>
      <c r="F234" s="14" t="inlineStr">
        <is>
          <t>Durations in days offered for the hold cover of a renewal; the first is the default</t>
        </is>
      </c>
      <c r="G234" s="14" t="inlineStr">
        <is>
          <t>integer list</t>
        </is>
      </c>
      <c r="H234" s="14" t="inlineStr">
        <is>
          <t>30,60</t>
        </is>
      </c>
      <c r="I234" s="14" t="inlineStr"/>
      <c r="J234" s="14" t="inlineStr">
        <is>
          <t>Template</t>
        </is>
      </c>
      <c r="K234" s="14" t="inlineStr">
        <is>
          <t>This workbook, sheet Ref System parameters</t>
        </is>
      </c>
      <c r="L234" s="14" t="inlineStr">
        <is>
          <t>16-Jul-2027 (T-24 weeks)</t>
        </is>
      </c>
      <c r="M234" s="14" t="n"/>
      <c r="N234" s="14" t="n"/>
      <c r="O234" s="14" t="n"/>
      <c r="P234" s="14" t="inlineStr">
        <is>
          <t>Not started</t>
        </is>
      </c>
      <c r="Q234" s="14" t="n"/>
    </row>
    <row r="235">
      <c r="A235" s="14" t="inlineStr">
        <is>
          <t>RNW_HOLD_COVER_DAYS_CBG</t>
        </is>
      </c>
      <c r="B235" s="14" t="inlineStr">
        <is>
          <t>Renewal</t>
        </is>
      </c>
      <c r="C235" s="14" t="inlineStr">
        <is>
          <t>Renewal</t>
        </is>
      </c>
      <c r="D235" s="14" t="inlineStr">
        <is>
          <t>Drop 1</t>
        </is>
      </c>
      <c r="E235" s="14" t="inlineStr">
        <is>
          <t>Product Owner, Renewal</t>
        </is>
      </c>
      <c r="F235" s="14" t="inlineStr">
        <is>
          <t>Default duration of the hold cover of a CBG renewal account, in days</t>
        </is>
      </c>
      <c r="G235" s="14" t="inlineStr">
        <is>
          <t>integer</t>
        </is>
      </c>
      <c r="H235" s="14" t="inlineStr">
        <is>
          <t>90</t>
        </is>
      </c>
      <c r="I235" s="14" t="inlineStr">
        <is>
          <t>1 to 365</t>
        </is>
      </c>
      <c r="J235" s="14" t="inlineStr">
        <is>
          <t>Template</t>
        </is>
      </c>
      <c r="K235" s="14" t="inlineStr">
        <is>
          <t>This workbook, sheet Ref System parameters</t>
        </is>
      </c>
      <c r="L235" s="14" t="inlineStr">
        <is>
          <t>16-Jul-2027 (T-24 weeks)</t>
        </is>
      </c>
      <c r="M235" s="14" t="n"/>
      <c r="N235" s="14" t="n"/>
      <c r="O235" s="14" t="n"/>
      <c r="P235" s="14" t="inlineStr">
        <is>
          <t>Not started</t>
        </is>
      </c>
      <c r="Q235" s="14" t="n"/>
    </row>
    <row r="236">
      <c r="A236" s="14" t="inlineStr">
        <is>
          <t>RNW_HOLD_COVER_DAYS_CBG_HOME_TRANSFER</t>
        </is>
      </c>
      <c r="B236" s="14" t="inlineStr">
        <is>
          <t>Renewal</t>
        </is>
      </c>
      <c r="C236" s="14" t="inlineStr">
        <is>
          <t>Renewal</t>
        </is>
      </c>
      <c r="D236" s="14" t="inlineStr">
        <is>
          <t>Drop 1</t>
        </is>
      </c>
      <c r="E236" s="14" t="inlineStr">
        <is>
          <t>Product Owner, Renewal</t>
        </is>
      </c>
      <c r="F236" s="14" t="inlineStr">
        <is>
          <t>Duration of the hold cover of a CBG Home account moved to another insurer after a rejection, in days</t>
        </is>
      </c>
      <c r="G236" s="14" t="inlineStr">
        <is>
          <t>integer</t>
        </is>
      </c>
      <c r="H236" s="14" t="inlineStr">
        <is>
          <t>30</t>
        </is>
      </c>
      <c r="I236" s="14" t="inlineStr">
        <is>
          <t>1 to 365</t>
        </is>
      </c>
      <c r="J236" s="14" t="inlineStr">
        <is>
          <t>Template</t>
        </is>
      </c>
      <c r="K236" s="14" t="inlineStr">
        <is>
          <t>This workbook, sheet Ref System parameters</t>
        </is>
      </c>
      <c r="L236" s="14" t="inlineStr">
        <is>
          <t>16-Jul-2027 (T-24 weeks)</t>
        </is>
      </c>
      <c r="M236" s="14" t="n"/>
      <c r="N236" s="14" t="n"/>
      <c r="O236" s="14" t="n"/>
      <c r="P236" s="14" t="inlineStr">
        <is>
          <t>Not started</t>
        </is>
      </c>
      <c r="Q236" s="14" t="n"/>
    </row>
    <row r="237">
      <c r="A237" s="14" t="inlineStr">
        <is>
          <t>RNW_HOLD_COVER_DAYS_CBG_MOTOR_TRANSFER</t>
        </is>
      </c>
      <c r="B237" s="14" t="inlineStr">
        <is>
          <t>Renewal</t>
        </is>
      </c>
      <c r="C237" s="14" t="inlineStr">
        <is>
          <t>Renewal</t>
        </is>
      </c>
      <c r="D237" s="14" t="inlineStr">
        <is>
          <t>Drop 1</t>
        </is>
      </c>
      <c r="E237" s="14" t="inlineStr">
        <is>
          <t>Product Owner, Renewal</t>
        </is>
      </c>
      <c r="F237" s="14" t="inlineStr">
        <is>
          <t>Duration of the hold cover of a CBG Motor account moved to another insurer after a rejection, in days</t>
        </is>
      </c>
      <c r="G237" s="14" t="inlineStr">
        <is>
          <t>integer</t>
        </is>
      </c>
      <c r="H237" s="14" t="inlineStr">
        <is>
          <t>60</t>
        </is>
      </c>
      <c r="I237" s="14" t="inlineStr">
        <is>
          <t>1 to 365</t>
        </is>
      </c>
      <c r="J237" s="14" t="inlineStr">
        <is>
          <t>Template</t>
        </is>
      </c>
      <c r="K237" s="14" t="inlineStr">
        <is>
          <t>This workbook, sheet Ref System parameters</t>
        </is>
      </c>
      <c r="L237" s="14" t="inlineStr">
        <is>
          <t>16-Jul-2027 (T-24 weeks)</t>
        </is>
      </c>
      <c r="M237" s="14" t="n"/>
      <c r="N237" s="14" t="n"/>
      <c r="O237" s="14" t="n"/>
      <c r="P237" s="14" t="inlineStr">
        <is>
          <t>Not started</t>
        </is>
      </c>
      <c r="Q237" s="14" t="n"/>
    </row>
    <row r="238">
      <c r="A238" s="14" t="inlineStr">
        <is>
          <t>RNW_HOLD_COVER_DAYS_NON_CBG</t>
        </is>
      </c>
      <c r="B238" s="14" t="inlineStr">
        <is>
          <t>Renewal</t>
        </is>
      </c>
      <c r="C238" s="14" t="inlineStr">
        <is>
          <t>Renewal</t>
        </is>
      </c>
      <c r="D238" s="14" t="inlineStr">
        <is>
          <t>Drop 1</t>
        </is>
      </c>
      <c r="E238" s="14" t="inlineStr">
        <is>
          <t>Product Owner, Renewal</t>
        </is>
      </c>
      <c r="F238" s="14" t="inlineStr">
        <is>
          <t>Default duration of the hold cover of a Non-CBG renewal account, in days</t>
        </is>
      </c>
      <c r="G238" s="14" t="inlineStr">
        <is>
          <t>integer</t>
        </is>
      </c>
      <c r="H238" s="14" t="inlineStr">
        <is>
          <t>30</t>
        </is>
      </c>
      <c r="I238" s="14" t="inlineStr">
        <is>
          <t>1 to 365</t>
        </is>
      </c>
      <c r="J238" s="14" t="inlineStr">
        <is>
          <t>Template</t>
        </is>
      </c>
      <c r="K238" s="14" t="inlineStr">
        <is>
          <t>This workbook, sheet Ref System parameters</t>
        </is>
      </c>
      <c r="L238" s="14" t="inlineStr">
        <is>
          <t>16-Jul-2027 (T-24 weeks)</t>
        </is>
      </c>
      <c r="M238" s="14" t="n"/>
      <c r="N238" s="14" t="n"/>
      <c r="O238" s="14" t="n"/>
      <c r="P238" s="14" t="inlineStr">
        <is>
          <t>Not started</t>
        </is>
      </c>
      <c r="Q238" s="14" t="n"/>
    </row>
    <row r="239">
      <c r="A239" s="14" t="inlineStr">
        <is>
          <t>RNW_HOLD_COVER_EXPIRING_DAYS</t>
        </is>
      </c>
      <c r="B239" s="14" t="inlineStr">
        <is>
          <t>Renewal</t>
        </is>
      </c>
      <c r="C239" s="14" t="inlineStr">
        <is>
          <t>Renewal</t>
        </is>
      </c>
      <c r="D239" s="14" t="inlineStr">
        <is>
          <t>Drop 1</t>
        </is>
      </c>
      <c r="E239" s="14" t="inlineStr">
        <is>
          <t>Product Owner, Renewal</t>
        </is>
      </c>
      <c r="F239" s="14" t="inlineStr">
        <is>
          <t>KPI card Expiring Hold Cover: confirmed hold covers ending within this number of days</t>
        </is>
      </c>
      <c r="G239" s="14" t="inlineStr">
        <is>
          <t>integer</t>
        </is>
      </c>
      <c r="H239" s="14" t="inlineStr">
        <is>
          <t>7</t>
        </is>
      </c>
      <c r="I239" s="14" t="inlineStr">
        <is>
          <t>1 to 90</t>
        </is>
      </c>
      <c r="J239" s="14" t="inlineStr">
        <is>
          <t>Template</t>
        </is>
      </c>
      <c r="K239" s="14" t="inlineStr">
        <is>
          <t>This workbook, sheet Ref System parameters</t>
        </is>
      </c>
      <c r="L239" s="14" t="inlineStr">
        <is>
          <t>16-Jul-2027 (T-24 weeks)</t>
        </is>
      </c>
      <c r="M239" s="14" t="n"/>
      <c r="N239" s="14" t="n"/>
      <c r="O239" s="14" t="n"/>
      <c r="P239" s="14" t="inlineStr">
        <is>
          <t>Not started</t>
        </is>
      </c>
      <c r="Q239" s="14" t="n"/>
    </row>
    <row r="240">
      <c r="A240" s="14" t="inlineStr">
        <is>
          <t>RNW_HOLD_COVER_EXTENSION_DAYS</t>
        </is>
      </c>
      <c r="B240" s="14" t="inlineStr">
        <is>
          <t>Renewal</t>
        </is>
      </c>
      <c r="C240" s="14" t="inlineStr">
        <is>
          <t>Renewal</t>
        </is>
      </c>
      <c r="D240" s="14" t="inlineStr">
        <is>
          <t>Drop 1</t>
        </is>
      </c>
      <c r="E240" s="14" t="inlineStr">
        <is>
          <t>Product Owner, Renewal</t>
        </is>
      </c>
      <c r="F240" s="14" t="inlineStr">
        <is>
          <t>Durations offered for the extension of a hold cover, in days</t>
        </is>
      </c>
      <c r="G240" s="14" t="inlineStr">
        <is>
          <t>integer list</t>
        </is>
      </c>
      <c r="H240" s="14" t="inlineStr">
        <is>
          <t>15,30</t>
        </is>
      </c>
      <c r="I240" s="14" t="inlineStr"/>
      <c r="J240" s="14" t="inlineStr">
        <is>
          <t>Template</t>
        </is>
      </c>
      <c r="K240" s="14" t="inlineStr">
        <is>
          <t>This workbook, sheet Ref System parameters</t>
        </is>
      </c>
      <c r="L240" s="14" t="inlineStr">
        <is>
          <t>16-Jul-2027 (T-24 weeks)</t>
        </is>
      </c>
      <c r="M240" s="14" t="n"/>
      <c r="N240" s="14" t="n"/>
      <c r="O240" s="14" t="n"/>
      <c r="P240" s="14" t="inlineStr">
        <is>
          <t>Not started</t>
        </is>
      </c>
      <c r="Q240" s="14" t="n"/>
    </row>
    <row r="241">
      <c r="A241" s="14" t="inlineStr">
        <is>
          <t>RNW_HOLD_COVER_EXTENSION_WINDOW</t>
        </is>
      </c>
      <c r="B241" s="14" t="inlineStr">
        <is>
          <t>Renewal</t>
        </is>
      </c>
      <c r="C241" s="14" t="inlineStr">
        <is>
          <t>Renewal</t>
        </is>
      </c>
      <c r="D241" s="14" t="inlineStr">
        <is>
          <t>Drop 1</t>
        </is>
      </c>
      <c r="E241" s="14" t="inlineStr">
        <is>
          <t>Product Owner, Renewal</t>
        </is>
      </c>
      <c r="F241" s="14" t="inlineStr">
        <is>
          <t>Days before the end of a hold cover from which its extension can be requested</t>
        </is>
      </c>
      <c r="G241" s="14" t="inlineStr">
        <is>
          <t>integer</t>
        </is>
      </c>
      <c r="H241" s="14" t="inlineStr">
        <is>
          <t>7</t>
        </is>
      </c>
      <c r="I241" s="14" t="inlineStr">
        <is>
          <t>1 to 60</t>
        </is>
      </c>
      <c r="J241" s="14" t="inlineStr">
        <is>
          <t>Template</t>
        </is>
      </c>
      <c r="K241" s="14" t="inlineStr">
        <is>
          <t>This workbook, sheet Ref System parameters</t>
        </is>
      </c>
      <c r="L241" s="14" t="inlineStr">
        <is>
          <t>16-Jul-2027 (T-24 weeks)</t>
        </is>
      </c>
      <c r="M241" s="14" t="n"/>
      <c r="N241" s="14" t="n"/>
      <c r="O241" s="14" t="n"/>
      <c r="P241" s="14" t="inlineStr">
        <is>
          <t>Not started</t>
        </is>
      </c>
      <c r="Q241" s="14" t="n"/>
    </row>
    <row r="242">
      <c r="A242" s="14" t="inlineStr">
        <is>
          <t>RNW_INSURANCE_ADVICE_AUTO</t>
        </is>
      </c>
      <c r="B242" s="14" t="inlineStr">
        <is>
          <t>Renewal</t>
        </is>
      </c>
      <c r="C242" s="14" t="inlineStr">
        <is>
          <t>Renewal</t>
        </is>
      </c>
      <c r="D242" s="14" t="inlineStr">
        <is>
          <t>Drop 1</t>
        </is>
      </c>
      <c r="E242" s="14" t="inlineStr">
        <is>
          <t>Product Owner, Renewal</t>
        </is>
      </c>
      <c r="F242" s="14" t="inlineStr">
        <is>
          <t>The Insurance Advice of a mortgaged renewal account is generated when its placement is sent to the insurer, and again when the placement changes</t>
        </is>
      </c>
      <c r="G242" s="14" t="inlineStr">
        <is>
          <t>boolean</t>
        </is>
      </c>
      <c r="H242" s="14" t="inlineStr">
        <is>
          <t>true</t>
        </is>
      </c>
      <c r="I242" s="14" t="inlineStr"/>
      <c r="J242" s="14" t="inlineStr">
        <is>
          <t>Template</t>
        </is>
      </c>
      <c r="K242" s="14" t="inlineStr">
        <is>
          <t>This workbook, sheet Ref System parameters</t>
        </is>
      </c>
      <c r="L242" s="14" t="inlineStr">
        <is>
          <t>16-Jul-2027 (T-24 weeks)</t>
        </is>
      </c>
      <c r="M242" s="14" t="n"/>
      <c r="N242" s="14" t="n"/>
      <c r="O242" s="14" t="n"/>
      <c r="P242" s="14" t="inlineStr">
        <is>
          <t>Not started</t>
        </is>
      </c>
      <c r="Q242" s="14" t="n"/>
    </row>
    <row r="243">
      <c r="A243" s="14" t="inlineStr">
        <is>
          <t>RNW_INSURER_REPLY_DAYS</t>
        </is>
      </c>
      <c r="B243" s="14" t="inlineStr">
        <is>
          <t>Renewal</t>
        </is>
      </c>
      <c r="C243" s="14" t="inlineStr">
        <is>
          <t>Renewal</t>
        </is>
      </c>
      <c r="D243" s="14" t="inlineStr">
        <is>
          <t>Drop 1</t>
        </is>
      </c>
      <c r="E243" s="14" t="inlineStr">
        <is>
          <t>Product Owner, Renewal</t>
        </is>
      </c>
      <c r="F243" s="14" t="inlineStr">
        <is>
          <t>Days the insurer has to answer a renewal batch</t>
        </is>
      </c>
      <c r="G243" s="14" t="inlineStr">
        <is>
          <t>integer</t>
        </is>
      </c>
      <c r="H243" s="14" t="inlineStr">
        <is>
          <t>10</t>
        </is>
      </c>
      <c r="I243" s="14" t="inlineStr">
        <is>
          <t>1 to 90</t>
        </is>
      </c>
      <c r="J243" s="14" t="inlineStr">
        <is>
          <t>Template</t>
        </is>
      </c>
      <c r="K243" s="14" t="inlineStr">
        <is>
          <t>This workbook, sheet Ref System parameters</t>
        </is>
      </c>
      <c r="L243" s="14" t="inlineStr">
        <is>
          <t>16-Jul-2027 (T-24 weeks)</t>
        </is>
      </c>
      <c r="M243" s="14" t="n"/>
      <c r="N243" s="14" t="n"/>
      <c r="O243" s="14" t="n"/>
      <c r="P243" s="14" t="inlineStr">
        <is>
          <t>Not started</t>
        </is>
      </c>
      <c r="Q243" s="14" t="n"/>
    </row>
    <row r="244">
      <c r="A244" s="14" t="inlineStr">
        <is>
          <t>RNW_INVOICE_NO_REASONS</t>
        </is>
      </c>
      <c r="B244" s="14" t="inlineStr">
        <is>
          <t>Renewal</t>
        </is>
      </c>
      <c r="C244" s="14" t="inlineStr">
        <is>
          <t>Renewal</t>
        </is>
      </c>
      <c r="D244" s="14" t="inlineStr">
        <is>
          <t>Drop 1</t>
        </is>
      </c>
      <c r="E244" s="14" t="inlineStr">
        <is>
          <t>Product Owner, Renewal</t>
        </is>
      </c>
      <c r="F244" s="14" t="inlineStr">
        <is>
          <t>Reasons for Not for Renewal that need the number of the new invoice</t>
        </is>
      </c>
      <c r="G244" s="14" t="inlineStr">
        <is>
          <t>code list</t>
        </is>
      </c>
      <c r="H244" s="14" t="inlineStr">
        <is>
          <t>BOOKED_TO_NEW_INVOICE</t>
        </is>
      </c>
      <c r="I244" s="14" t="inlineStr"/>
      <c r="J244" s="14" t="inlineStr">
        <is>
          <t>Template</t>
        </is>
      </c>
      <c r="K244" s="14" t="inlineStr">
        <is>
          <t>This workbook, sheet Ref System parameters</t>
        </is>
      </c>
      <c r="L244" s="14" t="inlineStr">
        <is>
          <t>16-Jul-2027 (T-24 weeks)</t>
        </is>
      </c>
      <c r="M244" s="14" t="n"/>
      <c r="N244" s="14" t="n"/>
      <c r="O244" s="14" t="n"/>
      <c r="P244" s="14" t="inlineStr">
        <is>
          <t>Not started</t>
        </is>
      </c>
      <c r="Q244" s="14" t="n"/>
    </row>
    <row r="245">
      <c r="A245" s="14" t="inlineStr">
        <is>
          <t>RNW_KYC_CLIENT_TYPES</t>
        </is>
      </c>
      <c r="B245" s="14" t="inlineStr">
        <is>
          <t>Renewal</t>
        </is>
      </c>
      <c r="C245" s="14" t="inlineStr">
        <is>
          <t>Renewal</t>
        </is>
      </c>
      <c r="D245" s="14" t="inlineStr">
        <is>
          <t>Drop 1</t>
        </is>
      </c>
      <c r="E245" s="14" t="inlineStr">
        <is>
          <t>Product Owner, Renewal</t>
        </is>
      </c>
      <c r="F245" s="14" t="inlineStr">
        <is>
          <t>Clients monitored for KYC review: BANK (bank clients), NON_BANK (other clients)</t>
        </is>
      </c>
      <c r="G245" s="14" t="inlineStr">
        <is>
          <t>code list</t>
        </is>
      </c>
      <c r="H245" s="14" t="inlineStr">
        <is>
          <t>BANK,NON_BANK</t>
        </is>
      </c>
      <c r="I245" s="14" t="inlineStr"/>
      <c r="J245" s="14" t="inlineStr">
        <is>
          <t>Template</t>
        </is>
      </c>
      <c r="K245" s="14" t="inlineStr">
        <is>
          <t>This workbook, sheet Ref System parameters</t>
        </is>
      </c>
      <c r="L245" s="14" t="inlineStr">
        <is>
          <t>16-Jul-2027 (T-24 weeks)</t>
        </is>
      </c>
      <c r="M245" s="14" t="n"/>
      <c r="N245" s="14" t="n"/>
      <c r="O245" s="14" t="n"/>
      <c r="P245" s="14" t="inlineStr">
        <is>
          <t>Not started</t>
        </is>
      </c>
      <c r="Q245" s="14" t="n"/>
    </row>
    <row r="246">
      <c r="A246" s="14" t="inlineStr">
        <is>
          <t>RNW_KYC_PRODUCTS</t>
        </is>
      </c>
      <c r="B246" s="14" t="inlineStr">
        <is>
          <t>Renewal</t>
        </is>
      </c>
      <c r="C246" s="14" t="inlineStr">
        <is>
          <t>Renewal</t>
        </is>
      </c>
      <c r="D246" s="14" t="inlineStr">
        <is>
          <t>Drop 1</t>
        </is>
      </c>
      <c r="E246" s="14" t="inlineStr">
        <is>
          <t>Product Owner, Renewal</t>
        </is>
      </c>
      <c r="F246" s="14" t="inlineStr">
        <is>
          <t>Products whose accounts are monitored for KYC review; blank for every product</t>
        </is>
      </c>
      <c r="G246" s="14" t="inlineStr">
        <is>
          <t>code list</t>
        </is>
      </c>
      <c r="H246" s="14" t="inlineStr">
        <is>
          <t>(blank)</t>
        </is>
      </c>
      <c r="I246" s="14" t="inlineStr"/>
      <c r="J246" s="14" t="inlineStr">
        <is>
          <t>Template</t>
        </is>
      </c>
      <c r="K246" s="14" t="inlineStr">
        <is>
          <t>This workbook, sheet Ref System parameters</t>
        </is>
      </c>
      <c r="L246" s="14" t="inlineStr">
        <is>
          <t>16-Jul-2027 (T-24 weeks)</t>
        </is>
      </c>
      <c r="M246" s="14" t="n"/>
      <c r="N246" s="14" t="n"/>
      <c r="O246" s="14" t="n"/>
      <c r="P246" s="14" t="inlineStr">
        <is>
          <t>Not started</t>
        </is>
      </c>
      <c r="Q246" s="14" t="n"/>
    </row>
    <row r="247">
      <c r="A247" s="14" t="inlineStr">
        <is>
          <t>RNW_KYC_SEGMENTS</t>
        </is>
      </c>
      <c r="B247" s="14" t="inlineStr">
        <is>
          <t>Renewal</t>
        </is>
      </c>
      <c r="C247" s="14" t="inlineStr">
        <is>
          <t>Renewal</t>
        </is>
      </c>
      <c r="D247" s="14" t="inlineStr">
        <is>
          <t>Drop 1</t>
        </is>
      </c>
      <c r="E247" s="14" t="inlineStr">
        <is>
          <t>Product Owner, Renewal</t>
        </is>
      </c>
      <c r="F247" s="14" t="inlineStr">
        <is>
          <t>Market segments where the KYC due flag applies; empty = all</t>
        </is>
      </c>
      <c r="G247" s="14" t="inlineStr">
        <is>
          <t>code list</t>
        </is>
      </c>
      <c r="H247" s="14" t="inlineStr">
        <is>
          <t>(blank)</t>
        </is>
      </c>
      <c r="I247" s="14" t="inlineStr"/>
      <c r="J247" s="14" t="inlineStr">
        <is>
          <t>Template</t>
        </is>
      </c>
      <c r="K247" s="14" t="inlineStr">
        <is>
          <t>This workbook, sheet Ref System parameters</t>
        </is>
      </c>
      <c r="L247" s="14" t="inlineStr">
        <is>
          <t>16-Jul-2027 (T-24 weeks)</t>
        </is>
      </c>
      <c r="M247" s="14" t="n"/>
      <c r="N247" s="14" t="n"/>
      <c r="O247" s="14" t="n"/>
      <c r="P247" s="14" t="inlineStr">
        <is>
          <t>Not started</t>
        </is>
      </c>
      <c r="Q247" s="14" t="n"/>
    </row>
    <row r="248">
      <c r="A248" s="14" t="inlineStr">
        <is>
          <t>RNW_KYC_UPCOMING_DAYS</t>
        </is>
      </c>
      <c r="B248" s="14" t="inlineStr">
        <is>
          <t>Renewal</t>
        </is>
      </c>
      <c r="C248" s="14" t="inlineStr">
        <is>
          <t>Renewal</t>
        </is>
      </c>
      <c r="D248" s="14" t="inlineStr">
        <is>
          <t>Drop 1</t>
        </is>
      </c>
      <c r="E248" s="14" t="inlineStr">
        <is>
          <t>Product Owner, Renewal</t>
        </is>
      </c>
      <c r="F248" s="14" t="inlineStr">
        <is>
          <t>Days ahead in which a KYC review date makes the account KYC Upcoming (inside the KYC due window it is KYC Due)</t>
        </is>
      </c>
      <c r="G248" s="14" t="inlineStr">
        <is>
          <t>integer</t>
        </is>
      </c>
      <c r="H248" s="14" t="inlineStr">
        <is>
          <t>60</t>
        </is>
      </c>
      <c r="I248" s="14" t="inlineStr">
        <is>
          <t>1 to 365</t>
        </is>
      </c>
      <c r="J248" s="14" t="inlineStr">
        <is>
          <t>Template</t>
        </is>
      </c>
      <c r="K248" s="14" t="inlineStr">
        <is>
          <t>This workbook, sheet Ref System parameters</t>
        </is>
      </c>
      <c r="L248" s="14" t="inlineStr">
        <is>
          <t>16-Jul-2027 (T-24 weeks)</t>
        </is>
      </c>
      <c r="M248" s="14" t="n"/>
      <c r="N248" s="14" t="n"/>
      <c r="O248" s="14" t="n"/>
      <c r="P248" s="14" t="inlineStr">
        <is>
          <t>Not started</t>
        </is>
      </c>
      <c r="Q248" s="14" t="n"/>
    </row>
    <row r="249">
      <c r="A249" s="14" t="inlineStr">
        <is>
          <t>RNW_LAMD_MOTOR_PRODUCTS</t>
        </is>
      </c>
      <c r="B249" s="14" t="inlineStr">
        <is>
          <t>Renewal</t>
        </is>
      </c>
      <c r="C249" s="14" t="inlineStr">
        <is>
          <t>Renewal</t>
        </is>
      </c>
      <c r="D249" s="14" t="inlineStr">
        <is>
          <t>Drop 1</t>
        </is>
      </c>
      <c r="E249" s="14" t="inlineStr">
        <is>
          <t>Product Owner, Renewal</t>
        </is>
      </c>
      <c r="F249" s="14" t="inlineStr">
        <is>
          <t>Words of the LAMD product description of a motor loan: its serial and motor numbers are required and matched</t>
        </is>
      </c>
      <c r="G249" s="14" t="inlineStr">
        <is>
          <t>code list</t>
        </is>
      </c>
      <c r="H249" s="14" t="inlineStr">
        <is>
          <t>AUTO,MOTOR,CAR</t>
        </is>
      </c>
      <c r="I249" s="14" t="inlineStr"/>
      <c r="J249" s="14" t="inlineStr">
        <is>
          <t>Template</t>
        </is>
      </c>
      <c r="K249" s="14" t="inlineStr">
        <is>
          <t>This workbook, sheet Ref System parameters</t>
        </is>
      </c>
      <c r="L249" s="14" t="inlineStr">
        <is>
          <t>16-Jul-2027 (T-24 weeks)</t>
        </is>
      </c>
      <c r="M249" s="14" t="n"/>
      <c r="N249" s="14" t="n"/>
      <c r="O249" s="14" t="n"/>
      <c r="P249" s="14" t="inlineStr">
        <is>
          <t>Not started</t>
        </is>
      </c>
      <c r="Q249" s="14" t="n"/>
    </row>
    <row r="250">
      <c r="A250" s="14" t="inlineStr">
        <is>
          <t>RNW_LMS_MODE</t>
        </is>
      </c>
      <c r="B250" s="14" t="inlineStr">
        <is>
          <t>Renewal</t>
        </is>
      </c>
      <c r="C250" s="14" t="inlineStr">
        <is>
          <t>Renewal</t>
        </is>
      </c>
      <c r="D250" s="14" t="inlineStr">
        <is>
          <t>Drop 1</t>
        </is>
      </c>
      <c r="E250" s="14" t="inlineStr">
        <is>
          <t>Product Owner, Renewal</t>
        </is>
      </c>
      <c r="F250" s="14" t="inlineStr">
        <is>
          <t>Upload of the billing files to the shared LMS directory: LIVE (the directory of the LMS interface), SIMULATOR (test environments) or OFF</t>
        </is>
      </c>
      <c r="G250" s="14" t="inlineStr">
        <is>
          <t>string</t>
        </is>
      </c>
      <c r="H250" s="14" t="inlineStr">
        <is>
          <t>SIMULATOR</t>
        </is>
      </c>
      <c r="I250" s="14" t="inlineStr"/>
      <c r="J250" s="14" t="inlineStr">
        <is>
          <t>Template</t>
        </is>
      </c>
      <c r="K250" s="14" t="inlineStr">
        <is>
          <t>This workbook, sheet Ref System parameters</t>
        </is>
      </c>
      <c r="L250" s="14" t="inlineStr">
        <is>
          <t>16-Jul-2027 (T-24 weeks)</t>
        </is>
      </c>
      <c r="M250" s="14" t="n"/>
      <c r="N250" s="14" t="n"/>
      <c r="O250" s="14" t="n"/>
      <c r="P250" s="14" t="inlineStr">
        <is>
          <t>Not started</t>
        </is>
      </c>
      <c r="Q250" s="14" t="n"/>
    </row>
    <row r="251">
      <c r="A251" s="14" t="inlineStr">
        <is>
          <t>RNW_LOCK_POINT</t>
        </is>
      </c>
      <c r="B251" s="14" t="inlineStr">
        <is>
          <t>Renewal</t>
        </is>
      </c>
      <c r="C251" s="14" t="inlineStr">
        <is>
          <t>Renewal</t>
        </is>
      </c>
      <c r="D251" s="14" t="inlineStr">
        <is>
          <t>Drop 1</t>
        </is>
      </c>
      <c r="E251" s="14" t="inlineStr">
        <is>
          <t>Product Owner, Renewal</t>
        </is>
      </c>
      <c r="F251" s="14" t="inlineStr">
        <is>
          <t>When Marketing can no longer change a renewal account: RA_GENERATION (when the Renewal Advice is generated) or PLACEMENT (once posted and the placement is sent)</t>
        </is>
      </c>
      <c r="G251" s="14" t="inlineStr">
        <is>
          <t>string</t>
        </is>
      </c>
      <c r="H251" s="14" t="inlineStr">
        <is>
          <t>RA_GENERATION</t>
        </is>
      </c>
      <c r="I251" s="14" t="inlineStr"/>
      <c r="J251" s="14" t="inlineStr">
        <is>
          <t>Template</t>
        </is>
      </c>
      <c r="K251" s="14" t="inlineStr">
        <is>
          <t>This workbook, sheet Ref System parameters</t>
        </is>
      </c>
      <c r="L251" s="14" t="inlineStr">
        <is>
          <t>16-Jul-2027 (T-24 weeks)</t>
        </is>
      </c>
      <c r="M251" s="14" t="n"/>
      <c r="N251" s="14" t="n"/>
      <c r="O251" s="14" t="n"/>
      <c r="P251" s="14" t="inlineStr">
        <is>
          <t>Not started</t>
        </is>
      </c>
      <c r="Q251" s="14" t="n"/>
    </row>
    <row r="252">
      <c r="A252" s="14" t="inlineStr">
        <is>
          <t>RNW_MANUAL_INCEPTION_OFFSET_DAYS</t>
        </is>
      </c>
      <c r="B252" s="14" t="inlineStr">
        <is>
          <t>Renewal</t>
        </is>
      </c>
      <c r="C252" s="14" t="inlineStr">
        <is>
          <t>Renewal</t>
        </is>
      </c>
      <c r="D252" s="14" t="inlineStr">
        <is>
          <t>Drop 1</t>
        </is>
      </c>
      <c r="E252" s="14" t="inlineStr">
        <is>
          <t>Product Owner, Renewal</t>
        </is>
      </c>
      <c r="F252" s="14" t="inlineStr">
        <is>
          <t>A renewal account created by hand starts this number of days after the expiry of the expiring account and runs one year</t>
        </is>
      </c>
      <c r="G252" s="14" t="inlineStr">
        <is>
          <t>integer</t>
        </is>
      </c>
      <c r="H252" s="14" t="inlineStr">
        <is>
          <t>1</t>
        </is>
      </c>
      <c r="I252" s="14" t="inlineStr">
        <is>
          <t>0 to 31</t>
        </is>
      </c>
      <c r="J252" s="14" t="inlineStr">
        <is>
          <t>Template</t>
        </is>
      </c>
      <c r="K252" s="14" t="inlineStr">
        <is>
          <t>This workbook, sheet Ref System parameters</t>
        </is>
      </c>
      <c r="L252" s="14" t="inlineStr">
        <is>
          <t>16-Jul-2027 (T-24 weeks)</t>
        </is>
      </c>
      <c r="M252" s="14" t="n"/>
      <c r="N252" s="14" t="n"/>
      <c r="O252" s="14" t="n"/>
      <c r="P252" s="14" t="inlineStr">
        <is>
          <t>Not started</t>
        </is>
      </c>
      <c r="Q252" s="14" t="n"/>
    </row>
    <row r="253">
      <c r="A253" s="14" t="inlineStr">
        <is>
          <t>RNW_MFT_COMPANY_CODE</t>
        </is>
      </c>
      <c r="B253" s="14" t="inlineStr">
        <is>
          <t>Renewal</t>
        </is>
      </c>
      <c r="C253" s="14" t="inlineStr">
        <is>
          <t>Renewal</t>
        </is>
      </c>
      <c r="D253" s="14" t="inlineStr">
        <is>
          <t>Drop 1</t>
        </is>
      </c>
      <c r="E253" s="14" t="inlineStr">
        <is>
          <t>Product Owner, Renewal</t>
        </is>
      </c>
      <c r="F253" s="14" t="inlineStr">
        <is>
          <t>Company that receives the files of the Renewal MFT inbox (company code); blank = the first company</t>
        </is>
      </c>
      <c r="G253" s="14" t="inlineStr">
        <is>
          <t>string</t>
        </is>
      </c>
      <c r="H253" s="14" t="inlineStr">
        <is>
          <t>(blank)</t>
        </is>
      </c>
      <c r="I253" s="14" t="inlineStr"/>
      <c r="J253" s="14" t="inlineStr">
        <is>
          <t>Template</t>
        </is>
      </c>
      <c r="K253" s="14" t="inlineStr">
        <is>
          <t>This workbook, sheet Ref System parameters</t>
        </is>
      </c>
      <c r="L253" s="14" t="inlineStr">
        <is>
          <t>16-Jul-2027 (T-24 weeks)</t>
        </is>
      </c>
      <c r="M253" s="14" t="n"/>
      <c r="N253" s="14" t="n"/>
      <c r="O253" s="14" t="n"/>
      <c r="P253" s="14" t="inlineStr">
        <is>
          <t>Not started</t>
        </is>
      </c>
      <c r="Q253" s="14" t="n"/>
    </row>
    <row r="254">
      <c r="A254" s="14" t="inlineStr">
        <is>
          <t>RNW_MFT_ENDPOINT</t>
        </is>
      </c>
      <c r="B254" s="14" t="inlineStr">
        <is>
          <t>Renewal</t>
        </is>
      </c>
      <c r="C254" s="14" t="inlineStr">
        <is>
          <t>Renewal</t>
        </is>
      </c>
      <c r="D254" s="14" t="inlineStr">
        <is>
          <t>Drop 1</t>
        </is>
      </c>
      <c r="E254" s="14" t="inlineStr">
        <is>
          <t>Product Owner, Renewal</t>
        </is>
      </c>
      <c r="F254" s="14" t="inlineStr">
        <is>
          <t>Address of the MFT server (given by the IT team of the bank)</t>
        </is>
      </c>
      <c r="G254" s="14" t="inlineStr">
        <is>
          <t>string</t>
        </is>
      </c>
      <c r="H254" s="14" t="inlineStr">
        <is>
          <t>(blank)</t>
        </is>
      </c>
      <c r="I254" s="14" t="inlineStr"/>
      <c r="J254" s="14" t="inlineStr">
        <is>
          <t>Template</t>
        </is>
      </c>
      <c r="K254" s="14" t="inlineStr">
        <is>
          <t>This workbook, sheet Ref System parameters</t>
        </is>
      </c>
      <c r="L254" s="14" t="inlineStr">
        <is>
          <t>16-Jul-2027 (T-24 weeks)</t>
        </is>
      </c>
      <c r="M254" s="14" t="n"/>
      <c r="N254" s="14" t="n"/>
      <c r="O254" s="14" t="n"/>
      <c r="P254" s="14" t="inlineStr">
        <is>
          <t>Not started</t>
        </is>
      </c>
      <c r="Q254" s="14" t="n"/>
    </row>
    <row r="255">
      <c r="A255" s="14" t="inlineStr">
        <is>
          <t>RNW_MFT_ENROLLED_INSURERS</t>
        </is>
      </c>
      <c r="B255" s="14" t="inlineStr">
        <is>
          <t>Renewal</t>
        </is>
      </c>
      <c r="C255" s="14" t="inlineStr">
        <is>
          <t>Renewal</t>
        </is>
      </c>
      <c r="D255" s="14" t="inlineStr">
        <is>
          <t>Drop 1</t>
        </is>
      </c>
      <c r="E255" s="14" t="inlineStr">
        <is>
          <t>Product Owner, Renewal</t>
        </is>
      </c>
      <c r="F255" s="14" t="inlineStr">
        <is>
          <t>Insurers enrolled in MFT: their hold cover requests, placement files and e-policies go through MFT, the others by e-mail</t>
        </is>
      </c>
      <c r="G255" s="14" t="inlineStr">
        <is>
          <t>code list</t>
        </is>
      </c>
      <c r="H255" s="14" t="inlineStr">
        <is>
          <t>(blank)</t>
        </is>
      </c>
      <c r="I255" s="14" t="inlineStr"/>
      <c r="J255" s="14" t="inlineStr">
        <is>
          <t>Template</t>
        </is>
      </c>
      <c r="K255" s="14" t="inlineStr">
        <is>
          <t>This workbook, sheet Ref System parameters</t>
        </is>
      </c>
      <c r="L255" s="14" t="inlineStr">
        <is>
          <t>16-Jul-2027 (T-24 weeks)</t>
        </is>
      </c>
      <c r="M255" s="14" t="n"/>
      <c r="N255" s="14" t="n"/>
      <c r="O255" s="14" t="n"/>
      <c r="P255" s="14" t="inlineStr">
        <is>
          <t>Not started</t>
        </is>
      </c>
      <c r="Q255" s="14" t="n"/>
    </row>
    <row r="256">
      <c r="A256" s="14" t="inlineStr">
        <is>
          <t>RNW_MFT_INBOUND_FOLDER</t>
        </is>
      </c>
      <c r="B256" s="14" t="inlineStr">
        <is>
          <t>Renewal</t>
        </is>
      </c>
      <c r="C256" s="14" t="inlineStr">
        <is>
          <t>Renewal</t>
        </is>
      </c>
      <c r="D256" s="14" t="inlineStr">
        <is>
          <t>Drop 1</t>
        </is>
      </c>
      <c r="E256" s="14" t="inlineStr">
        <is>
          <t>Product Owner, Renewal</t>
        </is>
      </c>
      <c r="F256" s="14" t="inlineStr">
        <is>
          <t>Folder of the files received from the insurers on MFT</t>
        </is>
      </c>
      <c r="G256" s="14" t="inlineStr">
        <is>
          <t>string</t>
        </is>
      </c>
      <c r="H256" s="14" t="inlineStr">
        <is>
          <t>/inbound</t>
        </is>
      </c>
      <c r="I256" s="14" t="inlineStr"/>
      <c r="J256" s="14" t="inlineStr">
        <is>
          <t>Template</t>
        </is>
      </c>
      <c r="K256" s="14" t="inlineStr">
        <is>
          <t>This workbook, sheet Ref System parameters</t>
        </is>
      </c>
      <c r="L256" s="14" t="inlineStr">
        <is>
          <t>16-Jul-2027 (T-24 weeks)</t>
        </is>
      </c>
      <c r="M256" s="14" t="n"/>
      <c r="N256" s="14" t="n"/>
      <c r="O256" s="14" t="n"/>
      <c r="P256" s="14" t="inlineStr">
        <is>
          <t>Not started</t>
        </is>
      </c>
      <c r="Q256" s="14" t="n"/>
    </row>
    <row r="257">
      <c r="A257" s="14" t="inlineStr">
        <is>
          <t>RNW_MFT_KEY_SETTING</t>
        </is>
      </c>
      <c r="B257" s="14" t="inlineStr">
        <is>
          <t>Renewal</t>
        </is>
      </c>
      <c r="C257" s="14" t="inlineStr">
        <is>
          <t>Renewal</t>
        </is>
      </c>
      <c r="D257" s="14" t="inlineStr">
        <is>
          <t>Drop 1</t>
        </is>
      </c>
      <c r="E257" s="14" t="inlineStr">
        <is>
          <t>Product Owner, Renewal</t>
        </is>
      </c>
      <c r="F257" s="14" t="inlineStr">
        <is>
          <t>Name of the environment setting that holds the MFT access key (kept by BDOI IT, never shown in BIBS)</t>
        </is>
      </c>
      <c r="G257" s="14" t="inlineStr">
        <is>
          <t>string</t>
        </is>
      </c>
      <c r="H257" s="14" t="inlineStr">
        <is>
          <t>BROKERVERSE_MFT_KEY</t>
        </is>
      </c>
      <c r="I257" s="14" t="inlineStr"/>
      <c r="J257" s="14" t="inlineStr">
        <is>
          <t>Template</t>
        </is>
      </c>
      <c r="K257" s="14" t="inlineStr">
        <is>
          <t>This workbook, sheet Ref System parameters</t>
        </is>
      </c>
      <c r="L257" s="14" t="inlineStr">
        <is>
          <t>16-Jul-2027 (T-24 weeks)</t>
        </is>
      </c>
      <c r="M257" s="14" t="n"/>
      <c r="N257" s="14" t="n"/>
      <c r="O257" s="14" t="n"/>
      <c r="P257" s="14" t="inlineStr">
        <is>
          <t>Not started</t>
        </is>
      </c>
      <c r="Q257" s="14" t="n"/>
    </row>
    <row r="258">
      <c r="A258" s="14" t="inlineStr">
        <is>
          <t>RNW_MFT_MODE</t>
        </is>
      </c>
      <c r="B258" s="14" t="inlineStr">
        <is>
          <t>Renewal</t>
        </is>
      </c>
      <c r="C258" s="14" t="inlineStr">
        <is>
          <t>Renewal</t>
        </is>
      </c>
      <c r="D258" s="14" t="inlineStr">
        <is>
          <t>Drop 1</t>
        </is>
      </c>
      <c r="E258" s="14" t="inlineStr">
        <is>
          <t>Product Owner, Renewal</t>
        </is>
      </c>
      <c r="F258" s="14" t="inlineStr">
        <is>
          <t>Connection of MFT: LIVE (the MFT server below) or SIMULATOR (the MFT simulator of SIT and UAT)</t>
        </is>
      </c>
      <c r="G258" s="14" t="inlineStr">
        <is>
          <t>string</t>
        </is>
      </c>
      <c r="H258" s="14" t="inlineStr">
        <is>
          <t>SIMULATOR</t>
        </is>
      </c>
      <c r="I258" s="14" t="inlineStr"/>
      <c r="J258" s="14" t="inlineStr">
        <is>
          <t>Template</t>
        </is>
      </c>
      <c r="K258" s="14" t="inlineStr">
        <is>
          <t>This workbook, sheet Ref System parameters</t>
        </is>
      </c>
      <c r="L258" s="14" t="inlineStr">
        <is>
          <t>16-Jul-2027 (T-24 weeks)</t>
        </is>
      </c>
      <c r="M258" s="14" t="n"/>
      <c r="N258" s="14" t="n"/>
      <c r="O258" s="14" t="n"/>
      <c r="P258" s="14" t="inlineStr">
        <is>
          <t>Not started</t>
        </is>
      </c>
      <c r="Q258" s="14" t="n"/>
    </row>
    <row r="259">
      <c r="A259" s="14" t="inlineStr">
        <is>
          <t>RNW_MFT_OUTBOUND_FOLDER</t>
        </is>
      </c>
      <c r="B259" s="14" t="inlineStr">
        <is>
          <t>Renewal</t>
        </is>
      </c>
      <c r="C259" s="14" t="inlineStr">
        <is>
          <t>Renewal</t>
        </is>
      </c>
      <c r="D259" s="14" t="inlineStr">
        <is>
          <t>Drop 1</t>
        </is>
      </c>
      <c r="E259" s="14" t="inlineStr">
        <is>
          <t>Product Owner, Renewal</t>
        </is>
      </c>
      <c r="F259" s="14" t="inlineStr">
        <is>
          <t>Folder of the files sent to the insurers on MFT</t>
        </is>
      </c>
      <c r="G259" s="14" t="inlineStr">
        <is>
          <t>string</t>
        </is>
      </c>
      <c r="H259" s="14" t="inlineStr">
        <is>
          <t>/outbound</t>
        </is>
      </c>
      <c r="I259" s="14" t="inlineStr"/>
      <c r="J259" s="14" t="inlineStr">
        <is>
          <t>Template</t>
        </is>
      </c>
      <c r="K259" s="14" t="inlineStr">
        <is>
          <t>This workbook, sheet Ref System parameters</t>
        </is>
      </c>
      <c r="L259" s="14" t="inlineStr">
        <is>
          <t>16-Jul-2027 (T-24 weeks)</t>
        </is>
      </c>
      <c r="M259" s="14" t="n"/>
      <c r="N259" s="14" t="n"/>
      <c r="O259" s="14" t="n"/>
      <c r="P259" s="14" t="inlineStr">
        <is>
          <t>Not started</t>
        </is>
      </c>
      <c r="Q259" s="14" t="n"/>
    </row>
    <row r="260">
      <c r="A260" s="14" t="inlineStr">
        <is>
          <t>RNW_NAL_OFFSET_DAYS</t>
        </is>
      </c>
      <c r="B260" s="14" t="inlineStr">
        <is>
          <t>Renewal</t>
        </is>
      </c>
      <c r="C260" s="14" t="inlineStr">
        <is>
          <t>Renewal</t>
        </is>
      </c>
      <c r="D260" s="14" t="inlineStr">
        <is>
          <t>Drop 1</t>
        </is>
      </c>
      <c r="E260" s="14" t="inlineStr">
        <is>
          <t>Product Owner, Renewal</t>
        </is>
      </c>
      <c r="F260" s="14" t="inlineStr">
        <is>
          <t>Days after the effective expiry date of the No Advice Letter</t>
        </is>
      </c>
      <c r="G260" s="14" t="inlineStr">
        <is>
          <t>integer</t>
        </is>
      </c>
      <c r="H260" s="14" t="inlineStr">
        <is>
          <t>1</t>
        </is>
      </c>
      <c r="I260" s="14" t="inlineStr">
        <is>
          <t>0 to 30</t>
        </is>
      </c>
      <c r="J260" s="14" t="inlineStr">
        <is>
          <t>Template</t>
        </is>
      </c>
      <c r="K260" s="14" t="inlineStr">
        <is>
          <t>This workbook, sheet Ref System parameters</t>
        </is>
      </c>
      <c r="L260" s="14" t="inlineStr">
        <is>
          <t>16-Jul-2027 (T-24 weeks)</t>
        </is>
      </c>
      <c r="M260" s="14" t="n"/>
      <c r="N260" s="14" t="n"/>
      <c r="O260" s="14" t="n"/>
      <c r="P260" s="14" t="inlineStr">
        <is>
          <t>Not started</t>
        </is>
      </c>
      <c r="Q260" s="14" t="n"/>
    </row>
    <row r="261">
      <c r="A261" s="14" t="inlineStr">
        <is>
          <t>RNW_NAL_REASONS</t>
        </is>
      </c>
      <c r="B261" s="14" t="inlineStr">
        <is>
          <t>Renewal</t>
        </is>
      </c>
      <c r="C261" s="14" t="inlineStr">
        <is>
          <t>Renewal</t>
        </is>
      </c>
      <c r="D261" s="14" t="inlineStr">
        <is>
          <t>Drop 1</t>
        </is>
      </c>
      <c r="E261" s="14" t="inlineStr">
        <is>
          <t>Product Owner, Renewal</t>
        </is>
      </c>
      <c r="F261" s="14" t="inlineStr">
        <is>
          <t>Reasons for Not for Renewal answered with a No Advice Letter instead of a Not for Renewal Letter</t>
        </is>
      </c>
      <c r="G261" s="14" t="inlineStr">
        <is>
          <t>code list</t>
        </is>
      </c>
      <c r="H261" s="14" t="inlineStr">
        <is>
          <t>DIRECT_TO_INSURER,WITH_SUBMITTED_POLICY,BOOKED_TO_NEW_INVOICE,UNIT_SOLD,CANCELED_POLICY</t>
        </is>
      </c>
      <c r="I261" s="14" t="inlineStr"/>
      <c r="J261" s="14" t="inlineStr">
        <is>
          <t>Template</t>
        </is>
      </c>
      <c r="K261" s="14" t="inlineStr">
        <is>
          <t>This workbook, sheet Ref System parameters</t>
        </is>
      </c>
      <c r="L261" s="14" t="inlineStr">
        <is>
          <t>16-Jul-2027 (T-24 weeks)</t>
        </is>
      </c>
      <c r="M261" s="14" t="n"/>
      <c r="N261" s="14" t="n"/>
      <c r="O261" s="14" t="n"/>
      <c r="P261" s="14" t="inlineStr">
        <is>
          <t>Not started</t>
        </is>
      </c>
      <c r="Q261" s="14" t="n"/>
    </row>
    <row r="262">
      <c r="A262" s="14" t="inlineStr">
        <is>
          <t>RNW_NON_ACCEPTANCE_DAYS</t>
        </is>
      </c>
      <c r="B262" s="14" t="inlineStr">
        <is>
          <t>Renewal</t>
        </is>
      </c>
      <c r="C262" s="14" t="inlineStr">
        <is>
          <t>Renewal</t>
        </is>
      </c>
      <c r="D262" s="14" t="inlineStr">
        <is>
          <t>Drop 1</t>
        </is>
      </c>
      <c r="E262" s="14" t="inlineStr">
        <is>
          <t>Product Owner, Renewal</t>
        </is>
      </c>
      <c r="F262" s="14" t="inlineStr">
        <is>
          <t>Days after expiry of the non-acceptance letter and the closure of unrenewed accounts</t>
        </is>
      </c>
      <c r="G262" s="14" t="inlineStr">
        <is>
          <t>integer</t>
        </is>
      </c>
      <c r="H262" s="14" t="inlineStr">
        <is>
          <t>0</t>
        </is>
      </c>
      <c r="I262" s="14" t="inlineStr">
        <is>
          <t>0 to 365</t>
        </is>
      </c>
      <c r="J262" s="14" t="inlineStr">
        <is>
          <t>Template</t>
        </is>
      </c>
      <c r="K262" s="14" t="inlineStr">
        <is>
          <t>This workbook, sheet Ref System parameters</t>
        </is>
      </c>
      <c r="L262" s="14" t="inlineStr">
        <is>
          <t>16-Jul-2027 (T-24 weeks)</t>
        </is>
      </c>
      <c r="M262" s="14" t="n"/>
      <c r="N262" s="14" t="n"/>
      <c r="O262" s="14" t="n"/>
      <c r="P262" s="14" t="inlineStr">
        <is>
          <t>Not started</t>
        </is>
      </c>
      <c r="Q262" s="14" t="n"/>
    </row>
    <row r="263">
      <c r="A263" s="14" t="inlineStr">
        <is>
          <t>RNW_NRL_OFFSET_DAYS_CBG</t>
        </is>
      </c>
      <c r="B263" s="14" t="inlineStr">
        <is>
          <t>Renewal</t>
        </is>
      </c>
      <c r="C263" s="14" t="inlineStr">
        <is>
          <t>Renewal</t>
        </is>
      </c>
      <c r="D263" s="14" t="inlineStr">
        <is>
          <t>Drop 1</t>
        </is>
      </c>
      <c r="E263" s="14" t="inlineStr">
        <is>
          <t>Product Owner, Renewal</t>
        </is>
      </c>
      <c r="F263" s="14" t="inlineStr">
        <is>
          <t>Days after the effective expiry date of the Non-Renewal Letter of a CBG Motor account</t>
        </is>
      </c>
      <c r="G263" s="14" t="inlineStr">
        <is>
          <t>integer</t>
        </is>
      </c>
      <c r="H263" s="14" t="inlineStr">
        <is>
          <t>1</t>
        </is>
      </c>
      <c r="I263" s="14" t="inlineStr">
        <is>
          <t>0 to 30</t>
        </is>
      </c>
      <c r="J263" s="14" t="inlineStr">
        <is>
          <t>Template</t>
        </is>
      </c>
      <c r="K263" s="14" t="inlineStr">
        <is>
          <t>This workbook, sheet Ref System parameters</t>
        </is>
      </c>
      <c r="L263" s="14" t="inlineStr">
        <is>
          <t>16-Jul-2027 (T-24 weeks)</t>
        </is>
      </c>
      <c r="M263" s="14" t="n"/>
      <c r="N263" s="14" t="n"/>
      <c r="O263" s="14" t="n"/>
      <c r="P263" s="14" t="inlineStr">
        <is>
          <t>Not started</t>
        </is>
      </c>
      <c r="Q263" s="14" t="n"/>
    </row>
    <row r="264">
      <c r="A264" s="14" t="inlineStr">
        <is>
          <t>RNW_NRL_OFFSET_DAYS_NON_CBG</t>
        </is>
      </c>
      <c r="B264" s="14" t="inlineStr">
        <is>
          <t>Renewal</t>
        </is>
      </c>
      <c r="C264" s="14" t="inlineStr">
        <is>
          <t>Renewal</t>
        </is>
      </c>
      <c r="D264" s="14" t="inlineStr">
        <is>
          <t>Drop 1</t>
        </is>
      </c>
      <c r="E264" s="14" t="inlineStr">
        <is>
          <t>Product Owner, Renewal</t>
        </is>
      </c>
      <c r="F264" s="14" t="inlineStr">
        <is>
          <t>Days after the effective expiry date of the Non-Renewal Letter of a Non-CBG account</t>
        </is>
      </c>
      <c r="G264" s="14" t="inlineStr">
        <is>
          <t>integer</t>
        </is>
      </c>
      <c r="H264" s="14" t="inlineStr">
        <is>
          <t>3</t>
        </is>
      </c>
      <c r="I264" s="14" t="inlineStr">
        <is>
          <t>0 to 30</t>
        </is>
      </c>
      <c r="J264" s="14" t="inlineStr">
        <is>
          <t>Template</t>
        </is>
      </c>
      <c r="K264" s="14" t="inlineStr">
        <is>
          <t>This workbook, sheet Ref System parameters</t>
        </is>
      </c>
      <c r="L264" s="14" t="inlineStr">
        <is>
          <t>16-Jul-2027 (T-24 weeks)</t>
        </is>
      </c>
      <c r="M264" s="14" t="n"/>
      <c r="N264" s="14" t="n"/>
      <c r="O264" s="14" t="n"/>
      <c r="P264" s="14" t="inlineStr">
        <is>
          <t>Not started</t>
        </is>
      </c>
      <c r="Q264" s="14" t="n"/>
    </row>
    <row r="265">
      <c r="A265" s="14" t="inlineStr">
        <is>
          <t>RNW_NRNS_REMINDER_DAYS</t>
        </is>
      </c>
      <c r="B265" s="14" t="inlineStr">
        <is>
          <t>Renewal</t>
        </is>
      </c>
      <c r="C265" s="14" t="inlineStr">
        <is>
          <t>Renewal</t>
        </is>
      </c>
      <c r="D265" s="14" t="inlineStr">
        <is>
          <t>Drop 1</t>
        </is>
      </c>
      <c r="E265" s="14" t="inlineStr">
        <is>
          <t>Product Owner, Renewal</t>
        </is>
      </c>
      <c r="F265" s="14" t="inlineStr">
        <is>
          <t>Days before expiry of the reminder to renewals not yet submitted (NRNS)</t>
        </is>
      </c>
      <c r="G265" s="14" t="inlineStr">
        <is>
          <t>integer</t>
        </is>
      </c>
      <c r="H265" s="14" t="inlineStr">
        <is>
          <t>90</t>
        </is>
      </c>
      <c r="I265" s="14" t="inlineStr">
        <is>
          <t>0 to 365</t>
        </is>
      </c>
      <c r="J265" s="14" t="inlineStr">
        <is>
          <t>Template</t>
        </is>
      </c>
      <c r="K265" s="14" t="inlineStr">
        <is>
          <t>This workbook, sheet Ref System parameters</t>
        </is>
      </c>
      <c r="L265" s="14" t="inlineStr">
        <is>
          <t>16-Jul-2027 (T-24 weeks)</t>
        </is>
      </c>
      <c r="M265" s="14" t="n"/>
      <c r="N265" s="14" t="n"/>
      <c r="O265" s="14" t="n"/>
      <c r="P265" s="14" t="inlineStr">
        <is>
          <t>Not started</t>
        </is>
      </c>
      <c r="Q265" s="14" t="n"/>
    </row>
    <row r="266">
      <c r="A266" s="14" t="inlineStr">
        <is>
          <t>RNW_NRNS_WAITING_DAYS</t>
        </is>
      </c>
      <c r="B266" s="14" t="inlineStr">
        <is>
          <t>Renewal</t>
        </is>
      </c>
      <c r="C266" s="14" t="inlineStr">
        <is>
          <t>Renewal</t>
        </is>
      </c>
      <c r="D266" s="14" t="inlineStr">
        <is>
          <t>Drop 1</t>
        </is>
      </c>
      <c r="E266" s="14" t="inlineStr">
        <is>
          <t>Product Owner, Renewal</t>
        </is>
      </c>
      <c r="F266" s="14" t="inlineStr">
        <is>
          <t>Days after the effective expiry date before an unrenewed renewal is tagged NRNS, per segment</t>
        </is>
      </c>
      <c r="G266" s="14" t="inlineStr">
        <is>
          <t>string</t>
        </is>
      </c>
      <c r="H266" s="14" t="inlineStr">
        <is>
          <t>CBG=0,*=0</t>
        </is>
      </c>
      <c r="I266" s="14" t="inlineStr"/>
      <c r="J266" s="14" t="inlineStr">
        <is>
          <t>Template</t>
        </is>
      </c>
      <c r="K266" s="14" t="inlineStr">
        <is>
          <t>This workbook, sheet Ref System parameters</t>
        </is>
      </c>
      <c r="L266" s="14" t="inlineStr">
        <is>
          <t>16-Jul-2027 (T-24 weeks)</t>
        </is>
      </c>
      <c r="M266" s="14" t="n"/>
      <c r="N266" s="14" t="n"/>
      <c r="O266" s="14" t="n"/>
      <c r="P266" s="14" t="inlineStr">
        <is>
          <t>Not started</t>
        </is>
      </c>
      <c r="Q266" s="14" t="n"/>
    </row>
    <row r="267">
      <c r="A267" s="14" t="inlineStr">
        <is>
          <t>RNW_OUTSTANDING_THRESHOLD</t>
        </is>
      </c>
      <c r="B267" s="14" t="inlineStr">
        <is>
          <t>Renewal</t>
        </is>
      </c>
      <c r="C267" s="14" t="inlineStr">
        <is>
          <t>Renewal</t>
        </is>
      </c>
      <c r="D267" s="14" t="inlineStr">
        <is>
          <t>Drop 1</t>
        </is>
      </c>
      <c r="E267" s="14" t="inlineStr">
        <is>
          <t>Product Owner, Renewal</t>
        </is>
      </c>
      <c r="F267" s="14" t="inlineStr">
        <is>
          <t>Open premium of the expiring invoice family above which the renewal is flagged Outstanding</t>
        </is>
      </c>
      <c r="G267" s="14" t="inlineStr">
        <is>
          <t>decimal</t>
        </is>
      </c>
      <c r="H267" s="14" t="inlineStr">
        <is>
          <t>0.00</t>
        </is>
      </c>
      <c r="I267" s="14" t="inlineStr">
        <is>
          <t>0 to -</t>
        </is>
      </c>
      <c r="J267" s="14" t="inlineStr">
        <is>
          <t>Template</t>
        </is>
      </c>
      <c r="K267" s="14" t="inlineStr">
        <is>
          <t>This workbook, sheet Ref System parameters</t>
        </is>
      </c>
      <c r="L267" s="14" t="inlineStr">
        <is>
          <t>16-Jul-2027 (T-24 weeks)</t>
        </is>
      </c>
      <c r="M267" s="14" t="n"/>
      <c r="N267" s="14" t="n"/>
      <c r="O267" s="14" t="n"/>
      <c r="P267" s="14" t="inlineStr">
        <is>
          <t>Not started</t>
        </is>
      </c>
      <c r="Q267" s="14" t="n"/>
    </row>
    <row r="268">
      <c r="A268" s="14" t="inlineStr">
        <is>
          <t>RNW_PASSWORD_CONVENTION</t>
        </is>
      </c>
      <c r="B268" s="14" t="inlineStr">
        <is>
          <t>Renewal</t>
        </is>
      </c>
      <c r="C268" s="14" t="inlineStr">
        <is>
          <t>Renewal</t>
        </is>
      </c>
      <c r="D268" s="14" t="inlineStr">
        <is>
          <t>Drop 1</t>
        </is>
      </c>
      <c r="E268" s="14" t="inlineStr">
        <is>
          <t>Product Owner, Renewal</t>
        </is>
      </c>
      <c r="F268" s="14" t="inlineStr">
        <is>
          <t>Password of protected files: CLIENT (individual: first three letters of the first and last names in capitals; corporate: eight random characters) or GENERATED (a random password per file)</t>
        </is>
      </c>
      <c r="G268" s="14" t="inlineStr">
        <is>
          <t>string</t>
        </is>
      </c>
      <c r="H268" s="14" t="inlineStr">
        <is>
          <t>CLIENT</t>
        </is>
      </c>
      <c r="I268" s="14" t="inlineStr"/>
      <c r="J268" s="14" t="inlineStr">
        <is>
          <t>Template</t>
        </is>
      </c>
      <c r="K268" s="14" t="inlineStr">
        <is>
          <t>This workbook, sheet Ref System parameters</t>
        </is>
      </c>
      <c r="L268" s="14" t="inlineStr">
        <is>
          <t>16-Jul-2027 (T-24 weeks)</t>
        </is>
      </c>
      <c r="M268" s="14" t="n"/>
      <c r="N268" s="14" t="n"/>
      <c r="O268" s="14" t="n"/>
      <c r="P268" s="14" t="inlineStr">
        <is>
          <t>Not started</t>
        </is>
      </c>
      <c r="Q268" s="14" t="n"/>
    </row>
    <row r="269">
      <c r="A269" s="14" t="inlineStr">
        <is>
          <t>RNW_PIPELINE_NB_STAGES</t>
        </is>
      </c>
      <c r="B269" s="14" t="inlineStr">
        <is>
          <t>Renewal</t>
        </is>
      </c>
      <c r="C269" s="14" t="inlineStr">
        <is>
          <t>Renewal</t>
        </is>
      </c>
      <c r="D269" s="14" t="inlineStr">
        <is>
          <t>Drop 1</t>
        </is>
      </c>
      <c r="E269" s="14" t="inlineStr">
        <is>
          <t>Product Owner, Renewal</t>
        </is>
      </c>
      <c r="F269" s="14" t="inlineStr">
        <is>
          <t>Pipeline Summary: the New Business account statuses counted in each stage</t>
        </is>
      </c>
      <c r="G269" s="14" t="inlineStr">
        <is>
          <t>string</t>
        </is>
      </c>
      <c r="H269" s="14" t="inlineStr">
        <is>
          <t>FOR_SURVEY:DRAFT|RETURNED_TO_MARKETING;FOR_PROPOSAL:SUBMITTED;FOR_CONFIRM:AWAITING_PAYMENT;FOR_BOOKING:READY_FOR_PLACEMENT|PLACED|RETURNED_BY_INSURER|POLICY_ISSUED;FOR_DELIVERY:BOOKED</t>
        </is>
      </c>
      <c r="I269" s="14" t="inlineStr"/>
      <c r="J269" s="14" t="inlineStr">
        <is>
          <t>Template</t>
        </is>
      </c>
      <c r="K269" s="14" t="inlineStr">
        <is>
          <t>This workbook, sheet Ref System parameters</t>
        </is>
      </c>
      <c r="L269" s="14" t="inlineStr">
        <is>
          <t>16-Jul-2027 (T-24 weeks)</t>
        </is>
      </c>
      <c r="M269" s="14" t="n"/>
      <c r="N269" s="14" t="n"/>
      <c r="O269" s="14" t="n"/>
      <c r="P269" s="14" t="inlineStr">
        <is>
          <t>Not started</t>
        </is>
      </c>
      <c r="Q269" s="14" t="n"/>
    </row>
    <row r="270">
      <c r="A270" s="14" t="inlineStr">
        <is>
          <t>RNW_PIPELINE_STAGES</t>
        </is>
      </c>
      <c r="B270" s="14" t="inlineStr">
        <is>
          <t>Renewal</t>
        </is>
      </c>
      <c r="C270" s="14" t="inlineStr">
        <is>
          <t>Renewal</t>
        </is>
      </c>
      <c r="D270" s="14" t="inlineStr">
        <is>
          <t>Drop 1</t>
        </is>
      </c>
      <c r="E270" s="14" t="inlineStr">
        <is>
          <t>Product Owner, Renewal</t>
        </is>
      </c>
      <c r="F270" s="14" t="inlineStr">
        <is>
          <t>Pipeline Summary: the renewal statuses counted in each stage (For Survey, For Proposal, For Confirm, For Booking, For Delivery)</t>
        </is>
      </c>
      <c r="G270" s="14" t="inlineStr">
        <is>
          <t>string</t>
        </is>
      </c>
      <c r="H270" s="14" t="inlineStr">
        <is>
          <t>FOR_SURVEY:EXTRACTED|EVALUATING|UNASSIGNED|TRANSFER_PENDING|FOR_DISPOSITION;FOR_PROPOSAL:FOR_TL_REVIEW|NB_PATH|FOR_PROCESSING|IN_PROCESSING|WITH_INSURER;FOR_CONFIRM:RA_READY|RA_GENERATED|RA_SENT|ACCEPTED;FOR_BOOKING:FOR_PLACEMENT_BOOKING;FOR_DELIVERY:RENEWED</t>
        </is>
      </c>
      <c r="I270" s="14" t="inlineStr"/>
      <c r="J270" s="14" t="inlineStr">
        <is>
          <t>Template</t>
        </is>
      </c>
      <c r="K270" s="14" t="inlineStr">
        <is>
          <t>This workbook, sheet Ref System parameters</t>
        </is>
      </c>
      <c r="L270" s="14" t="inlineStr">
        <is>
          <t>16-Jul-2027 (T-24 weeks)</t>
        </is>
      </c>
      <c r="M270" s="14" t="n"/>
      <c r="N270" s="14" t="n"/>
      <c r="O270" s="14" t="n"/>
      <c r="P270" s="14" t="inlineStr">
        <is>
          <t>Not started</t>
        </is>
      </c>
      <c r="Q270" s="14" t="n"/>
    </row>
    <row r="271">
      <c r="A271" s="14" t="inlineStr">
        <is>
          <t>RNW_PLACEMENT_CUTOFF_HOUR</t>
        </is>
      </c>
      <c r="B271" s="14" t="inlineStr">
        <is>
          <t>Renewal</t>
        </is>
      </c>
      <c r="C271" s="14" t="inlineStr">
        <is>
          <t>Renewal</t>
        </is>
      </c>
      <c r="D271" s="14" t="inlineStr">
        <is>
          <t>Drop 1</t>
        </is>
      </c>
      <c r="E271" s="14" t="inlineStr">
        <is>
          <t>Product Owner, Renewal</t>
        </is>
      </c>
      <c r="F271" s="14" t="inlineStr">
        <is>
          <t>Hour of the day after which a placement sent to the insurer counts from the next business day</t>
        </is>
      </c>
      <c r="G271" s="14" t="inlineStr">
        <is>
          <t>integer</t>
        </is>
      </c>
      <c r="H271" s="14" t="inlineStr">
        <is>
          <t>15</t>
        </is>
      </c>
      <c r="I271" s="14" t="inlineStr">
        <is>
          <t>0 to 23</t>
        </is>
      </c>
      <c r="J271" s="14" t="inlineStr">
        <is>
          <t>Template</t>
        </is>
      </c>
      <c r="K271" s="14" t="inlineStr">
        <is>
          <t>This workbook, sheet Ref System parameters</t>
        </is>
      </c>
      <c r="L271" s="14" t="inlineStr">
        <is>
          <t>16-Jul-2027 (T-24 weeks)</t>
        </is>
      </c>
      <c r="M271" s="14" t="n"/>
      <c r="N271" s="14" t="n"/>
      <c r="O271" s="14" t="n"/>
      <c r="P271" s="14" t="inlineStr">
        <is>
          <t>Not started</t>
        </is>
      </c>
      <c r="Q271" s="14" t="n"/>
    </row>
    <row r="272">
      <c r="A272" s="14" t="inlineStr">
        <is>
          <t>RNW_PLACEMENT_SLA_NON_PACKAGE</t>
        </is>
      </c>
      <c r="B272" s="14" t="inlineStr">
        <is>
          <t>Renewal</t>
        </is>
      </c>
      <c r="C272" s="14" t="inlineStr">
        <is>
          <t>Renewal</t>
        </is>
      </c>
      <c r="D272" s="14" t="inlineStr">
        <is>
          <t>Drop 1</t>
        </is>
      </c>
      <c r="E272" s="14" t="inlineStr">
        <is>
          <t>Product Owner, Renewal</t>
        </is>
      </c>
      <c r="F272" s="14" t="inlineStr">
        <is>
          <t>Target turnaround of the insurer's placement response for a non-package account, in business days</t>
        </is>
      </c>
      <c r="G272" s="14" t="inlineStr">
        <is>
          <t>integer</t>
        </is>
      </c>
      <c r="H272" s="14" t="inlineStr">
        <is>
          <t>10</t>
        </is>
      </c>
      <c r="I272" s="14" t="inlineStr">
        <is>
          <t>1 to 60</t>
        </is>
      </c>
      <c r="J272" s="14" t="inlineStr">
        <is>
          <t>Template</t>
        </is>
      </c>
      <c r="K272" s="14" t="inlineStr">
        <is>
          <t>This workbook, sheet Ref System parameters</t>
        </is>
      </c>
      <c r="L272" s="14" t="inlineStr">
        <is>
          <t>16-Jul-2027 (T-24 weeks)</t>
        </is>
      </c>
      <c r="M272" s="14" t="n"/>
      <c r="N272" s="14" t="n"/>
      <c r="O272" s="14" t="n"/>
      <c r="P272" s="14" t="inlineStr">
        <is>
          <t>Not started</t>
        </is>
      </c>
      <c r="Q272" s="14" t="n"/>
    </row>
    <row r="273">
      <c r="A273" s="14" t="inlineStr">
        <is>
          <t>RNW_PLACEMENT_SLA_PACKAGED</t>
        </is>
      </c>
      <c r="B273" s="14" t="inlineStr">
        <is>
          <t>Renewal</t>
        </is>
      </c>
      <c r="C273" s="14" t="inlineStr">
        <is>
          <t>Renewal</t>
        </is>
      </c>
      <c r="D273" s="14" t="inlineStr">
        <is>
          <t>Drop 1</t>
        </is>
      </c>
      <c r="E273" s="14" t="inlineStr">
        <is>
          <t>Product Owner, Renewal</t>
        </is>
      </c>
      <c r="F273" s="14" t="inlineStr">
        <is>
          <t>Target turnaround of the insurer's placement response for a packaged account, in business days</t>
        </is>
      </c>
      <c r="G273" s="14" t="inlineStr">
        <is>
          <t>integer</t>
        </is>
      </c>
      <c r="H273" s="14" t="inlineStr">
        <is>
          <t>3</t>
        </is>
      </c>
      <c r="I273" s="14" t="inlineStr">
        <is>
          <t>1 to 60</t>
        </is>
      </c>
      <c r="J273" s="14" t="inlineStr">
        <is>
          <t>Template</t>
        </is>
      </c>
      <c r="K273" s="14" t="inlineStr">
        <is>
          <t>This workbook, sheet Ref System parameters</t>
        </is>
      </c>
      <c r="L273" s="14" t="inlineStr">
        <is>
          <t>16-Jul-2027 (T-24 weeks)</t>
        </is>
      </c>
      <c r="M273" s="14" t="n"/>
      <c r="N273" s="14" t="n"/>
      <c r="O273" s="14" t="n"/>
      <c r="P273" s="14" t="inlineStr">
        <is>
          <t>Not started</t>
        </is>
      </c>
      <c r="Q273" s="14" t="n"/>
    </row>
    <row r="274">
      <c r="A274" s="14" t="inlineStr">
        <is>
          <t>RNW_PLACEMENT_TAT_NON_PACKAGE_DAYS</t>
        </is>
      </c>
      <c r="B274" s="14" t="inlineStr">
        <is>
          <t>Renewal</t>
        </is>
      </c>
      <c r="C274" s="14" t="inlineStr">
        <is>
          <t>Renewal</t>
        </is>
      </c>
      <c r="D274" s="14" t="inlineStr">
        <is>
          <t>Drop 1</t>
        </is>
      </c>
      <c r="E274" s="14" t="inlineStr">
        <is>
          <t>Product Owner, Renewal</t>
        </is>
      </c>
      <c r="F274" s="14" t="inlineStr">
        <is>
          <t>Placement turnaround time of non-package accounts in business days</t>
        </is>
      </c>
      <c r="G274" s="14" t="inlineStr">
        <is>
          <t>integer</t>
        </is>
      </c>
      <c r="H274" s="14" t="inlineStr">
        <is>
          <t>10</t>
        </is>
      </c>
      <c r="I274" s="14" t="inlineStr">
        <is>
          <t>1 to 60</t>
        </is>
      </c>
      <c r="J274" s="14" t="inlineStr">
        <is>
          <t>Template</t>
        </is>
      </c>
      <c r="K274" s="14" t="inlineStr">
        <is>
          <t>This workbook, sheet Ref System parameters</t>
        </is>
      </c>
      <c r="L274" s="14" t="inlineStr">
        <is>
          <t>16-Jul-2027 (T-24 weeks)</t>
        </is>
      </c>
      <c r="M274" s="14" t="n"/>
      <c r="N274" s="14" t="n"/>
      <c r="O274" s="14" t="n"/>
      <c r="P274" s="14" t="inlineStr">
        <is>
          <t>Not started</t>
        </is>
      </c>
      <c r="Q274" s="14" t="n"/>
    </row>
    <row r="275">
      <c r="A275" s="14" t="inlineStr">
        <is>
          <t>RNW_PLACEMENT_TAT_PACKAGED_DAYS</t>
        </is>
      </c>
      <c r="B275" s="14" t="inlineStr">
        <is>
          <t>Renewal</t>
        </is>
      </c>
      <c r="C275" s="14" t="inlineStr">
        <is>
          <t>Renewal</t>
        </is>
      </c>
      <c r="D275" s="14" t="inlineStr">
        <is>
          <t>Drop 1</t>
        </is>
      </c>
      <c r="E275" s="14" t="inlineStr">
        <is>
          <t>Product Owner, Renewal</t>
        </is>
      </c>
      <c r="F275" s="14" t="inlineStr">
        <is>
          <t>Placement turnaround time of packaged accounts in business days</t>
        </is>
      </c>
      <c r="G275" s="14" t="inlineStr">
        <is>
          <t>integer</t>
        </is>
      </c>
      <c r="H275" s="14" t="inlineStr">
        <is>
          <t>3</t>
        </is>
      </c>
      <c r="I275" s="14" t="inlineStr">
        <is>
          <t>1 to 60</t>
        </is>
      </c>
      <c r="J275" s="14" t="inlineStr">
        <is>
          <t>Template</t>
        </is>
      </c>
      <c r="K275" s="14" t="inlineStr">
        <is>
          <t>This workbook, sheet Ref System parameters</t>
        </is>
      </c>
      <c r="L275" s="14" t="inlineStr">
        <is>
          <t>16-Jul-2027 (T-24 weeks)</t>
        </is>
      </c>
      <c r="M275" s="14" t="n"/>
      <c r="N275" s="14" t="n"/>
      <c r="O275" s="14" t="n"/>
      <c r="P275" s="14" t="inlineStr">
        <is>
          <t>Not started</t>
        </is>
      </c>
      <c r="Q275" s="14" t="n"/>
    </row>
    <row r="276">
      <c r="A276" s="14" t="inlineStr">
        <is>
          <t>RNW_PN_REQUIRED_LINES</t>
        </is>
      </c>
      <c r="B276" s="14" t="inlineStr">
        <is>
          <t>Renewal</t>
        </is>
      </c>
      <c r="C276" s="14" t="inlineStr">
        <is>
          <t>Renewal</t>
        </is>
      </c>
      <c r="D276" s="14" t="inlineStr">
        <is>
          <t>Drop 1</t>
        </is>
      </c>
      <c r="E276" s="14" t="inlineStr">
        <is>
          <t>Product Owner, Renewal</t>
        </is>
      </c>
      <c r="F276" s="14" t="inlineStr">
        <is>
          <t>Product lines whose mortgaged or straight-through renewals need the PN number</t>
        </is>
      </c>
      <c r="G276" s="14" t="inlineStr">
        <is>
          <t>code list</t>
        </is>
      </c>
      <c r="H276" s="14" t="inlineStr">
        <is>
          <t>MOTOR,PROPERTY</t>
        </is>
      </c>
      <c r="I276" s="14" t="inlineStr"/>
      <c r="J276" s="14" t="inlineStr">
        <is>
          <t>Template</t>
        </is>
      </c>
      <c r="K276" s="14" t="inlineStr">
        <is>
          <t>This workbook, sheet Ref System parameters</t>
        </is>
      </c>
      <c r="L276" s="14" t="inlineStr">
        <is>
          <t>16-Jul-2027 (T-24 weeks)</t>
        </is>
      </c>
      <c r="M276" s="14" t="n"/>
      <c r="N276" s="14" t="n"/>
      <c r="O276" s="14" t="n"/>
      <c r="P276" s="14" t="inlineStr">
        <is>
          <t>Not started</t>
        </is>
      </c>
      <c r="Q276" s="14" t="n"/>
    </row>
    <row r="277">
      <c r="A277" s="14" t="inlineStr">
        <is>
          <t>RNW_POSTING_APPROVER</t>
        </is>
      </c>
      <c r="B277" s="14" t="inlineStr">
        <is>
          <t>Renewal</t>
        </is>
      </c>
      <c r="C277" s="14" t="inlineStr">
        <is>
          <t>Renewal</t>
        </is>
      </c>
      <c r="D277" s="14" t="inlineStr">
        <is>
          <t>Drop 1</t>
        </is>
      </c>
      <c r="E277" s="14" t="inlineStr">
        <is>
          <t>Product Owner, Renewal</t>
        </is>
      </c>
      <c r="F277" s="14" t="inlineStr">
        <is>
          <t>Approver of a submission for posting: REQUIRED (the officer picks the approver), OPTIONAL (the officer may pick one, else every Team Leader of the unit) or NONE</t>
        </is>
      </c>
      <c r="G277" s="14" t="inlineStr">
        <is>
          <t>string</t>
        </is>
      </c>
      <c r="H277" s="14" t="inlineStr">
        <is>
          <t>OPTIONAL</t>
        </is>
      </c>
      <c r="I277" s="14" t="inlineStr"/>
      <c r="J277" s="14" t="inlineStr">
        <is>
          <t>Template</t>
        </is>
      </c>
      <c r="K277" s="14" t="inlineStr">
        <is>
          <t>This workbook, sheet Ref System parameters</t>
        </is>
      </c>
      <c r="L277" s="14" t="inlineStr">
        <is>
          <t>16-Jul-2027 (T-24 weeks)</t>
        </is>
      </c>
      <c r="M277" s="14" t="n"/>
      <c r="N277" s="14" t="n"/>
      <c r="O277" s="14" t="n"/>
      <c r="P277" s="14" t="inlineStr">
        <is>
          <t>Not started</t>
        </is>
      </c>
      <c r="Q277" s="14" t="n"/>
    </row>
    <row r="278">
      <c r="A278" s="14" t="inlineStr">
        <is>
          <t>RNW_PRIORITY_SEGMENTS</t>
        </is>
      </c>
      <c r="B278" s="14" t="inlineStr">
        <is>
          <t>Renewal</t>
        </is>
      </c>
      <c r="C278" s="14" t="inlineStr">
        <is>
          <t>Renewal</t>
        </is>
      </c>
      <c r="D278" s="14" t="inlineStr">
        <is>
          <t>Drop 1</t>
        </is>
      </c>
      <c r="E278" s="14" t="inlineStr">
        <is>
          <t>Product Owner, Renewal</t>
        </is>
      </c>
      <c r="F278" s="14" t="inlineStr">
        <is>
          <t>Market segments of the priority portfolio named in the attention flags of the renewal listing</t>
        </is>
      </c>
      <c r="G278" s="14" t="inlineStr">
        <is>
          <t>code list</t>
        </is>
      </c>
      <c r="H278" s="14" t="inlineStr">
        <is>
          <t>IBG,LEASING</t>
        </is>
      </c>
      <c r="I278" s="14" t="inlineStr"/>
      <c r="J278" s="14" t="inlineStr">
        <is>
          <t>Template</t>
        </is>
      </c>
      <c r="K278" s="14" t="inlineStr">
        <is>
          <t>This workbook, sheet Ref System parameters</t>
        </is>
      </c>
      <c r="L278" s="14" t="inlineStr">
        <is>
          <t>16-Jul-2027 (T-24 weeks)</t>
        </is>
      </c>
      <c r="M278" s="14" t="n"/>
      <c r="N278" s="14" t="n"/>
      <c r="O278" s="14" t="n"/>
      <c r="P278" s="14" t="inlineStr">
        <is>
          <t>Not started</t>
        </is>
      </c>
      <c r="Q278" s="14" t="n"/>
    </row>
    <row r="279">
      <c r="A279" s="14" t="inlineStr">
        <is>
          <t>RNW_PROCESSING_SCOPE</t>
        </is>
      </c>
      <c r="B279" s="14" t="inlineStr">
        <is>
          <t>Renewal</t>
        </is>
      </c>
      <c r="C279" s="14" t="inlineStr">
        <is>
          <t>Renewal</t>
        </is>
      </c>
      <c r="D279" s="14" t="inlineStr">
        <is>
          <t>Drop 1</t>
        </is>
      </c>
      <c r="E279" s="14" t="inlineStr">
        <is>
          <t>Product Owner, Renewal</t>
        </is>
      </c>
      <c r="F279" s="14" t="inlineStr">
        <is>
          <t>Renewals a Processing Officer may open: ALL (every renewal of the company; his worklist shows the renewals assigned to him) or ASSIGNED (only the renewals assigned to him); the Processing Team Lead always sees all</t>
        </is>
      </c>
      <c r="G279" s="14" t="inlineStr">
        <is>
          <t>string</t>
        </is>
      </c>
      <c r="H279" s="14" t="inlineStr">
        <is>
          <t>ALL</t>
        </is>
      </c>
      <c r="I279" s="14" t="inlineStr"/>
      <c r="J279" s="14" t="inlineStr">
        <is>
          <t>Template</t>
        </is>
      </c>
      <c r="K279" s="14" t="inlineStr">
        <is>
          <t>This workbook, sheet Ref System parameters</t>
        </is>
      </c>
      <c r="L279" s="14" t="inlineStr">
        <is>
          <t>16-Jul-2027 (T-24 weeks)</t>
        </is>
      </c>
      <c r="M279" s="14" t="n"/>
      <c r="N279" s="14" t="n"/>
      <c r="O279" s="14" t="n"/>
      <c r="P279" s="14" t="inlineStr">
        <is>
          <t>Not started</t>
        </is>
      </c>
      <c r="Q279" s="14" t="n"/>
    </row>
    <row r="280">
      <c r="A280" s="14" t="inlineStr">
        <is>
          <t>RNW_PROMO_RATE_MAP</t>
        </is>
      </c>
      <c r="B280" s="14" t="inlineStr">
        <is>
          <t>Renewal</t>
        </is>
      </c>
      <c r="C280" s="14" t="inlineStr">
        <is>
          <t>Renewal</t>
        </is>
      </c>
      <c r="D280" s="14" t="inlineStr">
        <is>
          <t>Drop 1</t>
        </is>
      </c>
      <c r="E280" s="14" t="inlineStr">
        <is>
          <t>Product Owner, Renewal</t>
        </is>
      </c>
      <c r="F280" s="14" t="inlineStr">
        <is>
          <t>Regular premium rate (percent) of each Auto Promo premium rate</t>
        </is>
      </c>
      <c r="G280" s="14" t="inlineStr">
        <is>
          <t>string</t>
        </is>
      </c>
      <c r="H280" s="14" t="inlineStr">
        <is>
          <t>2.4230=2.3760,1.9450=1.6060,2.0400=1.9630,3.0000=3.0000</t>
        </is>
      </c>
      <c r="I280" s="14" t="inlineStr"/>
      <c r="J280" s="14" t="inlineStr">
        <is>
          <t>Template</t>
        </is>
      </c>
      <c r="K280" s="14" t="inlineStr">
        <is>
          <t>This workbook, sheet Ref System parameters</t>
        </is>
      </c>
      <c r="L280" s="14" t="inlineStr">
        <is>
          <t>16-Jul-2027 (T-24 weeks)</t>
        </is>
      </c>
      <c r="M280" s="14" t="n"/>
      <c r="N280" s="14" t="n"/>
      <c r="O280" s="14" t="n"/>
      <c r="P280" s="14" t="inlineStr">
        <is>
          <t>Not started</t>
        </is>
      </c>
      <c r="Q280" s="14" t="n"/>
    </row>
    <row r="281">
      <c r="A281" s="14" t="inlineStr">
        <is>
          <t>RNW_PROMO_RISK_CODE_MAP</t>
        </is>
      </c>
      <c r="B281" s="14" t="inlineStr">
        <is>
          <t>Renewal</t>
        </is>
      </c>
      <c r="C281" s="14" t="inlineStr">
        <is>
          <t>Renewal</t>
        </is>
      </c>
      <c r="D281" s="14" t="inlineStr">
        <is>
          <t>Drop 1</t>
        </is>
      </c>
      <c r="E281" s="14" t="inlineStr">
        <is>
          <t>Product Owner, Renewal</t>
        </is>
      </c>
      <c r="F281" s="14" t="inlineStr">
        <is>
          <t>Regular risk code of each Auto Promo risk code</t>
        </is>
      </c>
      <c r="G281" s="14" t="inlineStr">
        <is>
          <t>string</t>
        </is>
      </c>
      <c r="H281" s="14" t="inlineStr">
        <is>
          <t>MTR70=MTR22,MTR71=MTR23,MTR72=MTR25,MTR73=MTR73</t>
        </is>
      </c>
      <c r="I281" s="14" t="inlineStr"/>
      <c r="J281" s="14" t="inlineStr">
        <is>
          <t>Template</t>
        </is>
      </c>
      <c r="K281" s="14" t="inlineStr">
        <is>
          <t>This workbook, sheet Ref System parameters</t>
        </is>
      </c>
      <c r="L281" s="14" t="inlineStr">
        <is>
          <t>16-Jul-2027 (T-24 weeks)</t>
        </is>
      </c>
      <c r="M281" s="14" t="n"/>
      <c r="N281" s="14" t="n"/>
      <c r="O281" s="14" t="n"/>
      <c r="P281" s="14" t="inlineStr">
        <is>
          <t>Not started</t>
        </is>
      </c>
      <c r="Q281" s="14" t="n"/>
    </row>
    <row r="282">
      <c r="A282" s="14" t="inlineStr">
        <is>
          <t>RNW_PROMO_TO_REGULAR</t>
        </is>
      </c>
      <c r="B282" s="14" t="inlineStr">
        <is>
          <t>Renewal</t>
        </is>
      </c>
      <c r="C282" s="14" t="inlineStr">
        <is>
          <t>Renewal</t>
        </is>
      </c>
      <c r="D282" s="14" t="inlineStr">
        <is>
          <t>Drop 1</t>
        </is>
      </c>
      <c r="E282" s="14" t="inlineStr">
        <is>
          <t>Product Owner, Renewal</t>
        </is>
      </c>
      <c r="F282" s="14" t="inlineStr">
        <is>
          <t>An Auto Promo motor policy renews as a Regular policy with the risk code and rate of the maps</t>
        </is>
      </c>
      <c r="G282" s="14" t="inlineStr">
        <is>
          <t>boolean</t>
        </is>
      </c>
      <c r="H282" s="14" t="inlineStr">
        <is>
          <t>true</t>
        </is>
      </c>
      <c r="I282" s="14" t="inlineStr"/>
      <c r="J282" s="14" t="inlineStr">
        <is>
          <t>Template</t>
        </is>
      </c>
      <c r="K282" s="14" t="inlineStr">
        <is>
          <t>This workbook, sheet Ref System parameters</t>
        </is>
      </c>
      <c r="L282" s="14" t="inlineStr">
        <is>
          <t>16-Jul-2027 (T-24 weeks)</t>
        </is>
      </c>
      <c r="M282" s="14" t="n"/>
      <c r="N282" s="14" t="n"/>
      <c r="O282" s="14" t="n"/>
      <c r="P282" s="14" t="inlineStr">
        <is>
          <t>Not started</t>
        </is>
      </c>
      <c r="Q282" s="14" t="n"/>
    </row>
    <row r="283">
      <c r="A283" s="14" t="inlineStr">
        <is>
          <t>RNW_PROPOSAL_LINES</t>
        </is>
      </c>
      <c r="B283" s="14" t="inlineStr">
        <is>
          <t>Renewal</t>
        </is>
      </c>
      <c r="C283" s="14" t="inlineStr">
        <is>
          <t>Renewal</t>
        </is>
      </c>
      <c r="D283" s="14" t="inlineStr">
        <is>
          <t>Drop 1</t>
        </is>
      </c>
      <c r="E283" s="14" t="inlineStr">
        <is>
          <t>Product Owner, Renewal</t>
        </is>
      </c>
      <c r="F283" s="14" t="inlineStr">
        <is>
          <t>Product lines whose Clean renewal accounts are disposed For Proposal (personal accident and group personal accident)</t>
        </is>
      </c>
      <c r="G283" s="14" t="inlineStr">
        <is>
          <t>code list</t>
        </is>
      </c>
      <c r="H283" s="14" t="inlineStr">
        <is>
          <t>PERSONAL_ACCIDENT</t>
        </is>
      </c>
      <c r="I283" s="14" t="inlineStr"/>
      <c r="J283" s="14" t="inlineStr">
        <is>
          <t>Template</t>
        </is>
      </c>
      <c r="K283" s="14" t="inlineStr">
        <is>
          <t>This workbook, sheet Ref System parameters</t>
        </is>
      </c>
      <c r="L283" s="14" t="inlineStr">
        <is>
          <t>16-Jul-2027 (T-24 weeks)</t>
        </is>
      </c>
      <c r="M283" s="14" t="n"/>
      <c r="N283" s="14" t="n"/>
      <c r="O283" s="14" t="n"/>
      <c r="P283" s="14" t="inlineStr">
        <is>
          <t>Not started</t>
        </is>
      </c>
      <c r="Q283" s="14" t="n"/>
    </row>
    <row r="284">
      <c r="A284" s="14" t="inlineStr">
        <is>
          <t>RNW_PROPOSAL_THREE_SIGNATORIES_TSI</t>
        </is>
      </c>
      <c r="B284" s="14" t="inlineStr">
        <is>
          <t>Renewal</t>
        </is>
      </c>
      <c r="C284" s="14" t="inlineStr">
        <is>
          <t>Renewal</t>
        </is>
      </c>
      <c r="D284" s="14" t="inlineStr">
        <is>
          <t>Drop 1</t>
        </is>
      </c>
      <c r="E284" s="14" t="inlineStr">
        <is>
          <t>Product Owner, Renewal</t>
        </is>
      </c>
      <c r="F284" s="14" t="inlineStr">
        <is>
          <t>Total sum insured above which a Full Proposal of a non-package account needs three signatories instead of two</t>
        </is>
      </c>
      <c r="G284" s="14" t="inlineStr">
        <is>
          <t>decimal</t>
        </is>
      </c>
      <c r="H284" s="14" t="inlineStr">
        <is>
          <t>500000000</t>
        </is>
      </c>
      <c r="I284" s="14" t="inlineStr">
        <is>
          <t>0 to -</t>
        </is>
      </c>
      <c r="J284" s="14" t="inlineStr">
        <is>
          <t>Template</t>
        </is>
      </c>
      <c r="K284" s="14" t="inlineStr">
        <is>
          <t>This workbook, sheet Ref System parameters</t>
        </is>
      </c>
      <c r="L284" s="14" t="inlineStr">
        <is>
          <t>16-Jul-2027 (T-24 weeks)</t>
        </is>
      </c>
      <c r="M284" s="14" t="n"/>
      <c r="N284" s="14" t="n"/>
      <c r="O284" s="14" t="n"/>
      <c r="P284" s="14" t="inlineStr">
        <is>
          <t>Not started</t>
        </is>
      </c>
      <c r="Q284" s="14" t="n"/>
    </row>
    <row r="285">
      <c r="A285" s="14" t="inlineStr">
        <is>
          <t>RNW_RA_FIRST_NOTICE_DAYS</t>
        </is>
      </c>
      <c r="B285" s="14" t="inlineStr">
        <is>
          <t>Renewal</t>
        </is>
      </c>
      <c r="C285" s="14" t="inlineStr">
        <is>
          <t>Renewal</t>
        </is>
      </c>
      <c r="D285" s="14" t="inlineStr">
        <is>
          <t>Drop 1</t>
        </is>
      </c>
      <c r="E285" s="14" t="inlineStr">
        <is>
          <t>Product Owner, Renewal</t>
        </is>
      </c>
      <c r="F285" s="14" t="inlineStr">
        <is>
          <t>Days before expiry of the Renewal Advice First Notice</t>
        </is>
      </c>
      <c r="G285" s="14" t="inlineStr">
        <is>
          <t>integer</t>
        </is>
      </c>
      <c r="H285" s="14" t="inlineStr">
        <is>
          <t>75</t>
        </is>
      </c>
      <c r="I285" s="14" t="inlineStr">
        <is>
          <t>1 to 365</t>
        </is>
      </c>
      <c r="J285" s="14" t="inlineStr">
        <is>
          <t>Template</t>
        </is>
      </c>
      <c r="K285" s="14" t="inlineStr">
        <is>
          <t>This workbook, sheet Ref System parameters</t>
        </is>
      </c>
      <c r="L285" s="14" t="inlineStr">
        <is>
          <t>16-Jul-2027 (T-24 weeks)</t>
        </is>
      </c>
      <c r="M285" s="14" t="n"/>
      <c r="N285" s="14" t="n"/>
      <c r="O285" s="14" t="n"/>
      <c r="P285" s="14" t="inlineStr">
        <is>
          <t>Not started</t>
        </is>
      </c>
      <c r="Q285" s="14" t="n"/>
    </row>
    <row r="286">
      <c r="A286" s="14" t="inlineStr">
        <is>
          <t>RNW_RA_LAST_NOTICE_DAYS</t>
        </is>
      </c>
      <c r="B286" s="14" t="inlineStr">
        <is>
          <t>Renewal</t>
        </is>
      </c>
      <c r="C286" s="14" t="inlineStr">
        <is>
          <t>Renewal</t>
        </is>
      </c>
      <c r="D286" s="14" t="inlineStr">
        <is>
          <t>Drop 1</t>
        </is>
      </c>
      <c r="E286" s="14" t="inlineStr">
        <is>
          <t>Product Owner, Renewal</t>
        </is>
      </c>
      <c r="F286" s="14" t="inlineStr">
        <is>
          <t>Days before expiry of the Renewal Advice Last Notice</t>
        </is>
      </c>
      <c r="G286" s="14" t="inlineStr">
        <is>
          <t>integer</t>
        </is>
      </c>
      <c r="H286" s="14" t="inlineStr">
        <is>
          <t>45</t>
        </is>
      </c>
      <c r="I286" s="14" t="inlineStr">
        <is>
          <t>1 to 365</t>
        </is>
      </c>
      <c r="J286" s="14" t="inlineStr">
        <is>
          <t>Template</t>
        </is>
      </c>
      <c r="K286" s="14" t="inlineStr">
        <is>
          <t>This workbook, sheet Ref System parameters</t>
        </is>
      </c>
      <c r="L286" s="14" t="inlineStr">
        <is>
          <t>16-Jul-2027 (T-24 weeks)</t>
        </is>
      </c>
      <c r="M286" s="14" t="n"/>
      <c r="N286" s="14" t="n"/>
      <c r="O286" s="14" t="n"/>
      <c r="P286" s="14" t="inlineStr">
        <is>
          <t>Not started</t>
        </is>
      </c>
      <c r="Q286" s="14" t="n"/>
    </row>
    <row r="287">
      <c r="A287" s="14" t="inlineStr">
        <is>
          <t>RNW_RA_MIN_NOTICE_DAYS</t>
        </is>
      </c>
      <c r="B287" s="14" t="inlineStr">
        <is>
          <t>Renewal</t>
        </is>
      </c>
      <c r="C287" s="14" t="inlineStr">
        <is>
          <t>Renewal</t>
        </is>
      </c>
      <c r="D287" s="14" t="inlineStr">
        <is>
          <t>Drop 1</t>
        </is>
      </c>
      <c r="E287" s="14" t="inlineStr">
        <is>
          <t>Product Owner, Renewal</t>
        </is>
      </c>
      <c r="F287" s="14" t="inlineStr">
        <is>
          <t>A Renewal Advice generated fewer days than this before expiry needs a confirmation</t>
        </is>
      </c>
      <c r="G287" s="14" t="inlineStr">
        <is>
          <t>integer</t>
        </is>
      </c>
      <c r="H287" s="14" t="inlineStr">
        <is>
          <t>30</t>
        </is>
      </c>
      <c r="I287" s="14" t="inlineStr">
        <is>
          <t>0 to 365</t>
        </is>
      </c>
      <c r="J287" s="14" t="inlineStr">
        <is>
          <t>Template</t>
        </is>
      </c>
      <c r="K287" s="14" t="inlineStr">
        <is>
          <t>This workbook, sheet Ref System parameters</t>
        </is>
      </c>
      <c r="L287" s="14" t="inlineStr">
        <is>
          <t>16-Jul-2027 (T-24 weeks)</t>
        </is>
      </c>
      <c r="M287" s="14" t="n"/>
      <c r="N287" s="14" t="n"/>
      <c r="O287" s="14" t="n"/>
      <c r="P287" s="14" t="inlineStr">
        <is>
          <t>Not started</t>
        </is>
      </c>
      <c r="Q287" s="14" t="n"/>
    </row>
    <row r="288">
      <c r="A288" s="14" t="inlineStr">
        <is>
          <t>RNW_RA_NOTICE_MODE</t>
        </is>
      </c>
      <c r="B288" s="14" t="inlineStr">
        <is>
          <t>Renewal</t>
        </is>
      </c>
      <c r="C288" s="14" t="inlineStr">
        <is>
          <t>Renewal</t>
        </is>
      </c>
      <c r="D288" s="14" t="inlineStr">
        <is>
          <t>Drop 1</t>
        </is>
      </c>
      <c r="E288" s="14" t="inlineStr">
        <is>
          <t>Product Owner, Renewal</t>
        </is>
      </c>
      <c r="F288" s="14" t="inlineStr">
        <is>
          <t>Renewal Advice notice: AUTOMATIC (First Notice from 75 days, Last Notice from 45 days before expiry) or MANUAL (the user chooses)</t>
        </is>
      </c>
      <c r="G288" s="14" t="inlineStr">
        <is>
          <t>string</t>
        </is>
      </c>
      <c r="H288" s="14" t="inlineStr">
        <is>
          <t>AUTOMATIC</t>
        </is>
      </c>
      <c r="I288" s="14" t="inlineStr"/>
      <c r="J288" s="14" t="inlineStr">
        <is>
          <t>Template</t>
        </is>
      </c>
      <c r="K288" s="14" t="inlineStr">
        <is>
          <t>This workbook, sheet Ref System parameters</t>
        </is>
      </c>
      <c r="L288" s="14" t="inlineStr">
        <is>
          <t>16-Jul-2027 (T-24 weeks)</t>
        </is>
      </c>
      <c r="M288" s="14" t="n"/>
      <c r="N288" s="14" t="n"/>
      <c r="O288" s="14" t="n"/>
      <c r="P288" s="14" t="inlineStr">
        <is>
          <t>Not started</t>
        </is>
      </c>
      <c r="Q288" s="14" t="n"/>
    </row>
    <row r="289">
      <c r="A289" s="14" t="inlineStr">
        <is>
          <t>RNW_RA_SECOND_NOTICE_DAYS</t>
        </is>
      </c>
      <c r="B289" s="14" t="inlineStr">
        <is>
          <t>Renewal</t>
        </is>
      </c>
      <c r="C289" s="14" t="inlineStr">
        <is>
          <t>Renewal</t>
        </is>
      </c>
      <c r="D289" s="14" t="inlineStr">
        <is>
          <t>Drop 1</t>
        </is>
      </c>
      <c r="E289" s="14" t="inlineStr">
        <is>
          <t>Product Owner, Renewal</t>
        </is>
      </c>
      <c r="F289" s="14" t="inlineStr">
        <is>
          <t>Days after the first notice without acceptance before a second notice is offered</t>
        </is>
      </c>
      <c r="G289" s="14" t="inlineStr">
        <is>
          <t>integer</t>
        </is>
      </c>
      <c r="H289" s="14" t="inlineStr">
        <is>
          <t>15</t>
        </is>
      </c>
      <c r="I289" s="14" t="inlineStr">
        <is>
          <t>1 to 365</t>
        </is>
      </c>
      <c r="J289" s="14" t="inlineStr">
        <is>
          <t>Template</t>
        </is>
      </c>
      <c r="K289" s="14" t="inlineStr">
        <is>
          <t>This workbook, sheet Ref System parameters</t>
        </is>
      </c>
      <c r="L289" s="14" t="inlineStr">
        <is>
          <t>16-Jul-2027 (T-24 weeks)</t>
        </is>
      </c>
      <c r="M289" s="14" t="n"/>
      <c r="N289" s="14" t="n"/>
      <c r="O289" s="14" t="n"/>
      <c r="P289" s="14" t="inlineStr">
        <is>
          <t>Not started</t>
        </is>
      </c>
      <c r="Q289" s="14" t="n"/>
    </row>
    <row r="290">
      <c r="A290" s="14" t="inlineStr">
        <is>
          <t>RNW_REFERENCE_PREFIX</t>
        </is>
      </c>
      <c r="B290" s="14" t="inlineStr">
        <is>
          <t>Renewal</t>
        </is>
      </c>
      <c r="C290" s="14" t="inlineStr">
        <is>
          <t>Renewal</t>
        </is>
      </c>
      <c r="D290" s="14" t="inlineStr">
        <is>
          <t>Drop 1</t>
        </is>
      </c>
      <c r="E290" s="14" t="inlineStr">
        <is>
          <t>Product Owner, Renewal</t>
        </is>
      </c>
      <c r="F290" s="14" t="inlineStr">
        <is>
          <t>Prefix of the renewal reference (prefix-yyyy-nnnnnn)</t>
        </is>
      </c>
      <c r="G290" s="14" t="inlineStr">
        <is>
          <t>string</t>
        </is>
      </c>
      <c r="H290" s="14" t="inlineStr">
        <is>
          <t>RNW</t>
        </is>
      </c>
      <c r="I290" s="14" t="inlineStr"/>
      <c r="J290" s="14" t="inlineStr">
        <is>
          <t>Template</t>
        </is>
      </c>
      <c r="K290" s="14" t="inlineStr">
        <is>
          <t>This workbook, sheet Ref Document numbering</t>
        </is>
      </c>
      <c r="L290" s="14" t="inlineStr">
        <is>
          <t>16-Jul-2027 (T-24 weeks)</t>
        </is>
      </c>
      <c r="M290" s="14" t="n"/>
      <c r="N290" s="14" t="n"/>
      <c r="O290" s="14" t="n"/>
      <c r="P290" s="14" t="inlineStr">
        <is>
          <t>Not started</t>
        </is>
      </c>
      <c r="Q290" s="14" t="n"/>
    </row>
    <row r="291">
      <c r="A291" s="14" t="inlineStr">
        <is>
          <t>RNW_REOPEN_DAYS</t>
        </is>
      </c>
      <c r="B291" s="14" t="inlineStr">
        <is>
          <t>Renewal</t>
        </is>
      </c>
      <c r="C291" s="14" t="inlineStr">
        <is>
          <t>Renewal</t>
        </is>
      </c>
      <c r="D291" s="14" t="inlineStr">
        <is>
          <t>Drop 1</t>
        </is>
      </c>
      <c r="E291" s="14" t="inlineStr">
        <is>
          <t>Product Owner, Renewal</t>
        </is>
      </c>
      <c r="F291" s="14" t="inlineStr">
        <is>
          <t>Days after expiry during which a Not for Renewal account can be re-opened</t>
        </is>
      </c>
      <c r="G291" s="14" t="inlineStr">
        <is>
          <t>integer</t>
        </is>
      </c>
      <c r="H291" s="14" t="inlineStr">
        <is>
          <t>30</t>
        </is>
      </c>
      <c r="I291" s="14" t="inlineStr">
        <is>
          <t>0 to 365</t>
        </is>
      </c>
      <c r="J291" s="14" t="inlineStr">
        <is>
          <t>Template</t>
        </is>
      </c>
      <c r="K291" s="14" t="inlineStr">
        <is>
          <t>This workbook, sheet Ref System parameters</t>
        </is>
      </c>
      <c r="L291" s="14" t="inlineStr">
        <is>
          <t>16-Jul-2027 (T-24 weeks)</t>
        </is>
      </c>
      <c r="M291" s="14" t="n"/>
      <c r="N291" s="14" t="n"/>
      <c r="O291" s="14" t="n"/>
      <c r="P291" s="14" t="inlineStr">
        <is>
          <t>Not started</t>
        </is>
      </c>
      <c r="Q291" s="14" t="n"/>
    </row>
    <row r="292">
      <c r="A292" s="14" t="inlineStr">
        <is>
          <t>RNW_RISK_CODE_REASON</t>
        </is>
      </c>
      <c r="B292" s="14" t="inlineStr">
        <is>
          <t>Renewal</t>
        </is>
      </c>
      <c r="C292" s="14" t="inlineStr">
        <is>
          <t>Renewal</t>
        </is>
      </c>
      <c r="D292" s="14" t="inlineStr">
        <is>
          <t>Drop 1</t>
        </is>
      </c>
      <c r="E292" s="14" t="inlineStr">
        <is>
          <t>Product Owner, Renewal</t>
        </is>
      </c>
      <c r="F292" s="14" t="inlineStr">
        <is>
          <t>Reason recorded when an account is Not for Renewal because of its risk code: SYSTEM (Non-renewable Accounts) or CLIENT (Non-Renewable Risk Code)</t>
        </is>
      </c>
      <c r="G292" s="14" t="inlineStr">
        <is>
          <t>string</t>
        </is>
      </c>
      <c r="H292" s="14" t="inlineStr">
        <is>
          <t>SYSTEM</t>
        </is>
      </c>
      <c r="I292" s="14" t="inlineStr"/>
      <c r="J292" s="14" t="inlineStr">
        <is>
          <t>Template</t>
        </is>
      </c>
      <c r="K292" s="14" t="inlineStr">
        <is>
          <t>This workbook, sheet Ref System parameters</t>
        </is>
      </c>
      <c r="L292" s="14" t="inlineStr">
        <is>
          <t>16-Jul-2027 (T-24 weeks)</t>
        </is>
      </c>
      <c r="M292" s="14" t="n"/>
      <c r="N292" s="14" t="n"/>
      <c r="O292" s="14" t="n"/>
      <c r="P292" s="14" t="inlineStr">
        <is>
          <t>Not started</t>
        </is>
      </c>
      <c r="Q292" s="14" t="n"/>
    </row>
    <row r="293">
      <c r="A293" s="14" t="inlineStr">
        <is>
          <t>RNW_RMU_UNIT</t>
        </is>
      </c>
      <c r="B293" s="14" t="inlineStr">
        <is>
          <t>Renewal</t>
        </is>
      </c>
      <c r="C293" s="14" t="inlineStr">
        <is>
          <t>Renewal</t>
        </is>
      </c>
      <c r="D293" s="14" t="inlineStr">
        <is>
          <t>Drop 1</t>
        </is>
      </c>
      <c r="E293" s="14" t="inlineStr">
        <is>
          <t>Product Owner, Renewal</t>
        </is>
      </c>
      <c r="F293" s="14" t="inlineStr">
        <is>
          <t>Sales unit that receives RMU accounts; empty = tag them Not for Renewal</t>
        </is>
      </c>
      <c r="G293" s="14" t="inlineStr">
        <is>
          <t>string</t>
        </is>
      </c>
      <c r="H293" s="14" t="inlineStr">
        <is>
          <t>(blank)</t>
        </is>
      </c>
      <c r="I293" s="14" t="inlineStr"/>
      <c r="J293" s="14" t="inlineStr">
        <is>
          <t>Template</t>
        </is>
      </c>
      <c r="K293" s="14" t="inlineStr">
        <is>
          <t>This workbook, sheet Ref System parameters</t>
        </is>
      </c>
      <c r="L293" s="14" t="inlineStr">
        <is>
          <t>16-Jul-2027 (T-24 weeks)</t>
        </is>
      </c>
      <c r="M293" s="14" t="n"/>
      <c r="N293" s="14" t="n"/>
      <c r="O293" s="14" t="n"/>
      <c r="P293" s="14" t="inlineStr">
        <is>
          <t>Not started</t>
        </is>
      </c>
      <c r="Q293" s="14" t="n"/>
    </row>
    <row r="294">
      <c r="A294" s="14" t="inlineStr">
        <is>
          <t>RNW_SECOND_APPROVAL</t>
        </is>
      </c>
      <c r="B294" s="14" t="inlineStr">
        <is>
          <t>Renewal</t>
        </is>
      </c>
      <c r="C294" s="14" t="inlineStr">
        <is>
          <t>Renewal</t>
        </is>
      </c>
      <c r="D294" s="14" t="inlineStr">
        <is>
          <t>Drop 1</t>
        </is>
      </c>
      <c r="E294" s="14" t="inlineStr">
        <is>
          <t>Product Owner, Renewal</t>
        </is>
      </c>
      <c r="F294" s="14" t="inlineStr">
        <is>
          <t>An accepted renewal account is Submitted for Approval and goes to placement only once an approver approves it (true), or goes to the payment gate and placement at once (false)</t>
        </is>
      </c>
      <c r="G294" s="14" t="inlineStr">
        <is>
          <t>boolean</t>
        </is>
      </c>
      <c r="H294" s="14" t="inlineStr">
        <is>
          <t>false</t>
        </is>
      </c>
      <c r="I294" s="14" t="inlineStr"/>
      <c r="J294" s="14" t="inlineStr">
        <is>
          <t>Template</t>
        </is>
      </c>
      <c r="K294" s="14" t="inlineStr">
        <is>
          <t>This workbook, sheet Ref System parameters</t>
        </is>
      </c>
      <c r="L294" s="14" t="inlineStr">
        <is>
          <t>16-Jul-2027 (T-24 weeks)</t>
        </is>
      </c>
      <c r="M294" s="14" t="n"/>
      <c r="N294" s="14" t="n"/>
      <c r="O294" s="14" t="n"/>
      <c r="P294" s="14" t="inlineStr">
        <is>
          <t>Not started</t>
        </is>
      </c>
      <c r="Q294" s="14" t="n"/>
    </row>
    <row r="295">
      <c r="A295" s="14" t="inlineStr">
        <is>
          <t>RNW_STATUS_NAMES</t>
        </is>
      </c>
      <c r="B295" s="14" t="inlineStr">
        <is>
          <t>Renewal</t>
        </is>
      </c>
      <c r="C295" s="14" t="inlineStr">
        <is>
          <t>Renewal</t>
        </is>
      </c>
      <c r="D295" s="14" t="inlineStr">
        <is>
          <t>Drop 1</t>
        </is>
      </c>
      <c r="E295" s="14" t="inlineStr">
        <is>
          <t>Product Owner, Renewal</t>
        </is>
      </c>
      <c r="F295" s="14" t="inlineStr">
        <is>
          <t>Names of the renewal statuses on the dashboards and lists: CLIENT (In Process Renewal, Submitted for Posting, Posted ...) or SYSTEM (the workflow stage names)</t>
        </is>
      </c>
      <c r="G295" s="14" t="inlineStr">
        <is>
          <t>string</t>
        </is>
      </c>
      <c r="H295" s="14" t="inlineStr">
        <is>
          <t>CLIENT</t>
        </is>
      </c>
      <c r="I295" s="14" t="inlineStr"/>
      <c r="J295" s="14" t="inlineStr">
        <is>
          <t>Template</t>
        </is>
      </c>
      <c r="K295" s="14" t="inlineStr">
        <is>
          <t>This workbook, sheet Ref System parameters</t>
        </is>
      </c>
      <c r="L295" s="14" t="inlineStr">
        <is>
          <t>16-Jul-2027 (T-24 weeks)</t>
        </is>
      </c>
      <c r="M295" s="14" t="n"/>
      <c r="N295" s="14" t="n"/>
      <c r="O295" s="14" t="n"/>
      <c r="P295" s="14" t="inlineStr">
        <is>
          <t>Not started</t>
        </is>
      </c>
      <c r="Q295" s="14" t="n"/>
    </row>
    <row r="296">
      <c r="A296" s="14" t="inlineStr">
        <is>
          <t>RNW_STP_SKIP_TL_REVIEW</t>
        </is>
      </c>
      <c r="B296" s="14" t="inlineStr">
        <is>
          <t>Renewal</t>
        </is>
      </c>
      <c r="C296" s="14" t="inlineStr">
        <is>
          <t>Renewal</t>
        </is>
      </c>
      <c r="D296" s="14" t="inlineStr">
        <is>
          <t>Drop 1</t>
        </is>
      </c>
      <c r="E296" s="14" t="inlineStr">
        <is>
          <t>Product Owner, Renewal</t>
        </is>
      </c>
      <c r="F296" s="14" t="inlineStr">
        <is>
          <t>Automatic dispositions of the decision matrix skip the Team Leader review</t>
        </is>
      </c>
      <c r="G296" s="14" t="inlineStr">
        <is>
          <t>boolean</t>
        </is>
      </c>
      <c r="H296" s="14" t="inlineStr">
        <is>
          <t>true</t>
        </is>
      </c>
      <c r="I296" s="14" t="inlineStr"/>
      <c r="J296" s="14" t="inlineStr">
        <is>
          <t>Template</t>
        </is>
      </c>
      <c r="K296" s="14" t="inlineStr">
        <is>
          <t>This workbook, sheet Ref System parameters</t>
        </is>
      </c>
      <c r="L296" s="14" t="inlineStr">
        <is>
          <t>16-Jul-2027 (T-24 weeks)</t>
        </is>
      </c>
      <c r="M296" s="14" t="n"/>
      <c r="N296" s="14" t="n"/>
      <c r="O296" s="14" t="n"/>
      <c r="P296" s="14" t="inlineStr">
        <is>
          <t>Not started</t>
        </is>
      </c>
      <c r="Q296" s="14" t="n"/>
    </row>
    <row r="297">
      <c r="A297" s="14" t="inlineStr">
        <is>
          <t>RNW_THIRD_BUCKET</t>
        </is>
      </c>
      <c r="B297" s="14" t="inlineStr">
        <is>
          <t>Renewal</t>
        </is>
      </c>
      <c r="C297" s="14" t="inlineStr">
        <is>
          <t>Renewal</t>
        </is>
      </c>
      <c r="D297" s="14" t="inlineStr">
        <is>
          <t>Drop 1</t>
        </is>
      </c>
      <c r="E297" s="14" t="inlineStr">
        <is>
          <t>Product Owner, Renewal</t>
        </is>
      </c>
      <c r="F297" s="14" t="inlineStr">
        <is>
          <t>Third panel of the renewal accounts: NON_RENEWABLE (Clean, Review, Non-Renewable and All; Exception accounts under Review) or EXCEPTION (Clean, Review, Exception and All)</t>
        </is>
      </c>
      <c r="G297" s="14" t="inlineStr">
        <is>
          <t>string</t>
        </is>
      </c>
      <c r="H297" s="14" t="inlineStr">
        <is>
          <t>NON_RENEWABLE</t>
        </is>
      </c>
      <c r="I297" s="14" t="inlineStr"/>
      <c r="J297" s="14" t="inlineStr">
        <is>
          <t>Template</t>
        </is>
      </c>
      <c r="K297" s="14" t="inlineStr">
        <is>
          <t>This workbook, sheet Ref System parameters</t>
        </is>
      </c>
      <c r="L297" s="14" t="inlineStr">
        <is>
          <t>16-Jul-2027 (T-24 weeks)</t>
        </is>
      </c>
      <c r="M297" s="14" t="n"/>
      <c r="N297" s="14" t="n"/>
      <c r="O297" s="14" t="n"/>
      <c r="P297" s="14" t="inlineStr">
        <is>
          <t>Not started</t>
        </is>
      </c>
      <c r="Q297" s="14" t="n"/>
    </row>
    <row r="298">
      <c r="A298" s="14" t="inlineStr">
        <is>
          <t>RNW_TOP_DEALS_OPTIONS</t>
        </is>
      </c>
      <c r="B298" s="14" t="inlineStr">
        <is>
          <t>Renewal</t>
        </is>
      </c>
      <c r="C298" s="14" t="inlineStr">
        <is>
          <t>Renewal</t>
        </is>
      </c>
      <c r="D298" s="14" t="inlineStr">
        <is>
          <t>Drop 1</t>
        </is>
      </c>
      <c r="E298" s="14" t="inlineStr">
        <is>
          <t>Product Owner, Renewal</t>
        </is>
      </c>
      <c r="F298" s="14" t="inlineStr">
        <is>
          <t>Biggest Open Deals: the sizes of the ranking a user can choose</t>
        </is>
      </c>
      <c r="G298" s="14" t="inlineStr">
        <is>
          <t>integer list</t>
        </is>
      </c>
      <c r="H298" s="14" t="inlineStr">
        <is>
          <t>50,75,100</t>
        </is>
      </c>
      <c r="I298" s="14" t="inlineStr"/>
      <c r="J298" s="14" t="inlineStr">
        <is>
          <t>Template</t>
        </is>
      </c>
      <c r="K298" s="14" t="inlineStr">
        <is>
          <t>This workbook, sheet Ref System parameters</t>
        </is>
      </c>
      <c r="L298" s="14" t="inlineStr">
        <is>
          <t>16-Jul-2027 (T-24 weeks)</t>
        </is>
      </c>
      <c r="M298" s="14" t="n"/>
      <c r="N298" s="14" t="n"/>
      <c r="O298" s="14" t="n"/>
      <c r="P298" s="14" t="inlineStr">
        <is>
          <t>Not started</t>
        </is>
      </c>
      <c r="Q298" s="14" t="n"/>
    </row>
    <row r="299">
      <c r="A299" s="14" t="inlineStr">
        <is>
          <t>RNW_TOTAL_LOSS_SETTLEMENT_TYPES</t>
        </is>
      </c>
      <c r="B299" s="14" t="inlineStr">
        <is>
          <t>Renewal</t>
        </is>
      </c>
      <c r="C299" s="14" t="inlineStr">
        <is>
          <t>Renewal</t>
        </is>
      </c>
      <c r="D299" s="14" t="inlineStr">
        <is>
          <t>Drop 1</t>
        </is>
      </c>
      <c r="E299" s="14" t="inlineStr">
        <is>
          <t>Product Owner, Renewal</t>
        </is>
      </c>
      <c r="F299" s="14" t="inlineStr">
        <is>
          <t>Claim settlement types of a total loss: the renewal account is Not for Renewal with the reason Total Loss Claim</t>
        </is>
      </c>
      <c r="G299" s="14" t="inlineStr">
        <is>
          <t>code list</t>
        </is>
      </c>
      <c r="H299" s="14" t="inlineStr">
        <is>
          <t>SETTLED_TOTAL_LOSS</t>
        </is>
      </c>
      <c r="I299" s="14" t="inlineStr"/>
      <c r="J299" s="14" t="inlineStr">
        <is>
          <t>Template</t>
        </is>
      </c>
      <c r="K299" s="14" t="inlineStr">
        <is>
          <t>This workbook, sheet Ref System parameters</t>
        </is>
      </c>
      <c r="L299" s="14" t="inlineStr">
        <is>
          <t>16-Jul-2027 (T-24 weeks)</t>
        </is>
      </c>
      <c r="M299" s="14" t="n"/>
      <c r="N299" s="14" t="n"/>
      <c r="O299" s="14" t="n"/>
      <c r="P299" s="14" t="inlineStr">
        <is>
          <t>Not started</t>
        </is>
      </c>
      <c r="Q299" s="14" t="n"/>
    </row>
    <row r="300">
      <c r="A300" s="14" t="inlineStr">
        <is>
          <t>RNW_TRANSFER_MODE</t>
        </is>
      </c>
      <c r="B300" s="14" t="inlineStr">
        <is>
          <t>Renewal</t>
        </is>
      </c>
      <c r="C300" s="14" t="inlineStr">
        <is>
          <t>Renewal</t>
        </is>
      </c>
      <c r="D300" s="14" t="inlineStr">
        <is>
          <t>Drop 1</t>
        </is>
      </c>
      <c r="E300" s="14" t="inlineStr">
        <is>
          <t>Product Owner, Renewal</t>
        </is>
      </c>
      <c r="F300" s="14" t="inlineStr">
        <is>
          <t>Transfer to another Marketing unit: TRANSFER (the renewal account moves to the unit), REFERRAL (the unit opens a New Business account, the renewal keeps its owner) or BOTH</t>
        </is>
      </c>
      <c r="G300" s="14" t="inlineStr">
        <is>
          <t>string</t>
        </is>
      </c>
      <c r="H300" s="14" t="inlineStr">
        <is>
          <t>BOTH</t>
        </is>
      </c>
      <c r="I300" s="14" t="inlineStr"/>
      <c r="J300" s="14" t="inlineStr">
        <is>
          <t>Template</t>
        </is>
      </c>
      <c r="K300" s="14" t="inlineStr">
        <is>
          <t>This workbook, sheet Ref System parameters</t>
        </is>
      </c>
      <c r="L300" s="14" t="inlineStr">
        <is>
          <t>16-Jul-2027 (T-24 weeks)</t>
        </is>
      </c>
      <c r="M300" s="14" t="n"/>
      <c r="N300" s="14" t="n"/>
      <c r="O300" s="14" t="n"/>
      <c r="P300" s="14" t="inlineStr">
        <is>
          <t>Not started</t>
        </is>
      </c>
      <c r="Q300" s="14" t="n"/>
    </row>
    <row r="301">
      <c r="A301" s="14" t="inlineStr">
        <is>
          <t>RNW_TSI_ABOVE_ROUTE</t>
        </is>
      </c>
      <c r="B301" s="14" t="inlineStr">
        <is>
          <t>Renewal</t>
        </is>
      </c>
      <c r="C301" s="14" t="inlineStr">
        <is>
          <t>Renewal</t>
        </is>
      </c>
      <c r="D301" s="14" t="inlineStr">
        <is>
          <t>Drop 1</t>
        </is>
      </c>
      <c r="E301" s="14" t="inlineStr">
        <is>
          <t>Product Owner, Renewal</t>
        </is>
      </c>
      <c r="F301" s="14" t="inlineStr">
        <is>
          <t>Total sum insured above the threshold: QUOTATION (Clean with For Quotation, to the TSU) or REVIEW (Review with a proposal for the TSU)</t>
        </is>
      </c>
      <c r="G301" s="14" t="inlineStr">
        <is>
          <t>string</t>
        </is>
      </c>
      <c r="H301" s="14" t="inlineStr">
        <is>
          <t>QUOTATION</t>
        </is>
      </c>
      <c r="I301" s="14" t="inlineStr"/>
      <c r="J301" s="14" t="inlineStr">
        <is>
          <t>Template</t>
        </is>
      </c>
      <c r="K301" s="14" t="inlineStr">
        <is>
          <t>This workbook, sheet Ref System parameters</t>
        </is>
      </c>
      <c r="L301" s="14" t="inlineStr">
        <is>
          <t>16-Jul-2027 (T-24 weeks)</t>
        </is>
      </c>
      <c r="M301" s="14" t="n"/>
      <c r="N301" s="14" t="n"/>
      <c r="O301" s="14" t="n"/>
      <c r="P301" s="14" t="inlineStr">
        <is>
          <t>Not started</t>
        </is>
      </c>
      <c r="Q301" s="14" t="n"/>
    </row>
    <row r="302">
      <c r="A302" s="14" t="inlineStr">
        <is>
          <t>AGEING_BUCKETS</t>
        </is>
      </c>
      <c r="B302" s="14" t="inlineStr">
        <is>
          <t>Reporting</t>
        </is>
      </c>
      <c r="C302" s="14" t="inlineStr">
        <is>
          <t>Accounting, Disbursement and ACSL</t>
        </is>
      </c>
      <c r="D302" s="14" t="inlineStr">
        <is>
          <t>Drop 1</t>
        </is>
      </c>
      <c r="E302" s="14" t="inlineStr">
        <is>
          <t>Head, Comptrollership</t>
        </is>
      </c>
      <c r="F302" s="14" t="inlineStr">
        <is>
          <t>Default ageing slots in days (up to 5 ascending limits) of the debtors and creditors ageing reports; users may override them per run</t>
        </is>
      </c>
      <c r="G302" s="14" t="inlineStr">
        <is>
          <t>integer list</t>
        </is>
      </c>
      <c r="H302" s="14" t="inlineStr">
        <is>
          <t>30,60,90,120</t>
        </is>
      </c>
      <c r="I302" s="14" t="inlineStr">
        <is>
          <t>1 to 3650</t>
        </is>
      </c>
      <c r="J302" s="14" t="inlineStr">
        <is>
          <t>Template</t>
        </is>
      </c>
      <c r="K302" s="14" t="inlineStr">
        <is>
          <t>This workbook, sheet Ref System parameters</t>
        </is>
      </c>
      <c r="L302" s="14" t="inlineStr">
        <is>
          <t>16-Jul-2027 (T-24 weeks)</t>
        </is>
      </c>
      <c r="M302" s="14" t="n"/>
      <c r="N302" s="14" t="n"/>
      <c r="O302" s="14" t="n"/>
      <c r="P302" s="14" t="inlineStr">
        <is>
          <t>Not started</t>
        </is>
      </c>
      <c r="Q302" s="14" t="n"/>
    </row>
    <row r="303">
      <c r="A303" s="14" t="inlineStr">
        <is>
          <t>EXPORT_FILE_NAMES_BDOI</t>
        </is>
      </c>
      <c r="B303" s="14" t="inlineStr">
        <is>
          <t>Reporting</t>
        </is>
      </c>
      <c r="C303" s="14" t="inlineStr">
        <is>
          <t>Accounting, Disbursement and ACSL</t>
        </is>
      </c>
      <c r="D303" s="14" t="inlineStr">
        <is>
          <t>Drop 1</t>
        </is>
      </c>
      <c r="E303" s="14" t="inlineStr">
        <is>
          <t>Head, Comptrollership</t>
        </is>
      </c>
      <c r="F303" s="14" t="inlineStr">
        <is>
          <t>true: the exported audit logs, user access reports and Product Maintenance files are named &lt;name&gt;_MMDDYYYY with the extraction date, for example Audit Logs_10092026.xlsx (the bank's process); false: they are named by the report code</t>
        </is>
      </c>
      <c r="G303" s="14" t="inlineStr">
        <is>
          <t>boolean</t>
        </is>
      </c>
      <c r="H303" s="14" t="inlineStr">
        <is>
          <t>true</t>
        </is>
      </c>
      <c r="I303" s="14" t="inlineStr"/>
      <c r="J303" s="14" t="inlineStr">
        <is>
          <t>Template</t>
        </is>
      </c>
      <c r="K303" s="14" t="inlineStr">
        <is>
          <t>This workbook, sheet Ref System parameters</t>
        </is>
      </c>
      <c r="L303" s="14" t="inlineStr">
        <is>
          <t>16-Jul-2027 (T-24 weeks)</t>
        </is>
      </c>
      <c r="M303" s="14" t="n"/>
      <c r="N303" s="14" t="n"/>
      <c r="O303" s="14" t="n"/>
      <c r="P303" s="14" t="inlineStr">
        <is>
          <t>Not started</t>
        </is>
      </c>
      <c r="Q303" s="14" t="n"/>
    </row>
    <row r="304">
      <c r="A304" s="14" t="inlineStr">
        <is>
          <t>REPORT_FOOTER_TEXT</t>
        </is>
      </c>
      <c r="B304" s="14" t="inlineStr">
        <is>
          <t>Reporting</t>
        </is>
      </c>
      <c r="C304" s="14" t="inlineStr">
        <is>
          <t>Accounting, Disbursement and ACSL</t>
        </is>
      </c>
      <c r="D304" s="14" t="inlineStr">
        <is>
          <t>Drop 1</t>
        </is>
      </c>
      <c r="E304" s="14" t="inlineStr">
        <is>
          <t>Head, Comptrollership</t>
        </is>
      </c>
      <c r="F304" s="14" t="inlineStr">
        <is>
          <t>Footer text printed on exported reports</t>
        </is>
      </c>
      <c r="G304" s="14" t="inlineStr">
        <is>
          <t>string</t>
        </is>
      </c>
      <c r="H304" s="14" t="inlineStr">
        <is>
          <t>Confidential - for internal use only.</t>
        </is>
      </c>
      <c r="I304" s="14" t="inlineStr"/>
      <c r="J304" s="14" t="inlineStr">
        <is>
          <t>Template</t>
        </is>
      </c>
      <c r="K304" s="14" t="inlineStr">
        <is>
          <t>This workbook, sheet Ref System parameters</t>
        </is>
      </c>
      <c r="L304" s="14" t="inlineStr">
        <is>
          <t>16-Jul-2027 (T-24 weeks)</t>
        </is>
      </c>
      <c r="M304" s="14" t="n"/>
      <c r="N304" s="14" t="n"/>
      <c r="O304" s="14" t="n"/>
      <c r="P304" s="14" t="inlineStr">
        <is>
          <t>Not started</t>
        </is>
      </c>
      <c r="Q304" s="14" t="n"/>
    </row>
    <row r="305">
      <c r="A305" s="14" t="inlineStr">
        <is>
          <t>SCR_BLOCK_ON_OPEN_MATCH</t>
        </is>
      </c>
      <c r="B305" s="14" t="inlineStr">
        <is>
          <t>Screening</t>
        </is>
      </c>
      <c r="C305" s="14" t="inlineStr">
        <is>
          <t>Sanction Screening</t>
        </is>
      </c>
      <c r="D305" s="14" t="inlineStr">
        <is>
          <t>Drop 1</t>
        </is>
      </c>
      <c r="E305" s="14" t="inlineStr">
        <is>
          <t>Compliance</t>
        </is>
      </c>
      <c r="F305" s="14" t="inlineStr">
        <is>
          <t>When true, account submission and placement are refused while the client has an open true or potential match</t>
        </is>
      </c>
      <c r="G305" s="14" t="inlineStr">
        <is>
          <t>boolean</t>
        </is>
      </c>
      <c r="H305" s="14" t="inlineStr">
        <is>
          <t>false</t>
        </is>
      </c>
      <c r="I305" s="14" t="inlineStr"/>
      <c r="J305" s="14" t="inlineStr">
        <is>
          <t>Template</t>
        </is>
      </c>
      <c r="K305" s="14" t="inlineStr">
        <is>
          <t>This workbook, sheet Ref System parameters</t>
        </is>
      </c>
      <c r="L305" s="14" t="inlineStr">
        <is>
          <t>16-Jul-2027 (T-24 weeks)</t>
        </is>
      </c>
      <c r="M305" s="14" t="n"/>
      <c r="N305" s="14" t="n"/>
      <c r="O305" s="14" t="n"/>
      <c r="P305" s="14" t="inlineStr">
        <is>
          <t>Not started</t>
        </is>
      </c>
      <c r="Q305" s="14" t="n"/>
    </row>
    <row r="306">
      <c r="A306" s="14" t="inlineStr">
        <is>
          <t>SCR_CASE_SEQUENCE_PREFIX</t>
        </is>
      </c>
      <c r="B306" s="14" t="inlineStr">
        <is>
          <t>Screening</t>
        </is>
      </c>
      <c r="C306" s="14" t="inlineStr">
        <is>
          <t>Sanction Screening</t>
        </is>
      </c>
      <c r="D306" s="14" t="inlineStr">
        <is>
          <t>Drop 1</t>
        </is>
      </c>
      <c r="E306" s="14" t="inlineStr">
        <is>
          <t>Compliance</t>
        </is>
      </c>
      <c r="F306" s="14" t="inlineStr">
        <is>
          <t>Prefix of the screening case number &lt;prefix&gt;-yyyy-nnnnnn</t>
        </is>
      </c>
      <c r="G306" s="14" t="inlineStr">
        <is>
          <t>string</t>
        </is>
      </c>
      <c r="H306" s="14" t="inlineStr">
        <is>
          <t>SCR</t>
        </is>
      </c>
      <c r="I306" s="14" t="inlineStr"/>
      <c r="J306" s="14" t="inlineStr">
        <is>
          <t>Template</t>
        </is>
      </c>
      <c r="K306" s="14" t="inlineStr">
        <is>
          <t>This workbook, sheet Ref Document numbering</t>
        </is>
      </c>
      <c r="L306" s="14" t="inlineStr">
        <is>
          <t>16-Jul-2027 (T-24 weeks)</t>
        </is>
      </c>
      <c r="M306" s="14" t="n"/>
      <c r="N306" s="14" t="n"/>
      <c r="O306" s="14" t="n"/>
      <c r="P306" s="14" t="inlineStr">
        <is>
          <t>Not started</t>
        </is>
      </c>
      <c r="Q306" s="14" t="n"/>
    </row>
    <row r="307">
      <c r="A307" s="14" t="inlineStr">
        <is>
          <t>SCR_COMMITTEE_RULE</t>
        </is>
      </c>
      <c r="B307" s="14" t="inlineStr">
        <is>
          <t>Screening</t>
        </is>
      </c>
      <c r="C307" s="14" t="inlineStr">
        <is>
          <t>Sanction Screening</t>
        </is>
      </c>
      <c r="D307" s="14" t="inlineStr">
        <is>
          <t>Drop 1</t>
        </is>
      </c>
      <c r="E307" s="14" t="inlineStr">
        <is>
          <t>Compliance</t>
        </is>
      </c>
      <c r="F307" s="14" t="inlineStr">
        <is>
          <t>How the AML Committee decides: ANY, MAJORITY or ALL of SCR_COMMITTEE_SIZE members</t>
        </is>
      </c>
      <c r="G307" s="14" t="inlineStr">
        <is>
          <t>string</t>
        </is>
      </c>
      <c r="H307" s="14" t="inlineStr">
        <is>
          <t>MAJORITY</t>
        </is>
      </c>
      <c r="I307" s="14" t="inlineStr"/>
      <c r="J307" s="14" t="inlineStr">
        <is>
          <t>Template</t>
        </is>
      </c>
      <c r="K307" s="14" t="inlineStr">
        <is>
          <t>This workbook, sheet Ref System parameters</t>
        </is>
      </c>
      <c r="L307" s="14" t="inlineStr">
        <is>
          <t>16-Jul-2027 (T-24 weeks)</t>
        </is>
      </c>
      <c r="M307" s="14" t="n"/>
      <c r="N307" s="14" t="n"/>
      <c r="O307" s="14" t="n"/>
      <c r="P307" s="14" t="inlineStr">
        <is>
          <t>Not started</t>
        </is>
      </c>
      <c r="Q307" s="14" t="n"/>
    </row>
    <row r="308">
      <c r="A308" s="14" t="inlineStr">
        <is>
          <t>SCR_COMMITTEE_SIZE</t>
        </is>
      </c>
      <c r="B308" s="14" t="inlineStr">
        <is>
          <t>Screening</t>
        </is>
      </c>
      <c r="C308" s="14" t="inlineStr">
        <is>
          <t>Sanction Screening</t>
        </is>
      </c>
      <c r="D308" s="14" t="inlineStr">
        <is>
          <t>Drop 1</t>
        </is>
      </c>
      <c r="E308" s="14" t="inlineStr">
        <is>
          <t>Compliance</t>
        </is>
      </c>
      <c r="F308" s="14" t="inlineStr">
        <is>
          <t>Members of the AML Committee counted by the MAJORITY / ALL rule</t>
        </is>
      </c>
      <c r="G308" s="14" t="inlineStr">
        <is>
          <t>integer</t>
        </is>
      </c>
      <c r="H308" s="14" t="inlineStr">
        <is>
          <t>5</t>
        </is>
      </c>
      <c r="I308" s="14" t="inlineStr">
        <is>
          <t>1 to 20</t>
        </is>
      </c>
      <c r="J308" s="14" t="inlineStr">
        <is>
          <t>Template</t>
        </is>
      </c>
      <c r="K308" s="14" t="inlineStr">
        <is>
          <t>This workbook, sheet Ref System parameters</t>
        </is>
      </c>
      <c r="L308" s="14" t="inlineStr">
        <is>
          <t>16-Jul-2027 (T-24 weeks)</t>
        </is>
      </c>
      <c r="M308" s="14" t="n"/>
      <c r="N308" s="14" t="n"/>
      <c r="O308" s="14" t="n"/>
      <c r="P308" s="14" t="inlineStr">
        <is>
          <t>Not started</t>
        </is>
      </c>
      <c r="Q308" s="14" t="n"/>
    </row>
    <row r="309">
      <c r="A309" s="14" t="inlineStr">
        <is>
          <t>SCR_FULL_RESCREEN_DAY</t>
        </is>
      </c>
      <c r="B309" s="14" t="inlineStr">
        <is>
          <t>Screening</t>
        </is>
      </c>
      <c r="C309" s="14" t="inlineStr">
        <is>
          <t>Sanction Screening</t>
        </is>
      </c>
      <c r="D309" s="14" t="inlineStr">
        <is>
          <t>Drop 1</t>
        </is>
      </c>
      <c r="E309" s="14" t="inlineStr">
        <is>
          <t>Compliance</t>
        </is>
      </c>
      <c r="F309" s="14" t="inlineStr">
        <is>
          <t>Day of the month of the full rescreen of the in-scope clients; other days screen the list changes only</t>
        </is>
      </c>
      <c r="G309" s="14" t="inlineStr">
        <is>
          <t>integer</t>
        </is>
      </c>
      <c r="H309" s="14" t="inlineStr">
        <is>
          <t>1</t>
        </is>
      </c>
      <c r="I309" s="14" t="inlineStr">
        <is>
          <t>1 to 28</t>
        </is>
      </c>
      <c r="J309" s="14" t="inlineStr">
        <is>
          <t>Template</t>
        </is>
      </c>
      <c r="K309" s="14" t="inlineStr">
        <is>
          <t>This workbook, sheet Ref System parameters</t>
        </is>
      </c>
      <c r="L309" s="14" t="inlineStr">
        <is>
          <t>16-Jul-2027 (T-24 weeks)</t>
        </is>
      </c>
      <c r="M309" s="14" t="n"/>
      <c r="N309" s="14" t="n"/>
      <c r="O309" s="14" t="n"/>
      <c r="P309" s="14" t="inlineStr">
        <is>
          <t>Not started</t>
        </is>
      </c>
      <c r="Q309" s="14" t="n"/>
    </row>
    <row r="310">
      <c r="A310" s="14" t="inlineStr">
        <is>
          <t>SCR_INGEST_ALERT_RECIPIENTS</t>
        </is>
      </c>
      <c r="B310" s="14" t="inlineStr">
        <is>
          <t>Screening</t>
        </is>
      </c>
      <c r="C310" s="14" t="inlineStr">
        <is>
          <t>Sanction Screening</t>
        </is>
      </c>
      <c r="D310" s="14" t="inlineStr">
        <is>
          <t>Drop 1</t>
        </is>
      </c>
      <c r="E310" s="14" t="inlineStr">
        <is>
          <t>Compliance</t>
        </is>
      </c>
      <c r="F310" s="14" t="inlineStr">
        <is>
          <t>Comma separated e-mail addresses that receive the digest of failed watchlist records</t>
        </is>
      </c>
      <c r="G310" s="14" t="inlineStr">
        <is>
          <t>string</t>
        </is>
      </c>
      <c r="H310" s="14" t="inlineStr">
        <is>
          <t>(blank)</t>
        </is>
      </c>
      <c r="I310" s="14" t="inlineStr"/>
      <c r="J310" s="14" t="inlineStr">
        <is>
          <t>Template</t>
        </is>
      </c>
      <c r="K310" s="14" t="inlineStr">
        <is>
          <t>This workbook, sheet Ref System parameters</t>
        </is>
      </c>
      <c r="L310" s="14" t="inlineStr">
        <is>
          <t>16-Jul-2027 (T-24 weeks)</t>
        </is>
      </c>
      <c r="M310" s="14" t="n"/>
      <c r="N310" s="14" t="n"/>
      <c r="O310" s="14" t="n"/>
      <c r="P310" s="14" t="inlineStr">
        <is>
          <t>Not started</t>
        </is>
      </c>
      <c r="Q310" s="14" t="n"/>
    </row>
    <row r="311">
      <c r="A311" s="14" t="inlineStr">
        <is>
          <t>SCR_SCREENING_SCOPE</t>
        </is>
      </c>
      <c r="B311" s="14" t="inlineStr">
        <is>
          <t>Screening</t>
        </is>
      </c>
      <c r="C311" s="14" t="inlineStr">
        <is>
          <t>Sanction Screening</t>
        </is>
      </c>
      <c r="D311" s="14" t="inlineStr">
        <is>
          <t>Drop 1</t>
        </is>
      </c>
      <c r="E311" s="14" t="inlineStr">
        <is>
          <t>Compliance</t>
        </is>
      </c>
      <c r="F311" s="14" t="inlineStr">
        <is>
          <t>Client statuses screened by the periodic run</t>
        </is>
      </c>
      <c r="G311" s="14" t="inlineStr">
        <is>
          <t>code list</t>
        </is>
      </c>
      <c r="H311" s="14" t="inlineStr">
        <is>
          <t>PROSPECT,CONFIRMED</t>
        </is>
      </c>
      <c r="I311" s="14" t="inlineStr"/>
      <c r="J311" s="14" t="inlineStr">
        <is>
          <t>Template</t>
        </is>
      </c>
      <c r="K311" s="14" t="inlineStr">
        <is>
          <t>This workbook, sheet Ref System parameters</t>
        </is>
      </c>
      <c r="L311" s="14" t="inlineStr">
        <is>
          <t>16-Jul-2027 (T-24 weeks)</t>
        </is>
      </c>
      <c r="M311" s="14" t="n"/>
      <c r="N311" s="14" t="n"/>
      <c r="O311" s="14" t="n"/>
      <c r="P311" s="14" t="inlineStr">
        <is>
          <t>Not started</t>
        </is>
      </c>
      <c r="Q311" s="14" t="n"/>
    </row>
    <row r="312">
      <c r="A312" s="14" t="inlineStr">
        <is>
          <t>ACCESS_ALLOWED_NETWORKS</t>
        </is>
      </c>
      <c r="B312" s="14" t="inlineStr">
        <is>
          <t>Security</t>
        </is>
      </c>
      <c r="C312" s="14" t="inlineStr">
        <is>
          <t>Security settings</t>
        </is>
      </c>
      <c r="D312" s="14" t="inlineStr">
        <is>
          <t>Drop 0</t>
        </is>
      </c>
      <c r="E312" s="14" t="inlineStr">
        <is>
          <t>BDOI Information Security</t>
        </is>
      </c>
      <c r="F312" s="14" t="inlineStr">
        <is>
          <t>Company networks accepted when the device restriction is ON: addresses or CIDR ranges separated by commas, e.g. 10.20.0.0/16</t>
        </is>
      </c>
      <c r="G312" s="14" t="inlineStr">
        <is>
          <t>string</t>
        </is>
      </c>
      <c r="H312" s="14" t="inlineStr">
        <is>
          <t>(blank)</t>
        </is>
      </c>
      <c r="I312" s="14" t="inlineStr"/>
      <c r="J312" s="14" t="inlineStr">
        <is>
          <t>Template</t>
        </is>
      </c>
      <c r="K312" s="14" t="inlineStr">
        <is>
          <t>This workbook, sheet Ref System parameters</t>
        </is>
      </c>
      <c r="L312" s="14" t="inlineStr">
        <is>
          <t>16-Jul-2027 (T-24 weeks)</t>
        </is>
      </c>
      <c r="M312" s="14" t="n"/>
      <c r="N312" s="14" t="n"/>
      <c r="O312" s="14" t="n"/>
      <c r="P312" s="14" t="inlineStr">
        <is>
          <t>Not started</t>
        </is>
      </c>
      <c r="Q312" s="14" t="n"/>
    </row>
    <row r="313">
      <c r="A313" s="14" t="inlineStr">
        <is>
          <t>ACCESS_DEVICE_HEADER</t>
        </is>
      </c>
      <c r="B313" s="14" t="inlineStr">
        <is>
          <t>Security</t>
        </is>
      </c>
      <c r="C313" s="14" t="inlineStr">
        <is>
          <t>Security settings</t>
        </is>
      </c>
      <c r="D313" s="14" t="inlineStr">
        <is>
          <t>Drop 0</t>
        </is>
      </c>
      <c r="E313" s="14" t="inlineStr">
        <is>
          <t>BDOI Information Security</t>
        </is>
      </c>
      <c r="F313" s="14" t="inlineStr">
        <is>
          <t>Header the device-management gateway adds for a company-issued device, e.g. X-Managed-Device; blank = networks only</t>
        </is>
      </c>
      <c r="G313" s="14" t="inlineStr">
        <is>
          <t>string</t>
        </is>
      </c>
      <c r="H313" s="14" t="inlineStr">
        <is>
          <t>(blank)</t>
        </is>
      </c>
      <c r="I313" s="14" t="inlineStr"/>
      <c r="J313" s="14" t="inlineStr">
        <is>
          <t>Template</t>
        </is>
      </c>
      <c r="K313" s="14" t="inlineStr">
        <is>
          <t>This workbook, sheet Ref System parameters</t>
        </is>
      </c>
      <c r="L313" s="14" t="inlineStr">
        <is>
          <t>16-Jul-2027 (T-24 weeks)</t>
        </is>
      </c>
      <c r="M313" s="14" t="n"/>
      <c r="N313" s="14" t="n"/>
      <c r="O313" s="14" t="n"/>
      <c r="P313" s="14" t="inlineStr">
        <is>
          <t>Not started</t>
        </is>
      </c>
      <c r="Q313" s="14" t="n"/>
    </row>
    <row r="314">
      <c r="A314" s="14" t="inlineStr">
        <is>
          <t>ACCESS_DEVICE_HEADER_VALUE</t>
        </is>
      </c>
      <c r="B314" s="14" t="inlineStr">
        <is>
          <t>Security</t>
        </is>
      </c>
      <c r="C314" s="14" t="inlineStr">
        <is>
          <t>Security settings</t>
        </is>
      </c>
      <c r="D314" s="14" t="inlineStr">
        <is>
          <t>Drop 0</t>
        </is>
      </c>
      <c r="E314" s="14" t="inlineStr">
        <is>
          <t>BDOI Information Security</t>
        </is>
      </c>
      <c r="F314" s="14" t="inlineStr">
        <is>
          <t>Value of the device header; blank = the header alone is enough</t>
        </is>
      </c>
      <c r="G314" s="14" t="inlineStr">
        <is>
          <t>string</t>
        </is>
      </c>
      <c r="H314" s="14" t="inlineStr">
        <is>
          <t>(blank)</t>
        </is>
      </c>
      <c r="I314" s="14" t="inlineStr"/>
      <c r="J314" s="14" t="inlineStr">
        <is>
          <t>Template</t>
        </is>
      </c>
      <c r="K314" s="14" t="inlineStr">
        <is>
          <t>This workbook, sheet Ref System parameters</t>
        </is>
      </c>
      <c r="L314" s="14" t="inlineStr">
        <is>
          <t>16-Jul-2027 (T-24 weeks)</t>
        </is>
      </c>
      <c r="M314" s="14" t="n"/>
      <c r="N314" s="14" t="n"/>
      <c r="O314" s="14" t="n"/>
      <c r="P314" s="14" t="inlineStr">
        <is>
          <t>Not started</t>
        </is>
      </c>
      <c r="Q314" s="14" t="n"/>
    </row>
    <row r="315">
      <c r="A315" s="14" t="inlineStr">
        <is>
          <t>ACCESS_DEVICE_RESTRICTION</t>
        </is>
      </c>
      <c r="B315" s="14" t="inlineStr">
        <is>
          <t>Security</t>
        </is>
      </c>
      <c r="C315" s="14" t="inlineStr">
        <is>
          <t>Security settings</t>
        </is>
      </c>
      <c r="D315" s="14" t="inlineStr">
        <is>
          <t>Drop 0</t>
        </is>
      </c>
      <c r="E315" s="14" t="inlineStr">
        <is>
          <t>BDOI Information Security</t>
        </is>
      </c>
      <c r="F315" s="14" t="inlineStr">
        <is>
          <t>ON = the system is used only from company-issued devices (company networks or the header of the device-management gateway); OFF = any device</t>
        </is>
      </c>
      <c r="G315" s="14" t="inlineStr">
        <is>
          <t>string</t>
        </is>
      </c>
      <c r="H315" s="14" t="inlineStr">
        <is>
          <t>OFF</t>
        </is>
      </c>
      <c r="I315" s="14" t="inlineStr"/>
      <c r="J315" s="14" t="inlineStr">
        <is>
          <t>Template</t>
        </is>
      </c>
      <c r="K315" s="14" t="inlineStr">
        <is>
          <t>This workbook, sheet Ref System parameters</t>
        </is>
      </c>
      <c r="L315" s="14" t="inlineStr">
        <is>
          <t>16-Jul-2027 (T-24 weeks)</t>
        </is>
      </c>
      <c r="M315" s="14" t="n"/>
      <c r="N315" s="14" t="n"/>
      <c r="O315" s="14" t="n"/>
      <c r="P315" s="14" t="inlineStr">
        <is>
          <t>Not started</t>
        </is>
      </c>
      <c r="Q315" s="14" t="n"/>
    </row>
    <row r="316">
      <c r="A316" s="14" t="inlineStr">
        <is>
          <t>ACCESS_TOKEN_MINUTES</t>
        </is>
      </c>
      <c r="B316" s="14" t="inlineStr">
        <is>
          <t>Security</t>
        </is>
      </c>
      <c r="C316" s="14" t="inlineStr">
        <is>
          <t>Security settings</t>
        </is>
      </c>
      <c r="D316" s="14" t="inlineStr">
        <is>
          <t>Drop 0</t>
        </is>
      </c>
      <c r="E316" s="14" t="inlineStr">
        <is>
          <t>BDOI Information Security</t>
        </is>
      </c>
      <c r="F316" s="14" t="inlineStr">
        <is>
          <t>Minutes an access token is valid; the web client renews it while the session is in use</t>
        </is>
      </c>
      <c r="G316" s="14" t="inlineStr">
        <is>
          <t>integer</t>
        </is>
      </c>
      <c r="H316" s="14" t="inlineStr">
        <is>
          <t>15</t>
        </is>
      </c>
      <c r="I316" s="14" t="inlineStr">
        <is>
          <t>5 to 60</t>
        </is>
      </c>
      <c r="J316" s="14" t="inlineStr">
        <is>
          <t>Template</t>
        </is>
      </c>
      <c r="K316" s="14" t="inlineStr">
        <is>
          <t>This workbook, sheet Ref System parameters</t>
        </is>
      </c>
      <c r="L316" s="14" t="inlineStr">
        <is>
          <t>16-Jul-2027 (T-24 weeks)</t>
        </is>
      </c>
      <c r="M316" s="14" t="n"/>
      <c r="N316" s="14" t="n"/>
      <c r="O316" s="14" t="n"/>
      <c r="P316" s="14" t="inlineStr">
        <is>
          <t>Not started</t>
        </is>
      </c>
      <c r="Q316" s="14" t="n"/>
    </row>
    <row r="317">
      <c r="A317" s="14" t="inlineStr">
        <is>
          <t>AUTH_MODE</t>
        </is>
      </c>
      <c r="B317" s="14" t="inlineStr">
        <is>
          <t>Security</t>
        </is>
      </c>
      <c r="C317" s="14" t="inlineStr">
        <is>
          <t>Security settings</t>
        </is>
      </c>
      <c r="D317" s="14" t="inlineStr">
        <is>
          <t>Drop 0</t>
        </is>
      </c>
      <c r="E317" s="14" t="inlineStr">
        <is>
          <t>BDOI Information Security</t>
        </is>
      </c>
      <c r="F317" s="14" t="inlineStr">
        <is>
          <t>Sign-in mode: LOCAL (BIBS passwords) or DIRECTORY (BDO directory sign-in by Windows ID, when the EIAM sign-in is specified)</t>
        </is>
      </c>
      <c r="G317" s="14" t="inlineStr">
        <is>
          <t>string</t>
        </is>
      </c>
      <c r="H317" s="14" t="inlineStr">
        <is>
          <t>LOCAL</t>
        </is>
      </c>
      <c r="I317" s="14" t="inlineStr"/>
      <c r="J317" s="14" t="inlineStr">
        <is>
          <t>Template</t>
        </is>
      </c>
      <c r="K317" s="14" t="inlineStr">
        <is>
          <t>BRD-11 template CI-05, sheet UA-05 Parameters</t>
        </is>
      </c>
      <c r="L317" s="14" t="inlineStr">
        <is>
          <t>16-Jul-2027 (T-24 weeks)</t>
        </is>
      </c>
      <c r="M317" s="14" t="n"/>
      <c r="N317" s="14" t="n"/>
      <c r="O317" s="14" t="n"/>
      <c r="P317" s="14" t="inlineStr">
        <is>
          <t>Not started</t>
        </is>
      </c>
      <c r="Q317" s="14" t="n"/>
    </row>
    <row r="318">
      <c r="A318" s="14" t="inlineStr">
        <is>
          <t>BREAK_GLASS_ALERT_RECIPIENTS</t>
        </is>
      </c>
      <c r="B318" s="14" t="inlineStr">
        <is>
          <t>Security</t>
        </is>
      </c>
      <c r="C318" s="14" t="inlineStr">
        <is>
          <t>Security settings</t>
        </is>
      </c>
      <c r="D318" s="14" t="inlineStr">
        <is>
          <t>Drop 0</t>
        </is>
      </c>
      <c r="E318" s="14" t="inlineStr">
        <is>
          <t>BDOI Information Security</t>
        </is>
      </c>
      <c r="F318" s="14" t="inlineStr">
        <is>
          <t>E-mail addresses of Information Security, separated by commas, alerted at every break-glass sign-in while single sign-on is on (the security-setting approvers are also told in the system)</t>
        </is>
      </c>
      <c r="G318" s="14" t="inlineStr">
        <is>
          <t>string</t>
        </is>
      </c>
      <c r="H318" s="14" t="inlineStr">
        <is>
          <t>(blank)</t>
        </is>
      </c>
      <c r="I318" s="14" t="inlineStr"/>
      <c r="J318" s="14" t="inlineStr">
        <is>
          <t>Template</t>
        </is>
      </c>
      <c r="K318" s="14" t="inlineStr">
        <is>
          <t>This workbook, sheet Ref System parameters</t>
        </is>
      </c>
      <c r="L318" s="14" t="inlineStr">
        <is>
          <t>16-Jul-2027 (T-24 weeks)</t>
        </is>
      </c>
      <c r="M318" s="14" t="n"/>
      <c r="N318" s="14" t="n"/>
      <c r="O318" s="14" t="n"/>
      <c r="P318" s="14" t="inlineStr">
        <is>
          <t>Not started</t>
        </is>
      </c>
      <c r="Q318" s="14" t="n"/>
    </row>
    <row r="319">
      <c r="A319" s="14" t="inlineStr">
        <is>
          <t>FILE_LINK_TTL_SECONDS</t>
        </is>
      </c>
      <c r="B319" s="14" t="inlineStr">
        <is>
          <t>Security</t>
        </is>
      </c>
      <c r="C319" s="14" t="inlineStr">
        <is>
          <t>Security settings</t>
        </is>
      </c>
      <c r="D319" s="14" t="inlineStr">
        <is>
          <t>Drop 0</t>
        </is>
      </c>
      <c r="E319" s="14" t="inlineStr">
        <is>
          <t>BDOI Information Security</t>
        </is>
      </c>
      <c r="F319" s="14" t="inlineStr">
        <is>
          <t>Seconds a presigned file download or upload link stays valid</t>
        </is>
      </c>
      <c r="G319" s="14" t="inlineStr">
        <is>
          <t>integer</t>
        </is>
      </c>
      <c r="H319" s="14" t="inlineStr">
        <is>
          <t>300</t>
        </is>
      </c>
      <c r="I319" s="14" t="inlineStr">
        <is>
          <t>30 to 3600</t>
        </is>
      </c>
      <c r="J319" s="14" t="inlineStr">
        <is>
          <t>Template</t>
        </is>
      </c>
      <c r="K319" s="14" t="inlineStr">
        <is>
          <t>This workbook, sheet Ref System parameters</t>
        </is>
      </c>
      <c r="L319" s="14" t="inlineStr">
        <is>
          <t>16-Jul-2027 (T-24 weeks)</t>
        </is>
      </c>
      <c r="M319" s="14" t="n"/>
      <c r="N319" s="14" t="n"/>
      <c r="O319" s="14" t="n"/>
      <c r="P319" s="14" t="inlineStr">
        <is>
          <t>Not started</t>
        </is>
      </c>
      <c r="Q319" s="14" t="n"/>
    </row>
    <row r="320">
      <c r="A320" s="14" t="inlineStr">
        <is>
          <t>JOB_FAILURE_RECIPIENTS</t>
        </is>
      </c>
      <c r="B320" s="14" t="inlineStr">
        <is>
          <t>Security</t>
        </is>
      </c>
      <c r="C320" s="14" t="inlineStr">
        <is>
          <t>Security settings</t>
        </is>
      </c>
      <c r="D320" s="14" t="inlineStr">
        <is>
          <t>Drop 0</t>
        </is>
      </c>
      <c r="E320" s="14" t="inlineStr">
        <is>
          <t>BDOI Information Security</t>
        </is>
      </c>
      <c r="F320" s="14" t="inlineStr">
        <is>
          <t>Comma separated e-mail addresses told of every failed batch job</t>
        </is>
      </c>
      <c r="G320" s="14" t="inlineStr">
        <is>
          <t>string</t>
        </is>
      </c>
      <c r="H320" s="14" t="inlineStr">
        <is>
          <t>(blank)</t>
        </is>
      </c>
      <c r="I320" s="14" t="inlineStr"/>
      <c r="J320" s="14" t="inlineStr">
        <is>
          <t>Template</t>
        </is>
      </c>
      <c r="K320" s="14" t="inlineStr">
        <is>
          <t>BRD-11 template CI-05, sheet UA-05 Parameters</t>
        </is>
      </c>
      <c r="L320" s="14" t="inlineStr">
        <is>
          <t>16-Jul-2027 (T-24 weeks)</t>
        </is>
      </c>
      <c r="M320" s="14" t="n"/>
      <c r="N320" s="14" t="n"/>
      <c r="O320" s="14" t="n"/>
      <c r="P320" s="14" t="inlineStr">
        <is>
          <t>Not started</t>
        </is>
      </c>
      <c r="Q320" s="14" t="n"/>
    </row>
    <row r="321">
      <c r="A321" s="14" t="inlineStr">
        <is>
          <t>LOGIN_MAX_FAILED_ATTEMPTS</t>
        </is>
      </c>
      <c r="B321" s="14" t="inlineStr">
        <is>
          <t>Security</t>
        </is>
      </c>
      <c r="C321" s="14" t="inlineStr">
        <is>
          <t>Security settings</t>
        </is>
      </c>
      <c r="D321" s="14" t="inlineStr">
        <is>
          <t>Drop 0</t>
        </is>
      </c>
      <c r="E321" s="14" t="inlineStr">
        <is>
          <t>BDOI Information Security</t>
        </is>
      </c>
      <c r="F321" s="14" t="inlineStr">
        <is>
          <t>Consecutive failed logins that lock a user account; applies to all users</t>
        </is>
      </c>
      <c r="G321" s="14" t="inlineStr">
        <is>
          <t>integer</t>
        </is>
      </c>
      <c r="H321" s="14" t="inlineStr">
        <is>
          <t>3</t>
        </is>
      </c>
      <c r="I321" s="14" t="inlineStr">
        <is>
          <t>1 to 10</t>
        </is>
      </c>
      <c r="J321" s="14" t="inlineStr">
        <is>
          <t>Template</t>
        </is>
      </c>
      <c r="K321" s="14" t="inlineStr">
        <is>
          <t>BRD-11 template CI-05, sheet UA-05 Parameters</t>
        </is>
      </c>
      <c r="L321" s="14" t="inlineStr">
        <is>
          <t>16-Jul-2027 (T-24 weeks)</t>
        </is>
      </c>
      <c r="M321" s="14" t="n"/>
      <c r="N321" s="14" t="n"/>
      <c r="O321" s="14" t="n"/>
      <c r="P321" s="14" t="inlineStr">
        <is>
          <t>Not started</t>
        </is>
      </c>
      <c r="Q321" s="14" t="n"/>
    </row>
    <row r="322">
      <c r="A322" s="14" t="inlineStr">
        <is>
          <t>MFA_ISSUER_NAME</t>
        </is>
      </c>
      <c r="B322" s="14" t="inlineStr">
        <is>
          <t>Security</t>
        </is>
      </c>
      <c r="C322" s="14" t="inlineStr">
        <is>
          <t>Security settings</t>
        </is>
      </c>
      <c r="D322" s="14" t="inlineStr">
        <is>
          <t>Drop 0</t>
        </is>
      </c>
      <c r="E322" s="14" t="inlineStr">
        <is>
          <t>BDOI Information Security</t>
        </is>
      </c>
      <c r="F322" s="14" t="inlineStr">
        <is>
          <t>Name of the system shown next to the account in the authenticator app (blank = the system name of the deployment)</t>
        </is>
      </c>
      <c r="G322" s="14" t="inlineStr">
        <is>
          <t>string</t>
        </is>
      </c>
      <c r="H322" s="14" t="inlineStr">
        <is>
          <t>(blank)</t>
        </is>
      </c>
      <c r="I322" s="14" t="inlineStr"/>
      <c r="J322" s="14" t="inlineStr">
        <is>
          <t>Template</t>
        </is>
      </c>
      <c r="K322" s="14" t="inlineStr">
        <is>
          <t>This workbook, sheet Ref System parameters</t>
        </is>
      </c>
      <c r="L322" s="14" t="inlineStr">
        <is>
          <t>16-Jul-2027 (T-24 weeks)</t>
        </is>
      </c>
      <c r="M322" s="14" t="n"/>
      <c r="N322" s="14" t="n"/>
      <c r="O322" s="14" t="n"/>
      <c r="P322" s="14" t="inlineStr">
        <is>
          <t>Not started</t>
        </is>
      </c>
      <c r="Q322" s="14" t="n"/>
    </row>
    <row r="323">
      <c r="A323" s="14" t="inlineStr">
        <is>
          <t>MFA_POLICY</t>
        </is>
      </c>
      <c r="B323" s="14" t="inlineStr">
        <is>
          <t>Security</t>
        </is>
      </c>
      <c r="C323" s="14" t="inlineStr">
        <is>
          <t>Security settings</t>
        </is>
      </c>
      <c r="D323" s="14" t="inlineStr">
        <is>
          <t>Drop 0</t>
        </is>
      </c>
      <c r="E323" s="14" t="inlineStr">
        <is>
          <t>BDOI Information Security</t>
        </is>
      </c>
      <c r="F323" s="14" t="inlineStr">
        <is>
          <t>Who must confirm a sign-in with an authenticator app code: ALL users, PRIVILEGED users (a role of privilege level HIGH or ADMIN) or OFF (only users who enrolled themselves)</t>
        </is>
      </c>
      <c r="G323" s="14" t="inlineStr">
        <is>
          <t>string</t>
        </is>
      </c>
      <c r="H323" s="14" t="inlineStr">
        <is>
          <t>PRIVILEGED</t>
        </is>
      </c>
      <c r="I323" s="14" t="inlineStr"/>
      <c r="J323" s="14" t="inlineStr">
        <is>
          <t>Template</t>
        </is>
      </c>
      <c r="K323" s="14" t="inlineStr">
        <is>
          <t>This workbook, sheet Ref System parameters</t>
        </is>
      </c>
      <c r="L323" s="14" t="inlineStr">
        <is>
          <t>16-Jul-2027 (T-24 weeks)</t>
        </is>
      </c>
      <c r="M323" s="14" t="n"/>
      <c r="N323" s="14" t="n"/>
      <c r="O323" s="14" t="n"/>
      <c r="P323" s="14" t="inlineStr">
        <is>
          <t>Not started</t>
        </is>
      </c>
      <c r="Q323" s="14" t="n"/>
    </row>
    <row r="324">
      <c r="A324" s="14" t="inlineStr">
        <is>
          <t>MFA_REMEMBER_DEVICE_DAYS</t>
        </is>
      </c>
      <c r="B324" s="14" t="inlineStr">
        <is>
          <t>Security</t>
        </is>
      </c>
      <c r="C324" s="14" t="inlineStr">
        <is>
          <t>Security settings</t>
        </is>
      </c>
      <c r="D324" s="14" t="inlineStr">
        <is>
          <t>Drop 0</t>
        </is>
      </c>
      <c r="E324" s="14" t="inlineStr">
        <is>
          <t>BDOI Information Security</t>
        </is>
      </c>
      <c r="F324" s="14" t="inlineStr">
        <is>
          <t>Days a device may be remembered after a code is confirmed, so the code is not asked again on it; 0 = never remembered</t>
        </is>
      </c>
      <c r="G324" s="14" t="inlineStr">
        <is>
          <t>integer</t>
        </is>
      </c>
      <c r="H324" s="14" t="inlineStr">
        <is>
          <t>0</t>
        </is>
      </c>
      <c r="I324" s="14" t="inlineStr">
        <is>
          <t>0 to 30</t>
        </is>
      </c>
      <c r="J324" s="14" t="inlineStr">
        <is>
          <t>Template</t>
        </is>
      </c>
      <c r="K324" s="14" t="inlineStr">
        <is>
          <t>This workbook, sheet Ref System parameters</t>
        </is>
      </c>
      <c r="L324" s="14" t="inlineStr">
        <is>
          <t>16-Jul-2027 (T-24 weeks)</t>
        </is>
      </c>
      <c r="M324" s="14" t="n"/>
      <c r="N324" s="14" t="n"/>
      <c r="O324" s="14" t="n"/>
      <c r="P324" s="14" t="inlineStr">
        <is>
          <t>Not started</t>
        </is>
      </c>
      <c r="Q324" s="14" t="n"/>
    </row>
    <row r="325">
      <c r="A325" s="14" t="inlineStr">
        <is>
          <t>PASSWORD_EXPIRY_NOTICE_DAYS</t>
        </is>
      </c>
      <c r="B325" s="14" t="inlineStr">
        <is>
          <t>Security</t>
        </is>
      </c>
      <c r="C325" s="14" t="inlineStr">
        <is>
          <t>Security settings</t>
        </is>
      </c>
      <c r="D325" s="14" t="inlineStr">
        <is>
          <t>Drop 0</t>
        </is>
      </c>
      <c r="E325" s="14" t="inlineStr">
        <is>
          <t>BDOI Information Security</t>
        </is>
      </c>
      <c r="F325" s="14" t="inlineStr">
        <is>
          <t>Days before a password expires from which the user is told to change it (LOCAL mode)</t>
        </is>
      </c>
      <c r="G325" s="14" t="inlineStr">
        <is>
          <t>integer</t>
        </is>
      </c>
      <c r="H325" s="14" t="inlineStr">
        <is>
          <t>7</t>
        </is>
      </c>
      <c r="I325" s="14" t="inlineStr">
        <is>
          <t>1 to 90</t>
        </is>
      </c>
      <c r="J325" s="14" t="inlineStr">
        <is>
          <t>Template</t>
        </is>
      </c>
      <c r="K325" s="14" t="inlineStr">
        <is>
          <t>This workbook, sheet Ref System parameters</t>
        </is>
      </c>
      <c r="L325" s="14" t="inlineStr">
        <is>
          <t>16-Jul-2027 (T-24 weeks)</t>
        </is>
      </c>
      <c r="M325" s="14" t="n"/>
      <c r="N325" s="14" t="n"/>
      <c r="O325" s="14" t="n"/>
      <c r="P325" s="14" t="inlineStr">
        <is>
          <t>Not started</t>
        </is>
      </c>
      <c r="Q325" s="14" t="n"/>
    </row>
    <row r="326">
      <c r="A326" s="14" t="inlineStr">
        <is>
          <t>PASSWORD_HISTORY_COUNT</t>
        </is>
      </c>
      <c r="B326" s="14" t="inlineStr">
        <is>
          <t>Security</t>
        </is>
      </c>
      <c r="C326" s="14" t="inlineStr">
        <is>
          <t>Security settings</t>
        </is>
      </c>
      <c r="D326" s="14" t="inlineStr">
        <is>
          <t>Drop 0</t>
        </is>
      </c>
      <c r="E326" s="14" t="inlineStr">
        <is>
          <t>BDOI Information Security</t>
        </is>
      </c>
      <c r="F326" s="14" t="inlineStr">
        <is>
          <t>Previous passwords a local account may not reuse (at least the last ten)</t>
        </is>
      </c>
      <c r="G326" s="14" t="inlineStr">
        <is>
          <t>integer</t>
        </is>
      </c>
      <c r="H326" s="14" t="inlineStr">
        <is>
          <t>10</t>
        </is>
      </c>
      <c r="I326" s="14" t="inlineStr">
        <is>
          <t>0 to 24</t>
        </is>
      </c>
      <c r="J326" s="14" t="inlineStr">
        <is>
          <t>Template</t>
        </is>
      </c>
      <c r="K326" s="14" t="inlineStr">
        <is>
          <t>BRD-11 template CI-05, sheet UA-05 Parameters</t>
        </is>
      </c>
      <c r="L326" s="14" t="inlineStr">
        <is>
          <t>16-Jul-2027 (T-24 weeks)</t>
        </is>
      </c>
      <c r="M326" s="14" t="n"/>
      <c r="N326" s="14" t="n"/>
      <c r="O326" s="14" t="n"/>
      <c r="P326" s="14" t="inlineStr">
        <is>
          <t>Not started</t>
        </is>
      </c>
      <c r="Q326" s="14" t="n"/>
    </row>
    <row r="327">
      <c r="A327" s="14" t="inlineStr">
        <is>
          <t>PASSWORD_MAX_AGE_DAYS</t>
        </is>
      </c>
      <c r="B327" s="14" t="inlineStr">
        <is>
          <t>Security</t>
        </is>
      </c>
      <c r="C327" s="14" t="inlineStr">
        <is>
          <t>Security settings</t>
        </is>
      </c>
      <c r="D327" s="14" t="inlineStr">
        <is>
          <t>Drop 0</t>
        </is>
      </c>
      <c r="E327" s="14" t="inlineStr">
        <is>
          <t>BDOI Information Security</t>
        </is>
      </c>
      <c r="F327" s="14" t="inlineStr">
        <is>
          <t>Days after which a password must be changed, LOCAL mode; 0 = never</t>
        </is>
      </c>
      <c r="G327" s="14" t="inlineStr">
        <is>
          <t>integer</t>
        </is>
      </c>
      <c r="H327" s="14" t="inlineStr">
        <is>
          <t>90</t>
        </is>
      </c>
      <c r="I327" s="14" t="inlineStr">
        <is>
          <t>0 to 365</t>
        </is>
      </c>
      <c r="J327" s="14" t="inlineStr">
        <is>
          <t>Template</t>
        </is>
      </c>
      <c r="K327" s="14" t="inlineStr">
        <is>
          <t>BRD-11 template CI-05, sheet UA-05 Parameters</t>
        </is>
      </c>
      <c r="L327" s="14" t="inlineStr">
        <is>
          <t>16-Jul-2027 (T-24 weeks)</t>
        </is>
      </c>
      <c r="M327" s="14" t="n"/>
      <c r="N327" s="14" t="n"/>
      <c r="O327" s="14" t="n"/>
      <c r="P327" s="14" t="inlineStr">
        <is>
          <t>Not started</t>
        </is>
      </c>
      <c r="Q327" s="14" t="n"/>
    </row>
    <row r="328">
      <c r="A328" s="14" t="inlineStr">
        <is>
          <t>PASSWORD_MIN_AGE_DAYS</t>
        </is>
      </c>
      <c r="B328" s="14" t="inlineStr">
        <is>
          <t>Security</t>
        </is>
      </c>
      <c r="C328" s="14" t="inlineStr">
        <is>
          <t>Security settings</t>
        </is>
      </c>
      <c r="D328" s="14" t="inlineStr">
        <is>
          <t>Drop 0</t>
        </is>
      </c>
      <c r="E328" s="14" t="inlineStr">
        <is>
          <t>BDOI Information Security</t>
        </is>
      </c>
      <c r="F328" s="14" t="inlineStr">
        <is>
          <t>Days before a changed password may be changed again, LOCAL mode</t>
        </is>
      </c>
      <c r="G328" s="14" t="inlineStr">
        <is>
          <t>integer</t>
        </is>
      </c>
      <c r="H328" s="14" t="inlineStr">
        <is>
          <t>1</t>
        </is>
      </c>
      <c r="I328" s="14" t="inlineStr">
        <is>
          <t>0 to 30</t>
        </is>
      </c>
      <c r="J328" s="14" t="inlineStr">
        <is>
          <t>Template</t>
        </is>
      </c>
      <c r="K328" s="14" t="inlineStr">
        <is>
          <t>BRD-11 template CI-05, sheet UA-05 Parameters</t>
        </is>
      </c>
      <c r="L328" s="14" t="inlineStr">
        <is>
          <t>16-Jul-2027 (T-24 weeks)</t>
        </is>
      </c>
      <c r="M328" s="14" t="n"/>
      <c r="N328" s="14" t="n"/>
      <c r="O328" s="14" t="n"/>
      <c r="P328" s="14" t="inlineStr">
        <is>
          <t>Not started</t>
        </is>
      </c>
      <c r="Q328" s="14" t="n"/>
    </row>
    <row r="329">
      <c r="A329" s="14" t="inlineStr">
        <is>
          <t>PASSWORD_RESET_BDOI_RULES</t>
        </is>
      </c>
      <c r="B329" s="14" t="inlineStr">
        <is>
          <t>Security</t>
        </is>
      </c>
      <c r="C329" s="14" t="inlineStr">
        <is>
          <t>Security settings</t>
        </is>
      </c>
      <c r="D329" s="14" t="inlineStr">
        <is>
          <t>Drop 0</t>
        </is>
      </c>
      <c r="E329" s="14" t="inlineStr">
        <is>
          <t>BDOI Information Security</t>
        </is>
      </c>
      <c r="F329" s="14" t="inlineStr">
        <is>
          <t>true: no forgotten-password link on the Login page, and a password is reset only by another System Administrator, with single sign-on only for the break-glass accounts (the bank's process); false: the self-service reset link for local accounts and the administrator reset of any local account</t>
        </is>
      </c>
      <c r="G329" s="14" t="inlineStr">
        <is>
          <t>boolean</t>
        </is>
      </c>
      <c r="H329" s="14" t="inlineStr">
        <is>
          <t>true</t>
        </is>
      </c>
      <c r="I329" s="14" t="inlineStr"/>
      <c r="J329" s="14" t="inlineStr">
        <is>
          <t>Template</t>
        </is>
      </c>
      <c r="K329" s="14" t="inlineStr">
        <is>
          <t>This workbook, sheet Ref System parameters</t>
        </is>
      </c>
      <c r="L329" s="14" t="inlineStr">
        <is>
          <t>16-Jul-2027 (T-24 weeks)</t>
        </is>
      </c>
      <c r="M329" s="14" t="n"/>
      <c r="N329" s="14" t="n"/>
      <c r="O329" s="14" t="n"/>
      <c r="P329" s="14" t="inlineStr">
        <is>
          <t>Not started</t>
        </is>
      </c>
      <c r="Q329" s="14" t="n"/>
    </row>
    <row r="330">
      <c r="A330" s="14" t="inlineStr">
        <is>
          <t>SESSION_BDOI_DIALOG</t>
        </is>
      </c>
      <c r="B330" s="14" t="inlineStr">
        <is>
          <t>Security</t>
        </is>
      </c>
      <c r="C330" s="14" t="inlineStr">
        <is>
          <t>Security settings</t>
        </is>
      </c>
      <c r="D330" s="14" t="inlineStr">
        <is>
          <t>Drop 0</t>
        </is>
      </c>
      <c r="E330" s="14" t="inlineStr">
        <is>
          <t>BDOI Information Security</t>
        </is>
      </c>
      <c r="F330" s="14" t="inlineStr">
        <is>
          <t>true: the inactivity warning reads "You have been inactive for x minutes ... stay logged in or log out?" with the buttons Stay Logged In and Log Out (the bank's process); false: the earlier wording with Stay Signed In and Sign Out Now</t>
        </is>
      </c>
      <c r="G330" s="14" t="inlineStr">
        <is>
          <t>boolean</t>
        </is>
      </c>
      <c r="H330" s="14" t="inlineStr">
        <is>
          <t>true</t>
        </is>
      </c>
      <c r="I330" s="14" t="inlineStr"/>
      <c r="J330" s="14" t="inlineStr">
        <is>
          <t>Template</t>
        </is>
      </c>
      <c r="K330" s="14" t="inlineStr">
        <is>
          <t>This workbook, sheet Ref System parameters</t>
        </is>
      </c>
      <c r="L330" s="14" t="inlineStr">
        <is>
          <t>16-Jul-2027 (T-24 weeks)</t>
        </is>
      </c>
      <c r="M330" s="14" t="n"/>
      <c r="N330" s="14" t="n"/>
      <c r="O330" s="14" t="n"/>
      <c r="P330" s="14" t="inlineStr">
        <is>
          <t>Not started</t>
        </is>
      </c>
      <c r="Q330" s="14" t="n"/>
    </row>
    <row r="331">
      <c r="A331" s="14" t="inlineStr">
        <is>
          <t>SESSION_EXPIRY_WARNING_MINUTES</t>
        </is>
      </c>
      <c r="B331" s="14" t="inlineStr">
        <is>
          <t>Security</t>
        </is>
      </c>
      <c r="C331" s="14" t="inlineStr">
        <is>
          <t>Security settings</t>
        </is>
      </c>
      <c r="D331" s="14" t="inlineStr">
        <is>
          <t>Drop 0</t>
        </is>
      </c>
      <c r="E331" s="14" t="inlineStr">
        <is>
          <t>BDOI Information Security</t>
        </is>
      </c>
      <c r="F331" s="14" t="inlineStr">
        <is>
          <t>Minutes before the system-triggered (absolute) sign-out at which the web client warns the user</t>
        </is>
      </c>
      <c r="G331" s="14" t="inlineStr">
        <is>
          <t>integer</t>
        </is>
      </c>
      <c r="H331" s="14" t="inlineStr">
        <is>
          <t>30</t>
        </is>
      </c>
      <c r="I331" s="14" t="inlineStr">
        <is>
          <t>1 to 240</t>
        </is>
      </c>
      <c r="J331" s="14" t="inlineStr">
        <is>
          <t>Template</t>
        </is>
      </c>
      <c r="K331" s="14" t="inlineStr">
        <is>
          <t>BRD-11 template CI-05, sheet UA-05 Parameters</t>
        </is>
      </c>
      <c r="L331" s="14" t="inlineStr">
        <is>
          <t>16-Jul-2027 (T-24 weeks)</t>
        </is>
      </c>
      <c r="M331" s="14" t="n"/>
      <c r="N331" s="14" t="n"/>
      <c r="O331" s="14" t="n"/>
      <c r="P331" s="14" t="inlineStr">
        <is>
          <t>Not started</t>
        </is>
      </c>
      <c r="Q331" s="14" t="n"/>
    </row>
    <row r="332">
      <c r="A332" s="14" t="inlineStr">
        <is>
          <t>SESSION_IDLE_WARNING_MINUTES</t>
        </is>
      </c>
      <c r="B332" s="14" t="inlineStr">
        <is>
          <t>Security</t>
        </is>
      </c>
      <c r="C332" s="14" t="inlineStr">
        <is>
          <t>Security settings</t>
        </is>
      </c>
      <c r="D332" s="14" t="inlineStr">
        <is>
          <t>Drop 0</t>
        </is>
      </c>
      <c r="E332" s="14" t="inlineStr">
        <is>
          <t>BDOI Information Security</t>
        </is>
      </c>
      <c r="F332" s="14" t="inlineStr">
        <is>
          <t>Minutes of inactivity after which the web client warns that the session will sign out</t>
        </is>
      </c>
      <c r="G332" s="14" t="inlineStr">
        <is>
          <t>integer</t>
        </is>
      </c>
      <c r="H332" s="14" t="inlineStr">
        <is>
          <t>15</t>
        </is>
      </c>
      <c r="I332" s="14" t="inlineStr">
        <is>
          <t>1 to 480</t>
        </is>
      </c>
      <c r="J332" s="14" t="inlineStr">
        <is>
          <t>Template</t>
        </is>
      </c>
      <c r="K332" s="14" t="inlineStr">
        <is>
          <t>BRD-11 template CI-05, sheet UA-05 Parameters</t>
        </is>
      </c>
      <c r="L332" s="14" t="inlineStr">
        <is>
          <t>16-Jul-2027 (T-24 weeks)</t>
        </is>
      </c>
      <c r="M332" s="14" t="n"/>
      <c r="N332" s="14" t="n"/>
      <c r="O332" s="14" t="n"/>
      <c r="P332" s="14" t="inlineStr">
        <is>
          <t>Not started</t>
        </is>
      </c>
      <c r="Q332" s="14" t="n"/>
    </row>
    <row r="333">
      <c r="A333" s="14" t="inlineStr">
        <is>
          <t>SESSION_TIMEOUT_MINUTES</t>
        </is>
      </c>
      <c r="B333" s="14" t="inlineStr">
        <is>
          <t>Security</t>
        </is>
      </c>
      <c r="C333" s="14" t="inlineStr">
        <is>
          <t>Security settings</t>
        </is>
      </c>
      <c r="D333" s="14" t="inlineStr">
        <is>
          <t>Drop 0</t>
        </is>
      </c>
      <c r="E333" s="14" t="inlineStr">
        <is>
          <t>BDOI Information Security</t>
        </is>
      </c>
      <c r="F333" s="14" t="inlineStr">
        <is>
          <t>Minutes of inactivity after which the web session signs out automatically</t>
        </is>
      </c>
      <c r="G333" s="14" t="inlineStr">
        <is>
          <t>integer</t>
        </is>
      </c>
      <c r="H333" s="14" t="inlineStr">
        <is>
          <t>30</t>
        </is>
      </c>
      <c r="I333" s="14" t="inlineStr">
        <is>
          <t>5 to 480</t>
        </is>
      </c>
      <c r="J333" s="14" t="inlineStr">
        <is>
          <t>Template</t>
        </is>
      </c>
      <c r="K333" s="14" t="inlineStr">
        <is>
          <t>BRD-11 template CI-05, sheet UA-05 Parameters</t>
        </is>
      </c>
      <c r="L333" s="14" t="inlineStr">
        <is>
          <t>16-Jul-2027 (T-24 weeks)</t>
        </is>
      </c>
      <c r="M333" s="14" t="n"/>
      <c r="N333" s="14" t="n"/>
      <c r="O333" s="14" t="n"/>
      <c r="P333" s="14" t="inlineStr">
        <is>
          <t>Not started</t>
        </is>
      </c>
      <c r="Q333" s="14" t="n"/>
    </row>
    <row r="334">
      <c r="A334" s="14" t="inlineStr">
        <is>
          <t>SESSION_TIMEOUT_PAGE</t>
        </is>
      </c>
      <c r="B334" s="14" t="inlineStr">
        <is>
          <t>Security</t>
        </is>
      </c>
      <c r="C334" s="14" t="inlineStr">
        <is>
          <t>Security settings</t>
        </is>
      </c>
      <c r="D334" s="14" t="inlineStr">
        <is>
          <t>Drop 0</t>
        </is>
      </c>
      <c r="E334" s="14" t="inlineStr">
        <is>
          <t>BDOI Information Security</t>
        </is>
      </c>
      <c r="F334" s="14" t="inlineStr">
        <is>
          <t>true: after the inactivity sign-out the page "Your session timed out. Please log in again to continue" with the Log In button (the bank's process); false: a message on the Login page</t>
        </is>
      </c>
      <c r="G334" s="14" t="inlineStr">
        <is>
          <t>boolean</t>
        </is>
      </c>
      <c r="H334" s="14" t="inlineStr">
        <is>
          <t>true</t>
        </is>
      </c>
      <c r="I334" s="14" t="inlineStr"/>
      <c r="J334" s="14" t="inlineStr">
        <is>
          <t>Template</t>
        </is>
      </c>
      <c r="K334" s="14" t="inlineStr">
        <is>
          <t>This workbook, sheet Ref System parameters</t>
        </is>
      </c>
      <c r="L334" s="14" t="inlineStr">
        <is>
          <t>16-Jul-2027 (T-24 weeks)</t>
        </is>
      </c>
      <c r="M334" s="14" t="n"/>
      <c r="N334" s="14" t="n"/>
      <c r="O334" s="14" t="n"/>
      <c r="P334" s="14" t="inlineStr">
        <is>
          <t>Not started</t>
        </is>
      </c>
      <c r="Q334" s="14" t="n"/>
    </row>
    <row r="335">
      <c r="A335" s="14" t="inlineStr">
        <is>
          <t>UAM_ANY_APPROVER</t>
        </is>
      </c>
      <c r="B335" s="14" t="inlineStr">
        <is>
          <t>Security</t>
        </is>
      </c>
      <c r="C335" s="14" t="inlineStr">
        <is>
          <t>Security settings</t>
        </is>
      </c>
      <c r="D335" s="14" t="inlineStr">
        <is>
          <t>Drop 0</t>
        </is>
      </c>
      <c r="E335" s="14" t="inlineStr">
        <is>
          <t>BDOI Information Security</t>
        </is>
      </c>
      <c r="F335" s="14" t="inlineStr">
        <is>
          <t>When true, any holder of ACCESS_APPROVE may decide a request, not only the approver chosen by the requester</t>
        </is>
      </c>
      <c r="G335" s="14" t="inlineStr">
        <is>
          <t>boolean</t>
        </is>
      </c>
      <c r="H335" s="14" t="inlineStr">
        <is>
          <t>false</t>
        </is>
      </c>
      <c r="I335" s="14" t="inlineStr"/>
      <c r="J335" s="14" t="inlineStr">
        <is>
          <t>Template</t>
        </is>
      </c>
      <c r="K335" s="14" t="inlineStr">
        <is>
          <t>BRD-11 template CI-05, sheet UA-05 Parameters</t>
        </is>
      </c>
      <c r="L335" s="14" t="inlineStr">
        <is>
          <t>16-Jul-2027 (T-24 weeks)</t>
        </is>
      </c>
      <c r="M335" s="14" t="n"/>
      <c r="N335" s="14" t="n"/>
      <c r="O335" s="14" t="n"/>
      <c r="P335" s="14" t="inlineStr">
        <is>
          <t>Not started</t>
        </is>
      </c>
      <c r="Q335" s="14" t="n"/>
    </row>
    <row r="336">
      <c r="A336" s="14" t="inlineStr">
        <is>
          <t>UAM_DIRECT_ROLE_EDIT</t>
        </is>
      </c>
      <c r="B336" s="14" t="inlineStr">
        <is>
          <t>Security</t>
        </is>
      </c>
      <c r="C336" s="14" t="inlineStr">
        <is>
          <t>Security settings</t>
        </is>
      </c>
      <c r="D336" s="14" t="inlineStr">
        <is>
          <t>Drop 0</t>
        </is>
      </c>
      <c r="E336" s="14" t="inlineStr">
        <is>
          <t>BDOI Information Security</t>
        </is>
      </c>
      <c r="F336" s="14" t="inlineStr">
        <is>
          <t>Emergency path: when true, the System Administrator may create and edit roles directly on the Roles screen (audited, alert UAM_DIRECT_ROLE_EDIT); when false, a role changes only by implementing an approved group-profile request</t>
        </is>
      </c>
      <c r="G336" s="14" t="inlineStr">
        <is>
          <t>boolean</t>
        </is>
      </c>
      <c r="H336" s="14" t="inlineStr">
        <is>
          <t>false</t>
        </is>
      </c>
      <c r="I336" s="14" t="inlineStr"/>
      <c r="J336" s="14" t="inlineStr">
        <is>
          <t>Template</t>
        </is>
      </c>
      <c r="K336" s="14" t="inlineStr">
        <is>
          <t>This workbook, sheet Ref System parameters</t>
        </is>
      </c>
      <c r="L336" s="14" t="inlineStr">
        <is>
          <t>16-Jul-2027 (T-24 weeks)</t>
        </is>
      </c>
      <c r="M336" s="14" t="n"/>
      <c r="N336" s="14" t="n"/>
      <c r="O336" s="14" t="n"/>
      <c r="P336" s="14" t="inlineStr">
        <is>
          <t>Not started</t>
        </is>
      </c>
      <c r="Q336" s="14" t="n"/>
    </row>
    <row r="337">
      <c r="A337" s="14" t="inlineStr">
        <is>
          <t>UAM_DORMANT_DAYS</t>
        </is>
      </c>
      <c r="B337" s="14" t="inlineStr">
        <is>
          <t>Security</t>
        </is>
      </c>
      <c r="C337" s="14" t="inlineStr">
        <is>
          <t>Security settings</t>
        </is>
      </c>
      <c r="D337" s="14" t="inlineStr">
        <is>
          <t>Drop 0</t>
        </is>
      </c>
      <c r="E337" s="14" t="inlineStr">
        <is>
          <t>BDOI Information Security</t>
        </is>
      </c>
      <c r="F337" s="14" t="inlineStr">
        <is>
          <t>Days without a sign-in after which a user is deactivated by the daily dormant-user job; 0 = never</t>
        </is>
      </c>
      <c r="G337" s="14" t="inlineStr">
        <is>
          <t>integer</t>
        </is>
      </c>
      <c r="H337" s="14" t="inlineStr">
        <is>
          <t>90</t>
        </is>
      </c>
      <c r="I337" s="14" t="inlineStr">
        <is>
          <t>0 to 730</t>
        </is>
      </c>
      <c r="J337" s="14" t="inlineStr">
        <is>
          <t>Template</t>
        </is>
      </c>
      <c r="K337" s="14" t="inlineStr">
        <is>
          <t>BRD-11 template CI-05, sheet UA-05 Parameters</t>
        </is>
      </c>
      <c r="L337" s="14" t="inlineStr">
        <is>
          <t>16-Jul-2027 (T-24 weeks)</t>
        </is>
      </c>
      <c r="M337" s="14" t="n"/>
      <c r="N337" s="14" t="n"/>
      <c r="O337" s="14" t="n"/>
      <c r="P337" s="14" t="inlineStr">
        <is>
          <t>Not started</t>
        </is>
      </c>
      <c r="Q337" s="14" t="n"/>
    </row>
    <row r="338">
      <c r="A338" s="14" t="inlineStr">
        <is>
          <t>UAM_DORMANT_NOTICE_DAYS</t>
        </is>
      </c>
      <c r="B338" s="14" t="inlineStr">
        <is>
          <t>Security</t>
        </is>
      </c>
      <c r="C338" s="14" t="inlineStr">
        <is>
          <t>Security settings</t>
        </is>
      </c>
      <c r="D338" s="14" t="inlineStr">
        <is>
          <t>Drop 0</t>
        </is>
      </c>
      <c r="E338" s="14" t="inlineStr">
        <is>
          <t>BDOI Information Security</t>
        </is>
      </c>
      <c r="F338" s="14" t="inlineStr">
        <is>
          <t>Days before the dormant-user deactivation on which the user is told to sign in; 0 = no notice</t>
        </is>
      </c>
      <c r="G338" s="14" t="inlineStr">
        <is>
          <t>integer</t>
        </is>
      </c>
      <c r="H338" s="14" t="inlineStr">
        <is>
          <t>7</t>
        </is>
      </c>
      <c r="I338" s="14" t="inlineStr">
        <is>
          <t>0 to 60</t>
        </is>
      </c>
      <c r="J338" s="14" t="inlineStr">
        <is>
          <t>Template</t>
        </is>
      </c>
      <c r="K338" s="14" t="inlineStr">
        <is>
          <t>BRD-11 template CI-05, sheet UA-05 Parameters</t>
        </is>
      </c>
      <c r="L338" s="14" t="inlineStr">
        <is>
          <t>16-Jul-2027 (T-24 weeks)</t>
        </is>
      </c>
      <c r="M338" s="14" t="n"/>
      <c r="N338" s="14" t="n"/>
      <c r="O338" s="14" t="n"/>
      <c r="P338" s="14" t="inlineStr">
        <is>
          <t>Not started</t>
        </is>
      </c>
      <c r="Q338" s="14" t="n"/>
    </row>
    <row r="339">
      <c r="A339" s="14" t="inlineStr">
        <is>
          <t>UAM_EXTERNAL_USERS</t>
        </is>
      </c>
      <c r="B339" s="14" t="inlineStr">
        <is>
          <t>Security</t>
        </is>
      </c>
      <c r="C339" s="14" t="inlineStr">
        <is>
          <t>Security settings</t>
        </is>
      </c>
      <c r="D339" s="14" t="inlineStr">
        <is>
          <t>Drop 0</t>
        </is>
      </c>
      <c r="E339" s="14" t="inlineStr">
        <is>
          <t>BDOI Information Security</t>
        </is>
      </c>
      <c r="F339" s="14" t="inlineStr">
        <is>
          <t>When true, access requests may be raised for external (portal) users; stays false while no portal is installed</t>
        </is>
      </c>
      <c r="G339" s="14" t="inlineStr">
        <is>
          <t>boolean</t>
        </is>
      </c>
      <c r="H339" s="14" t="inlineStr">
        <is>
          <t>false</t>
        </is>
      </c>
      <c r="I339" s="14" t="inlineStr"/>
      <c r="J339" s="14" t="inlineStr">
        <is>
          <t>Template</t>
        </is>
      </c>
      <c r="K339" s="14" t="inlineStr">
        <is>
          <t>BRD-11 template CI-05, sheet UA-05 Parameters</t>
        </is>
      </c>
      <c r="L339" s="14" t="inlineStr">
        <is>
          <t>16-Jul-2027 (T-24 weeks)</t>
        </is>
      </c>
      <c r="M339" s="14" t="n"/>
      <c r="N339" s="14" t="n"/>
      <c r="O339" s="14" t="n"/>
      <c r="P339" s="14" t="inlineStr">
        <is>
          <t>Not started</t>
        </is>
      </c>
      <c r="Q339" s="14" t="n"/>
    </row>
    <row r="340">
      <c r="A340" s="14" t="inlineStr">
        <is>
          <t>UAM_PROVISIONING_ROLES</t>
        </is>
      </c>
      <c r="B340" s="14" t="inlineStr">
        <is>
          <t>Security</t>
        </is>
      </c>
      <c r="C340" s="14" t="inlineStr">
        <is>
          <t>Security settings</t>
        </is>
      </c>
      <c r="D340" s="14" t="inlineStr">
        <is>
          <t>Drop 0</t>
        </is>
      </c>
      <c r="E340" s="14" t="inlineStr">
        <is>
          <t>BDOI Information Security</t>
        </is>
      </c>
      <c r="F340" s="14" t="inlineStr">
        <is>
          <t>true: the group profiles named in a UIDM-ISC event are given to the user; false: group profiles only through approved requests in the system</t>
        </is>
      </c>
      <c r="G340" s="14" t="inlineStr">
        <is>
          <t>boolean</t>
        </is>
      </c>
      <c r="H340" s="14" t="inlineStr">
        <is>
          <t>false</t>
        </is>
      </c>
      <c r="I340" s="14" t="inlineStr"/>
      <c r="J340" s="14" t="inlineStr">
        <is>
          <t>Template</t>
        </is>
      </c>
      <c r="K340" s="14" t="inlineStr">
        <is>
          <t>This workbook, sheet Ref System parameters</t>
        </is>
      </c>
      <c r="L340" s="14" t="inlineStr">
        <is>
          <t>16-Jul-2027 (T-24 weeks)</t>
        </is>
      </c>
      <c r="M340" s="14" t="n"/>
      <c r="N340" s="14" t="n"/>
      <c r="O340" s="14" t="n"/>
      <c r="P340" s="14" t="inlineStr">
        <is>
          <t>Not started</t>
        </is>
      </c>
      <c r="Q340" s="14" t="n"/>
    </row>
    <row r="341">
      <c r="A341" s="14" t="inlineStr">
        <is>
          <t>UAM_REQUEST_NOTICE_EMAIL</t>
        </is>
      </c>
      <c r="B341" s="14" t="inlineStr">
        <is>
          <t>Security</t>
        </is>
      </c>
      <c r="C341" s="14" t="inlineStr">
        <is>
          <t>Security settings</t>
        </is>
      </c>
      <c r="D341" s="14" t="inlineStr">
        <is>
          <t>Drop 0</t>
        </is>
      </c>
      <c r="E341" s="14" t="inlineStr">
        <is>
          <t>BDOI Information Security</t>
        </is>
      </c>
      <c r="F341" s="14" t="inlineStr">
        <is>
          <t>true: the notices of access requests are also e-mailed to each user who chose e-mail in the notification preferences (the bank's process); false: in the system only</t>
        </is>
      </c>
      <c r="G341" s="14" t="inlineStr">
        <is>
          <t>boolean</t>
        </is>
      </c>
      <c r="H341" s="14" t="inlineStr">
        <is>
          <t>true</t>
        </is>
      </c>
      <c r="I341" s="14" t="inlineStr"/>
      <c r="J341" s="14" t="inlineStr">
        <is>
          <t>Template</t>
        </is>
      </c>
      <c r="K341" s="14" t="inlineStr">
        <is>
          <t>This workbook, sheet Ref System parameters</t>
        </is>
      </c>
      <c r="L341" s="14" t="inlineStr">
        <is>
          <t>16-Jul-2027 (T-24 weeks)</t>
        </is>
      </c>
      <c r="M341" s="14" t="n"/>
      <c r="N341" s="14" t="n"/>
      <c r="O341" s="14" t="n"/>
      <c r="P341" s="14" t="inlineStr">
        <is>
          <t>Not started</t>
        </is>
      </c>
      <c r="Q341" s="14" t="n"/>
    </row>
    <row r="342">
      <c r="A342" s="14" t="inlineStr">
        <is>
          <t>UAM_ROLE_APPLY_ON_APPROVAL</t>
        </is>
      </c>
      <c r="B342" s="14" t="inlineStr">
        <is>
          <t>Security</t>
        </is>
      </c>
      <c r="C342" s="14" t="inlineStr">
        <is>
          <t>Security settings</t>
        </is>
      </c>
      <c r="D342" s="14" t="inlineStr">
        <is>
          <t>Drop 0</t>
        </is>
      </c>
      <c r="E342" s="14" t="inlineStr">
        <is>
          <t>BDOI Information Security</t>
        </is>
      </c>
      <c r="F342" s="14" t="inlineStr">
        <is>
          <t>When true, an approved group-profile or role-permission request applies at its last approval; when false it waits for the System Administrator to implement it</t>
        </is>
      </c>
      <c r="G342" s="14" t="inlineStr">
        <is>
          <t>boolean</t>
        </is>
      </c>
      <c r="H342" s="14" t="inlineStr">
        <is>
          <t>false</t>
        </is>
      </c>
      <c r="I342" s="14" t="inlineStr"/>
      <c r="J342" s="14" t="inlineStr">
        <is>
          <t>Template</t>
        </is>
      </c>
      <c r="K342" s="14" t="inlineStr">
        <is>
          <t>BRD-11 template CI-05, sheet UA-05 Parameters</t>
        </is>
      </c>
      <c r="L342" s="14" t="inlineStr">
        <is>
          <t>16-Jul-2027 (T-24 weeks)</t>
        </is>
      </c>
      <c r="M342" s="14" t="n"/>
      <c r="N342" s="14" t="n"/>
      <c r="O342" s="14" t="n"/>
      <c r="P342" s="14" t="inlineStr">
        <is>
          <t>Not started</t>
        </is>
      </c>
      <c r="Q342" s="14" t="n"/>
    </row>
    <row r="343">
      <c r="A343" s="14" t="inlineStr">
        <is>
          <t>UAM_SSO_PROVISIONING</t>
        </is>
      </c>
      <c r="B343" s="14" t="inlineStr">
        <is>
          <t>Security</t>
        </is>
      </c>
      <c r="C343" s="14" t="inlineStr">
        <is>
          <t>Security settings</t>
        </is>
      </c>
      <c r="D343" s="14" t="inlineStr">
        <is>
          <t>Drop 0</t>
        </is>
      </c>
      <c r="E343" s="14" t="inlineStr">
        <is>
          <t>BDOI Information Security</t>
        </is>
      </c>
      <c r="F343" s="14" t="inlineStr">
        <is>
          <t>true: users are created, updated, deactivated and reactivated from the Enterprise SSO / UIDM-ISC events and from an active Enterprise SSO account (the bank's process); false: only through approved access requests</t>
        </is>
      </c>
      <c r="G343" s="14" t="inlineStr">
        <is>
          <t>boolean</t>
        </is>
      </c>
      <c r="H343" s="14" t="inlineStr">
        <is>
          <t>true</t>
        </is>
      </c>
      <c r="I343" s="14" t="inlineStr"/>
      <c r="J343" s="14" t="inlineStr">
        <is>
          <t>Template</t>
        </is>
      </c>
      <c r="K343" s="14" t="inlineStr">
        <is>
          <t>This workbook, sheet Ref System parameters</t>
        </is>
      </c>
      <c r="L343" s="14" t="inlineStr">
        <is>
          <t>16-Jul-2027 (T-24 weeks)</t>
        </is>
      </c>
      <c r="M343" s="14" t="n"/>
      <c r="N343" s="14" t="n"/>
      <c r="O343" s="14" t="n"/>
      <c r="P343" s="14" t="inlineStr">
        <is>
          <t>Not started</t>
        </is>
      </c>
      <c r="Q343" s="14" t="n"/>
    </row>
    <row r="344">
      <c r="A344" s="14" t="inlineStr">
        <is>
          <t>UAM_WORKING_HOURS</t>
        </is>
      </c>
      <c r="B344" s="14" t="inlineStr">
        <is>
          <t>Security</t>
        </is>
      </c>
      <c r="C344" s="14" t="inlineStr">
        <is>
          <t>Security settings</t>
        </is>
      </c>
      <c r="D344" s="14" t="inlineStr">
        <is>
          <t>Drop 0</t>
        </is>
      </c>
      <c r="E344" s="14" t="inlineStr">
        <is>
          <t>BDOI Information Security</t>
        </is>
      </c>
      <c r="F344" s="14" t="inlineStr">
        <is>
          <t>Working hours; an access request submitted outside them needs a second approval</t>
        </is>
      </c>
      <c r="G344" s="14" t="inlineStr">
        <is>
          <t>string</t>
        </is>
      </c>
      <c r="H344" s="14" t="inlineStr">
        <is>
          <t>08:00-18:00,MON-FRI</t>
        </is>
      </c>
      <c r="I344" s="14" t="inlineStr"/>
      <c r="J344" s="14" t="inlineStr">
        <is>
          <t>Template</t>
        </is>
      </c>
      <c r="K344" s="14" t="inlineStr">
        <is>
          <t>BRD-11 template CI-05, sheet UA-05 Parameters</t>
        </is>
      </c>
      <c r="L344" s="14" t="inlineStr">
        <is>
          <t>16-Jul-2027 (T-24 weeks)</t>
        </is>
      </c>
      <c r="M344" s="14" t="n"/>
      <c r="N344" s="14" t="n"/>
      <c r="O344" s="14" t="n"/>
      <c r="P344" s="14" t="inlineStr">
        <is>
          <t>Not started</t>
        </is>
      </c>
      <c r="Q344" s="14" t="n"/>
    </row>
    <row r="345">
      <c r="A345" s="14" t="inlineStr">
        <is>
          <t>USER_ID_FORMAT_TEXT</t>
        </is>
      </c>
      <c r="B345" s="14" t="inlineStr">
        <is>
          <t>Security</t>
        </is>
      </c>
      <c r="C345" s="14" t="inlineStr">
        <is>
          <t>Security settings</t>
        </is>
      </c>
      <c r="D345" s="14" t="inlineStr">
        <is>
          <t>Drop 0</t>
        </is>
      </c>
      <c r="E345" s="14" t="inlineStr">
        <is>
          <t>BDOI Information Security</t>
        </is>
      </c>
      <c r="F345" s="14" t="inlineStr">
        <is>
          <t>The user ID format in words, shown to the requester with the format check of USER_ID_PATTERN</t>
        </is>
      </c>
      <c r="G345" s="14" t="inlineStr">
        <is>
          <t>string</t>
        </is>
      </c>
      <c r="H345" s="14" t="inlineStr">
        <is>
          <t>a letter followed by nine digits, for example a013000196</t>
        </is>
      </c>
      <c r="I345" s="14" t="inlineStr"/>
      <c r="J345" s="14" t="inlineStr">
        <is>
          <t>Template</t>
        </is>
      </c>
      <c r="K345" s="14" t="inlineStr">
        <is>
          <t>BRD-11 template CI-05, sheet UA-05 Parameters</t>
        </is>
      </c>
      <c r="L345" s="14" t="inlineStr">
        <is>
          <t>16-Jul-2027 (T-24 weeks)</t>
        </is>
      </c>
      <c r="M345" s="14" t="n"/>
      <c r="N345" s="14" t="n"/>
      <c r="O345" s="14" t="n"/>
      <c r="P345" s="14" t="inlineStr">
        <is>
          <t>Not started</t>
        </is>
      </c>
      <c r="Q345" s="14" t="n"/>
    </row>
    <row r="346">
      <c r="A346" s="14" t="inlineStr">
        <is>
          <t>USER_ID_PATTERN</t>
        </is>
      </c>
      <c r="B346" s="14" t="inlineStr">
        <is>
          <t>Security</t>
        </is>
      </c>
      <c r="C346" s="14" t="inlineStr">
        <is>
          <t>Security settings</t>
        </is>
      </c>
      <c r="D346" s="14" t="inlineStr">
        <is>
          <t>Drop 0</t>
        </is>
      </c>
      <c r="E346" s="14" t="inlineStr">
        <is>
          <t>BDOI Information Security</t>
        </is>
      </c>
      <c r="F346" s="14" t="inlineStr">
        <is>
          <t>Regular expression of a new user ID on enrolment requests</t>
        </is>
      </c>
      <c r="G346" s="14" t="inlineStr">
        <is>
          <t>string</t>
        </is>
      </c>
      <c r="H346" s="14" t="inlineStr">
        <is>
          <t>^[a-zA-Z][0-9]{9}$</t>
        </is>
      </c>
      <c r="I346" s="14" t="inlineStr"/>
      <c r="J346" s="14" t="inlineStr">
        <is>
          <t>Template</t>
        </is>
      </c>
      <c r="K346" s="14" t="inlineStr">
        <is>
          <t>BRD-11 template CI-05, sheet UA-05 Parameters</t>
        </is>
      </c>
      <c r="L346" s="14" t="inlineStr">
        <is>
          <t>16-Jul-2027 (T-24 weeks)</t>
        </is>
      </c>
      <c r="M346" s="14" t="n"/>
      <c r="N346" s="14" t="n"/>
      <c r="O346" s="14" t="n"/>
      <c r="P346" s="14" t="inlineStr">
        <is>
          <t>Not started</t>
        </is>
      </c>
      <c r="Q346" s="14" t="n"/>
    </row>
    <row r="347">
      <c r="A347" s="14" t="inlineStr">
        <is>
          <t>SBM_HOLD_COVER_UNBOOKED_ALERT_DAYS</t>
        </is>
      </c>
      <c r="B347" s="14" t="inlineStr">
        <is>
          <t>Submitted</t>
        </is>
      </c>
      <c r="C347" s="14" t="inlineStr">
        <is>
          <t>Submitted Policies</t>
        </is>
      </c>
      <c r="D347" s="14" t="inlineStr">
        <is>
          <t>Drop 1</t>
        </is>
      </c>
      <c r="E347" s="14" t="inlineStr">
        <is>
          <t>Product Owner, Submitted Policies</t>
        </is>
      </c>
      <c r="F347" s="14" t="inlineStr">
        <is>
          <t>Days before a confirmed hold cover ends at which a renewal account not yet booked is alerted</t>
        </is>
      </c>
      <c r="G347" s="14" t="inlineStr">
        <is>
          <t>integer</t>
        </is>
      </c>
      <c r="H347" s="14" t="inlineStr">
        <is>
          <t>5</t>
        </is>
      </c>
      <c r="I347" s="14" t="inlineStr">
        <is>
          <t>0 to 60</t>
        </is>
      </c>
      <c r="J347" s="14" t="inlineStr">
        <is>
          <t>Template</t>
        </is>
      </c>
      <c r="K347" s="14" t="inlineStr">
        <is>
          <t>This workbook, sheet Ref System parameters</t>
        </is>
      </c>
      <c r="L347" s="14" t="inlineStr">
        <is>
          <t>16-Jul-2027 (T-24 weeks)</t>
        </is>
      </c>
      <c r="M347" s="14" t="n"/>
      <c r="N347" s="14" t="n"/>
      <c r="O347" s="14" t="n"/>
      <c r="P347" s="14" t="inlineStr">
        <is>
          <t>Not started</t>
        </is>
      </c>
      <c r="Q347" s="14" t="n"/>
    </row>
    <row r="348">
      <c r="A348" s="14" t="inlineStr">
        <is>
          <t>SBM_INSURER_ACCEPT_DAYS</t>
        </is>
      </c>
      <c r="B348" s="14" t="inlineStr">
        <is>
          <t>Submitted</t>
        </is>
      </c>
      <c r="C348" s="14" t="inlineStr">
        <is>
          <t>Submitted Policies</t>
        </is>
      </c>
      <c r="D348" s="14" t="inlineStr">
        <is>
          <t>Drop 1</t>
        </is>
      </c>
      <c r="E348" s="14" t="inlineStr">
        <is>
          <t>Product Owner, Submitted Policies</t>
        </is>
      </c>
      <c r="F348" s="14" t="inlineStr">
        <is>
          <t>Days the assigned insurer has to accept the hold cover of a submitted policy renewal before the handler is alerted</t>
        </is>
      </c>
      <c r="G348" s="14" t="inlineStr">
        <is>
          <t>integer</t>
        </is>
      </c>
      <c r="H348" s="14" t="inlineStr">
        <is>
          <t>5</t>
        </is>
      </c>
      <c r="I348" s="14" t="inlineStr">
        <is>
          <t>1 to 60</t>
        </is>
      </c>
      <c r="J348" s="14" t="inlineStr">
        <is>
          <t>Template</t>
        </is>
      </c>
      <c r="K348" s="14" t="inlineStr">
        <is>
          <t>This workbook, sheet Ref System parameters</t>
        </is>
      </c>
      <c r="L348" s="14" t="inlineStr">
        <is>
          <t>16-Jul-2027 (T-24 weeks)</t>
        </is>
      </c>
      <c r="M348" s="14" t="n"/>
      <c r="N348" s="14" t="n"/>
      <c r="O348" s="14" t="n"/>
      <c r="P348" s="14" t="inlineStr">
        <is>
          <t>Not started</t>
        </is>
      </c>
      <c r="Q348" s="14" t="n"/>
    </row>
    <row r="349">
      <c r="A349" s="14" t="inlineStr">
        <is>
          <t>SBM_MANUAL_RENEWAL_SEGMENTS</t>
        </is>
      </c>
      <c r="B349" s="14" t="inlineStr">
        <is>
          <t>Submitted</t>
        </is>
      </c>
      <c r="C349" s="14" t="inlineStr">
        <is>
          <t>Submitted Policies</t>
        </is>
      </c>
      <c r="D349" s="14" t="inlineStr">
        <is>
          <t>Drop 1</t>
        </is>
      </c>
      <c r="E349" s="14" t="inlineStr">
        <is>
          <t>Product Owner, Submitted Policies</t>
        </is>
      </c>
      <c r="F349" s="14" t="inlineStr">
        <is>
          <t>Segments whose renewal the Account Officer starts by hand with Renew with BDOI; the expiry scan leaves them out</t>
        </is>
      </c>
      <c r="G349" s="14" t="inlineStr">
        <is>
          <t>code list</t>
        </is>
      </c>
      <c r="H349" s="14" t="inlineStr">
        <is>
          <t>NONCBG_RETAIL</t>
        </is>
      </c>
      <c r="I349" s="14" t="inlineStr"/>
      <c r="J349" s="14" t="inlineStr">
        <is>
          <t>Template</t>
        </is>
      </c>
      <c r="K349" s="14" t="inlineStr">
        <is>
          <t>This workbook, sheet Ref System parameters</t>
        </is>
      </c>
      <c r="L349" s="14" t="inlineStr">
        <is>
          <t>16-Jul-2027 (T-24 weeks)</t>
        </is>
      </c>
      <c r="M349" s="14" t="n"/>
      <c r="N349" s="14" t="n"/>
      <c r="O349" s="14" t="n"/>
      <c r="P349" s="14" t="inlineStr">
        <is>
          <t>Not started</t>
        </is>
      </c>
      <c r="Q349" s="14" t="n"/>
    </row>
    <row r="350">
      <c r="A350" s="14" t="inlineStr">
        <is>
          <t>SBM_MASTERLIST_DAYS_FROM_EXTRACTION</t>
        </is>
      </c>
      <c r="B350" s="14" t="inlineStr">
        <is>
          <t>Submitted</t>
        </is>
      </c>
      <c r="C350" s="14" t="inlineStr">
        <is>
          <t>Submitted Policies</t>
        </is>
      </c>
      <c r="D350" s="14" t="inlineStr">
        <is>
          <t>Drop 1</t>
        </is>
      </c>
      <c r="E350" s="14" t="inlineStr">
        <is>
          <t>Product Owner, Submitted Policies</t>
        </is>
      </c>
      <c r="F350" s="14" t="inlineStr">
        <is>
          <t>Target days from the extraction of a CBG Motor policy to its masterlist record</t>
        </is>
      </c>
      <c r="G350" s="14" t="inlineStr">
        <is>
          <t>integer</t>
        </is>
      </c>
      <c r="H350" s="14" t="inlineStr">
        <is>
          <t>30</t>
        </is>
      </c>
      <c r="I350" s="14" t="inlineStr">
        <is>
          <t>1 to 365</t>
        </is>
      </c>
      <c r="J350" s="14" t="inlineStr">
        <is>
          <t>Template</t>
        </is>
      </c>
      <c r="K350" s="14" t="inlineStr">
        <is>
          <t>This workbook, sheet Ref System parameters</t>
        </is>
      </c>
      <c r="L350" s="14" t="inlineStr">
        <is>
          <t>16-Jul-2027 (T-24 weeks)</t>
        </is>
      </c>
      <c r="M350" s="14" t="n"/>
      <c r="N350" s="14" t="n"/>
      <c r="O350" s="14" t="n"/>
      <c r="P350" s="14" t="inlineStr">
        <is>
          <t>Not started</t>
        </is>
      </c>
      <c r="Q350" s="14" t="n"/>
    </row>
    <row r="351">
      <c r="A351" s="14" t="inlineStr">
        <is>
          <t>SBM_NUMBER_PREFIX</t>
        </is>
      </c>
      <c r="B351" s="14" t="inlineStr">
        <is>
          <t>Submitted</t>
        </is>
      </c>
      <c r="C351" s="14" t="inlineStr">
        <is>
          <t>Submitted Policies</t>
        </is>
      </c>
      <c r="D351" s="14" t="inlineStr">
        <is>
          <t>Drop 1</t>
        </is>
      </c>
      <c r="E351" s="14" t="inlineStr">
        <is>
          <t>Product Owner, Submitted Policies</t>
        </is>
      </c>
      <c r="F351" s="14" t="inlineStr">
        <is>
          <t>Prefix of the masterlist number (prefix-yyyy-nnnnnn)</t>
        </is>
      </c>
      <c r="G351" s="14" t="inlineStr">
        <is>
          <t>string</t>
        </is>
      </c>
      <c r="H351" s="14" t="inlineStr">
        <is>
          <t>SBM</t>
        </is>
      </c>
      <c r="I351" s="14" t="inlineStr"/>
      <c r="J351" s="14" t="inlineStr">
        <is>
          <t>Template</t>
        </is>
      </c>
      <c r="K351" s="14" t="inlineStr">
        <is>
          <t>This workbook, sheet Ref Document numbering</t>
        </is>
      </c>
      <c r="L351" s="14" t="inlineStr">
        <is>
          <t>16-Jul-2027 (T-24 weeks)</t>
        </is>
      </c>
      <c r="M351" s="14" t="n"/>
      <c r="N351" s="14" t="n"/>
      <c r="O351" s="14" t="n"/>
      <c r="P351" s="14" t="inlineStr">
        <is>
          <t>Not started</t>
        </is>
      </c>
      <c r="Q351" s="14" t="n"/>
    </row>
    <row r="352">
      <c r="A352" s="14" t="inlineStr">
        <is>
          <t>SBM_OWN_RECORDS_ROLES</t>
        </is>
      </c>
      <c r="B352" s="14" t="inlineStr">
        <is>
          <t>Submitted</t>
        </is>
      </c>
      <c r="C352" s="14" t="inlineStr">
        <is>
          <t>Submitted Policies</t>
        </is>
      </c>
      <c r="D352" s="14" t="inlineStr">
        <is>
          <t>Drop 1</t>
        </is>
      </c>
      <c r="E352" s="14" t="inlineStr">
        <is>
          <t>Product Owner, Submitted Policies</t>
        </is>
      </c>
      <c r="F352" s="14" t="inlineStr">
        <is>
          <t>Roles whose users see only the submitted policies they handle or whose renewal they own, unless a user scope says otherwise</t>
        </is>
      </c>
      <c r="G352" s="14" t="inlineStr">
        <is>
          <t>code list</t>
        </is>
      </c>
      <c r="H352" s="14" t="inlineStr">
        <is>
          <t>MKT_AO</t>
        </is>
      </c>
      <c r="I352" s="14" t="inlineStr"/>
      <c r="J352" s="14" t="inlineStr">
        <is>
          <t>Template</t>
        </is>
      </c>
      <c r="K352" s="14" t="inlineStr">
        <is>
          <t>This workbook, sheet Ref System parameters</t>
        </is>
      </c>
      <c r="L352" s="14" t="inlineStr">
        <is>
          <t>16-Jul-2027 (T-24 weeks)</t>
        </is>
      </c>
      <c r="M352" s="14" t="n"/>
      <c r="N352" s="14" t="n"/>
      <c r="O352" s="14" t="n"/>
      <c r="P352" s="14" t="inlineStr">
        <is>
          <t>Not started</t>
        </is>
      </c>
      <c r="Q352" s="14" t="n"/>
    </row>
    <row r="353">
      <c r="A353" s="14" t="inlineStr">
        <is>
          <t>SBM_RENEWAL_LEAD_DAYS</t>
        </is>
      </c>
      <c r="B353" s="14" t="inlineStr">
        <is>
          <t>Submitted</t>
        </is>
      </c>
      <c r="C353" s="14" t="inlineStr">
        <is>
          <t>Submitted Policies</t>
        </is>
      </c>
      <c r="D353" s="14" t="inlineStr">
        <is>
          <t>Drop 1</t>
        </is>
      </c>
      <c r="E353" s="14" t="inlineStr">
        <is>
          <t>Product Owner, Submitted Policies</t>
        </is>
      </c>
      <c r="F353" s="14" t="inlineStr">
        <is>
          <t>Days before expiry at which a submitted policy for renewal is handed to Renewal, per segment (* = other segments)</t>
        </is>
      </c>
      <c r="G353" s="14" t="inlineStr">
        <is>
          <t>string</t>
        </is>
      </c>
      <c r="H353" s="14" t="inlineStr">
        <is>
          <t>CBG_FIRE=150,CBG_MOTOR=120,*=90</t>
        </is>
      </c>
      <c r="I353" s="14" t="inlineStr"/>
      <c r="J353" s="14" t="inlineStr">
        <is>
          <t>Template</t>
        </is>
      </c>
      <c r="K353" s="14" t="inlineStr">
        <is>
          <t>This workbook, sheet Ref System parameters</t>
        </is>
      </c>
      <c r="L353" s="14" t="inlineStr">
        <is>
          <t>16-Jul-2027 (T-24 weeks)</t>
        </is>
      </c>
      <c r="M353" s="14" t="n"/>
      <c r="N353" s="14" t="n"/>
      <c r="O353" s="14" t="n"/>
      <c r="P353" s="14" t="inlineStr">
        <is>
          <t>Not started</t>
        </is>
      </c>
      <c r="Q353" s="14" t="n"/>
    </row>
    <row r="354">
      <c r="A354" s="14" t="inlineStr">
        <is>
          <t>SBM_REVIEW_SLA_DAYS</t>
        </is>
      </c>
      <c r="B354" s="14" t="inlineStr">
        <is>
          <t>Submitted</t>
        </is>
      </c>
      <c r="C354" s="14" t="inlineStr">
        <is>
          <t>Submitted Policies</t>
        </is>
      </c>
      <c r="D354" s="14" t="inlineStr">
        <is>
          <t>Drop 1</t>
        </is>
      </c>
      <c r="E354" s="14" t="inlineStr">
        <is>
          <t>Product Owner, Submitted Policies</t>
        </is>
      </c>
      <c r="F354" s="14" t="inlineStr">
        <is>
          <t>Days an IAAF or TOR approval level may wait before it is alerted</t>
        </is>
      </c>
      <c r="G354" s="14" t="inlineStr">
        <is>
          <t>integer</t>
        </is>
      </c>
      <c r="H354" s="14" t="inlineStr">
        <is>
          <t>5</t>
        </is>
      </c>
      <c r="I354" s="14" t="inlineStr">
        <is>
          <t>1 to 60</t>
        </is>
      </c>
      <c r="J354" s="14" t="inlineStr">
        <is>
          <t>Template</t>
        </is>
      </c>
      <c r="K354" s="14" t="inlineStr">
        <is>
          <t>This workbook, sheet Ref System parameters</t>
        </is>
      </c>
      <c r="L354" s="14" t="inlineStr">
        <is>
          <t>16-Jul-2027 (T-24 weeks)</t>
        </is>
      </c>
      <c r="M354" s="14" t="n"/>
      <c r="N354" s="14" t="n"/>
      <c r="O354" s="14" t="n"/>
      <c r="P354" s="14" t="inlineStr">
        <is>
          <t>Not started</t>
        </is>
      </c>
      <c r="Q354" s="14" t="n"/>
    </row>
    <row r="355">
      <c r="A355" s="14" t="inlineStr">
        <is>
          <t>IC_RBC_HURDLE_PERCENT</t>
        </is>
      </c>
      <c r="B355" s="14" t="inlineStr">
        <is>
          <t>Tax</t>
        </is>
      </c>
      <c r="C355" s="14" t="inlineStr">
        <is>
          <t>Accounting, Disbursement and ACSL</t>
        </is>
      </c>
      <c r="D355" s="14" t="inlineStr">
        <is>
          <t>Drop 1</t>
        </is>
      </c>
      <c r="E355" s="14" t="inlineStr">
        <is>
          <t>Head, Comptrollership</t>
        </is>
      </c>
      <c r="F355" s="14" t="inlineStr">
        <is>
          <t>Minimum risk-based capital ratio (percent) required by the Insurance Commission; the IC-RBC summary flags a shortfall</t>
        </is>
      </c>
      <c r="G355" s="14" t="inlineStr">
        <is>
          <t>integer</t>
        </is>
      </c>
      <c r="H355" s="14" t="inlineStr">
        <is>
          <t>100</t>
        </is>
      </c>
      <c r="I355" s="14" t="inlineStr">
        <is>
          <t>1 to 1000</t>
        </is>
      </c>
      <c r="J355" s="14" t="inlineStr">
        <is>
          <t>Template</t>
        </is>
      </c>
      <c r="K355" s="14" t="inlineStr">
        <is>
          <t>This workbook, sheet Ref System parameters</t>
        </is>
      </c>
      <c r="L355" s="14" t="inlineStr">
        <is>
          <t>16-Jul-2027 (T-24 weeks)</t>
        </is>
      </c>
      <c r="M355" s="14" t="n"/>
      <c r="N355" s="14" t="n"/>
      <c r="O355" s="14" t="n"/>
      <c r="P355" s="14" t="inlineStr">
        <is>
          <t>Not started</t>
        </is>
      </c>
      <c r="Q355" s="14" t="n"/>
    </row>
    <row r="356">
      <c r="A356" s="14" t="inlineStr">
        <is>
          <t>TAX_FBT_GROSSUP_RATE</t>
        </is>
      </c>
      <c r="B356" s="14" t="inlineStr">
        <is>
          <t>Tax</t>
        </is>
      </c>
      <c r="C356" s="14" t="inlineStr">
        <is>
          <t>Accounting, Disbursement and ACSL</t>
        </is>
      </c>
      <c r="D356" s="14" t="inlineStr">
        <is>
          <t>Drop 1</t>
        </is>
      </c>
      <c r="E356" s="14" t="inlineStr">
        <is>
          <t>Head, Comptrollership</t>
        </is>
      </c>
      <c r="F356" s="14" t="inlineStr">
        <is>
          <t>Gross-up of the monetary value of fringe benefits in percent (100 / 65) used by the 1603 worksheet</t>
        </is>
      </c>
      <c r="G356" s="14" t="inlineStr">
        <is>
          <t>decimal</t>
        </is>
      </c>
      <c r="H356" s="14" t="inlineStr">
        <is>
          <t>153.8462</t>
        </is>
      </c>
      <c r="I356" s="14" t="inlineStr"/>
      <c r="J356" s="14" t="inlineStr">
        <is>
          <t>Template</t>
        </is>
      </c>
      <c r="K356" s="14" t="inlineStr">
        <is>
          <t>This workbook, sheet Ref System parameters</t>
        </is>
      </c>
      <c r="L356" s="14" t="inlineStr">
        <is>
          <t>16-Jul-2027 (T-24 weeks)</t>
        </is>
      </c>
      <c r="M356" s="14" t="n"/>
      <c r="N356" s="14" t="n"/>
      <c r="O356" s="14" t="n"/>
      <c r="P356" s="14" t="inlineStr">
        <is>
          <t>Not started</t>
        </is>
      </c>
      <c r="Q356" s="14" t="n"/>
    </row>
    <row r="357">
      <c r="A357" s="14" t="inlineStr">
        <is>
          <t>TAX_FBT_RATE</t>
        </is>
      </c>
      <c r="B357" s="14" t="inlineStr">
        <is>
          <t>Tax</t>
        </is>
      </c>
      <c r="C357" s="14" t="inlineStr">
        <is>
          <t>Accounting, Disbursement and ACSL</t>
        </is>
      </c>
      <c r="D357" s="14" t="inlineStr">
        <is>
          <t>Drop 1</t>
        </is>
      </c>
      <c r="E357" s="14" t="inlineStr">
        <is>
          <t>Head, Comptrollership</t>
        </is>
      </c>
      <c r="F357" s="14" t="inlineStr">
        <is>
          <t>Fringe benefit tax rate in percent used by the 1603 worksheet</t>
        </is>
      </c>
      <c r="G357" s="14" t="inlineStr">
        <is>
          <t>decimal</t>
        </is>
      </c>
      <c r="H357" s="14" t="inlineStr">
        <is>
          <t>35</t>
        </is>
      </c>
      <c r="I357" s="14" t="inlineStr"/>
      <c r="J357" s="14" t="inlineStr">
        <is>
          <t>Template</t>
        </is>
      </c>
      <c r="K357" s="14" t="inlineStr">
        <is>
          <t>This workbook, sheet Ref System parameters</t>
        </is>
      </c>
      <c r="L357" s="14" t="inlineStr">
        <is>
          <t>16-Jul-2027 (T-24 weeks)</t>
        </is>
      </c>
      <c r="M357" s="14" t="n"/>
      <c r="N357" s="14" t="n"/>
      <c r="O357" s="14" t="n"/>
      <c r="P357" s="14" t="inlineStr">
        <is>
          <t>Not started</t>
        </is>
      </c>
      <c r="Q357" s="14" t="n"/>
    </row>
    <row r="358">
      <c r="A358" s="14" t="inlineStr">
        <is>
          <t>TAX_RCIT_RATE</t>
        </is>
      </c>
      <c r="B358" s="14" t="inlineStr">
        <is>
          <t>Tax</t>
        </is>
      </c>
      <c r="C358" s="14" t="inlineStr">
        <is>
          <t>Accounting, Disbursement and ACSL</t>
        </is>
      </c>
      <c r="D358" s="14" t="inlineStr">
        <is>
          <t>Drop 1</t>
        </is>
      </c>
      <c r="E358" s="14" t="inlineStr">
        <is>
          <t>Head, Comptrollership</t>
        </is>
      </c>
      <c r="F358" s="14" t="inlineStr">
        <is>
          <t>Regular corporate income tax rate in percent used by the 1702-Q / 1702 worksheets</t>
        </is>
      </c>
      <c r="G358" s="14" t="inlineStr">
        <is>
          <t>decimal</t>
        </is>
      </c>
      <c r="H358" s="14" t="inlineStr">
        <is>
          <t>25</t>
        </is>
      </c>
      <c r="I358" s="14" t="inlineStr"/>
      <c r="J358" s="14" t="inlineStr">
        <is>
          <t>Template</t>
        </is>
      </c>
      <c r="K358" s="14" t="inlineStr">
        <is>
          <t>This workbook, sheet Ref System parameters</t>
        </is>
      </c>
      <c r="L358" s="14" t="inlineStr">
        <is>
          <t>16-Jul-2027 (T-24 weeks)</t>
        </is>
      </c>
      <c r="M358" s="14" t="n"/>
      <c r="N358" s="14" t="n"/>
      <c r="O358" s="14" t="n"/>
      <c r="P358" s="14" t="inlineStr">
        <is>
          <t>Not started</t>
        </is>
      </c>
      <c r="Q358" s="14" t="n"/>
    </row>
    <row r="359">
      <c r="A359" s="14" t="inlineStr">
        <is>
          <t>TAX_RDO_CODE</t>
        </is>
      </c>
      <c r="B359" s="14" t="inlineStr">
        <is>
          <t>Tax</t>
        </is>
      </c>
      <c r="C359" s="14" t="inlineStr">
        <is>
          <t>Accounting, Disbursement and ACSL</t>
        </is>
      </c>
      <c r="D359" s="14" t="inlineStr">
        <is>
          <t>Drop 1</t>
        </is>
      </c>
      <c r="E359" s="14" t="inlineStr">
        <is>
          <t>Head, Comptrollership</t>
        </is>
      </c>
      <c r="F359" s="14" t="inlineStr">
        <is>
          <t>BIR Revenue District Office code of the withholding agent, printed on the SLS/SLP/QAP exports</t>
        </is>
      </c>
      <c r="G359" s="14" t="inlineStr">
        <is>
          <t>string</t>
        </is>
      </c>
      <c r="H359" s="14" t="inlineStr">
        <is>
          <t>050</t>
        </is>
      </c>
      <c r="I359" s="14" t="inlineStr"/>
      <c r="J359" s="14" t="inlineStr">
        <is>
          <t>Template</t>
        </is>
      </c>
      <c r="K359" s="14" t="inlineStr">
        <is>
          <t>This workbook, sheet Ref System parameters</t>
        </is>
      </c>
      <c r="L359" s="14" t="inlineStr">
        <is>
          <t>16-Jul-2027 (T-24 weeks)</t>
        </is>
      </c>
      <c r="M359" s="14" t="n"/>
      <c r="N359" s="14" t="n"/>
      <c r="O359" s="14" t="n"/>
      <c r="P359" s="14" t="inlineStr">
        <is>
          <t>Not started</t>
        </is>
      </c>
      <c r="Q359" s="14" t="n"/>
    </row>
  </sheetData>
  <autoFilter ref="A4:Q359"/>
  <conditionalFormatting sqref="P5:P359">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Q359">
    <cfRule type="expression" priority="6" dxfId="7">
      <formula>AND(MOD(ROW(),2)=0,$A5&lt;&gt;"")</formula>
    </cfRule>
  </conditionalFormatting>
  <dataValidations count="2">
    <dataValidation sqref="J5:J359" showDropDown="0" showInputMessage="1" showErrorMessage="1" allowBlank="1" errorTitle="Route" error="Choose a value of the list Route (sheet Reference lists)." promptTitle="Route" prompt="Template: the value is given here or in the named template" type="list" errorStyle="stop">
      <formula1>=LIST_ROUTE</formula1>
    </dataValidation>
    <dataValidation sqref="P5:P359"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I17"/>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60" customWidth="1" min="3" max="3"/>
    <col width="16" customWidth="1" min="4" max="4"/>
    <col width="34" customWidth="1" min="5" max="5"/>
    <col width="28" customWidth="1" min="6" max="6"/>
    <col width="16" customWidth="1" min="7" max="7"/>
    <col width="14" customWidth="1" min="8" max="8"/>
    <col width="36" customWidth="1" min="9" max="9"/>
  </cols>
  <sheetData>
    <row r="1" ht="26" customHeight="1">
      <c r="A1" s="27" t="inlineStr">
        <is>
          <t>Reference: Document numbering</t>
        </is>
      </c>
    </row>
    <row r="2">
      <c r="A2" s="29" t="inlineStr">
        <is>
          <t>← Back to Start here</t>
        </is>
      </c>
      <c r="B2" s="56" t="inlineStr">
        <is>
          <t>Prefixes of the numbered documents; receipt series come from object R11, check numbers from D0-12</t>
        </is>
      </c>
    </row>
    <row r="4" ht="30" customHeight="1">
      <c r="A4" s="11" t="inlineStr">
        <is>
          <t>Parameter</t>
        </is>
      </c>
      <c r="B4" s="11" t="inlineStr">
        <is>
          <t>Module</t>
        </is>
      </c>
      <c r="C4" s="11" t="inlineStr">
        <is>
          <t>Numbered document</t>
        </is>
      </c>
      <c r="D4" s="11" t="inlineStr">
        <is>
          <t>Prefix proposed</t>
        </is>
      </c>
      <c r="E4" s="11" t="inlineStr">
        <is>
          <t>Prepared in</t>
        </is>
      </c>
      <c r="F4" s="11" t="inlineStr">
        <is>
          <t>Owner (BDOI unit)</t>
        </is>
      </c>
      <c r="G4" s="11" t="inlineStr">
        <is>
          <t>Prefix wanted</t>
        </is>
      </c>
      <c r="H4" s="11" t="inlineStr">
        <is>
          <t>Status</t>
        </is>
      </c>
      <c r="I4" s="11" t="inlineStr">
        <is>
          <t>BDOI comments</t>
        </is>
      </c>
    </row>
    <row r="5">
      <c r="A5" s="14" t="inlineStr">
        <is>
          <t>PROPOSAL_NUMBER_PREFIX</t>
        </is>
      </c>
      <c r="B5" s="14" t="inlineStr">
        <is>
          <t>New Business</t>
        </is>
      </c>
      <c r="C5" s="14" t="inlineStr">
        <is>
          <t>Prefix of the PRF marketing reference (&lt;prefix&gt;-&lt;yyyy&gt;-nnnnnn)</t>
        </is>
      </c>
      <c r="D5" s="14" t="inlineStr">
        <is>
          <t>PRF</t>
        </is>
      </c>
      <c r="E5" s="14" t="inlineStr">
        <is>
          <t>This workbook, sheet Ref Document numbering</t>
        </is>
      </c>
      <c r="F5" s="14" t="inlineStr">
        <is>
          <t>Product Owner, BDOI (New Business)</t>
        </is>
      </c>
      <c r="G5" s="14" t="n"/>
      <c r="H5" s="14" t="inlineStr">
        <is>
          <t>Not started</t>
        </is>
      </c>
      <c r="I5" s="14" t="n"/>
    </row>
    <row r="6">
      <c r="A6" s="14" t="inlineStr">
        <is>
          <t>PROPOSAL_SLIP_PREFIX</t>
        </is>
      </c>
      <c r="B6" s="14" t="inlineStr">
        <is>
          <t>New Business</t>
        </is>
      </c>
      <c r="C6" s="14" t="inlineStr">
        <is>
          <t>Prefix of proposal slip numbers (&lt;prefix&gt;-&lt;yyyy&gt;-nnnnnn)</t>
        </is>
      </c>
      <c r="D6" s="14" t="inlineStr">
        <is>
          <t>PS</t>
        </is>
      </c>
      <c r="E6" s="14" t="inlineStr">
        <is>
          <t>This workbook, sheet Ref Document numbering</t>
        </is>
      </c>
      <c r="F6" s="14" t="inlineStr">
        <is>
          <t>Product Owner, BDOI (New Business)</t>
        </is>
      </c>
      <c r="G6" s="14" t="n"/>
      <c r="H6" s="14" t="inlineStr">
        <is>
          <t>Not started</t>
        </is>
      </c>
      <c r="I6" s="14" t="n"/>
    </row>
    <row r="7">
      <c r="A7" s="14" t="inlineStr">
        <is>
          <t>QUOTATION_NUMBER_PREFIX</t>
        </is>
      </c>
      <c r="B7" s="14" t="inlineStr">
        <is>
          <t>New Business</t>
        </is>
      </c>
      <c r="C7" s="14" t="inlineStr">
        <is>
          <t>Prefix of package quotation numbers (&lt;prefix&gt;-&lt;yyyy&gt;-nnnnnn), shown as Proposal No.</t>
        </is>
      </c>
      <c r="D7" s="14" t="inlineStr">
        <is>
          <t>QT</t>
        </is>
      </c>
      <c r="E7" s="14" t="inlineStr">
        <is>
          <t>This workbook, sheet Ref Document numbering</t>
        </is>
      </c>
      <c r="F7" s="14" t="inlineStr">
        <is>
          <t>Product Owner, BDOI (New Business)</t>
        </is>
      </c>
      <c r="G7" s="14" t="n"/>
      <c r="H7" s="14" t="inlineStr">
        <is>
          <t>Not started</t>
        </is>
      </c>
      <c r="I7" s="14" t="n"/>
    </row>
    <row r="8">
      <c r="A8" s="14" t="inlineStr">
        <is>
          <t>QUOTATION_REQUEST_PREFIX</t>
        </is>
      </c>
      <c r="B8" s="14" t="inlineStr">
        <is>
          <t>New Business</t>
        </is>
      </c>
      <c r="C8" s="14" t="inlineStr">
        <is>
          <t>Prefix of quotation request numbers (&lt;prefix&gt;-&lt;yyyy&gt;-nnnnnn)</t>
        </is>
      </c>
      <c r="D8" s="14" t="inlineStr">
        <is>
          <t>REQ</t>
        </is>
      </c>
      <c r="E8" s="14" t="inlineStr">
        <is>
          <t>This workbook, sheet Ref Document numbering</t>
        </is>
      </c>
      <c r="F8" s="14" t="inlineStr">
        <is>
          <t>Product Owner, BDOI (New Business)</t>
        </is>
      </c>
      <c r="G8" s="14" t="n"/>
      <c r="H8" s="14" t="inlineStr">
        <is>
          <t>Not started</t>
        </is>
      </c>
      <c r="I8" s="14" t="n"/>
    </row>
    <row r="9">
      <c r="A9" s="14" t="inlineStr">
        <is>
          <t>QUOTATION_SLIP_PREFIX</t>
        </is>
      </c>
      <c r="B9" s="14" t="inlineStr">
        <is>
          <t>New Business</t>
        </is>
      </c>
      <c r="C9" s="14" t="inlineStr">
        <is>
          <t>Prefix of quotation slip numbers (&lt;prefix&gt;-&lt;yyyy&gt;-nnnnnn)</t>
        </is>
      </c>
      <c r="D9" s="14" t="inlineStr">
        <is>
          <t>QS</t>
        </is>
      </c>
      <c r="E9" s="14" t="inlineStr">
        <is>
          <t>This workbook, sheet Ref Document numbering</t>
        </is>
      </c>
      <c r="F9" s="14" t="inlineStr">
        <is>
          <t>Product Owner, BDOI (New Business)</t>
        </is>
      </c>
      <c r="G9" s="14" t="n"/>
      <c r="H9" s="14" t="inlineStr">
        <is>
          <t>Not started</t>
        </is>
      </c>
      <c r="I9" s="14" t="n"/>
    </row>
    <row r="10">
      <c r="A10" s="14" t="inlineStr">
        <is>
          <t>MIG_INVOICE_NO_COLLISION_PREFIX</t>
        </is>
      </c>
      <c r="B10" s="14" t="inlineStr">
        <is>
          <t>Data Migration</t>
        </is>
      </c>
      <c r="C10" s="14" t="inlineStr">
        <is>
          <t>Prefix the source system to a legacy invoice number found in two source systems</t>
        </is>
      </c>
      <c r="D10" s="14" t="inlineStr">
        <is>
          <t>true</t>
        </is>
      </c>
      <c r="E10" s="14" t="inlineStr">
        <is>
          <t>This workbook, sheet Ref Document numbering</t>
        </is>
      </c>
      <c r="F10" s="14" t="inlineStr">
        <is>
          <t>Program Manager, Business Project Services (Data Migration)</t>
        </is>
      </c>
      <c r="G10" s="14" t="n"/>
      <c r="H10" s="14" t="inlineStr">
        <is>
          <t>Not started</t>
        </is>
      </c>
      <c r="I10" s="14" t="n"/>
    </row>
    <row r="11">
      <c r="A11" s="14" t="inlineStr">
        <is>
          <t>PKG_DEACTIVATION_PREFIX</t>
        </is>
      </c>
      <c r="B11" s="14" t="inlineStr">
        <is>
          <t>Product Maintenance</t>
        </is>
      </c>
      <c r="C11" s="14" t="inlineStr">
        <is>
          <t>Prefix of package deactivation request numbers; the year is appended</t>
        </is>
      </c>
      <c r="D11" s="14" t="inlineStr">
        <is>
          <t>PKD-</t>
        </is>
      </c>
      <c r="E11" s="14" t="inlineStr">
        <is>
          <t>BRD-03 template CI-09, sheet PM-09 Lists and parameters</t>
        </is>
      </c>
      <c r="F11" s="14" t="inlineStr">
        <is>
          <t>Product Owner, Marketing Business System (MBS)</t>
        </is>
      </c>
      <c r="G11" s="14" t="n"/>
      <c r="H11" s="14" t="inlineStr">
        <is>
          <t>Not started</t>
        </is>
      </c>
      <c r="I11" s="14" t="n"/>
    </row>
    <row r="12">
      <c r="A12" s="14" t="inlineStr">
        <is>
          <t>PKG_DEPLOYMENT_PREFIX</t>
        </is>
      </c>
      <c r="B12" s="14" t="inlineStr">
        <is>
          <t>Product Maintenance</t>
        </is>
      </c>
      <c r="C12" s="14" t="inlineStr">
        <is>
          <t>Prefix of package deployment request numbers; the year is appended</t>
        </is>
      </c>
      <c r="D12" s="14" t="inlineStr">
        <is>
          <t>PDR-</t>
        </is>
      </c>
      <c r="E12" s="14" t="inlineStr">
        <is>
          <t>BRD-03 template CI-09, sheet PM-09 Lists and parameters</t>
        </is>
      </c>
      <c r="F12" s="14" t="inlineStr">
        <is>
          <t>Product Owner, Marketing Business System (MBS)</t>
        </is>
      </c>
      <c r="G12" s="14" t="n"/>
      <c r="H12" s="14" t="inlineStr">
        <is>
          <t>Not started</t>
        </is>
      </c>
      <c r="I12" s="14" t="n"/>
    </row>
    <row r="13">
      <c r="A13" s="14" t="inlineStr">
        <is>
          <t>PKG_QS_PREFIX</t>
        </is>
      </c>
      <c r="B13" s="14" t="inlineStr">
        <is>
          <t>Product Maintenance</t>
        </is>
      </c>
      <c r="C13" s="14" t="inlineStr">
        <is>
          <t>Prefix of package quotation slip numbers; the year is appended</t>
        </is>
      </c>
      <c r="D13" s="14" t="inlineStr">
        <is>
          <t>PQS-</t>
        </is>
      </c>
      <c r="E13" s="14" t="inlineStr">
        <is>
          <t>BRD-03 template CI-09, sheet PM-09 Lists and parameters</t>
        </is>
      </c>
      <c r="F13" s="14" t="inlineStr">
        <is>
          <t>Product Owner, Marketing Business System (MBS)</t>
        </is>
      </c>
      <c r="G13" s="14" t="n"/>
      <c r="H13" s="14" t="inlineStr">
        <is>
          <t>Not started</t>
        </is>
      </c>
      <c r="I13" s="14" t="n"/>
    </row>
    <row r="14">
      <c r="A14" s="14" t="inlineStr">
        <is>
          <t>PKG_REQUEST_PREFIX</t>
        </is>
      </c>
      <c r="B14" s="14" t="inlineStr">
        <is>
          <t>Product Maintenance</t>
        </is>
      </c>
      <c r="C14" s="14" t="inlineStr">
        <is>
          <t>Prefix of package request numbers; the year is appended</t>
        </is>
      </c>
      <c r="D14" s="14" t="inlineStr">
        <is>
          <t>PKR-</t>
        </is>
      </c>
      <c r="E14" s="14" t="inlineStr">
        <is>
          <t>BRD-03 template CI-09, sheet PM-09 Lists and parameters</t>
        </is>
      </c>
      <c r="F14" s="14" t="inlineStr">
        <is>
          <t>Product Owner, Marketing Business System (MBS)</t>
        </is>
      </c>
      <c r="G14" s="14" t="n"/>
      <c r="H14" s="14" t="inlineStr">
        <is>
          <t>Not started</t>
        </is>
      </c>
      <c r="I14" s="14" t="n"/>
    </row>
    <row r="15">
      <c r="A15" s="14" t="inlineStr">
        <is>
          <t>RNW_REFERENCE_PREFIX</t>
        </is>
      </c>
      <c r="B15" s="14" t="inlineStr">
        <is>
          <t>Renewal</t>
        </is>
      </c>
      <c r="C15" s="14" t="inlineStr">
        <is>
          <t>Prefix of the renewal reference (prefix-yyyy-nnnnnn)</t>
        </is>
      </c>
      <c r="D15" s="14" t="inlineStr">
        <is>
          <t>RNW</t>
        </is>
      </c>
      <c r="E15" s="14" t="inlineStr">
        <is>
          <t>This workbook, sheet Ref Document numbering</t>
        </is>
      </c>
      <c r="F15" s="14" t="inlineStr">
        <is>
          <t>Product Owner, Renewal</t>
        </is>
      </c>
      <c r="G15" s="14" t="n"/>
      <c r="H15" s="14" t="inlineStr">
        <is>
          <t>Not started</t>
        </is>
      </c>
      <c r="I15" s="14" t="n"/>
    </row>
    <row r="16">
      <c r="A16" s="14" t="inlineStr">
        <is>
          <t>SCR_CASE_SEQUENCE_PREFIX</t>
        </is>
      </c>
      <c r="B16" s="14" t="inlineStr">
        <is>
          <t>Sanction Screening</t>
        </is>
      </c>
      <c r="C16" s="14" t="inlineStr">
        <is>
          <t>Prefix of the screening case number &lt;prefix&gt;-yyyy-nnnnnn</t>
        </is>
      </c>
      <c r="D16" s="14" t="inlineStr">
        <is>
          <t>SCR</t>
        </is>
      </c>
      <c r="E16" s="14" t="inlineStr">
        <is>
          <t>This workbook, sheet Ref Document numbering</t>
        </is>
      </c>
      <c r="F16" s="14" t="inlineStr">
        <is>
          <t>Compliance</t>
        </is>
      </c>
      <c r="G16" s="14" t="n"/>
      <c r="H16" s="14" t="inlineStr">
        <is>
          <t>Not started</t>
        </is>
      </c>
      <c r="I16" s="14" t="n"/>
    </row>
    <row r="17">
      <c r="A17" s="14" t="inlineStr">
        <is>
          <t>SBM_NUMBER_PREFIX</t>
        </is>
      </c>
      <c r="B17" s="14" t="inlineStr">
        <is>
          <t>Submitted Policies</t>
        </is>
      </c>
      <c r="C17" s="14" t="inlineStr">
        <is>
          <t>Prefix of the masterlist number (prefix-yyyy-nnnnnn)</t>
        </is>
      </c>
      <c r="D17" s="14" t="inlineStr">
        <is>
          <t>SBM</t>
        </is>
      </c>
      <c r="E17" s="14" t="inlineStr">
        <is>
          <t>This workbook, sheet Ref Document numbering</t>
        </is>
      </c>
      <c r="F17" s="14" t="inlineStr">
        <is>
          <t>Product Owner, Submitted Policies</t>
        </is>
      </c>
      <c r="G17" s="14" t="n"/>
      <c r="H17" s="14" t="inlineStr">
        <is>
          <t>Not started</t>
        </is>
      </c>
      <c r="I17" s="14" t="n"/>
    </row>
  </sheetData>
  <autoFilter ref="A4:I17"/>
  <conditionalFormatting sqref="H5:H17">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I17">
    <cfRule type="expression" priority="6" dxfId="7">
      <formula>AND(MOD(ROW(),2)=0,$A5&lt;&gt;"")</formula>
    </cfRule>
  </conditionalFormatting>
  <dataValidations count="1">
    <dataValidation sqref="H5:H17"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fitToPage="1"/>
  </sheetPr>
  <dimension ref="A1:M118"/>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20" customWidth="1" min="3" max="3"/>
    <col width="8" customWidth="1" min="4" max="4"/>
    <col width="28" customWidth="1" min="5" max="5"/>
    <col width="50" customWidth="1" min="6" max="6"/>
    <col width="10" customWidth="1" min="7" max="7"/>
    <col width="10" customWidth="1" min="8" max="8"/>
    <col width="10" customWidth="1" min="9" max="9"/>
    <col width="10" customWidth="1" min="10" max="10"/>
    <col width="30" customWidth="1" min="11" max="11"/>
    <col width="14" customWidth="1" min="12" max="12"/>
    <col width="36" customWidth="1" min="13" max="13"/>
  </cols>
  <sheetData>
    <row r="1" ht="26" customHeight="1">
      <c r="A1" s="27" t="inlineStr">
        <is>
          <t>Reference: Notifications</t>
        </is>
      </c>
    </row>
    <row r="2">
      <c r="A2" s="29" t="inlineStr">
        <is>
          <t>← Back to Start here</t>
        </is>
      </c>
      <c r="B2" s="56" t="inlineStr">
        <is>
          <t>Every notification event with its default channels; users choose their own channels in Notification Settings</t>
        </is>
      </c>
    </row>
    <row r="4" ht="30" customHeight="1">
      <c r="A4" s="11" t="inlineStr">
        <is>
          <t>Event</t>
        </is>
      </c>
      <c r="B4" s="11" t="inlineStr">
        <is>
          <t>Name</t>
        </is>
      </c>
      <c r="C4" s="11" t="inlineStr">
        <is>
          <t>Module</t>
        </is>
      </c>
      <c r="D4" s="11" t="inlineStr">
        <is>
          <t>Drop</t>
        </is>
      </c>
      <c r="E4" s="11" t="inlineStr">
        <is>
          <t>Owner (BDOI unit)</t>
        </is>
      </c>
      <c r="F4" s="11" t="inlineStr">
        <is>
          <t>Who is told and when</t>
        </is>
      </c>
      <c r="G4" s="11" t="inlineStr">
        <is>
          <t>In-app proposed</t>
        </is>
      </c>
      <c r="H4" s="11" t="inlineStr">
        <is>
          <t>E-mail proposed</t>
        </is>
      </c>
      <c r="I4" s="11" t="inlineStr">
        <is>
          <t>In-app wanted</t>
        </is>
      </c>
      <c r="J4" s="11" t="inlineStr">
        <is>
          <t>E-mail wanted</t>
        </is>
      </c>
      <c r="K4" s="11" t="inlineStr">
        <is>
          <t>Unit mailbox</t>
        </is>
      </c>
      <c r="L4" s="11" t="inlineStr">
        <is>
          <t>Status</t>
        </is>
      </c>
      <c r="M4" s="11" t="inlineStr">
        <is>
          <t>BDOI comments</t>
        </is>
      </c>
    </row>
    <row r="5">
      <c r="A5" s="14" t="inlineStr">
        <is>
          <t>ACSL_CASE_STATUS</t>
        </is>
      </c>
      <c r="B5" s="14" t="inlineStr">
        <is>
          <t>ACSL case or correction status</t>
        </is>
      </c>
      <c r="C5" s="14" t="inlineStr">
        <is>
          <t>Accounting, Disbursement and ACSL</t>
        </is>
      </c>
      <c r="D5" s="14" t="inlineStr">
        <is>
          <t>Drop 1</t>
        </is>
      </c>
      <c r="E5" s="14" t="inlineStr">
        <is>
          <t>Head, Comptrollership</t>
        </is>
      </c>
      <c r="F5" s="14" t="inlineStr">
        <is>
          <t>An ACSL case you requested has a result, or a correction entry you prepared was returned, approved or posted</t>
        </is>
      </c>
      <c r="G5" s="14" t="inlineStr">
        <is>
          <t>Y</t>
        </is>
      </c>
      <c r="H5" s="14" t="inlineStr">
        <is>
          <t>N</t>
        </is>
      </c>
      <c r="I5" s="14" t="n"/>
      <c r="J5" s="14" t="n"/>
      <c r="K5" s="14" t="n"/>
      <c r="L5" s="14" t="inlineStr">
        <is>
          <t>Not started</t>
        </is>
      </c>
      <c r="M5" s="14" t="n"/>
    </row>
    <row r="6">
      <c r="A6" s="14" t="inlineStr">
        <is>
          <t>ACSL_GLSL_DIFFERENCE</t>
        </is>
      </c>
      <c r="B6" s="14" t="inlineStr">
        <is>
          <t>GL-SL difference found</t>
        </is>
      </c>
      <c r="C6" s="14" t="inlineStr">
        <is>
          <t>Accounting, Disbursement and ACSL</t>
        </is>
      </c>
      <c r="D6" s="14" t="inlineStr">
        <is>
          <t>Drop 1</t>
        </is>
      </c>
      <c r="E6" s="14" t="inlineStr">
        <is>
          <t>Head, Comptrollership</t>
        </is>
      </c>
      <c r="F6" s="14" t="inlineStr">
        <is>
          <t>The GL-SL reconciliation found a control account whose sub-ledger differs from the general ledger</t>
        </is>
      </c>
      <c r="G6" s="14" t="inlineStr">
        <is>
          <t>Y</t>
        </is>
      </c>
      <c r="H6" s="14" t="inlineStr">
        <is>
          <t>Y</t>
        </is>
      </c>
      <c r="I6" s="14" t="n"/>
      <c r="J6" s="14" t="n"/>
      <c r="K6" s="14" t="n"/>
      <c r="L6" s="14" t="inlineStr">
        <is>
          <t>Not started</t>
        </is>
      </c>
      <c r="M6" s="14" t="n"/>
    </row>
    <row r="7">
      <c r="A7" s="14" t="inlineStr">
        <is>
          <t>ADJ_REQUEST_STATUS</t>
        </is>
      </c>
      <c r="B7" s="14" t="inlineStr">
        <is>
          <t>Endorsement request status</t>
        </is>
      </c>
      <c r="C7" s="14" t="inlineStr">
        <is>
          <t>Operations</t>
        </is>
      </c>
      <c r="D7" s="14" t="inlineStr">
        <is>
          <t>Drop 1</t>
        </is>
      </c>
      <c r="E7" s="14" t="inlineStr">
        <is>
          <t>Head, Operations Services</t>
        </is>
      </c>
      <c r="F7" s="14" t="inlineStr">
        <is>
          <t>An endorsement request you raised was returned, approved or posted</t>
        </is>
      </c>
      <c r="G7" s="14" t="inlineStr">
        <is>
          <t>Y</t>
        </is>
      </c>
      <c r="H7" s="14" t="inlineStr">
        <is>
          <t>N</t>
        </is>
      </c>
      <c r="I7" s="14" t="n"/>
      <c r="J7" s="14" t="n"/>
      <c r="K7" s="14" t="n"/>
      <c r="L7" s="14" t="inlineStr">
        <is>
          <t>Not started</t>
        </is>
      </c>
      <c r="M7" s="14" t="n"/>
    </row>
    <row r="8">
      <c r="A8" s="14" t="inlineStr">
        <is>
          <t>BOOKING_BILLING_BOOKED</t>
        </is>
      </c>
      <c r="B8" s="14" t="inlineStr">
        <is>
          <t>Booked with billing number</t>
        </is>
      </c>
      <c r="C8" s="14" t="inlineStr">
        <is>
          <t>New Business</t>
        </is>
      </c>
      <c r="D8" s="14" t="inlineStr">
        <is>
          <t>Drop 1</t>
        </is>
      </c>
      <c r="E8" s="14" t="inlineStr">
        <is>
          <t>Product Owner, BDOI (New Business)</t>
        </is>
      </c>
      <c r="F8" s="14" t="inlineStr">
        <is>
          <t>An account was booked with its insurer billing number</t>
        </is>
      </c>
      <c r="G8" s="14" t="inlineStr">
        <is>
          <t>Y</t>
        </is>
      </c>
      <c r="H8" s="14" t="inlineStr">
        <is>
          <t>N</t>
        </is>
      </c>
      <c r="I8" s="14" t="n"/>
      <c r="J8" s="14" t="n"/>
      <c r="K8" s="14" t="n"/>
      <c r="L8" s="14" t="inlineStr">
        <is>
          <t>Not started</t>
        </is>
      </c>
      <c r="M8" s="14" t="n"/>
    </row>
    <row r="9">
      <c r="A9" s="14" t="inlineStr">
        <is>
          <t>BOOKING_BILLING_DUPLICATE</t>
        </is>
      </c>
      <c r="B9" s="14" t="inlineStr">
        <is>
          <t>Duplicate billing number</t>
        </is>
      </c>
      <c r="C9" s="14" t="inlineStr">
        <is>
          <t>New Business</t>
        </is>
      </c>
      <c r="D9" s="14" t="inlineStr">
        <is>
          <t>Drop 1</t>
        </is>
      </c>
      <c r="E9" s="14" t="inlineStr">
        <is>
          <t>Product Owner, BDOI (New Business)</t>
        </is>
      </c>
      <c r="F9" s="14" t="inlineStr">
        <is>
          <t>A booking was refused because the insurer billing number is already on an invoice</t>
        </is>
      </c>
      <c r="G9" s="14" t="inlineStr">
        <is>
          <t>Y</t>
        </is>
      </c>
      <c r="H9" s="14" t="inlineStr">
        <is>
          <t>Y</t>
        </is>
      </c>
      <c r="I9" s="14" t="n"/>
      <c r="J9" s="14" t="n"/>
      <c r="K9" s="14" t="n"/>
      <c r="L9" s="14" t="inlineStr">
        <is>
          <t>Not started</t>
        </is>
      </c>
      <c r="M9" s="14" t="n"/>
    </row>
    <row r="10">
      <c r="A10" s="14" t="inlineStr">
        <is>
          <t>CASH_APPROVAL_REQUEST</t>
        </is>
      </c>
      <c r="B10" s="14" t="inlineStr">
        <is>
          <t>Cashiering approval request</t>
        </is>
      </c>
      <c r="C10" s="14" t="inlineStr">
        <is>
          <t>Operations</t>
        </is>
      </c>
      <c r="D10" s="14" t="inlineStr">
        <is>
          <t>Drop 1</t>
        </is>
      </c>
      <c r="E10" s="14" t="inlineStr">
        <is>
          <t>Head, Operations Services</t>
        </is>
      </c>
      <c r="F10" s="14" t="inlineStr">
        <is>
          <t>A receipt cancellation, reinstatement or disposition waits for approval</t>
        </is>
      </c>
      <c r="G10" s="14" t="inlineStr">
        <is>
          <t>Y</t>
        </is>
      </c>
      <c r="H10" s="14" t="inlineStr">
        <is>
          <t>N</t>
        </is>
      </c>
      <c r="I10" s="14" t="n"/>
      <c r="J10" s="14" t="n"/>
      <c r="K10" s="14" t="n"/>
      <c r="L10" s="14" t="inlineStr">
        <is>
          <t>Not started</t>
        </is>
      </c>
      <c r="M10" s="14" t="n"/>
    </row>
    <row r="11">
      <c r="A11" s="14" t="inlineStr">
        <is>
          <t>CASH_RECORD_FOR_POSTING</t>
        </is>
      </c>
      <c r="B11" s="14" t="inlineStr">
        <is>
          <t>Cashiering record for posting</t>
        </is>
      </c>
      <c r="C11" s="14" t="inlineStr">
        <is>
          <t>Operations</t>
        </is>
      </c>
      <c r="D11" s="14" t="inlineStr">
        <is>
          <t>Drop 1</t>
        </is>
      </c>
      <c r="E11" s="14" t="inlineStr">
        <is>
          <t>Head, Operations Services</t>
        </is>
      </c>
      <c r="F11" s="14" t="inlineStr">
        <is>
          <t>An AR / OR creation, cancellation or reinstatement record was submitted for posting</t>
        </is>
      </c>
      <c r="G11" s="14" t="inlineStr">
        <is>
          <t>Y</t>
        </is>
      </c>
      <c r="H11" s="14" t="inlineStr">
        <is>
          <t>N</t>
        </is>
      </c>
      <c r="I11" s="14" t="n"/>
      <c r="J11" s="14" t="n"/>
      <c r="K11" s="14" t="n"/>
      <c r="L11" s="14" t="inlineStr">
        <is>
          <t>Not started</t>
        </is>
      </c>
      <c r="M11" s="14" t="n"/>
    </row>
    <row r="12">
      <c r="A12" s="14" t="inlineStr">
        <is>
          <t>CASH_RECORD_DECIDED</t>
        </is>
      </c>
      <c r="B12" s="14" t="inlineStr">
        <is>
          <t>Cashiering record returned or posted</t>
        </is>
      </c>
      <c r="C12" s="14" t="inlineStr">
        <is>
          <t>Operations</t>
        </is>
      </c>
      <c r="D12" s="14" t="inlineStr">
        <is>
          <t>Drop 1</t>
        </is>
      </c>
      <c r="E12" s="14" t="inlineStr">
        <is>
          <t>Head, Operations Services</t>
        </is>
      </c>
      <c r="F12" s="14" t="inlineStr">
        <is>
          <t>An AR / OR record you created was returned with a reason or posted</t>
        </is>
      </c>
      <c r="G12" s="14" t="inlineStr">
        <is>
          <t>Y</t>
        </is>
      </c>
      <c r="H12" s="14" t="inlineStr">
        <is>
          <t>N</t>
        </is>
      </c>
      <c r="I12" s="14" t="n"/>
      <c r="J12" s="14" t="n"/>
      <c r="K12" s="14" t="n"/>
      <c r="L12" s="14" t="inlineStr">
        <is>
          <t>Not started</t>
        </is>
      </c>
      <c r="M12" s="14" t="n"/>
    </row>
    <row r="13">
      <c r="A13" s="14" t="inlineStr">
        <is>
          <t>CASH_FORM_FOR_APPROVAL</t>
        </is>
      </c>
      <c r="B13" s="14" t="inlineStr">
        <is>
          <t>Receipt form for approval</t>
        </is>
      </c>
      <c r="C13" s="14" t="inlineStr">
        <is>
          <t>Operations</t>
        </is>
      </c>
      <c r="D13" s="14" t="inlineStr">
        <is>
          <t>Drop 1</t>
        </is>
      </c>
      <c r="E13" s="14" t="inlineStr">
        <is>
          <t>Head, Operations Services</t>
        </is>
      </c>
      <c r="F13" s="14" t="inlineStr">
        <is>
          <t>A change of the AR or OR form waits for the approval of another authorised user</t>
        </is>
      </c>
      <c r="G13" s="14" t="inlineStr">
        <is>
          <t>Y</t>
        </is>
      </c>
      <c r="H13" s="14" t="inlineStr">
        <is>
          <t>N</t>
        </is>
      </c>
      <c r="I13" s="14" t="n"/>
      <c r="J13" s="14" t="n"/>
      <c r="K13" s="14" t="n"/>
      <c r="L13" s="14" t="inlineStr">
        <is>
          <t>Not started</t>
        </is>
      </c>
      <c r="M13" s="14" t="n"/>
    </row>
    <row r="14">
      <c r="A14" s="14" t="inlineStr">
        <is>
          <t>BCL_FOLLOW_UP_DUE</t>
        </is>
      </c>
      <c r="B14" s="14" t="inlineStr">
        <is>
          <t>Claim follow-up due</t>
        </is>
      </c>
      <c r="C14" s="14" t="inlineStr">
        <is>
          <t>Claims</t>
        </is>
      </c>
      <c r="D14" s="14" t="inlineStr">
        <is>
          <t>Drop 2</t>
        </is>
      </c>
      <c r="E14" s="14" t="inlineStr">
        <is>
          <t>Product Owner, Claims</t>
        </is>
      </c>
      <c r="F14" s="14" t="inlineStr">
        <is>
          <t>A claim of yours has its next follow-up or a diary entry due today</t>
        </is>
      </c>
      <c r="G14" s="14" t="inlineStr">
        <is>
          <t>Y</t>
        </is>
      </c>
      <c r="H14" s="14" t="inlineStr">
        <is>
          <t>N</t>
        </is>
      </c>
      <c r="I14" s="14" t="n"/>
      <c r="J14" s="14" t="n"/>
      <c r="K14" s="14" t="n"/>
      <c r="L14" s="14" t="inlineStr">
        <is>
          <t>Not started</t>
        </is>
      </c>
      <c r="M14" s="14" t="n"/>
    </row>
    <row r="15">
      <c r="A15" s="14" t="inlineStr">
        <is>
          <t>BCL_CLAIM_ASSIGNED</t>
        </is>
      </c>
      <c r="B15" s="14" t="inlineStr">
        <is>
          <t>Claim assigned</t>
        </is>
      </c>
      <c r="C15" s="14" t="inlineStr">
        <is>
          <t>Claims</t>
        </is>
      </c>
      <c r="D15" s="14" t="inlineStr">
        <is>
          <t>Drop 2</t>
        </is>
      </c>
      <c r="E15" s="14" t="inlineStr">
        <is>
          <t>Product Owner, Claims</t>
        </is>
      </c>
      <c r="F15" s="14" t="inlineStr">
        <is>
          <t>A claim was assigned or re-assigned to you</t>
        </is>
      </c>
      <c r="G15" s="14" t="inlineStr">
        <is>
          <t>Y</t>
        </is>
      </c>
      <c r="H15" s="14" t="inlineStr">
        <is>
          <t>Y</t>
        </is>
      </c>
      <c r="I15" s="14" t="n"/>
      <c r="J15" s="14" t="n"/>
      <c r="K15" s="14" t="n"/>
      <c r="L15" s="14" t="inlineStr">
        <is>
          <t>Not started</t>
        </is>
      </c>
      <c r="M15" s="14" t="n"/>
    </row>
    <row r="16">
      <c r="A16" s="14" t="inlineStr">
        <is>
          <t>BCL_STATUS_CHANGED</t>
        </is>
      </c>
      <c r="B16" s="14" t="inlineStr">
        <is>
          <t>Claim status changed</t>
        </is>
      </c>
      <c r="C16" s="14" t="inlineStr">
        <is>
          <t>Claims</t>
        </is>
      </c>
      <c r="D16" s="14" t="inlineStr">
        <is>
          <t>Drop 2</t>
        </is>
      </c>
      <c r="E16" s="14" t="inlineStr">
        <is>
          <t>Product Owner, Claims</t>
        </is>
      </c>
      <c r="F16" s="14" t="inlineStr">
        <is>
          <t>The status of a claim of one of your accounts changed</t>
        </is>
      </c>
      <c r="G16" s="14" t="inlineStr">
        <is>
          <t>Y</t>
        </is>
      </c>
      <c r="H16" s="14" t="inlineStr">
        <is>
          <t>N</t>
        </is>
      </c>
      <c r="I16" s="14" t="n"/>
      <c r="J16" s="14" t="n"/>
      <c r="K16" s="14" t="n"/>
      <c r="L16" s="14" t="inlineStr">
        <is>
          <t>Not started</t>
        </is>
      </c>
      <c r="M16" s="14" t="n"/>
    </row>
    <row r="17">
      <c r="A17" s="14" t="inlineStr">
        <is>
          <t>BCL_PREMIUM_REMITTED</t>
        </is>
      </c>
      <c r="B17" s="14" t="inlineStr">
        <is>
          <t>Claim premium remitted</t>
        </is>
      </c>
      <c r="C17" s="14" t="inlineStr">
        <is>
          <t>Claims</t>
        </is>
      </c>
      <c r="D17" s="14" t="inlineStr">
        <is>
          <t>Drop 2</t>
        </is>
      </c>
      <c r="E17" s="14" t="inlineStr">
        <is>
          <t>Product Owner, Claims</t>
        </is>
      </c>
      <c r="F17" s="14" t="inlineStr">
        <is>
          <t>The premium of a claim awaiting premium remittance was fully remitted to the insurer</t>
        </is>
      </c>
      <c r="G17" s="14" t="inlineStr">
        <is>
          <t>Y</t>
        </is>
      </c>
      <c r="H17" s="14" t="inlineStr">
        <is>
          <t>N</t>
        </is>
      </c>
      <c r="I17" s="14" t="n"/>
      <c r="J17" s="14" t="n"/>
      <c r="K17" s="14" t="n"/>
      <c r="L17" s="14" t="inlineStr">
        <is>
          <t>Not started</t>
        </is>
      </c>
      <c r="M17" s="14" t="n"/>
    </row>
    <row r="18">
      <c r="A18" s="14" t="inlineStr">
        <is>
          <t>BCL_NEWER_COVER_VERSION</t>
        </is>
      </c>
      <c r="B18" s="14" t="inlineStr">
        <is>
          <t>Newer cover version</t>
        </is>
      </c>
      <c r="C18" s="14" t="inlineStr">
        <is>
          <t>Claims</t>
        </is>
      </c>
      <c r="D18" s="14" t="inlineStr">
        <is>
          <t>Drop 2</t>
        </is>
      </c>
      <c r="E18" s="14" t="inlineStr">
        <is>
          <t>Product Owner, Claims</t>
        </is>
      </c>
      <c r="F18" s="14" t="inlineStr">
        <is>
          <t>An endorsement was booked on the cover of an open claim of yours</t>
        </is>
      </c>
      <c r="G18" s="14" t="inlineStr">
        <is>
          <t>Y</t>
        </is>
      </c>
      <c r="H18" s="14" t="inlineStr">
        <is>
          <t>N</t>
        </is>
      </c>
      <c r="I18" s="14" t="n"/>
      <c r="J18" s="14" t="n"/>
      <c r="K18" s="14" t="n"/>
      <c r="L18" s="14" t="inlineStr">
        <is>
          <t>Not started</t>
        </is>
      </c>
      <c r="M18" s="14" t="n"/>
    </row>
    <row r="19">
      <c r="A19" s="14" t="inlineStr">
        <is>
          <t>CLX_ESCALATED</t>
        </is>
      </c>
      <c r="B19" s="14" t="inlineStr">
        <is>
          <t>Account escalated</t>
        </is>
      </c>
      <c r="C19" s="14" t="inlineStr">
        <is>
          <t>Collections</t>
        </is>
      </c>
      <c r="D19" s="14" t="inlineStr">
        <is>
          <t>Drop 1</t>
        </is>
      </c>
      <c r="E19" s="14" t="inlineStr">
        <is>
          <t>VP and Head, BDOI Operations (Collections)</t>
        </is>
      </c>
      <c r="F19" s="14" t="inlineStr">
        <is>
          <t>A collection account was escalated to you or by your team</t>
        </is>
      </c>
      <c r="G19" s="14" t="inlineStr">
        <is>
          <t>Y</t>
        </is>
      </c>
      <c r="H19" s="14" t="inlineStr">
        <is>
          <t>Y</t>
        </is>
      </c>
      <c r="I19" s="14" t="n"/>
      <c r="J19" s="14" t="n"/>
      <c r="K19" s="14" t="n"/>
      <c r="L19" s="14" t="inlineStr">
        <is>
          <t>Not started</t>
        </is>
      </c>
      <c r="M19" s="14" t="n"/>
    </row>
    <row r="20">
      <c r="A20" s="14" t="inlineStr">
        <is>
          <t>CLX_REASSIGNED</t>
        </is>
      </c>
      <c r="B20" s="14" t="inlineStr">
        <is>
          <t>Account reassigned</t>
        </is>
      </c>
      <c r="C20" s="14" t="inlineStr">
        <is>
          <t>Collections</t>
        </is>
      </c>
      <c r="D20" s="14" t="inlineStr">
        <is>
          <t>Drop 1</t>
        </is>
      </c>
      <c r="E20" s="14" t="inlineStr">
        <is>
          <t>VP and Head, BDOI Operations (Collections)</t>
        </is>
      </c>
      <c r="F20" s="14" t="inlineStr">
        <is>
          <t>Collection accounts were assigned to you or taken from you</t>
        </is>
      </c>
      <c r="G20" s="14" t="inlineStr">
        <is>
          <t>Y</t>
        </is>
      </c>
      <c r="H20" s="14" t="inlineStr">
        <is>
          <t>N</t>
        </is>
      </c>
      <c r="I20" s="14" t="n"/>
      <c r="J20" s="14" t="n"/>
      <c r="K20" s="14" t="n"/>
      <c r="L20" s="14" t="inlineStr">
        <is>
          <t>Not started</t>
        </is>
      </c>
      <c r="M20" s="14" t="n"/>
    </row>
    <row r="21">
      <c r="A21" s="14" t="inlineStr">
        <is>
          <t>CLX_PROMISE_BROKEN</t>
        </is>
      </c>
      <c r="B21" s="14" t="inlineStr">
        <is>
          <t>Promise to pay broken</t>
        </is>
      </c>
      <c r="C21" s="14" t="inlineStr">
        <is>
          <t>Collections</t>
        </is>
      </c>
      <c r="D21" s="14" t="inlineStr">
        <is>
          <t>Drop 1</t>
        </is>
      </c>
      <c r="E21" s="14" t="inlineStr">
        <is>
          <t>VP and Head, BDOI Operations (Collections)</t>
        </is>
      </c>
      <c r="F21" s="14" t="inlineStr">
        <is>
          <t>A promise to pay of one of your accounts was not kept</t>
        </is>
      </c>
      <c r="G21" s="14" t="inlineStr">
        <is>
          <t>Y</t>
        </is>
      </c>
      <c r="H21" s="14" t="inlineStr">
        <is>
          <t>N</t>
        </is>
      </c>
      <c r="I21" s="14" t="n"/>
      <c r="J21" s="14" t="n"/>
      <c r="K21" s="14" t="n"/>
      <c r="L21" s="14" t="inlineStr">
        <is>
          <t>Not started</t>
        </is>
      </c>
      <c r="M21" s="14" t="n"/>
    </row>
    <row r="22">
      <c r="A22" s="14" t="inlineStr">
        <is>
          <t>CLX_DP_RETURNED</t>
        </is>
      </c>
      <c r="B22" s="14" t="inlineStr">
        <is>
          <t>Direct payment returned by insurer</t>
        </is>
      </c>
      <c r="C22" s="14" t="inlineStr">
        <is>
          <t>Collections</t>
        </is>
      </c>
      <c r="D22" s="14" t="inlineStr">
        <is>
          <t>Drop 1</t>
        </is>
      </c>
      <c r="E22" s="14" t="inlineStr">
        <is>
          <t>VP and Head, BDOI Operations (Collections)</t>
        </is>
      </c>
      <c r="F22" s="14" t="inlineStr">
        <is>
          <t>An insurer returned a direct payment account; it is back in your worklist</t>
        </is>
      </c>
      <c r="G22" s="14" t="inlineStr">
        <is>
          <t>Y</t>
        </is>
      </c>
      <c r="H22" s="14" t="inlineStr">
        <is>
          <t>N</t>
        </is>
      </c>
      <c r="I22" s="14" t="n"/>
      <c r="J22" s="14" t="n"/>
      <c r="K22" s="14" t="n"/>
      <c r="L22" s="14" t="inlineStr">
        <is>
          <t>Not started</t>
        </is>
      </c>
      <c r="M22" s="14" t="n"/>
    </row>
    <row r="23">
      <c r="A23" s="14" t="inlineStr">
        <is>
          <t>CLX_FILE_READY</t>
        </is>
      </c>
      <c r="B23" s="14" t="inlineStr">
        <is>
          <t>Collections file ready</t>
        </is>
      </c>
      <c r="C23" s="14" t="inlineStr">
        <is>
          <t>Collections</t>
        </is>
      </c>
      <c r="D23" s="14" t="inlineStr">
        <is>
          <t>Drop 1</t>
        </is>
      </c>
      <c r="E23" s="14" t="inlineStr">
        <is>
          <t>VP and Head, BDOI Operations (Collections)</t>
        </is>
      </c>
      <c r="F23" s="14" t="inlineStr">
        <is>
          <t>A scheduled Collections file is available for download</t>
        </is>
      </c>
      <c r="G23" s="14" t="inlineStr">
        <is>
          <t>Y</t>
        </is>
      </c>
      <c r="H23" s="14" t="inlineStr">
        <is>
          <t>N</t>
        </is>
      </c>
      <c r="I23" s="14" t="n"/>
      <c r="J23" s="14" t="n"/>
      <c r="K23" s="14" t="n"/>
      <c r="L23" s="14" t="inlineStr">
        <is>
          <t>Not started</t>
        </is>
      </c>
      <c r="M23" s="14" t="n"/>
    </row>
    <row r="24">
      <c r="A24" s="14" t="inlineStr">
        <is>
          <t>DP_FEEDBACK_OVERDUE</t>
        </is>
      </c>
      <c r="B24" s="14" t="inlineStr">
        <is>
          <t>Direct payment feedback overdue</t>
        </is>
      </c>
      <c r="C24" s="14" t="inlineStr">
        <is>
          <t>Collections</t>
        </is>
      </c>
      <c r="D24" s="14" t="inlineStr">
        <is>
          <t>Drop 1</t>
        </is>
      </c>
      <c r="E24" s="14" t="inlineStr">
        <is>
          <t>VP and Head, BDOI Operations (Collections)</t>
        </is>
      </c>
      <c r="F24" s="14" t="inlineStr">
        <is>
          <t>An insurer has not answered a direct payment billing in time</t>
        </is>
      </c>
      <c r="G24" s="14" t="inlineStr">
        <is>
          <t>Y</t>
        </is>
      </c>
      <c r="H24" s="14" t="inlineStr">
        <is>
          <t>Y</t>
        </is>
      </c>
      <c r="I24" s="14" t="n"/>
      <c r="J24" s="14" t="n"/>
      <c r="K24" s="14" t="n"/>
      <c r="L24" s="14" t="inlineStr">
        <is>
          <t>Not started</t>
        </is>
      </c>
      <c r="M24" s="14" t="n"/>
    </row>
    <row r="25">
      <c r="A25" s="14" t="inlineStr">
        <is>
          <t>CONFIG_IMPORT_TO_APPROVE</t>
        </is>
      </c>
      <c r="B25" s="14" t="inlineStr">
        <is>
          <t>Configuration import to approve</t>
        </is>
      </c>
      <c r="C25" s="14" t="inlineStr">
        <is>
          <t>Platform set-up</t>
        </is>
      </c>
      <c r="D25" s="14" t="inlineStr">
        <is>
          <t>Drop 0</t>
        </is>
      </c>
      <c r="E25" s="14" t="inlineStr">
        <is>
          <t>BDOI IT</t>
        </is>
      </c>
      <c r="F25" s="14" t="inlineStr">
        <is>
          <t>A configuration package was checked and waits for the approval of a second user</t>
        </is>
      </c>
      <c r="G25" s="14" t="inlineStr">
        <is>
          <t>Y</t>
        </is>
      </c>
      <c r="H25" s="14" t="inlineStr">
        <is>
          <t>Y</t>
        </is>
      </c>
      <c r="I25" s="14" t="n"/>
      <c r="J25" s="14" t="n"/>
      <c r="K25" s="14" t="n"/>
      <c r="L25" s="14" t="inlineStr">
        <is>
          <t>Not started</t>
        </is>
      </c>
      <c r="M25" s="14" t="n"/>
    </row>
    <row r="26">
      <c r="A26" s="14" t="inlineStr">
        <is>
          <t>CONFIG_IMPORT_APPLIED</t>
        </is>
      </c>
      <c r="B26" s="14" t="inlineStr">
        <is>
          <t>Configuration import applied</t>
        </is>
      </c>
      <c r="C26" s="14" t="inlineStr">
        <is>
          <t>Platform set-up</t>
        </is>
      </c>
      <c r="D26" s="14" t="inlineStr">
        <is>
          <t>Drop 0</t>
        </is>
      </c>
      <c r="E26" s="14" t="inlineStr">
        <is>
          <t>BDOI IT</t>
        </is>
      </c>
      <c r="F26" s="14" t="inlineStr">
        <is>
          <t>A configuration package was applied to this environment; the reconciliation is on the import</t>
        </is>
      </c>
      <c r="G26" s="14" t="inlineStr">
        <is>
          <t>Y</t>
        </is>
      </c>
      <c r="H26" s="14" t="inlineStr">
        <is>
          <t>Y</t>
        </is>
      </c>
      <c r="I26" s="14" t="n"/>
      <c r="J26" s="14" t="n"/>
      <c r="K26" s="14" t="n"/>
      <c r="L26" s="14" t="inlineStr">
        <is>
          <t>Not started</t>
        </is>
      </c>
      <c r="M26" s="14" t="n"/>
    </row>
    <row r="27">
      <c r="A27" s="14" t="inlineStr">
        <is>
          <t>CONFIG_IMPORT_REJECTED</t>
        </is>
      </c>
      <c r="B27" s="14" t="inlineStr">
        <is>
          <t>Configuration import rejected</t>
        </is>
      </c>
      <c r="C27" s="14" t="inlineStr">
        <is>
          <t>Platform set-up</t>
        </is>
      </c>
      <c r="D27" s="14" t="inlineStr">
        <is>
          <t>Drop 0</t>
        </is>
      </c>
      <c r="E27" s="14" t="inlineStr">
        <is>
          <t>BDOI IT</t>
        </is>
      </c>
      <c r="F27" s="14" t="inlineStr">
        <is>
          <t>The approver rejected a configuration import; the reason is on the import</t>
        </is>
      </c>
      <c r="G27" s="14" t="inlineStr">
        <is>
          <t>Y</t>
        </is>
      </c>
      <c r="H27" s="14" t="inlineStr">
        <is>
          <t>N</t>
        </is>
      </c>
      <c r="I27" s="14" t="n"/>
      <c r="J27" s="14" t="n"/>
      <c r="K27" s="14" t="n"/>
      <c r="L27" s="14" t="inlineStr">
        <is>
          <t>Not started</t>
        </is>
      </c>
      <c r="M27" s="14" t="n"/>
    </row>
    <row r="28">
      <c r="A28" s="14" t="inlineStr">
        <is>
          <t>CONFIG_IMPORT_FAILED</t>
        </is>
      </c>
      <c r="B28" s="14" t="inlineStr">
        <is>
          <t>Configuration import failed</t>
        </is>
      </c>
      <c r="C28" s="14" t="inlineStr">
        <is>
          <t>Platform set-up</t>
        </is>
      </c>
      <c r="D28" s="14" t="inlineStr">
        <is>
          <t>Drop 0</t>
        </is>
      </c>
      <c r="E28" s="14" t="inlineStr">
        <is>
          <t>BDOI IT</t>
        </is>
      </c>
      <c r="F28" s="14" t="inlineStr">
        <is>
          <t>A configuration import could not be applied; nothing of it was kept</t>
        </is>
      </c>
      <c r="G28" s="14" t="inlineStr">
        <is>
          <t>Y</t>
        </is>
      </c>
      <c r="H28" s="14" t="inlineStr">
        <is>
          <t>Y</t>
        </is>
      </c>
      <c r="I28" s="14" t="n"/>
      <c r="J28" s="14" t="n"/>
      <c r="K28" s="14" t="n"/>
      <c r="L28" s="14" t="inlineStr">
        <is>
          <t>Not started</t>
        </is>
      </c>
      <c r="M28" s="14" t="n"/>
    </row>
    <row r="29">
      <c r="A29" s="14" t="inlineStr">
        <is>
          <t>EB_FEEDBACK_RECEIVED</t>
        </is>
      </c>
      <c r="B29" s="14" t="inlineStr">
        <is>
          <t>EB client feedback received</t>
        </is>
      </c>
      <c r="C29" s="14" t="inlineStr">
        <is>
          <t>Employee Benefits</t>
        </is>
      </c>
      <c r="D29" s="14" t="inlineStr">
        <is>
          <t>Drop 2</t>
        </is>
      </c>
      <c r="E29" s="14" t="inlineStr">
        <is>
          <t>Product Owner, Employee Benefits</t>
        </is>
      </c>
      <c r="F29" s="14" t="inlineStr">
        <is>
          <t>A client gave feedback on the renewal advice of your programme</t>
        </is>
      </c>
      <c r="G29" s="14" t="inlineStr">
        <is>
          <t>Y</t>
        </is>
      </c>
      <c r="H29" s="14" t="inlineStr">
        <is>
          <t>N</t>
        </is>
      </c>
      <c r="I29" s="14" t="n"/>
      <c r="J29" s="14" t="n"/>
      <c r="K29" s="14" t="n"/>
      <c r="L29" s="14" t="inlineStr">
        <is>
          <t>Not started</t>
        </is>
      </c>
      <c r="M29" s="14" t="n"/>
    </row>
    <row r="30">
      <c r="A30" s="14" t="inlineStr">
        <is>
          <t>EB_BOR_DECIDED</t>
        </is>
      </c>
      <c r="B30" s="14" t="inlineStr">
        <is>
          <t>EB Broker on Record decided</t>
        </is>
      </c>
      <c r="C30" s="14" t="inlineStr">
        <is>
          <t>Employee Benefits</t>
        </is>
      </c>
      <c r="D30" s="14" t="inlineStr">
        <is>
          <t>Drop 2</t>
        </is>
      </c>
      <c r="E30" s="14" t="inlineStr">
        <is>
          <t>Product Owner, Employee Benefits</t>
        </is>
      </c>
      <c r="F30" s="14" t="inlineStr">
        <is>
          <t>A Broker on Record you uploaded was validated or rejected</t>
        </is>
      </c>
      <c r="G30" s="14" t="inlineStr">
        <is>
          <t>Y</t>
        </is>
      </c>
      <c r="H30" s="14" t="inlineStr">
        <is>
          <t>N</t>
        </is>
      </c>
      <c r="I30" s="14" t="n"/>
      <c r="J30" s="14" t="n"/>
      <c r="K30" s="14" t="n"/>
      <c r="L30" s="14" t="inlineStr">
        <is>
          <t>Not started</t>
        </is>
      </c>
      <c r="M30" s="14" t="n"/>
    </row>
    <row r="31">
      <c r="A31" s="14" t="inlineStr">
        <is>
          <t>EB_FRANCHISE_DECIDED</t>
        </is>
      </c>
      <c r="B31" s="14" t="inlineStr">
        <is>
          <t>EB franchise decided</t>
        </is>
      </c>
      <c r="C31" s="14" t="inlineStr">
        <is>
          <t>Employee Benefits</t>
        </is>
      </c>
      <c r="D31" s="14" t="inlineStr">
        <is>
          <t>Drop 2</t>
        </is>
      </c>
      <c r="E31" s="14" t="inlineStr">
        <is>
          <t>Product Owner, Employee Benefits</t>
        </is>
      </c>
      <c r="F31" s="14" t="inlineStr">
        <is>
          <t>An insurer approved or rejected a franchise request of yours</t>
        </is>
      </c>
      <c r="G31" s="14" t="inlineStr">
        <is>
          <t>Y</t>
        </is>
      </c>
      <c r="H31" s="14" t="inlineStr">
        <is>
          <t>Y</t>
        </is>
      </c>
      <c r="I31" s="14" t="n"/>
      <c r="J31" s="14" t="n"/>
      <c r="K31" s="14" t="n"/>
      <c r="L31" s="14" t="inlineStr">
        <is>
          <t>Not started</t>
        </is>
      </c>
      <c r="M31" s="14" t="n"/>
    </row>
    <row r="32">
      <c r="A32" s="14" t="inlineStr">
        <is>
          <t>EB_PROPOSAL_RECEIVED</t>
        </is>
      </c>
      <c r="B32" s="14" t="inlineStr">
        <is>
          <t>EB proposal received</t>
        </is>
      </c>
      <c r="C32" s="14" t="inlineStr">
        <is>
          <t>Employee Benefits</t>
        </is>
      </c>
      <c r="D32" s="14" t="inlineStr">
        <is>
          <t>Drop 2</t>
        </is>
      </c>
      <c r="E32" s="14" t="inlineStr">
        <is>
          <t>Product Owner, Employee Benefits</t>
        </is>
      </c>
      <c r="F32" s="14" t="inlineStr">
        <is>
          <t>An insurer submitted a proposal to validate</t>
        </is>
      </c>
      <c r="G32" s="14" t="inlineStr">
        <is>
          <t>Y</t>
        </is>
      </c>
      <c r="H32" s="14" t="inlineStr">
        <is>
          <t>N</t>
        </is>
      </c>
      <c r="I32" s="14" t="n"/>
      <c r="J32" s="14" t="n"/>
      <c r="K32" s="14" t="n"/>
      <c r="L32" s="14" t="inlineStr">
        <is>
          <t>Not started</t>
        </is>
      </c>
      <c r="M32" s="14" t="n"/>
    </row>
    <row r="33">
      <c r="A33" s="14" t="inlineStr">
        <is>
          <t>EB_COMPARATIVE_SIGNOFF</t>
        </is>
      </c>
      <c r="B33" s="14" t="inlineStr">
        <is>
          <t>EB comparative to sign off</t>
        </is>
      </c>
      <c r="C33" s="14" t="inlineStr">
        <is>
          <t>Employee Benefits</t>
        </is>
      </c>
      <c r="D33" s="14" t="inlineStr">
        <is>
          <t>Drop 2</t>
        </is>
      </c>
      <c r="E33" s="14" t="inlineStr">
        <is>
          <t>Product Owner, Employee Benefits</t>
        </is>
      </c>
      <c r="F33" s="14" t="inlineStr">
        <is>
          <t>A comparative waits for your sign-off</t>
        </is>
      </c>
      <c r="G33" s="14" t="inlineStr">
        <is>
          <t>Y</t>
        </is>
      </c>
      <c r="H33" s="14" t="inlineStr">
        <is>
          <t>Y</t>
        </is>
      </c>
      <c r="I33" s="14" t="n"/>
      <c r="J33" s="14" t="n"/>
      <c r="K33" s="14" t="n"/>
      <c r="L33" s="14" t="inlineStr">
        <is>
          <t>Not started</t>
        </is>
      </c>
      <c r="M33" s="14" t="n"/>
    </row>
    <row r="34">
      <c r="A34" s="14" t="inlineStr">
        <is>
          <t>EB_COMPARATIVE_DECIDED</t>
        </is>
      </c>
      <c r="B34" s="14" t="inlineStr">
        <is>
          <t>EB comparative decided</t>
        </is>
      </c>
      <c r="C34" s="14" t="inlineStr">
        <is>
          <t>Employee Benefits</t>
        </is>
      </c>
      <c r="D34" s="14" t="inlineStr">
        <is>
          <t>Drop 2</t>
        </is>
      </c>
      <c r="E34" s="14" t="inlineStr">
        <is>
          <t>Product Owner, Employee Benefits</t>
        </is>
      </c>
      <c r="F34" s="14" t="inlineStr">
        <is>
          <t>A comparative of your programme was signed off, approved above the threshold or returned</t>
        </is>
      </c>
      <c r="G34" s="14" t="inlineStr">
        <is>
          <t>Y</t>
        </is>
      </c>
      <c r="H34" s="14" t="inlineStr">
        <is>
          <t>N</t>
        </is>
      </c>
      <c r="I34" s="14" t="n"/>
      <c r="J34" s="14" t="n"/>
      <c r="K34" s="14" t="n"/>
      <c r="L34" s="14" t="inlineStr">
        <is>
          <t>Not started</t>
        </is>
      </c>
      <c r="M34" s="14" t="n"/>
    </row>
    <row r="35">
      <c r="A35" s="14" t="inlineStr">
        <is>
          <t>EB_THRESHOLD_APPROVAL</t>
        </is>
      </c>
      <c r="B35" s="14" t="inlineStr">
        <is>
          <t>EB threshold approval</t>
        </is>
      </c>
      <c r="C35" s="14" t="inlineStr">
        <is>
          <t>Employee Benefits</t>
        </is>
      </c>
      <c r="D35" s="14" t="inlineStr">
        <is>
          <t>Drop 2</t>
        </is>
      </c>
      <c r="E35" s="14" t="inlineStr">
        <is>
          <t>Product Owner, Employee Benefits</t>
        </is>
      </c>
      <c r="F35" s="14" t="inlineStr">
        <is>
          <t>A comparative above the value threshold waits for your approval</t>
        </is>
      </c>
      <c r="G35" s="14" t="inlineStr">
        <is>
          <t>Y</t>
        </is>
      </c>
      <c r="H35" s="14" t="inlineStr">
        <is>
          <t>Y</t>
        </is>
      </c>
      <c r="I35" s="14" t="n"/>
      <c r="J35" s="14" t="n"/>
      <c r="K35" s="14" t="n"/>
      <c r="L35" s="14" t="inlineStr">
        <is>
          <t>Not started</t>
        </is>
      </c>
      <c r="M35" s="14" t="n"/>
    </row>
    <row r="36">
      <c r="A36" s="14" t="inlineStr">
        <is>
          <t>EB_CLIENT_CONFIRMED</t>
        </is>
      </c>
      <c r="B36" s="14" t="inlineStr">
        <is>
          <t>EB client confirmation</t>
        </is>
      </c>
      <c r="C36" s="14" t="inlineStr">
        <is>
          <t>Employee Benefits</t>
        </is>
      </c>
      <c r="D36" s="14" t="inlineStr">
        <is>
          <t>Drop 2</t>
        </is>
      </c>
      <c r="E36" s="14" t="inlineStr">
        <is>
          <t>Product Owner, Employee Benefits</t>
        </is>
      </c>
      <c r="F36" s="14" t="inlineStr">
        <is>
          <t>A client confirmed the chosen proposals of your programme</t>
        </is>
      </c>
      <c r="G36" s="14" t="inlineStr">
        <is>
          <t>Y</t>
        </is>
      </c>
      <c r="H36" s="14" t="inlineStr">
        <is>
          <t>N</t>
        </is>
      </c>
      <c r="I36" s="14" t="n"/>
      <c r="J36" s="14" t="n"/>
      <c r="K36" s="14" t="n"/>
      <c r="L36" s="14" t="inlineStr">
        <is>
          <t>Not started</t>
        </is>
      </c>
      <c r="M36" s="14" t="n"/>
    </row>
    <row r="37">
      <c r="A37" s="14" t="inlineStr">
        <is>
          <t>EB_PLACEMENT_TRIGGERED</t>
        </is>
      </c>
      <c r="B37" s="14" t="inlineStr">
        <is>
          <t>EB placement triggered</t>
        </is>
      </c>
      <c r="C37" s="14" t="inlineStr">
        <is>
          <t>Employee Benefits</t>
        </is>
      </c>
      <c r="D37" s="14" t="inlineStr">
        <is>
          <t>Drop 2</t>
        </is>
      </c>
      <c r="E37" s="14" t="inlineStr">
        <is>
          <t>Product Owner, Employee Benefits</t>
        </is>
      </c>
      <c r="F37" s="14" t="inlineStr">
        <is>
          <t>The accounts of an EB cycle were created for placement</t>
        </is>
      </c>
      <c r="G37" s="14" t="inlineStr">
        <is>
          <t>Y</t>
        </is>
      </c>
      <c r="H37" s="14" t="inlineStr">
        <is>
          <t>N</t>
        </is>
      </c>
      <c r="I37" s="14" t="n"/>
      <c r="J37" s="14" t="n"/>
      <c r="K37" s="14" t="n"/>
      <c r="L37" s="14" t="inlineStr">
        <is>
          <t>Not started</t>
        </is>
      </c>
      <c r="M37" s="14" t="n"/>
    </row>
    <row r="38">
      <c r="A38" s="14" t="inlineStr">
        <is>
          <t>EB_ROSTER_STAGED</t>
        </is>
      </c>
      <c r="B38" s="14" t="inlineStr">
        <is>
          <t>EB master list staged</t>
        </is>
      </c>
      <c r="C38" s="14" t="inlineStr">
        <is>
          <t>Employee Benefits</t>
        </is>
      </c>
      <c r="D38" s="14" t="inlineStr">
        <is>
          <t>Drop 2</t>
        </is>
      </c>
      <c r="E38" s="14" t="inlineStr">
        <is>
          <t>Product Owner, Employee Benefits</t>
        </is>
      </c>
      <c r="F38" s="14" t="inlineStr">
        <is>
          <t>A master list of your programme was loaded and waits for your review</t>
        </is>
      </c>
      <c r="G38" s="14" t="inlineStr">
        <is>
          <t>Y</t>
        </is>
      </c>
      <c r="H38" s="14" t="inlineStr">
        <is>
          <t>N</t>
        </is>
      </c>
      <c r="I38" s="14" t="n"/>
      <c r="J38" s="14" t="n"/>
      <c r="K38" s="14" t="n"/>
      <c r="L38" s="14" t="inlineStr">
        <is>
          <t>Not started</t>
        </is>
      </c>
      <c r="M38" s="14" t="n"/>
    </row>
    <row r="39">
      <c r="A39" s="14" t="inlineStr">
        <is>
          <t>EB_MEMBER_CHANGE_BILLED</t>
        </is>
      </c>
      <c r="B39" s="14" t="inlineStr">
        <is>
          <t>EB member change billed</t>
        </is>
      </c>
      <c r="C39" s="14" t="inlineStr">
        <is>
          <t>Employee Benefits</t>
        </is>
      </c>
      <c r="D39" s="14" t="inlineStr">
        <is>
          <t>Drop 2</t>
        </is>
      </c>
      <c r="E39" s="14" t="inlineStr">
        <is>
          <t>Product Owner, Employee Benefits</t>
        </is>
      </c>
      <c r="F39" s="14" t="inlineStr">
        <is>
          <t>An insurer billed a member change to validate</t>
        </is>
      </c>
      <c r="G39" s="14" t="inlineStr">
        <is>
          <t>Y</t>
        </is>
      </c>
      <c r="H39" s="14" t="inlineStr">
        <is>
          <t>N</t>
        </is>
      </c>
      <c r="I39" s="14" t="n"/>
      <c r="J39" s="14" t="n"/>
      <c r="K39" s="14" t="n"/>
      <c r="L39" s="14" t="inlineStr">
        <is>
          <t>Not started</t>
        </is>
      </c>
      <c r="M39" s="14" t="n"/>
    </row>
    <row r="40">
      <c r="A40" s="14" t="inlineStr">
        <is>
          <t>EB_SUBMISSION_SENT</t>
        </is>
      </c>
      <c r="B40" s="14" t="inlineStr">
        <is>
          <t>EB documents submitted</t>
        </is>
      </c>
      <c r="C40" s="14" t="inlineStr">
        <is>
          <t>Employee Benefits</t>
        </is>
      </c>
      <c r="D40" s="14" t="inlineStr">
        <is>
          <t>Drop 2</t>
        </is>
      </c>
      <c r="E40" s="14" t="inlineStr">
        <is>
          <t>Product Owner, Employee Benefits</t>
        </is>
      </c>
      <c r="F40" s="14" t="inlineStr">
        <is>
          <t>Documents of an Employee Benefits programme were submitted to an insurer</t>
        </is>
      </c>
      <c r="G40" s="14" t="inlineStr">
        <is>
          <t>Y</t>
        </is>
      </c>
      <c r="H40" s="14" t="inlineStr">
        <is>
          <t>N</t>
        </is>
      </c>
      <c r="I40" s="14" t="n"/>
      <c r="J40" s="14" t="n"/>
      <c r="K40" s="14" t="n"/>
      <c r="L40" s="14" t="inlineStr">
        <is>
          <t>Not started</t>
        </is>
      </c>
      <c r="M40" s="14" t="n"/>
    </row>
    <row r="41">
      <c r="A41" s="14" t="inlineStr">
        <is>
          <t>EB_SOA_RELEASED</t>
        </is>
      </c>
      <c r="B41" s="14" t="inlineStr">
        <is>
          <t>EB SOA released</t>
        </is>
      </c>
      <c r="C41" s="14" t="inlineStr">
        <is>
          <t>Employee Benefits</t>
        </is>
      </c>
      <c r="D41" s="14" t="inlineStr">
        <is>
          <t>Drop 2</t>
        </is>
      </c>
      <c r="E41" s="14" t="inlineStr">
        <is>
          <t>Product Owner, Employee Benefits</t>
        </is>
      </c>
      <c r="F41" s="14" t="inlineStr">
        <is>
          <t>An insurer SOA was validated and released to Collection and the client</t>
        </is>
      </c>
      <c r="G41" s="14" t="inlineStr">
        <is>
          <t>Y</t>
        </is>
      </c>
      <c r="H41" s="14" t="inlineStr">
        <is>
          <t>N</t>
        </is>
      </c>
      <c r="I41" s="14" t="n"/>
      <c r="J41" s="14" t="n"/>
      <c r="K41" s="14" t="n"/>
      <c r="L41" s="14" t="inlineStr">
        <is>
          <t>Not started</t>
        </is>
      </c>
      <c r="M41" s="14" t="n"/>
    </row>
    <row r="42">
      <c r="A42" s="14" t="inlineStr">
        <is>
          <t>EB_INVOICE_PAID</t>
        </is>
      </c>
      <c r="B42" s="14" t="inlineStr">
        <is>
          <t>EB invoice paid</t>
        </is>
      </c>
      <c r="C42" s="14" t="inlineStr">
        <is>
          <t>Employee Benefits</t>
        </is>
      </c>
      <c r="D42" s="14" t="inlineStr">
        <is>
          <t>Drop 2</t>
        </is>
      </c>
      <c r="E42" s="14" t="inlineStr">
        <is>
          <t>Product Owner, Employee Benefits</t>
        </is>
      </c>
      <c r="F42" s="14" t="inlineStr">
        <is>
          <t>An invoice of an EB programme became paid</t>
        </is>
      </c>
      <c r="G42" s="14" t="inlineStr">
        <is>
          <t>Y</t>
        </is>
      </c>
      <c r="H42" s="14" t="inlineStr">
        <is>
          <t>N</t>
        </is>
      </c>
      <c r="I42" s="14" t="n"/>
      <c r="J42" s="14" t="n"/>
      <c r="K42" s="14" t="n"/>
      <c r="L42" s="14" t="inlineStr">
        <is>
          <t>Not started</t>
        </is>
      </c>
      <c r="M42" s="14" t="n"/>
    </row>
    <row r="43">
      <c r="A43" s="14" t="inlineStr">
        <is>
          <t>EB_ITEM_ESCALATED</t>
        </is>
      </c>
      <c r="B43" s="14" t="inlineStr">
        <is>
          <t>EB pending item escalated</t>
        </is>
      </c>
      <c r="C43" s="14" t="inlineStr">
        <is>
          <t>Employee Benefits</t>
        </is>
      </c>
      <c r="D43" s="14" t="inlineStr">
        <is>
          <t>Drop 2</t>
        </is>
      </c>
      <c r="E43" s="14" t="inlineStr">
        <is>
          <t>Product Owner, Employee Benefits</t>
        </is>
      </c>
      <c r="F43" s="14" t="inlineStr">
        <is>
          <t>A tracked item passed its follow-ups without being received</t>
        </is>
      </c>
      <c r="G43" s="14" t="inlineStr">
        <is>
          <t>Y</t>
        </is>
      </c>
      <c r="H43" s="14" t="inlineStr">
        <is>
          <t>Y</t>
        </is>
      </c>
      <c r="I43" s="14" t="n"/>
      <c r="J43" s="14" t="n"/>
      <c r="K43" s="14" t="n"/>
      <c r="L43" s="14" t="inlineStr">
        <is>
          <t>Not started</t>
        </is>
      </c>
      <c r="M43" s="14" t="n"/>
    </row>
    <row r="44">
      <c r="A44" s="14" t="inlineStr">
        <is>
          <t>OPS_INVOICE_LOCKED</t>
        </is>
      </c>
      <c r="B44" s="14" t="inlineStr">
        <is>
          <t>Invoice locked or released</t>
        </is>
      </c>
      <c r="C44" s="14" t="inlineStr">
        <is>
          <t>Operations</t>
        </is>
      </c>
      <c r="D44" s="14" t="inlineStr">
        <is>
          <t>Drop 1</t>
        </is>
      </c>
      <c r="E44" s="14" t="inlineStr">
        <is>
          <t>Head, Operations Services</t>
        </is>
      </c>
      <c r="F44" s="14" t="inlineStr">
        <is>
          <t>An invoice you work on was locked by another team or released</t>
        </is>
      </c>
      <c r="G44" s="14" t="inlineStr">
        <is>
          <t>Y</t>
        </is>
      </c>
      <c r="H44" s="14" t="inlineStr">
        <is>
          <t>N</t>
        </is>
      </c>
      <c r="I44" s="14" t="n"/>
      <c r="J44" s="14" t="n"/>
      <c r="K44" s="14" t="n"/>
      <c r="L44" s="14" t="inlineStr">
        <is>
          <t>Not started</t>
        </is>
      </c>
      <c r="M44" s="14" t="n"/>
    </row>
    <row r="45">
      <c r="A45" s="14" t="inlineStr">
        <is>
          <t>OPS_FLOW_IN_FAILED</t>
        </is>
      </c>
      <c r="B45" s="14" t="inlineStr">
        <is>
          <t>Interface run failed</t>
        </is>
      </c>
      <c r="C45" s="14" t="inlineStr">
        <is>
          <t>Operations</t>
        </is>
      </c>
      <c r="D45" s="14" t="inlineStr">
        <is>
          <t>Drop 1</t>
        </is>
      </c>
      <c r="E45" s="14" t="inlineStr">
        <is>
          <t>Head, Operations Services</t>
        </is>
      </c>
      <c r="F45" s="14" t="inlineStr">
        <is>
          <t>A flow-in or flow-out run failed or had failed records</t>
        </is>
      </c>
      <c r="G45" s="14" t="inlineStr">
        <is>
          <t>Y</t>
        </is>
      </c>
      <c r="H45" s="14" t="inlineStr">
        <is>
          <t>Y</t>
        </is>
      </c>
      <c r="I45" s="14" t="n"/>
      <c r="J45" s="14" t="n"/>
      <c r="K45" s="14" t="n"/>
      <c r="L45" s="14" t="inlineStr">
        <is>
          <t>Not started</t>
        </is>
      </c>
      <c r="M45" s="14" t="n"/>
    </row>
    <row r="46">
      <c r="A46" s="14" t="inlineStr">
        <is>
          <t>OPS_DISBURSEMENT_STATUS</t>
        </is>
      </c>
      <c r="B46" s="14" t="inlineStr">
        <is>
          <t>Disbursement status</t>
        </is>
      </c>
      <c r="C46" s="14" t="inlineStr">
        <is>
          <t>Operations</t>
        </is>
      </c>
      <c r="D46" s="14" t="inlineStr">
        <is>
          <t>Drop 1</t>
        </is>
      </c>
      <c r="E46" s="14" t="inlineStr">
        <is>
          <t>Head, Operations Services</t>
        </is>
      </c>
      <c r="F46" s="14" t="inlineStr">
        <is>
          <t>A payment request was acknowledged, received its DV number, was paid or returned</t>
        </is>
      </c>
      <c r="G46" s="14" t="inlineStr">
        <is>
          <t>Y</t>
        </is>
      </c>
      <c r="H46" s="14" t="inlineStr">
        <is>
          <t>N</t>
        </is>
      </c>
      <c r="I46" s="14" t="n"/>
      <c r="J46" s="14" t="n"/>
      <c r="K46" s="14" t="n"/>
      <c r="L46" s="14" t="inlineStr">
        <is>
          <t>Not started</t>
        </is>
      </c>
      <c r="M46" s="14" t="n"/>
    </row>
    <row r="47">
      <c r="A47" s="14" t="inlineStr">
        <is>
          <t>PRQ_REQUEST_STATUS</t>
        </is>
      </c>
      <c r="B47" s="14" t="inlineStr">
        <is>
          <t>Refund / cash advance request status</t>
        </is>
      </c>
      <c r="C47" s="14" t="inlineStr">
        <is>
          <t>Accounting, Disbursement and ACSL</t>
        </is>
      </c>
      <c r="D47" s="14" t="inlineStr">
        <is>
          <t>Drop 1</t>
        </is>
      </c>
      <c r="E47" s="14" t="inlineStr">
        <is>
          <t>Head, Comptrollership</t>
        </is>
      </c>
      <c r="F47" s="14" t="inlineStr">
        <is>
          <t>A refund, cash-advance or check-cancellation request was validated, returned, approved or disbursed</t>
        </is>
      </c>
      <c r="G47" s="14" t="inlineStr">
        <is>
          <t>Y</t>
        </is>
      </c>
      <c r="H47" s="14" t="inlineStr">
        <is>
          <t>N</t>
        </is>
      </c>
      <c r="I47" s="14" t="n"/>
      <c r="J47" s="14" t="n"/>
      <c r="K47" s="14" t="n"/>
      <c r="L47" s="14" t="inlineStr">
        <is>
          <t>Not started</t>
        </is>
      </c>
      <c r="M47" s="14" t="n"/>
    </row>
    <row r="48">
      <c r="A48" s="14" t="inlineStr">
        <is>
          <t>RECON_FEEDBACK_UPLOADED</t>
        </is>
      </c>
      <c r="B48" s="14" t="inlineStr">
        <is>
          <t>Insurer reconciliation feedback</t>
        </is>
      </c>
      <c r="C48" s="14" t="inlineStr">
        <is>
          <t>Operations</t>
        </is>
      </c>
      <c r="D48" s="14" t="inlineStr">
        <is>
          <t>Drop 1</t>
        </is>
      </c>
      <c r="E48" s="14" t="inlineStr">
        <is>
          <t>Head, Operations Services</t>
        </is>
      </c>
      <c r="F48" s="14" t="inlineStr">
        <is>
          <t>An insurer production feedback was uploaded and matched</t>
        </is>
      </c>
      <c r="G48" s="14" t="inlineStr">
        <is>
          <t>Y</t>
        </is>
      </c>
      <c r="H48" s="14" t="inlineStr">
        <is>
          <t>N</t>
        </is>
      </c>
      <c r="I48" s="14" t="n"/>
      <c r="J48" s="14" t="n"/>
      <c r="K48" s="14" t="n"/>
      <c r="L48" s="14" t="inlineStr">
        <is>
          <t>Not started</t>
        </is>
      </c>
      <c r="M48" s="14" t="n"/>
    </row>
    <row r="49">
      <c r="A49" s="14" t="inlineStr">
        <is>
          <t>PM_DEACTIVATION_APPROVAL</t>
        </is>
      </c>
      <c r="B49" s="14" t="inlineStr">
        <is>
          <t>Package deactivation for approval</t>
        </is>
      </c>
      <c r="C49" s="14" t="inlineStr">
        <is>
          <t>Product Maintenance</t>
        </is>
      </c>
      <c r="D49" s="14" t="inlineStr">
        <is>
          <t>Drop 0</t>
        </is>
      </c>
      <c r="E49" s="14" t="inlineStr">
        <is>
          <t>Product Owner, Marketing Business System (MBS)</t>
        </is>
      </c>
      <c r="F49" s="14" t="inlineStr">
        <is>
          <t>A package deactivation request names you as its approver</t>
        </is>
      </c>
      <c r="G49" s="14" t="inlineStr">
        <is>
          <t>Y</t>
        </is>
      </c>
      <c r="H49" s="14" t="inlineStr">
        <is>
          <t>Y</t>
        </is>
      </c>
      <c r="I49" s="14" t="n"/>
      <c r="J49" s="14" t="n"/>
      <c r="K49" s="14" t="n"/>
      <c r="L49" s="14" t="inlineStr">
        <is>
          <t>Not started</t>
        </is>
      </c>
      <c r="M49" s="14" t="n"/>
    </row>
    <row r="50">
      <c r="A50" s="14" t="inlineStr">
        <is>
          <t>PM_DEACTIVATION_DECIDED</t>
        </is>
      </c>
      <c r="B50" s="14" t="inlineStr">
        <is>
          <t>Package deactivation decided</t>
        </is>
      </c>
      <c r="C50" s="14" t="inlineStr">
        <is>
          <t>Product Maintenance</t>
        </is>
      </c>
      <c r="D50" s="14" t="inlineStr">
        <is>
          <t>Drop 0</t>
        </is>
      </c>
      <c r="E50" s="14" t="inlineStr">
        <is>
          <t>Product Owner, Marketing Business System (MBS)</t>
        </is>
      </c>
      <c r="F50" s="14" t="inlineStr">
        <is>
          <t>Your package deactivation request was approved or rejected</t>
        </is>
      </c>
      <c r="G50" s="14" t="inlineStr">
        <is>
          <t>Y</t>
        </is>
      </c>
      <c r="H50" s="14" t="inlineStr">
        <is>
          <t>Y</t>
        </is>
      </c>
      <c r="I50" s="14" t="n"/>
      <c r="J50" s="14" t="n"/>
      <c r="K50" s="14" t="n"/>
      <c r="L50" s="14" t="inlineStr">
        <is>
          <t>Not started</t>
        </is>
      </c>
      <c r="M50" s="14" t="n"/>
    </row>
    <row r="51">
      <c r="A51" s="14" t="inlineStr">
        <is>
          <t>PM_PACKAGE_EXPIRY</t>
        </is>
      </c>
      <c r="B51" s="14" t="inlineStr">
        <is>
          <t>Package expiry or anniversary</t>
        </is>
      </c>
      <c r="C51" s="14" t="inlineStr">
        <is>
          <t>Product Maintenance</t>
        </is>
      </c>
      <c r="D51" s="14" t="inlineStr">
        <is>
          <t>Drop 0</t>
        </is>
      </c>
      <c r="E51" s="14" t="inlineStr">
        <is>
          <t>Product Owner, Marketing Business System (MBS)</t>
        </is>
      </c>
      <c r="F51" s="14" t="inlineStr">
        <is>
          <t>A package reaches its expiry or anniversary date within the notice period</t>
        </is>
      </c>
      <c r="G51" s="14" t="inlineStr">
        <is>
          <t>Y</t>
        </is>
      </c>
      <c r="H51" s="14" t="inlineStr">
        <is>
          <t>Y</t>
        </is>
      </c>
      <c r="I51" s="14" t="n"/>
      <c r="J51" s="14" t="n"/>
      <c r="K51" s="14" t="n"/>
      <c r="L51" s="14" t="inlineStr">
        <is>
          <t>Not started</t>
        </is>
      </c>
      <c r="M51" s="14" t="n"/>
    </row>
    <row r="52">
      <c r="A52" s="14" t="inlineStr">
        <is>
          <t>PM_TSU_REVIEW</t>
        </is>
      </c>
      <c r="B52" s="14" t="inlineStr">
        <is>
          <t>Request for TSU review</t>
        </is>
      </c>
      <c r="C52" s="14" t="inlineStr">
        <is>
          <t>Product Maintenance</t>
        </is>
      </c>
      <c r="D52" s="14" t="inlineStr">
        <is>
          <t>Drop 0</t>
        </is>
      </c>
      <c r="E52" s="14" t="inlineStr">
        <is>
          <t>Product Owner, Marketing Business System (MBS)</t>
        </is>
      </c>
      <c r="F52" s="14" t="inlineStr">
        <is>
          <t>A package request or a quotation request entered TSU review</t>
        </is>
      </c>
      <c r="G52" s="14" t="inlineStr">
        <is>
          <t>Y</t>
        </is>
      </c>
      <c r="H52" s="14" t="inlineStr">
        <is>
          <t>N</t>
        </is>
      </c>
      <c r="I52" s="14" t="n"/>
      <c r="J52" s="14" t="n"/>
      <c r="K52" s="14" t="n"/>
      <c r="L52" s="14" t="inlineStr">
        <is>
          <t>Not started</t>
        </is>
      </c>
      <c r="M52" s="14" t="n"/>
    </row>
    <row r="53">
      <c r="A53" s="14" t="inlineStr">
        <is>
          <t>PM_MANCOM_APPROVAL</t>
        </is>
      </c>
      <c r="B53" s="14" t="inlineStr">
        <is>
          <t>ManCom approval</t>
        </is>
      </c>
      <c r="C53" s="14" t="inlineStr">
        <is>
          <t>Product Maintenance</t>
        </is>
      </c>
      <c r="D53" s="14" t="inlineStr">
        <is>
          <t>Drop 0</t>
        </is>
      </c>
      <c r="E53" s="14" t="inlineStr">
        <is>
          <t>Product Owner, Marketing Business System (MBS)</t>
        </is>
      </c>
      <c r="F53" s="14" t="inlineStr">
        <is>
          <t>A package request waits for your ManCom approval</t>
        </is>
      </c>
      <c r="G53" s="14" t="inlineStr">
        <is>
          <t>Y</t>
        </is>
      </c>
      <c r="H53" s="14" t="inlineStr">
        <is>
          <t>Y</t>
        </is>
      </c>
      <c r="I53" s="14" t="n"/>
      <c r="J53" s="14" t="n"/>
      <c r="K53" s="14" t="n"/>
      <c r="L53" s="14" t="inlineStr">
        <is>
          <t>Not started</t>
        </is>
      </c>
      <c r="M53" s="14" t="n"/>
    </row>
    <row r="54">
      <c r="A54" s="14" t="inlineStr">
        <is>
          <t>PM_APPROVALS_COMPLETE</t>
        </is>
      </c>
      <c r="B54" s="14" t="inlineStr">
        <is>
          <t>Package approvals complete</t>
        </is>
      </c>
      <c r="C54" s="14" t="inlineStr">
        <is>
          <t>Product Maintenance</t>
        </is>
      </c>
      <c r="D54" s="14" t="inlineStr">
        <is>
          <t>Drop 0</t>
        </is>
      </c>
      <c r="E54" s="14" t="inlineStr">
        <is>
          <t>Product Owner, Marketing Business System (MBS)</t>
        </is>
      </c>
      <c r="F54" s="14" t="inlineStr">
        <is>
          <t>Every required approval of your package request is complete</t>
        </is>
      </c>
      <c r="G54" s="14" t="inlineStr">
        <is>
          <t>Y</t>
        </is>
      </c>
      <c r="H54" s="14" t="inlineStr">
        <is>
          <t>N</t>
        </is>
      </c>
      <c r="I54" s="14" t="n"/>
      <c r="J54" s="14" t="n"/>
      <c r="K54" s="14" t="n"/>
      <c r="L54" s="14" t="inlineStr">
        <is>
          <t>Not started</t>
        </is>
      </c>
      <c r="M54" s="14" t="n"/>
    </row>
    <row r="55">
      <c r="A55" s="14" t="inlineStr">
        <is>
          <t>PM_DEPLOYMENT_REQUESTED</t>
        </is>
      </c>
      <c r="B55" s="14" t="inlineStr">
        <is>
          <t>Package deployment requested</t>
        </is>
      </c>
      <c r="C55" s="14" t="inlineStr">
        <is>
          <t>Product Maintenance</t>
        </is>
      </c>
      <c r="D55" s="14" t="inlineStr">
        <is>
          <t>Drop 0</t>
        </is>
      </c>
      <c r="E55" s="14" t="inlineStr">
        <is>
          <t>Product Owner, Marketing Business System (MBS)</t>
        </is>
      </c>
      <c r="F55" s="14" t="inlineStr">
        <is>
          <t>A package deployment request waits for MBS</t>
        </is>
      </c>
      <c r="G55" s="14" t="inlineStr">
        <is>
          <t>Y</t>
        </is>
      </c>
      <c r="H55" s="14" t="inlineStr">
        <is>
          <t>N</t>
        </is>
      </c>
      <c r="I55" s="14" t="n"/>
      <c r="J55" s="14" t="n"/>
      <c r="K55" s="14" t="n"/>
      <c r="L55" s="14" t="inlineStr">
        <is>
          <t>Not started</t>
        </is>
      </c>
      <c r="M55" s="14" t="n"/>
    </row>
    <row r="56">
      <c r="A56" s="14" t="inlineStr">
        <is>
          <t>PM_PRODUCT_APPROVAL</t>
        </is>
      </c>
      <c r="B56" s="14" t="inlineStr">
        <is>
          <t>Product Matrix record for approval</t>
        </is>
      </c>
      <c r="C56" s="14" t="inlineStr">
        <is>
          <t>Product Maintenance</t>
        </is>
      </c>
      <c r="D56" s="14" t="inlineStr">
        <is>
          <t>Drop 0</t>
        </is>
      </c>
      <c r="E56" s="14" t="inlineStr">
        <is>
          <t>Product Owner, Marketing Business System (MBS)</t>
        </is>
      </c>
      <c r="F56" s="14" t="inlineStr">
        <is>
          <t>A Product Matrix record names you as its approver</t>
        </is>
      </c>
      <c r="G56" s="14" t="inlineStr">
        <is>
          <t>Y</t>
        </is>
      </c>
      <c r="H56" s="14" t="inlineStr">
        <is>
          <t>Y</t>
        </is>
      </c>
      <c r="I56" s="14" t="n"/>
      <c r="J56" s="14" t="n"/>
      <c r="K56" s="14" t="n"/>
      <c r="L56" s="14" t="inlineStr">
        <is>
          <t>Not started</t>
        </is>
      </c>
      <c r="M56" s="14" t="n"/>
    </row>
    <row r="57">
      <c r="A57" s="14" t="inlineStr">
        <is>
          <t>PM_MARKETING_APPROVAL</t>
        </is>
      </c>
      <c r="B57" s="14" t="inlineStr">
        <is>
          <t>Package request for Marketing approval</t>
        </is>
      </c>
      <c r="C57" s="14" t="inlineStr">
        <is>
          <t>Product Maintenance</t>
        </is>
      </c>
      <c r="D57" s="14" t="inlineStr">
        <is>
          <t>Drop 0</t>
        </is>
      </c>
      <c r="E57" s="14" t="inlineStr">
        <is>
          <t>Product Owner, Marketing Business System (MBS)</t>
        </is>
      </c>
      <c r="F57" s="14" t="inlineStr">
        <is>
          <t>A package request waits for the next Marketing approval</t>
        </is>
      </c>
      <c r="G57" s="14" t="inlineStr">
        <is>
          <t>Y</t>
        </is>
      </c>
      <c r="H57" s="14" t="inlineStr">
        <is>
          <t>N</t>
        </is>
      </c>
      <c r="I57" s="14" t="n"/>
      <c r="J57" s="14" t="n"/>
      <c r="K57" s="14" t="n"/>
      <c r="L57" s="14" t="inlineStr">
        <is>
          <t>Not started</t>
        </is>
      </c>
      <c r="M57" s="14" t="n"/>
    </row>
    <row r="58">
      <c r="A58" s="14" t="inlineStr">
        <is>
          <t>PM_TERMS_AGREED</t>
        </is>
      </c>
      <c r="B58" s="14" t="inlineStr">
        <is>
          <t>Insurers selected for the proposal</t>
        </is>
      </c>
      <c r="C58" s="14" t="inlineStr">
        <is>
          <t>Product Maintenance</t>
        </is>
      </c>
      <c r="D58" s="14" t="inlineStr">
        <is>
          <t>Drop 0</t>
        </is>
      </c>
      <c r="E58" s="14" t="inlineStr">
        <is>
          <t>Product Owner, Marketing Business System (MBS)</t>
        </is>
      </c>
      <c r="F58" s="14" t="inlineStr">
        <is>
          <t>The requestor selected the insurers of a quotation request and asks for the proposal</t>
        </is>
      </c>
      <c r="G58" s="14" t="inlineStr">
        <is>
          <t>Y</t>
        </is>
      </c>
      <c r="H58" s="14" t="inlineStr">
        <is>
          <t>N</t>
        </is>
      </c>
      <c r="I58" s="14" t="n"/>
      <c r="J58" s="14" t="n"/>
      <c r="K58" s="14" t="n"/>
      <c r="L58" s="14" t="inlineStr">
        <is>
          <t>Not started</t>
        </is>
      </c>
      <c r="M58" s="14" t="n"/>
    </row>
    <row r="59">
      <c r="A59" s="14" t="inlineStr">
        <is>
          <t>PM_PROPOSAL_DECIDED</t>
        </is>
      </c>
      <c r="B59" s="14" t="inlineStr">
        <is>
          <t>Proposal approved, returned or rejected</t>
        </is>
      </c>
      <c r="C59" s="14" t="inlineStr">
        <is>
          <t>Product Maintenance</t>
        </is>
      </c>
      <c r="D59" s="14" t="inlineStr">
        <is>
          <t>Drop 0</t>
        </is>
      </c>
      <c r="E59" s="14" t="inlineStr">
        <is>
          <t>Product Owner, Marketing Business System (MBS)</t>
        </is>
      </c>
      <c r="F59" s="14" t="inlineStr">
        <is>
          <t>The proposal of a quotation request was approved, returned or rejected</t>
        </is>
      </c>
      <c r="G59" s="14" t="inlineStr">
        <is>
          <t>Y</t>
        </is>
      </c>
      <c r="H59" s="14" t="inlineStr">
        <is>
          <t>N</t>
        </is>
      </c>
      <c r="I59" s="14" t="n"/>
      <c r="J59" s="14" t="n"/>
      <c r="K59" s="14" t="n"/>
      <c r="L59" s="14" t="inlineStr">
        <is>
          <t>Not started</t>
        </is>
      </c>
      <c r="M59" s="14" t="n"/>
    </row>
    <row r="60">
      <c r="A60" s="14" t="inlineStr">
        <is>
          <t>PM_CLIENT_RESPONSE</t>
        </is>
      </c>
      <c r="B60" s="14" t="inlineStr">
        <is>
          <t>Client response recorded</t>
        </is>
      </c>
      <c r="C60" s="14" t="inlineStr">
        <is>
          <t>Product Maintenance</t>
        </is>
      </c>
      <c r="D60" s="14" t="inlineStr">
        <is>
          <t>Drop 0</t>
        </is>
      </c>
      <c r="E60" s="14" t="inlineStr">
        <is>
          <t>Product Owner, Marketing Business System (MBS)</t>
        </is>
      </c>
      <c r="F60" s="14" t="inlineStr">
        <is>
          <t>The client accepted, rejected or returned a proposal for revision</t>
        </is>
      </c>
      <c r="G60" s="14" t="inlineStr">
        <is>
          <t>Y</t>
        </is>
      </c>
      <c r="H60" s="14" t="inlineStr">
        <is>
          <t>N</t>
        </is>
      </c>
      <c r="I60" s="14" t="n"/>
      <c r="J60" s="14" t="n"/>
      <c r="K60" s="14" t="n"/>
      <c r="L60" s="14" t="inlineStr">
        <is>
          <t>Not started</t>
        </is>
      </c>
      <c r="M60" s="14" t="n"/>
    </row>
    <row r="61">
      <c r="A61" s="14" t="inlineStr">
        <is>
          <t>PM_PLACEMENT_UPDATE</t>
        </is>
      </c>
      <c r="B61" s="14" t="inlineStr">
        <is>
          <t>Placement Update Report generated</t>
        </is>
      </c>
      <c r="C61" s="14" t="inlineStr">
        <is>
          <t>Product Maintenance</t>
        </is>
      </c>
      <c r="D61" s="14" t="inlineStr">
        <is>
          <t>Drop 0</t>
        </is>
      </c>
      <c r="E61" s="14" t="inlineStr">
        <is>
          <t>Product Owner, Marketing Business System (MBS)</t>
        </is>
      </c>
      <c r="F61" s="14" t="inlineStr">
        <is>
          <t>The Consolidated Placement Update Report of the week is in the repository</t>
        </is>
      </c>
      <c r="G61" s="14" t="inlineStr">
        <is>
          <t>Y</t>
        </is>
      </c>
      <c r="H61" s="14" t="inlineStr">
        <is>
          <t>N</t>
        </is>
      </c>
      <c r="I61" s="14" t="n"/>
      <c r="J61" s="14" t="n"/>
      <c r="K61" s="14" t="n"/>
      <c r="L61" s="14" t="inlineStr">
        <is>
          <t>Not started</t>
        </is>
      </c>
      <c r="M61" s="14" t="n"/>
    </row>
    <row r="62">
      <c r="A62" s="14" t="inlineStr">
        <is>
          <t>REMIT_EXTRACTION_DONE</t>
        </is>
      </c>
      <c r="B62" s="14" t="inlineStr">
        <is>
          <t>Remittance extraction completed</t>
        </is>
      </c>
      <c r="C62" s="14" t="inlineStr">
        <is>
          <t>Operations</t>
        </is>
      </c>
      <c r="D62" s="14" t="inlineStr">
        <is>
          <t>Drop 1</t>
        </is>
      </c>
      <c r="E62" s="14" t="inlineStr">
        <is>
          <t>Head, Operations Services</t>
        </is>
      </c>
      <c r="F62" s="14" t="inlineStr">
        <is>
          <t>A scheduled or manual remittance extraction finished</t>
        </is>
      </c>
      <c r="G62" s="14" t="inlineStr">
        <is>
          <t>Y</t>
        </is>
      </c>
      <c r="H62" s="14" t="inlineStr">
        <is>
          <t>Y</t>
        </is>
      </c>
      <c r="I62" s="14" t="n"/>
      <c r="J62" s="14" t="n"/>
      <c r="K62" s="14" t="n"/>
      <c r="L62" s="14" t="inlineStr">
        <is>
          <t>Not started</t>
        </is>
      </c>
      <c r="M62" s="14" t="n"/>
    </row>
    <row r="63">
      <c r="A63" s="14" t="inlineStr">
        <is>
          <t>REMIT_BATCH_FOR_APPROVAL</t>
        </is>
      </c>
      <c r="B63" s="14" t="inlineStr">
        <is>
          <t>Remittance batch for approval</t>
        </is>
      </c>
      <c r="C63" s="14" t="inlineStr">
        <is>
          <t>Operations</t>
        </is>
      </c>
      <c r="D63" s="14" t="inlineStr">
        <is>
          <t>Drop 1</t>
        </is>
      </c>
      <c r="E63" s="14" t="inlineStr">
        <is>
          <t>Head, Operations Services</t>
        </is>
      </c>
      <c r="F63" s="14" t="inlineStr">
        <is>
          <t>A remittance batch was submitted for approval</t>
        </is>
      </c>
      <c r="G63" s="14" t="inlineStr">
        <is>
          <t>Y</t>
        </is>
      </c>
      <c r="H63" s="14" t="inlineStr">
        <is>
          <t>Y</t>
        </is>
      </c>
      <c r="I63" s="14" t="n"/>
      <c r="J63" s="14" t="n"/>
      <c r="K63" s="14" t="n"/>
      <c r="L63" s="14" t="inlineStr">
        <is>
          <t>Not started</t>
        </is>
      </c>
      <c r="M63" s="14" t="n"/>
    </row>
    <row r="64">
      <c r="A64" s="14" t="inlineStr">
        <is>
          <t>REMIT_BATCH_DECIDED</t>
        </is>
      </c>
      <c r="B64" s="14" t="inlineStr">
        <is>
          <t>Remittance batch approved or returned</t>
        </is>
      </c>
      <c r="C64" s="14" t="inlineStr">
        <is>
          <t>Operations</t>
        </is>
      </c>
      <c r="D64" s="14" t="inlineStr">
        <is>
          <t>Drop 1</t>
        </is>
      </c>
      <c r="E64" s="14" t="inlineStr">
        <is>
          <t>Head, Operations Services</t>
        </is>
      </c>
      <c r="F64" s="14" t="inlineStr">
        <is>
          <t>A remittance batch you prepared was approved or returned</t>
        </is>
      </c>
      <c r="G64" s="14" t="inlineStr">
        <is>
          <t>Y</t>
        </is>
      </c>
      <c r="H64" s="14" t="inlineStr">
        <is>
          <t>N</t>
        </is>
      </c>
      <c r="I64" s="14" t="n"/>
      <c r="J64" s="14" t="n"/>
      <c r="K64" s="14" t="n"/>
      <c r="L64" s="14" t="inlineStr">
        <is>
          <t>Not started</t>
        </is>
      </c>
      <c r="M64" s="14" t="n"/>
    </row>
    <row r="65">
      <c r="A65" s="14" t="inlineStr">
        <is>
          <t>REMIT_NEG_ADJ_PENDING</t>
        </is>
      </c>
      <c r="B65" s="14" t="inlineStr">
        <is>
          <t>Negative adjustment on a remittance invoice</t>
        </is>
      </c>
      <c r="C65" s="14" t="inlineStr">
        <is>
          <t>Operations</t>
        </is>
      </c>
      <c r="D65" s="14" t="inlineStr">
        <is>
          <t>Drop 1</t>
        </is>
      </c>
      <c r="E65" s="14" t="inlineStr">
        <is>
          <t>Head, Operations Services</t>
        </is>
      </c>
      <c r="F65" s="14" t="inlineStr">
        <is>
          <t>A negative adjustment was requested on an invoice in remittance</t>
        </is>
      </c>
      <c r="G65" s="14" t="inlineStr">
        <is>
          <t>Y</t>
        </is>
      </c>
      <c r="H65" s="14" t="inlineStr">
        <is>
          <t>Y</t>
        </is>
      </c>
      <c r="I65" s="14" t="n"/>
      <c r="J65" s="14" t="n"/>
      <c r="K65" s="14" t="n"/>
      <c r="L65" s="14" t="inlineStr">
        <is>
          <t>Not started</t>
        </is>
      </c>
      <c r="M65" s="14" t="n"/>
    </row>
    <row r="66">
      <c r="A66" s="14" t="inlineStr">
        <is>
          <t>HOLD_EXPIRING</t>
        </is>
      </c>
      <c r="B66" s="14" t="inlineStr">
        <is>
          <t>Remittance hold expiring</t>
        </is>
      </c>
      <c r="C66" s="14" t="inlineStr">
        <is>
          <t>Operations</t>
        </is>
      </c>
      <c r="D66" s="14" t="inlineStr">
        <is>
          <t>Drop 1</t>
        </is>
      </c>
      <c r="E66" s="14" t="inlineStr">
        <is>
          <t>Head, Operations Services</t>
        </is>
      </c>
      <c r="F66" s="14" t="inlineStr">
        <is>
          <t>A remittance hold reaches its hold date</t>
        </is>
      </c>
      <c r="G66" s="14" t="inlineStr">
        <is>
          <t>Y</t>
        </is>
      </c>
      <c r="H66" s="14" t="inlineStr">
        <is>
          <t>N</t>
        </is>
      </c>
      <c r="I66" s="14" t="n"/>
      <c r="J66" s="14" t="n"/>
      <c r="K66" s="14" t="n"/>
      <c r="L66" s="14" t="inlineStr">
        <is>
          <t>Not started</t>
        </is>
      </c>
      <c r="M66" s="14" t="n"/>
    </row>
    <row r="67">
      <c r="A67" s="14" t="inlineStr">
        <is>
          <t>RNW_ASSIGNED</t>
        </is>
      </c>
      <c r="B67" s="14" t="inlineStr">
        <is>
          <t>Renewal assigned</t>
        </is>
      </c>
      <c r="C67" s="14" t="inlineStr">
        <is>
          <t>Renewal</t>
        </is>
      </c>
      <c r="D67" s="14" t="inlineStr">
        <is>
          <t>Drop 1</t>
        </is>
      </c>
      <c r="E67" s="14" t="inlineStr">
        <is>
          <t>Product Owner, Renewal</t>
        </is>
      </c>
      <c r="F67" s="14" t="inlineStr">
        <is>
          <t>Expiring accounts were assigned to you for disposition or processing</t>
        </is>
      </c>
      <c r="G67" s="14" t="inlineStr">
        <is>
          <t>Y</t>
        </is>
      </c>
      <c r="H67" s="14" t="inlineStr">
        <is>
          <t>N</t>
        </is>
      </c>
      <c r="I67" s="14" t="n"/>
      <c r="J67" s="14" t="n"/>
      <c r="K67" s="14" t="n"/>
      <c r="L67" s="14" t="inlineStr">
        <is>
          <t>Not started</t>
        </is>
      </c>
      <c r="M67" s="14" t="n"/>
    </row>
    <row r="68">
      <c r="A68" s="14" t="inlineStr">
        <is>
          <t>RNW_TRANSFER_REQUESTED</t>
        </is>
      </c>
      <c r="B68" s="14" t="inlineStr">
        <is>
          <t>Renewal transfer requested</t>
        </is>
      </c>
      <c r="C68" s="14" t="inlineStr">
        <is>
          <t>Renewal</t>
        </is>
      </c>
      <c r="D68" s="14" t="inlineStr">
        <is>
          <t>Drop 1</t>
        </is>
      </c>
      <c r="E68" s="14" t="inlineStr">
        <is>
          <t>Product Owner, Renewal</t>
        </is>
      </c>
      <c r="F68" s="14" t="inlineStr">
        <is>
          <t>Another Marketing unit transferred an expiring account to your unit</t>
        </is>
      </c>
      <c r="G68" s="14" t="inlineStr">
        <is>
          <t>Y</t>
        </is>
      </c>
      <c r="H68" s="14" t="inlineStr">
        <is>
          <t>Y</t>
        </is>
      </c>
      <c r="I68" s="14" t="n"/>
      <c r="J68" s="14" t="n"/>
      <c r="K68" s="14" t="n"/>
      <c r="L68" s="14" t="inlineStr">
        <is>
          <t>Not started</t>
        </is>
      </c>
      <c r="M68" s="14" t="n"/>
    </row>
    <row r="69">
      <c r="A69" s="14" t="inlineStr">
        <is>
          <t>RNW_TRANSFER_DECIDED</t>
        </is>
      </c>
      <c r="B69" s="14" t="inlineStr">
        <is>
          <t>Renewal transfer decided</t>
        </is>
      </c>
      <c r="C69" s="14" t="inlineStr">
        <is>
          <t>Renewal</t>
        </is>
      </c>
      <c r="D69" s="14" t="inlineStr">
        <is>
          <t>Drop 1</t>
        </is>
      </c>
      <c r="E69" s="14" t="inlineStr">
        <is>
          <t>Product Owner, Renewal</t>
        </is>
      </c>
      <c r="F69" s="14" t="inlineStr">
        <is>
          <t>The receiving unit accepted or declined your transfer of an expiring account</t>
        </is>
      </c>
      <c r="G69" s="14" t="inlineStr">
        <is>
          <t>Y</t>
        </is>
      </c>
      <c r="H69" s="14" t="inlineStr">
        <is>
          <t>N</t>
        </is>
      </c>
      <c r="I69" s="14" t="n"/>
      <c r="J69" s="14" t="n"/>
      <c r="K69" s="14" t="n"/>
      <c r="L69" s="14" t="inlineStr">
        <is>
          <t>Not started</t>
        </is>
      </c>
      <c r="M69" s="14" t="n"/>
    </row>
    <row r="70">
      <c r="A70" s="14" t="inlineStr">
        <is>
          <t>RNW_RETURNED</t>
        </is>
      </c>
      <c r="B70" s="14" t="inlineStr">
        <is>
          <t>Renewal returned</t>
        </is>
      </c>
      <c r="C70" s="14" t="inlineStr">
        <is>
          <t>Renewal</t>
        </is>
      </c>
      <c r="D70" s="14" t="inlineStr">
        <is>
          <t>Drop 1</t>
        </is>
      </c>
      <c r="E70" s="14" t="inlineStr">
        <is>
          <t>Product Owner, Renewal</t>
        </is>
      </c>
      <c r="F70" s="14" t="inlineStr">
        <is>
          <t>An expiring account was returned to you with remarks</t>
        </is>
      </c>
      <c r="G70" s="14" t="inlineStr">
        <is>
          <t>Y</t>
        </is>
      </c>
      <c r="H70" s="14" t="inlineStr">
        <is>
          <t>Y</t>
        </is>
      </c>
      <c r="I70" s="14" t="n"/>
      <c r="J70" s="14" t="n"/>
      <c r="K70" s="14" t="n"/>
      <c r="L70" s="14" t="inlineStr">
        <is>
          <t>Not started</t>
        </is>
      </c>
      <c r="M70" s="14" t="n"/>
    </row>
    <row r="71">
      <c r="A71" s="14" t="inlineStr">
        <is>
          <t>RNW_POSTED</t>
        </is>
      </c>
      <c r="B71" s="14" t="inlineStr">
        <is>
          <t>Renewal posted</t>
        </is>
      </c>
      <c r="C71" s="14" t="inlineStr">
        <is>
          <t>Renewal</t>
        </is>
      </c>
      <c r="D71" s="14" t="inlineStr">
        <is>
          <t>Drop 1</t>
        </is>
      </c>
      <c r="E71" s="14" t="inlineStr">
        <is>
          <t>Product Owner, Renewal</t>
        </is>
      </c>
      <c r="F71" s="14" t="inlineStr">
        <is>
          <t>Dispositioned accounts were posted by the Team Leader</t>
        </is>
      </c>
      <c r="G71" s="14" t="inlineStr">
        <is>
          <t>Y</t>
        </is>
      </c>
      <c r="H71" s="14" t="inlineStr">
        <is>
          <t>N</t>
        </is>
      </c>
      <c r="I71" s="14" t="n"/>
      <c r="J71" s="14" t="n"/>
      <c r="K71" s="14" t="n"/>
      <c r="L71" s="14" t="inlineStr">
        <is>
          <t>Not started</t>
        </is>
      </c>
      <c r="M71" s="14" t="n"/>
    </row>
    <row r="72">
      <c r="A72" s="14" t="inlineStr">
        <is>
          <t>RNW_INSURER_RESPONDED</t>
        </is>
      </c>
      <c r="B72" s="14" t="inlineStr">
        <is>
          <t>Insurer renewal response</t>
        </is>
      </c>
      <c r="C72" s="14" t="inlineStr">
        <is>
          <t>Renewal</t>
        </is>
      </c>
      <c r="D72" s="14" t="inlineStr">
        <is>
          <t>Drop 1</t>
        </is>
      </c>
      <c r="E72" s="14" t="inlineStr">
        <is>
          <t>Product Owner, Renewal</t>
        </is>
      </c>
      <c r="F72" s="14" t="inlineStr">
        <is>
          <t>An insurer answered the renewal of an account you process</t>
        </is>
      </c>
      <c r="G72" s="14" t="inlineStr">
        <is>
          <t>Y</t>
        </is>
      </c>
      <c r="H72" s="14" t="inlineStr">
        <is>
          <t>N</t>
        </is>
      </c>
      <c r="I72" s="14" t="n"/>
      <c r="J72" s="14" t="n"/>
      <c r="K72" s="14" t="n"/>
      <c r="L72" s="14" t="inlineStr">
        <is>
          <t>Not started</t>
        </is>
      </c>
      <c r="M72" s="14" t="n"/>
    </row>
    <row r="73">
      <c r="A73" s="14" t="inlineStr">
        <is>
          <t>RNW_ACCEPTED</t>
        </is>
      </c>
      <c r="B73" s="14" t="inlineStr">
        <is>
          <t>Renewal accepted</t>
        </is>
      </c>
      <c r="C73" s="14" t="inlineStr">
        <is>
          <t>Renewal</t>
        </is>
      </c>
      <c r="D73" s="14" t="inlineStr">
        <is>
          <t>Drop 1</t>
        </is>
      </c>
      <c r="E73" s="14" t="inlineStr">
        <is>
          <t>Product Owner, Renewal</t>
        </is>
      </c>
      <c r="F73" s="14" t="inlineStr">
        <is>
          <t>A client accepted the Renewal Advice of an account of yours</t>
        </is>
      </c>
      <c r="G73" s="14" t="inlineStr">
        <is>
          <t>Y</t>
        </is>
      </c>
      <c r="H73" s="14" t="inlineStr">
        <is>
          <t>N</t>
        </is>
      </c>
      <c r="I73" s="14" t="n"/>
      <c r="J73" s="14" t="n"/>
      <c r="K73" s="14" t="n"/>
      <c r="L73" s="14" t="inlineStr">
        <is>
          <t>Not started</t>
        </is>
      </c>
      <c r="M73" s="14" t="n"/>
    </row>
    <row r="74">
      <c r="A74" s="14" t="inlineStr">
        <is>
          <t>RNW_RENEWED</t>
        </is>
      </c>
      <c r="B74" s="14" t="inlineStr">
        <is>
          <t>Renewal booked</t>
        </is>
      </c>
      <c r="C74" s="14" t="inlineStr">
        <is>
          <t>Renewal</t>
        </is>
      </c>
      <c r="D74" s="14" t="inlineStr">
        <is>
          <t>Drop 1</t>
        </is>
      </c>
      <c r="E74" s="14" t="inlineStr">
        <is>
          <t>Product Owner, Renewal</t>
        </is>
      </c>
      <c r="F74" s="14" t="inlineStr">
        <is>
          <t>The renewal of an account of yours was booked</t>
        </is>
      </c>
      <c r="G74" s="14" t="inlineStr">
        <is>
          <t>Y</t>
        </is>
      </c>
      <c r="H74" s="14" t="inlineStr">
        <is>
          <t>N</t>
        </is>
      </c>
      <c r="I74" s="14" t="n"/>
      <c r="J74" s="14" t="n"/>
      <c r="K74" s="14" t="n"/>
      <c r="L74" s="14" t="inlineStr">
        <is>
          <t>Not started</t>
        </is>
      </c>
      <c r="M74" s="14" t="n"/>
    </row>
    <row r="75">
      <c r="A75" s="14" t="inlineStr">
        <is>
          <t>RNW_GOLIVE_COMPLETED</t>
        </is>
      </c>
      <c r="B75" s="14" t="inlineStr">
        <is>
          <t>Go-live renewal extraction completed</t>
        </is>
      </c>
      <c r="C75" s="14" t="inlineStr">
        <is>
          <t>Renewal</t>
        </is>
      </c>
      <c r="D75" s="14" t="inlineStr">
        <is>
          <t>Drop 1</t>
        </is>
      </c>
      <c r="E75" s="14" t="inlineStr">
        <is>
          <t>Product Owner, Renewal</t>
        </is>
      </c>
      <c r="F75" s="14" t="inlineStr">
        <is>
          <t>The expiring migrated policies of the go-live window were taken over as renewals</t>
        </is>
      </c>
      <c r="G75" s="14" t="inlineStr">
        <is>
          <t>Y</t>
        </is>
      </c>
      <c r="H75" s="14" t="inlineStr">
        <is>
          <t>Y</t>
        </is>
      </c>
      <c r="I75" s="14" t="n"/>
      <c r="J75" s="14" t="n"/>
      <c r="K75" s="14" t="n"/>
      <c r="L75" s="14" t="inlineStr">
        <is>
          <t>Not started</t>
        </is>
      </c>
      <c r="M75" s="14" t="n"/>
    </row>
    <row r="76">
      <c r="A76" s="14" t="inlineStr">
        <is>
          <t>RNW_PACKAGE_DECIDED</t>
        </is>
      </c>
      <c r="B76" s="14" t="inlineStr">
        <is>
          <t>Renewal package choice decided</t>
        </is>
      </c>
      <c r="C76" s="14" t="inlineStr">
        <is>
          <t>Renewal</t>
        </is>
      </c>
      <c r="D76" s="14" t="inlineStr">
        <is>
          <t>Drop 1</t>
        </is>
      </c>
      <c r="E76" s="14" t="inlineStr">
        <is>
          <t>Product Owner, Renewal</t>
        </is>
      </c>
      <c r="F76" s="14" t="inlineStr">
        <is>
          <t>Your choice of the package version of a migrated policy was approved or rejected</t>
        </is>
      </c>
      <c r="G76" s="14" t="inlineStr">
        <is>
          <t>Y</t>
        </is>
      </c>
      <c r="H76" s="14" t="inlineStr">
        <is>
          <t>N</t>
        </is>
      </c>
      <c r="I76" s="14" t="n"/>
      <c r="J76" s="14" t="n"/>
      <c r="K76" s="14" t="n"/>
      <c r="L76" s="14" t="inlineStr">
        <is>
          <t>Not started</t>
        </is>
      </c>
      <c r="M76" s="14" t="n"/>
    </row>
    <row r="77">
      <c r="A77" s="14" t="inlineStr">
        <is>
          <t>RNW_PLACEMENT_FAILED</t>
        </is>
      </c>
      <c r="B77" s="14" t="inlineStr">
        <is>
          <t>Renewal placement not sent</t>
        </is>
      </c>
      <c r="C77" s="14" t="inlineStr">
        <is>
          <t>Renewal</t>
        </is>
      </c>
      <c r="D77" s="14" t="inlineStr">
        <is>
          <t>Drop 1</t>
        </is>
      </c>
      <c r="E77" s="14" t="inlineStr">
        <is>
          <t>Product Owner, Renewal</t>
        </is>
      </c>
      <c r="F77" s="14" t="inlineStr">
        <is>
          <t>The placement file of an account you process could not be uploaded or sent to the insurer</t>
        </is>
      </c>
      <c r="G77" s="14" t="inlineStr">
        <is>
          <t>Y</t>
        </is>
      </c>
      <c r="H77" s="14" t="inlineStr">
        <is>
          <t>Y</t>
        </is>
      </c>
      <c r="I77" s="14" t="n"/>
      <c r="J77" s="14" t="n"/>
      <c r="K77" s="14" t="n"/>
      <c r="L77" s="14" t="inlineStr">
        <is>
          <t>Not started</t>
        </is>
      </c>
      <c r="M77" s="14" t="n"/>
    </row>
    <row r="78">
      <c r="A78" s="14" t="inlineStr">
        <is>
          <t>RNW_PLACEMENT_RESPONDED</t>
        </is>
      </c>
      <c r="B78" s="14" t="inlineStr">
        <is>
          <t>Renewal placement response</t>
        </is>
      </c>
      <c r="C78" s="14" t="inlineStr">
        <is>
          <t>Renewal</t>
        </is>
      </c>
      <c r="D78" s="14" t="inlineStr">
        <is>
          <t>Drop 1</t>
        </is>
      </c>
      <c r="E78" s="14" t="inlineStr">
        <is>
          <t>Product Owner, Renewal</t>
        </is>
      </c>
      <c r="F78" s="14" t="inlineStr">
        <is>
          <t>An insurer approved or rejected the placement of an account you process</t>
        </is>
      </c>
      <c r="G78" s="14" t="inlineStr">
        <is>
          <t>Y</t>
        </is>
      </c>
      <c r="H78" s="14" t="inlineStr">
        <is>
          <t>N</t>
        </is>
      </c>
      <c r="I78" s="14" t="n"/>
      <c r="J78" s="14" t="n"/>
      <c r="K78" s="14" t="n"/>
      <c r="L78" s="14" t="inlineStr">
        <is>
          <t>Not started</t>
        </is>
      </c>
      <c r="M78" s="14" t="n"/>
    </row>
    <row r="79">
      <c r="A79" s="14" t="inlineStr">
        <is>
          <t>SCR_CASE_ASSIGNED</t>
        </is>
      </c>
      <c r="B79" s="14" t="inlineStr">
        <is>
          <t>Screening case assigned</t>
        </is>
      </c>
      <c r="C79" s="14" t="inlineStr">
        <is>
          <t>Sanction Screening</t>
        </is>
      </c>
      <c r="D79" s="14" t="inlineStr">
        <is>
          <t>Drop 1</t>
        </is>
      </c>
      <c r="E79" s="14" t="inlineStr">
        <is>
          <t>Compliance</t>
        </is>
      </c>
      <c r="F79" s="14" t="inlineStr">
        <is>
          <t>A screening case was assigned or re-assigned to you</t>
        </is>
      </c>
      <c r="G79" s="14" t="inlineStr">
        <is>
          <t>Y</t>
        </is>
      </c>
      <c r="H79" s="14" t="inlineStr">
        <is>
          <t>Y</t>
        </is>
      </c>
      <c r="I79" s="14" t="n"/>
      <c r="J79" s="14" t="n"/>
      <c r="K79" s="14" t="n"/>
      <c r="L79" s="14" t="inlineStr">
        <is>
          <t>Not started</t>
        </is>
      </c>
      <c r="M79" s="14" t="n"/>
    </row>
    <row r="80">
      <c r="A80" s="14" t="inlineStr">
        <is>
          <t>SCR_CASE_FOR_APPROVAL</t>
        </is>
      </c>
      <c r="B80" s="14" t="inlineStr">
        <is>
          <t>Screening case for approval</t>
        </is>
      </c>
      <c r="C80" s="14" t="inlineStr">
        <is>
          <t>Sanction Screening</t>
        </is>
      </c>
      <c r="D80" s="14" t="inlineStr">
        <is>
          <t>Drop 1</t>
        </is>
      </c>
      <c r="E80" s="14" t="inlineStr">
        <is>
          <t>Compliance</t>
        </is>
      </c>
      <c r="F80" s="14" t="inlineStr">
        <is>
          <t>A screening case waits for your approval</t>
        </is>
      </c>
      <c r="G80" s="14" t="inlineStr">
        <is>
          <t>Y</t>
        </is>
      </c>
      <c r="H80" s="14" t="inlineStr">
        <is>
          <t>Y</t>
        </is>
      </c>
      <c r="I80" s="14" t="n"/>
      <c r="J80" s="14" t="n"/>
      <c r="K80" s="14" t="n"/>
      <c r="L80" s="14" t="inlineStr">
        <is>
          <t>Not started</t>
        </is>
      </c>
      <c r="M80" s="14" t="n"/>
    </row>
    <row r="81">
      <c r="A81" s="14" t="inlineStr">
        <is>
          <t>SCR_CASE_RETURNED</t>
        </is>
      </c>
      <c r="B81" s="14" t="inlineStr">
        <is>
          <t>Screening case returned</t>
        </is>
      </c>
      <c r="C81" s="14" t="inlineStr">
        <is>
          <t>Sanction Screening</t>
        </is>
      </c>
      <c r="D81" s="14" t="inlineStr">
        <is>
          <t>Drop 1</t>
        </is>
      </c>
      <c r="E81" s="14" t="inlineStr">
        <is>
          <t>Compliance</t>
        </is>
      </c>
      <c r="F81" s="14" t="inlineStr">
        <is>
          <t>A screening case was returned to you with a rationale</t>
        </is>
      </c>
      <c r="G81" s="14" t="inlineStr">
        <is>
          <t>Y</t>
        </is>
      </c>
      <c r="H81" s="14" t="inlineStr">
        <is>
          <t>Y</t>
        </is>
      </c>
      <c r="I81" s="14" t="n"/>
      <c r="J81" s="14" t="n"/>
      <c r="K81" s="14" t="n"/>
      <c r="L81" s="14" t="inlineStr">
        <is>
          <t>Not started</t>
        </is>
      </c>
      <c r="M81" s="14" t="n"/>
    </row>
    <row r="82">
      <c r="A82" s="14" t="inlineStr">
        <is>
          <t>SCR_COMMITTEE_REVIEW</t>
        </is>
      </c>
      <c r="B82" s="14" t="inlineStr">
        <is>
          <t>AML Committee review</t>
        </is>
      </c>
      <c r="C82" s="14" t="inlineStr">
        <is>
          <t>Sanction Screening</t>
        </is>
      </c>
      <c r="D82" s="14" t="inlineStr">
        <is>
          <t>Drop 1</t>
        </is>
      </c>
      <c r="E82" s="14" t="inlineStr">
        <is>
          <t>Compliance</t>
        </is>
      </c>
      <c r="F82" s="14" t="inlineStr">
        <is>
          <t>A screening case waits for the vote of the AML Committee</t>
        </is>
      </c>
      <c r="G82" s="14" t="inlineStr">
        <is>
          <t>Y</t>
        </is>
      </c>
      <c r="H82" s="14" t="inlineStr">
        <is>
          <t>Y</t>
        </is>
      </c>
      <c r="I82" s="14" t="n"/>
      <c r="J82" s="14" t="n"/>
      <c r="K82" s="14" t="n"/>
      <c r="L82" s="14" t="inlineStr">
        <is>
          <t>Not started</t>
        </is>
      </c>
      <c r="M82" s="14" t="n"/>
    </row>
    <row r="83">
      <c r="A83" s="14" t="inlineStr">
        <is>
          <t>SCR_SLA_REMINDER</t>
        </is>
      </c>
      <c r="B83" s="14" t="inlineStr">
        <is>
          <t>Screening SLA reminder</t>
        </is>
      </c>
      <c r="C83" s="14" t="inlineStr">
        <is>
          <t>Sanction Screening</t>
        </is>
      </c>
      <c r="D83" s="14" t="inlineStr">
        <is>
          <t>Drop 1</t>
        </is>
      </c>
      <c r="E83" s="14" t="inlineStr">
        <is>
          <t>Compliance</t>
        </is>
      </c>
      <c r="F83" s="14" t="inlineStr">
        <is>
          <t>A screening case of yours is about to pass its SLA</t>
        </is>
      </c>
      <c r="G83" s="14" t="inlineStr">
        <is>
          <t>Y</t>
        </is>
      </c>
      <c r="H83" s="14" t="inlineStr">
        <is>
          <t>Y</t>
        </is>
      </c>
      <c r="I83" s="14" t="n"/>
      <c r="J83" s="14" t="n"/>
      <c r="K83" s="14" t="n"/>
      <c r="L83" s="14" t="inlineStr">
        <is>
          <t>Not started</t>
        </is>
      </c>
      <c r="M83" s="14" t="n"/>
    </row>
    <row r="84">
      <c r="A84" s="14" t="inlineStr">
        <is>
          <t>SCR_SLA_ESCALATION</t>
        </is>
      </c>
      <c r="B84" s="14" t="inlineStr">
        <is>
          <t>Screening SLA escalation</t>
        </is>
      </c>
      <c r="C84" s="14" t="inlineStr">
        <is>
          <t>Sanction Screening</t>
        </is>
      </c>
      <c r="D84" s="14" t="inlineStr">
        <is>
          <t>Drop 1</t>
        </is>
      </c>
      <c r="E84" s="14" t="inlineStr">
        <is>
          <t>Compliance</t>
        </is>
      </c>
      <c r="F84" s="14" t="inlineStr">
        <is>
          <t>A screening case passed its SLA and is escalated to you</t>
        </is>
      </c>
      <c r="G84" s="14" t="inlineStr">
        <is>
          <t>Y</t>
        </is>
      </c>
      <c r="H84" s="14" t="inlineStr">
        <is>
          <t>Y</t>
        </is>
      </c>
      <c r="I84" s="14" t="n"/>
      <c r="J84" s="14" t="n"/>
      <c r="K84" s="14" t="n"/>
      <c r="L84" s="14" t="inlineStr">
        <is>
          <t>Not started</t>
        </is>
      </c>
      <c r="M84" s="14" t="n"/>
    </row>
    <row r="85">
      <c r="A85" s="14" t="inlineStr">
        <is>
          <t>SCR_DOCUMENT_REMINDER</t>
        </is>
      </c>
      <c r="B85" s="14" t="inlineStr">
        <is>
          <t>Screening document reminder</t>
        </is>
      </c>
      <c r="C85" s="14" t="inlineStr">
        <is>
          <t>Sanction Screening</t>
        </is>
      </c>
      <c r="D85" s="14" t="inlineStr">
        <is>
          <t>Drop 1</t>
        </is>
      </c>
      <c r="E85" s="14" t="inlineStr">
        <is>
          <t>Compliance</t>
        </is>
      </c>
      <c r="F85" s="14" t="inlineStr">
        <is>
          <t>Documents of a screening case are still missing</t>
        </is>
      </c>
      <c r="G85" s="14" t="inlineStr">
        <is>
          <t>Y</t>
        </is>
      </c>
      <c r="H85" s="14" t="inlineStr">
        <is>
          <t>N</t>
        </is>
      </c>
      <c r="I85" s="14" t="n"/>
      <c r="J85" s="14" t="n"/>
      <c r="K85" s="14" t="n"/>
      <c r="L85" s="14" t="inlineStr">
        <is>
          <t>Not started</t>
        </is>
      </c>
      <c r="M85" s="14" t="n"/>
    </row>
    <row r="86">
      <c r="A86" s="14" t="inlineStr">
        <is>
          <t>SCR_NO_POLICY_HIT</t>
        </is>
      </c>
      <c r="B86" s="14" t="inlineStr">
        <is>
          <t>Screening hit without active policy</t>
        </is>
      </c>
      <c r="C86" s="14" t="inlineStr">
        <is>
          <t>Sanction Screening</t>
        </is>
      </c>
      <c r="D86" s="14" t="inlineStr">
        <is>
          <t>Drop 1</t>
        </is>
      </c>
      <c r="E86" s="14" t="inlineStr">
        <is>
          <t>Compliance</t>
        </is>
      </c>
      <c r="F86" s="14" t="inlineStr">
        <is>
          <t>A high-risk or PEP client without an active policy was found</t>
        </is>
      </c>
      <c r="G86" s="14" t="inlineStr">
        <is>
          <t>Y</t>
        </is>
      </c>
      <c r="H86" s="14" t="inlineStr">
        <is>
          <t>N</t>
        </is>
      </c>
      <c r="I86" s="14" t="n"/>
      <c r="J86" s="14" t="n"/>
      <c r="K86" s="14" t="n"/>
      <c r="L86" s="14" t="inlineStr">
        <is>
          <t>Not started</t>
        </is>
      </c>
      <c r="M86" s="14" t="n"/>
    </row>
    <row r="87">
      <c r="A87" s="14" t="inlineStr">
        <is>
          <t>SCR_CONFIG_TO_APPROVE</t>
        </is>
      </c>
      <c r="B87" s="14" t="inlineStr">
        <is>
          <t>Screening configuration to approve</t>
        </is>
      </c>
      <c r="C87" s="14" t="inlineStr">
        <is>
          <t>Sanction Screening</t>
        </is>
      </c>
      <c r="D87" s="14" t="inlineStr">
        <is>
          <t>Drop 1</t>
        </is>
      </c>
      <c r="E87" s="14" t="inlineStr">
        <is>
          <t>Compliance</t>
        </is>
      </c>
      <c r="F87" s="14" t="inlineStr">
        <is>
          <t>A screening configuration version waits for your approval</t>
        </is>
      </c>
      <c r="G87" s="14" t="inlineStr">
        <is>
          <t>Y</t>
        </is>
      </c>
      <c r="H87" s="14" t="inlineStr">
        <is>
          <t>N</t>
        </is>
      </c>
      <c r="I87" s="14" t="n"/>
      <c r="J87" s="14" t="n"/>
      <c r="K87" s="14" t="n"/>
      <c r="L87" s="14" t="inlineStr">
        <is>
          <t>Not started</t>
        </is>
      </c>
      <c r="M87" s="14" t="n"/>
    </row>
    <row r="88">
      <c r="A88" s="14" t="inlineStr">
        <is>
          <t>SCR_LIST_CHANGE_TO_APPROVE</t>
        </is>
      </c>
      <c r="B88" s="14" t="inlineStr">
        <is>
          <t>Watchlist change to approve</t>
        </is>
      </c>
      <c r="C88" s="14" t="inlineStr">
        <is>
          <t>Sanction Screening</t>
        </is>
      </c>
      <c r="D88" s="14" t="inlineStr">
        <is>
          <t>Drop 1</t>
        </is>
      </c>
      <c r="E88" s="14" t="inlineStr">
        <is>
          <t>Compliance</t>
        </is>
      </c>
      <c r="F88" s="14" t="inlineStr">
        <is>
          <t>A watchlist change waits for your approval</t>
        </is>
      </c>
      <c r="G88" s="14" t="inlineStr">
        <is>
          <t>Y</t>
        </is>
      </c>
      <c r="H88" s="14" t="inlineStr">
        <is>
          <t>N</t>
        </is>
      </c>
      <c r="I88" s="14" t="n"/>
      <c r="J88" s="14" t="n"/>
      <c r="K88" s="14" t="n"/>
      <c r="L88" s="14" t="inlineStr">
        <is>
          <t>Not started</t>
        </is>
      </c>
      <c r="M88" s="14" t="n"/>
    </row>
    <row r="89">
      <c r="A89" s="14" t="inlineStr">
        <is>
          <t>FILE_QUARANTINED</t>
        </is>
      </c>
      <c r="B89" s="14" t="inlineStr">
        <is>
          <t>File quarantined</t>
        </is>
      </c>
      <c r="C89" s="14" t="inlineStr">
        <is>
          <t>Platform set-up</t>
        </is>
      </c>
      <c r="D89" s="14" t="inlineStr">
        <is>
          <t>Drop 0</t>
        </is>
      </c>
      <c r="E89" s="14" t="inlineStr">
        <is>
          <t>BDOI IT</t>
        </is>
      </c>
      <c r="F89" s="14" t="inlineStr">
        <is>
          <t>A file you uploaded, or one you review as security officer, was quarantined by the malware scan</t>
        </is>
      </c>
      <c r="G89" s="14" t="inlineStr">
        <is>
          <t>Y</t>
        </is>
      </c>
      <c r="H89" s="14" t="inlineStr">
        <is>
          <t>Y</t>
        </is>
      </c>
      <c r="I89" s="14" t="n"/>
      <c r="J89" s="14" t="n"/>
      <c r="K89" s="14" t="n"/>
      <c r="L89" s="14" t="inlineStr">
        <is>
          <t>Not started</t>
        </is>
      </c>
      <c r="M89" s="14" t="n"/>
    </row>
    <row r="90">
      <c r="A90" s="14" t="inlineStr">
        <is>
          <t>SBM_NEW_SUBMISSION</t>
        </is>
      </c>
      <c r="B90" s="14" t="inlineStr">
        <is>
          <t>New submitted policies</t>
        </is>
      </c>
      <c r="C90" s="14" t="inlineStr">
        <is>
          <t>Submitted Policies</t>
        </is>
      </c>
      <c r="D90" s="14" t="inlineStr">
        <is>
          <t>Drop 1</t>
        </is>
      </c>
      <c r="E90" s="14" t="inlineStr">
        <is>
          <t>Product Owner, Submitted Policies</t>
        </is>
      </c>
      <c r="F90" s="14" t="inlineStr">
        <is>
          <t>Submitted policies were loaded from a source file</t>
        </is>
      </c>
      <c r="G90" s="14" t="inlineStr">
        <is>
          <t>Y</t>
        </is>
      </c>
      <c r="H90" s="14" t="inlineStr">
        <is>
          <t>N</t>
        </is>
      </c>
      <c r="I90" s="14" t="n"/>
      <c r="J90" s="14" t="n"/>
      <c r="K90" s="14" t="n"/>
      <c r="L90" s="14" t="inlineStr">
        <is>
          <t>Not started</t>
        </is>
      </c>
      <c r="M90" s="14" t="n"/>
    </row>
    <row r="91">
      <c r="A91" s="14" t="inlineStr">
        <is>
          <t>SBM_MANUAL_VALIDATION</t>
        </is>
      </c>
      <c r="B91" s="14" t="inlineStr">
        <is>
          <t>Policy document to confirm</t>
        </is>
      </c>
      <c r="C91" s="14" t="inlineStr">
        <is>
          <t>Submitted Policies</t>
        </is>
      </c>
      <c r="D91" s="14" t="inlineStr">
        <is>
          <t>Drop 1</t>
        </is>
      </c>
      <c r="E91" s="14" t="inlineStr">
        <is>
          <t>Product Owner, Submitted Policies</t>
        </is>
      </c>
      <c r="F91" s="14" t="inlineStr">
        <is>
          <t>A submitted policy document waits for the confirmation of its details</t>
        </is>
      </c>
      <c r="G91" s="14" t="inlineStr">
        <is>
          <t>Y</t>
        </is>
      </c>
      <c r="H91" s="14" t="inlineStr">
        <is>
          <t>N</t>
        </is>
      </c>
      <c r="I91" s="14" t="n"/>
      <c r="J91" s="14" t="n"/>
      <c r="K91" s="14" t="n"/>
      <c r="L91" s="14" t="inlineStr">
        <is>
          <t>Not started</t>
        </is>
      </c>
      <c r="M91" s="14" t="n"/>
    </row>
    <row r="92">
      <c r="A92" s="14" t="inlineStr">
        <is>
          <t>SBM_IAAF_PENDING</t>
        </is>
      </c>
      <c r="B92" s="14" t="inlineStr">
        <is>
          <t>IAAF to approve</t>
        </is>
      </c>
      <c r="C92" s="14" t="inlineStr">
        <is>
          <t>Submitted Policies</t>
        </is>
      </c>
      <c r="D92" s="14" t="inlineStr">
        <is>
          <t>Drop 1</t>
        </is>
      </c>
      <c r="E92" s="14" t="inlineStr">
        <is>
          <t>Product Owner, Submitted Policies</t>
        </is>
      </c>
      <c r="F92" s="14" t="inlineStr">
        <is>
          <t>An IAAF waits for your approval</t>
        </is>
      </c>
      <c r="G92" s="14" t="inlineStr">
        <is>
          <t>Y</t>
        </is>
      </c>
      <c r="H92" s="14" t="inlineStr">
        <is>
          <t>Y</t>
        </is>
      </c>
      <c r="I92" s="14" t="n"/>
      <c r="J92" s="14" t="n"/>
      <c r="K92" s="14" t="n"/>
      <c r="L92" s="14" t="inlineStr">
        <is>
          <t>Not started</t>
        </is>
      </c>
      <c r="M92" s="14" t="n"/>
    </row>
    <row r="93">
      <c r="A93" s="14" t="inlineStr">
        <is>
          <t>SBM_TOR_PENDING</t>
        </is>
      </c>
      <c r="B93" s="14" t="inlineStr">
        <is>
          <t>TOR to approve</t>
        </is>
      </c>
      <c r="C93" s="14" t="inlineStr">
        <is>
          <t>Submitted Policies</t>
        </is>
      </c>
      <c r="D93" s="14" t="inlineStr">
        <is>
          <t>Drop 1</t>
        </is>
      </c>
      <c r="E93" s="14" t="inlineStr">
        <is>
          <t>Product Owner, Submitted Policies</t>
        </is>
      </c>
      <c r="F93" s="14" t="inlineStr">
        <is>
          <t>A Terms of Reference waits for your approval</t>
        </is>
      </c>
      <c r="G93" s="14" t="inlineStr">
        <is>
          <t>Y</t>
        </is>
      </c>
      <c r="H93" s="14" t="inlineStr">
        <is>
          <t>Y</t>
        </is>
      </c>
      <c r="I93" s="14" t="n"/>
      <c r="J93" s="14" t="n"/>
      <c r="K93" s="14" t="n"/>
      <c r="L93" s="14" t="inlineStr">
        <is>
          <t>Not started</t>
        </is>
      </c>
      <c r="M93" s="14" t="n"/>
    </row>
    <row r="94">
      <c r="A94" s="14" t="inlineStr">
        <is>
          <t>SBM_TOR_RELEASED</t>
        </is>
      </c>
      <c r="B94" s="14" t="inlineStr">
        <is>
          <t>TOR approved</t>
        </is>
      </c>
      <c r="C94" s="14" t="inlineStr">
        <is>
          <t>Submitted Policies</t>
        </is>
      </c>
      <c r="D94" s="14" t="inlineStr">
        <is>
          <t>Drop 1</t>
        </is>
      </c>
      <c r="E94" s="14" t="inlineStr">
        <is>
          <t>Product Owner, Submitted Policies</t>
        </is>
      </c>
      <c r="F94" s="14" t="inlineStr">
        <is>
          <t>The Terms of Reference of your account was approved; open or download it</t>
        </is>
      </c>
      <c r="G94" s="14" t="inlineStr">
        <is>
          <t>Y</t>
        </is>
      </c>
      <c r="H94" s="14" t="inlineStr">
        <is>
          <t>Y</t>
        </is>
      </c>
      <c r="I94" s="14" t="n"/>
      <c r="J94" s="14" t="n"/>
      <c r="K94" s="14" t="n"/>
      <c r="L94" s="14" t="inlineStr">
        <is>
          <t>Not started</t>
        </is>
      </c>
      <c r="M94" s="14" t="n"/>
    </row>
    <row r="95">
      <c r="A95" s="14" t="inlineStr">
        <is>
          <t>SBM_BUCKET_CHANGED</t>
        </is>
      </c>
      <c r="B95" s="14" t="inlineStr">
        <is>
          <t>Submitted policy bucket changed</t>
        </is>
      </c>
      <c r="C95" s="14" t="inlineStr">
        <is>
          <t>Submitted Policies</t>
        </is>
      </c>
      <c r="D95" s="14" t="inlineStr">
        <is>
          <t>Drop 1</t>
        </is>
      </c>
      <c r="E95" s="14" t="inlineStr">
        <is>
          <t>Product Owner, Submitted Policies</t>
        </is>
      </c>
      <c r="F95" s="14" t="inlineStr">
        <is>
          <t>Submitted policies moved to the renewal, manual disposition or non-renewal buckets</t>
        </is>
      </c>
      <c r="G95" s="14" t="inlineStr">
        <is>
          <t>Y</t>
        </is>
      </c>
      <c r="H95" s="14" t="inlineStr">
        <is>
          <t>N</t>
        </is>
      </c>
      <c r="I95" s="14" t="n"/>
      <c r="J95" s="14" t="n"/>
      <c r="K95" s="14" t="n"/>
      <c r="L95" s="14" t="inlineStr">
        <is>
          <t>Not started</t>
        </is>
      </c>
      <c r="M95" s="14" t="n"/>
    </row>
    <row r="96">
      <c r="A96" s="14" t="inlineStr">
        <is>
          <t>SBM_FALLOUT</t>
        </is>
      </c>
      <c r="B96" s="14" t="inlineStr">
        <is>
          <t>Submitted policies fallout</t>
        </is>
      </c>
      <c r="C96" s="14" t="inlineStr">
        <is>
          <t>Submitted Policies</t>
        </is>
      </c>
      <c r="D96" s="14" t="inlineStr">
        <is>
          <t>Drop 1</t>
        </is>
      </c>
      <c r="E96" s="14" t="inlineStr">
        <is>
          <t>Product Owner, Submitted Policies</t>
        </is>
      </c>
      <c r="F96" s="14" t="inlineStr">
        <is>
          <t>A processing run ended with fallout to resolve</t>
        </is>
      </c>
      <c r="G96" s="14" t="inlineStr">
        <is>
          <t>Y</t>
        </is>
      </c>
      <c r="H96" s="14" t="inlineStr">
        <is>
          <t>N</t>
        </is>
      </c>
      <c r="I96" s="14" t="n"/>
      <c r="J96" s="14" t="n"/>
      <c r="K96" s="14" t="n"/>
      <c r="L96" s="14" t="inlineStr">
        <is>
          <t>Not started</t>
        </is>
      </c>
      <c r="M96" s="14" t="n"/>
    </row>
    <row r="97">
      <c r="A97" s="14" t="inlineStr">
        <is>
          <t>SBM_EXPIRY_NEAR</t>
        </is>
      </c>
      <c r="B97" s="14" t="inlineStr">
        <is>
          <t>Submitted policy nearing expiry</t>
        </is>
      </c>
      <c r="C97" s="14" t="inlineStr">
        <is>
          <t>Submitted Policies</t>
        </is>
      </c>
      <c r="D97" s="14" t="inlineStr">
        <is>
          <t>Drop 1</t>
        </is>
      </c>
      <c r="E97" s="14" t="inlineStr">
        <is>
          <t>Product Owner, Submitted Policies</t>
        </is>
      </c>
      <c r="F97" s="14" t="inlineStr">
        <is>
          <t>A submitted policy for renewal is within the renewal lead days</t>
        </is>
      </c>
      <c r="G97" s="14" t="inlineStr">
        <is>
          <t>Y</t>
        </is>
      </c>
      <c r="H97" s="14" t="inlineStr">
        <is>
          <t>N</t>
        </is>
      </c>
      <c r="I97" s="14" t="n"/>
      <c r="J97" s="14" t="n"/>
      <c r="K97" s="14" t="n"/>
      <c r="L97" s="14" t="inlineStr">
        <is>
          <t>Not started</t>
        </is>
      </c>
      <c r="M97" s="14" t="n"/>
    </row>
    <row r="98">
      <c r="A98" s="14" t="inlineStr">
        <is>
          <t>SBM_RENEWAL_STARTED</t>
        </is>
      </c>
      <c r="B98" s="14" t="inlineStr">
        <is>
          <t>Renewal of a submitted policy started</t>
        </is>
      </c>
      <c r="C98" s="14" t="inlineStr">
        <is>
          <t>Submitted Policies</t>
        </is>
      </c>
      <c r="D98" s="14" t="inlineStr">
        <is>
          <t>Drop 1</t>
        </is>
      </c>
      <c r="E98" s="14" t="inlineStr">
        <is>
          <t>Product Owner, Submitted Policies</t>
        </is>
      </c>
      <c r="F98" s="14" t="inlineStr">
        <is>
          <t>A submitted policy was handed to Renewal</t>
        </is>
      </c>
      <c r="G98" s="14" t="inlineStr">
        <is>
          <t>Y</t>
        </is>
      </c>
      <c r="H98" s="14" t="inlineStr">
        <is>
          <t>N</t>
        </is>
      </c>
      <c r="I98" s="14" t="n"/>
      <c r="J98" s="14" t="n"/>
      <c r="K98" s="14" t="n"/>
      <c r="L98" s="14" t="inlineStr">
        <is>
          <t>Not started</t>
        </is>
      </c>
      <c r="M98" s="14" t="n"/>
    </row>
    <row r="99">
      <c r="A99" s="14" t="inlineStr">
        <is>
          <t>SBM_PLACEMENT_READY</t>
        </is>
      </c>
      <c r="B99" s="14" t="inlineStr">
        <is>
          <t>Submitted policy renewal ready for placement</t>
        </is>
      </c>
      <c r="C99" s="14" t="inlineStr">
        <is>
          <t>Submitted Policies</t>
        </is>
      </c>
      <c r="D99" s="14" t="inlineStr">
        <is>
          <t>Drop 1</t>
        </is>
      </c>
      <c r="E99" s="14" t="inlineStr">
        <is>
          <t>Product Owner, Submitted Policies</t>
        </is>
      </c>
      <c r="F99" s="14" t="inlineStr">
        <is>
          <t>The renewal account of a submitted policy is ready for placement</t>
        </is>
      </c>
      <c r="G99" s="14" t="inlineStr">
        <is>
          <t>Y</t>
        </is>
      </c>
      <c r="H99" s="14" t="inlineStr">
        <is>
          <t>N</t>
        </is>
      </c>
      <c r="I99" s="14" t="n"/>
      <c r="J99" s="14" t="n"/>
      <c r="K99" s="14" t="n"/>
      <c r="L99" s="14" t="inlineStr">
        <is>
          <t>Not started</t>
        </is>
      </c>
      <c r="M99" s="14" t="n"/>
    </row>
    <row r="100">
      <c r="A100" s="14" t="inlineStr">
        <is>
          <t>SBM_PLACEMENT_SENT</t>
        </is>
      </c>
      <c r="B100" s="14" t="inlineStr">
        <is>
          <t>Submitted policy renewal placed</t>
        </is>
      </c>
      <c r="C100" s="14" t="inlineStr">
        <is>
          <t>Submitted Policies</t>
        </is>
      </c>
      <c r="D100" s="14" t="inlineStr">
        <is>
          <t>Drop 1</t>
        </is>
      </c>
      <c r="E100" s="14" t="inlineStr">
        <is>
          <t>Product Owner, Submitted Policies</t>
        </is>
      </c>
      <c r="F100" s="14" t="inlineStr">
        <is>
          <t>The placement slip of a submitted policy renewal was sent to the insurer</t>
        </is>
      </c>
      <c r="G100" s="14" t="inlineStr">
        <is>
          <t>Y</t>
        </is>
      </c>
      <c r="H100" s="14" t="inlineStr">
        <is>
          <t>N</t>
        </is>
      </c>
      <c r="I100" s="14" t="n"/>
      <c r="J100" s="14" t="n"/>
      <c r="K100" s="14" t="n"/>
      <c r="L100" s="14" t="inlineStr">
        <is>
          <t>Not started</t>
        </is>
      </c>
      <c r="M100" s="14" t="n"/>
    </row>
    <row r="101">
      <c r="A101" s="14" t="inlineStr">
        <is>
          <t>SBM_HOLD_COVER_UNBOOKED</t>
        </is>
      </c>
      <c r="B101" s="14" t="inlineStr">
        <is>
          <t>Hold cover of an unbooked renewal</t>
        </is>
      </c>
      <c r="C101" s="14" t="inlineStr">
        <is>
          <t>Submitted Policies</t>
        </is>
      </c>
      <c r="D101" s="14" t="inlineStr">
        <is>
          <t>Drop 1</t>
        </is>
      </c>
      <c r="E101" s="14" t="inlineStr">
        <is>
          <t>Product Owner, Submitted Policies</t>
        </is>
      </c>
      <c r="F101" s="14" t="inlineStr">
        <is>
          <t>A hold cover ends soon and the renewal account is not booked</t>
        </is>
      </c>
      <c r="G101" s="14" t="inlineStr">
        <is>
          <t>Y</t>
        </is>
      </c>
      <c r="H101" s="14" t="inlineStr">
        <is>
          <t>Y</t>
        </is>
      </c>
      <c r="I101" s="14" t="n"/>
      <c r="J101" s="14" t="n"/>
      <c r="K101" s="14" t="n"/>
      <c r="L101" s="14" t="inlineStr">
        <is>
          <t>Not started</t>
        </is>
      </c>
      <c r="M101" s="14" t="n"/>
    </row>
    <row r="102">
      <c r="A102" s="14" t="inlineStr">
        <is>
          <t>SBM_HANDLER_ASSIGNED</t>
        </is>
      </c>
      <c r="B102" s="14" t="inlineStr">
        <is>
          <t>Submitted policy assigned</t>
        </is>
      </c>
      <c r="C102" s="14" t="inlineStr">
        <is>
          <t>Submitted Policies</t>
        </is>
      </c>
      <c r="D102" s="14" t="inlineStr">
        <is>
          <t>Drop 1</t>
        </is>
      </c>
      <c r="E102" s="14" t="inlineStr">
        <is>
          <t>Product Owner, Submitted Policies</t>
        </is>
      </c>
      <c r="F102" s="14" t="inlineStr">
        <is>
          <t>Submitted policies were assigned to you</t>
        </is>
      </c>
      <c r="G102" s="14" t="inlineStr">
        <is>
          <t>Y</t>
        </is>
      </c>
      <c r="H102" s="14" t="inlineStr">
        <is>
          <t>N</t>
        </is>
      </c>
      <c r="I102" s="14" t="n"/>
      <c r="J102" s="14" t="n"/>
      <c r="K102" s="14" t="n"/>
      <c r="L102" s="14" t="inlineStr">
        <is>
          <t>Not started</t>
        </is>
      </c>
      <c r="M102" s="14" t="n"/>
    </row>
    <row r="103">
      <c r="A103" s="14" t="inlineStr">
        <is>
          <t>UAM_REQUEST_TO_APPROVE</t>
        </is>
      </c>
      <c r="B103" s="14" t="inlineStr">
        <is>
          <t>Access request to approve</t>
        </is>
      </c>
      <c r="C103" s="14" t="inlineStr">
        <is>
          <t>User Access Maintenance</t>
        </is>
      </c>
      <c r="D103" s="14" t="inlineStr">
        <is>
          <t>Drop 0</t>
        </is>
      </c>
      <c r="E103" s="14" t="inlineStr">
        <is>
          <t>Business Administration (User Access)</t>
        </is>
      </c>
      <c r="F103" s="14" t="inlineStr">
        <is>
          <t>An access request waits for your approval</t>
        </is>
      </c>
      <c r="G103" s="14" t="inlineStr">
        <is>
          <t>Y</t>
        </is>
      </c>
      <c r="H103" s="14" t="inlineStr">
        <is>
          <t>Y</t>
        </is>
      </c>
      <c r="I103" s="14" t="n"/>
      <c r="J103" s="14" t="n"/>
      <c r="K103" s="14" t="n"/>
      <c r="L103" s="14" t="inlineStr">
        <is>
          <t>Not started</t>
        </is>
      </c>
      <c r="M103" s="14" t="n"/>
    </row>
    <row r="104">
      <c r="A104" s="14" t="inlineStr">
        <is>
          <t>UAM_REQUEST_RETURNED</t>
        </is>
      </c>
      <c r="B104" s="14" t="inlineStr">
        <is>
          <t>Access request returned</t>
        </is>
      </c>
      <c r="C104" s="14" t="inlineStr">
        <is>
          <t>User Access Maintenance</t>
        </is>
      </c>
      <c r="D104" s="14" t="inlineStr">
        <is>
          <t>Drop 0</t>
        </is>
      </c>
      <c r="E104" s="14" t="inlineStr">
        <is>
          <t>Business Administration (User Access)</t>
        </is>
      </c>
      <c r="F104" s="14" t="inlineStr">
        <is>
          <t>Your access request was returned with remarks</t>
        </is>
      </c>
      <c r="G104" s="14" t="inlineStr">
        <is>
          <t>Y</t>
        </is>
      </c>
      <c r="H104" s="14" t="inlineStr">
        <is>
          <t>Y</t>
        </is>
      </c>
      <c r="I104" s="14" t="n"/>
      <c r="J104" s="14" t="n"/>
      <c r="K104" s="14" t="n"/>
      <c r="L104" s="14" t="inlineStr">
        <is>
          <t>Not started</t>
        </is>
      </c>
      <c r="M104" s="14" t="n"/>
    </row>
    <row r="105">
      <c r="A105" s="14" t="inlineStr">
        <is>
          <t>UAM_REQUEST_CANCELLED</t>
        </is>
      </c>
      <c r="B105" s="14" t="inlineStr">
        <is>
          <t>Access request cancelled</t>
        </is>
      </c>
      <c r="C105" s="14" t="inlineStr">
        <is>
          <t>User Access Maintenance</t>
        </is>
      </c>
      <c r="D105" s="14" t="inlineStr">
        <is>
          <t>Drop 0</t>
        </is>
      </c>
      <c r="E105" s="14" t="inlineStr">
        <is>
          <t>Business Administration (User Access)</t>
        </is>
      </c>
      <c r="F105" s="14" t="inlineStr">
        <is>
          <t>An access request assigned to you was cancelled</t>
        </is>
      </c>
      <c r="G105" s="14" t="inlineStr">
        <is>
          <t>Y</t>
        </is>
      </c>
      <c r="H105" s="14" t="inlineStr">
        <is>
          <t>N</t>
        </is>
      </c>
      <c r="I105" s="14" t="n"/>
      <c r="J105" s="14" t="n"/>
      <c r="K105" s="14" t="n"/>
      <c r="L105" s="14" t="inlineStr">
        <is>
          <t>Not started</t>
        </is>
      </c>
      <c r="M105" s="14" t="n"/>
    </row>
    <row r="106">
      <c r="A106" s="14" t="inlineStr">
        <is>
          <t>UAM_REQUEST_DECIDED</t>
        </is>
      </c>
      <c r="B106" s="14" t="inlineStr">
        <is>
          <t>Access request decided</t>
        </is>
      </c>
      <c r="C106" s="14" t="inlineStr">
        <is>
          <t>User Access Maintenance</t>
        </is>
      </c>
      <c r="D106" s="14" t="inlineStr">
        <is>
          <t>Drop 0</t>
        </is>
      </c>
      <c r="E106" s="14" t="inlineStr">
        <is>
          <t>Business Administration (User Access)</t>
        </is>
      </c>
      <c r="F106" s="14" t="inlineStr">
        <is>
          <t>Your access request was approved or rejected</t>
        </is>
      </c>
      <c r="G106" s="14" t="inlineStr">
        <is>
          <t>Y</t>
        </is>
      </c>
      <c r="H106" s="14" t="inlineStr">
        <is>
          <t>Y</t>
        </is>
      </c>
      <c r="I106" s="14" t="n"/>
      <c r="J106" s="14" t="n"/>
      <c r="K106" s="14" t="n"/>
      <c r="L106" s="14" t="inlineStr">
        <is>
          <t>Not started</t>
        </is>
      </c>
      <c r="M106" s="14" t="n"/>
    </row>
    <row r="107">
      <c r="A107" s="14" t="inlineStr">
        <is>
          <t>UAM_ACCESS_CHANGED</t>
        </is>
      </c>
      <c r="B107" s="14" t="inlineStr">
        <is>
          <t>Your access changed</t>
        </is>
      </c>
      <c r="C107" s="14" t="inlineStr">
        <is>
          <t>User Access Maintenance</t>
        </is>
      </c>
      <c r="D107" s="14" t="inlineStr">
        <is>
          <t>Drop 0</t>
        </is>
      </c>
      <c r="E107" s="14" t="inlineStr">
        <is>
          <t>Business Administration (User Access)</t>
        </is>
      </c>
      <c r="F107" s="14" t="inlineStr">
        <is>
          <t>Your user data or group profiles were changed</t>
        </is>
      </c>
      <c r="G107" s="14" t="inlineStr">
        <is>
          <t>Y</t>
        </is>
      </c>
      <c r="H107" s="14" t="inlineStr">
        <is>
          <t>Y</t>
        </is>
      </c>
      <c r="I107" s="14" t="n"/>
      <c r="J107" s="14" t="n"/>
      <c r="K107" s="14" t="n"/>
      <c r="L107" s="14" t="inlineStr">
        <is>
          <t>Not started</t>
        </is>
      </c>
      <c r="M107" s="14" t="n"/>
    </row>
    <row r="108">
      <c r="A108" s="14" t="inlineStr">
        <is>
          <t>UAM_SECOND_APPROVAL</t>
        </is>
      </c>
      <c r="B108" s="14" t="inlineStr">
        <is>
          <t>Access request for second approval</t>
        </is>
      </c>
      <c r="C108" s="14" t="inlineStr">
        <is>
          <t>User Access Maintenance</t>
        </is>
      </c>
      <c r="D108" s="14" t="inlineStr">
        <is>
          <t>Drop 0</t>
        </is>
      </c>
      <c r="E108" s="14" t="inlineStr">
        <is>
          <t>Business Administration (User Access)</t>
        </is>
      </c>
      <c r="F108" s="14" t="inlineStr">
        <is>
          <t>A privileged or out-of-hours access request waits for your second approval</t>
        </is>
      </c>
      <c r="G108" s="14" t="inlineStr">
        <is>
          <t>Y</t>
        </is>
      </c>
      <c r="H108" s="14" t="inlineStr">
        <is>
          <t>Y</t>
        </is>
      </c>
      <c r="I108" s="14" t="n"/>
      <c r="J108" s="14" t="n"/>
      <c r="K108" s="14" t="n"/>
      <c r="L108" s="14" t="inlineStr">
        <is>
          <t>Not started</t>
        </is>
      </c>
      <c r="M108" s="14" t="n"/>
    </row>
    <row r="109">
      <c r="A109" s="14" t="inlineStr">
        <is>
          <t>UAM_FOR_IMPLEMENTATION</t>
        </is>
      </c>
      <c r="B109" s="14" t="inlineStr">
        <is>
          <t>Group profile request to implement</t>
        </is>
      </c>
      <c r="C109" s="14" t="inlineStr">
        <is>
          <t>User Access Maintenance</t>
        </is>
      </c>
      <c r="D109" s="14" t="inlineStr">
        <is>
          <t>Drop 0</t>
        </is>
      </c>
      <c r="E109" s="14" t="inlineStr">
        <is>
          <t>Business Administration (User Access)</t>
        </is>
      </c>
      <c r="F109" s="14" t="inlineStr">
        <is>
          <t>An approved group-profile request waits for the System Administrator</t>
        </is>
      </c>
      <c r="G109" s="14" t="inlineStr">
        <is>
          <t>Y</t>
        </is>
      </c>
      <c r="H109" s="14" t="inlineStr">
        <is>
          <t>Y</t>
        </is>
      </c>
      <c r="I109" s="14" t="n"/>
      <c r="J109" s="14" t="n"/>
      <c r="K109" s="14" t="n"/>
      <c r="L109" s="14" t="inlineStr">
        <is>
          <t>Not started</t>
        </is>
      </c>
      <c r="M109" s="14" t="n"/>
    </row>
    <row r="110">
      <c r="A110" s="14" t="inlineStr">
        <is>
          <t>PASSWORD_EXPIRY_NOTICE</t>
        </is>
      </c>
      <c r="B110" s="14" t="inlineStr">
        <is>
          <t>Password expires soon</t>
        </is>
      </c>
      <c r="C110" s="14" t="inlineStr">
        <is>
          <t>User Access Maintenance</t>
        </is>
      </c>
      <c r="D110" s="14" t="inlineStr">
        <is>
          <t>Drop 0</t>
        </is>
      </c>
      <c r="E110" s="14" t="inlineStr">
        <is>
          <t>Business Administration (User Access)</t>
        </is>
      </c>
      <c r="F110" s="14" t="inlineStr">
        <is>
          <t>Your password expires within 7 days; change it on My Profile</t>
        </is>
      </c>
      <c r="G110" s="14" t="inlineStr">
        <is>
          <t>Y</t>
        </is>
      </c>
      <c r="H110" s="14" t="inlineStr">
        <is>
          <t>Y</t>
        </is>
      </c>
      <c r="I110" s="14" t="n"/>
      <c r="J110" s="14" t="n"/>
      <c r="K110" s="14" t="n"/>
      <c r="L110" s="14" t="inlineStr">
        <is>
          <t>Not started</t>
        </is>
      </c>
      <c r="M110" s="14" t="n"/>
    </row>
    <row r="111">
      <c r="A111" s="14" t="inlineStr">
        <is>
          <t>UAM_IDENTITY_REFUSED</t>
        </is>
      </c>
      <c r="B111" s="14" t="inlineStr">
        <is>
          <t>Identity event refused</t>
        </is>
      </c>
      <c r="C111" s="14" t="inlineStr">
        <is>
          <t>User Access Maintenance</t>
        </is>
      </c>
      <c r="D111" s="14" t="inlineStr">
        <is>
          <t>Drop 0</t>
        </is>
      </c>
      <c r="E111" s="14" t="inlineStr">
        <is>
          <t>Business Administration (User Access)</t>
        </is>
      </c>
      <c r="F111" s="14" t="inlineStr">
        <is>
          <t>An event of the Enterprise SSO platform or UIDM-ISC could not be applied and waits for review</t>
        </is>
      </c>
      <c r="G111" s="14" t="inlineStr">
        <is>
          <t>Y</t>
        </is>
      </c>
      <c r="H111" s="14" t="inlineStr">
        <is>
          <t>Y</t>
        </is>
      </c>
      <c r="I111" s="14" t="n"/>
      <c r="J111" s="14" t="n"/>
      <c r="K111" s="14" t="n"/>
      <c r="L111" s="14" t="inlineStr">
        <is>
          <t>Not started</t>
        </is>
      </c>
      <c r="M111" s="14" t="n"/>
    </row>
    <row r="112">
      <c r="A112" s="14" t="inlineStr">
        <is>
          <t>UAM_DORMANT_WARNING</t>
        </is>
      </c>
      <c r="B112" s="14" t="inlineStr">
        <is>
          <t>Account deactivation soon</t>
        </is>
      </c>
      <c r="C112" s="14" t="inlineStr">
        <is>
          <t>User Access Maintenance</t>
        </is>
      </c>
      <c r="D112" s="14" t="inlineStr">
        <is>
          <t>Drop 0</t>
        </is>
      </c>
      <c r="E112" s="14" t="inlineStr">
        <is>
          <t>Business Administration (User Access)</t>
        </is>
      </c>
      <c r="F112" s="14" t="inlineStr">
        <is>
          <t>You have not signed in for a long time; sign in before the date given or your account is deactivated</t>
        </is>
      </c>
      <c r="G112" s="14" t="inlineStr">
        <is>
          <t>Y</t>
        </is>
      </c>
      <c r="H112" s="14" t="inlineStr">
        <is>
          <t>Y</t>
        </is>
      </c>
      <c r="I112" s="14" t="n"/>
      <c r="J112" s="14" t="n"/>
      <c r="K112" s="14" t="n"/>
      <c r="L112" s="14" t="inlineStr">
        <is>
          <t>Not started</t>
        </is>
      </c>
      <c r="M112" s="14" t="n"/>
    </row>
    <row r="113">
      <c r="A113" s="14" t="inlineStr">
        <is>
          <t>UAM_BREAK_GLASS_SIGN_IN</t>
        </is>
      </c>
      <c r="B113" s="14" t="inlineStr">
        <is>
          <t>Break-glass sign-in</t>
        </is>
      </c>
      <c r="C113" s="14" t="inlineStr">
        <is>
          <t>User Access Maintenance</t>
        </is>
      </c>
      <c r="D113" s="14" t="inlineStr">
        <is>
          <t>Drop 0</t>
        </is>
      </c>
      <c r="E113" s="14" t="inlineStr">
        <is>
          <t>Business Administration (User Access)</t>
        </is>
      </c>
      <c r="F113" s="14" t="inlineStr">
        <is>
          <t>A break-glass System Administrator signed in with a local password while single sign-on is on</t>
        </is>
      </c>
      <c r="G113" s="14" t="inlineStr">
        <is>
          <t>Y</t>
        </is>
      </c>
      <c r="H113" s="14" t="inlineStr">
        <is>
          <t>Y</t>
        </is>
      </c>
      <c r="I113" s="14" t="n"/>
      <c r="J113" s="14" t="n"/>
      <c r="K113" s="14" t="n"/>
      <c r="L113" s="14" t="inlineStr">
        <is>
          <t>Not started</t>
        </is>
      </c>
      <c r="M113" s="14" t="n"/>
    </row>
    <row r="114">
      <c r="A114" s="14" t="inlineStr">
        <is>
          <t>UAM_DORMANT_DEACTIVATED</t>
        </is>
      </c>
      <c r="B114" s="14" t="inlineStr">
        <is>
          <t>Dormant users deactivated</t>
        </is>
      </c>
      <c r="C114" s="14" t="inlineStr">
        <is>
          <t>User Access Maintenance</t>
        </is>
      </c>
      <c r="D114" s="14" t="inlineStr">
        <is>
          <t>Drop 0</t>
        </is>
      </c>
      <c r="E114" s="14" t="inlineStr">
        <is>
          <t>Business Administration (User Access)</t>
        </is>
      </c>
      <c r="F114" s="14" t="inlineStr">
        <is>
          <t>Users who had not signed in for the dormancy period were deactivated</t>
        </is>
      </c>
      <c r="G114" s="14" t="inlineStr">
        <is>
          <t>Y</t>
        </is>
      </c>
      <c r="H114" s="14" t="inlineStr">
        <is>
          <t>N</t>
        </is>
      </c>
      <c r="I114" s="14" t="n"/>
      <c r="J114" s="14" t="n"/>
      <c r="K114" s="14" t="n"/>
      <c r="L114" s="14" t="inlineStr">
        <is>
          <t>Not started</t>
        </is>
      </c>
      <c r="M114" s="14" t="n"/>
    </row>
    <row r="115">
      <c r="A115" s="14" t="inlineStr">
        <is>
          <t>UAM_PARAMETER_TO_APPROVE</t>
        </is>
      </c>
      <c r="B115" s="14" t="inlineStr">
        <is>
          <t>Security setting to approve</t>
        </is>
      </c>
      <c r="C115" s="14" t="inlineStr">
        <is>
          <t>User Access Maintenance</t>
        </is>
      </c>
      <c r="D115" s="14" t="inlineStr">
        <is>
          <t>Drop 0</t>
        </is>
      </c>
      <c r="E115" s="14" t="inlineStr">
        <is>
          <t>Business Administration (User Access)</t>
        </is>
      </c>
      <c r="F115" s="14" t="inlineStr">
        <is>
          <t>A change of a sign-in, password, session or access setting waits for your approval</t>
        </is>
      </c>
      <c r="G115" s="14" t="inlineStr">
        <is>
          <t>Y</t>
        </is>
      </c>
      <c r="H115" s="14" t="inlineStr">
        <is>
          <t>Y</t>
        </is>
      </c>
      <c r="I115" s="14" t="n"/>
      <c r="J115" s="14" t="n"/>
      <c r="K115" s="14" t="n"/>
      <c r="L115" s="14" t="inlineStr">
        <is>
          <t>Not started</t>
        </is>
      </c>
      <c r="M115" s="14" t="n"/>
    </row>
    <row r="116">
      <c r="A116" s="14" t="inlineStr">
        <is>
          <t>UAM_SOD_TO_AUTHORIZE</t>
        </is>
      </c>
      <c r="B116" s="14" t="inlineStr">
        <is>
          <t>Separation-of-duties rule to authorise</t>
        </is>
      </c>
      <c r="C116" s="14" t="inlineStr">
        <is>
          <t>User Access Maintenance</t>
        </is>
      </c>
      <c r="D116" s="14" t="inlineStr">
        <is>
          <t>Drop 0</t>
        </is>
      </c>
      <c r="E116" s="14" t="inlineStr">
        <is>
          <t>Business Administration (User Access)</t>
        </is>
      </c>
      <c r="F116" s="14" t="inlineStr">
        <is>
          <t>A new or deactivated separation-of-duties rule waits for your authorisation</t>
        </is>
      </c>
      <c r="G116" s="14" t="inlineStr">
        <is>
          <t>Y</t>
        </is>
      </c>
      <c r="H116" s="14" t="inlineStr">
        <is>
          <t>N</t>
        </is>
      </c>
      <c r="I116" s="14" t="n"/>
      <c r="J116" s="14" t="n"/>
      <c r="K116" s="14" t="n"/>
      <c r="L116" s="14" t="inlineStr">
        <is>
          <t>Not started</t>
        </is>
      </c>
      <c r="M116" s="14" t="n"/>
    </row>
    <row r="117">
      <c r="A117" s="14" t="inlineStr">
        <is>
          <t>MFA_RESET_TO_APPROVE</t>
        </is>
      </c>
      <c r="B117" s="14" t="inlineStr">
        <is>
          <t>Second factor reset to approve</t>
        </is>
      </c>
      <c r="C117" s="14" t="inlineStr">
        <is>
          <t>User Access Maintenance</t>
        </is>
      </c>
      <c r="D117" s="14" t="inlineStr">
        <is>
          <t>Drop 0</t>
        </is>
      </c>
      <c r="E117" s="14" t="inlineStr">
        <is>
          <t>Business Administration (User Access)</t>
        </is>
      </c>
      <c r="F117" s="14" t="inlineStr">
        <is>
          <t>A reset of a user's authenticator app waits for your approval</t>
        </is>
      </c>
      <c r="G117" s="14" t="inlineStr">
        <is>
          <t>Y</t>
        </is>
      </c>
      <c r="H117" s="14" t="inlineStr">
        <is>
          <t>Y</t>
        </is>
      </c>
      <c r="I117" s="14" t="n"/>
      <c r="J117" s="14" t="n"/>
      <c r="K117" s="14" t="n"/>
      <c r="L117" s="14" t="inlineStr">
        <is>
          <t>Not started</t>
        </is>
      </c>
      <c r="M117" s="14" t="n"/>
    </row>
    <row r="118">
      <c r="A118" s="14" t="inlineStr">
        <is>
          <t>MFA_RESET_DONE</t>
        </is>
      </c>
      <c r="B118" s="14" t="inlineStr">
        <is>
          <t>Second factor reset</t>
        </is>
      </c>
      <c r="C118" s="14" t="inlineStr">
        <is>
          <t>User Access Maintenance</t>
        </is>
      </c>
      <c r="D118" s="14" t="inlineStr">
        <is>
          <t>Drop 0</t>
        </is>
      </c>
      <c r="E118" s="14" t="inlineStr">
        <is>
          <t>Business Administration (User Access)</t>
        </is>
      </c>
      <c r="F118" s="14" t="inlineStr">
        <is>
          <t>Your authenticator app was reset by the administrators; enrol it again at your next sign-in</t>
        </is>
      </c>
      <c r="G118" s="14" t="inlineStr">
        <is>
          <t>Y</t>
        </is>
      </c>
      <c r="H118" s="14" t="inlineStr">
        <is>
          <t>Y</t>
        </is>
      </c>
      <c r="I118" s="14" t="n"/>
      <c r="J118" s="14" t="n"/>
      <c r="K118" s="14" t="n"/>
      <c r="L118" s="14" t="inlineStr">
        <is>
          <t>Not started</t>
        </is>
      </c>
      <c r="M118" s="14" t="n"/>
    </row>
  </sheetData>
  <autoFilter ref="A4:M118"/>
  <conditionalFormatting sqref="L5:L118">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M118">
    <cfRule type="expression" priority="6" dxfId="7">
      <formula>AND(MOD(ROW(),2)=0,$A5&lt;&gt;"")</formula>
    </cfRule>
  </conditionalFormatting>
  <dataValidations count="3">
    <dataValidation sqref="I5:I118" showDropDown="0" showInputMessage="1" showErrorMessage="1" allowBlank="1" errorTitle="In-app wanted" error="Choose a value of the list Yes or no (sheet Reference lists)." promptTitle="In-app wanted" prompt="Y or N" type="list" errorStyle="stop">
      <formula1>=LIST_YES_NO</formula1>
    </dataValidation>
    <dataValidation sqref="J5:J118" showDropDown="0" showInputMessage="1" showErrorMessage="1" allowBlank="1" errorTitle="E-mail wanted" error="Choose a value of the list Yes or no (sheet Reference lists)." promptTitle="E-mail wanted" prompt="Y or N" type="list" errorStyle="stop">
      <formula1>=LIST_YES_NO</formula1>
    </dataValidation>
    <dataValidation sqref="L5:L118"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fitToPage="1"/>
  </sheetPr>
  <dimension ref="A1:K6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20" customWidth="1" min="3" max="3"/>
    <col width="8" customWidth="1" min="4" max="4"/>
    <col width="28" customWidth="1" min="5" max="5"/>
    <col width="50" customWidth="1" min="6" max="6"/>
    <col width="34" customWidth="1" min="7" max="7"/>
    <col width="22" customWidth="1" min="8" max="8"/>
    <col width="12" customWidth="1" min="9" max="9"/>
    <col width="14" customWidth="1" min="10" max="10"/>
    <col width="36" customWidth="1" min="11" max="11"/>
  </cols>
  <sheetData>
    <row r="1" ht="26" customHeight="1">
      <c r="A1" s="27" t="inlineStr">
        <is>
          <t>Reference: Document templates</t>
        </is>
      </c>
    </row>
    <row r="2">
      <c r="A2" s="29" t="inlineStr">
        <is>
          <t>← Back to Start here</t>
        </is>
      </c>
      <c r="B2" s="56" t="inlineStr">
        <is>
          <t>Every generated document with the unit that gives its BDOI wording and layout</t>
        </is>
      </c>
    </row>
    <row r="4" ht="30" customHeight="1">
      <c r="A4" s="11" t="inlineStr">
        <is>
          <t>Template</t>
        </is>
      </c>
      <c r="B4" s="11" t="inlineStr">
        <is>
          <t>Title</t>
        </is>
      </c>
      <c r="C4" s="11" t="inlineStr">
        <is>
          <t>Module</t>
        </is>
      </c>
      <c r="D4" s="11" t="inlineStr">
        <is>
          <t>Drop</t>
        </is>
      </c>
      <c r="E4" s="11" t="inlineStr">
        <is>
          <t>Owner (BDOI unit)</t>
        </is>
      </c>
      <c r="F4" s="11" t="inlineStr">
        <is>
          <t>Merge fields available</t>
        </is>
      </c>
      <c r="G4" s="11" t="inlineStr">
        <is>
          <t>Prepared in</t>
        </is>
      </c>
      <c r="H4" s="11" t="inlineStr">
        <is>
          <t>Due</t>
        </is>
      </c>
      <c r="I4" s="11" t="inlineStr">
        <is>
          <t>BDOI layout attached</t>
        </is>
      </c>
      <c r="J4" s="11" t="inlineStr">
        <is>
          <t>Status</t>
        </is>
      </c>
      <c r="K4" s="11" t="inlineStr">
        <is>
          <t>BDOI comments</t>
        </is>
      </c>
    </row>
    <row r="5">
      <c r="A5" s="14" t="inlineStr">
        <is>
          <t>BCL_LOSS_ADVICE</t>
        </is>
      </c>
      <c r="B5" s="14" t="inlineStr">
        <is>
          <t>Loss advice {{claimNo}} - {{assuredName}}</t>
        </is>
      </c>
      <c r="C5" s="14" t="inlineStr">
        <is>
          <t>Claims</t>
        </is>
      </c>
      <c r="D5" s="14" t="inlineStr">
        <is>
          <t>Drop 2</t>
        </is>
      </c>
      <c r="E5" s="14" t="inlineStr">
        <is>
          <t>Product Owner, Claims</t>
        </is>
      </c>
      <c r="F5" s="14" t="inlineStr">
        <is>
          <t>adjusterName, arn, assuredName, claimNo, currency, handlerName, initialReserve, insurerClaimNos, insurerName, lossDate, lossDescription, lossNature, lossPlace, policyNo, policyYear</t>
        </is>
      </c>
      <c r="G5" s="14" t="inlineStr">
        <is>
          <t>This workbook, sheet Ref Document templates</t>
        </is>
      </c>
      <c r="H5" s="14" t="inlineStr">
        <is>
          <t>16-Jul-2027 (T-24 weeks)</t>
        </is>
      </c>
      <c r="I5" s="14" t="n"/>
      <c r="J5" s="14" t="inlineStr">
        <is>
          <t>Not started</t>
        </is>
      </c>
      <c r="K5" s="14" t="n"/>
    </row>
    <row r="6">
      <c r="A6" s="14" t="inlineStr">
        <is>
          <t>CLX_SOA</t>
        </is>
      </c>
      <c r="B6" s="14" t="inlineStr">
        <is>
          <t>Statement of account</t>
        </is>
      </c>
      <c r="C6" s="14" t="inlineStr">
        <is>
          <t>Collections</t>
        </is>
      </c>
      <c r="D6" s="14" t="inlineStr">
        <is>
          <t>Drop 1</t>
        </is>
      </c>
      <c r="E6" s="14" t="inlineStr">
        <is>
          <t>VP and Head, BDOI Operations (Collections)</t>
        </is>
      </c>
      <c r="F6" s="14" t="inlineStr">
        <is>
          <t>arn, balance, currency, cycleFrom, cycleTo, dueDate, frequency</t>
        </is>
      </c>
      <c r="G6" s="14" t="inlineStr">
        <is>
          <t>This workbook, sheet Ref Document templates</t>
        </is>
      </c>
      <c r="H6" s="14" t="inlineStr">
        <is>
          <t>16-Jul-2027 (T-24 weeks)</t>
        </is>
      </c>
      <c r="I6" s="14" t="n"/>
      <c r="J6" s="14" t="inlineStr">
        <is>
          <t>Not started</t>
        </is>
      </c>
      <c r="K6" s="14" t="n"/>
    </row>
    <row r="7">
      <c r="A7" s="14" t="inlineStr">
        <is>
          <t>DSB_ATD</t>
        </is>
      </c>
      <c r="B7" s="14" t="inlineStr">
        <is>
          <t>Authority to debit</t>
        </is>
      </c>
      <c r="C7" s="14" t="inlineStr">
        <is>
          <t>Accounting, Disbursement and ACSL</t>
        </is>
      </c>
      <c r="D7" s="14" t="inlineStr">
        <is>
          <t>Drop 1</t>
        </is>
      </c>
      <c r="E7" s="14" t="inlineStr">
        <is>
          <t>Head, Comptrollership</t>
        </is>
      </c>
      <c r="F7" s="14" t="inlineStr">
        <is>
          <t>bankAccountNo, bankName, currency, dvNo, netAmount, payeeAccountNo, payeeName, valueDate</t>
        </is>
      </c>
      <c r="G7" s="14" t="inlineStr">
        <is>
          <t>This workbook, sheet Ref Document templates</t>
        </is>
      </c>
      <c r="H7" s="14" t="inlineStr">
        <is>
          <t>16-Jul-2027 (T-24 weeks)</t>
        </is>
      </c>
      <c r="I7" s="14" t="n"/>
      <c r="J7" s="14" t="inlineStr">
        <is>
          <t>Not started</t>
        </is>
      </c>
      <c r="K7" s="14" t="n"/>
    </row>
    <row r="8">
      <c r="A8" s="14" t="inlineStr">
        <is>
          <t>DSB_ATD_EMAIL</t>
        </is>
      </c>
      <c r="B8" s="14" t="inlineStr">
        <is>
          <t>Authority to debit {{dvNo}}</t>
        </is>
      </c>
      <c r="C8" s="14" t="inlineStr">
        <is>
          <t>Accounting, Disbursement and ACSL</t>
        </is>
      </c>
      <c r="D8" s="14" t="inlineStr">
        <is>
          <t>Drop 1</t>
        </is>
      </c>
      <c r="E8" s="14" t="inlineStr">
        <is>
          <t>Head, Comptrollership</t>
        </is>
      </c>
      <c r="F8" s="14" t="inlineStr">
        <is>
          <t>currency, dvNo, instrumentNo, netAmount, payeeName</t>
        </is>
      </c>
      <c r="G8" s="14" t="inlineStr">
        <is>
          <t>This workbook, sheet Ref Document templates</t>
        </is>
      </c>
      <c r="H8" s="14" t="inlineStr">
        <is>
          <t>16-Jul-2027 (T-24 weeks)</t>
        </is>
      </c>
      <c r="I8" s="14" t="n"/>
      <c r="J8" s="14" t="inlineStr">
        <is>
          <t>Not started</t>
        </is>
      </c>
      <c r="K8" s="14" t="n"/>
    </row>
    <row r="9">
      <c r="A9" s="14" t="inlineStr">
        <is>
          <t>DSB_CHECK</t>
        </is>
      </c>
      <c r="B9" s="14" t="inlineStr">
        <is>
          <t>Check</t>
        </is>
      </c>
      <c r="C9" s="14" t="inlineStr">
        <is>
          <t>Accounting, Disbursement and ACSL</t>
        </is>
      </c>
      <c r="D9" s="14" t="inlineStr">
        <is>
          <t>Drop 1</t>
        </is>
      </c>
      <c r="E9" s="14" t="inlineStr">
        <is>
          <t>Head, Comptrollership</t>
        </is>
      </c>
      <c r="F9" s="14" t="inlineStr">
        <is>
          <t>bankAccountNo, bankName, currency, dvNo, instrumentNo, netAmount, payeeName, printDate</t>
        </is>
      </c>
      <c r="G9" s="14" t="inlineStr">
        <is>
          <t>This workbook, sheet Ref Document templates</t>
        </is>
      </c>
      <c r="H9" s="14" t="inlineStr">
        <is>
          <t>16-Jul-2027 (T-24 weeks)</t>
        </is>
      </c>
      <c r="I9" s="14" t="n"/>
      <c r="J9" s="14" t="inlineStr">
        <is>
          <t>Not started</t>
        </is>
      </c>
      <c r="K9" s="14" t="n"/>
    </row>
    <row r="10">
      <c r="A10" s="14" t="inlineStr">
        <is>
          <t>DSB_CREDIT_TICKET</t>
        </is>
      </c>
      <c r="B10" s="14" t="inlineStr">
        <is>
          <t>Credit ticket</t>
        </is>
      </c>
      <c r="C10" s="14" t="inlineStr">
        <is>
          <t>Accounting, Disbursement and ACSL</t>
        </is>
      </c>
      <c r="D10" s="14" t="inlineStr">
        <is>
          <t>Drop 1</t>
        </is>
      </c>
      <c r="E10" s="14" t="inlineStr">
        <is>
          <t>Head, Comptrollership</t>
        </is>
      </c>
      <c r="F10" s="14" t="inlineStr">
        <is>
          <t>bankAccountNo, bankName, currency, dvNo, netAmount, payeeAccountNo, payeeName</t>
        </is>
      </c>
      <c r="G10" s="14" t="inlineStr">
        <is>
          <t>This workbook, sheet Ref Document templates</t>
        </is>
      </c>
      <c r="H10" s="14" t="inlineStr">
        <is>
          <t>16-Jul-2027 (T-24 weeks)</t>
        </is>
      </c>
      <c r="I10" s="14" t="n"/>
      <c r="J10" s="14" t="inlineStr">
        <is>
          <t>Not started</t>
        </is>
      </c>
      <c r="K10" s="14" t="n"/>
    </row>
    <row r="11">
      <c r="A11" s="14" t="inlineStr">
        <is>
          <t>DSB_MC_DD</t>
        </is>
      </c>
      <c r="B11" s="14" t="inlineStr">
        <is>
          <t>Manager's check / demand draft request</t>
        </is>
      </c>
      <c r="C11" s="14" t="inlineStr">
        <is>
          <t>Accounting, Disbursement and ACSL</t>
        </is>
      </c>
      <c r="D11" s="14" t="inlineStr">
        <is>
          <t>Drop 1</t>
        </is>
      </c>
      <c r="E11" s="14" t="inlineStr">
        <is>
          <t>Head, Comptrollership</t>
        </is>
      </c>
      <c r="F11" s="14" t="inlineStr">
        <is>
          <t>bankAccountNo, bankName, currency, dvNo, netAmount, payeeName</t>
        </is>
      </c>
      <c r="G11" s="14" t="inlineStr">
        <is>
          <t>This workbook, sheet Ref Document templates</t>
        </is>
      </c>
      <c r="H11" s="14" t="inlineStr">
        <is>
          <t>16-Jul-2027 (T-24 weeks)</t>
        </is>
      </c>
      <c r="I11" s="14" t="n"/>
      <c r="J11" s="14" t="inlineStr">
        <is>
          <t>Not started</t>
        </is>
      </c>
      <c r="K11" s="14" t="n"/>
    </row>
    <row r="12">
      <c r="A12" s="14" t="inlineStr">
        <is>
          <t>DSB_PAYMENT_ADVICE</t>
        </is>
      </c>
      <c r="B12" s="14" t="inlineStr">
        <is>
          <t>Payment advice {{dvNo}}</t>
        </is>
      </c>
      <c r="C12" s="14" t="inlineStr">
        <is>
          <t>Accounting, Disbursement and ACSL</t>
        </is>
      </c>
      <c r="D12" s="14" t="inlineStr">
        <is>
          <t>Drop 1</t>
        </is>
      </c>
      <c r="E12" s="14" t="inlineStr">
        <is>
          <t>Head, Comptrollership</t>
        </is>
      </c>
      <c r="F12" s="14" t="inlineStr">
        <is>
          <t>currency, dvNo, instrumentText, mode, netAmount, payeeName, valueDate</t>
        </is>
      </c>
      <c r="G12" s="14" t="inlineStr">
        <is>
          <t>This workbook, sheet Ref Document templates</t>
        </is>
      </c>
      <c r="H12" s="14" t="inlineStr">
        <is>
          <t>16-Jul-2027 (T-24 weeks)</t>
        </is>
      </c>
      <c r="I12" s="14" t="n"/>
      <c r="J12" s="14" t="inlineStr">
        <is>
          <t>Not started</t>
        </is>
      </c>
      <c r="K12" s="14" t="n"/>
    </row>
    <row r="13">
      <c r="A13" s="14" t="inlineStr">
        <is>
          <t>DSB_TT</t>
        </is>
      </c>
      <c r="B13" s="14" t="inlineStr">
        <is>
          <t>Telegraphic transfer</t>
        </is>
      </c>
      <c r="C13" s="14" t="inlineStr">
        <is>
          <t>Accounting, Disbursement and ACSL</t>
        </is>
      </c>
      <c r="D13" s="14" t="inlineStr">
        <is>
          <t>Drop 1</t>
        </is>
      </c>
      <c r="E13" s="14" t="inlineStr">
        <is>
          <t>Head, Comptrollership</t>
        </is>
      </c>
      <c r="F13" s="14" t="inlineStr">
        <is>
          <t>bankAccountNo, bankName, currency, dvNo, netAmount, payeeAccountNo, payeeBank, payeeName</t>
        </is>
      </c>
      <c r="G13" s="14" t="inlineStr">
        <is>
          <t>This workbook, sheet Ref Document templates</t>
        </is>
      </c>
      <c r="H13" s="14" t="inlineStr">
        <is>
          <t>16-Jul-2027 (T-24 weeks)</t>
        </is>
      </c>
      <c r="I13" s="14" t="n"/>
      <c r="J13" s="14" t="inlineStr">
        <is>
          <t>Not started</t>
        </is>
      </c>
      <c r="K13" s="14" t="n"/>
    </row>
    <row r="14">
      <c r="A14" s="14" t="inlineStr">
        <is>
          <t>DSB_VOUCHER</t>
        </is>
      </c>
      <c r="B14" s="14" t="inlineStr">
        <is>
          <t>Disbursement voucher</t>
        </is>
      </c>
      <c r="C14" s="14" t="inlineStr">
        <is>
          <t>Accounting, Disbursement and ACSL</t>
        </is>
      </c>
      <c r="D14" s="14" t="inlineStr">
        <is>
          <t>Drop 1</t>
        </is>
      </c>
      <c r="E14" s="14" t="inlineStr">
        <is>
          <t>Head, Comptrollership</t>
        </is>
      </c>
      <c r="F14" s="14" t="inlineStr">
        <is>
          <t>currency, dvNo, mode, netAmount, payeeName, purpose, requestNo</t>
        </is>
      </c>
      <c r="G14" s="14" t="inlineStr">
        <is>
          <t>This workbook, sheet Ref Document templates</t>
        </is>
      </c>
      <c r="H14" s="14" t="inlineStr">
        <is>
          <t>16-Jul-2027 (T-24 weeks)</t>
        </is>
      </c>
      <c r="I14" s="14" t="n"/>
      <c r="J14" s="14" t="inlineStr">
        <is>
          <t>Not started</t>
        </is>
      </c>
      <c r="K14" s="14" t="n"/>
    </row>
    <row r="15">
      <c r="A15" s="14" t="inlineStr">
        <is>
          <t>EB_COMPARATIVE</t>
        </is>
      </c>
      <c r="B15" s="14" t="inlineStr">
        <is>
          <t>Comparative analysis - {{programmeName}} ({{policyYear}})</t>
        </is>
      </c>
      <c r="C15" s="14" t="inlineStr">
        <is>
          <t>Employee Benefits</t>
        </is>
      </c>
      <c r="D15" s="14" t="inlineStr">
        <is>
          <t>Drop 2</t>
        </is>
      </c>
      <c r="E15" s="14" t="inlineStr">
        <is>
          <t>Product Owner, Employee Benefits</t>
        </is>
      </c>
      <c r="F15" s="14" t="inlineStr">
        <is>
          <t>aoName, comparativeNo, contactName, programmeName</t>
        </is>
      </c>
      <c r="G15" s="14" t="inlineStr">
        <is>
          <t>This workbook, sheet Ref Document templates</t>
        </is>
      </c>
      <c r="H15" s="14" t="inlineStr">
        <is>
          <t>16-Jul-2027 (T-24 weeks)</t>
        </is>
      </c>
      <c r="I15" s="14" t="n"/>
      <c r="J15" s="14" t="inlineStr">
        <is>
          <t>Not started</t>
        </is>
      </c>
      <c r="K15" s="14" t="n"/>
    </row>
    <row r="16">
      <c r="A16" s="14" t="inlineStr">
        <is>
          <t>EB_FRANCHISE_ADVICE</t>
        </is>
      </c>
      <c r="B16" s="14" t="inlineStr">
        <is>
          <t>Franchise outcome - {{programmeName}}</t>
        </is>
      </c>
      <c r="C16" s="14" t="inlineStr">
        <is>
          <t>Employee Benefits</t>
        </is>
      </c>
      <c r="D16" s="14" t="inlineStr">
        <is>
          <t>Drop 2</t>
        </is>
      </c>
      <c r="E16" s="14" t="inlineStr">
        <is>
          <t>Product Owner, Employee Benefits</t>
        </is>
      </c>
      <c r="F16" s="14" t="inlineStr">
        <is>
          <t>aoName, contactName, insurerName, outcome, programmeName, reasonText</t>
        </is>
      </c>
      <c r="G16" s="14" t="inlineStr">
        <is>
          <t>This workbook, sheet Ref Document templates</t>
        </is>
      </c>
      <c r="H16" s="14" t="inlineStr">
        <is>
          <t>16-Jul-2027 (T-24 weeks)</t>
        </is>
      </c>
      <c r="I16" s="14" t="n"/>
      <c r="J16" s="14" t="inlineStr">
        <is>
          <t>Not started</t>
        </is>
      </c>
      <c r="K16" s="14" t="n"/>
    </row>
    <row r="17">
      <c r="A17" s="14" t="inlineStr">
        <is>
          <t>EB_FRANCHISE_REQUEST</t>
        </is>
      </c>
      <c r="B17" s="14" t="inlineStr">
        <is>
          <t>Franchise request {{franchiseNo}} - {{clientName}}</t>
        </is>
      </c>
      <c r="C17" s="14" t="inlineStr">
        <is>
          <t>Employee Benefits</t>
        </is>
      </c>
      <c r="D17" s="14" t="inlineStr">
        <is>
          <t>Drop 2</t>
        </is>
      </c>
      <c r="E17" s="14" t="inlineStr">
        <is>
          <t>Product Owner, Employee Benefits</t>
        </is>
      </c>
      <c r="F17" s="14" t="inlineStr">
        <is>
          <t>aoName, clientName, dueDate, insurerName, lines</t>
        </is>
      </c>
      <c r="G17" s="14" t="inlineStr">
        <is>
          <t>This workbook, sheet Ref Document templates</t>
        </is>
      </c>
      <c r="H17" s="14" t="inlineStr">
        <is>
          <t>16-Jul-2027 (T-24 weeks)</t>
        </is>
      </c>
      <c r="I17" s="14" t="n"/>
      <c r="J17" s="14" t="inlineStr">
        <is>
          <t>Not started</t>
        </is>
      </c>
      <c r="K17" s="14" t="n"/>
    </row>
    <row r="18">
      <c r="A18" s="14" t="inlineStr">
        <is>
          <t>EB_INDICATIVE_PROPOSAL</t>
        </is>
      </c>
      <c r="B18" s="14" t="inlineStr">
        <is>
          <t>Indicative renewal terms - {{programmeName}}</t>
        </is>
      </c>
      <c r="C18" s="14" t="inlineStr">
        <is>
          <t>Employee Benefits</t>
        </is>
      </c>
      <c r="D18" s="14" t="inlineStr">
        <is>
          <t>Drop 2</t>
        </is>
      </c>
      <c r="E18" s="14" t="inlineStr">
        <is>
          <t>Product Owner, Employee Benefits</t>
        </is>
      </c>
      <c r="F18" s="14" t="inlineStr">
        <is>
          <t>aoName, contactName, incumbentName, policyYear, programmeName</t>
        </is>
      </c>
      <c r="G18" s="14" t="inlineStr">
        <is>
          <t>This workbook, sheet Ref Document templates</t>
        </is>
      </c>
      <c r="H18" s="14" t="inlineStr">
        <is>
          <t>16-Jul-2027 (T-24 weeks)</t>
        </is>
      </c>
      <c r="I18" s="14" t="n"/>
      <c r="J18" s="14" t="inlineStr">
        <is>
          <t>Not started</t>
        </is>
      </c>
      <c r="K18" s="14" t="n"/>
    </row>
    <row r="19">
      <c r="A19" s="14" t="inlineStr">
        <is>
          <t>EB_ITEM_FOLLOWUP</t>
        </is>
      </c>
      <c r="B19" s="14" t="inlineStr">
        <is>
          <t>Follow-up: {{itemType}} for {{programmeName}}</t>
        </is>
      </c>
      <c r="C19" s="14" t="inlineStr">
        <is>
          <t>Employee Benefits</t>
        </is>
      </c>
      <c r="D19" s="14" t="inlineStr">
        <is>
          <t>Drop 2</t>
        </is>
      </c>
      <c r="E19" s="14" t="inlineStr">
        <is>
          <t>Product Owner, Employee Benefits</t>
        </is>
      </c>
      <c r="F19" s="14" t="inlineStr">
        <is>
          <t>aoName, dueDate, followUpNo, itemType, programmeName, recipientName, subject</t>
        </is>
      </c>
      <c r="G19" s="14" t="inlineStr">
        <is>
          <t>This workbook, sheet Ref Document templates</t>
        </is>
      </c>
      <c r="H19" s="14" t="inlineStr">
        <is>
          <t>16-Jul-2027 (T-24 weeks)</t>
        </is>
      </c>
      <c r="I19" s="14" t="n"/>
      <c r="J19" s="14" t="inlineStr">
        <is>
          <t>Not started</t>
        </is>
      </c>
      <c r="K19" s="14" t="n"/>
    </row>
    <row r="20">
      <c r="A20" s="14" t="inlineStr">
        <is>
          <t>EB_MEMBER_CHANGE_RELAY</t>
        </is>
      </c>
      <c r="B20" s="14" t="inlineStr">
        <is>
          <t>Member change {{changeNo}} - {{clientName}}</t>
        </is>
      </c>
      <c r="C20" s="14" t="inlineStr">
        <is>
          <t>Employee Benefits</t>
        </is>
      </c>
      <c r="D20" s="14" t="inlineStr">
        <is>
          <t>Drop 2</t>
        </is>
      </c>
      <c r="E20" s="14" t="inlineStr">
        <is>
          <t>Product Owner, Employee Benefits</t>
        </is>
      </c>
      <c r="F20" s="14" t="inlineStr">
        <is>
          <t>aoName, clientName, insurerName, memberLines, policyNo, programmeName</t>
        </is>
      </c>
      <c r="G20" s="14" t="inlineStr">
        <is>
          <t>This workbook, sheet Ref Document templates</t>
        </is>
      </c>
      <c r="H20" s="14" t="inlineStr">
        <is>
          <t>16-Jul-2027 (T-24 weeks)</t>
        </is>
      </c>
      <c r="I20" s="14" t="n"/>
      <c r="J20" s="14" t="inlineStr">
        <is>
          <t>Not started</t>
        </is>
      </c>
      <c r="K20" s="14" t="n"/>
    </row>
    <row r="21">
      <c r="A21" s="14" t="inlineStr">
        <is>
          <t>EB_RA_REMINDER</t>
        </is>
      </c>
      <c r="B21" s="14" t="inlineStr">
        <is>
          <t>Reminder: renewal of {{programmeName}}</t>
        </is>
      </c>
      <c r="C21" s="14" t="inlineStr">
        <is>
          <t>Employee Benefits</t>
        </is>
      </c>
      <c r="D21" s="14" t="inlineStr">
        <is>
          <t>Drop 2</t>
        </is>
      </c>
      <c r="E21" s="14" t="inlineStr">
        <is>
          <t>Product Owner, Employee Benefits</t>
        </is>
      </c>
      <c r="F21" s="14" t="inlineStr">
        <is>
          <t>aoName, contactName, expiryDate, programmeName</t>
        </is>
      </c>
      <c r="G21" s="14" t="inlineStr">
        <is>
          <t>This workbook, sheet Ref Document templates</t>
        </is>
      </c>
      <c r="H21" s="14" t="inlineStr">
        <is>
          <t>16-Jul-2027 (T-24 weeks)</t>
        </is>
      </c>
      <c r="I21" s="14" t="n"/>
      <c r="J21" s="14" t="inlineStr">
        <is>
          <t>Not started</t>
        </is>
      </c>
      <c r="K21" s="14" t="n"/>
    </row>
    <row r="22">
      <c r="A22" s="14" t="inlineStr">
        <is>
          <t>EB_RENEWAL_ADVICE</t>
        </is>
      </c>
      <c r="B22" s="14" t="inlineStr">
        <is>
          <t>Renewal advice - {{programmeName}} ({{policyYear}})</t>
        </is>
      </c>
      <c r="C22" s="14" t="inlineStr">
        <is>
          <t>Employee Benefits</t>
        </is>
      </c>
      <c r="D22" s="14" t="inlineStr">
        <is>
          <t>Drop 2</t>
        </is>
      </c>
      <c r="E22" s="14" t="inlineStr">
        <is>
          <t>Product Owner, Employee Benefits</t>
        </is>
      </c>
      <c r="F22" s="14" t="inlineStr">
        <is>
          <t>aoName, contactName, expiryDate, insurers, lines, programmeName, programmeNo</t>
        </is>
      </c>
      <c r="G22" s="14" t="inlineStr">
        <is>
          <t>This workbook, sheet Ref Document templates</t>
        </is>
      </c>
      <c r="H22" s="14" t="inlineStr">
        <is>
          <t>16-Jul-2027 (T-24 weeks)</t>
        </is>
      </c>
      <c r="I22" s="14" t="n"/>
      <c r="J22" s="14" t="inlineStr">
        <is>
          <t>Not started</t>
        </is>
      </c>
      <c r="K22" s="14" t="n"/>
    </row>
    <row r="23">
      <c r="A23" s="14" t="inlineStr">
        <is>
          <t>EB_REVISION_RELAY</t>
        </is>
      </c>
      <c r="B23" s="14" t="inlineStr">
        <is>
          <t>Revision request - {{clientName}}</t>
        </is>
      </c>
      <c r="C23" s="14" t="inlineStr">
        <is>
          <t>Employee Benefits</t>
        </is>
      </c>
      <c r="D23" s="14" t="inlineStr">
        <is>
          <t>Drop 2</t>
        </is>
      </c>
      <c r="E23" s="14" t="inlineStr">
        <is>
          <t>Product Owner, Employee Benefits</t>
        </is>
      </c>
      <c r="F23" s="14" t="inlineStr">
        <is>
          <t>aoName, dueDate, insurerName, proposalNo, revisionItems</t>
        </is>
      </c>
      <c r="G23" s="14" t="inlineStr">
        <is>
          <t>This workbook, sheet Ref Document templates</t>
        </is>
      </c>
      <c r="H23" s="14" t="inlineStr">
        <is>
          <t>16-Jul-2027 (T-24 weeks)</t>
        </is>
      </c>
      <c r="I23" s="14" t="n"/>
      <c r="J23" s="14" t="inlineStr">
        <is>
          <t>Not started</t>
        </is>
      </c>
      <c r="K23" s="14" t="n"/>
    </row>
    <row r="24">
      <c r="A24" s="14" t="inlineStr">
        <is>
          <t>EB_RFP_COVER</t>
        </is>
      </c>
      <c r="B24" s="14" t="inlineStr">
        <is>
          <t>Request for proposal {{requestNo}} - {{clientName}}</t>
        </is>
      </c>
      <c r="C24" s="14" t="inlineStr">
        <is>
          <t>Employee Benefits</t>
        </is>
      </c>
      <c r="D24" s="14" t="inlineStr">
        <is>
          <t>Drop 2</t>
        </is>
      </c>
      <c r="E24" s="14" t="inlineStr">
        <is>
          <t>Product Owner, Employee Benefits</t>
        </is>
      </c>
      <c r="F24" s="14" t="inlineStr">
        <is>
          <t>aoName, clientName, dueDate, insurerName, lines</t>
        </is>
      </c>
      <c r="G24" s="14" t="inlineStr">
        <is>
          <t>This workbook, sheet Ref Document templates</t>
        </is>
      </c>
      <c r="H24" s="14" t="inlineStr">
        <is>
          <t>16-Jul-2027 (T-24 weeks)</t>
        </is>
      </c>
      <c r="I24" s="14" t="n"/>
      <c r="J24" s="14" t="inlineStr">
        <is>
          <t>Not started</t>
        </is>
      </c>
      <c r="K24" s="14" t="n"/>
    </row>
    <row r="25">
      <c r="A25" s="14" t="inlineStr">
        <is>
          <t>EB_SOA_RELEASE</t>
        </is>
      </c>
      <c r="B25" s="14" t="inlineStr">
        <is>
          <t>Statement of account {{soaNo}} - {{programmeName}}</t>
        </is>
      </c>
      <c r="C25" s="14" t="inlineStr">
        <is>
          <t>Employee Benefits</t>
        </is>
      </c>
      <c r="D25" s="14" t="inlineStr">
        <is>
          <t>Drop 2</t>
        </is>
      </c>
      <c r="E25" s="14" t="inlineStr">
        <is>
          <t>Product Owner, Employee Benefits</t>
        </is>
      </c>
      <c r="F25" s="14" t="inlineStr">
        <is>
          <t>amount, aoName, contactName, insurerName, period, programmeName, soaNo</t>
        </is>
      </c>
      <c r="G25" s="14" t="inlineStr">
        <is>
          <t>This workbook, sheet Ref Document templates</t>
        </is>
      </c>
      <c r="H25" s="14" t="inlineStr">
        <is>
          <t>16-Jul-2027 (T-24 weeks)</t>
        </is>
      </c>
      <c r="I25" s="14" t="n"/>
      <c r="J25" s="14" t="inlineStr">
        <is>
          <t>Not started</t>
        </is>
      </c>
      <c r="K25" s="14" t="n"/>
    </row>
    <row r="26">
      <c r="A26" s="14" t="inlineStr">
        <is>
          <t>EB_SUBMISSION_COVER</t>
        </is>
      </c>
      <c r="B26" s="14" t="inlineStr">
        <is>
          <t>{{process}} documents - {{clientName}}</t>
        </is>
      </c>
      <c r="C26" s="14" t="inlineStr">
        <is>
          <t>Employee Benefits</t>
        </is>
      </c>
      <c r="D26" s="14" t="inlineStr">
        <is>
          <t>Drop 2</t>
        </is>
      </c>
      <c r="E26" s="14" t="inlineStr">
        <is>
          <t>Product Owner, Employee Benefits</t>
        </is>
      </c>
      <c r="F26" s="14" t="inlineStr">
        <is>
          <t>aoName, clientName, documents, insurerName, process, programmeName, remarks</t>
        </is>
      </c>
      <c r="G26" s="14" t="inlineStr">
        <is>
          <t>This workbook, sheet Ref Document templates</t>
        </is>
      </c>
      <c r="H26" s="14" t="inlineStr">
        <is>
          <t>16-Jul-2027 (T-24 weeks)</t>
        </is>
      </c>
      <c r="I26" s="14" t="n"/>
      <c r="J26" s="14" t="inlineStr">
        <is>
          <t>Not started</t>
        </is>
      </c>
      <c r="K26" s="14" t="n"/>
    </row>
    <row r="27">
      <c r="A27" s="14" t="inlineStr">
        <is>
          <t>EB_TOR</t>
        </is>
      </c>
      <c r="B27" s="14" t="inlineStr">
        <is>
          <t>Terms of Reference - {{programmeName}} ({{policyYear}})</t>
        </is>
      </c>
      <c r="C27" s="14" t="inlineStr">
        <is>
          <t>Employee Benefits</t>
        </is>
      </c>
      <c r="D27" s="14" t="inlineStr">
        <is>
          <t>Drop 2</t>
        </is>
      </c>
      <c r="E27" s="14" t="inlineStr">
        <is>
          <t>Product Owner, Employee Benefits</t>
        </is>
      </c>
      <c r="F27" s="14" t="inlineStr">
        <is>
          <t>clientName, inceptionDate, lines, programmeNo, torItems, torVersion</t>
        </is>
      </c>
      <c r="G27" s="14" t="inlineStr">
        <is>
          <t>This workbook, sheet Ref Document templates</t>
        </is>
      </c>
      <c r="H27" s="14" t="inlineStr">
        <is>
          <t>16-Jul-2027 (T-24 weeks)</t>
        </is>
      </c>
      <c r="I27" s="14" t="n"/>
      <c r="J27" s="14" t="inlineStr">
        <is>
          <t>Not started</t>
        </is>
      </c>
      <c r="K27" s="14" t="n"/>
    </row>
    <row r="28">
      <c r="A28" s="14" t="inlineStr">
        <is>
          <t>ENDORSEMENT_SLIP</t>
        </is>
      </c>
      <c r="B28" s="14" t="inlineStr">
        <is>
          <t>Endorsement slip</t>
        </is>
      </c>
      <c r="C28" s="14" t="inlineStr">
        <is>
          <t>Operations</t>
        </is>
      </c>
      <c r="D28" s="14" t="inlineStr">
        <is>
          <t>Drop 1</t>
        </is>
      </c>
      <c r="E28" s="14" t="inlineStr">
        <is>
          <t>Head, Operations Services</t>
        </is>
      </c>
      <c r="F28" s="14" t="inlineStr">
        <is>
          <t>arn, assured, effectiveDate, invoiceNo, policyNo, requestNo</t>
        </is>
      </c>
      <c r="G28" s="14" t="inlineStr">
        <is>
          <t>This workbook, sheet Ref Document templates</t>
        </is>
      </c>
      <c r="H28" s="14" t="inlineStr">
        <is>
          <t>16-Jul-2027 (T-24 weeks)</t>
        </is>
      </c>
      <c r="I28" s="14" t="n"/>
      <c r="J28" s="14" t="inlineStr">
        <is>
          <t>Not started</t>
        </is>
      </c>
      <c r="K28" s="14" t="n"/>
    </row>
    <row r="29">
      <c r="A29" s="14" t="inlineStr">
        <is>
          <t>EPOLICY_EMAIL</t>
        </is>
      </c>
      <c r="B29" s="14" t="inlineStr">
        <is>
          <t>Your e-policy</t>
        </is>
      </c>
      <c r="C29" s="14" t="inlineStr">
        <is>
          <t>New Business</t>
        </is>
      </c>
      <c r="D29" s="14" t="inlineStr">
        <is>
          <t>Drop 1</t>
        </is>
      </c>
      <c r="E29" s="14" t="inlineStr">
        <is>
          <t>Product Owner, BDOI (New Business)</t>
        </is>
      </c>
      <c r="F29" s="14" t="inlineStr">
        <is>
          <t>clientName, insurerName, policyNo, reference</t>
        </is>
      </c>
      <c r="G29" s="14" t="inlineStr">
        <is>
          <t>This workbook, sheet Ref Document templates</t>
        </is>
      </c>
      <c r="H29" s="14" t="inlineStr">
        <is>
          <t>16-Jul-2027 (T-24 weeks)</t>
        </is>
      </c>
      <c r="I29" s="14" t="n"/>
      <c r="J29" s="14" t="inlineStr">
        <is>
          <t>Not started</t>
        </is>
      </c>
      <c r="K29" s="14" t="n"/>
    </row>
    <row r="30">
      <c r="A30" s="14" t="inlineStr">
        <is>
          <t>HOLD_COVER_REQUEST</t>
        </is>
      </c>
      <c r="B30" s="14" t="inlineStr">
        <is>
          <t>Request for hold cover</t>
        </is>
      </c>
      <c r="C30" s="14" t="inlineStr">
        <is>
          <t>New Business</t>
        </is>
      </c>
      <c r="D30" s="14" t="inlineStr">
        <is>
          <t>Drop 1</t>
        </is>
      </c>
      <c r="E30" s="14" t="inlineStr">
        <is>
          <t>Product Owner, BDOI (New Business)</t>
        </is>
      </c>
      <c r="F30" s="14" t="inlineStr">
        <is>
          <t>reference, startDate</t>
        </is>
      </c>
      <c r="G30" s="14" t="inlineStr">
        <is>
          <t>This workbook, sheet Ref Document templates</t>
        </is>
      </c>
      <c r="H30" s="14" t="inlineStr">
        <is>
          <t>16-Jul-2027 (T-24 weeks)</t>
        </is>
      </c>
      <c r="I30" s="14" t="n"/>
      <c r="J30" s="14" t="inlineStr">
        <is>
          <t>Not started</t>
        </is>
      </c>
      <c r="K30" s="14" t="n"/>
    </row>
    <row r="31">
      <c r="A31" s="14" t="inlineStr">
        <is>
          <t>INSURANCE_ADVICE</t>
        </is>
      </c>
      <c r="B31" s="14" t="inlineStr">
        <is>
          <t>Insurance advice</t>
        </is>
      </c>
      <c r="C31" s="14" t="inlineStr">
        <is>
          <t>New Business</t>
        </is>
      </c>
      <c r="D31" s="14" t="inlineStr">
        <is>
          <t>Drop 1</t>
        </is>
      </c>
      <c r="E31" s="14" t="inlineStr">
        <is>
          <t>Product Owner, BDOI (New Business)</t>
        </is>
      </c>
      <c r="F31" s="14" t="inlineStr">
        <is>
          <t>insurerName, mortgagee, periodFrom, periodTo, policyNo</t>
        </is>
      </c>
      <c r="G31" s="14" t="inlineStr">
        <is>
          <t>This workbook, sheet Ref Document templates</t>
        </is>
      </c>
      <c r="H31" s="14" t="inlineStr">
        <is>
          <t>16-Jul-2027 (T-24 weeks)</t>
        </is>
      </c>
      <c r="I31" s="14" t="n"/>
      <c r="J31" s="14" t="inlineStr">
        <is>
          <t>Not started</t>
        </is>
      </c>
      <c r="K31" s="14" t="n"/>
    </row>
    <row r="32">
      <c r="A32" s="14" t="inlineStr">
        <is>
          <t>PKG_ADVISORY</t>
        </is>
      </c>
      <c r="B32" s="14" t="inlineStr">
        <is>
          <t>Package advisory</t>
        </is>
      </c>
      <c r="C32" s="14" t="inlineStr">
        <is>
          <t>Product Maintenance</t>
        </is>
      </c>
      <c r="D32" s="14" t="inlineStr">
        <is>
          <t>Drop 0</t>
        </is>
      </c>
      <c r="E32" s="14" t="inlineStr">
        <is>
          <t>Product Owner, Marketing Business System (MBS)</t>
        </is>
      </c>
      <c r="F32" s="14" t="inlineStr">
        <is>
          <t>effectiveFrom, productCode, productName, reference, versionNo</t>
        </is>
      </c>
      <c r="G32" s="14" t="inlineStr">
        <is>
          <t>BRD-03 template CI-08, sheet PM-08 Document templates</t>
        </is>
      </c>
      <c r="H32" s="14" t="inlineStr">
        <is>
          <t>16-Jul-2027 (T-24 weeks)</t>
        </is>
      </c>
      <c r="I32" s="14" t="n"/>
      <c r="J32" s="14" t="inlineStr">
        <is>
          <t>Not started</t>
        </is>
      </c>
      <c r="K32" s="14" t="n"/>
    </row>
    <row r="33">
      <c r="A33" s="14" t="inlineStr">
        <is>
          <t>PKG_COMPARATIVE</t>
        </is>
      </c>
      <c r="B33" s="14" t="inlineStr">
        <is>
          <t>Package comparative table</t>
        </is>
      </c>
      <c r="C33" s="14" t="inlineStr">
        <is>
          <t>Product Maintenance</t>
        </is>
      </c>
      <c r="D33" s="14" t="inlineStr">
        <is>
          <t>Drop 0</t>
        </is>
      </c>
      <c r="E33" s="14" t="inlineStr">
        <is>
          <t>Product Owner, Marketing Business System (MBS)</t>
        </is>
      </c>
      <c r="F33" s="14" t="inlineStr">
        <is>
          <t>reference, roundNo, variant</t>
        </is>
      </c>
      <c r="G33" s="14" t="inlineStr">
        <is>
          <t>BRD-03 template CI-08, sheet PM-08 Document templates</t>
        </is>
      </c>
      <c r="H33" s="14" t="inlineStr">
        <is>
          <t>16-Jul-2027 (T-24 weeks)</t>
        </is>
      </c>
      <c r="I33" s="14" t="n"/>
      <c r="J33" s="14" t="inlineStr">
        <is>
          <t>Not started</t>
        </is>
      </c>
      <c r="K33" s="14" t="n"/>
    </row>
    <row r="34">
      <c r="A34" s="14" t="inlineStr">
        <is>
          <t>PKG_QUOTATION_SLIP</t>
        </is>
      </c>
      <c r="B34" s="14" t="inlineStr">
        <is>
          <t>Package quotation slip</t>
        </is>
      </c>
      <c r="C34" s="14" t="inlineStr">
        <is>
          <t>Product Maintenance</t>
        </is>
      </c>
      <c r="D34" s="14" t="inlineStr">
        <is>
          <t>Drop 0</t>
        </is>
      </c>
      <c r="E34" s="14" t="inlineStr">
        <is>
          <t>Product Owner, Marketing Business System (MBS)</t>
        </is>
      </c>
      <c r="F34" s="14" t="inlineStr">
        <is>
          <t>reference, replyBy, roundNo</t>
        </is>
      </c>
      <c r="G34" s="14" t="inlineStr">
        <is>
          <t>BRD-03 template CI-08, sheet PM-08 Document templates</t>
        </is>
      </c>
      <c r="H34" s="14" t="inlineStr">
        <is>
          <t>16-Jul-2027 (T-24 weeks)</t>
        </is>
      </c>
      <c r="I34" s="14" t="n"/>
      <c r="J34" s="14" t="inlineStr">
        <is>
          <t>Not started</t>
        </is>
      </c>
      <c r="K34" s="14" t="n"/>
    </row>
    <row r="35">
      <c r="A35" s="14" t="inlineStr">
        <is>
          <t>PKG_RENEWAL_ADVISORY</t>
        </is>
      </c>
      <c r="B35" s="14" t="inlineStr">
        <is>
          <t>Package renewal advisory</t>
        </is>
      </c>
      <c r="C35" s="14" t="inlineStr">
        <is>
          <t>Product Maintenance</t>
        </is>
      </c>
      <c r="D35" s="14" t="inlineStr">
        <is>
          <t>Drop 0</t>
        </is>
      </c>
      <c r="E35" s="14" t="inlineStr">
        <is>
          <t>Product Owner, Marketing Business System (MBS)</t>
        </is>
      </c>
      <c r="F35" s="14" t="inlineStr">
        <is>
          <t>effectiveFrom, productCode, productName, reference, versionNo</t>
        </is>
      </c>
      <c r="G35" s="14" t="inlineStr">
        <is>
          <t>BRD-03 template CI-08, sheet PM-08 Document templates</t>
        </is>
      </c>
      <c r="H35" s="14" t="inlineStr">
        <is>
          <t>16-Jul-2027 (T-24 weeks)</t>
        </is>
      </c>
      <c r="I35" s="14" t="n"/>
      <c r="J35" s="14" t="inlineStr">
        <is>
          <t>Not started</t>
        </is>
      </c>
      <c r="K35" s="14" t="n"/>
    </row>
    <row r="36">
      <c r="A36" s="14" t="inlineStr">
        <is>
          <t>PKG_REQUEST_FORM</t>
        </is>
      </c>
      <c r="B36" s="14" t="inlineStr">
        <is>
          <t>Package request form</t>
        </is>
      </c>
      <c r="C36" s="14" t="inlineStr">
        <is>
          <t>Product Maintenance</t>
        </is>
      </c>
      <c r="D36" s="14" t="inlineStr">
        <is>
          <t>Drop 0</t>
        </is>
      </c>
      <c r="E36" s="14" t="inlineStr">
        <is>
          <t>Product Owner, Marketing Business System (MBS)</t>
        </is>
      </c>
      <c r="F36" s="14" t="inlineStr">
        <is>
          <t>reference, requestType, title</t>
        </is>
      </c>
      <c r="G36" s="14" t="inlineStr">
        <is>
          <t>BRD-03 template CI-08, sheet PM-08 Document templates</t>
        </is>
      </c>
      <c r="H36" s="14" t="inlineStr">
        <is>
          <t>16-Jul-2027 (T-24 weeks)</t>
        </is>
      </c>
      <c r="I36" s="14" t="n"/>
      <c r="J36" s="14" t="inlineStr">
        <is>
          <t>Not started</t>
        </is>
      </c>
      <c r="K36" s="14" t="n"/>
    </row>
    <row r="37">
      <c r="A37" s="14" t="inlineStr">
        <is>
          <t>PKG_SLIP</t>
        </is>
      </c>
      <c r="B37" s="14" t="inlineStr">
        <is>
          <t>Package slip</t>
        </is>
      </c>
      <c r="C37" s="14" t="inlineStr">
        <is>
          <t>Product Maintenance</t>
        </is>
      </c>
      <c r="D37" s="14" t="inlineStr">
        <is>
          <t>Drop 0</t>
        </is>
      </c>
      <c r="E37" s="14" t="inlineStr">
        <is>
          <t>Product Owner, Marketing Business System (MBS)</t>
        </is>
      </c>
      <c r="F37" s="14" t="inlineStr">
        <is>
          <t>reference, title</t>
        </is>
      </c>
      <c r="G37" s="14" t="inlineStr">
        <is>
          <t>BRD-03 template CI-08, sheet PM-08 Document templates</t>
        </is>
      </c>
      <c r="H37" s="14" t="inlineStr">
        <is>
          <t>16-Jul-2027 (T-24 weeks)</t>
        </is>
      </c>
      <c r="I37" s="14" t="n"/>
      <c r="J37" s="14" t="inlineStr">
        <is>
          <t>Not started</t>
        </is>
      </c>
      <c r="K37" s="14" t="n"/>
    </row>
    <row r="38">
      <c r="A38" s="14" t="inlineStr">
        <is>
          <t>PLACEMENT_SLIP</t>
        </is>
      </c>
      <c r="B38" s="14" t="inlineStr">
        <is>
          <t>Placement slip</t>
        </is>
      </c>
      <c r="C38" s="14" t="inlineStr">
        <is>
          <t>New Business</t>
        </is>
      </c>
      <c r="D38" s="14" t="inlineStr">
        <is>
          <t>Drop 1</t>
        </is>
      </c>
      <c r="E38" s="14" t="inlineStr">
        <is>
          <t>Product Owner, BDOI (New Business)</t>
        </is>
      </c>
      <c r="F38" s="14" t="inlineStr">
        <is>
          <t>reference</t>
        </is>
      </c>
      <c r="G38" s="14" t="inlineStr">
        <is>
          <t>This workbook, sheet Ref Document templates</t>
        </is>
      </c>
      <c r="H38" s="14" t="inlineStr">
        <is>
          <t>16-Jul-2027 (T-24 weeks)</t>
        </is>
      </c>
      <c r="I38" s="14" t="n"/>
      <c r="J38" s="14" t="inlineStr">
        <is>
          <t>Not started</t>
        </is>
      </c>
      <c r="K38" s="14" t="n"/>
    </row>
    <row r="39">
      <c r="A39" s="14" t="inlineStr">
        <is>
          <t>PRODRECON_COVER_LETTER</t>
        </is>
      </c>
      <c r="B39" s="14" t="inlineStr">
        <is>
          <t>Production register for reconciliation</t>
        </is>
      </c>
      <c r="C39" s="14" t="inlineStr">
        <is>
          <t>Operations</t>
        </is>
      </c>
      <c r="D39" s="14" t="inlineStr">
        <is>
          <t>Drop 1</t>
        </is>
      </c>
      <c r="E39" s="14" t="inlineStr">
        <is>
          <t>Head, Operations Services</t>
        </is>
      </c>
      <c r="F39" s="14" t="inlineStr">
        <is>
          <t>bookingFrom, bookingTo, extractNo, insurerName, productionMonth, rowCount</t>
        </is>
      </c>
      <c r="G39" s="14" t="inlineStr">
        <is>
          <t>This workbook, sheet Ref Document templates</t>
        </is>
      </c>
      <c r="H39" s="14" t="inlineStr">
        <is>
          <t>16-Jul-2027 (T-24 weeks)</t>
        </is>
      </c>
      <c r="I39" s="14" t="n"/>
      <c r="J39" s="14" t="inlineStr">
        <is>
          <t>Not started</t>
        </is>
      </c>
      <c r="K39" s="14" t="n"/>
    </row>
    <row r="40">
      <c r="A40" s="14" t="inlineStr">
        <is>
          <t>PROPOSAL_SLIP</t>
        </is>
      </c>
      <c r="B40" s="14" t="inlineStr">
        <is>
          <t>Proposal slip</t>
        </is>
      </c>
      <c r="C40" s="14" t="inlineStr">
        <is>
          <t>New Business</t>
        </is>
      </c>
      <c r="D40" s="14" t="inlineStr">
        <is>
          <t>Drop 1</t>
        </is>
      </c>
      <c r="E40" s="14" t="inlineStr">
        <is>
          <t>Product Owner, BDOI (New Business)</t>
        </is>
      </c>
      <c r="F40" s="14" t="inlineStr">
        <is>
          <t>clientName, reference</t>
        </is>
      </c>
      <c r="G40" s="14" t="inlineStr">
        <is>
          <t>This workbook, sheet Ref Document templates</t>
        </is>
      </c>
      <c r="H40" s="14" t="inlineStr">
        <is>
          <t>16-Jul-2027 (T-24 weeks)</t>
        </is>
      </c>
      <c r="I40" s="14" t="n"/>
      <c r="J40" s="14" t="inlineStr">
        <is>
          <t>Not started</t>
        </is>
      </c>
      <c r="K40" s="14" t="n"/>
    </row>
    <row r="41">
      <c r="A41" s="14" t="inlineStr">
        <is>
          <t>PRQ_LIQUIDATION</t>
        </is>
      </c>
      <c r="B41" s="14" t="inlineStr">
        <is>
          <t>Cash Advance Liquidation Form</t>
        </is>
      </c>
      <c r="C41" s="14" t="inlineStr">
        <is>
          <t>Accounting, Disbursement and ACSL</t>
        </is>
      </c>
      <c r="D41" s="14" t="inlineStr">
        <is>
          <t>Drop 1</t>
        </is>
      </c>
      <c r="E41" s="14" t="inlineStr">
        <is>
          <t>Head, Comptrollership</t>
        </is>
      </c>
      <c r="F41" s="14" t="inlineStr">
        <is>
          <t>cashAdvanced, currency, liquidationNo, overShort, payeeName, requestNo, totalExpenses</t>
        </is>
      </c>
      <c r="G41" s="14" t="inlineStr">
        <is>
          <t>This workbook, sheet Ref Document templates</t>
        </is>
      </c>
      <c r="H41" s="14" t="inlineStr">
        <is>
          <t>16-Jul-2027 (T-24 weeks)</t>
        </is>
      </c>
      <c r="I41" s="14" t="n"/>
      <c r="J41" s="14" t="inlineStr">
        <is>
          <t>Not started</t>
        </is>
      </c>
      <c r="K41" s="14" t="n"/>
    </row>
    <row r="42">
      <c r="A42" s="14" t="inlineStr">
        <is>
          <t>PRQ_RFP</t>
        </is>
      </c>
      <c r="B42" s="14" t="inlineStr">
        <is>
          <t>Request for Payment</t>
        </is>
      </c>
      <c r="C42" s="14" t="inlineStr">
        <is>
          <t>Accounting, Disbursement and ACSL</t>
        </is>
      </c>
      <c r="D42" s="14" t="inlineStr">
        <is>
          <t>Drop 1</t>
        </is>
      </c>
      <c r="E42" s="14" t="inlineStr">
        <is>
          <t>Head, Comptrollership</t>
        </is>
      </c>
      <c r="F42" s="14" t="inlineStr">
        <is>
          <t>amount, currency, mode, payeeName, purpose, requestDate, requestNo, rfpType</t>
        </is>
      </c>
      <c r="G42" s="14" t="inlineStr">
        <is>
          <t>This workbook, sheet Ref Document templates</t>
        </is>
      </c>
      <c r="H42" s="14" t="inlineStr">
        <is>
          <t>16-Jul-2027 (T-24 weeks)</t>
        </is>
      </c>
      <c r="I42" s="14" t="n"/>
      <c r="J42" s="14" t="inlineStr">
        <is>
          <t>Not started</t>
        </is>
      </c>
      <c r="K42" s="14" t="n"/>
    </row>
    <row r="43">
      <c r="A43" s="14" t="inlineStr">
        <is>
          <t>PRQ_RRF</t>
        </is>
      </c>
      <c r="B43" s="14" t="inlineStr">
        <is>
          <t>Refund Request Form</t>
        </is>
      </c>
      <c r="C43" s="14" t="inlineStr">
        <is>
          <t>Accounting, Disbursement and ACSL</t>
        </is>
      </c>
      <c r="D43" s="14" t="inlineStr">
        <is>
          <t>Drop 1</t>
        </is>
      </c>
      <c r="E43" s="14" t="inlineStr">
        <is>
          <t>Head, Comptrollership</t>
        </is>
      </c>
      <c r="F43" s="14" t="inlineStr">
        <is>
          <t>amount, currency, mode, payeeName, reference, requestDate, requestNo, segment</t>
        </is>
      </c>
      <c r="G43" s="14" t="inlineStr">
        <is>
          <t>This workbook, sheet Ref Document templates</t>
        </is>
      </c>
      <c r="H43" s="14" t="inlineStr">
        <is>
          <t>16-Jul-2027 (T-24 weeks)</t>
        </is>
      </c>
      <c r="I43" s="14" t="n"/>
      <c r="J43" s="14" t="inlineStr">
        <is>
          <t>Not started</t>
        </is>
      </c>
      <c r="K43" s="14" t="n"/>
    </row>
    <row r="44">
      <c r="A44" s="14" t="inlineStr">
        <is>
          <t>QUOTATION_LETTER</t>
        </is>
      </c>
      <c r="B44" s="14" t="inlineStr">
        <is>
          <t>Insurance quotation</t>
        </is>
      </c>
      <c r="C44" s="14" t="inlineStr">
        <is>
          <t>New Business</t>
        </is>
      </c>
      <c r="D44" s="14" t="inlineStr">
        <is>
          <t>Drop 1</t>
        </is>
      </c>
      <c r="E44" s="14" t="inlineStr">
        <is>
          <t>Product Owner, BDOI (New Business)</t>
        </is>
      </c>
      <c r="F44" s="14" t="inlineStr">
        <is>
          <t>clientName, productName, reference, validUntil</t>
        </is>
      </c>
      <c r="G44" s="14" t="inlineStr">
        <is>
          <t>This workbook, sheet Ref Document templates</t>
        </is>
      </c>
      <c r="H44" s="14" t="inlineStr">
        <is>
          <t>16-Jul-2027 (T-24 weeks)</t>
        </is>
      </c>
      <c r="I44" s="14" t="n"/>
      <c r="J44" s="14" t="inlineStr">
        <is>
          <t>Not started</t>
        </is>
      </c>
      <c r="K44" s="14" t="n"/>
    </row>
    <row r="45">
      <c r="A45" s="14" t="inlineStr">
        <is>
          <t>QUOTATION_SLIP</t>
        </is>
      </c>
      <c r="B45" s="14" t="inlineStr">
        <is>
          <t>Quotation slip</t>
        </is>
      </c>
      <c r="C45" s="14" t="inlineStr">
        <is>
          <t>New Business</t>
        </is>
      </c>
      <c r="D45" s="14" t="inlineStr">
        <is>
          <t>Drop 1</t>
        </is>
      </c>
      <c r="E45" s="14" t="inlineStr">
        <is>
          <t>Product Owner, BDOI (New Business)</t>
        </is>
      </c>
      <c r="F45" s="14" t="inlineStr">
        <is>
          <t>reference, replyBy</t>
        </is>
      </c>
      <c r="G45" s="14" t="inlineStr">
        <is>
          <t>This workbook, sheet Ref Document templates</t>
        </is>
      </c>
      <c r="H45" s="14" t="inlineStr">
        <is>
          <t>16-Jul-2027 (T-24 weeks)</t>
        </is>
      </c>
      <c r="I45" s="14" t="n"/>
      <c r="J45" s="14" t="inlineStr">
        <is>
          <t>Not started</t>
        </is>
      </c>
      <c r="K45" s="14" t="n"/>
    </row>
    <row r="46">
      <c r="A46" s="14" t="inlineStr">
        <is>
          <t>QUOTATION_TERMS</t>
        </is>
      </c>
      <c r="B46" s="14" t="inlineStr">
        <is>
          <t>Terms and conditions</t>
        </is>
      </c>
      <c r="C46" s="14" t="inlineStr">
        <is>
          <t>New Business</t>
        </is>
      </c>
      <c r="D46" s="14" t="inlineStr">
        <is>
          <t>Drop 1</t>
        </is>
      </c>
      <c r="E46" s="14" t="inlineStr">
        <is>
          <t>Product Owner, BDOI (New Business)</t>
        </is>
      </c>
      <c r="F46" s="14" t="inlineStr"/>
      <c r="G46" s="14" t="inlineStr">
        <is>
          <t>This workbook, sheet Ref Document templates</t>
        </is>
      </c>
      <c r="H46" s="14" t="inlineStr">
        <is>
          <t>16-Jul-2027 (T-24 weeks)</t>
        </is>
      </c>
      <c r="I46" s="14" t="n"/>
      <c r="J46" s="14" t="inlineStr">
        <is>
          <t>Not started</t>
        </is>
      </c>
      <c r="K46" s="14" t="n"/>
    </row>
    <row r="47">
      <c r="A47" s="14" t="inlineStr">
        <is>
          <t>REMITTANCE_PAYMENT_REQUEST</t>
        </is>
      </c>
      <c r="B47" s="14" t="inlineStr">
        <is>
          <t>Payment request</t>
        </is>
      </c>
      <c r="C47" s="14" t="inlineStr">
        <is>
          <t>Operations</t>
        </is>
      </c>
      <c r="D47" s="14" t="inlineStr">
        <is>
          <t>Drop 1</t>
        </is>
      </c>
      <c r="E47" s="14" t="inlineStr">
        <is>
          <t>Head, Operations Services</t>
        </is>
      </c>
      <c r="F47" s="14" t="inlineStr">
        <is>
          <t>amount, approvedBy, currency, insurerName, reference</t>
        </is>
      </c>
      <c r="G47" s="14" t="inlineStr">
        <is>
          <t>This workbook, sheet Ref Document templates</t>
        </is>
      </c>
      <c r="H47" s="14" t="inlineStr">
        <is>
          <t>16-Jul-2027 (T-24 weeks)</t>
        </is>
      </c>
      <c r="I47" s="14" t="n"/>
      <c r="J47" s="14" t="inlineStr">
        <is>
          <t>Not started</t>
        </is>
      </c>
      <c r="K47" s="14" t="n"/>
    </row>
    <row r="48">
      <c r="A48" s="14" t="inlineStr">
        <is>
          <t>REMITTANCE_SCHEDULE</t>
        </is>
      </c>
      <c r="B48" s="14" t="inlineStr">
        <is>
          <t>Remittance schedule</t>
        </is>
      </c>
      <c r="C48" s="14" t="inlineStr">
        <is>
          <t>Operations</t>
        </is>
      </c>
      <c r="D48" s="14" t="inlineStr">
        <is>
          <t>Drop 1</t>
        </is>
      </c>
      <c r="E48" s="14" t="inlineStr">
        <is>
          <t>Head, Operations Services</t>
        </is>
      </c>
      <c r="F48" s="14" t="inlineStr">
        <is>
          <t>incentiveNote, insurerName, reference, remittanceType</t>
        </is>
      </c>
      <c r="G48" s="14" t="inlineStr">
        <is>
          <t>This workbook, sheet Ref Document templates</t>
        </is>
      </c>
      <c r="H48" s="14" t="inlineStr">
        <is>
          <t>16-Jul-2027 (T-24 weeks)</t>
        </is>
      </c>
      <c r="I48" s="14" t="n"/>
      <c r="J48" s="14" t="inlineStr">
        <is>
          <t>Not started</t>
        </is>
      </c>
      <c r="K48" s="14" t="n"/>
    </row>
    <row r="49">
      <c r="A49" s="14" t="inlineStr">
        <is>
          <t>RNW_ACCOUNT_DETAILS</t>
        </is>
      </c>
      <c r="B49" s="14" t="inlineStr">
        <is>
          <t>Renewal account details - {{renewalRef}}</t>
        </is>
      </c>
      <c r="C49" s="14" t="inlineStr">
        <is>
          <t>Renewal</t>
        </is>
      </c>
      <c r="D49" s="14" t="inlineStr">
        <is>
          <t>Drop 1</t>
        </is>
      </c>
      <c r="E49" s="14" t="inlineStr">
        <is>
          <t>Product Owner, Renewal</t>
        </is>
      </c>
      <c r="F49" s="14" t="inlineStr">
        <is>
          <t>asOf, clientName, expiringArn</t>
        </is>
      </c>
      <c r="G49" s="14" t="inlineStr">
        <is>
          <t>This workbook, sheet Ref Document templates</t>
        </is>
      </c>
      <c r="H49" s="14" t="inlineStr">
        <is>
          <t>16-Jul-2027 (T-24 weeks)</t>
        </is>
      </c>
      <c r="I49" s="14" t="n"/>
      <c r="J49" s="14" t="inlineStr">
        <is>
          <t>Not started</t>
        </is>
      </c>
      <c r="K49" s="14" t="n"/>
    </row>
    <row r="50">
      <c r="A50" s="14" t="inlineStr">
        <is>
          <t>RNW_INSURER_COVER</t>
        </is>
      </c>
      <c r="B50" s="14" t="inlineStr">
        <is>
          <t>Renewals for your decision - batch {{batchNo}}</t>
        </is>
      </c>
      <c r="C50" s="14" t="inlineStr">
        <is>
          <t>Renewal</t>
        </is>
      </c>
      <c r="D50" s="14" t="inlineStr">
        <is>
          <t>Drop 1</t>
        </is>
      </c>
      <c r="E50" s="14" t="inlineStr">
        <is>
          <t>Product Owner, Renewal</t>
        </is>
      </c>
      <c r="F50" s="14" t="inlineStr">
        <is>
          <t>count, expiryFrom, expiryTo, insurerName, replyDue</t>
        </is>
      </c>
      <c r="G50" s="14" t="inlineStr">
        <is>
          <t>This workbook, sheet Ref Document templates</t>
        </is>
      </c>
      <c r="H50" s="14" t="inlineStr">
        <is>
          <t>16-Jul-2027 (T-24 weeks)</t>
        </is>
      </c>
      <c r="I50" s="14" t="n"/>
      <c r="J50" s="14" t="inlineStr">
        <is>
          <t>Not started</t>
        </is>
      </c>
      <c r="K50" s="14" t="n"/>
    </row>
    <row r="51">
      <c r="A51" s="14" t="inlineStr">
        <is>
          <t>RNW_NAL</t>
        </is>
      </c>
      <c r="B51" s="14" t="inlineStr">
        <is>
          <t>Notice on your policy {{policyNo}}</t>
        </is>
      </c>
      <c r="C51" s="14" t="inlineStr">
        <is>
          <t>Renewal</t>
        </is>
      </c>
      <c r="D51" s="14" t="inlineStr">
        <is>
          <t>Drop 1</t>
        </is>
      </c>
      <c r="E51" s="14" t="inlineStr">
        <is>
          <t>Product Owner, Renewal</t>
        </is>
      </c>
      <c r="F51" s="14" t="inlineStr">
        <is>
          <t>aoName, clientName, expiryDate, insurerName, policyNo, renewalRef</t>
        </is>
      </c>
      <c r="G51" s="14" t="inlineStr">
        <is>
          <t>This workbook, sheet Ref Document templates</t>
        </is>
      </c>
      <c r="H51" s="14" t="inlineStr">
        <is>
          <t>16-Jul-2027 (T-24 weeks)</t>
        </is>
      </c>
      <c r="I51" s="14" t="n"/>
      <c r="J51" s="14" t="inlineStr">
        <is>
          <t>Not started</t>
        </is>
      </c>
      <c r="K51" s="14" t="n"/>
    </row>
    <row r="52">
      <c r="A52" s="14" t="inlineStr">
        <is>
          <t>RNW_NFR</t>
        </is>
      </c>
      <c r="B52" s="14" t="inlineStr">
        <is>
          <t>Your policy {{policyNo}} will not be renewed</t>
        </is>
      </c>
      <c r="C52" s="14" t="inlineStr">
        <is>
          <t>Renewal</t>
        </is>
      </c>
      <c r="D52" s="14" t="inlineStr">
        <is>
          <t>Drop 1</t>
        </is>
      </c>
      <c r="E52" s="14" t="inlineStr">
        <is>
          <t>Product Owner, Renewal</t>
        </is>
      </c>
      <c r="F52" s="14" t="inlineStr">
        <is>
          <t>aoName, clientName, expiryDate, insurerName, policyNo, reason, renewalRef</t>
        </is>
      </c>
      <c r="G52" s="14" t="inlineStr">
        <is>
          <t>This workbook, sheet Ref Document templates</t>
        </is>
      </c>
      <c r="H52" s="14" t="inlineStr">
        <is>
          <t>16-Jul-2027 (T-24 weeks)</t>
        </is>
      </c>
      <c r="I52" s="14" t="n"/>
      <c r="J52" s="14" t="inlineStr">
        <is>
          <t>Not started</t>
        </is>
      </c>
      <c r="K52" s="14" t="n"/>
    </row>
    <row r="53">
      <c r="A53" s="14" t="inlineStr">
        <is>
          <t>RNW_NON_ACCEPTANCE</t>
        </is>
      </c>
      <c r="B53" s="14" t="inlineStr">
        <is>
          <t>Your policy {{policyNo}} has expired</t>
        </is>
      </c>
      <c r="C53" s="14" t="inlineStr">
        <is>
          <t>Renewal</t>
        </is>
      </c>
      <c r="D53" s="14" t="inlineStr">
        <is>
          <t>Drop 1</t>
        </is>
      </c>
      <c r="E53" s="14" t="inlineStr">
        <is>
          <t>Product Owner, Renewal</t>
        </is>
      </c>
      <c r="F53" s="14" t="inlineStr">
        <is>
          <t>aoName, clientName, expiryDate, insurerName, policyNo, renewalRef</t>
        </is>
      </c>
      <c r="G53" s="14" t="inlineStr">
        <is>
          <t>This workbook, sheet Ref Document templates</t>
        </is>
      </c>
      <c r="H53" s="14" t="inlineStr">
        <is>
          <t>16-Jul-2027 (T-24 weeks)</t>
        </is>
      </c>
      <c r="I53" s="14" t="n"/>
      <c r="J53" s="14" t="inlineStr">
        <is>
          <t>Not started</t>
        </is>
      </c>
      <c r="K53" s="14" t="n"/>
    </row>
    <row r="54">
      <c r="A54" s="14" t="inlineStr">
        <is>
          <t>RNW_NRNS_REMINDER</t>
        </is>
      </c>
      <c r="B54" s="14" t="inlineStr">
        <is>
          <t>Reminder: renewal of your policy {{policyNo}}</t>
        </is>
      </c>
      <c r="C54" s="14" t="inlineStr">
        <is>
          <t>Renewal</t>
        </is>
      </c>
      <c r="D54" s="14" t="inlineStr">
        <is>
          <t>Drop 1</t>
        </is>
      </c>
      <c r="E54" s="14" t="inlineStr">
        <is>
          <t>Product Owner, Renewal</t>
        </is>
      </c>
      <c r="F54" s="14" t="inlineStr">
        <is>
          <t>aoName, clientName, expiryDate, insurerName, policyNo, renewalRef</t>
        </is>
      </c>
      <c r="G54" s="14" t="inlineStr">
        <is>
          <t>This workbook, sheet Ref Document templates</t>
        </is>
      </c>
      <c r="H54" s="14" t="inlineStr">
        <is>
          <t>16-Jul-2027 (T-24 weeks)</t>
        </is>
      </c>
      <c r="I54" s="14" t="n"/>
      <c r="J54" s="14" t="inlineStr">
        <is>
          <t>Not started</t>
        </is>
      </c>
      <c r="K54" s="14" t="n"/>
    </row>
    <row r="55">
      <c r="A55" s="14" t="inlineStr">
        <is>
          <t>RNW_RA_FFY</t>
        </is>
      </c>
      <c r="B55" s="14" t="inlineStr">
        <is>
          <t>Renewal Advice (first year free) - {{assuredName}} - policy {{policyNo}}</t>
        </is>
      </c>
      <c r="C55" s="14" t="inlineStr">
        <is>
          <t>Renewal</t>
        </is>
      </c>
      <c r="D55" s="14" t="inlineStr">
        <is>
          <t>Drop 1</t>
        </is>
      </c>
      <c r="E55" s="14" t="inlineStr">
        <is>
          <t>Product Owner, Renewal</t>
        </is>
      </c>
      <c r="F55" s="14" t="inlineStr">
        <is>
          <t>aoName, clientName, currency, expiryDate, grossPremium, insurerName, policyNo, renewalFrom, renewalRef, renewalTo, sumInsured</t>
        </is>
      </c>
      <c r="G55" s="14" t="inlineStr">
        <is>
          <t>This workbook, sheet Ref Document templates</t>
        </is>
      </c>
      <c r="H55" s="14" t="inlineStr">
        <is>
          <t>16-Jul-2027 (T-24 weeks)</t>
        </is>
      </c>
      <c r="I55" s="14" t="n"/>
      <c r="J55" s="14" t="inlineStr">
        <is>
          <t>Not started</t>
        </is>
      </c>
      <c r="K55" s="14" t="n"/>
    </row>
    <row r="56">
      <c r="A56" s="14" t="inlineStr">
        <is>
          <t>RNW_RA_FIRST</t>
        </is>
      </c>
      <c r="B56" s="14" t="inlineStr">
        <is>
          <t>Renewal Advice - {{assuredName}} - policy {{policyNo}}</t>
        </is>
      </c>
      <c r="C56" s="14" t="inlineStr">
        <is>
          <t>Renewal</t>
        </is>
      </c>
      <c r="D56" s="14" t="inlineStr">
        <is>
          <t>Drop 1</t>
        </is>
      </c>
      <c r="E56" s="14" t="inlineStr">
        <is>
          <t>Product Owner, Renewal</t>
        </is>
      </c>
      <c r="F56" s="14" t="inlineStr">
        <is>
          <t>aoName, clientName, currency, expiryDate, grossPremium, insurerName, policyNo, productName, renewalFrom, renewalRef, renewalTo, sumInsured</t>
        </is>
      </c>
      <c r="G56" s="14" t="inlineStr">
        <is>
          <t>This workbook, sheet Ref Document templates</t>
        </is>
      </c>
      <c r="H56" s="14" t="inlineStr">
        <is>
          <t>16-Jul-2027 (T-24 weeks)</t>
        </is>
      </c>
      <c r="I56" s="14" t="n"/>
      <c r="J56" s="14" t="inlineStr">
        <is>
          <t>Not started</t>
        </is>
      </c>
      <c r="K56" s="14" t="n"/>
    </row>
    <row r="57">
      <c r="A57" s="14" t="inlineStr">
        <is>
          <t>RNW_RA_SECOND</t>
        </is>
      </c>
      <c r="B57" s="14" t="inlineStr">
        <is>
          <t>Second notice: Renewal Advice - {{assuredName}} - policy {{policyNo}}</t>
        </is>
      </c>
      <c r="C57" s="14" t="inlineStr">
        <is>
          <t>Renewal</t>
        </is>
      </c>
      <c r="D57" s="14" t="inlineStr">
        <is>
          <t>Drop 1</t>
        </is>
      </c>
      <c r="E57" s="14" t="inlineStr">
        <is>
          <t>Product Owner, Renewal</t>
        </is>
      </c>
      <c r="F57" s="14" t="inlineStr">
        <is>
          <t>aoName, clientName, currency, expiryDate, grossPremium, insurerName, policyNo, renewalRef, sumInsured</t>
        </is>
      </c>
      <c r="G57" s="14" t="inlineStr">
        <is>
          <t>This workbook, sheet Ref Document templates</t>
        </is>
      </c>
      <c r="H57" s="14" t="inlineStr">
        <is>
          <t>16-Jul-2027 (T-24 weeks)</t>
        </is>
      </c>
      <c r="I57" s="14" t="n"/>
      <c r="J57" s="14" t="inlineStr">
        <is>
          <t>Not started</t>
        </is>
      </c>
      <c r="K57" s="14" t="n"/>
    </row>
    <row r="58">
      <c r="A58" s="14" t="inlineStr">
        <is>
          <t>RNW_SFU</t>
        </is>
      </c>
      <c r="B58" s="14" t="inlineStr">
        <is>
          <t>Follow-up on the renewal of your mortgaged property - policy {{policyNo}}</t>
        </is>
      </c>
      <c r="C58" s="14" t="inlineStr">
        <is>
          <t>Renewal</t>
        </is>
      </c>
      <c r="D58" s="14" t="inlineStr">
        <is>
          <t>Drop 1</t>
        </is>
      </c>
      <c r="E58" s="14" t="inlineStr">
        <is>
          <t>Product Owner, Renewal</t>
        </is>
      </c>
      <c r="F58" s="14" t="inlineStr">
        <is>
          <t>aoName, clientName, expiryDate, policyNo, renewalRef</t>
        </is>
      </c>
      <c r="G58" s="14" t="inlineStr">
        <is>
          <t>This workbook, sheet Ref Document templates</t>
        </is>
      </c>
      <c r="H58" s="14" t="inlineStr">
        <is>
          <t>16-Jul-2027 (T-24 weeks)</t>
        </is>
      </c>
      <c r="I58" s="14" t="n"/>
      <c r="J58" s="14" t="inlineStr">
        <is>
          <t>Not started</t>
        </is>
      </c>
      <c r="K58" s="14" t="n"/>
    </row>
    <row r="59">
      <c r="A59" s="14" t="inlineStr">
        <is>
          <t>SBM_IAAF</t>
        </is>
      </c>
      <c r="B59" s="14" t="inlineStr">
        <is>
          <t>Insurance Adequacy Assessment Form {{iaafNo}}</t>
        </is>
      </c>
      <c r="C59" s="14" t="inlineStr">
        <is>
          <t>Submitted Policies</t>
        </is>
      </c>
      <c r="D59" s="14" t="inlineStr">
        <is>
          <t>Drop 1</t>
        </is>
      </c>
      <c r="E59" s="14" t="inlineStr">
        <is>
          <t>Product Owner, Submitted Policies</t>
        </is>
      </c>
      <c r="F59" s="14" t="inlineStr">
        <is>
          <t>adequacy, assuredName, borrowerName, currency, expiryDate, iaafNo, inceptionDate, insurerName, links, policyNo, reviewCount, reviews, sbmNo, sumInsured</t>
        </is>
      </c>
      <c r="G59" s="14" t="inlineStr">
        <is>
          <t>This workbook, sheet Ref Document templates</t>
        </is>
      </c>
      <c r="H59" s="14" t="inlineStr">
        <is>
          <t>16-Jul-2027 (T-24 weeks)</t>
        </is>
      </c>
      <c r="I59" s="14" t="n"/>
      <c r="J59" s="14" t="inlineStr">
        <is>
          <t>Not started</t>
        </is>
      </c>
      <c r="K59" s="14" t="n"/>
    </row>
    <row r="60">
      <c r="A60" s="14" t="inlineStr">
        <is>
          <t>SBM_NO_TOUCH_BILLING</t>
        </is>
      </c>
      <c r="B60" s="14" t="inlineStr">
        <is>
          <t>No Touch billing statement - {{insurerName}} - {{period}}</t>
        </is>
      </c>
      <c r="C60" s="14" t="inlineStr">
        <is>
          <t>Submitted Policies</t>
        </is>
      </c>
      <c r="D60" s="14" t="inlineStr">
        <is>
          <t>Drop 1</t>
        </is>
      </c>
      <c r="E60" s="14" t="inlineStr">
        <is>
          <t>Product Owner, Submitted Policies</t>
        </is>
      </c>
      <c r="F60" s="14" t="inlineStr">
        <is>
          <t>count, currency, grossFee, insurerName, netDue, period, vat, wtax</t>
        </is>
      </c>
      <c r="G60" s="14" t="inlineStr">
        <is>
          <t>This workbook, sheet Ref Document templates</t>
        </is>
      </c>
      <c r="H60" s="14" t="inlineStr">
        <is>
          <t>16-Jul-2027 (T-24 weeks)</t>
        </is>
      </c>
      <c r="I60" s="14" t="n"/>
      <c r="J60" s="14" t="inlineStr">
        <is>
          <t>Not started</t>
        </is>
      </c>
      <c r="K60" s="14" t="n"/>
    </row>
    <row r="61">
      <c r="A61" s="14" t="inlineStr">
        <is>
          <t>SBM_REMINDER</t>
        </is>
      </c>
      <c r="B61" s="14" t="inlineStr">
        <is>
          <t>Reminder on your policy {{policyNo}}</t>
        </is>
      </c>
      <c r="C61" s="14" t="inlineStr">
        <is>
          <t>Submitted Policies</t>
        </is>
      </c>
      <c r="D61" s="14" t="inlineStr">
        <is>
          <t>Drop 1</t>
        </is>
      </c>
      <c r="E61" s="14" t="inlineStr">
        <is>
          <t>Product Owner, Submitted Policies</t>
        </is>
      </c>
      <c r="F61" s="14" t="inlineStr">
        <is>
          <t>assuredName, bankCounterpart, expiryDate, findings, insurerName, policyNo, sbmNo</t>
        </is>
      </c>
      <c r="G61" s="14" t="inlineStr">
        <is>
          <t>This workbook, sheet Ref Document templates</t>
        </is>
      </c>
      <c r="H61" s="14" t="inlineStr">
        <is>
          <t>16-Jul-2027 (T-24 weeks)</t>
        </is>
      </c>
      <c r="I61" s="14" t="n"/>
      <c r="J61" s="14" t="inlineStr">
        <is>
          <t>Not started</t>
        </is>
      </c>
      <c r="K61" s="14" t="n"/>
    </row>
    <row r="62">
      <c r="A62" s="14" t="inlineStr">
        <is>
          <t>SBM_RENEWAL_NOTICE</t>
        </is>
      </c>
      <c r="B62" s="14" t="inlineStr">
        <is>
          <t>Renewal notice - policy {{policyNo}}</t>
        </is>
      </c>
      <c r="C62" s="14" t="inlineStr">
        <is>
          <t>Submitted Policies</t>
        </is>
      </c>
      <c r="D62" s="14" t="inlineStr">
        <is>
          <t>Drop 1</t>
        </is>
      </c>
      <c r="E62" s="14" t="inlineStr">
        <is>
          <t>Product Owner, Submitted Policies</t>
        </is>
      </c>
      <c r="F62" s="14" t="inlineStr">
        <is>
          <t>assuredName, expiryDate, insurerName, policyNo, riskDescription, sbmNo</t>
        </is>
      </c>
      <c r="G62" s="14" t="inlineStr">
        <is>
          <t>This workbook, sheet Ref Document templates</t>
        </is>
      </c>
      <c r="H62" s="14" t="inlineStr">
        <is>
          <t>16-Jul-2027 (T-24 weeks)</t>
        </is>
      </c>
      <c r="I62" s="14" t="n"/>
      <c r="J62" s="14" t="inlineStr">
        <is>
          <t>Not started</t>
        </is>
      </c>
      <c r="K62" s="14" t="n"/>
    </row>
    <row r="63">
      <c r="A63" s="14" t="inlineStr">
        <is>
          <t>SBM_RENEWAL_PROPOSAL</t>
        </is>
      </c>
      <c r="B63" s="14" t="inlineStr">
        <is>
          <t>Renewal proposal - policy {{policyNo}}</t>
        </is>
      </c>
      <c r="C63" s="14" t="inlineStr">
        <is>
          <t>Submitted Policies</t>
        </is>
      </c>
      <c r="D63" s="14" t="inlineStr">
        <is>
          <t>Drop 1</t>
        </is>
      </c>
      <c r="E63" s="14" t="inlineStr">
        <is>
          <t>Product Owner, Submitted Policies</t>
        </is>
      </c>
      <c r="F63" s="14" t="inlineStr">
        <is>
          <t>assuredName, currency, expiryDate, policyNo, proposedInsurer, sbmNo, sumInsured</t>
        </is>
      </c>
      <c r="G63" s="14" t="inlineStr">
        <is>
          <t>This workbook, sheet Ref Document templates</t>
        </is>
      </c>
      <c r="H63" s="14" t="inlineStr">
        <is>
          <t>16-Jul-2027 (T-24 weeks)</t>
        </is>
      </c>
      <c r="I63" s="14" t="n"/>
      <c r="J63" s="14" t="inlineStr">
        <is>
          <t>Not started</t>
        </is>
      </c>
      <c r="K63" s="14" t="n"/>
    </row>
    <row r="64">
      <c r="A64" s="14" t="inlineStr">
        <is>
          <t>SBM_TOR</t>
        </is>
      </c>
      <c r="B64" s="14" t="inlineStr">
        <is>
          <t>Terms of Reference {{torNo}}</t>
        </is>
      </c>
      <c r="C64" s="14" t="inlineStr">
        <is>
          <t>Submitted Policies</t>
        </is>
      </c>
      <c r="D64" s="14" t="inlineStr">
        <is>
          <t>Drop 1</t>
        </is>
      </c>
      <c r="E64" s="14" t="inlineStr">
        <is>
          <t>Product Owner, Submitted Policies</t>
        </is>
      </c>
      <c r="F64" s="14" t="inlineStr">
        <is>
          <t>accountRef, aoName, assuredName, breaches, currency, insurerName, proposedTerms, sumInsured, torNo</t>
        </is>
      </c>
      <c r="G64" s="14" t="inlineStr">
        <is>
          <t>This workbook, sheet Ref Document templates</t>
        </is>
      </c>
      <c r="H64" s="14" t="inlineStr">
        <is>
          <t>16-Jul-2027 (T-24 weeks)</t>
        </is>
      </c>
      <c r="I64" s="14" t="n"/>
      <c r="J64" s="14" t="inlineStr">
        <is>
          <t>Not started</t>
        </is>
      </c>
      <c r="K64" s="14" t="n"/>
    </row>
    <row r="65">
      <c r="A65" s="14" t="inlineStr">
        <is>
          <t>SERVICE_INVOICE_NOTE</t>
        </is>
      </c>
      <c r="B65" s="14" t="inlineStr">
        <is>
          <t>Service invoice</t>
        </is>
      </c>
      <c r="C65" s="14" t="inlineStr">
        <is>
          <t>New Business</t>
        </is>
      </c>
      <c r="D65" s="14" t="inlineStr">
        <is>
          <t>Drop 1</t>
        </is>
      </c>
      <c r="E65" s="14" t="inlineStr">
        <is>
          <t>Product Owner, BDOI (New Business)</t>
        </is>
      </c>
      <c r="F65" s="14" t="inlineStr">
        <is>
          <t>creditDays, reference</t>
        </is>
      </c>
      <c r="G65" s="14" t="inlineStr">
        <is>
          <t>This workbook, sheet Ref Document templates</t>
        </is>
      </c>
      <c r="H65" s="14" t="inlineStr">
        <is>
          <t>16-Jul-2027 (T-24 weeks)</t>
        </is>
      </c>
      <c r="I65" s="14" t="n"/>
      <c r="J65" s="14" t="inlineStr">
        <is>
          <t>Not started</t>
        </is>
      </c>
      <c r="K65" s="14" t="n"/>
    </row>
    <row r="66">
      <c r="A66" s="14" t="inlineStr">
        <is>
          <t>VALIDATION_SLIP</t>
        </is>
      </c>
      <c r="B66" s="14" t="inlineStr">
        <is>
          <t>Validation slip</t>
        </is>
      </c>
      <c r="C66" s="14" t="inlineStr">
        <is>
          <t>New Business</t>
        </is>
      </c>
      <c r="D66" s="14" t="inlineStr">
        <is>
          <t>Drop 1</t>
        </is>
      </c>
      <c r="E66" s="14" t="inlineStr">
        <is>
          <t>Product Owner, BDOI (New Business)</t>
        </is>
      </c>
      <c r="F66" s="14" t="inlineStr">
        <is>
          <t>invoiceNo, requestNo, status, validatedOn</t>
        </is>
      </c>
      <c r="G66" s="14" t="inlineStr">
        <is>
          <t>This workbook, sheet Ref Document templates</t>
        </is>
      </c>
      <c r="H66" s="14" t="inlineStr">
        <is>
          <t>16-Jul-2027 (T-24 weeks)</t>
        </is>
      </c>
      <c r="I66" s="14" t="n"/>
      <c r="J66" s="14" t="inlineStr">
        <is>
          <t>Not started</t>
        </is>
      </c>
      <c r="K66" s="14" t="n"/>
    </row>
  </sheetData>
  <autoFilter ref="A4:K66"/>
  <conditionalFormatting sqref="J5:J66">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K66">
    <cfRule type="expression" priority="6" dxfId="7">
      <formula>AND(MOD(ROW(),2)=0,$A5&lt;&gt;"")</formula>
    </cfRule>
  </conditionalFormatting>
  <dataValidations count="2">
    <dataValidation sqref="I5:I66" showDropDown="0" showInputMessage="1" showErrorMessage="1" allowBlank="1" errorTitle="BDOI layout attached" error="Choose a value of the list Yes or no (sheet Reference lists)." promptTitle="BDOI layout attached" prompt="Y when the layout is sent" type="list" errorStyle="stop">
      <formula1>=LIST_YES_NO</formula1>
    </dataValidation>
    <dataValidation sqref="J5:J66"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fitToPage="1"/>
  </sheetPr>
  <dimension ref="A1:H9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14" customWidth="1" min="3" max="3"/>
    <col width="14" customWidth="1" min="4" max="4"/>
    <col width="50" customWidth="1" min="5" max="5"/>
    <col width="30" customWidth="1" min="6" max="6"/>
    <col width="14" customWidth="1" min="7" max="7"/>
    <col width="36" customWidth="1" min="8" max="8"/>
  </cols>
  <sheetData>
    <row r="1" ht="26" customHeight="1">
      <c r="A1" s="27" t="inlineStr">
        <is>
          <t>Reference: Accounting events</t>
        </is>
      </c>
    </row>
    <row r="2">
      <c r="A2" s="29" t="inlineStr">
        <is>
          <t>← Back to Start here</t>
        </is>
      </c>
      <c r="B2" s="56" t="inlineStr">
        <is>
          <t>The accounting events that need a rule of template D0-08; owner Head, Comptrollership</t>
        </is>
      </c>
    </row>
    <row r="4" ht="30" customHeight="1">
      <c r="A4" s="11" t="inlineStr">
        <is>
          <t>Event type</t>
        </is>
      </c>
      <c r="B4" s="11" t="inlineStr">
        <is>
          <t>Name</t>
        </is>
      </c>
      <c r="C4" s="11" t="inlineStr">
        <is>
          <t>Category</t>
        </is>
      </c>
      <c r="D4" s="11" t="inlineStr">
        <is>
          <t>Journal type</t>
        </is>
      </c>
      <c r="E4" s="11" t="inlineStr">
        <is>
          <t>Amount components</t>
        </is>
      </c>
      <c r="F4" s="11" t="inlineStr">
        <is>
          <t>Prepared in</t>
        </is>
      </c>
      <c r="G4" s="11" t="inlineStr">
        <is>
          <t>Status</t>
        </is>
      </c>
      <c r="H4" s="11" t="inlineStr">
        <is>
          <t>BDOI comments</t>
        </is>
      </c>
    </row>
    <row r="5">
      <c r="A5" s="14" t="inlineStr">
        <is>
          <t>CLAIM_RECOVERY</t>
        </is>
      </c>
      <c r="B5" s="14" t="inlineStr">
        <is>
          <t>Salvage / subrogation recovery</t>
        </is>
      </c>
      <c r="C5" s="14" t="inlineStr">
        <is>
          <t>Claims</t>
        </is>
      </c>
      <c r="D5" s="14" t="inlineStr">
        <is>
          <t>Receipt</t>
        </is>
      </c>
      <c r="E5" s="14" t="inlineStr">
        <is>
          <t>AMOUNT</t>
        </is>
      </c>
      <c r="F5" s="14" t="inlineStr">
        <is>
          <t>Drop 0 template D0-08, sheet D0-08 Accounting rules</t>
        </is>
      </c>
      <c r="G5" s="14" t="inlineStr">
        <is>
          <t>Not started</t>
        </is>
      </c>
      <c r="H5" s="14" t="n"/>
    </row>
    <row r="6">
      <c r="A6" s="14" t="inlineStr">
        <is>
          <t>CLAIM_RESERVE</t>
        </is>
      </c>
      <c r="B6" s="14" t="inlineStr">
        <is>
          <t>Claim reserve change</t>
        </is>
      </c>
      <c r="C6" s="14" t="inlineStr">
        <is>
          <t>Claims</t>
        </is>
      </c>
      <c r="D6" s="14" t="inlineStr">
        <is>
          <t>Claims</t>
        </is>
      </c>
      <c r="E6" s="14" t="inlineStr">
        <is>
          <t>RESERVE_CHANGE</t>
        </is>
      </c>
      <c r="F6" s="14" t="inlineStr">
        <is>
          <t>Drop 0 template D0-08, sheet D0-08 Accounting rules</t>
        </is>
      </c>
      <c r="G6" s="14" t="inlineStr">
        <is>
          <t>Not started</t>
        </is>
      </c>
      <c r="H6" s="14" t="n"/>
    </row>
    <row r="7">
      <c r="A7" s="14" t="inlineStr">
        <is>
          <t>CLAIM_SETTLEMENT</t>
        </is>
      </c>
      <c r="B7" s="14" t="inlineStr">
        <is>
          <t>Claim settlement approved</t>
        </is>
      </c>
      <c r="C7" s="14" t="inlineStr">
        <is>
          <t>Claims</t>
        </is>
      </c>
      <c r="D7" s="14" t="inlineStr">
        <is>
          <t>Claims</t>
        </is>
      </c>
      <c r="E7" s="14" t="inlineStr">
        <is>
          <t>PAID_AMOUNT, RESERVE_RELEASE</t>
        </is>
      </c>
      <c r="F7" s="14" t="inlineStr">
        <is>
          <t>Drop 0 template D0-08, sheet D0-08 Accounting rules</t>
        </is>
      </c>
      <c r="G7" s="14" t="inlineStr">
        <is>
          <t>Not started</t>
        </is>
      </c>
      <c r="H7" s="14" t="n"/>
    </row>
    <row r="8">
      <c r="A8" s="14" t="inlineStr">
        <is>
          <t>CLAIM_COINSURANCE</t>
        </is>
      </c>
      <c r="B8" s="14" t="inlineStr">
        <is>
          <t>Coinsurer share of a claim</t>
        </is>
      </c>
      <c r="C8" s="14" t="inlineStr">
        <is>
          <t>Coinsurance</t>
        </is>
      </c>
      <c r="D8" s="14" t="inlineStr">
        <is>
          <t>Claims</t>
        </is>
      </c>
      <c r="E8" s="14" t="inlineStr">
        <is>
          <t>COINSURER_SHARE, COINSURER_RECOVERY</t>
        </is>
      </c>
      <c r="F8" s="14" t="inlineStr">
        <is>
          <t>Drop 0 template D0-08, sheet D0-08 Accounting rules</t>
        </is>
      </c>
      <c r="G8" s="14" t="inlineStr">
        <is>
          <t>Not started</t>
        </is>
      </c>
      <c r="H8" s="14" t="n"/>
    </row>
    <row r="9">
      <c r="A9" s="14" t="inlineStr">
        <is>
          <t>COINSURANCE_SHARE</t>
        </is>
      </c>
      <c r="B9" s="14" t="inlineStr">
        <is>
          <t>Coinsurer share of premium</t>
        </is>
      </c>
      <c r="C9" s="14" t="inlineStr">
        <is>
          <t>Coinsurance</t>
        </is>
      </c>
      <c r="D9" s="14" t="inlineStr">
        <is>
          <t>Premium</t>
        </is>
      </c>
      <c r="E9" s="14" t="inlineStr">
        <is>
          <t>COINSURER_PREMIUM</t>
        </is>
      </c>
      <c r="F9" s="14" t="inlineStr">
        <is>
          <t>Drop 0 template D0-08, sheet D0-08 Accounting rules</t>
        </is>
      </c>
      <c r="G9" s="14" t="inlineStr">
        <is>
          <t>Not started</t>
        </is>
      </c>
      <c r="H9" s="14" t="n"/>
    </row>
    <row r="10">
      <c r="A10" s="14" t="inlineStr">
        <is>
          <t>COMMISSION_ACCRUAL</t>
        </is>
      </c>
      <c r="B10" s="14" t="inlineStr">
        <is>
          <t>Commission accrued</t>
        </is>
      </c>
      <c r="C10" s="14" t="inlineStr">
        <is>
          <t>Commission</t>
        </is>
      </c>
      <c r="D10" s="14" t="inlineStr">
        <is>
          <t>Commission</t>
        </is>
      </c>
      <c r="E10" s="14" t="inlineStr">
        <is>
          <t>COMMISSION, WITHHOLDING_TAX, NET_COMMISSION</t>
        </is>
      </c>
      <c r="F10" s="14" t="inlineStr">
        <is>
          <t>Drop 0 template D0-08, sheet D0-08 Accounting rules</t>
        </is>
      </c>
      <c r="G10" s="14" t="inlineStr">
        <is>
          <t>Not started</t>
        </is>
      </c>
      <c r="H10" s="14" t="n"/>
    </row>
    <row r="11">
      <c r="A11" s="14" t="inlineStr">
        <is>
          <t>OPS_ADJ_COMMISSION</t>
        </is>
      </c>
      <c r="B11" s="14" t="inlineStr">
        <is>
          <t>Commission adjustment without premium change</t>
        </is>
      </c>
      <c r="C11" s="14" t="inlineStr">
        <is>
          <t>Commission</t>
        </is>
      </c>
      <c r="D11" s="14" t="inlineStr">
        <is>
          <t>Commission</t>
        </is>
      </c>
      <c r="E11" s="14" t="inlineStr">
        <is>
          <t>COMMISSION_RECEIVABLE, UNREALIZED_COMMISSION, DEFERRED_OUTPUT_VAT</t>
        </is>
      </c>
      <c r="F11" s="14" t="inlineStr">
        <is>
          <t>Drop 0 template D0-08, sheet D0-08 Accounting rules</t>
        </is>
      </c>
      <c r="G11" s="14" t="inlineStr">
        <is>
          <t>Not started</t>
        </is>
      </c>
      <c r="H11" s="14" t="n"/>
    </row>
    <row r="12">
      <c r="A12" s="14" t="inlineStr">
        <is>
          <t>OPS_INCENTIVE_ACCRUE</t>
        </is>
      </c>
      <c r="B12" s="14" t="inlineStr">
        <is>
          <t>Incentive earned from insurer</t>
        </is>
      </c>
      <c r="C12" s="14" t="inlineStr">
        <is>
          <t>Commission</t>
        </is>
      </c>
      <c r="D12" s="14" t="inlineStr">
        <is>
          <t>Commission</t>
        </is>
      </c>
      <c r="E12" s="14" t="inlineStr">
        <is>
          <t>INCENTIVE</t>
        </is>
      </c>
      <c r="F12" s="14" t="inlineStr">
        <is>
          <t>Drop 0 template D0-08, sheet D0-08 Accounting rules</t>
        </is>
      </c>
      <c r="G12" s="14" t="inlineStr">
        <is>
          <t>Not started</t>
        </is>
      </c>
      <c r="H12" s="14" t="n"/>
    </row>
    <row r="13">
      <c r="A13" s="14" t="inlineStr">
        <is>
          <t>OPS_INCENTIVE_PASS_ON</t>
        </is>
      </c>
      <c r="B13" s="14" t="inlineStr">
        <is>
          <t>Incentive pass-on to branches</t>
        </is>
      </c>
      <c r="C13" s="14" t="inlineStr">
        <is>
          <t>Commission</t>
        </is>
      </c>
      <c r="D13" s="14" t="inlineStr">
        <is>
          <t>Commission</t>
        </is>
      </c>
      <c r="E13" s="14" t="inlineStr">
        <is>
          <t>PASS_ON</t>
        </is>
      </c>
      <c r="F13" s="14" t="inlineStr">
        <is>
          <t>Drop 0 template D0-08, sheet D0-08 Accounting rules</t>
        </is>
      </c>
      <c r="G13" s="14" t="inlineStr">
        <is>
          <t>Not started</t>
        </is>
      </c>
      <c r="H13" s="14" t="n"/>
    </row>
    <row r="14">
      <c r="A14" s="14" t="inlineStr">
        <is>
          <t>OPS_REMIT_CPC2</t>
        </is>
      </c>
      <c r="B14" s="14" t="inlineStr">
        <is>
          <t>CPC2 incentive per remittance batch</t>
        </is>
      </c>
      <c r="C14" s="14" t="inlineStr">
        <is>
          <t>Commission</t>
        </is>
      </c>
      <c r="D14" s="14" t="inlineStr">
        <is>
          <t>Commission</t>
        </is>
      </c>
      <c r="E14" s="14" t="inlineStr">
        <is>
          <t>GROSS, CPC2_INCOME, OUTPUT_VAT</t>
        </is>
      </c>
      <c r="F14" s="14" t="inlineStr">
        <is>
          <t>Drop 0 template D0-08, sheet D0-08 Accounting rules</t>
        </is>
      </c>
      <c r="G14" s="14" t="inlineStr">
        <is>
          <t>Not started</t>
        </is>
      </c>
      <c r="H14" s="14" t="n"/>
    </row>
    <row r="15">
      <c r="A15" s="14" t="inlineStr">
        <is>
          <t>OPS_REMIT_INCENTIVE</t>
        </is>
      </c>
      <c r="B15" s="14" t="inlineStr">
        <is>
          <t>Early remittance incentive</t>
        </is>
      </c>
      <c r="C15" s="14" t="inlineStr">
        <is>
          <t>Commission</t>
        </is>
      </c>
      <c r="D15" s="14" t="inlineStr">
        <is>
          <t>Commission</t>
        </is>
      </c>
      <c r="E15" s="14" t="inlineStr">
        <is>
          <t>DUE_FOR_DISBURSEMENT, INCENTIVE_INCOME, OUTPUT_VAT</t>
        </is>
      </c>
      <c r="F15" s="14" t="inlineStr">
        <is>
          <t>Drop 0 template D0-08, sheet D0-08 Accounting rules</t>
        </is>
      </c>
      <c r="G15" s="14" t="inlineStr">
        <is>
          <t>Not started</t>
        </is>
      </c>
      <c r="H15" s="14" t="n"/>
    </row>
    <row r="16">
      <c r="A16" s="14" t="inlineStr">
        <is>
          <t>ASSET_ACQUISITION</t>
        </is>
      </c>
      <c r="B16" s="14" t="inlineStr">
        <is>
          <t>Fixed asset capitalized</t>
        </is>
      </c>
      <c r="C16" s="14" t="inlineStr">
        <is>
          <t>Payment</t>
        </is>
      </c>
      <c r="D16" s="14" t="inlineStr">
        <is>
          <t>Payment</t>
        </is>
      </c>
      <c r="E16" s="14" t="inlineStr">
        <is>
          <t>COST</t>
        </is>
      </c>
      <c r="F16" s="14" t="inlineStr">
        <is>
          <t>Drop 0 template D0-08, sheet D0-08 Accounting rules</t>
        </is>
      </c>
      <c r="G16" s="14" t="inlineStr">
        <is>
          <t>Not started</t>
        </is>
      </c>
      <c r="H16" s="14" t="n"/>
    </row>
    <row r="17">
      <c r="A17" s="14" t="inlineStr">
        <is>
          <t>CLAIM_PAYMENT</t>
        </is>
      </c>
      <c r="B17" s="14" t="inlineStr">
        <is>
          <t>Claim payment</t>
        </is>
      </c>
      <c r="C17" s="14" t="inlineStr">
        <is>
          <t>Payment</t>
        </is>
      </c>
      <c r="D17" s="14" t="inlineStr">
        <is>
          <t>Payment</t>
        </is>
      </c>
      <c r="E17" s="14" t="inlineStr">
        <is>
          <t>AMOUNT</t>
        </is>
      </c>
      <c r="F17" s="14" t="inlineStr">
        <is>
          <t>Drop 0 template D0-08, sheet D0-08 Accounting rules</t>
        </is>
      </c>
      <c r="G17" s="14" t="inlineStr">
        <is>
          <t>Not started</t>
        </is>
      </c>
      <c r="H17" s="14" t="n"/>
    </row>
    <row r="18">
      <c r="A18" s="14" t="inlineStr">
        <is>
          <t>COMMISSION_PAYMENT</t>
        </is>
      </c>
      <c r="B18" s="14" t="inlineStr">
        <is>
          <t>Commission payment</t>
        </is>
      </c>
      <c r="C18" s="14" t="inlineStr">
        <is>
          <t>Payment</t>
        </is>
      </c>
      <c r="D18" s="14" t="inlineStr">
        <is>
          <t>Payment</t>
        </is>
      </c>
      <c r="E18" s="14" t="inlineStr">
        <is>
          <t>AMOUNT</t>
        </is>
      </c>
      <c r="F18" s="14" t="inlineStr">
        <is>
          <t>Drop 0 template D0-08, sheet D0-08 Accounting rules</t>
        </is>
      </c>
      <c r="G18" s="14" t="inlineStr">
        <is>
          <t>Not started</t>
        </is>
      </c>
      <c r="H18" s="14" t="n"/>
    </row>
    <row r="19">
      <c r="A19" s="14" t="inlineStr">
        <is>
          <t>DISB_CHECK_NEGOTIATED</t>
        </is>
      </c>
      <c r="B19" s="14" t="inlineStr">
        <is>
          <t>Check negotiated</t>
        </is>
      </c>
      <c r="C19" s="14" t="inlineStr">
        <is>
          <t>Payment</t>
        </is>
      </c>
      <c r="D19" s="14" t="inlineStr">
        <is>
          <t>Payment</t>
        </is>
      </c>
      <c r="E19" s="14" t="inlineStr">
        <is>
          <t>AMOUNT</t>
        </is>
      </c>
      <c r="F19" s="14" t="inlineStr">
        <is>
          <t>Drop 0 template D0-08, sheet D0-08 Accounting rules</t>
        </is>
      </c>
      <c r="G19" s="14" t="inlineStr">
        <is>
          <t>Not started</t>
        </is>
      </c>
      <c r="H19" s="14" t="n"/>
    </row>
    <row r="20">
      <c r="A20" s="14" t="inlineStr">
        <is>
          <t>DISB_CHECK_STALE</t>
        </is>
      </c>
      <c r="B20" s="14" t="inlineStr">
        <is>
          <t>Check staled</t>
        </is>
      </c>
      <c r="C20" s="14" t="inlineStr">
        <is>
          <t>Payment</t>
        </is>
      </c>
      <c r="D20" s="14" t="inlineStr">
        <is>
          <t>Payment</t>
        </is>
      </c>
      <c r="E20" s="14" t="inlineStr">
        <is>
          <t>AMOUNT</t>
        </is>
      </c>
      <c r="F20" s="14" t="inlineStr">
        <is>
          <t>Drop 0 template D0-08, sheet D0-08 Accounting rules</t>
        </is>
      </c>
      <c r="G20" s="14" t="inlineStr">
        <is>
          <t>Not started</t>
        </is>
      </c>
      <c r="H20" s="14" t="n"/>
    </row>
    <row r="21">
      <c r="A21" s="14" t="inlineStr">
        <is>
          <t>DISB_VOUCHER</t>
        </is>
      </c>
      <c r="B21" s="14" t="inlineStr">
        <is>
          <t>Disbursement voucher approved</t>
        </is>
      </c>
      <c r="C21" s="14" t="inlineStr">
        <is>
          <t>Payment</t>
        </is>
      </c>
      <c r="D21" s="14" t="inlineStr">
        <is>
          <t>Payment</t>
        </is>
      </c>
      <c r="E21" s="14" t="inlineStr">
        <is>
          <t>REMITTANCE, REFUND, REFUND_FROM_INSURER, SUPPLIER, GOVERNMENT, OTHER_BANK_UNIT, EMPLOYEE, CASH_ADVANCE, SERVICE_FEE, PASS_ON, STALE_REISSUE, OTHER, PAID, EWT</t>
        </is>
      </c>
      <c r="F21" s="14" t="inlineStr">
        <is>
          <t>Drop 0 template D0-08, sheet D0-08 Accounting rules</t>
        </is>
      </c>
      <c r="G21" s="14" t="inlineStr">
        <is>
          <t>Not started</t>
        </is>
      </c>
      <c r="H21" s="14" t="n"/>
    </row>
    <row r="22">
      <c r="A22" s="14" t="inlineStr">
        <is>
          <t>FRBS_SERVICE_FEE_ACCRUE</t>
        </is>
      </c>
      <c r="B22" s="14" t="inlineStr">
        <is>
          <t>Service fee accrual</t>
        </is>
      </c>
      <c r="C22" s="14" t="inlineStr">
        <is>
          <t>Payment</t>
        </is>
      </c>
      <c r="D22" s="14" t="inlineStr">
        <is>
          <t>Payment</t>
        </is>
      </c>
      <c r="E22" s="14" t="inlineStr">
        <is>
          <t>AMOUNT</t>
        </is>
      </c>
      <c r="F22" s="14" t="inlineStr">
        <is>
          <t>Drop 0 template D0-08, sheet D0-08 Accounting rules</t>
        </is>
      </c>
      <c r="G22" s="14" t="inlineStr">
        <is>
          <t>Not started</t>
        </is>
      </c>
      <c r="H22" s="14" t="n"/>
    </row>
    <row r="23">
      <c r="A23" s="14" t="inlineStr">
        <is>
          <t>MISC_PAYMENT</t>
        </is>
      </c>
      <c r="B23" s="14" t="inlineStr">
        <is>
          <t>Miscellaneous payment</t>
        </is>
      </c>
      <c r="C23" s="14" t="inlineStr">
        <is>
          <t>Payment</t>
        </is>
      </c>
      <c r="D23" s="14" t="inlineStr">
        <is>
          <t>Payment</t>
        </is>
      </c>
      <c r="E23" s="14" t="inlineStr">
        <is>
          <t>AMOUNT</t>
        </is>
      </c>
      <c r="F23" s="14" t="inlineStr">
        <is>
          <t>Drop 0 template D0-08, sheet D0-08 Accounting rules</t>
        </is>
      </c>
      <c r="G23" s="14" t="inlineStr">
        <is>
          <t>Not started</t>
        </is>
      </c>
      <c r="H23" s="14" t="n"/>
    </row>
    <row r="24">
      <c r="A24" s="14" t="inlineStr">
        <is>
          <t>OPS_REMITTANCE</t>
        </is>
      </c>
      <c r="B24" s="14" t="inlineStr">
        <is>
          <t>Remittance to insurer</t>
        </is>
      </c>
      <c r="C24" s="14" t="inlineStr">
        <is>
          <t>Payment</t>
        </is>
      </c>
      <c r="D24" s="14" t="inlineStr">
        <is>
          <t>Payment</t>
        </is>
      </c>
      <c r="E24" s="14" t="inlineStr">
        <is>
          <t>DTIP, CWT, COMMISSION_RECEIVABLE, DUE_FOR_DISBURSEMENT</t>
        </is>
      </c>
      <c r="F24" s="14" t="inlineStr">
        <is>
          <t>Drop 0 template D0-08, sheet D0-08 Accounting rules</t>
        </is>
      </c>
      <c r="G24" s="14" t="inlineStr">
        <is>
          <t>Not started</t>
        </is>
      </c>
      <c r="H24" s="14" t="n"/>
    </row>
    <row r="25">
      <c r="A25" s="14" t="inlineStr">
        <is>
          <t>OPS_REMIT_DEDUCTION</t>
        </is>
      </c>
      <c r="B25" s="14" t="inlineStr">
        <is>
          <t>Remittance deduction on insurer confirmation</t>
        </is>
      </c>
      <c r="C25" s="14" t="inlineStr">
        <is>
          <t>Payment</t>
        </is>
      </c>
      <c r="D25" s="14" t="inlineStr">
        <is>
          <t>Payment</t>
        </is>
      </c>
      <c r="E25" s="14" t="inlineStr">
        <is>
          <t>AMOUNT</t>
        </is>
      </c>
      <c r="F25" s="14" t="inlineStr">
        <is>
          <t>Drop 0 template D0-08, sheet D0-08 Accounting rules</t>
        </is>
      </c>
      <c r="G25" s="14" t="inlineStr">
        <is>
          <t>Not started</t>
        </is>
      </c>
      <c r="H25" s="14" t="n"/>
    </row>
    <row r="26">
      <c r="A26" s="14" t="inlineStr">
        <is>
          <t>PDC_ISSUED_PRESENTED</t>
        </is>
      </c>
      <c r="B26" s="14" t="inlineStr">
        <is>
          <t>Issued PDC presented</t>
        </is>
      </c>
      <c r="C26" s="14" t="inlineStr">
        <is>
          <t>Payment</t>
        </is>
      </c>
      <c r="D26" s="14" t="inlineStr">
        <is>
          <t>Payment</t>
        </is>
      </c>
      <c r="E26" s="14" t="inlineStr">
        <is>
          <t>AMOUNT</t>
        </is>
      </c>
      <c r="F26" s="14" t="inlineStr">
        <is>
          <t>Drop 0 template D0-08, sheet D0-08 Accounting rules</t>
        </is>
      </c>
      <c r="G26" s="14" t="inlineStr">
        <is>
          <t>Not started</t>
        </is>
      </c>
      <c r="H26" s="14" t="n"/>
    </row>
    <row r="27">
      <c r="A27" s="14" t="inlineStr">
        <is>
          <t>PETTY_CASH_EXPENSE</t>
        </is>
      </c>
      <c r="B27" s="14" t="inlineStr">
        <is>
          <t>Petty cash disbursement</t>
        </is>
      </c>
      <c r="C27" s="14" t="inlineStr">
        <is>
          <t>Payment</t>
        </is>
      </c>
      <c r="D27" s="14" t="inlineStr">
        <is>
          <t>Payment</t>
        </is>
      </c>
      <c r="E27" s="14" t="inlineStr">
        <is>
          <t>AMOUNT</t>
        </is>
      </c>
      <c r="F27" s="14" t="inlineStr">
        <is>
          <t>Drop 0 template D0-08, sheet D0-08 Accounting rules</t>
        </is>
      </c>
      <c r="G27" s="14" t="inlineStr">
        <is>
          <t>Not started</t>
        </is>
      </c>
      <c r="H27" s="14" t="n"/>
    </row>
    <row r="28">
      <c r="A28" s="14" t="inlineStr">
        <is>
          <t>PETTY_CASH_REPLENISHMENT</t>
        </is>
      </c>
      <c r="B28" s="14" t="inlineStr">
        <is>
          <t>Petty cash reimbursement</t>
        </is>
      </c>
      <c r="C28" s="14" t="inlineStr">
        <is>
          <t>Payment</t>
        </is>
      </c>
      <c r="D28" s="14" t="inlineStr">
        <is>
          <t>Payment</t>
        </is>
      </c>
      <c r="E28" s="14" t="inlineStr">
        <is>
          <t>AMOUNT</t>
        </is>
      </c>
      <c r="F28" s="14" t="inlineStr">
        <is>
          <t>Drop 0 template D0-08, sheet D0-08 Accounting rules</t>
        </is>
      </c>
      <c r="G28" s="14" t="inlineStr">
        <is>
          <t>Not started</t>
        </is>
      </c>
      <c r="H28" s="14" t="n"/>
    </row>
    <row r="29">
      <c r="A29" s="14" t="inlineStr">
        <is>
          <t>PREMIUM_REFUND_PAYMENT</t>
        </is>
      </c>
      <c r="B29" s="14" t="inlineStr">
        <is>
          <t>Premium refund payment</t>
        </is>
      </c>
      <c r="C29" s="14" t="inlineStr">
        <is>
          <t>Payment</t>
        </is>
      </c>
      <c r="D29" s="14" t="inlineStr">
        <is>
          <t>Payment</t>
        </is>
      </c>
      <c r="E29" s="14" t="inlineStr">
        <is>
          <t>AMOUNT</t>
        </is>
      </c>
      <c r="F29" s="14" t="inlineStr">
        <is>
          <t>Drop 0 template D0-08, sheet D0-08 Accounting rules</t>
        </is>
      </c>
      <c r="G29" s="14" t="inlineStr">
        <is>
          <t>Not started</t>
        </is>
      </c>
      <c r="H29" s="14" t="n"/>
    </row>
    <row r="30">
      <c r="A30" s="14" t="inlineStr">
        <is>
          <t>PRQ_CA_LIQUIDATION</t>
        </is>
      </c>
      <c r="B30" s="14" t="inlineStr">
        <is>
          <t>Cash advance liquidation</t>
        </is>
      </c>
      <c r="C30" s="14" t="inlineStr">
        <is>
          <t>Payment</t>
        </is>
      </c>
      <c r="D30" s="14" t="inlineStr">
        <is>
          <t>Payment</t>
        </is>
      </c>
      <c r="E30" s="14" t="inlineStr">
        <is>
          <t>PER_DIEM, REPRESENTATION, TRANSPORT, LODGING, OTHER, CASH_RETURNED, SHORTAGE, ADVANCE</t>
        </is>
      </c>
      <c r="F30" s="14" t="inlineStr">
        <is>
          <t>Drop 0 template D0-08, sheet D0-08 Accounting rules</t>
        </is>
      </c>
      <c r="G30" s="14" t="inlineStr">
        <is>
          <t>Not started</t>
        </is>
      </c>
      <c r="H30" s="14" t="n"/>
    </row>
    <row r="31">
      <c r="A31" s="14" t="inlineStr">
        <is>
          <t>RI_SETTLEMENT_PAYMENT</t>
        </is>
      </c>
      <c r="B31" s="14" t="inlineStr">
        <is>
          <t>Payment to reinsurer</t>
        </is>
      </c>
      <c r="C31" s="14" t="inlineStr">
        <is>
          <t>Payment</t>
        </is>
      </c>
      <c r="D31" s="14" t="inlineStr">
        <is>
          <t>Payment</t>
        </is>
      </c>
      <c r="E31" s="14" t="inlineStr">
        <is>
          <t>AMOUNT</t>
        </is>
      </c>
      <c r="F31" s="14" t="inlineStr">
        <is>
          <t>Drop 0 template D0-08, sheet D0-08 Accounting rules</t>
        </is>
      </c>
      <c r="G31" s="14" t="inlineStr">
        <is>
          <t>Not started</t>
        </is>
      </c>
      <c r="H31" s="14" t="n"/>
    </row>
    <row r="32">
      <c r="A32" s="14" t="inlineStr">
        <is>
          <t>SUPPLIER_INVOICE</t>
        </is>
      </c>
      <c r="B32" s="14" t="inlineStr">
        <is>
          <t>Supplier invoice</t>
        </is>
      </c>
      <c r="C32" s="14" t="inlineStr">
        <is>
          <t>Payment</t>
        </is>
      </c>
      <c r="D32" s="14" t="inlineStr">
        <is>
          <t>Payment</t>
        </is>
      </c>
      <c r="E32" s="14" t="inlineStr">
        <is>
          <t>NET_AMOUNT, INPUT_VAT, WITHHOLDING_TAX, PAYABLE</t>
        </is>
      </c>
      <c r="F32" s="14" t="inlineStr">
        <is>
          <t>Drop 0 template D0-08, sheet D0-08 Accounting rules</t>
        </is>
      </c>
      <c r="G32" s="14" t="inlineStr">
        <is>
          <t>Not started</t>
        </is>
      </c>
      <c r="H32" s="14" t="n"/>
    </row>
    <row r="33">
      <c r="A33" s="14" t="inlineStr">
        <is>
          <t>SUPPLIER_PAYMENT</t>
        </is>
      </c>
      <c r="B33" s="14" t="inlineStr">
        <is>
          <t>Supplier payment</t>
        </is>
      </c>
      <c r="C33" s="14" t="inlineStr">
        <is>
          <t>Payment</t>
        </is>
      </c>
      <c r="D33" s="14" t="inlineStr">
        <is>
          <t>Payment</t>
        </is>
      </c>
      <c r="E33" s="14" t="inlineStr">
        <is>
          <t>AMOUNT</t>
        </is>
      </c>
      <c r="F33" s="14" t="inlineStr">
        <is>
          <t>Drop 0 template D0-08, sheet D0-08 Accounting rules</t>
        </is>
      </c>
      <c r="G33" s="14" t="inlineStr">
        <is>
          <t>Not started</t>
        </is>
      </c>
      <c r="H33" s="14" t="n"/>
    </row>
    <row r="34">
      <c r="A34" s="14" t="inlineStr">
        <is>
          <t>TAX_REMITTANCE</t>
        </is>
      </c>
      <c r="B34" s="14" t="inlineStr">
        <is>
          <t>Tax remittance</t>
        </is>
      </c>
      <c r="C34" s="14" t="inlineStr">
        <is>
          <t>Payment</t>
        </is>
      </c>
      <c r="D34" s="14" t="inlineStr">
        <is>
          <t>Payment</t>
        </is>
      </c>
      <c r="E34" s="14" t="inlineStr">
        <is>
          <t>TAX_PAYABLE, TAX_CREDIT, AMOUNT</t>
        </is>
      </c>
      <c r="F34" s="14" t="inlineStr">
        <is>
          <t>Drop 0 template D0-08, sheet D0-08 Accounting rules</t>
        </is>
      </c>
      <c r="G34" s="14" t="inlineStr">
        <is>
          <t>Not started</t>
        </is>
      </c>
      <c r="H34" s="14" t="n"/>
    </row>
    <row r="35">
      <c r="A35" s="14" t="inlineStr">
        <is>
          <t>POLICY_CANCELLATION</t>
        </is>
      </c>
      <c r="B35" s="14" t="inlineStr">
        <is>
          <t>Policy cancellation</t>
        </is>
      </c>
      <c r="C35" s="14" t="inlineStr">
        <is>
          <t>Policy</t>
        </is>
      </c>
      <c r="D35" s="14" t="inlineStr">
        <is>
          <t>Endorsement</t>
        </is>
      </c>
      <c r="E35" s="14" t="inlineStr">
        <is>
          <t>GROSS_PREMIUM, DST, VAT, LGT, FST, PREMIUM_TAX, POLICY_FEE, TOTAL_DUE</t>
        </is>
      </c>
      <c r="F35" s="14" t="inlineStr">
        <is>
          <t>Drop 0 template D0-08, sheet D0-08 Accounting rules</t>
        </is>
      </c>
      <c r="G35" s="14" t="inlineStr">
        <is>
          <t>Not started</t>
        </is>
      </c>
      <c r="H35" s="14" t="n"/>
    </row>
    <row r="36">
      <c r="A36" s="14" t="inlineStr">
        <is>
          <t>POLICY_ENDORSEMENT</t>
        </is>
      </c>
      <c r="B36" s="14" t="inlineStr">
        <is>
          <t>Policy endorsement</t>
        </is>
      </c>
      <c r="C36" s="14" t="inlineStr">
        <is>
          <t>Policy</t>
        </is>
      </c>
      <c r="D36" s="14" t="inlineStr">
        <is>
          <t>Endorsement</t>
        </is>
      </c>
      <c r="E36" s="14" t="inlineStr">
        <is>
          <t>GROSS_PREMIUM, DST, VAT, LGT, FST, PREMIUM_TAX, POLICY_FEE, TOTAL_DUE</t>
        </is>
      </c>
      <c r="F36" s="14" t="inlineStr">
        <is>
          <t>Drop 0 template D0-08, sheet D0-08 Accounting rules</t>
        </is>
      </c>
      <c r="G36" s="14" t="inlineStr">
        <is>
          <t>Not started</t>
        </is>
      </c>
      <c r="H36" s="14" t="n"/>
    </row>
    <row r="37">
      <c r="A37" s="14" t="inlineStr">
        <is>
          <t>POLICY_ISSUE</t>
        </is>
      </c>
      <c r="B37" s="14" t="inlineStr">
        <is>
          <t>Policy issued / renewed</t>
        </is>
      </c>
      <c r="C37" s="14" t="inlineStr">
        <is>
          <t>Policy</t>
        </is>
      </c>
      <c r="D37" s="14" t="inlineStr">
        <is>
          <t>Premium</t>
        </is>
      </c>
      <c r="E37" s="14" t="inlineStr">
        <is>
          <t>GROSS_PREMIUM, DST, VAT, LGT, FST, PREMIUM_TAX, POLICY_FEE, TOTAL_DUE</t>
        </is>
      </c>
      <c r="F37" s="14" t="inlineStr">
        <is>
          <t>Drop 0 template D0-08, sheet D0-08 Accounting rules</t>
        </is>
      </c>
      <c r="G37" s="14" t="inlineStr">
        <is>
          <t>Not started</t>
        </is>
      </c>
      <c r="H37" s="14" t="n"/>
    </row>
    <row r="38">
      <c r="A38" s="14" t="inlineStr">
        <is>
          <t>BROKER_BOOKING</t>
        </is>
      </c>
      <c r="B38" s="14" t="inlineStr">
        <is>
          <t>Broker booking</t>
        </is>
      </c>
      <c r="C38" s="14" t="inlineStr">
        <is>
          <t>Premium</t>
        </is>
      </c>
      <c r="D38" s="14" t="inlineStr">
        <is>
          <t>Premium</t>
        </is>
      </c>
      <c r="E38" s="14" t="inlineStr">
        <is>
          <t>PR_BASIC, PR_DST, PR_PTX_VAT, PR_LGT, PR_FST, PR_OTHER, DTIP, COMMISSION_RECEIVABLE, UNREALIZED_COMMISSION, DEFERRED_OUTPUT_VAT, COMMISSION_INCOME, OUTPUT_VAT</t>
        </is>
      </c>
      <c r="F38" s="14" t="inlineStr">
        <is>
          <t>Drop 0 template D0-08, sheet D0-08 Accounting rules</t>
        </is>
      </c>
      <c r="G38" s="14" t="inlineStr">
        <is>
          <t>Not started</t>
        </is>
      </c>
      <c r="H38" s="14" t="n"/>
    </row>
    <row r="39">
      <c r="A39" s="14" t="inlineStr">
        <is>
          <t>MIG_LEGACY_INVOICE_OPENING</t>
        </is>
      </c>
      <c r="B39" s="14" t="inlineStr">
        <is>
          <t>Legacy invoice opening</t>
        </is>
      </c>
      <c r="C39" s="14" t="inlineStr">
        <is>
          <t>Premium</t>
        </is>
      </c>
      <c r="D39" s="14" t="inlineStr">
        <is>
          <t>Opening</t>
        </is>
      </c>
      <c r="E39" s="14" t="inlineStr">
        <is>
          <t>LG_PR_BASIC, LG_PR_DST, LG_PR_PTX_VAT, LG_PR_LGT, LG_PR_FST, LG_PR_OTHER, LG_PR2307, LG_DTIP, LG_COMMISSION, LG_COMMISSION_VAT, LG_UNREALIZED, LG_DEFERRED_VAT, CLEARING</t>
        </is>
      </c>
      <c r="F39" s="14" t="inlineStr">
        <is>
          <t>Drop 0 template D0-08, sheet D0-08 Accounting rules</t>
        </is>
      </c>
      <c r="G39" s="14" t="inlineStr">
        <is>
          <t>Not started</t>
        </is>
      </c>
      <c r="H39" s="14" t="n"/>
    </row>
    <row r="40">
      <c r="A40" s="14" t="inlineStr">
        <is>
          <t>MIG_LEGACY_POSITION_TRUEUP</t>
        </is>
      </c>
      <c r="B40" s="14" t="inlineStr">
        <is>
          <t>Legacy open-item adjustment</t>
        </is>
      </c>
      <c r="C40" s="14" t="inlineStr">
        <is>
          <t>Premium</t>
        </is>
      </c>
      <c r="D40" s="14" t="inlineStr">
        <is>
          <t>Opening</t>
        </is>
      </c>
      <c r="E40" s="14" t="inlineStr">
        <is>
          <t>LG_PR_BASIC, LG_PR_DST, LG_PR_PTX_VAT, LG_PR_LGT, LG_PR_FST, LG_PR_OTHER, LG_PR2307, LG_DTIP, LG_COMMISSION, LG_COMMISSION_VAT, LG_UNREALIZED, LG_DEFERRED_VAT, LG_AMOUNT, CLEARING</t>
        </is>
      </c>
      <c r="F40" s="14" t="inlineStr">
        <is>
          <t>Drop 0 template D0-08, sheet D0-08 Accounting rules</t>
        </is>
      </c>
      <c r="G40" s="14" t="inlineStr">
        <is>
          <t>Not started</t>
        </is>
      </c>
      <c r="H40" s="14" t="n"/>
    </row>
    <row r="41">
      <c r="A41" s="14" t="inlineStr">
        <is>
          <t>OPS_AR_INSURER_SETUP</t>
        </is>
      </c>
      <c r="B41" s="14" t="inlineStr">
        <is>
          <t>AR Insurer set-up after a remitted decrease</t>
        </is>
      </c>
      <c r="C41" s="14" t="inlineStr">
        <is>
          <t>Premium</t>
        </is>
      </c>
      <c r="D41" s="14" t="inlineStr">
        <is>
          <t>Premium</t>
        </is>
      </c>
      <c r="E41" s="14" t="inlineStr">
        <is>
          <t>AR_INSURER</t>
        </is>
      </c>
      <c r="F41" s="14" t="inlineStr">
        <is>
          <t>Drop 0 template D0-08, sheet D0-08 Accounting rules</t>
        </is>
      </c>
      <c r="G41" s="14" t="inlineStr">
        <is>
          <t>Not started</t>
        </is>
      </c>
      <c r="H41" s="14" t="n"/>
    </row>
    <row r="42">
      <c r="A42" s="14" t="inlineStr">
        <is>
          <t>OPS_WRITE_OFF</t>
        </is>
      </c>
      <c r="B42" s="14" t="inlineStr">
        <is>
          <t>Minimal balance write-off / credit</t>
        </is>
      </c>
      <c r="C42" s="14" t="inlineStr">
        <is>
          <t>Premium</t>
        </is>
      </c>
      <c r="D42" s="14" t="inlineStr">
        <is>
          <t>Premium</t>
        </is>
      </c>
      <c r="E42" s="14" t="inlineStr">
        <is>
          <t>WRITE_OFF, PR_BASIC, PR_DST, PR_PTX_VAT, PR_LGT, PR_FST, PR_OTHER, CREDIT_BALANCE</t>
        </is>
      </c>
      <c r="F42" s="14" t="inlineStr">
        <is>
          <t>Drop 0 template D0-08, sheet D0-08 Accounting rules</t>
        </is>
      </c>
      <c r="G42" s="14" t="inlineStr">
        <is>
          <t>Not started</t>
        </is>
      </c>
      <c r="H42" s="14" t="n"/>
    </row>
    <row r="43">
      <c r="A43" s="14" t="inlineStr">
        <is>
          <t>ASSET_DEPRECIATION</t>
        </is>
      </c>
      <c r="B43" s="14" t="inlineStr">
        <is>
          <t>Monthly depreciation</t>
        </is>
      </c>
      <c r="C43" s="14" t="inlineStr">
        <is>
          <t>Provision</t>
        </is>
      </c>
      <c r="D43" s="14" t="inlineStr">
        <is>
          <t>Provision</t>
        </is>
      </c>
      <c r="E43" s="14" t="inlineStr">
        <is>
          <t>DEPRECIATION</t>
        </is>
      </c>
      <c r="F43" s="14" t="inlineStr">
        <is>
          <t>Drop 0 template D0-08, sheet D0-08 Accounting rules</t>
        </is>
      </c>
      <c r="G43" s="14" t="inlineStr">
        <is>
          <t>Not started</t>
        </is>
      </c>
      <c r="H43" s="14" t="n"/>
    </row>
    <row r="44">
      <c r="A44" s="14" t="inlineStr">
        <is>
          <t>ASSET_TAKE_ON</t>
        </is>
      </c>
      <c r="B44" s="14" t="inlineStr">
        <is>
          <t>Fixed asset opening balance</t>
        </is>
      </c>
      <c r="C44" s="14" t="inlineStr">
        <is>
          <t>Provision</t>
        </is>
      </c>
      <c r="D44" s="14" t="inlineStr">
        <is>
          <t>Opening</t>
        </is>
      </c>
      <c r="E44" s="14" t="inlineStr">
        <is>
          <t>COST, ACCUMULATED_DEPRECIATION, NET_BOOK_VALUE</t>
        </is>
      </c>
      <c r="F44" s="14" t="inlineStr">
        <is>
          <t>Drop 0 template D0-08, sheet D0-08 Accounting rules</t>
        </is>
      </c>
      <c r="G44" s="14" t="inlineStr">
        <is>
          <t>Not started</t>
        </is>
      </c>
      <c r="H44" s="14" t="n"/>
    </row>
    <row r="45">
      <c r="A45" s="14" t="inlineStr">
        <is>
          <t>ASSET_TRANSFER</t>
        </is>
      </c>
      <c r="B45" s="14" t="inlineStr">
        <is>
          <t>Inter-branch asset transfer</t>
        </is>
      </c>
      <c r="C45" s="14" t="inlineStr">
        <is>
          <t>Provision</t>
        </is>
      </c>
      <c r="D45" s="14" t="inlineStr">
        <is>
          <t>Provision</t>
        </is>
      </c>
      <c r="E45" s="14" t="inlineStr">
        <is>
          <t>COST, ACCUMULATED_DEPRECIATION, NET_BOOK_VALUE</t>
        </is>
      </c>
      <c r="F45" s="14" t="inlineStr">
        <is>
          <t>Drop 0 template D0-08, sheet D0-08 Accounting rules</t>
        </is>
      </c>
      <c r="G45" s="14" t="inlineStr">
        <is>
          <t>Not started</t>
        </is>
      </c>
      <c r="H45" s="14" t="n"/>
    </row>
    <row r="46">
      <c r="A46" s="14" t="inlineStr">
        <is>
          <t>CLAIM_MARGIN_PROVISION</t>
        </is>
      </c>
      <c r="B46" s="14" t="inlineStr">
        <is>
          <t>ULAE and risk margin provision</t>
        </is>
      </c>
      <c r="C46" s="14" t="inlineStr">
        <is>
          <t>Provision</t>
        </is>
      </c>
      <c r="D46" s="14" t="inlineStr">
        <is>
          <t>Provision</t>
        </is>
      </c>
      <c r="E46" s="14" t="inlineStr">
        <is>
          <t>ULAE_CHANGE, MFAD_CHANGE, RI_MFAD_CHANGE</t>
        </is>
      </c>
      <c r="F46" s="14" t="inlineStr">
        <is>
          <t>Drop 0 template D0-08, sheet D0-08 Accounting rules</t>
        </is>
      </c>
      <c r="G46" s="14" t="inlineStr">
        <is>
          <t>Not started</t>
        </is>
      </c>
      <c r="H46" s="14" t="n"/>
    </row>
    <row r="47">
      <c r="A47" s="14" t="inlineStr">
        <is>
          <t>DAC_PROVISION</t>
        </is>
      </c>
      <c r="B47" s="14" t="inlineStr">
        <is>
          <t>Deferred acquisition cost</t>
        </is>
      </c>
      <c r="C47" s="14" t="inlineStr">
        <is>
          <t>Provision</t>
        </is>
      </c>
      <c r="D47" s="14" t="inlineStr">
        <is>
          <t>Provision</t>
        </is>
      </c>
      <c r="E47" s="14" t="inlineStr">
        <is>
          <t>DAC_CHANGE, DRC_CHANGE</t>
        </is>
      </c>
      <c r="F47" s="14" t="inlineStr">
        <is>
          <t>Drop 0 template D0-08, sheet D0-08 Accounting rules</t>
        </is>
      </c>
      <c r="G47" s="14" t="inlineStr">
        <is>
          <t>Not started</t>
        </is>
      </c>
      <c r="H47" s="14" t="n"/>
    </row>
    <row r="48">
      <c r="A48" s="14" t="inlineStr">
        <is>
          <t>IBNR_PROVISION</t>
        </is>
      </c>
      <c r="B48" s="14" t="inlineStr">
        <is>
          <t>IBNR reserve</t>
        </is>
      </c>
      <c r="C48" s="14" t="inlineStr">
        <is>
          <t>Provision</t>
        </is>
      </c>
      <c r="D48" s="14" t="inlineStr">
        <is>
          <t>Provision</t>
        </is>
      </c>
      <c r="E48" s="14" t="inlineStr">
        <is>
          <t>IBNR_CHANGE, RI_IBNR_CHANGE</t>
        </is>
      </c>
      <c r="F48" s="14" t="inlineStr">
        <is>
          <t>Drop 0 template D0-08, sheet D0-08 Accounting rules</t>
        </is>
      </c>
      <c r="G48" s="14" t="inlineStr">
        <is>
          <t>Not started</t>
        </is>
      </c>
      <c r="H48" s="14" t="n"/>
    </row>
    <row r="49">
      <c r="A49" s="14" t="inlineStr">
        <is>
          <t>PREMIUM_DEFICIENCY_PROVISION</t>
        </is>
      </c>
      <c r="B49" s="14" t="inlineStr">
        <is>
          <t>Premium deficiency reserve</t>
        </is>
      </c>
      <c r="C49" s="14" t="inlineStr">
        <is>
          <t>Provision</t>
        </is>
      </c>
      <c r="D49" s="14" t="inlineStr">
        <is>
          <t>Provision</t>
        </is>
      </c>
      <c r="E49" s="14" t="inlineStr">
        <is>
          <t>PDR_CHANGE</t>
        </is>
      </c>
      <c r="F49" s="14" t="inlineStr">
        <is>
          <t>Drop 0 template D0-08, sheet D0-08 Accounting rules</t>
        </is>
      </c>
      <c r="G49" s="14" t="inlineStr">
        <is>
          <t>Not started</t>
        </is>
      </c>
      <c r="H49" s="14" t="n"/>
    </row>
    <row r="50">
      <c r="A50" s="14" t="inlineStr">
        <is>
          <t>TAKAFUL_SURPLUS</t>
        </is>
      </c>
      <c r="B50" s="14" t="inlineStr">
        <is>
          <t>Surplus / Mudharabah distribution</t>
        </is>
      </c>
      <c r="C50" s="14" t="inlineStr">
        <is>
          <t>Provision</t>
        </is>
      </c>
      <c r="D50" s="14" t="inlineStr">
        <is>
          <t>Provision</t>
        </is>
      </c>
      <c r="E50" s="14" t="inlineStr">
        <is>
          <t>SURPLUS</t>
        </is>
      </c>
      <c r="F50" s="14" t="inlineStr">
        <is>
          <t>Drop 0 template D0-08, sheet D0-08 Accounting rules</t>
        </is>
      </c>
      <c r="G50" s="14" t="inlineStr">
        <is>
          <t>Not started</t>
        </is>
      </c>
      <c r="H50" s="14" t="n"/>
    </row>
    <row r="51">
      <c r="A51" s="14" t="inlineStr">
        <is>
          <t>UPR_PROVISION</t>
        </is>
      </c>
      <c r="B51" s="14" t="inlineStr">
        <is>
          <t>Unearned premium reserve</t>
        </is>
      </c>
      <c r="C51" s="14" t="inlineStr">
        <is>
          <t>Provision</t>
        </is>
      </c>
      <c r="D51" s="14" t="inlineStr">
        <is>
          <t>Provision</t>
        </is>
      </c>
      <c r="E51" s="14" t="inlineStr">
        <is>
          <t>UPR_CHANGE, RI_UPR_CHANGE</t>
        </is>
      </c>
      <c r="F51" s="14" t="inlineStr">
        <is>
          <t>Drop 0 template D0-08, sheet D0-08 Accounting rules</t>
        </is>
      </c>
      <c r="G51" s="14" t="inlineStr">
        <is>
          <t>Not started</t>
        </is>
      </c>
      <c r="H51" s="14" t="n"/>
    </row>
    <row r="52">
      <c r="A52" s="14" t="inlineStr">
        <is>
          <t>ASSET_DISPOSAL</t>
        </is>
      </c>
      <c r="B52" s="14" t="inlineStr">
        <is>
          <t>Fixed asset disposal</t>
        </is>
      </c>
      <c r="C52" s="14" t="inlineStr">
        <is>
          <t>Receipt</t>
        </is>
      </c>
      <c r="D52" s="14" t="inlineStr">
        <is>
          <t>Receipt</t>
        </is>
      </c>
      <c r="E52" s="14" t="inlineStr">
        <is>
          <t>COST, ACCUMULATED_DEPRECIATION, PROCEEDS, GAIN, LOSS</t>
        </is>
      </c>
      <c r="F52" s="14" t="inlineStr">
        <is>
          <t>Drop 0 template D0-08, sheet D0-08 Accounting rules</t>
        </is>
      </c>
      <c r="G52" s="14" t="inlineStr">
        <is>
          <t>Not started</t>
        </is>
      </c>
      <c r="H52" s="14" t="n"/>
    </row>
    <row r="53">
      <c r="A53" s="14" t="inlineStr">
        <is>
          <t>MIG_UPP_OPENING</t>
        </is>
      </c>
      <c r="B53" s="14" t="inlineStr">
        <is>
          <t>Legacy unapplied payment opening</t>
        </is>
      </c>
      <c r="C53" s="14" t="inlineStr">
        <is>
          <t>Receipt</t>
        </is>
      </c>
      <c r="D53" s="14" t="inlineStr">
        <is>
          <t>Opening</t>
        </is>
      </c>
      <c r="E53" s="14" t="inlineStr">
        <is>
          <t>LG_AMOUNT, CLEARING</t>
        </is>
      </c>
      <c r="F53" s="14" t="inlineStr">
        <is>
          <t>Drop 0 template D0-08, sheet D0-08 Accounting rules</t>
        </is>
      </c>
      <c r="G53" s="14" t="inlineStr">
        <is>
          <t>Not started</t>
        </is>
      </c>
      <c r="H53" s="14" t="n"/>
    </row>
    <row r="54">
      <c r="A54" s="14" t="inlineStr">
        <is>
          <t>MISC_RECEIPT</t>
        </is>
      </c>
      <c r="B54" s="14" t="inlineStr">
        <is>
          <t>Miscellaneous receipt</t>
        </is>
      </c>
      <c r="C54" s="14" t="inlineStr">
        <is>
          <t>Receipt</t>
        </is>
      </c>
      <c r="D54" s="14" t="inlineStr">
        <is>
          <t>Receipt</t>
        </is>
      </c>
      <c r="E54" s="14" t="inlineStr">
        <is>
          <t>AMOUNT</t>
        </is>
      </c>
      <c r="F54" s="14" t="inlineStr">
        <is>
          <t>Drop 0 template D0-08, sheet D0-08 Accounting rules</t>
        </is>
      </c>
      <c r="G54" s="14" t="inlineStr">
        <is>
          <t>Not started</t>
        </is>
      </c>
      <c r="H54" s="14" t="n"/>
    </row>
    <row r="55">
      <c r="A55" s="14" t="inlineStr">
        <is>
          <t>OPS_AP_UNAPPLIED_COMMISSION</t>
        </is>
      </c>
      <c r="B55" s="14" t="inlineStr">
        <is>
          <t>Reinstated OR payment to AP Unapplied Commission</t>
        </is>
      </c>
      <c r="C55" s="14" t="inlineStr">
        <is>
          <t>Receipt</t>
        </is>
      </c>
      <c r="D55" s="14" t="inlineStr">
        <is>
          <t>Receipt</t>
        </is>
      </c>
      <c r="E55" s="14" t="inlineStr">
        <is>
          <t>AMOUNT</t>
        </is>
      </c>
      <c r="F55" s="14" t="inlineStr">
        <is>
          <t>Drop 0 template D0-08, sheet D0-08 Accounting rules</t>
        </is>
      </c>
      <c r="G55" s="14" t="inlineStr">
        <is>
          <t>Not started</t>
        </is>
      </c>
      <c r="H55" s="14" t="n"/>
    </row>
    <row r="56">
      <c r="A56" s="14" t="inlineStr">
        <is>
          <t>OPS_AR_INSURANCE_RECEIPT</t>
        </is>
      </c>
      <c r="B56" s="14" t="inlineStr">
        <is>
          <t>Insurer non-premium receipt</t>
        </is>
      </c>
      <c r="C56" s="14" t="inlineStr">
        <is>
          <t>Receipt</t>
        </is>
      </c>
      <c r="D56" s="14" t="inlineStr">
        <is>
          <t>Receipt</t>
        </is>
      </c>
      <c r="E56" s="14" t="inlineStr">
        <is>
          <t>AMOUNT</t>
        </is>
      </c>
      <c r="F56" s="14" t="inlineStr">
        <is>
          <t>Drop 0 template D0-08, sheet D0-08 Accounting rules</t>
        </is>
      </c>
      <c r="G56" s="14" t="inlineStr">
        <is>
          <t>Not started</t>
        </is>
      </c>
      <c r="H56" s="14" t="n"/>
    </row>
    <row r="57">
      <c r="A57" s="14" t="inlineStr">
        <is>
          <t>OPS_AR_INSURER_REFUND</t>
        </is>
      </c>
      <c r="B57" s="14" t="inlineStr">
        <is>
          <t>Reversed payment to AR Insurer Refund</t>
        </is>
      </c>
      <c r="C57" s="14" t="inlineStr">
        <is>
          <t>Receipt</t>
        </is>
      </c>
      <c r="D57" s="14" t="inlineStr">
        <is>
          <t>Receipt</t>
        </is>
      </c>
      <c r="E57" s="14" t="inlineStr">
        <is>
          <t>AMOUNT</t>
        </is>
      </c>
      <c r="F57" s="14" t="inlineStr">
        <is>
          <t>Drop 0 template D0-08, sheet D0-08 Accounting rules</t>
        </is>
      </c>
      <c r="G57" s="14" t="inlineStr">
        <is>
          <t>Not started</t>
        </is>
      </c>
      <c r="H57" s="14" t="n"/>
    </row>
    <row r="58">
      <c r="A58" s="14" t="inlineStr">
        <is>
          <t>OPS_AR_RECEIPT</t>
        </is>
      </c>
      <c r="B58" s="14" t="inlineStr">
        <is>
          <t>Acknowledgement receipt (premium)</t>
        </is>
      </c>
      <c r="C58" s="14" t="inlineStr">
        <is>
          <t>Receipt</t>
        </is>
      </c>
      <c r="D58" s="14" t="inlineStr">
        <is>
          <t>Receipt</t>
        </is>
      </c>
      <c r="E58" s="14" t="inlineStr">
        <is>
          <t>AMOUNT</t>
        </is>
      </c>
      <c r="F58" s="14" t="inlineStr">
        <is>
          <t>Drop 0 template D0-08, sheet D0-08 Accounting rules</t>
        </is>
      </c>
      <c r="G58" s="14" t="inlineStr">
        <is>
          <t>Not started</t>
        </is>
      </c>
      <c r="H58" s="14" t="n"/>
    </row>
    <row r="59">
      <c r="A59" s="14" t="inlineStr">
        <is>
          <t>OPS_COMMISSION_PAYMENT_HELD</t>
        </is>
      </c>
      <c r="B59" s="14" t="inlineStr">
        <is>
          <t>Cancelled OR payment kept for Commission Receivable</t>
        </is>
      </c>
      <c r="C59" s="14" t="inlineStr">
        <is>
          <t>Receipt</t>
        </is>
      </c>
      <c r="D59" s="14" t="inlineStr">
        <is>
          <t>Receipt</t>
        </is>
      </c>
      <c r="E59" s="14" t="inlineStr">
        <is>
          <t>AMOUNT</t>
        </is>
      </c>
      <c r="F59" s="14" t="inlineStr">
        <is>
          <t>Drop 0 template D0-08, sheet D0-08 Accounting rules</t>
        </is>
      </c>
      <c r="G59" s="14" t="inlineStr">
        <is>
          <t>Not started</t>
        </is>
      </c>
      <c r="H59" s="14" t="n"/>
    </row>
    <row r="60">
      <c r="A60" s="14" t="inlineStr">
        <is>
          <t>OPS_CWT_DTIP_OFFSET</t>
        </is>
      </c>
      <c r="B60" s="14" t="inlineStr">
        <is>
          <t>2307 certificate offset against DTIP</t>
        </is>
      </c>
      <c r="C60" s="14" t="inlineStr">
        <is>
          <t>Receipt</t>
        </is>
      </c>
      <c r="D60" s="14" t="inlineStr">
        <is>
          <t>Receipt</t>
        </is>
      </c>
      <c r="E60" s="14" t="inlineStr">
        <is>
          <t>DTIP, PR2307</t>
        </is>
      </c>
      <c r="F60" s="14" t="inlineStr">
        <is>
          <t>Drop 0 template D0-08, sheet D0-08 Accounting rules</t>
        </is>
      </c>
      <c r="G60" s="14" t="inlineStr">
        <is>
          <t>Not started</t>
        </is>
      </c>
      <c r="H60" s="14" t="n"/>
    </row>
    <row r="61">
      <c r="A61" s="14" t="inlineStr">
        <is>
          <t>OPS_CWT_RECLASS</t>
        </is>
      </c>
      <c r="B61" s="14" t="inlineStr">
        <is>
          <t>PR reclassified to the client 2307</t>
        </is>
      </c>
      <c r="C61" s="14" t="inlineStr">
        <is>
          <t>Receipt</t>
        </is>
      </c>
      <c r="D61" s="14" t="inlineStr">
        <is>
          <t>Receipt</t>
        </is>
      </c>
      <c r="E61" s="14" t="inlineStr">
        <is>
          <t>PR2307, PR_BASIC, PR_DST, PR_PTX_VAT, PR_LGT, PR_FST, PR_OTHER</t>
        </is>
      </c>
      <c r="F61" s="14" t="inlineStr">
        <is>
          <t>Drop 0 template D0-08, sheet D0-08 Accounting rules</t>
        </is>
      </c>
      <c r="G61" s="14" t="inlineStr">
        <is>
          <t>Not started</t>
        </is>
      </c>
      <c r="H61" s="14" t="n"/>
    </row>
    <row r="62">
      <c r="A62" s="14" t="inlineStr">
        <is>
          <t>OPS_DP_COMMISSION_COLLECT</t>
        </is>
      </c>
      <c r="B62" s="14" t="inlineStr">
        <is>
          <t>Direct payment commission collected</t>
        </is>
      </c>
      <c r="C62" s="14" t="inlineStr">
        <is>
          <t>Receipt</t>
        </is>
      </c>
      <c r="D62" s="14" t="inlineStr">
        <is>
          <t>Receipt</t>
        </is>
      </c>
      <c r="E62" s="14" t="inlineStr">
        <is>
          <t>CASH, CWT, COMMISSION_RECEIVABLE, REALIZED_COMMISSION, REALIZED_VAT</t>
        </is>
      </c>
      <c r="F62" s="14" t="inlineStr">
        <is>
          <t>Drop 0 template D0-08, sheet D0-08 Accounting rules</t>
        </is>
      </c>
      <c r="G62" s="14" t="inlineStr">
        <is>
          <t>Not started</t>
        </is>
      </c>
      <c r="H62" s="14" t="n"/>
    </row>
    <row r="63">
      <c r="A63" s="14" t="inlineStr">
        <is>
          <t>OPS_DP_PR_REVERSAL</t>
        </is>
      </c>
      <c r="B63" s="14" t="inlineStr">
        <is>
          <t>Direct payment PR reversal</t>
        </is>
      </c>
      <c r="C63" s="14" t="inlineStr">
        <is>
          <t>Receipt</t>
        </is>
      </c>
      <c r="D63" s="14" t="inlineStr">
        <is>
          <t>Receipt</t>
        </is>
      </c>
      <c r="E63" s="14" t="inlineStr">
        <is>
          <t>DTIP, PR_BASIC, PR_DST, PR_PTX_VAT, PR_LGT, PR_FST, PR_OTHER</t>
        </is>
      </c>
      <c r="F63" s="14" t="inlineStr">
        <is>
          <t>Drop 0 template D0-08, sheet D0-08 Accounting rules</t>
        </is>
      </c>
      <c r="G63" s="14" t="inlineStr">
        <is>
          <t>Not started</t>
        </is>
      </c>
      <c r="H63" s="14" t="n"/>
    </row>
    <row r="64">
      <c r="A64" s="14" t="inlineStr">
        <is>
          <t>OPS_DP_REINSTATE</t>
        </is>
      </c>
      <c r="B64" s="14" t="inlineStr">
        <is>
          <t>Direct payment reinstatement</t>
        </is>
      </c>
      <c r="C64" s="14" t="inlineStr">
        <is>
          <t>Receipt</t>
        </is>
      </c>
      <c r="D64" s="14" t="inlineStr">
        <is>
          <t>Receipt</t>
        </is>
      </c>
      <c r="E64" s="14" t="inlineStr">
        <is>
          <t>DTIP, PR_BASIC, PR_DST, PR_PTX_VAT, PR_LGT, PR_FST, PR_OTHER</t>
        </is>
      </c>
      <c r="F64" s="14" t="inlineStr">
        <is>
          <t>Drop 0 template D0-08, sheet D0-08 Accounting rules</t>
        </is>
      </c>
      <c r="G64" s="14" t="inlineStr">
        <is>
          <t>Not started</t>
        </is>
      </c>
      <c r="H64" s="14" t="n"/>
    </row>
    <row r="65">
      <c r="A65" s="14" t="inlineStr">
        <is>
          <t>OPS_EXCESS_TO_OVERAGES</t>
        </is>
      </c>
      <c r="B65" s="14" t="inlineStr">
        <is>
          <t>Minimal excess to AP overages</t>
        </is>
      </c>
      <c r="C65" s="14" t="inlineStr">
        <is>
          <t>Receipt</t>
        </is>
      </c>
      <c r="D65" s="14" t="inlineStr">
        <is>
          <t>Receipt</t>
        </is>
      </c>
      <c r="E65" s="14" t="inlineStr">
        <is>
          <t>AMOUNT</t>
        </is>
      </c>
      <c r="F65" s="14" t="inlineStr">
        <is>
          <t>Drop 0 template D0-08, sheet D0-08 Accounting rules</t>
        </is>
      </c>
      <c r="G65" s="14" t="inlineStr">
        <is>
          <t>Not started</t>
        </is>
      </c>
      <c r="H65" s="14" t="n"/>
    </row>
    <row r="66">
      <c r="A66" s="14" t="inlineStr">
        <is>
          <t>OPS_MINIMAL_BALANCE_REVERSAL</t>
        </is>
      </c>
      <c r="B66" s="14" t="inlineStr">
        <is>
          <t>Premium minimal balance reversal</t>
        </is>
      </c>
      <c r="C66" s="14" t="inlineStr">
        <is>
          <t>Receipt</t>
        </is>
      </c>
      <c r="D66" s="14" t="inlineStr">
        <is>
          <t>Receipt</t>
        </is>
      </c>
      <c r="E66" s="14" t="inlineStr">
        <is>
          <t>TOTAL, PR_BASIC, PR_DST, PR_PTX_VAT, PR_LGT, PR_FST, PR_OTHER</t>
        </is>
      </c>
      <c r="F66" s="14" t="inlineStr">
        <is>
          <t>Drop 0 template D0-08, sheet D0-08 Accounting rules</t>
        </is>
      </c>
      <c r="G66" s="14" t="inlineStr">
        <is>
          <t>Not started</t>
        </is>
      </c>
      <c r="H66" s="14" t="n"/>
    </row>
    <row r="67">
      <c r="A67" s="14" t="inlineStr">
        <is>
          <t>OPS_OR_ISSUE</t>
        </is>
      </c>
      <c r="B67" s="14" t="inlineStr">
        <is>
          <t>Official receipt issued</t>
        </is>
      </c>
      <c r="C67" s="14" t="inlineStr">
        <is>
          <t>Receipt</t>
        </is>
      </c>
      <c r="D67" s="14" t="inlineStr">
        <is>
          <t>Receipt</t>
        </is>
      </c>
      <c r="E67" s="14" t="inlineStr">
        <is>
          <t>CASH, CWT, SERVICE_FEE_INCOME, PROFIT_SHARE_INCOME, INCENTIVE_INCOME, OTHER_INCOME, OUTPUT_VAT, COMMISSION_COLLECTED, VAT_DUE</t>
        </is>
      </c>
      <c r="F67" s="14" t="inlineStr">
        <is>
          <t>Drop 0 template D0-08, sheet D0-08 Accounting rules</t>
        </is>
      </c>
      <c r="G67" s="14" t="inlineStr">
        <is>
          <t>Not started</t>
        </is>
      </c>
      <c r="H67" s="14" t="n"/>
    </row>
    <row r="68">
      <c r="A68" s="14" t="inlineStr">
        <is>
          <t>OPS_PAYMENT_APPLY</t>
        </is>
      </c>
      <c r="B68" s="14" t="inlineStr">
        <is>
          <t>Payment applied to a booked invoice</t>
        </is>
      </c>
      <c r="C68" s="14" t="inlineStr">
        <is>
          <t>Receipt</t>
        </is>
      </c>
      <c r="D68" s="14" t="inlineStr">
        <is>
          <t>Receipt</t>
        </is>
      </c>
      <c r="E68" s="14" t="inlineStr">
        <is>
          <t>APPLIED, PR_BASIC, PR_DST, PR_PTX_VAT, PR_LGT, PR_FST, PR_OTHER, REALIZED_COMMISSION, REALIZED_VAT</t>
        </is>
      </c>
      <c r="F68" s="14" t="inlineStr">
        <is>
          <t>Drop 0 template D0-08, sheet D0-08 Accounting rules</t>
        </is>
      </c>
      <c r="G68" s="14" t="inlineStr">
        <is>
          <t>Not started</t>
        </is>
      </c>
      <c r="H68" s="14" t="n"/>
    </row>
    <row r="69">
      <c r="A69" s="14" t="inlineStr">
        <is>
          <t>OPS_RECEIPT_REINSTATE</t>
        </is>
      </c>
      <c r="B69" s="14" t="inlineStr">
        <is>
          <t>Receipt reinstated</t>
        </is>
      </c>
      <c r="C69" s="14" t="inlineStr">
        <is>
          <t>Receipt</t>
        </is>
      </c>
      <c r="D69" s="14" t="inlineStr">
        <is>
          <t>Receipt</t>
        </is>
      </c>
      <c r="E69" s="14" t="inlineStr">
        <is>
          <t>AMOUNT</t>
        </is>
      </c>
      <c r="F69" s="14" t="inlineStr">
        <is>
          <t>Drop 0 template D0-08, sheet D0-08 Accounting rules</t>
        </is>
      </c>
      <c r="G69" s="14" t="inlineStr">
        <is>
          <t>Not started</t>
        </is>
      </c>
      <c r="H69" s="14" t="n"/>
    </row>
    <row r="70">
      <c r="A70" s="14" t="inlineStr">
        <is>
          <t>OPS_UNAPPLIED_RECLASS</t>
        </is>
      </c>
      <c r="B70" s="14" t="inlineStr">
        <is>
          <t>Unapplied payment reclassified</t>
        </is>
      </c>
      <c r="C70" s="14" t="inlineStr">
        <is>
          <t>Receipt</t>
        </is>
      </c>
      <c r="D70" s="14" t="inlineStr">
        <is>
          <t>Receipt</t>
        </is>
      </c>
      <c r="E70" s="14" t="inlineStr">
        <is>
          <t>RELEASED, ASSIGNED</t>
        </is>
      </c>
      <c r="F70" s="14" t="inlineStr">
        <is>
          <t>Drop 0 template D0-08, sheet D0-08 Accounting rules</t>
        </is>
      </c>
      <c r="G70" s="14" t="inlineStr">
        <is>
          <t>Not started</t>
        </is>
      </c>
      <c r="H70" s="14" t="n"/>
    </row>
    <row r="71">
      <c r="A71" s="14" t="inlineStr">
        <is>
          <t>OPS_UNAPPLIED_REFUND</t>
        </is>
      </c>
      <c r="B71" s="14" t="inlineStr">
        <is>
          <t>Unapplied payment refunded</t>
        </is>
      </c>
      <c r="C71" s="14" t="inlineStr">
        <is>
          <t>Receipt</t>
        </is>
      </c>
      <c r="D71" s="14" t="inlineStr">
        <is>
          <t>Receipt</t>
        </is>
      </c>
      <c r="E71" s="14" t="inlineStr">
        <is>
          <t>AMOUNT</t>
        </is>
      </c>
      <c r="F71" s="14" t="inlineStr">
        <is>
          <t>Drop 0 template D0-08, sheet D0-08 Accounting rules</t>
        </is>
      </c>
      <c r="G71" s="14" t="inlineStr">
        <is>
          <t>Not started</t>
        </is>
      </c>
      <c r="H71" s="14" t="n"/>
    </row>
    <row r="72">
      <c r="A72" s="14" t="inlineStr">
        <is>
          <t>OPS_UNAPPLIED_TO_INCOME</t>
        </is>
      </c>
      <c r="B72" s="14" t="inlineStr">
        <is>
          <t>Unapplied payment reclassified to other income</t>
        </is>
      </c>
      <c r="C72" s="14" t="inlineStr">
        <is>
          <t>Receipt</t>
        </is>
      </c>
      <c r="D72" s="14" t="inlineStr">
        <is>
          <t>Receipt</t>
        </is>
      </c>
      <c r="E72" s="14" t="inlineStr">
        <is>
          <t>AMOUNT, LG_AMOUNT</t>
        </is>
      </c>
      <c r="F72" s="14" t="inlineStr">
        <is>
          <t>Drop 0 template D0-08, sheet D0-08 Accounting rules</t>
        </is>
      </c>
      <c r="G72" s="14" t="inlineStr">
        <is>
          <t>Not started</t>
        </is>
      </c>
      <c r="H72" s="14" t="n"/>
    </row>
    <row r="73">
      <c r="A73" s="14" t="inlineStr">
        <is>
          <t>PREMIUM_DEPOSIT</t>
        </is>
      </c>
      <c r="B73" s="14" t="inlineStr">
        <is>
          <t>Unapplied collection</t>
        </is>
      </c>
      <c r="C73" s="14" t="inlineStr">
        <is>
          <t>Receipt</t>
        </is>
      </c>
      <c r="D73" s="14" t="inlineStr">
        <is>
          <t>Receipt</t>
        </is>
      </c>
      <c r="E73" s="14" t="inlineStr">
        <is>
          <t>AMOUNT</t>
        </is>
      </c>
      <c r="F73" s="14" t="inlineStr">
        <is>
          <t>Drop 0 template D0-08, sheet D0-08 Accounting rules</t>
        </is>
      </c>
      <c r="G73" s="14" t="inlineStr">
        <is>
          <t>Not started</t>
        </is>
      </c>
      <c r="H73" s="14" t="n"/>
    </row>
    <row r="74">
      <c r="A74" s="14" t="inlineStr">
        <is>
          <t>PREMIUM_RECEIPT</t>
        </is>
      </c>
      <c r="B74" s="14" t="inlineStr">
        <is>
          <t>Premium collection</t>
        </is>
      </c>
      <c r="C74" s="14" t="inlineStr">
        <is>
          <t>Receipt</t>
        </is>
      </c>
      <c r="D74" s="14" t="inlineStr">
        <is>
          <t>Receipt</t>
        </is>
      </c>
      <c r="E74" s="14" t="inlineStr">
        <is>
          <t>AMOUNT</t>
        </is>
      </c>
      <c r="F74" s="14" t="inlineStr">
        <is>
          <t>Drop 0 template D0-08, sheet D0-08 Accounting rules</t>
        </is>
      </c>
      <c r="G74" s="14" t="inlineStr">
        <is>
          <t>Not started</t>
        </is>
      </c>
      <c r="H74" s="14" t="n"/>
    </row>
    <row r="75">
      <c r="A75" s="14" t="inlineStr">
        <is>
          <t>RI_SETTLEMENT_RECEIPT</t>
        </is>
      </c>
      <c r="B75" s="14" t="inlineStr">
        <is>
          <t>Receipt from reinsurer</t>
        </is>
      </c>
      <c r="C75" s="14" t="inlineStr">
        <is>
          <t>Receipt</t>
        </is>
      </c>
      <c r="D75" s="14" t="inlineStr">
        <is>
          <t>Receipt</t>
        </is>
      </c>
      <c r="E75" s="14" t="inlineStr">
        <is>
          <t>AMOUNT</t>
        </is>
      </c>
      <c r="F75" s="14" t="inlineStr">
        <is>
          <t>Drop 0 template D0-08, sheet D0-08 Accounting rules</t>
        </is>
      </c>
      <c r="G75" s="14" t="inlineStr">
        <is>
          <t>Not started</t>
        </is>
      </c>
      <c r="H75" s="14" t="n"/>
    </row>
    <row r="76">
      <c r="A76" s="14" t="inlineStr">
        <is>
          <t>SBM_HANDLING_FEE</t>
        </is>
      </c>
      <c r="B76" s="14" t="inlineStr">
        <is>
          <t>Handling fee recognised</t>
        </is>
      </c>
      <c r="C76" s="14" t="inlineStr">
        <is>
          <t>Receipt</t>
        </is>
      </c>
      <c r="D76" s="14" t="inlineStr">
        <is>
          <t>Receipt</t>
        </is>
      </c>
      <c r="E76" s="14" t="inlineStr">
        <is>
          <t>AMOUNT, INCOME, OUTPUT_VAT</t>
        </is>
      </c>
      <c r="F76" s="14" t="inlineStr">
        <is>
          <t>Drop 0 template D0-08, sheet D0-08 Accounting rules</t>
        </is>
      </c>
      <c r="G76" s="14" t="inlineStr">
        <is>
          <t>Not started</t>
        </is>
      </c>
      <c r="H76" s="14" t="n"/>
    </row>
    <row r="77">
      <c r="A77" s="14" t="inlineStr">
        <is>
          <t>SBM_NO_TOUCH_FEE</t>
        </is>
      </c>
      <c r="B77" s="14" t="inlineStr">
        <is>
          <t>No Touch service fee billed</t>
        </is>
      </c>
      <c r="C77" s="14" t="inlineStr">
        <is>
          <t>Receipt</t>
        </is>
      </c>
      <c r="D77" s="14" t="inlineStr">
        <is>
          <t>Receipt</t>
        </is>
      </c>
      <c r="E77" s="14" t="inlineStr">
        <is>
          <t>RECEIVABLE, INCOME, OUTPUT_VAT</t>
        </is>
      </c>
      <c r="F77" s="14" t="inlineStr">
        <is>
          <t>Drop 0 template D0-08, sheet D0-08 Accounting rules</t>
        </is>
      </c>
      <c r="G77" s="14" t="inlineStr">
        <is>
          <t>Not started</t>
        </is>
      </c>
      <c r="H77" s="14" t="n"/>
    </row>
    <row r="78">
      <c r="A78" s="14" t="inlineStr">
        <is>
          <t>TAX_CWT_CERT_RECEIVED</t>
        </is>
      </c>
      <c r="B78" s="14" t="inlineStr">
        <is>
          <t>Insurer 2307 certificate received</t>
        </is>
      </c>
      <c r="C78" s="14" t="inlineStr">
        <is>
          <t>Receipt</t>
        </is>
      </c>
      <c r="D78" s="14" t="inlineStr">
        <is>
          <t>Receipt</t>
        </is>
      </c>
      <c r="E78" s="14" t="inlineStr">
        <is>
          <t>COMMISSION_CWT, INCENTIVE_CWT</t>
        </is>
      </c>
      <c r="F78" s="14" t="inlineStr">
        <is>
          <t>Drop 0 template D0-08, sheet D0-08 Accounting rules</t>
        </is>
      </c>
      <c r="G78" s="14" t="inlineStr">
        <is>
          <t>Not started</t>
        </is>
      </c>
      <c r="H78" s="14" t="n"/>
    </row>
    <row r="79">
      <c r="A79" s="14" t="inlineStr">
        <is>
          <t>UNAPPLIED_APPLICATION</t>
        </is>
      </c>
      <c r="B79" s="14" t="inlineStr">
        <is>
          <t>Application of unapplied collection</t>
        </is>
      </c>
      <c r="C79" s="14" t="inlineStr">
        <is>
          <t>Receipt</t>
        </is>
      </c>
      <c r="D79" s="14" t="inlineStr">
        <is>
          <t>Receipt</t>
        </is>
      </c>
      <c r="E79" s="14" t="inlineStr">
        <is>
          <t>AMOUNT</t>
        </is>
      </c>
      <c r="F79" s="14" t="inlineStr">
        <is>
          <t>Drop 0 template D0-08, sheet D0-08 Accounting rules</t>
        </is>
      </c>
      <c r="G79" s="14" t="inlineStr">
        <is>
          <t>Not started</t>
        </is>
      </c>
      <c r="H79" s="14" t="n"/>
    </row>
    <row r="80">
      <c r="A80" s="14" t="inlineStr">
        <is>
          <t>RI_BALANCE_OFFSET</t>
        </is>
      </c>
      <c r="B80" s="14" t="inlineStr">
        <is>
          <t>Reinsurer balance offset</t>
        </is>
      </c>
      <c r="C80" s="14" t="inlineStr">
        <is>
          <t>Reinsurance</t>
        </is>
      </c>
      <c r="D80" s="14" t="inlineStr">
        <is>
          <t>Reinsurance</t>
        </is>
      </c>
      <c r="E80" s="14" t="inlineStr">
        <is>
          <t>AMOUNT</t>
        </is>
      </c>
      <c r="F80" s="14" t="inlineStr">
        <is>
          <t>Drop 0 template D0-08, sheet D0-08 Accounting rules</t>
        </is>
      </c>
      <c r="G80" s="14" t="inlineStr">
        <is>
          <t>Not started</t>
        </is>
      </c>
      <c r="H80" s="14" t="n"/>
    </row>
    <row r="81">
      <c r="A81" s="14" t="inlineStr">
        <is>
          <t>RI_CLAIM_RECOVERY</t>
        </is>
      </c>
      <c r="B81" s="14" t="inlineStr">
        <is>
          <t>Reinsurance claim recovery</t>
        </is>
      </c>
      <c r="C81" s="14" t="inlineStr">
        <is>
          <t>Reinsurance</t>
        </is>
      </c>
      <c r="D81" s="14" t="inlineStr">
        <is>
          <t>Reinsurance</t>
        </is>
      </c>
      <c r="E81" s="14" t="inlineStr">
        <is>
          <t>RECOVERY</t>
        </is>
      </c>
      <c r="F81" s="14" t="inlineStr">
        <is>
          <t>Drop 0 template D0-08, sheet D0-08 Accounting rules</t>
        </is>
      </c>
      <c r="G81" s="14" t="inlineStr">
        <is>
          <t>Not started</t>
        </is>
      </c>
      <c r="H81" s="14" t="n"/>
    </row>
    <row r="82">
      <c r="A82" s="14" t="inlineStr">
        <is>
          <t>RI_PREMIUM_CEDED</t>
        </is>
      </c>
      <c r="B82" s="14" t="inlineStr">
        <is>
          <t>Reinsurance premium ceded</t>
        </is>
      </c>
      <c r="C82" s="14" t="inlineStr">
        <is>
          <t>Reinsurance</t>
        </is>
      </c>
      <c r="D82" s="14" t="inlineStr">
        <is>
          <t>Reinsurance</t>
        </is>
      </c>
      <c r="E82" s="14" t="inlineStr">
        <is>
          <t>CEDED_PREMIUM, RI_COMMISSION, NET_DUE</t>
        </is>
      </c>
      <c r="F82" s="14" t="inlineStr">
        <is>
          <t>Drop 0 template D0-08, sheet D0-08 Accounting rules</t>
        </is>
      </c>
      <c r="G82" s="14" t="inlineStr">
        <is>
          <t>Not started</t>
        </is>
      </c>
      <c r="H82" s="14" t="n"/>
    </row>
    <row r="83">
      <c r="A83" s="14" t="inlineStr">
        <is>
          <t>RI_RESERVE_SHARE</t>
        </is>
      </c>
      <c r="B83" s="14" t="inlineStr">
        <is>
          <t>Reinsurers share of claim reserve</t>
        </is>
      </c>
      <c r="C83" s="14" t="inlineStr">
        <is>
          <t>Reinsurance</t>
        </is>
      </c>
      <c r="D83" s="14" t="inlineStr">
        <is>
          <t>Reinsurance</t>
        </is>
      </c>
      <c r="E83" s="14" t="inlineStr">
        <is>
          <t>RESERVE_CHANGE</t>
        </is>
      </c>
      <c r="F83" s="14" t="inlineStr">
        <is>
          <t>Drop 0 template D0-08, sheet D0-08 Accounting rules</t>
        </is>
      </c>
      <c r="G83" s="14" t="inlineStr">
        <is>
          <t>Not started</t>
        </is>
      </c>
      <c r="H83" s="14" t="n"/>
    </row>
    <row r="84">
      <c r="A84" s="14" t="inlineStr">
        <is>
          <t>RI_SOA_ADJUSTMENT</t>
        </is>
      </c>
      <c r="B84" s="14" t="inlineStr">
        <is>
          <t>Reinsurance statement adjustments</t>
        </is>
      </c>
      <c r="C84" s="14" t="inlineStr">
        <is>
          <t>Reinsurance</t>
        </is>
      </c>
      <c r="D84" s="14" t="inlineStr">
        <is>
          <t>Reinsurance</t>
        </is>
      </c>
      <c r="E84" s="14" t="inlineStr">
        <is>
          <t>LEVY, PREMIUM_RESERVE, LOSS_RESERVE, INTEREST</t>
        </is>
      </c>
      <c r="F84" s="14" t="inlineStr">
        <is>
          <t>Drop 0 template D0-08, sheet D0-08 Accounting rules</t>
        </is>
      </c>
      <c r="G84" s="14" t="inlineStr">
        <is>
          <t>Not started</t>
        </is>
      </c>
      <c r="H84" s="14" t="n"/>
    </row>
    <row r="85">
      <c r="A85" s="14" t="inlineStr">
        <is>
          <t>BANK_TRANSFER</t>
        </is>
      </c>
      <c r="B85" s="14" t="inlineStr">
        <is>
          <t>Bank transfer</t>
        </is>
      </c>
      <c r="C85" s="14" t="inlineStr">
        <is>
          <t>Treasury</t>
        </is>
      </c>
      <c r="D85" s="14" t="inlineStr">
        <is>
          <t>Payment</t>
        </is>
      </c>
      <c r="E85" s="14" t="inlineStr">
        <is>
          <t>AMOUNT</t>
        </is>
      </c>
      <c r="F85" s="14" t="inlineStr">
        <is>
          <t>Drop 0 template D0-08, sheet D0-08 Accounting rules</t>
        </is>
      </c>
      <c r="G85" s="14" t="inlineStr">
        <is>
          <t>Not started</t>
        </is>
      </c>
      <c r="H85" s="14" t="n"/>
    </row>
    <row r="86">
      <c r="A86" s="14" t="inlineStr">
        <is>
          <t>DISB_FUND_TRANSFER</t>
        </is>
      </c>
      <c r="B86" s="14" t="inlineStr">
        <is>
          <t>Account funding transfer</t>
        </is>
      </c>
      <c r="C86" s="14" t="inlineStr">
        <is>
          <t>Treasury</t>
        </is>
      </c>
      <c r="D86" s="14" t="inlineStr">
        <is>
          <t>Payment</t>
        </is>
      </c>
      <c r="E86" s="14" t="inlineStr">
        <is>
          <t>AMOUNT</t>
        </is>
      </c>
      <c r="F86" s="14" t="inlineStr">
        <is>
          <t>Drop 0 template D0-08, sheet D0-08 Accounting rules</t>
        </is>
      </c>
      <c r="G86" s="14" t="inlineStr">
        <is>
          <t>Not started</t>
        </is>
      </c>
      <c r="H86" s="14" t="n"/>
    </row>
    <row r="87">
      <c r="A87" s="14" t="inlineStr">
        <is>
          <t>INVESTMENT_AMORTIZATION</t>
        </is>
      </c>
      <c r="B87" s="14" t="inlineStr">
        <is>
          <t>Premium / discount amortization</t>
        </is>
      </c>
      <c r="C87" s="14" t="inlineStr">
        <is>
          <t>Treasury</t>
        </is>
      </c>
      <c r="D87" s="14" t="inlineStr">
        <is>
          <t>Investment</t>
        </is>
      </c>
      <c r="E87" s="14" t="inlineStr">
        <is>
          <t>AMORTIZATION</t>
        </is>
      </c>
      <c r="F87" s="14" t="inlineStr">
        <is>
          <t>Drop 0 template D0-08, sheet D0-08 Accounting rules</t>
        </is>
      </c>
      <c r="G87" s="14" t="inlineStr">
        <is>
          <t>Not started</t>
        </is>
      </c>
      <c r="H87" s="14" t="n"/>
    </row>
    <row r="88">
      <c r="A88" s="14" t="inlineStr">
        <is>
          <t>INVESTMENT_FAIR_VALUE</t>
        </is>
      </c>
      <c r="B88" s="14" t="inlineStr">
        <is>
          <t>Investment fair value change</t>
        </is>
      </c>
      <c r="C88" s="14" t="inlineStr">
        <is>
          <t>Treasury</t>
        </is>
      </c>
      <c r="D88" s="14" t="inlineStr">
        <is>
          <t>Revaluation</t>
        </is>
      </c>
      <c r="E88" s="14" t="inlineStr">
        <is>
          <t>FAIR_VALUE_CHANGE</t>
        </is>
      </c>
      <c r="F88" s="14" t="inlineStr">
        <is>
          <t>Drop 0 template D0-08, sheet D0-08 Accounting rules</t>
        </is>
      </c>
      <c r="G88" s="14" t="inlineStr">
        <is>
          <t>Not started</t>
        </is>
      </c>
      <c r="H88" s="14" t="n"/>
    </row>
    <row r="89">
      <c r="A89" s="14" t="inlineStr">
        <is>
          <t>INVESTMENT_INTEREST_ACCRUAL</t>
        </is>
      </c>
      <c r="B89" s="14" t="inlineStr">
        <is>
          <t>Investment interest accrual</t>
        </is>
      </c>
      <c r="C89" s="14" t="inlineStr">
        <is>
          <t>Treasury</t>
        </is>
      </c>
      <c r="D89" s="14" t="inlineStr">
        <is>
          <t>Investment</t>
        </is>
      </c>
      <c r="E89" s="14" t="inlineStr">
        <is>
          <t>INTEREST</t>
        </is>
      </c>
      <c r="F89" s="14" t="inlineStr">
        <is>
          <t>Drop 0 template D0-08, sheet D0-08 Accounting rules</t>
        </is>
      </c>
      <c r="G89" s="14" t="inlineStr">
        <is>
          <t>Not started</t>
        </is>
      </c>
      <c r="H89" s="14" t="n"/>
    </row>
    <row r="90">
      <c r="A90" s="14" t="inlineStr">
        <is>
          <t>INVESTMENT_INTEREST_RECEIPT</t>
        </is>
      </c>
      <c r="B90" s="14" t="inlineStr">
        <is>
          <t>Coupon / interest received</t>
        </is>
      </c>
      <c r="C90" s="14" t="inlineStr">
        <is>
          <t>Treasury</t>
        </is>
      </c>
      <c r="D90" s="14" t="inlineStr">
        <is>
          <t>Investment</t>
        </is>
      </c>
      <c r="E90" s="14" t="inlineStr">
        <is>
          <t>CASH, FINAL_TAX, ACCRUED_INTEREST, INCOME_ADJUSTMENT</t>
        </is>
      </c>
      <c r="F90" s="14" t="inlineStr">
        <is>
          <t>Drop 0 template D0-08, sheet D0-08 Accounting rules</t>
        </is>
      </c>
      <c r="G90" s="14" t="inlineStr">
        <is>
          <t>Not started</t>
        </is>
      </c>
      <c r="H90" s="14" t="n"/>
    </row>
    <row r="91">
      <c r="A91" s="14" t="inlineStr">
        <is>
          <t>INVESTMENT_MATURITY</t>
        </is>
      </c>
      <c r="B91" s="14" t="inlineStr">
        <is>
          <t>Investment maturity</t>
        </is>
      </c>
      <c r="C91" s="14" t="inlineStr">
        <is>
          <t>Treasury</t>
        </is>
      </c>
      <c r="D91" s="14" t="inlineStr">
        <is>
          <t>Investment</t>
        </is>
      </c>
      <c r="E91" s="14" t="inlineStr">
        <is>
          <t>PROCEEDS, FINAL_TAX, FV_RESERVE, CARRYING_AMOUNT, ACCRUED_INTEREST, REALIZED_GAIN</t>
        </is>
      </c>
      <c r="F91" s="14" t="inlineStr">
        <is>
          <t>Drop 0 template D0-08, sheet D0-08 Accounting rules</t>
        </is>
      </c>
      <c r="G91" s="14" t="inlineStr">
        <is>
          <t>Not started</t>
        </is>
      </c>
      <c r="H91" s="14" t="n"/>
    </row>
    <row r="92">
      <c r="A92" s="14" t="inlineStr">
        <is>
          <t>INVESTMENT_PURCHASE</t>
        </is>
      </c>
      <c r="B92" s="14" t="inlineStr">
        <is>
          <t>Investment purchase</t>
        </is>
      </c>
      <c r="C92" s="14" t="inlineStr">
        <is>
          <t>Treasury</t>
        </is>
      </c>
      <c r="D92" s="14" t="inlineStr">
        <is>
          <t>Investment</t>
        </is>
      </c>
      <c r="E92" s="14" t="inlineStr">
        <is>
          <t>COST, PURCHASED_INTEREST, TOTAL</t>
        </is>
      </c>
      <c r="F92" s="14" t="inlineStr">
        <is>
          <t>Drop 0 template D0-08, sheet D0-08 Accounting rules</t>
        </is>
      </c>
      <c r="G92" s="14" t="inlineStr">
        <is>
          <t>Not started</t>
        </is>
      </c>
      <c r="H92" s="14" t="n"/>
    </row>
    <row r="93">
      <c r="A93" s="14" t="inlineStr">
        <is>
          <t>INVESTMENT_SALE</t>
        </is>
      </c>
      <c r="B93" s="14" t="inlineStr">
        <is>
          <t>Investment sale</t>
        </is>
      </c>
      <c r="C93" s="14" t="inlineStr">
        <is>
          <t>Treasury</t>
        </is>
      </c>
      <c r="D93" s="14" t="inlineStr">
        <is>
          <t>Investment</t>
        </is>
      </c>
      <c r="E93" s="14" t="inlineStr">
        <is>
          <t>PROCEEDS, FINAL_TAX, FV_RESERVE, CARRYING_AMOUNT, ACCRUED_INTEREST, REALIZED_GAIN</t>
        </is>
      </c>
      <c r="F93" s="14" t="inlineStr">
        <is>
          <t>Drop 0 template D0-08, sheet D0-08 Accounting rules</t>
        </is>
      </c>
      <c r="G93" s="14" t="inlineStr">
        <is>
          <t>Not started</t>
        </is>
      </c>
      <c r="H93" s="14" t="n"/>
    </row>
    <row r="94">
      <c r="A94" s="14" t="inlineStr">
        <is>
          <t>INVESTMENT_TAKE_ON</t>
        </is>
      </c>
      <c r="B94" s="14" t="inlineStr">
        <is>
          <t>Investment opening balance</t>
        </is>
      </c>
      <c r="C94" s="14" t="inlineStr">
        <is>
          <t>Treasury</t>
        </is>
      </c>
      <c r="D94" s="14" t="inlineStr">
        <is>
          <t>Opening</t>
        </is>
      </c>
      <c r="E94" s="14" t="inlineStr">
        <is>
          <t>CARRYING_AMOUNT, ACCRUED_INTEREST, TOTAL</t>
        </is>
      </c>
      <c r="F94" s="14" t="inlineStr">
        <is>
          <t>Drop 0 template D0-08, sheet D0-08 Accounting rules</t>
        </is>
      </c>
      <c r="G94" s="14" t="inlineStr">
        <is>
          <t>Not started</t>
        </is>
      </c>
      <c r="H94" s="14" t="n"/>
    </row>
  </sheetData>
  <autoFilter ref="A4:H94"/>
  <conditionalFormatting sqref="G5:G94">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fRule type="cellIs" priority="5" operator="equal" dxfId="4" stopIfTrue="1">
      <formula>"Not applicable"</formula>
    </cfRule>
  </conditionalFormatting>
  <conditionalFormatting sqref="A5:H94">
    <cfRule type="expression" priority="6" dxfId="7">
      <formula>AND(MOD(ROW(),2)=0,$A5&lt;&gt;"")</formula>
    </cfRule>
  </conditionalFormatting>
  <dataValidations count="1">
    <dataValidation sqref="G5:G94" showDropDown="0" showInputMessage="1" showErrorMessage="1" allowBlank="1" errorTitle="Status" error="Choose a value of the list Status (sheet Reference lists)." promptTitle="Status" prompt="Status of the row" type="list" errorStyle="stop">
      <formula1>=LIST_STATUS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fitToPage="1"/>
  </sheetPr>
  <dimension ref="A1:H36"/>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6" customWidth="1" min="4" max="4"/>
    <col width="30" customWidth="1" min="5" max="5"/>
    <col width="10" customWidth="1" min="6" max="6"/>
    <col width="70" customWidth="1" min="7" max="7"/>
    <col width="22" customWidth="1" min="8" max="8"/>
  </cols>
  <sheetData>
    <row r="1" ht="26" customHeight="1">
      <c r="A1" s="27" t="inlineStr">
        <is>
          <t>Reference: migration cross-reference</t>
        </is>
      </c>
    </row>
    <row r="2">
      <c r="A2" s="29" t="inlineStr">
        <is>
          <t>← Back to Start here</t>
        </is>
      </c>
      <c r="B2" s="56" t="inlineStr">
        <is>
          <t>Reference data loaded through the migration and items entered on screens: one route per item</t>
        </is>
      </c>
    </row>
    <row r="4" ht="30" customHeight="1">
      <c r="A4" s="11" t="inlineStr">
        <is>
          <t>Object</t>
        </is>
      </c>
      <c r="B4" s="11" t="inlineStr">
        <is>
          <t>Name</t>
        </is>
      </c>
      <c r="C4" s="11" t="inlineStr">
        <is>
          <t>Category</t>
        </is>
      </c>
      <c r="D4" s="11" t="inlineStr">
        <is>
          <t>Proposed decision</t>
        </is>
      </c>
      <c r="E4" s="11" t="inlineStr">
        <is>
          <t>Business owner</t>
        </is>
      </c>
      <c r="F4" s="11" t="inlineStr">
        <is>
          <t>Extracts due</t>
        </is>
      </c>
      <c r="G4" s="11" t="inlineStr">
        <is>
          <t>Configuration route</t>
        </is>
      </c>
      <c r="H4" s="11" t="inlineStr">
        <is>
          <t>Duplication rule</t>
        </is>
      </c>
    </row>
    <row r="5">
      <c r="A5" s="14" t="inlineStr">
        <is>
          <t>R01</t>
        </is>
      </c>
      <c r="B5" s="14" t="inlineStr">
        <is>
          <t>Lists of values and MIS values</t>
        </is>
      </c>
      <c r="C5" s="14" t="inlineStr">
        <is>
          <t>Reference</t>
        </is>
      </c>
      <c r="D5" s="14" t="inlineStr">
        <is>
          <t>Migrate</t>
        </is>
      </c>
      <c r="E5" s="14" t="inlineStr">
        <is>
          <t>Product Owner, Marketing Business System (MBS)</t>
        </is>
      </c>
      <c r="F5" s="14" t="inlineStr">
        <is>
          <t>M3</t>
        </is>
      </c>
      <c r="G5" s="14" t="inlineStr">
        <is>
          <t>Loaded by the migration: CFG-061 Values of the lists used by migrated records; CFG-140 Code maps of the reference data</t>
        </is>
      </c>
      <c r="H5" s="14" t="inlineStr">
        <is>
          <t>One route: not typed in this workbook</t>
        </is>
      </c>
    </row>
    <row r="6">
      <c r="A6" s="14" t="inlineStr">
        <is>
          <t>R02</t>
        </is>
      </c>
      <c r="B6" s="14" t="inlineStr">
        <is>
          <t>Branches and invoicing branches</t>
        </is>
      </c>
      <c r="C6" s="14" t="inlineStr">
        <is>
          <t>Reference</t>
        </is>
      </c>
      <c r="D6" s="14" t="inlineStr">
        <is>
          <t>Migrate</t>
        </is>
      </c>
      <c r="E6" s="14" t="inlineStr">
        <is>
          <t>Head, Comptrollership</t>
        </is>
      </c>
      <c r="F6" s="14" t="inlineStr">
        <is>
          <t>M3</t>
        </is>
      </c>
      <c r="G6" s="14" t="inlineStr">
        <is>
          <t>Loaded by the migration: CFG-141 Branch code map</t>
        </is>
      </c>
      <c r="H6" s="14" t="inlineStr">
        <is>
          <t>One route: not typed in this workbook</t>
        </is>
      </c>
    </row>
    <row r="7">
      <c r="A7" s="14" t="inlineStr">
        <is>
          <t>R03</t>
        </is>
      </c>
      <c r="B7" s="14" t="inlineStr">
        <is>
          <t>Sales organisation (regions, departments, teams, unit heads, account officers)</t>
        </is>
      </c>
      <c r="C7" s="14" t="inlineStr">
        <is>
          <t>Reference</t>
        </is>
      </c>
      <c r="D7" s="14" t="inlineStr">
        <is>
          <t>Migrate</t>
        </is>
      </c>
      <c r="E7" s="14" t="inlineStr">
        <is>
          <t>Heads, Retail and Corporate Marketing</t>
        </is>
      </c>
      <c r="F7" s="14" t="inlineStr">
        <is>
          <t>M3</t>
        </is>
      </c>
      <c r="G7" s="14" t="inlineStr">
        <is>
          <t>Loaded by the migration: CFG-007 Sales organisation (regions, departments, teams, unit heads, account officers)</t>
        </is>
      </c>
      <c r="H7" s="14" t="inlineStr">
        <is>
          <t>One route: not typed in this workbook</t>
        </is>
      </c>
    </row>
    <row r="8">
      <c r="A8" s="14" t="inlineStr">
        <is>
          <t>R04</t>
        </is>
      </c>
      <c r="B8" s="14" t="inlineStr">
        <is>
          <t>Insurers and insurer branches</t>
        </is>
      </c>
      <c r="C8" s="14" t="inlineStr">
        <is>
          <t>Reference</t>
        </is>
      </c>
      <c r="D8" s="14" t="inlineStr">
        <is>
          <t>Migrate</t>
        </is>
      </c>
      <c r="E8" s="14" t="inlineStr">
        <is>
          <t>Head, Operations</t>
        </is>
      </c>
      <c r="F8" s="14" t="inlineStr">
        <is>
          <t>M3</t>
        </is>
      </c>
      <c r="G8" s="14" t="inlineStr">
        <is>
          <t>Loaded by the migration: CFG-100 Insurers and insurer branches</t>
        </is>
      </c>
      <c r="H8" s="14" t="inlineStr">
        <is>
          <t>One route: not typed in this workbook</t>
        </is>
      </c>
    </row>
    <row r="9">
      <c r="A9" s="14" t="inlineStr">
        <is>
          <t>R05</t>
        </is>
      </c>
      <c r="B9" s="14" t="inlineStr">
        <is>
          <t>Product lines, cover types, products and risk codes</t>
        </is>
      </c>
      <c r="C9" s="14" t="inlineStr">
        <is>
          <t>Reference</t>
        </is>
      </c>
      <c r="D9" s="14" t="inlineStr">
        <is>
          <t>Migrate</t>
        </is>
      </c>
      <c r="E9" s="14" t="inlineStr">
        <is>
          <t>Product Owner, MBS</t>
        </is>
      </c>
      <c r="F9" s="14" t="inlineStr">
        <is>
          <t>M3</t>
        </is>
      </c>
      <c r="G9" s="14" t="inlineStr">
        <is>
          <t>Loaded by the migration: CFG-090 Product catalogue</t>
        </is>
      </c>
      <c r="H9" s="14" t="inlineStr">
        <is>
          <t>One route: not typed in this workbook</t>
        </is>
      </c>
    </row>
    <row r="10">
      <c r="A10" s="14" t="inlineStr">
        <is>
          <t>R06</t>
        </is>
      </c>
      <c r="B10" s="14" t="inlineStr">
        <is>
          <t>Package code map (legacy package and version to BIBS package version)</t>
        </is>
      </c>
      <c r="C10" s="14" t="inlineStr">
        <is>
          <t>Reference</t>
        </is>
      </c>
      <c r="D10" s="14" t="inlineStr">
        <is>
          <t>Migrate</t>
        </is>
      </c>
      <c r="E10" s="14" t="inlineStr">
        <is>
          <t>Product Owner, MBS (approves); TSU (prepares)</t>
        </is>
      </c>
      <c r="F10" s="14" t="inlineStr">
        <is>
          <t>M5; final at T-7</t>
        </is>
      </c>
      <c r="G10" s="14" t="inlineStr">
        <is>
          <t>Loaded by the migration: CFG-095 Package map (legacy package to BIBS package version)</t>
        </is>
      </c>
      <c r="H10" s="14" t="inlineStr">
        <is>
          <t>One route: not typed in this workbook</t>
        </is>
      </c>
    </row>
    <row r="11">
      <c r="A11" s="14" t="inlineStr">
        <is>
          <t>R07</t>
        </is>
      </c>
      <c r="B11" s="14" t="inlineStr">
        <is>
          <t>Commission rates by insurer and product</t>
        </is>
      </c>
      <c r="C11" s="14" t="inlineStr">
        <is>
          <t>Reference</t>
        </is>
      </c>
      <c r="D11" s="14" t="inlineStr">
        <is>
          <t>Migrate</t>
        </is>
      </c>
      <c r="E11" s="14" t="inlineStr">
        <is>
          <t>Head, Operations</t>
        </is>
      </c>
      <c r="F11" s="14" t="inlineStr">
        <is>
          <t>M3</t>
        </is>
      </c>
      <c r="G11" s="14" t="inlineStr">
        <is>
          <t>Loaded by the migration: CFG-101 Commission rates by insurer and product</t>
        </is>
      </c>
      <c r="H11" s="14" t="inlineStr">
        <is>
          <t>One route: not typed in this workbook</t>
        </is>
      </c>
    </row>
    <row r="12">
      <c r="A12" s="14" t="inlineStr">
        <is>
          <t>R08</t>
        </is>
      </c>
      <c r="B12" s="14" t="inlineStr">
        <is>
          <t>Chart of accounts mapping (legacy GL account to BIBS account)</t>
        </is>
      </c>
      <c r="C12" s="14" t="inlineStr">
        <is>
          <t>Reference</t>
        </is>
      </c>
      <c r="D12" s="14" t="inlineStr">
        <is>
          <t>Migrate</t>
        </is>
      </c>
      <c r="E12" s="14" t="inlineStr">
        <is>
          <t>Head, Comptrollership; Product Owner FRBS and ACSL</t>
        </is>
      </c>
      <c r="F12" s="14" t="inlineStr">
        <is>
          <t>M3</t>
        </is>
      </c>
      <c r="G12" s="14" t="inlineStr">
        <is>
          <t>Loaded by the migration: CFG-024 Chart of accounts mapping (legacy GL account to BIBS account)</t>
        </is>
      </c>
      <c r="H12" s="14" t="inlineStr">
        <is>
          <t>One route: not typed in this workbook</t>
        </is>
      </c>
    </row>
    <row r="13">
      <c r="A13" s="14" t="inlineStr">
        <is>
          <t>R09</t>
        </is>
      </c>
      <c r="B13" s="14" t="inlineStr">
        <is>
          <t>Payees</t>
        </is>
      </c>
      <c r="C13" s="14" t="inlineStr">
        <is>
          <t>Reference</t>
        </is>
      </c>
      <c r="D13" s="14" t="inlineStr">
        <is>
          <t>Conditional</t>
        </is>
      </c>
      <c r="E13" s="14" t="inlineStr">
        <is>
          <t>Product Owner, Comptrollership - Disbursement</t>
        </is>
      </c>
      <c r="F13" s="14" t="inlineStr">
        <is>
          <t>M3</t>
        </is>
      </c>
      <c r="G13" s="14" t="inlineStr">
        <is>
          <t>Loaded by the migration: CFG-103 Payees</t>
        </is>
      </c>
      <c r="H13" s="14" t="inlineStr">
        <is>
          <t>One route: not typed in this workbook</t>
        </is>
      </c>
    </row>
    <row r="14">
      <c r="A14" s="14" t="inlineStr">
        <is>
          <t>R10</t>
        </is>
      </c>
      <c r="B14" s="14" t="inlineStr">
        <is>
          <t>Users and roles</t>
        </is>
      </c>
      <c r="C14" s="14" t="inlineStr">
        <is>
          <t>Reference</t>
        </is>
      </c>
      <c r="D14" s="14" t="inlineStr">
        <is>
          <t>Excluded</t>
        </is>
      </c>
      <c r="E14" s="14" t="inlineStr">
        <is>
          <t>Unit Head, Analytics and Risk Management (User Access)</t>
        </is>
      </c>
      <c r="F14" s="14" t="inlineStr">
        <is>
          <t>M5 (USER map)</t>
        </is>
      </c>
      <c r="G14" s="14" t="inlineStr">
        <is>
          <t>Not migrated (excluded): users are created by access requests from BRD-11 template CI-01 (CFG-110); legacy user IDs are only mapped (code map USER) so the officer, handler and collector fields of migrated records resolve</t>
        </is>
      </c>
      <c r="H14" s="14" t="inlineStr">
        <is>
          <t>-</t>
        </is>
      </c>
    </row>
    <row r="15">
      <c r="A15" s="14" t="inlineStr">
        <is>
          <t>R11</t>
        </is>
      </c>
      <c r="B15" s="14" t="inlineStr">
        <is>
          <t>Receipt series in use (AR and OR, ATP and next number)</t>
        </is>
      </c>
      <c r="C15" s="14" t="inlineStr">
        <is>
          <t>Reference</t>
        </is>
      </c>
      <c r="D15" s="14" t="inlineStr">
        <is>
          <t>Carry Forward</t>
        </is>
      </c>
      <c r="E15" s="14" t="inlineStr">
        <is>
          <t>Operations - Financial Transactions</t>
        </is>
      </c>
      <c r="F15" s="14" t="inlineStr">
        <is>
          <t>M3; final at T-3</t>
        </is>
      </c>
      <c r="G15" s="14" t="inlineStr">
        <is>
          <t>Loaded by the migration: CFG-050 Receipt series in use (AR and OR)</t>
        </is>
      </c>
      <c r="H15" s="14" t="inlineStr">
        <is>
          <t>One route: not typed in this workbook</t>
        </is>
      </c>
    </row>
    <row r="16">
      <c r="A16" s="14" t="inlineStr">
        <is>
          <t>C01</t>
        </is>
      </c>
      <c r="B16" s="14" t="inlineStr">
        <is>
          <t>Client master (individual and corporate)</t>
        </is>
      </c>
      <c r="C16" s="14" t="inlineStr">
        <is>
          <t>Client</t>
        </is>
      </c>
      <c r="D16" s="14" t="inlineStr">
        <is>
          <t>Migrate</t>
        </is>
      </c>
      <c r="E16" s="14" t="inlineStr">
        <is>
          <t>Product Owner, MBS; Heads, Retail and Corporate Marketing</t>
        </is>
      </c>
      <c r="F16" s="14" t="inlineStr">
        <is>
          <t>M3; deltas daily from T-14 days</t>
        </is>
      </c>
      <c r="G16" s="14" t="inlineStr">
        <is>
          <t>Business data, not configuration: prepared and signed in the Migration Workbook only</t>
        </is>
      </c>
      <c r="H16" s="14" t="inlineStr">
        <is>
          <t>-</t>
        </is>
      </c>
    </row>
    <row r="17">
      <c r="A17" s="14" t="inlineStr">
        <is>
          <t>C03</t>
        </is>
      </c>
      <c r="B17" s="14" t="inlineStr">
        <is>
          <t>Client payout accounts (for refunds)</t>
        </is>
      </c>
      <c r="C17" s="14" t="inlineStr">
        <is>
          <t>Client</t>
        </is>
      </c>
      <c r="D17" s="14" t="inlineStr">
        <is>
          <t>Migrate</t>
        </is>
      </c>
      <c r="E17" s="14" t="inlineStr">
        <is>
          <t>Product Owner, Comptrollership - Disbursement</t>
        </is>
      </c>
      <c r="F17" s="14" t="inlineStr">
        <is>
          <t>M3</t>
        </is>
      </c>
      <c r="G17" s="14" t="inlineStr">
        <is>
          <t>Business data, not configuration: prepared and signed in the Migration Workbook only</t>
        </is>
      </c>
      <c r="H17" s="14" t="inlineStr">
        <is>
          <t>-</t>
        </is>
      </c>
    </row>
    <row r="18">
      <c r="A18" s="14" t="inlineStr">
        <is>
          <t>C04</t>
        </is>
      </c>
      <c r="B18" s="14" t="inlineStr">
        <is>
          <t>KYC documents and IDs</t>
        </is>
      </c>
      <c r="C18" s="14" t="inlineStr">
        <is>
          <t>Client</t>
        </is>
      </c>
      <c r="D18" s="14" t="inlineStr">
        <is>
          <t>Archive</t>
        </is>
      </c>
      <c r="E18" s="14" t="inlineStr">
        <is>
          <t>Compliance</t>
        </is>
      </c>
      <c r="F18" s="14" t="inlineStr">
        <is>
          <t>Before decommissioning</t>
        </is>
      </c>
      <c r="G18" s="14" t="inlineStr">
        <is>
          <t>Business data, not configuration: prepared and signed in the Migration Workbook only</t>
        </is>
      </c>
      <c r="H18" s="14" t="inlineStr">
        <is>
          <t>-</t>
        </is>
      </c>
    </row>
    <row r="19">
      <c r="A19" s="14" t="inlineStr">
        <is>
          <t>C05</t>
        </is>
      </c>
      <c r="B19" s="14" t="inlineStr">
        <is>
          <t>Screening results and risk ratings</t>
        </is>
      </c>
      <c r="C19" s="14" t="inlineStr">
        <is>
          <t>Client</t>
        </is>
      </c>
      <c r="D19" s="14" t="inlineStr">
        <is>
          <t>Excluded</t>
        </is>
      </c>
      <c r="E19" s="14" t="inlineStr">
        <is>
          <t>Compliance</t>
        </is>
      </c>
      <c r="F19" s="14" t="inlineStr">
        <is>
          <t>-</t>
        </is>
      </c>
      <c r="G19" s="14" t="inlineStr">
        <is>
          <t>Business data, not configuration: prepared and signed in the Migration Workbook only</t>
        </is>
      </c>
      <c r="H19" s="14" t="inlineStr">
        <is>
          <t>-</t>
        </is>
      </c>
    </row>
    <row r="20">
      <c r="A20" s="14" t="inlineStr">
        <is>
          <t>P01</t>
        </is>
      </c>
      <c r="B20" s="14" t="inlineStr">
        <is>
          <t>In-force policy headers</t>
        </is>
      </c>
      <c r="C20" s="14" t="inlineStr">
        <is>
          <t>Policy</t>
        </is>
      </c>
      <c r="D20" s="14" t="inlineStr">
        <is>
          <t>Conditional</t>
        </is>
      </c>
      <c r="E20" s="14" t="inlineStr">
        <is>
          <t>Head, Operations</t>
        </is>
      </c>
      <c r="F20" s="14" t="inlineStr">
        <is>
          <t>M3; final at T-2</t>
        </is>
      </c>
      <c r="G20" s="14" t="inlineStr">
        <is>
          <t>Business data, not configuration: prepared and signed in the Migration Workbook only</t>
        </is>
      </c>
      <c r="H20" s="14" t="inlineStr">
        <is>
          <t>-</t>
        </is>
      </c>
    </row>
    <row r="21">
      <c r="A21" s="14" t="inlineStr">
        <is>
          <t>P02</t>
        </is>
      </c>
      <c r="B21" s="14" t="inlineStr">
        <is>
          <t>Expired policies and policy history</t>
        </is>
      </c>
      <c r="C21" s="14" t="inlineStr">
        <is>
          <t>Policy</t>
        </is>
      </c>
      <c r="D21" s="14" t="inlineStr">
        <is>
          <t>Archive</t>
        </is>
      </c>
      <c r="E21" s="14" t="inlineStr">
        <is>
          <t>Head, Operations</t>
        </is>
      </c>
      <c r="F21" s="14" t="inlineStr">
        <is>
          <t>Before decommissioning</t>
        </is>
      </c>
      <c r="G21" s="14" t="inlineStr">
        <is>
          <t>Business data, not configuration: prepared and signed in the Migration Workbook only</t>
        </is>
      </c>
      <c r="H21" s="14" t="inlineStr">
        <is>
          <t>-</t>
        </is>
      </c>
    </row>
    <row r="22">
      <c r="A22" s="14" t="inlineStr">
        <is>
          <t>P03</t>
        </is>
      </c>
      <c r="B22" s="14" t="inlineStr">
        <is>
          <t>Renewal advices already sent before go-live (RA-sent file)</t>
        </is>
      </c>
      <c r="C22" s="14" t="inlineStr">
        <is>
          <t>Policy</t>
        </is>
      </c>
      <c r="D22" s="14" t="inlineStr">
        <is>
          <t>Migrate</t>
        </is>
      </c>
      <c r="E22" s="14" t="inlineStr">
        <is>
          <t>Head of the Renewal processing team</t>
        </is>
      </c>
      <c r="F22" s="14" t="inlineStr">
        <is>
          <t>M4 (Trial migration 1); final at T-5</t>
        </is>
      </c>
      <c r="G22" s="14" t="inlineStr">
        <is>
          <t>Business data, not configuration: prepared and signed in the Migration Workbook only</t>
        </is>
      </c>
      <c r="H22" s="14" t="inlineStr">
        <is>
          <t>-</t>
        </is>
      </c>
    </row>
    <row r="23">
      <c r="A23" s="14" t="inlineStr">
        <is>
          <t>P04</t>
        </is>
      </c>
      <c r="B23" s="14" t="inlineStr">
        <is>
          <t>Submitted-policy masterlists</t>
        </is>
      </c>
      <c r="C23" s="14" t="inlineStr">
        <is>
          <t>Policy</t>
        </is>
      </c>
      <c r="D23" s="14" t="inlineStr">
        <is>
          <t>Conditional</t>
        </is>
      </c>
      <c r="E23" s="14" t="inlineStr">
        <is>
          <t>CBG and Non-CBG Marketing (Submitted Policies)</t>
        </is>
      </c>
      <c r="F23" s="14" t="inlineStr">
        <is>
          <t>M3 if in scope</t>
        </is>
      </c>
      <c r="G23" s="14" t="inlineStr">
        <is>
          <t>Business data, not configuration: prepared and signed in the Migration Workbook only</t>
        </is>
      </c>
      <c r="H23" s="14" t="inlineStr">
        <is>
          <t>-</t>
        </is>
      </c>
    </row>
    <row r="24">
      <c r="A24" s="14" t="inlineStr">
        <is>
          <t>P05</t>
        </is>
      </c>
      <c r="B24" s="14" t="inlineStr">
        <is>
          <t>Employee Benefits programmes</t>
        </is>
      </c>
      <c r="C24" s="14" t="inlineStr">
        <is>
          <t>Policy</t>
        </is>
      </c>
      <c r="D24" s="14" t="inlineStr">
        <is>
          <t>Conditional</t>
        </is>
      </c>
      <c r="E24" s="14" t="inlineStr">
        <is>
          <t>Head, Employee Benefits</t>
        </is>
      </c>
      <c r="F24" s="14" t="inlineStr">
        <is>
          <t>M3 if in scope</t>
        </is>
      </c>
      <c r="G24" s="14" t="inlineStr">
        <is>
          <t>Business data, not configuration: prepared and signed in the Migration Workbook only</t>
        </is>
      </c>
      <c r="H24" s="14" t="inlineStr">
        <is>
          <t>-</t>
        </is>
      </c>
    </row>
    <row r="25">
      <c r="A25" s="14" t="inlineStr">
        <is>
          <t>F01</t>
        </is>
      </c>
      <c r="B25" s="14" t="inlineStr">
        <is>
          <t>Open legacy invoices (premium receivable, paid not remitted, commission receivable, PR2307), with components and insurer shares</t>
        </is>
      </c>
      <c r="C25" s="14" t="inlineStr">
        <is>
          <t>Open item</t>
        </is>
      </c>
      <c r="D25" s="14" t="inlineStr">
        <is>
          <t>Carry Forward</t>
        </is>
      </c>
      <c r="E25" s="14" t="inlineStr">
        <is>
          <t>Operations - Financial Transactions; Head, Comptrollership</t>
        </is>
      </c>
      <c r="F25" s="14" t="inlineStr">
        <is>
          <t>M3; final at T-2</t>
        </is>
      </c>
      <c r="G25" s="14" t="inlineStr">
        <is>
          <t>Business data, not configuration: prepared and signed in the Migration Workbook only</t>
        </is>
      </c>
      <c r="H25" s="14" t="inlineStr">
        <is>
          <t>-</t>
        </is>
      </c>
    </row>
    <row r="26">
      <c r="A26" s="14" t="inlineStr">
        <is>
          <t>F02</t>
        </is>
      </c>
      <c r="B26" s="14" t="inlineStr">
        <is>
          <t>Unapplied premium payments (UPP) with disposition in progress</t>
        </is>
      </c>
      <c r="C26" s="14" t="inlineStr">
        <is>
          <t>Open item</t>
        </is>
      </c>
      <c r="D26" s="14" t="inlineStr">
        <is>
          <t>Carry Forward</t>
        </is>
      </c>
      <c r="E26" s="14" t="inlineStr">
        <is>
          <t>Operations - Financial Transactions</t>
        </is>
      </c>
      <c r="F26" s="14" t="inlineStr">
        <is>
          <t>M3; final at T-2</t>
        </is>
      </c>
      <c r="G26" s="14" t="inlineStr">
        <is>
          <t>Business data, not configuration: prepared and signed in the Migration Workbook only</t>
        </is>
      </c>
      <c r="H26" s="14" t="inlineStr">
        <is>
          <t>-</t>
        </is>
      </c>
    </row>
    <row r="27">
      <c r="A27" s="14" t="inlineStr">
        <is>
          <t>F03</t>
        </is>
      </c>
      <c r="B27" s="14" t="inlineStr">
        <is>
          <t>Open collection state (dispositions, promises to pay, installment plans, collector assignments)</t>
        </is>
      </c>
      <c r="C27" s="14" t="inlineStr">
        <is>
          <t>Open item</t>
        </is>
      </c>
      <c r="D27" s="14" t="inlineStr">
        <is>
          <t>Carry Forward</t>
        </is>
      </c>
      <c r="E27" s="14" t="inlineStr">
        <is>
          <t>Head, Operations (Collections)</t>
        </is>
      </c>
      <c r="F27" s="14" t="inlineStr">
        <is>
          <t>M3; final at T-2</t>
        </is>
      </c>
      <c r="G27" s="14" t="inlineStr">
        <is>
          <t>Business data, not configuration: prepared and signed in the Migration Workbook only</t>
        </is>
      </c>
      <c r="H27" s="14" t="inlineStr">
        <is>
          <t>-</t>
        </is>
      </c>
    </row>
    <row r="28">
      <c r="A28" s="14" t="inlineStr">
        <is>
          <t>F04</t>
        </is>
      </c>
      <c r="B28" s="14" t="inlineStr">
        <is>
          <t>Remittance in flight (batches not yet paid, holds, special remittances)</t>
        </is>
      </c>
      <c r="C28" s="14" t="inlineStr">
        <is>
          <t>Open item</t>
        </is>
      </c>
      <c r="D28" s="14" t="inlineStr">
        <is>
          <t>Conditional</t>
        </is>
      </c>
      <c r="E28" s="14" t="inlineStr">
        <is>
          <t>Operations - Remittance</t>
        </is>
      </c>
      <c r="F28" s="14" t="inlineStr">
        <is>
          <t>M3; final at T-2</t>
        </is>
      </c>
      <c r="G28" s="14" t="inlineStr">
        <is>
          <t>Business data, not configuration: prepared and signed in the Migration Workbook only</t>
        </is>
      </c>
      <c r="H28" s="14" t="inlineStr">
        <is>
          <t>-</t>
        </is>
      </c>
    </row>
    <row r="29">
      <c r="A29" s="14" t="inlineStr">
        <is>
          <t>F05</t>
        </is>
      </c>
      <c r="B29" s="14" t="inlineStr">
        <is>
          <t>DP billing in process and DP commission receivable</t>
        </is>
      </c>
      <c r="C29" s="14" t="inlineStr">
        <is>
          <t>Open item</t>
        </is>
      </c>
      <c r="D29" s="14" t="inlineStr">
        <is>
          <t>Carry Forward</t>
        </is>
      </c>
      <c r="E29" s="14" t="inlineStr">
        <is>
          <t>Operations - Financial Transactions</t>
        </is>
      </c>
      <c r="F29" s="14" t="inlineStr">
        <is>
          <t>With F01</t>
        </is>
      </c>
      <c r="G29" s="14" t="inlineStr">
        <is>
          <t>Business data, not configuration: prepared and signed in the Migration Workbook only</t>
        </is>
      </c>
      <c r="H29" s="14" t="inlineStr">
        <is>
          <t>-</t>
        </is>
      </c>
    </row>
    <row r="30">
      <c r="A30" s="14" t="inlineStr">
        <is>
          <t>F06</t>
        </is>
      </c>
      <c r="B30" s="14" t="inlineStr">
        <is>
          <t>PDCs in the warehouse, check pick-ups and refunds in process</t>
        </is>
      </c>
      <c r="C30" s="14" t="inlineStr">
        <is>
          <t>Open item</t>
        </is>
      </c>
      <c r="D30" s="14" t="inlineStr">
        <is>
          <t>Conditional</t>
        </is>
      </c>
      <c r="E30" s="14" t="inlineStr">
        <is>
          <t>Operations - Cashiering</t>
        </is>
      </c>
      <c r="F30" s="14" t="inlineStr">
        <is>
          <t>M3; final at T-2</t>
        </is>
      </c>
      <c r="G30" s="14" t="inlineStr">
        <is>
          <t>Business data, not configuration: prepared and signed in the Migration Workbook only</t>
        </is>
      </c>
      <c r="H30" s="14" t="inlineStr">
        <is>
          <t>-</t>
        </is>
      </c>
    </row>
    <row r="31">
      <c r="A31" s="14" t="inlineStr">
        <is>
          <t>F07</t>
        </is>
      </c>
      <c r="B31" s="14" t="inlineStr">
        <is>
          <t>Open claims</t>
        </is>
      </c>
      <c r="C31" s="14" t="inlineStr">
        <is>
          <t>Open item</t>
        </is>
      </c>
      <c r="D31" s="14" t="inlineStr">
        <is>
          <t>Conditional</t>
        </is>
      </c>
      <c r="E31" s="14" t="inlineStr">
        <is>
          <t>Unit Head, Claims, RI and TU</t>
        </is>
      </c>
      <c r="F31" s="14" t="inlineStr">
        <is>
          <t>M3 if in scope</t>
        </is>
      </c>
      <c r="G31" s="14" t="inlineStr">
        <is>
          <t>Business data, not configuration: prepared and signed in the Migration Workbook only</t>
        </is>
      </c>
      <c r="H31" s="14" t="inlineStr">
        <is>
          <t>-</t>
        </is>
      </c>
    </row>
    <row r="32">
      <c r="A32" s="14" t="inlineStr">
        <is>
          <t>G01</t>
        </is>
      </c>
      <c r="B32" s="14" t="inlineStr">
        <is>
          <t>GL trial balance per account, branch and currency (provisional opening; legacy TB at each true-up)</t>
        </is>
      </c>
      <c r="C32" s="14" t="inlineStr">
        <is>
          <t>GL</t>
        </is>
      </c>
      <c r="D32" s="14" t="inlineStr">
        <is>
          <t>Migrate</t>
        </is>
      </c>
      <c r="E32" s="14" t="inlineStr">
        <is>
          <t>Head, Comptrollership</t>
        </is>
      </c>
      <c r="F32" s="14" t="inlineStr">
        <is>
          <t>M3; final at T-2; at each true-up</t>
        </is>
      </c>
      <c r="G32" s="14" t="inlineStr">
        <is>
          <t>Business data, not configuration: prepared and signed in the Migration Workbook only</t>
        </is>
      </c>
      <c r="H32" s="14" t="inlineStr">
        <is>
          <t>-</t>
        </is>
      </c>
    </row>
    <row r="33">
      <c r="A33" s="14" t="inlineStr">
        <is>
          <t>G02</t>
        </is>
      </c>
      <c r="B33" s="14" t="inlineStr">
        <is>
          <t>GL history (journals and balances before cutover)</t>
        </is>
      </c>
      <c r="C33" s="14" t="inlineStr">
        <is>
          <t>History</t>
        </is>
      </c>
      <c r="D33" s="14" t="inlineStr">
        <is>
          <t>Archive</t>
        </is>
      </c>
      <c r="E33" s="14" t="inlineStr">
        <is>
          <t>Head, Comptrollership</t>
        </is>
      </c>
      <c r="F33" s="14" t="inlineStr">
        <is>
          <t>Before decommissioning</t>
        </is>
      </c>
      <c r="G33" s="14" t="inlineStr">
        <is>
          <t>Business data, not configuration: prepared and signed in the Migration Workbook only</t>
        </is>
      </c>
      <c r="H33" s="14" t="inlineStr">
        <is>
          <t>-</t>
        </is>
      </c>
    </row>
    <row r="34">
      <c r="A34" s="14" t="inlineStr">
        <is>
          <t>G03</t>
        </is>
      </c>
      <c r="B34" s="14" t="inlineStr">
        <is>
          <t>FY2027 opening-balance true-ups (legacy adjustment journals after the freeze and their open-item detail)</t>
        </is>
      </c>
      <c r="C34" s="14" t="inlineStr">
        <is>
          <t>GL</t>
        </is>
      </c>
      <c r="D34" s="14" t="inlineStr">
        <is>
          <t>Migrate</t>
        </is>
      </c>
      <c r="E34" s="14" t="inlineStr">
        <is>
          <t>Head, Comptrollership</t>
        </is>
      </c>
      <c r="F34" s="14" t="inlineStr">
        <is>
          <t>T+16 (true-up 1); T+92 (final)</t>
        </is>
      </c>
      <c r="G34" s="14" t="inlineStr">
        <is>
          <t>Business data, not configuration: prepared and signed in the Migration Workbook only</t>
        </is>
      </c>
      <c r="H34" s="14" t="inlineStr">
        <is>
          <t>-</t>
        </is>
      </c>
    </row>
    <row r="35">
      <c r="A35" s="14" t="inlineStr">
        <is>
          <t>H01</t>
        </is>
      </c>
      <c r="B35" s="14" t="inlineStr">
        <is>
          <t>Closed transactions (paid and remitted invoices, receipts, remittances, endorsements, claims, renewal advices, letters)</t>
        </is>
      </c>
      <c r="C35" s="14" t="inlineStr">
        <is>
          <t>History</t>
        </is>
      </c>
      <c r="D35" s="14" t="inlineStr">
        <is>
          <t>Archive</t>
        </is>
      </c>
      <c r="E35" s="14" t="inlineStr">
        <is>
          <t>Audit / Compliance; legacy system owners</t>
        </is>
      </c>
      <c r="F35" s="14" t="inlineStr">
        <is>
          <t>Before decommissioning</t>
        </is>
      </c>
      <c r="G35" s="14" t="inlineStr">
        <is>
          <t>Business data, not configuration: prepared and signed in the Migration Workbook only</t>
        </is>
      </c>
      <c r="H35" s="14" t="inlineStr">
        <is>
          <t>-</t>
        </is>
      </c>
    </row>
    <row r="36">
      <c r="A36" s="14" t="inlineStr">
        <is>
          <t>H02</t>
        </is>
      </c>
      <c r="B36" s="14" t="inlineStr">
        <is>
          <t>Legacy documents (policies, SOAs, ORs, certificates, letters)</t>
        </is>
      </c>
      <c r="C36" s="14" t="inlineStr">
        <is>
          <t>History</t>
        </is>
      </c>
      <c r="D36" s="14" t="inlineStr">
        <is>
          <t>Archive</t>
        </is>
      </c>
      <c r="E36" s="14" t="inlineStr">
        <is>
          <t>Audit / Compliance</t>
        </is>
      </c>
      <c r="F36" s="14" t="inlineStr">
        <is>
          <t>Before decommissioning</t>
        </is>
      </c>
      <c r="G36" s="14" t="inlineStr">
        <is>
          <t>Business data, not configuration: prepared and signed in the Migration Workbook only</t>
        </is>
      </c>
      <c r="H36" s="14" t="inlineStr">
        <is>
          <t>-</t>
        </is>
      </c>
    </row>
  </sheetData>
  <autoFilter ref="A4:H36"/>
  <conditionalFormatting sqref="A5:H36">
    <cfRule type="expression" priority="1" dxfId="7">
      <formula>AND(MOD(ROW(),2)=0,$A5&lt;&gt;"")</formula>
    </cfRule>
  </conditionalFormatting>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fitToPage="1"/>
  </sheetPr>
  <dimension ref="A1:E362"/>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7" t="inlineStr">
        <is>
          <t>Reference lists</t>
        </is>
      </c>
    </row>
    <row r="2">
      <c r="A2" s="29" t="inlineStr">
        <is>
          <t>← Back to Start here</t>
        </is>
      </c>
      <c r="B2" s="56" t="inlineStr">
        <is>
          <t>Every list of allowed values used by the drop-downs, with its code and label. A drop-down accepts the codes of its list.</t>
        </is>
      </c>
    </row>
    <row r="4">
      <c r="A4" s="57" t="inlineStr">
        <is>
          <t>List</t>
        </is>
      </c>
      <c r="B4" s="57" t="inlineStr">
        <is>
          <t>Used in</t>
        </is>
      </c>
      <c r="C4" s="57" t="inlineStr">
        <is>
          <t>Code</t>
        </is>
      </c>
      <c r="D4" s="57" t="inlineStr">
        <is>
          <t>Label</t>
        </is>
      </c>
      <c r="E4" s="57" t="inlineStr">
        <is>
          <t>Note</t>
        </is>
      </c>
    </row>
    <row r="5" ht="340.5" customHeight="1">
      <c r="A5" s="43" t="inlineStr">
        <is>
          <t>Yes or no (YES_NO)</t>
        </is>
      </c>
      <c r="B5" s="20" t="inlineStr">
        <is>
          <t>D0-02 Branches: Head office
D0-02 Branches: Foreign currency authorised
D0-04 Dimensions: Active
D0-07 Categories and numbering: Bank category
D0-06 Chart of accounts: Control Account
D0-06 Chart of accounts: Manual Posting
D0-06 Chart of accounts: Cost Centre Required
D0-06 Chart of accounts: Revaluation Required
PM-01 Product catalogue: Package
PM-01 Product catalogue: Fleet
PM-01 Product catalogue: Mortgage related
PM-01 Product catalogue: Direct payment allowed
PM-01 Product catalogue: Free First Year
PM-02 Coverages and rules: Basic
PM-02 Coverages and rules: Mandatory
UA-03 Approval rules: Any approver may decide
Ref Notifications: In-app wanted
Ref Notifications: E-mail wanted
Ref Document templates: BDOI layout attached</t>
        </is>
      </c>
      <c r="C5" s="58" t="inlineStr">
        <is>
          <t>Y</t>
        </is>
      </c>
      <c r="D5" s="20" t="inlineStr">
        <is>
          <t>Yes</t>
        </is>
      </c>
      <c r="E5" s="20" t="n"/>
    </row>
    <row r="6">
      <c r="A6" s="43" t="n"/>
      <c r="B6" s="20" t="n"/>
      <c r="C6" s="58" t="inlineStr">
        <is>
          <t>N</t>
        </is>
      </c>
      <c r="D6" s="20" t="inlineStr">
        <is>
          <t>No</t>
        </is>
      </c>
      <c r="E6" s="20" t="n"/>
    </row>
    <row r="7" ht="28" customHeight="1">
      <c r="A7" s="59" t="inlineStr">
        <is>
          <t>Market segment (MARKET_SEGMENT)</t>
        </is>
      </c>
      <c r="B7" s="14" t="inlineStr">
        <is>
          <t>PM-01 Product catalogue: Market segments</t>
        </is>
      </c>
      <c r="C7" s="60" t="inlineStr">
        <is>
          <t>CBG</t>
        </is>
      </c>
      <c r="D7" s="14" t="inlineStr">
        <is>
          <t>Consumer Banking Group (CBG)</t>
        </is>
      </c>
      <c r="E7" s="14" t="inlineStr">
        <is>
          <t>The values of the list MARKET_SEGMENT as delivered with BIBS; a new value is added with its template and may then be used here.</t>
        </is>
      </c>
    </row>
    <row r="8">
      <c r="A8" s="59" t="n"/>
      <c r="B8" s="14" t="n"/>
      <c r="C8" s="60" t="inlineStr">
        <is>
          <t>COMBANK</t>
        </is>
      </c>
      <c r="D8" s="14" t="inlineStr">
        <is>
          <t>Commercial Banking</t>
        </is>
      </c>
      <c r="E8" s="14" t="n"/>
    </row>
    <row r="9">
      <c r="A9" s="59" t="n"/>
      <c r="B9" s="14" t="n"/>
      <c r="C9" s="60" t="inlineStr">
        <is>
          <t>CORBANK</t>
        </is>
      </c>
      <c r="D9" s="14" t="inlineStr">
        <is>
          <t>Corporate Banking</t>
        </is>
      </c>
      <c r="E9" s="14" t="n"/>
    </row>
    <row r="10">
      <c r="A10" s="59" t="n"/>
      <c r="B10" s="14" t="n"/>
      <c r="C10" s="60" t="inlineStr">
        <is>
          <t>RETAIL</t>
        </is>
      </c>
      <c r="D10" s="14" t="inlineStr">
        <is>
          <t>Retail Marketing</t>
        </is>
      </c>
      <c r="E10" s="14" t="n"/>
    </row>
    <row r="11">
      <c r="A11" s="59" t="n"/>
      <c r="B11" s="14" t="n"/>
      <c r="C11" s="60" t="inlineStr">
        <is>
          <t>INSTITUTIONAL</t>
        </is>
      </c>
      <c r="D11" s="14" t="inlineStr">
        <is>
          <t>Institutional Banking / SM / BDO accounts</t>
        </is>
      </c>
      <c r="E11" s="14" t="n"/>
    </row>
    <row r="12">
      <c r="A12" s="43" t="inlineStr">
        <is>
          <t>Placement after (PLACEMENT_GATE)</t>
        </is>
      </c>
      <c r="B12" s="20" t="inlineStr">
        <is>
          <t>PM-01 Product catalogue: Placement after</t>
        </is>
      </c>
      <c r="C12" s="58" t="inlineStr">
        <is>
          <t>PAID</t>
        </is>
      </c>
      <c r="D12" s="20" t="inlineStr">
        <is>
          <t>Premium paid</t>
        </is>
      </c>
      <c r="E12" s="20" t="n"/>
    </row>
    <row r="13">
      <c r="A13" s="43" t="n"/>
      <c r="B13" s="20" t="n"/>
      <c r="C13" s="58" t="inlineStr">
        <is>
          <t>CLIENT_CONFIRMATION</t>
        </is>
      </c>
      <c r="D13" s="20" t="inlineStr">
        <is>
          <t>Client confirmation</t>
        </is>
      </c>
      <c r="E13" s="20" t="n"/>
    </row>
    <row r="14">
      <c r="A14" s="59" t="inlineStr">
        <is>
          <t>TSU review (TSU_REVIEW)</t>
        </is>
      </c>
      <c r="B14" s="14" t="inlineStr">
        <is>
          <t>PM-01 Product catalogue: TSU review</t>
        </is>
      </c>
      <c r="C14" s="60" t="inlineStr">
        <is>
          <t>BY_RULES</t>
        </is>
      </c>
      <c r="D14" s="14" t="inlineStr">
        <is>
          <t>By the review rules</t>
        </is>
      </c>
      <c r="E14" s="14" t="n"/>
    </row>
    <row r="15">
      <c r="A15" s="59" t="n"/>
      <c r="B15" s="14" t="n"/>
      <c r="C15" s="60" t="inlineStr">
        <is>
          <t>ALWAYS</t>
        </is>
      </c>
      <c r="D15" s="14" t="inlineStr">
        <is>
          <t>Always</t>
        </is>
      </c>
      <c r="E15" s="14" t="n"/>
    </row>
    <row r="16">
      <c r="A16" s="59" t="n"/>
      <c r="B16" s="14" t="n"/>
      <c r="C16" s="60" t="inlineStr">
        <is>
          <t>NEVER</t>
        </is>
      </c>
      <c r="D16" s="14" t="inlineStr">
        <is>
          <t>Never</t>
        </is>
      </c>
      <c r="E16" s="14" t="n"/>
    </row>
    <row r="17" ht="28" customHeight="1">
      <c r="A17" s="43" t="inlineStr">
        <is>
          <t>Coverage and rule record (CI02_RECORD)</t>
        </is>
      </c>
      <c r="B17" s="20" t="inlineStr">
        <is>
          <t>PM-02 Coverages and rules: Record</t>
        </is>
      </c>
      <c r="C17" s="58" t="inlineStr">
        <is>
          <t>COVERAGE</t>
        </is>
      </c>
      <c r="D17" s="20" t="inlineStr">
        <is>
          <t>Coverage or peril of a line</t>
        </is>
      </c>
      <c r="E17" s="20" t="n"/>
    </row>
    <row r="18">
      <c r="A18" s="43" t="n"/>
      <c r="B18" s="20" t="n"/>
      <c r="C18" s="58" t="inlineStr">
        <is>
          <t>FIELD_RULE</t>
        </is>
      </c>
      <c r="D18" s="20" t="inlineStr">
        <is>
          <t>Field an account of the product needs</t>
        </is>
      </c>
      <c r="E18" s="20" t="n"/>
    </row>
    <row r="19">
      <c r="A19" s="43" t="n"/>
      <c r="B19" s="20" t="n"/>
      <c r="C19" s="58" t="inlineStr">
        <is>
          <t>DOCUMENT_RULE</t>
        </is>
      </c>
      <c r="D19" s="20" t="inlineStr">
        <is>
          <t>Document an account of the product needs</t>
        </is>
      </c>
      <c r="E19" s="20" t="n"/>
    </row>
    <row r="20" ht="28" customHeight="1">
      <c r="A20" s="59" t="inlineStr">
        <is>
          <t>Document type (DOCUMENT_TYPE)</t>
        </is>
      </c>
      <c r="B20" s="14" t="inlineStr">
        <is>
          <t>PM-02 Coverages and rules: Document type</t>
        </is>
      </c>
      <c r="C20" s="60" t="inlineStr">
        <is>
          <t>IDF</t>
        </is>
      </c>
      <c r="D20" s="14" t="inlineStr">
        <is>
          <t>Insurance Declaration Form (IDF)</t>
        </is>
      </c>
      <c r="E20" s="14" t="inlineStr">
        <is>
          <t>The values of the list DOCUMENT_TYPE as delivered with BIBS; a new value is added with its template and may then be used here.</t>
        </is>
      </c>
    </row>
    <row r="21">
      <c r="A21" s="59" t="n"/>
      <c r="B21" s="14" t="n"/>
      <c r="C21" s="60" t="inlineStr">
        <is>
          <t>VALID_ID</t>
        </is>
      </c>
      <c r="D21" s="14" t="inlineStr">
        <is>
          <t>Valid ID</t>
        </is>
      </c>
      <c r="E21" s="14" t="n"/>
    </row>
    <row r="22">
      <c r="A22" s="59" t="n"/>
      <c r="B22" s="14" t="n"/>
      <c r="C22" s="60" t="inlineStr">
        <is>
          <t>BIRTH_CERTIFICATE</t>
        </is>
      </c>
      <c r="D22" s="14" t="inlineStr">
        <is>
          <t>Birth certificate</t>
        </is>
      </c>
      <c r="E22" s="14" t="n"/>
    </row>
    <row r="23">
      <c r="A23" s="59" t="n"/>
      <c r="B23" s="14" t="n"/>
      <c r="C23" s="60" t="inlineStr">
        <is>
          <t>ACCOUNT_LIST</t>
        </is>
      </c>
      <c r="D23" s="14" t="inlineStr">
        <is>
          <t>List of account details (Excel)</t>
        </is>
      </c>
      <c r="E23" s="14" t="n"/>
    </row>
    <row r="24">
      <c r="A24" s="59" t="n"/>
      <c r="B24" s="14" t="n"/>
      <c r="C24" s="60" t="inlineStr">
        <is>
          <t>QUOTATION</t>
        </is>
      </c>
      <c r="D24" s="14" t="inlineStr">
        <is>
          <t>Quotation / proposal</t>
        </is>
      </c>
      <c r="E24" s="14" t="n"/>
    </row>
    <row r="25">
      <c r="A25" s="59" t="n"/>
      <c r="B25" s="14" t="n"/>
      <c r="C25" s="60" t="inlineStr">
        <is>
          <t>CLIENT_ACCEPTANCE</t>
        </is>
      </c>
      <c r="D25" s="14" t="inlineStr">
        <is>
          <t>Client acceptance e-mail</t>
        </is>
      </c>
      <c r="E25" s="14" t="n"/>
    </row>
    <row r="26">
      <c r="A26" s="59" t="n"/>
      <c r="B26" s="14" t="n"/>
      <c r="C26" s="60" t="inlineStr">
        <is>
          <t>EPOLICY</t>
        </is>
      </c>
      <c r="D26" s="14" t="inlineStr">
        <is>
          <t>E-policy</t>
        </is>
      </c>
      <c r="E26" s="14" t="n"/>
    </row>
    <row r="27">
      <c r="A27" s="59" t="n"/>
      <c r="B27" s="14" t="n"/>
      <c r="C27" s="60" t="inlineStr">
        <is>
          <t>OFFICIAL_RECEIPT</t>
        </is>
      </c>
      <c r="D27" s="14" t="inlineStr">
        <is>
          <t>Official receipt</t>
        </is>
      </c>
      <c r="E27" s="14" t="n"/>
    </row>
    <row r="28">
      <c r="A28" s="59" t="n"/>
      <c r="B28" s="14" t="n"/>
      <c r="C28" s="60" t="inlineStr">
        <is>
          <t>POLICY_COPY</t>
        </is>
      </c>
      <c r="D28" s="14" t="inlineStr">
        <is>
          <t>Issued policy copy</t>
        </is>
      </c>
      <c r="E28" s="14" t="n"/>
    </row>
    <row r="29">
      <c r="A29" s="59" t="n"/>
      <c r="B29" s="14" t="n"/>
      <c r="C29" s="60" t="inlineStr">
        <is>
          <t>OTHERS</t>
        </is>
      </c>
      <c r="D29" s="14" t="inlineStr">
        <is>
          <t>Others</t>
        </is>
      </c>
      <c r="E29" s="14" t="n"/>
    </row>
    <row r="30">
      <c r="A30" s="59" t="n"/>
      <c r="B30" s="14" t="n"/>
      <c r="C30" s="60" t="inlineStr">
        <is>
          <t>KYC_FORM</t>
        </is>
      </c>
      <c r="D30" s="14" t="inlineStr">
        <is>
          <t>Client information sheet / KYC form</t>
        </is>
      </c>
      <c r="E30" s="14" t="n"/>
    </row>
    <row r="31">
      <c r="A31" s="59" t="n"/>
      <c r="B31" s="14" t="n"/>
      <c r="C31" s="60" t="inlineStr">
        <is>
          <t>PROOF_OF_ADDRESS</t>
        </is>
      </c>
      <c r="D31" s="14" t="inlineStr">
        <is>
          <t>Proof of address</t>
        </is>
      </c>
      <c r="E31" s="14" t="n"/>
    </row>
    <row r="32">
      <c r="A32" s="59" t="n"/>
      <c r="B32" s="14" t="n"/>
      <c r="C32" s="60" t="inlineStr">
        <is>
          <t>SEC_CERTIFICATE</t>
        </is>
      </c>
      <c r="D32" s="14" t="inlineStr">
        <is>
          <t>SEC / DTI certificate of registration</t>
        </is>
      </c>
      <c r="E32" s="14" t="n"/>
    </row>
    <row r="33">
      <c r="A33" s="59" t="n"/>
      <c r="B33" s="14" t="n"/>
      <c r="C33" s="60" t="inlineStr">
        <is>
          <t>GIS</t>
        </is>
      </c>
      <c r="D33" s="14" t="inlineStr">
        <is>
          <t>General Information Sheet (GIS)</t>
        </is>
      </c>
      <c r="E33" s="14" t="n"/>
    </row>
    <row r="34">
      <c r="A34" s="59" t="n"/>
      <c r="B34" s="14" t="n"/>
      <c r="C34" s="60" t="inlineStr">
        <is>
          <t>SECRETARY_CERTIFICATE</t>
        </is>
      </c>
      <c r="D34" s="14" t="inlineStr">
        <is>
          <t>Secretary's certificate / board resolution</t>
        </is>
      </c>
      <c r="E34" s="14" t="n"/>
    </row>
    <row r="35">
      <c r="A35" s="59" t="n"/>
      <c r="B35" s="14" t="n"/>
      <c r="C35" s="60" t="inlineStr">
        <is>
          <t>PKG_REQUEST_FORM</t>
        </is>
      </c>
      <c r="D35" s="14" t="inlineStr">
        <is>
          <t>Package request form</t>
        </is>
      </c>
      <c r="E35" s="14" t="n"/>
    </row>
    <row r="36">
      <c r="A36" s="59" t="n"/>
      <c r="B36" s="14" t="n"/>
      <c r="C36" s="60" t="inlineStr">
        <is>
          <t>PKG_QUOTATION_SLIP</t>
        </is>
      </c>
      <c r="D36" s="14" t="inlineStr">
        <is>
          <t>Package quotation slip</t>
        </is>
      </c>
      <c r="E36" s="14" t="n"/>
    </row>
    <row r="37">
      <c r="A37" s="59" t="n"/>
      <c r="B37" s="14" t="n"/>
      <c r="C37" s="60" t="inlineStr">
        <is>
          <t>PKG_INSURER_RESPONSE</t>
        </is>
      </c>
      <c r="D37" s="14" t="inlineStr">
        <is>
          <t>Insurer package terms</t>
        </is>
      </c>
      <c r="E37" s="14" t="n"/>
    </row>
    <row r="38">
      <c r="A38" s="59" t="n"/>
      <c r="B38" s="14" t="n"/>
      <c r="C38" s="60" t="inlineStr">
        <is>
          <t>PKG_COMPARATIVE</t>
        </is>
      </c>
      <c r="D38" s="14" t="inlineStr">
        <is>
          <t>Package comparative table</t>
        </is>
      </c>
      <c r="E38" s="14" t="n"/>
    </row>
    <row r="39">
      <c r="A39" s="59" t="n"/>
      <c r="B39" s="14" t="n"/>
      <c r="C39" s="60" t="inlineStr">
        <is>
          <t>PKG_SLIP_SIGNED</t>
        </is>
      </c>
      <c r="D39" s="14" t="inlineStr">
        <is>
          <t>Package slip (signed)</t>
        </is>
      </c>
      <c r="E39" s="14" t="n"/>
    </row>
    <row r="40">
      <c r="A40" s="59" t="n"/>
      <c r="B40" s="14" t="n"/>
      <c r="C40" s="60" t="inlineStr">
        <is>
          <t>MANCOM_SIGNOFF</t>
        </is>
      </c>
      <c r="D40" s="14" t="inlineStr">
        <is>
          <t>ManCom sign-off</t>
        </is>
      </c>
      <c r="E40" s="14" t="n"/>
    </row>
    <row r="41">
      <c r="A41" s="59" t="n"/>
      <c r="B41" s="14" t="n"/>
      <c r="C41" s="60" t="inlineStr">
        <is>
          <t>PKG_ADVISORY</t>
        </is>
      </c>
      <c r="D41" s="14" t="inlineStr">
        <is>
          <t>Package advisory</t>
        </is>
      </c>
      <c r="E41" s="14" t="n"/>
    </row>
    <row r="42">
      <c r="A42" s="59" t="n"/>
      <c r="B42" s="14" t="n"/>
      <c r="C42" s="60" t="inlineStr">
        <is>
          <t>REQUEST_EMAIL</t>
        </is>
      </c>
      <c r="D42" s="14" t="inlineStr">
        <is>
          <t>Quotation / proposal request e-mail</t>
        </is>
      </c>
      <c r="E42" s="14" t="n"/>
    </row>
    <row r="43">
      <c r="A43" s="59" t="n"/>
      <c r="B43" s="14" t="n"/>
      <c r="C43" s="60" t="inlineStr">
        <is>
          <t>QUOTATION_SLIP</t>
        </is>
      </c>
      <c r="D43" s="14" t="inlineStr">
        <is>
          <t>Quotation slip</t>
        </is>
      </c>
      <c r="E43" s="14" t="n"/>
    </row>
    <row r="44">
      <c r="A44" s="59" t="n"/>
      <c r="B44" s="14" t="n"/>
      <c r="C44" s="60" t="inlineStr">
        <is>
          <t>INSURER_RESPONSE</t>
        </is>
      </c>
      <c r="D44" s="14" t="inlineStr">
        <is>
          <t>Insurer response / terms</t>
        </is>
      </c>
      <c r="E44" s="14" t="n"/>
    </row>
    <row r="45">
      <c r="A45" s="59" t="n"/>
      <c r="B45" s="14" t="n"/>
      <c r="C45" s="60" t="inlineStr">
        <is>
          <t>COMPARATIVE_TABLE</t>
        </is>
      </c>
      <c r="D45" s="14" t="inlineStr">
        <is>
          <t>Comparative table</t>
        </is>
      </c>
      <c r="E45" s="14" t="n"/>
    </row>
    <row r="46">
      <c r="A46" s="59" t="n"/>
      <c r="B46" s="14" t="n"/>
      <c r="C46" s="60" t="inlineStr">
        <is>
          <t>PROPOSAL_SLIP</t>
        </is>
      </c>
      <c r="D46" s="14" t="inlineStr">
        <is>
          <t>Proposal slip</t>
        </is>
      </c>
      <c r="E46" s="14" t="n"/>
    </row>
    <row r="47">
      <c r="A47" s="59" t="n"/>
      <c r="B47" s="14" t="n"/>
      <c r="C47" s="60" t="inlineStr">
        <is>
          <t>PAYMENT_CONFIRMATION</t>
        </is>
      </c>
      <c r="D47" s="14" t="inlineStr">
        <is>
          <t>Payment / client confirmation</t>
        </is>
      </c>
      <c r="E47" s="14" t="n"/>
    </row>
    <row r="48">
      <c r="A48" s="59" t="n"/>
      <c r="B48" s="14" t="n"/>
      <c r="C48" s="60" t="inlineStr">
        <is>
          <t>HOLD_COVER</t>
        </is>
      </c>
      <c r="D48" s="14" t="inlineStr">
        <is>
          <t>Hold cover confirmation</t>
        </is>
      </c>
      <c r="E48" s="14" t="n"/>
    </row>
    <row r="49">
      <c r="A49" s="59" t="n"/>
      <c r="B49" s="14" t="n"/>
      <c r="C49" s="60" t="inlineStr">
        <is>
          <t>INSURANCE_ADVICE</t>
        </is>
      </c>
      <c r="D49" s="14" t="inlineStr">
        <is>
          <t>Insurance Advice</t>
        </is>
      </c>
      <c r="E49" s="14" t="n"/>
    </row>
    <row r="50">
      <c r="A50" s="59" t="n"/>
      <c r="B50" s="14" t="n"/>
      <c r="C50" s="60" t="inlineStr">
        <is>
          <t>RENEWAL_ADVICE</t>
        </is>
      </c>
      <c r="D50" s="14" t="inlineStr">
        <is>
          <t>Renewal advice</t>
        </is>
      </c>
      <c r="E50" s="14" t="n"/>
    </row>
    <row r="51">
      <c r="A51" s="59" t="n"/>
      <c r="B51" s="14" t="n"/>
      <c r="C51" s="60" t="inlineStr">
        <is>
          <t>RA_ACCEPTANCE</t>
        </is>
      </c>
      <c r="D51" s="14" t="inlineStr">
        <is>
          <t>Renewal advice acceptance (e-mail)</t>
        </is>
      </c>
      <c r="E51" s="14" t="n"/>
    </row>
    <row r="52">
      <c r="A52" s="59" t="n"/>
      <c r="B52" s="14" t="n"/>
      <c r="C52" s="60" t="inlineStr">
        <is>
          <t>SIGNED_RA</t>
        </is>
      </c>
      <c r="D52" s="14" t="inlineStr">
        <is>
          <t>Signed renewal advice</t>
        </is>
      </c>
      <c r="E52" s="14" t="n"/>
    </row>
    <row r="53">
      <c r="A53" s="59" t="n"/>
      <c r="B53" s="14" t="n"/>
      <c r="C53" s="60" t="inlineStr">
        <is>
          <t>LAMD_REPORT</t>
        </is>
      </c>
      <c r="D53" s="14" t="inlineStr">
        <is>
          <t>LAMD loan report</t>
        </is>
      </c>
      <c r="E53" s="14" t="n"/>
    </row>
    <row r="54">
      <c r="A54" s="59" t="n"/>
      <c r="B54" s="14" t="n"/>
      <c r="C54" s="60" t="inlineStr">
        <is>
          <t>INSURER_RENEWAL_FILE</t>
        </is>
      </c>
      <c r="D54" s="14" t="inlineStr">
        <is>
          <t>Insurer renewal file</t>
        </is>
      </c>
      <c r="E54" s="14" t="n"/>
    </row>
    <row r="55">
      <c r="A55" s="59" t="n"/>
      <c r="B55" s="14" t="n"/>
      <c r="C55" s="60" t="inlineStr">
        <is>
          <t>RENEWAL_LETTER</t>
        </is>
      </c>
      <c r="D55" s="14" t="inlineStr">
        <is>
          <t>Renewal letter</t>
        </is>
      </c>
      <c r="E55" s="14" t="n"/>
    </row>
    <row r="56">
      <c r="A56" s="59" t="n"/>
      <c r="B56" s="14" t="n"/>
      <c r="C56" s="60" t="inlineStr">
        <is>
          <t>CLAIM_REPORT</t>
        </is>
      </c>
      <c r="D56" s="14" t="inlineStr">
        <is>
          <t>Claims report</t>
        </is>
      </c>
      <c r="E56" s="14" t="n"/>
    </row>
    <row r="57">
      <c r="A57" s="59" t="n"/>
      <c r="B57" s="14" t="n"/>
      <c r="C57" s="60" t="inlineStr">
        <is>
          <t>EB_CLIENT_FEEDBACK</t>
        </is>
      </c>
      <c r="D57" s="14" t="inlineStr">
        <is>
          <t>EB client feedback</t>
        </is>
      </c>
      <c r="E57" s="14" t="n"/>
    </row>
    <row r="58">
      <c r="A58" s="59" t="n"/>
      <c r="B58" s="14" t="n"/>
      <c r="C58" s="60" t="inlineStr">
        <is>
          <t>EB_BOR</t>
        </is>
      </c>
      <c r="D58" s="14" t="inlineStr">
        <is>
          <t>Broker on Record (signed)</t>
        </is>
      </c>
      <c r="E58" s="14" t="n"/>
    </row>
    <row r="59">
      <c r="A59" s="59" t="n"/>
      <c r="B59" s="14" t="n"/>
      <c r="C59" s="60" t="inlineStr">
        <is>
          <t>EB_TOR</t>
        </is>
      </c>
      <c r="D59" s="14" t="inlineStr">
        <is>
          <t>Terms of Reference (TOR)</t>
        </is>
      </c>
      <c r="E59" s="14" t="n"/>
    </row>
    <row r="60">
      <c r="A60" s="59" t="n"/>
      <c r="B60" s="14" t="n"/>
      <c r="C60" s="60" t="inlineStr">
        <is>
          <t>EB_MASTERLIST</t>
        </is>
      </c>
      <c r="D60" s="14" t="inlineStr">
        <is>
          <t>Master list (named)</t>
        </is>
      </c>
      <c r="E60" s="14" t="n"/>
    </row>
    <row r="61">
      <c r="A61" s="59" t="n"/>
      <c r="B61" s="14" t="n"/>
      <c r="C61" s="60" t="inlineStr">
        <is>
          <t>EB_MASTERLIST_UNNAMED</t>
        </is>
      </c>
      <c r="D61" s="14" t="inlineStr">
        <is>
          <t>Unnamed master list (census)</t>
        </is>
      </c>
      <c r="E61" s="14" t="n"/>
    </row>
    <row r="62">
      <c r="A62" s="59" t="n"/>
      <c r="B62" s="14" t="n"/>
      <c r="C62" s="60" t="inlineStr">
        <is>
          <t>EB_UTILIZATION</t>
        </is>
      </c>
      <c r="D62" s="14" t="inlineStr">
        <is>
          <t>Utilization report</t>
        </is>
      </c>
      <c r="E62" s="14" t="n"/>
    </row>
    <row r="63">
      <c r="A63" s="59" t="n"/>
      <c r="B63" s="14" t="n"/>
      <c r="C63" s="60" t="inlineStr">
        <is>
          <t>EB_INDICATIVE_PROPOSAL</t>
        </is>
      </c>
      <c r="D63" s="14" t="inlineStr">
        <is>
          <t>Indicative (incumbent) proposal</t>
        </is>
      </c>
      <c r="E63" s="14" t="n"/>
    </row>
    <row r="64">
      <c r="A64" s="59" t="n"/>
      <c r="B64" s="14" t="n"/>
      <c r="C64" s="60" t="inlineStr">
        <is>
          <t>EB_PROPOSAL</t>
        </is>
      </c>
      <c r="D64" s="14" t="inlineStr">
        <is>
          <t>Insurer proposal</t>
        </is>
      </c>
      <c r="E64" s="14" t="n"/>
    </row>
    <row r="65">
      <c r="A65" s="59" t="n"/>
      <c r="B65" s="14" t="n"/>
      <c r="C65" s="60" t="inlineStr">
        <is>
          <t>EB_COMPARATIVE</t>
        </is>
      </c>
      <c r="D65" s="14" t="inlineStr">
        <is>
          <t>Comparative analysis</t>
        </is>
      </c>
      <c r="E65" s="14" t="n"/>
    </row>
    <row r="66">
      <c r="A66" s="59" t="n"/>
      <c r="B66" s="14" t="n"/>
      <c r="C66" s="60" t="inlineStr">
        <is>
          <t>EB_FRANCHISE_FORM</t>
        </is>
      </c>
      <c r="D66" s="14" t="inlineStr">
        <is>
          <t>Franchise request form</t>
        </is>
      </c>
      <c r="E66" s="14" t="n"/>
    </row>
    <row r="67">
      <c r="A67" s="59" t="n"/>
      <c r="B67" s="14" t="n"/>
      <c r="C67" s="60" t="inlineStr">
        <is>
          <t>EB_CLIENT_CONFIRMATION</t>
        </is>
      </c>
      <c r="D67" s="14" t="inlineStr">
        <is>
          <t>Client confirmation of the chosen proposal</t>
        </is>
      </c>
      <c r="E67" s="14" t="n"/>
    </row>
    <row r="68">
      <c r="A68" s="59" t="n"/>
      <c r="B68" s="14" t="n"/>
      <c r="C68" s="60" t="inlineStr">
        <is>
          <t>EB_POLICY_FORM</t>
        </is>
      </c>
      <c r="D68" s="14" t="inlineStr">
        <is>
          <t>EB policy form / contract</t>
        </is>
      </c>
      <c r="E68" s="14" t="n"/>
    </row>
    <row r="69">
      <c r="A69" s="59" t="n"/>
      <c r="B69" s="14" t="n"/>
      <c r="C69" s="60" t="inlineStr">
        <is>
          <t>EB_DIRECT_BILLING</t>
        </is>
      </c>
      <c r="D69" s="14" t="inlineStr">
        <is>
          <t>Insurer direct billing (EB changes)</t>
        </is>
      </c>
      <c r="E69" s="14" t="n"/>
    </row>
    <row r="70">
      <c r="A70" s="59" t="n"/>
      <c r="B70" s="14" t="n"/>
      <c r="C70" s="60" t="inlineStr">
        <is>
          <t>EB_SOA</t>
        </is>
      </c>
      <c r="D70" s="14" t="inlineStr">
        <is>
          <t>Insurer statement of account (EB)</t>
        </is>
      </c>
      <c r="E70" s="14" t="n"/>
    </row>
    <row r="71">
      <c r="A71" s="59" t="n"/>
      <c r="B71" s="14" t="n"/>
      <c r="C71" s="60" t="inlineStr">
        <is>
          <t>EB_MEMBER_CHANGE</t>
        </is>
      </c>
      <c r="D71" s="14" t="inlineStr">
        <is>
          <t>Member change request</t>
        </is>
      </c>
      <c r="E71" s="14" t="n"/>
    </row>
    <row r="72">
      <c r="A72" s="59" t="n"/>
      <c r="B72" s="14" t="n"/>
      <c r="C72" s="60" t="inlineStr">
        <is>
          <t>EB_ISACOM_APPROVAL</t>
        </is>
      </c>
      <c r="D72" s="14" t="inlineStr">
        <is>
          <t>ISACOM approval (non-accredited provider)</t>
        </is>
      </c>
      <c r="E72" s="14" t="n"/>
    </row>
    <row r="73">
      <c r="A73" s="59" t="n"/>
      <c r="B73" s="14" t="n"/>
      <c r="C73" s="60" t="inlineStr">
        <is>
          <t>CLIENT_REQUEST</t>
        </is>
      </c>
      <c r="D73" s="14" t="inlineStr">
        <is>
          <t>Client request or letter</t>
        </is>
      </c>
      <c r="E73" s="14" t="n"/>
    </row>
    <row r="74">
      <c r="A74" s="59" t="n"/>
      <c r="B74" s="14" t="n"/>
      <c r="C74" s="60" t="inlineStr">
        <is>
          <t>CLIENT_PHOTO</t>
        </is>
      </c>
      <c r="D74" s="14" t="inlineStr">
        <is>
          <t>Photo sent by the client</t>
        </is>
      </c>
      <c r="E74" s="14" t="n"/>
    </row>
    <row r="75">
      <c r="A75" s="59" t="n"/>
      <c r="B75" s="14" t="n"/>
      <c r="C75" s="60" t="inlineStr">
        <is>
          <t>SUBMITTED_POLICY</t>
        </is>
      </c>
      <c r="D75" s="14" t="inlineStr">
        <is>
          <t>Submitted policy document</t>
        </is>
      </c>
      <c r="E75" s="14" t="n"/>
    </row>
    <row r="76">
      <c r="A76" s="59" t="n"/>
      <c r="B76" s="14" t="n"/>
      <c r="C76" s="60" t="inlineStr">
        <is>
          <t>SBM_IAAF</t>
        </is>
      </c>
      <c r="D76" s="14" t="inlineStr">
        <is>
          <t>Insurance Adequacy Assessment Form (IAAF)</t>
        </is>
      </c>
      <c r="E76" s="14" t="n"/>
    </row>
    <row r="77">
      <c r="A77" s="59" t="n"/>
      <c r="B77" s="14" t="n"/>
      <c r="C77" s="60" t="inlineStr">
        <is>
          <t>SBM_TOR</t>
        </is>
      </c>
      <c r="D77" s="14" t="inlineStr">
        <is>
          <t>Terms of Reference (TOR)</t>
        </is>
      </c>
      <c r="E77" s="14" t="n"/>
    </row>
    <row r="78">
      <c r="A78" s="59" t="n"/>
      <c r="B78" s="14" t="n"/>
      <c r="C78" s="60" t="inlineStr">
        <is>
          <t>SBM_LETTER</t>
        </is>
      </c>
      <c r="D78" s="14" t="inlineStr">
        <is>
          <t>Submitted policy letter</t>
        </is>
      </c>
      <c r="E78" s="14" t="n"/>
    </row>
    <row r="79">
      <c r="A79" s="59" t="n"/>
      <c r="B79" s="14" t="n"/>
      <c r="C79" s="60" t="inlineStr">
        <is>
          <t>LEGACY_DOCUMENT</t>
        </is>
      </c>
      <c r="D79" s="14" t="inlineStr">
        <is>
          <t>Legacy document (archive)</t>
        </is>
      </c>
      <c r="E79" s="14" t="n"/>
    </row>
    <row r="80">
      <c r="A80" s="59" t="n"/>
      <c r="B80" s="14" t="n"/>
      <c r="C80" s="60" t="inlineStr">
        <is>
          <t>MIG_EVIDENCE</t>
        </is>
      </c>
      <c r="D80" s="14" t="inlineStr">
        <is>
          <t>Migration sign-off evidence</t>
        </is>
      </c>
      <c r="E80" s="14" t="n"/>
    </row>
    <row r="81">
      <c r="A81" s="59" t="n"/>
      <c r="B81" s="14" t="n"/>
      <c r="C81" s="60" t="inlineStr">
        <is>
          <t>PLACEMENT_SLIP</t>
        </is>
      </c>
      <c r="D81" s="14" t="inlineStr">
        <is>
          <t>Placement slip</t>
        </is>
      </c>
      <c r="E81" s="14" t="n"/>
    </row>
    <row r="82">
      <c r="A82" s="59" t="n"/>
      <c r="B82" s="14" t="n"/>
      <c r="C82" s="60" t="inlineStr">
        <is>
          <t>PLACEMENT_FILE</t>
        </is>
      </c>
      <c r="D82" s="14" t="inlineStr">
        <is>
          <t>Placement file</t>
        </is>
      </c>
      <c r="E82" s="14" t="n"/>
    </row>
    <row r="83" ht="28" customHeight="1">
      <c r="A83" s="43" t="inlineStr">
        <is>
          <t>Clause kind (CLAUSE_KIND)</t>
        </is>
      </c>
      <c r="B83" s="20" t="inlineStr">
        <is>
          <t>PM-03 Clause library: Kind</t>
        </is>
      </c>
      <c r="C83" s="58" t="inlineStr">
        <is>
          <t>WARRANTY</t>
        </is>
      </c>
      <c r="D83" s="20" t="inlineStr">
        <is>
          <t>Warranty</t>
        </is>
      </c>
      <c r="E83" s="20" t="inlineStr">
        <is>
          <t>The values of the list CLAUSE_KIND as delivered with BIBS; a new value is added with its template and may then be used here.</t>
        </is>
      </c>
    </row>
    <row r="84">
      <c r="A84" s="43" t="n"/>
      <c r="B84" s="20" t="n"/>
      <c r="C84" s="58" t="inlineStr">
        <is>
          <t>CLAUSE</t>
        </is>
      </c>
      <c r="D84" s="20" t="inlineStr">
        <is>
          <t>Clause</t>
        </is>
      </c>
      <c r="E84" s="20" t="n"/>
    </row>
    <row r="85">
      <c r="A85" s="43" t="n"/>
      <c r="B85" s="20" t="n"/>
      <c r="C85" s="58" t="inlineStr">
        <is>
          <t>EXCLUSION</t>
        </is>
      </c>
      <c r="D85" s="20" t="inlineStr">
        <is>
          <t>Exclusion</t>
        </is>
      </c>
      <c r="E85" s="20" t="n"/>
    </row>
    <row r="86">
      <c r="A86" s="43" t="n"/>
      <c r="B86" s="20" t="n"/>
      <c r="C86" s="58" t="inlineStr">
        <is>
          <t>DEDUCTIBLE_WORDING</t>
        </is>
      </c>
      <c r="D86" s="20" t="inlineStr">
        <is>
          <t>Deductible wording</t>
        </is>
      </c>
      <c r="E86" s="20" t="n"/>
    </row>
    <row r="87">
      <c r="A87" s="59" t="inlineStr">
        <is>
          <t>Rate table (RATE_TABLE)</t>
        </is>
      </c>
      <c r="B87" s="14" t="inlineStr">
        <is>
          <t>PM-04 Rate tables: Table</t>
        </is>
      </c>
      <c r="C87" s="60" t="inlineStr">
        <is>
          <t>TAX</t>
        </is>
      </c>
      <c r="D87" s="14" t="inlineStr">
        <is>
          <t>Statutory charge or rating factor</t>
        </is>
      </c>
      <c r="E87" s="14" t="n"/>
    </row>
    <row r="88">
      <c r="A88" s="59" t="n"/>
      <c r="B88" s="14" t="n"/>
      <c r="C88" s="60" t="inlineStr">
        <is>
          <t>SHORT_PERIOD</t>
        </is>
      </c>
      <c r="D88" s="14" t="inlineStr">
        <is>
          <t>Short-period table</t>
        </is>
      </c>
      <c r="E88" s="14" t="n"/>
    </row>
    <row r="89">
      <c r="A89" s="59" t="n"/>
      <c r="B89" s="14" t="n"/>
      <c r="C89" s="60" t="inlineStr">
        <is>
          <t>MOTOR_LIMIT</t>
        </is>
      </c>
      <c r="D89" s="14" t="inlineStr">
        <is>
          <t>Motor BI / PD limit premium</t>
        </is>
      </c>
      <c r="E89" s="14" t="n"/>
    </row>
    <row r="90">
      <c r="A90" s="43" t="inlineStr">
        <is>
          <t>Package map action (MAP_ACTION)</t>
        </is>
      </c>
      <c r="B90" s="20" t="inlineStr">
        <is>
          <t>PM-07 Package map: Action</t>
        </is>
      </c>
      <c r="C90" s="58" t="inlineStr">
        <is>
          <t>MAP</t>
        </is>
      </c>
      <c r="D90" s="20" t="inlineStr">
        <is>
          <t>Renew with the BIBS package version</t>
        </is>
      </c>
      <c r="E90" s="20" t="n"/>
    </row>
    <row r="91">
      <c r="A91" s="43" t="n"/>
      <c r="B91" s="20" t="n"/>
      <c r="C91" s="58" t="inlineStr">
        <is>
          <t>REJECT</t>
        </is>
      </c>
      <c r="D91" s="20" t="inlineStr">
        <is>
          <t>Send the candidate to the Renewal Exception bucket</t>
        </is>
      </c>
      <c r="E91" s="20" t="n"/>
    </row>
    <row r="92" ht="28" customHeight="1">
      <c r="A92" s="59" t="inlineStr">
        <is>
          <t>Package document template (PKG_DOCUMENT)</t>
        </is>
      </c>
      <c r="B92" s="14" t="inlineStr">
        <is>
          <t>PM-08 Document templates: Template</t>
        </is>
      </c>
      <c r="C92" s="60" t="inlineStr">
        <is>
          <t>PKG_REQUEST_FORM</t>
        </is>
      </c>
      <c r="D92" s="14" t="inlineStr">
        <is>
          <t>Package Request Form</t>
        </is>
      </c>
      <c r="E92" s="14" t="n"/>
    </row>
    <row r="93">
      <c r="A93" s="59" t="n"/>
      <c r="B93" s="14" t="n"/>
      <c r="C93" s="60" t="inlineStr">
        <is>
          <t>PKG_QUOTATION_SLIP</t>
        </is>
      </c>
      <c r="D93" s="14" t="inlineStr">
        <is>
          <t>Package quotation slip</t>
        </is>
      </c>
      <c r="E93" s="14" t="n"/>
    </row>
    <row r="94">
      <c r="A94" s="59" t="n"/>
      <c r="B94" s="14" t="n"/>
      <c r="C94" s="60" t="inlineStr">
        <is>
          <t>PKG_COMPARATIVE</t>
        </is>
      </c>
      <c r="D94" s="14" t="inlineStr">
        <is>
          <t>Package comparative table</t>
        </is>
      </c>
      <c r="E94" s="14" t="n"/>
    </row>
    <row r="95">
      <c r="A95" s="59" t="n"/>
      <c r="B95" s="14" t="n"/>
      <c r="C95" s="60" t="inlineStr">
        <is>
          <t>PKG_SLIP</t>
        </is>
      </c>
      <c r="D95" s="14" t="inlineStr">
        <is>
          <t>Package slip</t>
        </is>
      </c>
      <c r="E95" s="14" t="n"/>
    </row>
    <row r="96">
      <c r="A96" s="59" t="n"/>
      <c r="B96" s="14" t="n"/>
      <c r="C96" s="60" t="inlineStr">
        <is>
          <t>PKG_ADVISORY</t>
        </is>
      </c>
      <c r="D96" s="14" t="inlineStr">
        <is>
          <t>Package advisory</t>
        </is>
      </c>
      <c r="E96" s="14" t="n"/>
    </row>
    <row r="97">
      <c r="A97" s="59" t="n"/>
      <c r="B97" s="14" t="n"/>
      <c r="C97" s="60" t="inlineStr">
        <is>
          <t>PKG_RENEWAL_ADVISORY</t>
        </is>
      </c>
      <c r="D97" s="14" t="inlineStr">
        <is>
          <t>Package renewal advisory</t>
        </is>
      </c>
      <c r="E97" s="14" t="n"/>
    </row>
    <row r="98" ht="28" customHeight="1">
      <c r="A98" s="43" t="inlineStr">
        <is>
          <t>Product Maintenance list or parameter (PM_LIST_OR_PARAMETER)</t>
        </is>
      </c>
      <c r="B98" s="20" t="inlineStr">
        <is>
          <t>PM-09 Lists and parameters: List or parameter</t>
        </is>
      </c>
      <c r="C98" s="58" t="inlineStr">
        <is>
          <t>PKG_REQUEST_REASON</t>
        </is>
      </c>
      <c r="D98" s="20" t="inlineStr">
        <is>
          <t>List: Package request reason</t>
        </is>
      </c>
      <c r="E98" s="20" t="n"/>
    </row>
    <row r="99">
      <c r="A99" s="43" t="n"/>
      <c r="B99" s="20" t="n"/>
      <c r="C99" s="58" t="inlineStr">
        <is>
          <t>PKG_RESPONSE_OUTCOME</t>
        </is>
      </c>
      <c r="D99" s="20" t="inlineStr">
        <is>
          <t>List: Insurer response outcome</t>
        </is>
      </c>
      <c r="E99" s="20" t="n"/>
    </row>
    <row r="100">
      <c r="A100" s="43" t="n"/>
      <c r="B100" s="20" t="n"/>
      <c r="C100" s="58" t="inlineStr">
        <is>
          <t>PKG_ADVISORY_GROUP</t>
        </is>
      </c>
      <c r="D100" s="20" t="inlineStr">
        <is>
          <t>List: Advisory recipient group</t>
        </is>
      </c>
      <c r="E100" s="20" t="n"/>
    </row>
    <row r="101">
      <c r="A101" s="43" t="n"/>
      <c r="B101" s="20" t="n"/>
      <c r="C101" s="58" t="inlineStr">
        <is>
          <t>PKG_NOT_PROCEEDED_REASON</t>
        </is>
      </c>
      <c r="D101" s="20" t="inlineStr">
        <is>
          <t>List: Package not proceeded reason</t>
        </is>
      </c>
      <c r="E101" s="20" t="n"/>
    </row>
    <row r="102">
      <c r="A102" s="43" t="n"/>
      <c r="B102" s="20" t="n"/>
      <c r="C102" s="58" t="inlineStr">
        <is>
          <t>PKG_REQUEST_TYPE</t>
        </is>
      </c>
      <c r="D102" s="20" t="inlineStr">
        <is>
          <t>List: Package request type</t>
        </is>
      </c>
      <c r="E102" s="20" t="n"/>
    </row>
    <row r="103">
      <c r="A103" s="43" t="n"/>
      <c r="B103" s="20" t="n"/>
      <c r="C103" s="58" t="inlineStr">
        <is>
          <t>INCENTIVE_TYPE</t>
        </is>
      </c>
      <c r="D103" s="20" t="inlineStr">
        <is>
          <t>List: Incentive type</t>
        </is>
      </c>
      <c r="E103" s="20" t="n"/>
    </row>
    <row r="104">
      <c r="A104" s="43" t="n"/>
      <c r="B104" s="20" t="n"/>
      <c r="C104" s="58" t="inlineStr">
        <is>
          <t>COVERAGE_KIND</t>
        </is>
      </c>
      <c r="D104" s="20" t="inlineStr">
        <is>
          <t>List: Coverage kind</t>
        </is>
      </c>
      <c r="E104" s="20" t="n"/>
    </row>
    <row r="105">
      <c r="A105" s="43" t="n"/>
      <c r="B105" s="20" t="n"/>
      <c r="C105" s="58" t="inlineStr">
        <is>
          <t>CLAUSE_KIND</t>
        </is>
      </c>
      <c r="D105" s="20" t="inlineStr">
        <is>
          <t>List: Clause kind</t>
        </is>
      </c>
      <c r="E105" s="20" t="n"/>
    </row>
    <row r="106">
      <c r="A106" s="43" t="n"/>
      <c r="B106" s="20" t="n"/>
      <c r="C106" s="58" t="inlineStr">
        <is>
          <t>DOCUMENT_TYPE</t>
        </is>
      </c>
      <c r="D106" s="20" t="inlineStr">
        <is>
          <t>List: Document type</t>
        </is>
      </c>
      <c r="E106" s="20" t="n"/>
    </row>
    <row r="107">
      <c r="A107" s="43" t="n"/>
      <c r="B107" s="20" t="n"/>
      <c r="C107" s="58" t="inlineStr">
        <is>
          <t>MARKET_SEGMENT</t>
        </is>
      </c>
      <c r="D107" s="20" t="inlineStr">
        <is>
          <t>List: Market segment</t>
        </is>
      </c>
      <c r="E107" s="20" t="n"/>
    </row>
    <row r="108" ht="28" customHeight="1">
      <c r="A108" s="43" t="n"/>
      <c r="B108" s="20" t="n"/>
      <c r="C108" s="58" t="inlineStr">
        <is>
          <t>PKG_REQUEST_PREFIX</t>
        </is>
      </c>
      <c r="D108" s="20" t="inlineStr">
        <is>
          <t>Parameter: Prefix of package request numbers; the year is appended</t>
        </is>
      </c>
      <c r="E108" s="20" t="n"/>
    </row>
    <row r="109" ht="28" customHeight="1">
      <c r="A109" s="43" t="n"/>
      <c r="B109" s="20" t="n"/>
      <c r="C109" s="58" t="inlineStr">
        <is>
          <t>PKG_QS_PREFIX</t>
        </is>
      </c>
      <c r="D109" s="20" t="inlineStr">
        <is>
          <t>Parameter: Prefix of package quotation slip numbers; the year is appended</t>
        </is>
      </c>
      <c r="E109" s="20" t="n"/>
    </row>
    <row r="110" ht="28" customHeight="1">
      <c r="A110" s="43" t="n"/>
      <c r="B110" s="20" t="n"/>
      <c r="C110" s="58" t="inlineStr">
        <is>
          <t>PKG_QS_REPLY_DAYS</t>
        </is>
      </c>
      <c r="D110" s="20" t="inlineStr">
        <is>
          <t>Parameter: Days insurers have to reply to a package quotation slip</t>
        </is>
      </c>
      <c r="E110" s="20" t="n"/>
    </row>
    <row r="111" ht="40.5" customHeight="1">
      <c r="A111" s="43" t="n"/>
      <c r="B111" s="20" t="n"/>
      <c r="C111" s="58" t="inlineStr">
        <is>
          <t>PACKAGE_EXPIRY_NOTICE_DAYS</t>
        </is>
      </c>
      <c r="D111" s="20" t="inlineStr">
        <is>
          <t>Parameter: Days before the package end date at which PACKAGE_EXPIRING is first raised; again at 30 and 7 days</t>
        </is>
      </c>
      <c r="E111" s="20" t="n"/>
    </row>
    <row r="112" ht="28" customHeight="1">
      <c r="A112" s="43" t="n"/>
      <c r="B112" s="20" t="n"/>
      <c r="C112" s="58" t="inlineStr">
        <is>
          <t>PACKAGE_RENEWAL_AUTODRAFT</t>
        </is>
      </c>
      <c r="D112" s="20" t="inlineStr">
        <is>
          <t>Parameter: The expiry monitor drafts a RENEW package request for packages reaching the notice period</t>
        </is>
      </c>
      <c r="E112" s="20" t="n"/>
    </row>
    <row r="113" ht="28" customHeight="1">
      <c r="A113" s="43" t="n"/>
      <c r="B113" s="20" t="n"/>
      <c r="C113" s="58" t="inlineStr">
        <is>
          <t>PKG_SLA_MKT_APPROVAL</t>
        </is>
      </c>
      <c r="D113" s="20" t="inlineStr">
        <is>
          <t>Parameter: SLA hours of the Marketing approval of a package request</t>
        </is>
      </c>
      <c r="E113" s="20" t="n"/>
    </row>
    <row r="114" ht="28" customHeight="1">
      <c r="A114" s="43" t="n"/>
      <c r="B114" s="20" t="n"/>
      <c r="C114" s="58" t="inlineStr">
        <is>
          <t>PKG_SLA_TSU_REVIEW</t>
        </is>
      </c>
      <c r="D114" s="20" t="inlineStr">
        <is>
          <t>Parameter: SLA hours of the TSU Team Lead review and recommendation</t>
        </is>
      </c>
      <c r="E114" s="20" t="n"/>
    </row>
    <row r="115">
      <c r="A115" s="43" t="n"/>
      <c r="B115" s="20" t="n"/>
      <c r="C115" s="58" t="inlineStr">
        <is>
          <t>PKG_SLA_TSU_APPROVAL</t>
        </is>
      </c>
      <c r="D115" s="20" t="inlineStr">
        <is>
          <t>Parameter: SLA hours of the TSU Team Head approval</t>
        </is>
      </c>
      <c r="E115" s="20" t="n"/>
    </row>
    <row r="116" ht="28" customHeight="1">
      <c r="A116" s="43" t="n"/>
      <c r="B116" s="20" t="n"/>
      <c r="C116" s="58" t="inlineStr">
        <is>
          <t>PKG_SLA_NEGOTIATION</t>
        </is>
      </c>
      <c r="D116" s="20" t="inlineStr">
        <is>
          <t>Parameter: SLA hours of the insurer negotiation stage</t>
        </is>
      </c>
      <c r="E116" s="20" t="n"/>
    </row>
    <row r="117">
      <c r="A117" s="43" t="n"/>
      <c r="B117" s="20" t="n"/>
      <c r="C117" s="58" t="inlineStr">
        <is>
          <t>PKG_SLA_MANCOM</t>
        </is>
      </c>
      <c r="D117" s="20" t="inlineStr">
        <is>
          <t>Parameter: SLA hours of the ManCom sign-off</t>
        </is>
      </c>
      <c r="E117" s="20" t="n"/>
    </row>
    <row r="118">
      <c r="A118" s="43" t="n"/>
      <c r="B118" s="20" t="n"/>
      <c r="C118" s="58" t="inlineStr">
        <is>
          <t>PKG_SLA_MBS_SETUP</t>
        </is>
      </c>
      <c r="D118" s="20" t="inlineStr">
        <is>
          <t>Parameter: SLA hours of the MBS package set-up</t>
        </is>
      </c>
      <c r="E118" s="20" t="n"/>
    </row>
    <row r="119" ht="40.5" customHeight="1">
      <c r="A119" s="43" t="n"/>
      <c r="B119" s="20" t="n"/>
      <c r="C119" s="58" t="inlineStr">
        <is>
          <t>PACKAGE_EXPIRY_REMINDER_DAYS</t>
        </is>
      </c>
      <c r="D119" s="20" t="inlineStr">
        <is>
          <t>Parameter: Days before the package end date at which PACKAGE_EXPIRING is raised again after the first notice</t>
        </is>
      </c>
      <c r="E119" s="20" t="n"/>
    </row>
    <row r="120" ht="28" customHeight="1">
      <c r="A120" s="43" t="n"/>
      <c r="B120" s="20" t="n"/>
      <c r="C120" s="58" t="inlineStr">
        <is>
          <t>PKG_ADVISORY_GROUPS</t>
        </is>
      </c>
      <c r="D120" s="20" t="inlineStr">
        <is>
          <t>Parameter: Recipient groups (list PKG_ADVISORY_GROUP) proposed on a new package advisory</t>
        </is>
      </c>
      <c r="E120" s="20" t="n"/>
    </row>
    <row r="121" ht="40.5" customHeight="1">
      <c r="A121" s="43" t="n"/>
      <c r="B121" s="20" t="n"/>
      <c r="C121" s="58" t="inlineStr">
        <is>
          <t>OTHER_CHARGES_ENABLED</t>
        </is>
      </c>
      <c r="D121" s="20" t="inlineStr">
        <is>
          <t>Parameter: Bill the other charges of the products (documentation, notarial and authentication fees) with the premium</t>
        </is>
      </c>
      <c r="E121" s="20" t="n"/>
    </row>
    <row r="122" ht="53" customHeight="1">
      <c r="A122" s="43" t="n"/>
      <c r="B122" s="20" t="n"/>
      <c r="C122" s="58" t="inlineStr">
        <is>
          <t>PM_DEACTIVATION_ROUTE</t>
        </is>
      </c>
      <c r="D122" s="20" t="inlineStr">
        <is>
          <t>Parameter: EFFECTIVE_DATED: Deactivate Package asks for the effective date, reason and approver (the bank's process); RETIRE_REQUEST: deactivation through a retirement package request</t>
        </is>
      </c>
      <c r="E122" s="20" t="n"/>
    </row>
    <row r="123" ht="28" customHeight="1">
      <c r="A123" s="43" t="n"/>
      <c r="B123" s="20" t="n"/>
      <c r="C123" s="58" t="inlineStr">
        <is>
          <t>PKG_DEACTIVATION_PREFIX</t>
        </is>
      </c>
      <c r="D123" s="20" t="inlineStr">
        <is>
          <t>Parameter: Prefix of package deactivation request numbers; the year is appended</t>
        </is>
      </c>
      <c r="E123" s="20" t="n"/>
    </row>
    <row r="124" ht="28" customHeight="1">
      <c r="A124" s="43" t="n"/>
      <c r="B124" s="20" t="n"/>
      <c r="C124" s="58" t="inlineStr">
        <is>
          <t>PACKAGE_ANNIVERSARY_NOTICE_DAYS</t>
        </is>
      </c>
      <c r="D124" s="20" t="inlineStr">
        <is>
          <t>Parameter: Days before the package anniversary date at which the anniversary notice is raised</t>
        </is>
      </c>
      <c r="E124" s="20" t="n"/>
    </row>
    <row r="125" ht="40.5" customHeight="1">
      <c r="A125" s="43" t="n"/>
      <c r="B125" s="20" t="n"/>
      <c r="C125" s="58" t="inlineStr">
        <is>
          <t>PACKAGE_EXPIRY_NOTIFY_MBS</t>
        </is>
      </c>
      <c r="D125" s="20" t="inlineStr">
        <is>
          <t>Parameter: false: the expiry and anniversary notices go to the TSU Officers and TSU Team Leads (the bank's process); true: MBS is told as well</t>
        </is>
      </c>
      <c r="E125" s="20" t="n"/>
    </row>
    <row r="126" ht="53" customHeight="1">
      <c r="A126" s="43" t="n"/>
      <c r="B126" s="20" t="n"/>
      <c r="C126" s="58" t="inlineStr">
        <is>
          <t>PM_MARKETING_CHAIN</t>
        </is>
      </c>
      <c r="D126" s="20" t="inlineStr">
        <is>
          <t>Parameter: ANY_ONE: one approval by the Marketing Team Leader, Team Head or Unit Head; TL_TH_UH: approval by the Team Leader, then the Team Head, then the Unit Head (the bank's process)</t>
        </is>
      </c>
      <c r="E126" s="20" t="n"/>
    </row>
    <row r="127" ht="53" customHeight="1">
      <c r="A127" s="43" t="n"/>
      <c r="B127" s="20" t="n"/>
      <c r="C127" s="58" t="inlineStr">
        <is>
          <t>PM_MANCOM_ROUTING</t>
        </is>
      </c>
      <c r="D127" s="20" t="inlineStr">
        <is>
          <t>Parameter: SELECTED_PARALLEL_THEN_PRESIDENT: the selected ManCom approvers approve in parallel, then the President (the bank's process); ANY_MEMBER: one sign-off</t>
        </is>
      </c>
      <c r="E127" s="20" t="n"/>
    </row>
    <row r="128" ht="28" customHeight="1">
      <c r="A128" s="43" t="n"/>
      <c r="B128" s="20" t="n"/>
      <c r="C128" s="58" t="inlineStr">
        <is>
          <t>PM_MANCOM_PRESIDENT</t>
        </is>
      </c>
      <c r="D128" s="20" t="inlineStr">
        <is>
          <t>Parameter: User ID of the President, who approves after every other selected ManCom approver</t>
        </is>
      </c>
      <c r="E128" s="20" t="n"/>
    </row>
    <row r="129" ht="40.5" customHeight="1">
      <c r="A129" s="43" t="n"/>
      <c r="B129" s="20" t="n"/>
      <c r="C129" s="58" t="inlineStr">
        <is>
          <t>PM_DEPLOYMENT_REQUEST</t>
        </is>
      </c>
      <c r="D129" s="20" t="inlineStr">
        <is>
          <t>Parameter: AUTO: the ManCom approval forwards the package to MBS; MANUAL: the Request for Deployment button forwards it (the bank's process)</t>
        </is>
      </c>
      <c r="E129" s="20" t="n"/>
    </row>
    <row r="130" ht="28" customHeight="1">
      <c r="A130" s="43" t="n"/>
      <c r="B130" s="20" t="n"/>
      <c r="C130" s="58" t="inlineStr">
        <is>
          <t>PKG_DEPLOYMENT_PREFIX</t>
        </is>
      </c>
      <c r="D130" s="20" t="inlineStr">
        <is>
          <t>Parameter: Prefix of package deployment request numbers; the year is appended</t>
        </is>
      </c>
      <c r="E130" s="20" t="n"/>
    </row>
    <row r="131" ht="53" customHeight="1">
      <c r="A131" s="43" t="n"/>
      <c r="B131" s="20" t="n"/>
      <c r="C131" s="58" t="inlineStr">
        <is>
          <t>PM_DIRECT_MAINTENANCE</t>
        </is>
      </c>
      <c r="D131" s="20" t="inlineStr">
        <is>
          <t>Parameter: true: authorized users add and update Product Matrix records directly with approval (the bank's process); false: new packages come only from package requests</t>
        </is>
      </c>
      <c r="E131" s="20" t="n"/>
    </row>
    <row r="132" ht="28" customHeight="1">
      <c r="A132" s="43" t="n"/>
      <c r="B132" s="20" t="n"/>
      <c r="C132" s="58" t="inlineStr">
        <is>
          <t>PKG_MIN_POLICIES</t>
        </is>
      </c>
      <c r="D132" s="20" t="inlineStr">
        <is>
          <t>Parameter: Least estimated number of policies of a package request</t>
        </is>
      </c>
      <c r="E132" s="20" t="n"/>
    </row>
    <row r="133" ht="28" customHeight="1">
      <c r="A133" s="43" t="n"/>
      <c r="B133" s="20" t="n"/>
      <c r="C133" s="58" t="inlineStr">
        <is>
          <t>PKG_MIN_PREMIUM</t>
        </is>
      </c>
      <c r="D133" s="20" t="inlineStr">
        <is>
          <t>Parameter: Least estimated total basic premium of a package request (base currency)</t>
        </is>
      </c>
      <c r="E133" s="20" t="n"/>
    </row>
    <row r="134" ht="28" customHeight="1">
      <c r="A134" s="43" t="n"/>
      <c r="B134" s="20" t="n"/>
      <c r="C134" s="58" t="inlineStr">
        <is>
          <t>PLACEMENT_UPDATE_DAY</t>
        </is>
      </c>
      <c r="D134" s="20" t="inlineStr">
        <is>
          <t>Parameter: Weekday of the scheduled Consolidated Placement Update Report (MONDAY to SUNDAY)</t>
        </is>
      </c>
      <c r="E134" s="20" t="n"/>
    </row>
    <row r="135" ht="28" customHeight="1">
      <c r="A135" s="43" t="n"/>
      <c r="B135" s="20" t="n"/>
      <c r="C135" s="58" t="inlineStr">
        <is>
          <t>PLACEMENT_UPDATE_TIME</t>
        </is>
      </c>
      <c r="D135" s="20" t="inlineStr">
        <is>
          <t>Parameter: Time of the scheduled Consolidated Placement Update Report (HH:MM, business time zone)</t>
        </is>
      </c>
      <c r="E135" s="20" t="n"/>
    </row>
    <row r="136" ht="40.5" customHeight="1">
      <c r="A136" s="43" t="n"/>
      <c r="B136" s="20" t="n"/>
      <c r="C136" s="58" t="inlineStr">
        <is>
          <t>PLACEMENT_UPDATE_DAYS</t>
        </is>
      </c>
      <c r="D136" s="20" t="inlineStr">
        <is>
          <t>Parameter: Length of the reporting period of the Consolidated Placement Update Report in days, ending on the report date</t>
        </is>
      </c>
      <c r="E136" s="20" t="n"/>
    </row>
    <row r="137" ht="40.5" customHeight="1">
      <c r="A137" s="43" t="n"/>
      <c r="B137" s="20" t="n"/>
      <c r="C137" s="58" t="inlineStr">
        <is>
          <t>PLACEMENT_UPDATE_SCOPE</t>
        </is>
      </c>
      <c r="D137" s="20" t="inlineStr">
        <is>
          <t>Parameter: QUOTATION: the report lists the quotation requests (the bank's process); QUOTATION_AND_PACKAGE: the package requests follow</t>
        </is>
      </c>
      <c r="E137" s="20" t="n"/>
    </row>
    <row r="138" ht="28" customHeight="1">
      <c r="A138" s="59" t="inlineStr">
        <is>
          <t>Incentive type (INCENTIVE_TYPE)</t>
        </is>
      </c>
      <c r="B138" s="14" t="inlineStr">
        <is>
          <t>PM-10 Incentive criteria: Incentive type</t>
        </is>
      </c>
      <c r="C138" s="60" t="inlineStr">
        <is>
          <t>OTHERS</t>
        </is>
      </c>
      <c r="D138" s="14" t="inlineStr">
        <is>
          <t>Others (see description)</t>
        </is>
      </c>
      <c r="E138" s="14" t="inlineStr">
        <is>
          <t>The values of the list INCENTIVE_TYPE as delivered with BIBS; a new value is added with its template and may then be used here.</t>
        </is>
      </c>
    </row>
    <row r="139">
      <c r="A139" s="59" t="n"/>
      <c r="B139" s="14" t="n"/>
      <c r="C139" s="60" t="inlineStr">
        <is>
          <t>MIGRATED</t>
        </is>
      </c>
      <c r="D139" s="14" t="inlineStr">
        <is>
          <t>Migrated booking incentive rule</t>
        </is>
      </c>
      <c r="E139" s="14" t="n"/>
    </row>
    <row r="140">
      <c r="A140" s="43" t="inlineStr">
        <is>
          <t>Bulk request action (UA_ACTION)</t>
        </is>
      </c>
      <c r="B140" s="20" t="inlineStr">
        <is>
          <t>UA-01 Users and roles: Action</t>
        </is>
      </c>
      <c r="C140" s="58" t="inlineStr">
        <is>
          <t>ENROL</t>
        </is>
      </c>
      <c r="D140" s="20" t="inlineStr">
        <is>
          <t>Enrol a new user</t>
        </is>
      </c>
      <c r="E140" s="20" t="n"/>
    </row>
    <row r="141">
      <c r="A141" s="43" t="n"/>
      <c r="B141" s="20" t="n"/>
      <c r="C141" s="58" t="inlineStr">
        <is>
          <t>MODIFY</t>
        </is>
      </c>
      <c r="D141" s="20" t="inlineStr">
        <is>
          <t>Modify a user</t>
        </is>
      </c>
      <c r="E141" s="20" t="n"/>
    </row>
    <row r="142">
      <c r="A142" s="43" t="n"/>
      <c r="B142" s="20" t="n"/>
      <c r="C142" s="58" t="inlineStr">
        <is>
          <t>DEACTIVATE</t>
        </is>
      </c>
      <c r="D142" s="20" t="inlineStr">
        <is>
          <t>Deactivate a user</t>
        </is>
      </c>
      <c r="E142" s="20" t="n"/>
    </row>
    <row r="143">
      <c r="A143" s="43" t="n"/>
      <c r="B143" s="20" t="n"/>
      <c r="C143" s="58" t="inlineStr">
        <is>
          <t>REACTIVATE</t>
        </is>
      </c>
      <c r="D143" s="20" t="inlineStr">
        <is>
          <t>Reactivate a user</t>
        </is>
      </c>
      <c r="E143" s="20" t="n"/>
    </row>
    <row r="144">
      <c r="A144" s="59" t="inlineStr">
        <is>
          <t>Privilege level (PRIVILEGE_LEVEL)</t>
        </is>
      </c>
      <c r="B144" s="14" t="inlineStr">
        <is>
          <t>UA-02 Role matrix: Privilege level</t>
        </is>
      </c>
      <c r="C144" s="60" t="inlineStr">
        <is>
          <t>Low</t>
        </is>
      </c>
      <c r="D144" s="14" t="inlineStr">
        <is>
          <t>Low</t>
        </is>
      </c>
      <c r="E144" s="14" t="n"/>
    </row>
    <row r="145">
      <c r="A145" s="59" t="n"/>
      <c r="B145" s="14" t="n"/>
      <c r="C145" s="60" t="inlineStr">
        <is>
          <t>Standard</t>
        </is>
      </c>
      <c r="D145" s="14" t="inlineStr">
        <is>
          <t>Standard</t>
        </is>
      </c>
      <c r="E145" s="14" t="n"/>
    </row>
    <row r="146">
      <c r="A146" s="59" t="n"/>
      <c r="B146" s="14" t="n"/>
      <c r="C146" s="60" t="inlineStr">
        <is>
          <t>High</t>
        </is>
      </c>
      <c r="D146" s="14" t="inlineStr">
        <is>
          <t>High: a second approval when given or raised</t>
        </is>
      </c>
      <c r="E146" s="14" t="n"/>
    </row>
    <row r="147">
      <c r="A147" s="59" t="n"/>
      <c r="B147" s="14" t="n"/>
      <c r="C147" s="60" t="inlineStr">
        <is>
          <t>Admin</t>
        </is>
      </c>
      <c r="D147" s="14" t="inlineStr">
        <is>
          <t>Admin: a second approval when given or raised</t>
        </is>
      </c>
      <c r="E147" s="14" t="n"/>
    </row>
    <row r="148" ht="28" customHeight="1">
      <c r="A148" s="43" t="inlineStr">
        <is>
          <t>Change against the matrix (KEEP_ADD_REMOVE)</t>
        </is>
      </c>
      <c r="B148" s="20" t="inlineStr">
        <is>
          <t>UA-02 Role matrix: Keep / Add / Remove</t>
        </is>
      </c>
      <c r="C148" s="58" t="inlineStr">
        <is>
          <t>KEEP</t>
        </is>
      </c>
      <c r="D148" s="20" t="inlineStr">
        <is>
          <t>Keep the permission</t>
        </is>
      </c>
      <c r="E148" s="20" t="n"/>
    </row>
    <row r="149">
      <c r="A149" s="43" t="n"/>
      <c r="B149" s="20" t="n"/>
      <c r="C149" s="58" t="inlineStr">
        <is>
          <t>ADD</t>
        </is>
      </c>
      <c r="D149" s="20" t="inlineStr">
        <is>
          <t>Add the permission</t>
        </is>
      </c>
      <c r="E149" s="20" t="n"/>
    </row>
    <row r="150">
      <c r="A150" s="43" t="n"/>
      <c r="B150" s="20" t="n"/>
      <c r="C150" s="58" t="inlineStr">
        <is>
          <t>REMOVE</t>
        </is>
      </c>
      <c r="D150" s="20" t="inlineStr">
        <is>
          <t>Remove the permission</t>
        </is>
      </c>
      <c r="E150" s="20" t="n"/>
    </row>
    <row r="151" ht="28" customHeight="1">
      <c r="A151" s="59" t="inlineStr">
        <is>
          <t>Role in user access (UA_ROLE)</t>
        </is>
      </c>
      <c r="B151" s="14" t="inlineStr">
        <is>
          <t>UA-03 Approval rules: Role in user access</t>
        </is>
      </c>
      <c r="C151" s="60" t="inlineStr">
        <is>
          <t>Requestor</t>
        </is>
      </c>
      <c r="D151" s="14" t="inlineStr">
        <is>
          <t>Raises access requests for the unit</t>
        </is>
      </c>
      <c r="E151" s="14" t="n"/>
    </row>
    <row r="152">
      <c r="A152" s="59" t="n"/>
      <c r="B152" s="14" t="n"/>
      <c r="C152" s="60" t="inlineStr">
        <is>
          <t>Approver</t>
        </is>
      </c>
      <c r="D152" s="14" t="inlineStr">
        <is>
          <t>Approves access requests</t>
        </is>
      </c>
      <c r="E152" s="14" t="n"/>
    </row>
    <row r="153">
      <c r="A153" s="59" t="n"/>
      <c r="B153" s="14" t="n"/>
      <c r="C153" s="60" t="inlineStr">
        <is>
          <t>Second Approver</t>
        </is>
      </c>
      <c r="D153" s="14" t="inlineStr">
        <is>
          <t>Second approval of High and Admin privileges</t>
        </is>
      </c>
      <c r="E153" s="14" t="n"/>
    </row>
    <row r="154">
      <c r="A154" s="59" t="n"/>
      <c r="B154" s="14" t="n"/>
      <c r="C154" s="60" t="inlineStr">
        <is>
          <t>Group-profile requester</t>
        </is>
      </c>
      <c r="D154" s="14" t="inlineStr">
        <is>
          <t>Raises group-profile requests</t>
        </is>
      </c>
      <c r="E154" s="14" t="n"/>
    </row>
    <row r="155" ht="28" customHeight="1">
      <c r="A155" s="59" t="n"/>
      <c r="B155" s="14" t="n"/>
      <c r="C155" s="60" t="inlineStr">
        <is>
          <t>Implementer</t>
        </is>
      </c>
      <c r="D155" s="14" t="inlineStr">
        <is>
          <t>System Administrator who implements approved requests</t>
        </is>
      </c>
      <c r="E155" s="14" t="n"/>
    </row>
    <row r="156" ht="28" customHeight="1">
      <c r="A156" s="43" t="inlineStr">
        <is>
          <t>Separation-of-duties rule status (SOD_STATUS)</t>
        </is>
      </c>
      <c r="B156" s="20" t="inlineStr">
        <is>
          <t>UA-04 SoD rules: Status</t>
        </is>
      </c>
      <c r="C156" s="58" t="inlineStr">
        <is>
          <t>Enforced</t>
        </is>
      </c>
      <c r="D156" s="20" t="inlineStr">
        <is>
          <t>A fixed rule of BIBS</t>
        </is>
      </c>
      <c r="E156" s="20" t="n"/>
    </row>
    <row r="157">
      <c r="A157" s="43" t="n"/>
      <c r="B157" s="20" t="n"/>
      <c r="C157" s="58" t="inlineStr">
        <is>
          <t>To confirm</t>
        </is>
      </c>
      <c r="D157" s="20" t="inlineStr">
        <is>
          <t>Proposed; BDOI confirms</t>
        </is>
      </c>
      <c r="E157" s="20" t="n"/>
    </row>
    <row r="158">
      <c r="A158" s="43" t="n"/>
      <c r="B158" s="20" t="n"/>
      <c r="C158" s="58" t="inlineStr">
        <is>
          <t>New</t>
        </is>
      </c>
      <c r="D158" s="20" t="inlineStr">
        <is>
          <t>Added by BDOI</t>
        </is>
      </c>
      <c r="E158" s="20" t="n"/>
    </row>
    <row r="159" ht="28" customHeight="1">
      <c r="A159" s="59" t="inlineStr">
        <is>
          <t>Separation-of-duties control (SOD_CONTROL)</t>
        </is>
      </c>
      <c r="B159" s="14" t="inlineStr">
        <is>
          <t>UA-04 SoD rules: Control</t>
        </is>
      </c>
      <c r="C159" s="60" t="inlineStr">
        <is>
          <t>Prevent</t>
        </is>
      </c>
      <c r="D159" s="14" t="inlineStr">
        <is>
          <t>A rule of Separation of Duties: BIBS refuses the request</t>
        </is>
      </c>
      <c r="E159" s="14" t="n"/>
    </row>
    <row r="160">
      <c r="A160" s="59" t="n"/>
      <c r="B160" s="14" t="n"/>
      <c r="C160" s="60" t="inlineStr">
        <is>
          <t>Detect by review</t>
        </is>
      </c>
      <c r="D160" s="14" t="inlineStr">
        <is>
          <t>Reviewed with the reports</t>
        </is>
      </c>
      <c r="E160" s="14" t="n"/>
    </row>
    <row r="161">
      <c r="A161" s="59" t="n"/>
      <c r="B161" s="14" t="n"/>
      <c r="C161" s="60" t="inlineStr">
        <is>
          <t>Second approval</t>
        </is>
      </c>
      <c r="D161" s="14" t="inlineStr">
        <is>
          <t>A second approver decides</t>
        </is>
      </c>
      <c r="E161" s="14" t="n"/>
    </row>
    <row r="162">
      <c r="A162" s="43" t="inlineStr">
        <is>
          <t>Review frequency (REVIEW_FREQUENCY)</t>
        </is>
      </c>
      <c r="B162" s="20" t="inlineStr">
        <is>
          <t>UA-04 SoD rules: Review frequency</t>
        </is>
      </c>
      <c r="C162" s="58" t="inlineStr">
        <is>
          <t>Monthly</t>
        </is>
      </c>
      <c r="D162" s="20" t="inlineStr">
        <is>
          <t>Monthly</t>
        </is>
      </c>
      <c r="E162" s="20" t="n"/>
    </row>
    <row r="163">
      <c r="A163" s="43" t="n"/>
      <c r="B163" s="20" t="n"/>
      <c r="C163" s="58" t="inlineStr">
        <is>
          <t>Quarterly</t>
        </is>
      </c>
      <c r="D163" s="20" t="inlineStr">
        <is>
          <t>Quarterly</t>
        </is>
      </c>
      <c r="E163" s="20" t="n"/>
    </row>
    <row r="164" ht="28" customHeight="1">
      <c r="A164" s="59" t="inlineStr">
        <is>
          <t>Sign-in (UA_PARAMETER)</t>
        </is>
      </c>
      <c r="B164" s="14" t="inlineStr">
        <is>
          <t>UA-05 Parameters: Parameter</t>
        </is>
      </c>
      <c r="C164" s="60" t="inlineStr">
        <is>
          <t>LOGIN_MAX_FAILED_ATTEMPTS</t>
        </is>
      </c>
      <c r="D164" s="14" t="inlineStr">
        <is>
          <t>Consecutive failed logins that lock a user account; applies to all users</t>
        </is>
      </c>
      <c r="E164" s="14" t="n"/>
    </row>
    <row r="165" ht="28" customHeight="1">
      <c r="A165" s="59" t="n"/>
      <c r="B165" s="14" t="n"/>
      <c r="C165" s="60" t="inlineStr">
        <is>
          <t>SESSION_IDLE_WARNING_MINUTES</t>
        </is>
      </c>
      <c r="D165" s="14" t="inlineStr">
        <is>
          <t>Minutes of inactivity after which the web client warns that the session will sign out</t>
        </is>
      </c>
      <c r="E165" s="14" t="n"/>
    </row>
    <row r="166" ht="28" customHeight="1">
      <c r="A166" s="59" t="n"/>
      <c r="B166" s="14" t="n"/>
      <c r="C166" s="60" t="inlineStr">
        <is>
          <t>SESSION_TIMEOUT_MINUTES</t>
        </is>
      </c>
      <c r="D166" s="14" t="inlineStr">
        <is>
          <t>Minutes of inactivity after which the web session signs out automatically</t>
        </is>
      </c>
      <c r="E166" s="14" t="n"/>
    </row>
    <row r="167" ht="28" customHeight="1">
      <c r="A167" s="59" t="n"/>
      <c r="B167" s="14" t="n"/>
      <c r="C167" s="60" t="inlineStr">
        <is>
          <t>SESSION_EXPIRY_WARNING_MINUTES</t>
        </is>
      </c>
      <c r="D167" s="14" t="inlineStr">
        <is>
          <t>Minutes before the system-triggered (absolute) sign-out at which the web client warns the user</t>
        </is>
      </c>
      <c r="E167" s="14" t="n"/>
    </row>
    <row r="168" ht="40.5" customHeight="1">
      <c r="A168" s="59" t="n"/>
      <c r="B168" s="14" t="n"/>
      <c r="C168" s="60" t="inlineStr">
        <is>
          <t>AUTH_MODE</t>
        </is>
      </c>
      <c r="D168" s="14" t="inlineStr">
        <is>
          <t>Sign-in mode: LOCAL (BIBS passwords) or DIRECTORY (BDO directory sign-in by Windows ID, when the EIAM sign-in is specified)</t>
        </is>
      </c>
      <c r="E168" s="14" t="n"/>
    </row>
    <row r="169" ht="28" customHeight="1">
      <c r="A169" s="59" t="n"/>
      <c r="B169" s="14" t="n"/>
      <c r="C169" s="60" t="inlineStr">
        <is>
          <t>USER_ID_PATTERN</t>
        </is>
      </c>
      <c r="D169" s="14" t="inlineStr">
        <is>
          <t>Regular expression of a new user ID on enrolment requests</t>
        </is>
      </c>
      <c r="E169" s="14" t="n"/>
    </row>
    <row r="170" ht="28" customHeight="1">
      <c r="A170" s="59" t="n"/>
      <c r="B170" s="14" t="n"/>
      <c r="C170" s="60" t="inlineStr">
        <is>
          <t>USER_ID_FORMAT_TEXT</t>
        </is>
      </c>
      <c r="D170" s="14" t="inlineStr">
        <is>
          <t>The user ID format in words, shown to the requester with the format check of USER_ID_PATTERN</t>
        </is>
      </c>
      <c r="E170" s="14" t="n"/>
    </row>
    <row r="171" ht="28" customHeight="1">
      <c r="A171" s="59" t="n"/>
      <c r="B171" s="14" t="n"/>
      <c r="C171" s="60" t="inlineStr">
        <is>
          <t>PASSWORD_HISTORY_COUNT</t>
        </is>
      </c>
      <c r="D171" s="14" t="inlineStr">
        <is>
          <t>Previous passwords a local account may not reuse (at least the last ten)</t>
        </is>
      </c>
      <c r="E171" s="14" t="n"/>
    </row>
    <row r="172" ht="28" customHeight="1">
      <c r="A172" s="59" t="n"/>
      <c r="B172" s="14" t="n"/>
      <c r="C172" s="60" t="inlineStr">
        <is>
          <t>PASSWORD_MAX_AGE_DAYS</t>
        </is>
      </c>
      <c r="D172" s="14" t="inlineStr">
        <is>
          <t>Days after which a password must be changed, LOCAL mode; 0 = never</t>
        </is>
      </c>
      <c r="E172" s="14" t="n"/>
    </row>
    <row r="173" ht="28" customHeight="1">
      <c r="A173" s="59" t="n"/>
      <c r="B173" s="14" t="n"/>
      <c r="C173" s="60" t="inlineStr">
        <is>
          <t>PASSWORD_MIN_AGE_DAYS</t>
        </is>
      </c>
      <c r="D173" s="14" t="inlineStr">
        <is>
          <t>Days before a changed password may be changed again, LOCAL mode</t>
        </is>
      </c>
      <c r="E173" s="14" t="n"/>
    </row>
    <row r="174" ht="28" customHeight="1">
      <c r="A174" s="59" t="n"/>
      <c r="B174" s="14" t="n"/>
      <c r="C174" s="60" t="inlineStr">
        <is>
          <t>UAM_WORKING_HOURS</t>
        </is>
      </c>
      <c r="D174" s="14" t="inlineStr">
        <is>
          <t>Working hours; an access request submitted outside them needs a second approval</t>
        </is>
      </c>
      <c r="E174" s="14" t="n"/>
    </row>
    <row r="175" ht="40.5" customHeight="1">
      <c r="A175" s="59" t="n"/>
      <c r="B175" s="14" t="n"/>
      <c r="C175" s="60" t="inlineStr">
        <is>
          <t>UAM_ANY_APPROVER</t>
        </is>
      </c>
      <c r="D175" s="14" t="inlineStr">
        <is>
          <t>When true, any holder of ACCESS_APPROVE may decide a request, not only the approver chosen by the requester</t>
        </is>
      </c>
      <c r="E175" s="14" t="n"/>
    </row>
    <row r="176" ht="40.5" customHeight="1">
      <c r="A176" s="59" t="n"/>
      <c r="B176" s="14" t="n"/>
      <c r="C176" s="60" t="inlineStr">
        <is>
          <t>UAM_ROLE_APPLY_ON_APPROVAL</t>
        </is>
      </c>
      <c r="D176" s="14" t="inlineStr">
        <is>
          <t>When true, an approved group-profile or role-permission request applies at its last approval; when false it waits for the System Administrator to implement it</t>
        </is>
      </c>
      <c r="E176" s="14" t="n"/>
    </row>
    <row r="177" ht="40.5" customHeight="1">
      <c r="A177" s="59" t="n"/>
      <c r="B177" s="14" t="n"/>
      <c r="C177" s="60" t="inlineStr">
        <is>
          <t>UAM_EXTERNAL_USERS</t>
        </is>
      </c>
      <c r="D177" s="14" t="inlineStr">
        <is>
          <t>When true, access requests may be raised for external (portal) users; stays false while no portal is installed</t>
        </is>
      </c>
      <c r="E177" s="14" t="n"/>
    </row>
    <row r="178" ht="28" customHeight="1">
      <c r="A178" s="59" t="n"/>
      <c r="B178" s="14" t="n"/>
      <c r="C178" s="60" t="inlineStr">
        <is>
          <t>UAM_DORMANT_DAYS</t>
        </is>
      </c>
      <c r="D178" s="14" t="inlineStr">
        <is>
          <t>Days without a sign-in after which a user is deactivated by the daily dormant-user job; 0 = never</t>
        </is>
      </c>
      <c r="E178" s="14" t="n"/>
    </row>
    <row r="179" ht="28" customHeight="1">
      <c r="A179" s="59" t="n"/>
      <c r="B179" s="14" t="n"/>
      <c r="C179" s="60" t="inlineStr">
        <is>
          <t>UAM_DORMANT_NOTICE_DAYS</t>
        </is>
      </c>
      <c r="D179" s="14" t="inlineStr">
        <is>
          <t>Days before the dormant-user deactivation on which the user is told to sign in; 0 = no notice</t>
        </is>
      </c>
      <c r="E179" s="14" t="n"/>
    </row>
    <row r="180" ht="28" customHeight="1">
      <c r="A180" s="59" t="n"/>
      <c r="B180" s="14" t="n"/>
      <c r="C180" s="60" t="inlineStr">
        <is>
          <t>JOB_FAILURE_RECIPIENTS</t>
        </is>
      </c>
      <c r="D180" s="14" t="inlineStr">
        <is>
          <t>Comma separated e-mail addresses told of every failed batch job</t>
        </is>
      </c>
      <c r="E180" s="14" t="n"/>
    </row>
    <row r="181">
      <c r="A181" s="43" t="inlineStr">
        <is>
          <t>User access list (UA_LIST)</t>
        </is>
      </c>
      <c r="B181" s="20" t="inlineStr">
        <is>
          <t>UA-06 Lists of values: List</t>
        </is>
      </c>
      <c r="C181" s="58" t="inlineStr">
        <is>
          <t>UAM_BUSINESS_UNIT</t>
        </is>
      </c>
      <c r="D181" s="20" t="inlineStr">
        <is>
          <t>List: Business unit group</t>
        </is>
      </c>
      <c r="E181" s="20" t="n"/>
    </row>
    <row r="182">
      <c r="A182" s="43" t="n"/>
      <c r="B182" s="20" t="n"/>
      <c r="C182" s="58" t="inlineStr">
        <is>
          <t>UAM_USER_LEVEL</t>
        </is>
      </c>
      <c r="D182" s="20" t="inlineStr">
        <is>
          <t>List: User level</t>
        </is>
      </c>
      <c r="E182" s="20" t="n"/>
    </row>
    <row r="183">
      <c r="A183" s="43" t="n"/>
      <c r="B183" s="20" t="n"/>
      <c r="C183" s="58" t="inlineStr">
        <is>
          <t>UAM_DEACTIVATION_REASON</t>
        </is>
      </c>
      <c r="D183" s="20" t="inlineStr">
        <is>
          <t>List: User deactivation reason</t>
        </is>
      </c>
      <c r="E183" s="20" t="n"/>
    </row>
    <row r="184">
      <c r="A184" s="59" t="inlineStr">
        <is>
          <t>Dimension (DIMENSION)</t>
        </is>
      </c>
      <c r="B184" s="14" t="inlineStr">
        <is>
          <t>D0-04 Dimensions: Dimension</t>
        </is>
      </c>
      <c r="C184" s="60" t="inlineStr">
        <is>
          <t>COST_CENTER</t>
        </is>
      </c>
      <c r="D184" s="14" t="inlineStr">
        <is>
          <t>Cost centre</t>
        </is>
      </c>
      <c r="E184" s="14" t="n"/>
    </row>
    <row r="185">
      <c r="A185" s="59" t="n"/>
      <c r="B185" s="14" t="n"/>
      <c r="C185" s="60" t="inlineStr">
        <is>
          <t>BUSINESS_LINE</t>
        </is>
      </c>
      <c r="D185" s="14" t="inlineStr">
        <is>
          <t>Business line</t>
        </is>
      </c>
      <c r="E185" s="14" t="n"/>
    </row>
    <row r="186" ht="28" customHeight="1">
      <c r="A186" s="43" t="inlineStr">
        <is>
          <t>Account class (ACCOUNT_CLASS)</t>
        </is>
      </c>
      <c r="B186" s="20" t="inlineStr">
        <is>
          <t>D0-07 Categories and numbering: Account class</t>
        </is>
      </c>
      <c r="C186" s="58" t="inlineStr">
        <is>
          <t>ASSET</t>
        </is>
      </c>
      <c r="D186" s="20" t="inlineStr">
        <is>
          <t>Asset</t>
        </is>
      </c>
      <c r="E186" s="20" t="n"/>
    </row>
    <row r="187">
      <c r="A187" s="43" t="n"/>
      <c r="B187" s="20" t="n"/>
      <c r="C187" s="58" t="inlineStr">
        <is>
          <t>LIABILITY</t>
        </is>
      </c>
      <c r="D187" s="20" t="inlineStr">
        <is>
          <t>Liability</t>
        </is>
      </c>
      <c r="E187" s="20" t="n"/>
    </row>
    <row r="188">
      <c r="A188" s="43" t="n"/>
      <c r="B188" s="20" t="n"/>
      <c r="C188" s="58" t="inlineStr">
        <is>
          <t>EQUITY</t>
        </is>
      </c>
      <c r="D188" s="20" t="inlineStr">
        <is>
          <t>Equity</t>
        </is>
      </c>
      <c r="E188" s="20" t="n"/>
    </row>
    <row r="189">
      <c r="A189" s="43" t="n"/>
      <c r="B189" s="20" t="n"/>
      <c r="C189" s="58" t="inlineStr">
        <is>
          <t>INCOME</t>
        </is>
      </c>
      <c r="D189" s="20" t="inlineStr">
        <is>
          <t>Income</t>
        </is>
      </c>
      <c r="E189" s="20" t="n"/>
    </row>
    <row r="190">
      <c r="A190" s="43" t="n"/>
      <c r="B190" s="20" t="n"/>
      <c r="C190" s="58" t="inlineStr">
        <is>
          <t>EXPENSE</t>
        </is>
      </c>
      <c r="D190" s="20" t="inlineStr">
        <is>
          <t>Expense</t>
        </is>
      </c>
      <c r="E190" s="20" t="n"/>
    </row>
    <row r="191" ht="28" customHeight="1">
      <c r="A191" s="59" t="inlineStr">
        <is>
          <t>Account class of the chart (ACCOUNT_CLASS_CHART)</t>
        </is>
      </c>
      <c r="B191" s="14" t="inlineStr">
        <is>
          <t>D0-06 Chart of accounts: Class</t>
        </is>
      </c>
      <c r="C191" s="60" t="inlineStr">
        <is>
          <t>ASSET</t>
        </is>
      </c>
      <c r="D191" s="14" t="inlineStr">
        <is>
          <t>Asset</t>
        </is>
      </c>
      <c r="E191" s="14" t="n"/>
    </row>
    <row r="192">
      <c r="A192" s="59" t="n"/>
      <c r="B192" s="14" t="n"/>
      <c r="C192" s="60" t="inlineStr">
        <is>
          <t>LIABILITY</t>
        </is>
      </c>
      <c r="D192" s="14" t="inlineStr">
        <is>
          <t>Liability</t>
        </is>
      </c>
      <c r="E192" s="14" t="n"/>
    </row>
    <row r="193">
      <c r="A193" s="59" t="n"/>
      <c r="B193" s="14" t="n"/>
      <c r="C193" s="60" t="inlineStr">
        <is>
          <t>EQUITY</t>
        </is>
      </c>
      <c r="D193" s="14" t="inlineStr">
        <is>
          <t>Equity</t>
        </is>
      </c>
      <c r="E193" s="14" t="n"/>
    </row>
    <row r="194">
      <c r="A194" s="59" t="n"/>
      <c r="B194" s="14" t="n"/>
      <c r="C194" s="60" t="inlineStr">
        <is>
          <t>INCOME</t>
        </is>
      </c>
      <c r="D194" s="14" t="inlineStr">
        <is>
          <t>Income</t>
        </is>
      </c>
      <c r="E194" s="14" t="n"/>
    </row>
    <row r="195">
      <c r="A195" s="59" t="n"/>
      <c r="B195" s="14" t="n"/>
      <c r="C195" s="60" t="inlineStr">
        <is>
          <t>EXPENSE</t>
        </is>
      </c>
      <c r="D195" s="14" t="inlineStr">
        <is>
          <t>Expense</t>
        </is>
      </c>
      <c r="E195" s="14" t="n"/>
    </row>
    <row r="196">
      <c r="A196" s="59" t="n"/>
      <c r="B196" s="14" t="n"/>
      <c r="C196" s="60" t="inlineStr">
        <is>
          <t>MEMORANDUM</t>
        </is>
      </c>
      <c r="D196" s="14" t="inlineStr">
        <is>
          <t>Memorandum</t>
        </is>
      </c>
      <c r="E196" s="14" t="n"/>
    </row>
    <row r="197">
      <c r="A197" s="43" t="inlineStr">
        <is>
          <t>Account level (ACCOUNT_LEVEL)</t>
        </is>
      </c>
      <c r="B197" s="20" t="inlineStr">
        <is>
          <t>D0-06 Chart of accounts: Level</t>
        </is>
      </c>
      <c r="C197" s="58" t="inlineStr">
        <is>
          <t>GROUP</t>
        </is>
      </c>
      <c r="D197" s="20" t="inlineStr">
        <is>
          <t>Group</t>
        </is>
      </c>
      <c r="E197" s="20" t="n"/>
    </row>
    <row r="198">
      <c r="A198" s="43" t="n"/>
      <c r="B198" s="20" t="n"/>
      <c r="C198" s="58" t="inlineStr">
        <is>
          <t>MAIN</t>
        </is>
      </c>
      <c r="D198" s="20" t="inlineStr">
        <is>
          <t>Main account</t>
        </is>
      </c>
      <c r="E198" s="20" t="n"/>
    </row>
    <row r="199">
      <c r="A199" s="43" t="n"/>
      <c r="B199" s="20" t="n"/>
      <c r="C199" s="58" t="inlineStr">
        <is>
          <t>SUB</t>
        </is>
      </c>
      <c r="D199" s="20" t="inlineStr">
        <is>
          <t>Sub-account</t>
        </is>
      </c>
      <c r="E199" s="20" t="n"/>
    </row>
    <row r="200">
      <c r="A200" s="43" t="n"/>
      <c r="B200" s="20" t="n"/>
      <c r="C200" s="58" t="inlineStr">
        <is>
          <t>MICRO</t>
        </is>
      </c>
      <c r="D200" s="20" t="inlineStr">
        <is>
          <t>Micro account</t>
        </is>
      </c>
      <c r="E200" s="20" t="n"/>
    </row>
    <row r="201" ht="28" customHeight="1">
      <c r="A201" s="59" t="inlineStr">
        <is>
          <t>Negative balance (NEGATIVE_BALANCE)</t>
        </is>
      </c>
      <c r="B201" s="14" t="inlineStr">
        <is>
          <t>D0-06 Chart of accounts: Negative Balance</t>
        </is>
      </c>
      <c r="C201" s="60" t="inlineStr">
        <is>
          <t>ALLOW</t>
        </is>
      </c>
      <c r="D201" s="14" t="inlineStr">
        <is>
          <t>Allowed</t>
        </is>
      </c>
      <c r="E201" s="14" t="n"/>
    </row>
    <row r="202">
      <c r="A202" s="59" t="n"/>
      <c r="B202" s="14" t="n"/>
      <c r="C202" s="60" t="inlineStr">
        <is>
          <t>WARN</t>
        </is>
      </c>
      <c r="D202" s="14" t="inlineStr">
        <is>
          <t>Allowed with a warning</t>
        </is>
      </c>
      <c r="E202" s="14" t="n"/>
    </row>
    <row r="203">
      <c r="A203" s="59" t="n"/>
      <c r="B203" s="14" t="n"/>
      <c r="C203" s="60" t="inlineStr">
        <is>
          <t>BLOCK</t>
        </is>
      </c>
      <c r="D203" s="14" t="inlineStr">
        <is>
          <t>Refused</t>
        </is>
      </c>
      <c r="E203" s="14" t="n"/>
    </row>
    <row r="204" ht="28" customHeight="1">
      <c r="A204" s="43" t="inlineStr">
        <is>
          <t>Category or numbering row (CATEGORY_ROW)</t>
        </is>
      </c>
      <c r="B204" s="20" t="inlineStr">
        <is>
          <t>D0-07 Categories and numbering: Row</t>
        </is>
      </c>
      <c r="C204" s="58" t="inlineStr">
        <is>
          <t>CATEGORY</t>
        </is>
      </c>
      <c r="D204" s="20" t="inlineStr">
        <is>
          <t>GL category</t>
        </is>
      </c>
      <c r="E204" s="20" t="n"/>
    </row>
    <row r="205">
      <c r="A205" s="43" t="n"/>
      <c r="B205" s="20" t="n"/>
      <c r="C205" s="58" t="inlineStr">
        <is>
          <t>NUMBERING</t>
        </is>
      </c>
      <c r="D205" s="20" t="inlineStr">
        <is>
          <t>Numbering scheme under a parent account</t>
        </is>
      </c>
      <c r="E205" s="20" t="n"/>
    </row>
    <row r="206">
      <c r="A206" s="59" t="inlineStr">
        <is>
          <t>Accounting event (ACCOUNTING_EVENT)</t>
        </is>
      </c>
      <c r="B206" s="14" t="inlineStr">
        <is>
          <t>D0-08 Accounting rules: Event type</t>
        </is>
      </c>
      <c r="C206" s="60" t="inlineStr">
        <is>
          <t>CLAIM_RECOVERY</t>
        </is>
      </c>
      <c r="D206" s="14" t="inlineStr">
        <is>
          <t>Salvage / subrogation recovery</t>
        </is>
      </c>
      <c r="E206" s="14" t="n"/>
    </row>
    <row r="207">
      <c r="A207" s="59" t="n"/>
      <c r="B207" s="14" t="n"/>
      <c r="C207" s="60" t="inlineStr">
        <is>
          <t>CLAIM_RESERVE</t>
        </is>
      </c>
      <c r="D207" s="14" t="inlineStr">
        <is>
          <t>Claim reserve change</t>
        </is>
      </c>
      <c r="E207" s="14" t="n"/>
    </row>
    <row r="208">
      <c r="A208" s="59" t="n"/>
      <c r="B208" s="14" t="n"/>
      <c r="C208" s="60" t="inlineStr">
        <is>
          <t>CLAIM_SETTLEMENT</t>
        </is>
      </c>
      <c r="D208" s="14" t="inlineStr">
        <is>
          <t>Claim settlement approved</t>
        </is>
      </c>
      <c r="E208" s="14" t="n"/>
    </row>
    <row r="209">
      <c r="A209" s="59" t="n"/>
      <c r="B209" s="14" t="n"/>
      <c r="C209" s="60" t="inlineStr">
        <is>
          <t>CLAIM_COINSURANCE</t>
        </is>
      </c>
      <c r="D209" s="14" t="inlineStr">
        <is>
          <t>Coinsurer share of a claim</t>
        </is>
      </c>
      <c r="E209" s="14" t="n"/>
    </row>
    <row r="210">
      <c r="A210" s="59" t="n"/>
      <c r="B210" s="14" t="n"/>
      <c r="C210" s="60" t="inlineStr">
        <is>
          <t>COINSURANCE_SHARE</t>
        </is>
      </c>
      <c r="D210" s="14" t="inlineStr">
        <is>
          <t>Coinsurer share of premium</t>
        </is>
      </c>
      <c r="E210" s="14" t="n"/>
    </row>
    <row r="211">
      <c r="A211" s="59" t="n"/>
      <c r="B211" s="14" t="n"/>
      <c r="C211" s="60" t="inlineStr">
        <is>
          <t>COMMISSION_ACCRUAL</t>
        </is>
      </c>
      <c r="D211" s="14" t="inlineStr">
        <is>
          <t>Commission accrued</t>
        </is>
      </c>
      <c r="E211" s="14" t="n"/>
    </row>
    <row r="212">
      <c r="A212" s="59" t="n"/>
      <c r="B212" s="14" t="n"/>
      <c r="C212" s="60" t="inlineStr">
        <is>
          <t>OPS_ADJ_COMMISSION</t>
        </is>
      </c>
      <c r="D212" s="14" t="inlineStr">
        <is>
          <t>Commission adjustment without premium change</t>
        </is>
      </c>
      <c r="E212" s="14" t="n"/>
    </row>
    <row r="213">
      <c r="A213" s="59" t="n"/>
      <c r="B213" s="14" t="n"/>
      <c r="C213" s="60" t="inlineStr">
        <is>
          <t>OPS_INCENTIVE_ACCRUE</t>
        </is>
      </c>
      <c r="D213" s="14" t="inlineStr">
        <is>
          <t>Incentive earned from insurer</t>
        </is>
      </c>
      <c r="E213" s="14" t="n"/>
    </row>
    <row r="214">
      <c r="A214" s="59" t="n"/>
      <c r="B214" s="14" t="n"/>
      <c r="C214" s="60" t="inlineStr">
        <is>
          <t>OPS_INCENTIVE_PASS_ON</t>
        </is>
      </c>
      <c r="D214" s="14" t="inlineStr">
        <is>
          <t>Incentive pass-on to branches</t>
        </is>
      </c>
      <c r="E214" s="14" t="n"/>
    </row>
    <row r="215">
      <c r="A215" s="59" t="n"/>
      <c r="B215" s="14" t="n"/>
      <c r="C215" s="60" t="inlineStr">
        <is>
          <t>OPS_REMIT_CPC2</t>
        </is>
      </c>
      <c r="D215" s="14" t="inlineStr">
        <is>
          <t>CPC2 incentive per remittance batch</t>
        </is>
      </c>
      <c r="E215" s="14" t="n"/>
    </row>
    <row r="216">
      <c r="A216" s="59" t="n"/>
      <c r="B216" s="14" t="n"/>
      <c r="C216" s="60" t="inlineStr">
        <is>
          <t>OPS_REMIT_INCENTIVE</t>
        </is>
      </c>
      <c r="D216" s="14" t="inlineStr">
        <is>
          <t>Early remittance incentive</t>
        </is>
      </c>
      <c r="E216" s="14" t="n"/>
    </row>
    <row r="217">
      <c r="A217" s="59" t="n"/>
      <c r="B217" s="14" t="n"/>
      <c r="C217" s="60" t="inlineStr">
        <is>
          <t>ASSET_ACQUISITION</t>
        </is>
      </c>
      <c r="D217" s="14" t="inlineStr">
        <is>
          <t>Fixed asset capitalized</t>
        </is>
      </c>
      <c r="E217" s="14" t="n"/>
    </row>
    <row r="218">
      <c r="A218" s="59" t="n"/>
      <c r="B218" s="14" t="n"/>
      <c r="C218" s="60" t="inlineStr">
        <is>
          <t>CLAIM_PAYMENT</t>
        </is>
      </c>
      <c r="D218" s="14" t="inlineStr">
        <is>
          <t>Claim payment</t>
        </is>
      </c>
      <c r="E218" s="14" t="n"/>
    </row>
    <row r="219">
      <c r="A219" s="59" t="n"/>
      <c r="B219" s="14" t="n"/>
      <c r="C219" s="60" t="inlineStr">
        <is>
          <t>COMMISSION_PAYMENT</t>
        </is>
      </c>
      <c r="D219" s="14" t="inlineStr">
        <is>
          <t>Commission payment</t>
        </is>
      </c>
      <c r="E219" s="14" t="n"/>
    </row>
    <row r="220">
      <c r="A220" s="59" t="n"/>
      <c r="B220" s="14" t="n"/>
      <c r="C220" s="60" t="inlineStr">
        <is>
          <t>DISB_CHECK_NEGOTIATED</t>
        </is>
      </c>
      <c r="D220" s="14" t="inlineStr">
        <is>
          <t>Check negotiated</t>
        </is>
      </c>
      <c r="E220" s="14" t="n"/>
    </row>
    <row r="221">
      <c r="A221" s="59" t="n"/>
      <c r="B221" s="14" t="n"/>
      <c r="C221" s="60" t="inlineStr">
        <is>
          <t>DISB_CHECK_STALE</t>
        </is>
      </c>
      <c r="D221" s="14" t="inlineStr">
        <is>
          <t>Check staled</t>
        </is>
      </c>
      <c r="E221" s="14" t="n"/>
    </row>
    <row r="222">
      <c r="A222" s="59" t="n"/>
      <c r="B222" s="14" t="n"/>
      <c r="C222" s="60" t="inlineStr">
        <is>
          <t>DISB_VOUCHER</t>
        </is>
      </c>
      <c r="D222" s="14" t="inlineStr">
        <is>
          <t>Disbursement voucher approved</t>
        </is>
      </c>
      <c r="E222" s="14" t="n"/>
    </row>
    <row r="223">
      <c r="A223" s="59" t="n"/>
      <c r="B223" s="14" t="n"/>
      <c r="C223" s="60" t="inlineStr">
        <is>
          <t>FRBS_SERVICE_FEE_ACCRUE</t>
        </is>
      </c>
      <c r="D223" s="14" t="inlineStr">
        <is>
          <t>Service fee accrual</t>
        </is>
      </c>
      <c r="E223" s="14" t="n"/>
    </row>
    <row r="224">
      <c r="A224" s="59" t="n"/>
      <c r="B224" s="14" t="n"/>
      <c r="C224" s="60" t="inlineStr">
        <is>
          <t>MISC_PAYMENT</t>
        </is>
      </c>
      <c r="D224" s="14" t="inlineStr">
        <is>
          <t>Miscellaneous payment</t>
        </is>
      </c>
      <c r="E224" s="14" t="n"/>
    </row>
    <row r="225">
      <c r="A225" s="59" t="n"/>
      <c r="B225" s="14" t="n"/>
      <c r="C225" s="60" t="inlineStr">
        <is>
          <t>OPS_REMITTANCE</t>
        </is>
      </c>
      <c r="D225" s="14" t="inlineStr">
        <is>
          <t>Remittance to insurer</t>
        </is>
      </c>
      <c r="E225" s="14" t="n"/>
    </row>
    <row r="226">
      <c r="A226" s="59" t="n"/>
      <c r="B226" s="14" t="n"/>
      <c r="C226" s="60" t="inlineStr">
        <is>
          <t>OPS_REMIT_DEDUCTION</t>
        </is>
      </c>
      <c r="D226" s="14" t="inlineStr">
        <is>
          <t>Remittance deduction on insurer confirmation</t>
        </is>
      </c>
      <c r="E226" s="14" t="n"/>
    </row>
    <row r="227">
      <c r="A227" s="59" t="n"/>
      <c r="B227" s="14" t="n"/>
      <c r="C227" s="60" t="inlineStr">
        <is>
          <t>PDC_ISSUED_PRESENTED</t>
        </is>
      </c>
      <c r="D227" s="14" t="inlineStr">
        <is>
          <t>Issued PDC presented</t>
        </is>
      </c>
      <c r="E227" s="14" t="n"/>
    </row>
    <row r="228">
      <c r="A228" s="59" t="n"/>
      <c r="B228" s="14" t="n"/>
      <c r="C228" s="60" t="inlineStr">
        <is>
          <t>PETTY_CASH_EXPENSE</t>
        </is>
      </c>
      <c r="D228" s="14" t="inlineStr">
        <is>
          <t>Petty cash disbursement</t>
        </is>
      </c>
      <c r="E228" s="14" t="n"/>
    </row>
    <row r="229">
      <c r="A229" s="59" t="n"/>
      <c r="B229" s="14" t="n"/>
      <c r="C229" s="60" t="inlineStr">
        <is>
          <t>PETTY_CASH_REPLENISHMENT</t>
        </is>
      </c>
      <c r="D229" s="14" t="inlineStr">
        <is>
          <t>Petty cash reimbursement</t>
        </is>
      </c>
      <c r="E229" s="14" t="n"/>
    </row>
    <row r="230">
      <c r="A230" s="59" t="n"/>
      <c r="B230" s="14" t="n"/>
      <c r="C230" s="60" t="inlineStr">
        <is>
          <t>PREMIUM_REFUND_PAYMENT</t>
        </is>
      </c>
      <c r="D230" s="14" t="inlineStr">
        <is>
          <t>Premium refund payment</t>
        </is>
      </c>
      <c r="E230" s="14" t="n"/>
    </row>
    <row r="231">
      <c r="A231" s="59" t="n"/>
      <c r="B231" s="14" t="n"/>
      <c r="C231" s="60" t="inlineStr">
        <is>
          <t>PRQ_CA_LIQUIDATION</t>
        </is>
      </c>
      <c r="D231" s="14" t="inlineStr">
        <is>
          <t>Cash advance liquidation</t>
        </is>
      </c>
      <c r="E231" s="14" t="n"/>
    </row>
    <row r="232">
      <c r="A232" s="59" t="n"/>
      <c r="B232" s="14" t="n"/>
      <c r="C232" s="60" t="inlineStr">
        <is>
          <t>RI_SETTLEMENT_PAYMENT</t>
        </is>
      </c>
      <c r="D232" s="14" t="inlineStr">
        <is>
          <t>Payment to reinsurer</t>
        </is>
      </c>
      <c r="E232" s="14" t="n"/>
    </row>
    <row r="233">
      <c r="A233" s="59" t="n"/>
      <c r="B233" s="14" t="n"/>
      <c r="C233" s="60" t="inlineStr">
        <is>
          <t>SUPPLIER_INVOICE</t>
        </is>
      </c>
      <c r="D233" s="14" t="inlineStr">
        <is>
          <t>Supplier invoice</t>
        </is>
      </c>
      <c r="E233" s="14" t="n"/>
    </row>
    <row r="234">
      <c r="A234" s="59" t="n"/>
      <c r="B234" s="14" t="n"/>
      <c r="C234" s="60" t="inlineStr">
        <is>
          <t>SUPPLIER_PAYMENT</t>
        </is>
      </c>
      <c r="D234" s="14" t="inlineStr">
        <is>
          <t>Supplier payment</t>
        </is>
      </c>
      <c r="E234" s="14" t="n"/>
    </row>
    <row r="235">
      <c r="A235" s="59" t="n"/>
      <c r="B235" s="14" t="n"/>
      <c r="C235" s="60" t="inlineStr">
        <is>
          <t>TAX_REMITTANCE</t>
        </is>
      </c>
      <c r="D235" s="14" t="inlineStr">
        <is>
          <t>Tax remittance</t>
        </is>
      </c>
      <c r="E235" s="14" t="n"/>
    </row>
    <row r="236">
      <c r="A236" s="59" t="n"/>
      <c r="B236" s="14" t="n"/>
      <c r="C236" s="60" t="inlineStr">
        <is>
          <t>POLICY_CANCELLATION</t>
        </is>
      </c>
      <c r="D236" s="14" t="inlineStr">
        <is>
          <t>Policy cancellation</t>
        </is>
      </c>
      <c r="E236" s="14" t="n"/>
    </row>
    <row r="237">
      <c r="A237" s="59" t="n"/>
      <c r="B237" s="14" t="n"/>
      <c r="C237" s="60" t="inlineStr">
        <is>
          <t>POLICY_ENDORSEMENT</t>
        </is>
      </c>
      <c r="D237" s="14" t="inlineStr">
        <is>
          <t>Policy endorsement</t>
        </is>
      </c>
      <c r="E237" s="14" t="n"/>
    </row>
    <row r="238">
      <c r="A238" s="59" t="n"/>
      <c r="B238" s="14" t="n"/>
      <c r="C238" s="60" t="inlineStr">
        <is>
          <t>POLICY_ISSUE</t>
        </is>
      </c>
      <c r="D238" s="14" t="inlineStr">
        <is>
          <t>Policy issued / renewed</t>
        </is>
      </c>
      <c r="E238" s="14" t="n"/>
    </row>
    <row r="239">
      <c r="A239" s="59" t="n"/>
      <c r="B239" s="14" t="n"/>
      <c r="C239" s="60" t="inlineStr">
        <is>
          <t>BROKER_BOOKING</t>
        </is>
      </c>
      <c r="D239" s="14" t="inlineStr">
        <is>
          <t>Broker booking</t>
        </is>
      </c>
      <c r="E239" s="14" t="n"/>
    </row>
    <row r="240">
      <c r="A240" s="59" t="n"/>
      <c r="B240" s="14" t="n"/>
      <c r="C240" s="60" t="inlineStr">
        <is>
          <t>MIG_LEGACY_INVOICE_OPENING</t>
        </is>
      </c>
      <c r="D240" s="14" t="inlineStr">
        <is>
          <t>Legacy invoice opening</t>
        </is>
      </c>
      <c r="E240" s="14" t="n"/>
    </row>
    <row r="241">
      <c r="A241" s="59" t="n"/>
      <c r="B241" s="14" t="n"/>
      <c r="C241" s="60" t="inlineStr">
        <is>
          <t>MIG_LEGACY_POSITION_TRUEUP</t>
        </is>
      </c>
      <c r="D241" s="14" t="inlineStr">
        <is>
          <t>Legacy open-item adjustment</t>
        </is>
      </c>
      <c r="E241" s="14" t="n"/>
    </row>
    <row r="242">
      <c r="A242" s="59" t="n"/>
      <c r="B242" s="14" t="n"/>
      <c r="C242" s="60" t="inlineStr">
        <is>
          <t>OPS_AR_INSURER_SETUP</t>
        </is>
      </c>
      <c r="D242" s="14" t="inlineStr">
        <is>
          <t>AR Insurer set-up after a remitted decrease</t>
        </is>
      </c>
      <c r="E242" s="14" t="n"/>
    </row>
    <row r="243">
      <c r="A243" s="59" t="n"/>
      <c r="B243" s="14" t="n"/>
      <c r="C243" s="60" t="inlineStr">
        <is>
          <t>OPS_WRITE_OFF</t>
        </is>
      </c>
      <c r="D243" s="14" t="inlineStr">
        <is>
          <t>Minimal balance write-off / credit</t>
        </is>
      </c>
      <c r="E243" s="14" t="n"/>
    </row>
    <row r="244">
      <c r="A244" s="59" t="n"/>
      <c r="B244" s="14" t="n"/>
      <c r="C244" s="60" t="inlineStr">
        <is>
          <t>ASSET_DEPRECIATION</t>
        </is>
      </c>
      <c r="D244" s="14" t="inlineStr">
        <is>
          <t>Monthly depreciation</t>
        </is>
      </c>
      <c r="E244" s="14" t="n"/>
    </row>
    <row r="245">
      <c r="A245" s="59" t="n"/>
      <c r="B245" s="14" t="n"/>
      <c r="C245" s="60" t="inlineStr">
        <is>
          <t>ASSET_TAKE_ON</t>
        </is>
      </c>
      <c r="D245" s="14" t="inlineStr">
        <is>
          <t>Fixed asset opening balance</t>
        </is>
      </c>
      <c r="E245" s="14" t="n"/>
    </row>
    <row r="246">
      <c r="A246" s="59" t="n"/>
      <c r="B246" s="14" t="n"/>
      <c r="C246" s="60" t="inlineStr">
        <is>
          <t>ASSET_TRANSFER</t>
        </is>
      </c>
      <c r="D246" s="14" t="inlineStr">
        <is>
          <t>Inter-branch asset transfer</t>
        </is>
      </c>
      <c r="E246" s="14" t="n"/>
    </row>
    <row r="247">
      <c r="A247" s="59" t="n"/>
      <c r="B247" s="14" t="n"/>
      <c r="C247" s="60" t="inlineStr">
        <is>
          <t>CLAIM_MARGIN_PROVISION</t>
        </is>
      </c>
      <c r="D247" s="14" t="inlineStr">
        <is>
          <t>ULAE and risk margin provision</t>
        </is>
      </c>
      <c r="E247" s="14" t="n"/>
    </row>
    <row r="248">
      <c r="A248" s="59" t="n"/>
      <c r="B248" s="14" t="n"/>
      <c r="C248" s="60" t="inlineStr">
        <is>
          <t>DAC_PROVISION</t>
        </is>
      </c>
      <c r="D248" s="14" t="inlineStr">
        <is>
          <t>Deferred acquisition cost</t>
        </is>
      </c>
      <c r="E248" s="14" t="n"/>
    </row>
    <row r="249">
      <c r="A249" s="59" t="n"/>
      <c r="B249" s="14" t="n"/>
      <c r="C249" s="60" t="inlineStr">
        <is>
          <t>IBNR_PROVISION</t>
        </is>
      </c>
      <c r="D249" s="14" t="inlineStr">
        <is>
          <t>IBNR reserve</t>
        </is>
      </c>
      <c r="E249" s="14" t="n"/>
    </row>
    <row r="250">
      <c r="A250" s="59" t="n"/>
      <c r="B250" s="14" t="n"/>
      <c r="C250" s="60" t="inlineStr">
        <is>
          <t>PREMIUM_DEFICIENCY_PROVISION</t>
        </is>
      </c>
      <c r="D250" s="14" t="inlineStr">
        <is>
          <t>Premium deficiency reserve</t>
        </is>
      </c>
      <c r="E250" s="14" t="n"/>
    </row>
    <row r="251">
      <c r="A251" s="59" t="n"/>
      <c r="B251" s="14" t="n"/>
      <c r="C251" s="60" t="inlineStr">
        <is>
          <t>TAKAFUL_SURPLUS</t>
        </is>
      </c>
      <c r="D251" s="14" t="inlineStr">
        <is>
          <t>Surplus / Mudharabah distribution</t>
        </is>
      </c>
      <c r="E251" s="14" t="n"/>
    </row>
    <row r="252">
      <c r="A252" s="59" t="n"/>
      <c r="B252" s="14" t="n"/>
      <c r="C252" s="60" t="inlineStr">
        <is>
          <t>UPR_PROVISION</t>
        </is>
      </c>
      <c r="D252" s="14" t="inlineStr">
        <is>
          <t>Unearned premium reserve</t>
        </is>
      </c>
      <c r="E252" s="14" t="n"/>
    </row>
    <row r="253">
      <c r="A253" s="59" t="n"/>
      <c r="B253" s="14" t="n"/>
      <c r="C253" s="60" t="inlineStr">
        <is>
          <t>ASSET_DISPOSAL</t>
        </is>
      </c>
      <c r="D253" s="14" t="inlineStr">
        <is>
          <t>Fixed asset disposal</t>
        </is>
      </c>
      <c r="E253" s="14" t="n"/>
    </row>
    <row r="254">
      <c r="A254" s="59" t="n"/>
      <c r="B254" s="14" t="n"/>
      <c r="C254" s="60" t="inlineStr">
        <is>
          <t>MIG_UPP_OPENING</t>
        </is>
      </c>
      <c r="D254" s="14" t="inlineStr">
        <is>
          <t>Legacy unapplied payment opening</t>
        </is>
      </c>
      <c r="E254" s="14" t="n"/>
    </row>
    <row r="255">
      <c r="A255" s="59" t="n"/>
      <c r="B255" s="14" t="n"/>
      <c r="C255" s="60" t="inlineStr">
        <is>
          <t>MISC_RECEIPT</t>
        </is>
      </c>
      <c r="D255" s="14" t="inlineStr">
        <is>
          <t>Miscellaneous receipt</t>
        </is>
      </c>
      <c r="E255" s="14" t="n"/>
    </row>
    <row r="256">
      <c r="A256" s="59" t="n"/>
      <c r="B256" s="14" t="n"/>
      <c r="C256" s="60" t="inlineStr">
        <is>
          <t>OPS_AP_UNAPPLIED_COMMISSION</t>
        </is>
      </c>
      <c r="D256" s="14" t="inlineStr">
        <is>
          <t>Reinstated OR payment to AP Unapplied Commission</t>
        </is>
      </c>
      <c r="E256" s="14" t="n"/>
    </row>
    <row r="257">
      <c r="A257" s="59" t="n"/>
      <c r="B257" s="14" t="n"/>
      <c r="C257" s="60" t="inlineStr">
        <is>
          <t>OPS_AR_INSURANCE_RECEIPT</t>
        </is>
      </c>
      <c r="D257" s="14" t="inlineStr">
        <is>
          <t>Insurer non-premium receipt</t>
        </is>
      </c>
      <c r="E257" s="14" t="n"/>
    </row>
    <row r="258">
      <c r="A258" s="59" t="n"/>
      <c r="B258" s="14" t="n"/>
      <c r="C258" s="60" t="inlineStr">
        <is>
          <t>OPS_AR_INSURER_REFUND</t>
        </is>
      </c>
      <c r="D258" s="14" t="inlineStr">
        <is>
          <t>Reversed payment to AR Insurer Refund</t>
        </is>
      </c>
      <c r="E258" s="14" t="n"/>
    </row>
    <row r="259">
      <c r="A259" s="59" t="n"/>
      <c r="B259" s="14" t="n"/>
      <c r="C259" s="60" t="inlineStr">
        <is>
          <t>OPS_AR_RECEIPT</t>
        </is>
      </c>
      <c r="D259" s="14" t="inlineStr">
        <is>
          <t>Acknowledgement receipt (premium)</t>
        </is>
      </c>
      <c r="E259" s="14" t="n"/>
    </row>
    <row r="260">
      <c r="A260" s="59" t="n"/>
      <c r="B260" s="14" t="n"/>
      <c r="C260" s="60" t="inlineStr">
        <is>
          <t>OPS_COMMISSION_PAYMENT_HELD</t>
        </is>
      </c>
      <c r="D260" s="14" t="inlineStr">
        <is>
          <t>Cancelled OR payment kept for Commission Receivable</t>
        </is>
      </c>
      <c r="E260" s="14" t="n"/>
    </row>
    <row r="261">
      <c r="A261" s="59" t="n"/>
      <c r="B261" s="14" t="n"/>
      <c r="C261" s="60" t="inlineStr">
        <is>
          <t>OPS_CWT_DTIP_OFFSET</t>
        </is>
      </c>
      <c r="D261" s="14" t="inlineStr">
        <is>
          <t>2307 certificate offset against DTIP</t>
        </is>
      </c>
      <c r="E261" s="14" t="n"/>
    </row>
    <row r="262">
      <c r="A262" s="59" t="n"/>
      <c r="B262" s="14" t="n"/>
      <c r="C262" s="60" t="inlineStr">
        <is>
          <t>OPS_CWT_RECLASS</t>
        </is>
      </c>
      <c r="D262" s="14" t="inlineStr">
        <is>
          <t>PR reclassified to the client 2307</t>
        </is>
      </c>
      <c r="E262" s="14" t="n"/>
    </row>
    <row r="263">
      <c r="A263" s="59" t="n"/>
      <c r="B263" s="14" t="n"/>
      <c r="C263" s="60" t="inlineStr">
        <is>
          <t>OPS_DP_COMMISSION_COLLECT</t>
        </is>
      </c>
      <c r="D263" s="14" t="inlineStr">
        <is>
          <t>Direct payment commission collected</t>
        </is>
      </c>
      <c r="E263" s="14" t="n"/>
    </row>
    <row r="264">
      <c r="A264" s="59" t="n"/>
      <c r="B264" s="14" t="n"/>
      <c r="C264" s="60" t="inlineStr">
        <is>
          <t>OPS_DP_PR_REVERSAL</t>
        </is>
      </c>
      <c r="D264" s="14" t="inlineStr">
        <is>
          <t>Direct payment PR reversal</t>
        </is>
      </c>
      <c r="E264" s="14" t="n"/>
    </row>
    <row r="265">
      <c r="A265" s="59" t="n"/>
      <c r="B265" s="14" t="n"/>
      <c r="C265" s="60" t="inlineStr">
        <is>
          <t>OPS_DP_REINSTATE</t>
        </is>
      </c>
      <c r="D265" s="14" t="inlineStr">
        <is>
          <t>Direct payment reinstatement</t>
        </is>
      </c>
      <c r="E265" s="14" t="n"/>
    </row>
    <row r="266">
      <c r="A266" s="59" t="n"/>
      <c r="B266" s="14" t="n"/>
      <c r="C266" s="60" t="inlineStr">
        <is>
          <t>OPS_EXCESS_TO_OVERAGES</t>
        </is>
      </c>
      <c r="D266" s="14" t="inlineStr">
        <is>
          <t>Minimal excess to AP overages</t>
        </is>
      </c>
      <c r="E266" s="14" t="n"/>
    </row>
    <row r="267">
      <c r="A267" s="59" t="n"/>
      <c r="B267" s="14" t="n"/>
      <c r="C267" s="60" t="inlineStr">
        <is>
          <t>OPS_MINIMAL_BALANCE_REVERSAL</t>
        </is>
      </c>
      <c r="D267" s="14" t="inlineStr">
        <is>
          <t>Premium minimal balance reversal</t>
        </is>
      </c>
      <c r="E267" s="14" t="n"/>
    </row>
    <row r="268">
      <c r="A268" s="59" t="n"/>
      <c r="B268" s="14" t="n"/>
      <c r="C268" s="60" t="inlineStr">
        <is>
          <t>OPS_OR_ISSUE</t>
        </is>
      </c>
      <c r="D268" s="14" t="inlineStr">
        <is>
          <t>Official receipt issued</t>
        </is>
      </c>
      <c r="E268" s="14" t="n"/>
    </row>
    <row r="269">
      <c r="A269" s="59" t="n"/>
      <c r="B269" s="14" t="n"/>
      <c r="C269" s="60" t="inlineStr">
        <is>
          <t>OPS_PAYMENT_APPLY</t>
        </is>
      </c>
      <c r="D269" s="14" t="inlineStr">
        <is>
          <t>Payment applied to a booked invoice</t>
        </is>
      </c>
      <c r="E269" s="14" t="n"/>
    </row>
    <row r="270">
      <c r="A270" s="59" t="n"/>
      <c r="B270" s="14" t="n"/>
      <c r="C270" s="60" t="inlineStr">
        <is>
          <t>OPS_RECEIPT_REINSTATE</t>
        </is>
      </c>
      <c r="D270" s="14" t="inlineStr">
        <is>
          <t>Receipt reinstated</t>
        </is>
      </c>
      <c r="E270" s="14" t="n"/>
    </row>
    <row r="271">
      <c r="A271" s="59" t="n"/>
      <c r="B271" s="14" t="n"/>
      <c r="C271" s="60" t="inlineStr">
        <is>
          <t>OPS_UNAPPLIED_RECLASS</t>
        </is>
      </c>
      <c r="D271" s="14" t="inlineStr">
        <is>
          <t>Unapplied payment reclassified</t>
        </is>
      </c>
      <c r="E271" s="14" t="n"/>
    </row>
    <row r="272">
      <c r="A272" s="59" t="n"/>
      <c r="B272" s="14" t="n"/>
      <c r="C272" s="60" t="inlineStr">
        <is>
          <t>OPS_UNAPPLIED_REFUND</t>
        </is>
      </c>
      <c r="D272" s="14" t="inlineStr">
        <is>
          <t>Unapplied payment refunded</t>
        </is>
      </c>
      <c r="E272" s="14" t="n"/>
    </row>
    <row r="273">
      <c r="A273" s="59" t="n"/>
      <c r="B273" s="14" t="n"/>
      <c r="C273" s="60" t="inlineStr">
        <is>
          <t>OPS_UNAPPLIED_TO_INCOME</t>
        </is>
      </c>
      <c r="D273" s="14" t="inlineStr">
        <is>
          <t>Unapplied payment reclassified to other income</t>
        </is>
      </c>
      <c r="E273" s="14" t="n"/>
    </row>
    <row r="274">
      <c r="A274" s="59" t="n"/>
      <c r="B274" s="14" t="n"/>
      <c r="C274" s="60" t="inlineStr">
        <is>
          <t>PREMIUM_DEPOSIT</t>
        </is>
      </c>
      <c r="D274" s="14" t="inlineStr">
        <is>
          <t>Unapplied collection</t>
        </is>
      </c>
      <c r="E274" s="14" t="n"/>
    </row>
    <row r="275">
      <c r="A275" s="59" t="n"/>
      <c r="B275" s="14" t="n"/>
      <c r="C275" s="60" t="inlineStr">
        <is>
          <t>PREMIUM_RECEIPT</t>
        </is>
      </c>
      <c r="D275" s="14" t="inlineStr">
        <is>
          <t>Premium collection</t>
        </is>
      </c>
      <c r="E275" s="14" t="n"/>
    </row>
    <row r="276">
      <c r="A276" s="59" t="n"/>
      <c r="B276" s="14" t="n"/>
      <c r="C276" s="60" t="inlineStr">
        <is>
          <t>RI_SETTLEMENT_RECEIPT</t>
        </is>
      </c>
      <c r="D276" s="14" t="inlineStr">
        <is>
          <t>Receipt from reinsurer</t>
        </is>
      </c>
      <c r="E276" s="14" t="n"/>
    </row>
    <row r="277">
      <c r="A277" s="59" t="n"/>
      <c r="B277" s="14" t="n"/>
      <c r="C277" s="60" t="inlineStr">
        <is>
          <t>SBM_HANDLING_FEE</t>
        </is>
      </c>
      <c r="D277" s="14" t="inlineStr">
        <is>
          <t>Handling fee recognised</t>
        </is>
      </c>
      <c r="E277" s="14" t="n"/>
    </row>
    <row r="278">
      <c r="A278" s="59" t="n"/>
      <c r="B278" s="14" t="n"/>
      <c r="C278" s="60" t="inlineStr">
        <is>
          <t>SBM_NO_TOUCH_FEE</t>
        </is>
      </c>
      <c r="D278" s="14" t="inlineStr">
        <is>
          <t>No Touch service fee billed</t>
        </is>
      </c>
      <c r="E278" s="14" t="n"/>
    </row>
    <row r="279">
      <c r="A279" s="59" t="n"/>
      <c r="B279" s="14" t="n"/>
      <c r="C279" s="60" t="inlineStr">
        <is>
          <t>TAX_CWT_CERT_RECEIVED</t>
        </is>
      </c>
      <c r="D279" s="14" t="inlineStr">
        <is>
          <t>Insurer 2307 certificate received</t>
        </is>
      </c>
      <c r="E279" s="14" t="n"/>
    </row>
    <row r="280">
      <c r="A280" s="59" t="n"/>
      <c r="B280" s="14" t="n"/>
      <c r="C280" s="60" t="inlineStr">
        <is>
          <t>UNAPPLIED_APPLICATION</t>
        </is>
      </c>
      <c r="D280" s="14" t="inlineStr">
        <is>
          <t>Application of unapplied collection</t>
        </is>
      </c>
      <c r="E280" s="14" t="n"/>
    </row>
    <row r="281">
      <c r="A281" s="59" t="n"/>
      <c r="B281" s="14" t="n"/>
      <c r="C281" s="60" t="inlineStr">
        <is>
          <t>RI_BALANCE_OFFSET</t>
        </is>
      </c>
      <c r="D281" s="14" t="inlineStr">
        <is>
          <t>Reinsurer balance offset</t>
        </is>
      </c>
      <c r="E281" s="14" t="n"/>
    </row>
    <row r="282">
      <c r="A282" s="59" t="n"/>
      <c r="B282" s="14" t="n"/>
      <c r="C282" s="60" t="inlineStr">
        <is>
          <t>RI_CLAIM_RECOVERY</t>
        </is>
      </c>
      <c r="D282" s="14" t="inlineStr">
        <is>
          <t>Reinsurance claim recovery</t>
        </is>
      </c>
      <c r="E282" s="14" t="n"/>
    </row>
    <row r="283">
      <c r="A283" s="59" t="n"/>
      <c r="B283" s="14" t="n"/>
      <c r="C283" s="60" t="inlineStr">
        <is>
          <t>RI_PREMIUM_CEDED</t>
        </is>
      </c>
      <c r="D283" s="14" t="inlineStr">
        <is>
          <t>Reinsurance premium ceded</t>
        </is>
      </c>
      <c r="E283" s="14" t="n"/>
    </row>
    <row r="284">
      <c r="A284" s="59" t="n"/>
      <c r="B284" s="14" t="n"/>
      <c r="C284" s="60" t="inlineStr">
        <is>
          <t>RI_RESERVE_SHARE</t>
        </is>
      </c>
      <c r="D284" s="14" t="inlineStr">
        <is>
          <t>Reinsurers share of claim reserve</t>
        </is>
      </c>
      <c r="E284" s="14" t="n"/>
    </row>
    <row r="285">
      <c r="A285" s="59" t="n"/>
      <c r="B285" s="14" t="n"/>
      <c r="C285" s="60" t="inlineStr">
        <is>
          <t>RI_SOA_ADJUSTMENT</t>
        </is>
      </c>
      <c r="D285" s="14" t="inlineStr">
        <is>
          <t>Reinsurance statement adjustments</t>
        </is>
      </c>
      <c r="E285" s="14" t="n"/>
    </row>
    <row r="286">
      <c r="A286" s="59" t="n"/>
      <c r="B286" s="14" t="n"/>
      <c r="C286" s="60" t="inlineStr">
        <is>
          <t>BANK_TRANSFER</t>
        </is>
      </c>
      <c r="D286" s="14" t="inlineStr">
        <is>
          <t>Bank transfer</t>
        </is>
      </c>
      <c r="E286" s="14" t="n"/>
    </row>
    <row r="287">
      <c r="A287" s="59" t="n"/>
      <c r="B287" s="14" t="n"/>
      <c r="C287" s="60" t="inlineStr">
        <is>
          <t>DISB_FUND_TRANSFER</t>
        </is>
      </c>
      <c r="D287" s="14" t="inlineStr">
        <is>
          <t>Account funding transfer</t>
        </is>
      </c>
      <c r="E287" s="14" t="n"/>
    </row>
    <row r="288">
      <c r="A288" s="59" t="n"/>
      <c r="B288" s="14" t="n"/>
      <c r="C288" s="60" t="inlineStr">
        <is>
          <t>INVESTMENT_AMORTIZATION</t>
        </is>
      </c>
      <c r="D288" s="14" t="inlineStr">
        <is>
          <t>Premium / discount amortization</t>
        </is>
      </c>
      <c r="E288" s="14" t="n"/>
    </row>
    <row r="289">
      <c r="A289" s="59" t="n"/>
      <c r="B289" s="14" t="n"/>
      <c r="C289" s="60" t="inlineStr">
        <is>
          <t>INVESTMENT_FAIR_VALUE</t>
        </is>
      </c>
      <c r="D289" s="14" t="inlineStr">
        <is>
          <t>Investment fair value change</t>
        </is>
      </c>
      <c r="E289" s="14" t="n"/>
    </row>
    <row r="290">
      <c r="A290" s="59" t="n"/>
      <c r="B290" s="14" t="n"/>
      <c r="C290" s="60" t="inlineStr">
        <is>
          <t>INVESTMENT_INTEREST_ACCRUAL</t>
        </is>
      </c>
      <c r="D290" s="14" t="inlineStr">
        <is>
          <t>Investment interest accrual</t>
        </is>
      </c>
      <c r="E290" s="14" t="n"/>
    </row>
    <row r="291">
      <c r="A291" s="59" t="n"/>
      <c r="B291" s="14" t="n"/>
      <c r="C291" s="60" t="inlineStr">
        <is>
          <t>INVESTMENT_INTEREST_RECEIPT</t>
        </is>
      </c>
      <c r="D291" s="14" t="inlineStr">
        <is>
          <t>Coupon / interest received</t>
        </is>
      </c>
      <c r="E291" s="14" t="n"/>
    </row>
    <row r="292">
      <c r="A292" s="59" t="n"/>
      <c r="B292" s="14" t="n"/>
      <c r="C292" s="60" t="inlineStr">
        <is>
          <t>INVESTMENT_MATURITY</t>
        </is>
      </c>
      <c r="D292" s="14" t="inlineStr">
        <is>
          <t>Investment maturity</t>
        </is>
      </c>
      <c r="E292" s="14" t="n"/>
    </row>
    <row r="293">
      <c r="A293" s="59" t="n"/>
      <c r="B293" s="14" t="n"/>
      <c r="C293" s="60" t="inlineStr">
        <is>
          <t>INVESTMENT_PURCHASE</t>
        </is>
      </c>
      <c r="D293" s="14" t="inlineStr">
        <is>
          <t>Investment purchase</t>
        </is>
      </c>
      <c r="E293" s="14" t="n"/>
    </row>
    <row r="294">
      <c r="A294" s="59" t="n"/>
      <c r="B294" s="14" t="n"/>
      <c r="C294" s="60" t="inlineStr">
        <is>
          <t>INVESTMENT_SALE</t>
        </is>
      </c>
      <c r="D294" s="14" t="inlineStr">
        <is>
          <t>Investment sale</t>
        </is>
      </c>
      <c r="E294" s="14" t="n"/>
    </row>
    <row r="295">
      <c r="A295" s="59" t="n"/>
      <c r="B295" s="14" t="n"/>
      <c r="C295" s="60" t="inlineStr">
        <is>
          <t>INVESTMENT_TAKE_ON</t>
        </is>
      </c>
      <c r="D295" s="14" t="inlineStr">
        <is>
          <t>Investment opening balance</t>
        </is>
      </c>
      <c r="E295" s="14" t="n"/>
    </row>
    <row r="296">
      <c r="A296" s="43" t="inlineStr">
        <is>
          <t>Debit or credit (DEBIT_CREDIT)</t>
        </is>
      </c>
      <c r="B296" s="20" t="inlineStr">
        <is>
          <t>D0-08 Accounting rules: Debit or credit</t>
        </is>
      </c>
      <c r="C296" s="58" t="inlineStr">
        <is>
          <t>DEBIT</t>
        </is>
      </c>
      <c r="D296" s="20" t="inlineStr">
        <is>
          <t>Debit</t>
        </is>
      </c>
      <c r="E296" s="20" t="n"/>
    </row>
    <row r="297">
      <c r="A297" s="43" t="n"/>
      <c r="B297" s="20" t="n"/>
      <c r="C297" s="58" t="inlineStr">
        <is>
          <t>CREDIT</t>
        </is>
      </c>
      <c r="D297" s="20" t="inlineStr">
        <is>
          <t>Credit</t>
        </is>
      </c>
      <c r="E297" s="20" t="n"/>
    </row>
    <row r="298" ht="28" customHeight="1">
      <c r="A298" s="59" t="inlineStr">
        <is>
          <t>Legacy control account (LEGACY_ACCOUNT)</t>
        </is>
      </c>
      <c r="B298" s="14" t="inlineStr">
        <is>
          <t>D0-09 Legacy accounts: Legacy account</t>
        </is>
      </c>
      <c r="C298" s="60" t="inlineStr">
        <is>
          <t>Premium Receivable - Legacy</t>
        </is>
      </c>
      <c r="D298" s="14" t="inlineStr">
        <is>
          <t>Per component</t>
        </is>
      </c>
      <c r="E298" s="14" t="n"/>
    </row>
    <row r="299">
      <c r="A299" s="59" t="n"/>
      <c r="B299" s="14" t="n"/>
      <c r="C299" s="60" t="inlineStr">
        <is>
          <t>PR 2307 - Legacy</t>
        </is>
      </c>
      <c r="D299" s="14" t="n"/>
      <c r="E299" s="14" t="n"/>
    </row>
    <row r="300">
      <c r="A300" s="59" t="n"/>
      <c r="B300" s="14" t="n"/>
      <c r="C300" s="60" t="inlineStr">
        <is>
          <t>Due to Insurers - Legacy</t>
        </is>
      </c>
      <c r="D300" s="14" t="n"/>
      <c r="E300" s="14" t="n"/>
    </row>
    <row r="301">
      <c r="A301" s="59" t="n"/>
      <c r="B301" s="14" t="n"/>
      <c r="C301" s="60" t="inlineStr">
        <is>
          <t>Commission Receivable - Legacy</t>
        </is>
      </c>
      <c r="D301" s="14" t="n"/>
      <c r="E301" s="14" t="n"/>
    </row>
    <row r="302">
      <c r="A302" s="59" t="n"/>
      <c r="B302" s="14" t="n"/>
      <c r="C302" s="60" t="inlineStr">
        <is>
          <t>Unrealised Commission - Legacy</t>
        </is>
      </c>
      <c r="D302" s="14" t="n"/>
      <c r="E302" s="14" t="n"/>
    </row>
    <row r="303">
      <c r="A303" s="59" t="n"/>
      <c r="B303" s="14" t="n"/>
      <c r="C303" s="60" t="inlineStr">
        <is>
          <t>Deferred Output VAT - Legacy</t>
        </is>
      </c>
      <c r="D303" s="14" t="n"/>
      <c r="E303" s="14" t="n"/>
    </row>
    <row r="304">
      <c r="A304" s="59" t="n"/>
      <c r="B304" s="14" t="n"/>
      <c r="C304" s="60" t="inlineStr">
        <is>
          <t>Unapplied Collections - Legacy</t>
        </is>
      </c>
      <c r="D304" s="14" t="n"/>
      <c r="E304" s="14" t="n"/>
    </row>
    <row r="305">
      <c r="A305" s="59" t="n"/>
      <c r="B305" s="14" t="n"/>
      <c r="C305" s="60" t="inlineStr">
        <is>
          <t>Migration Clearing</t>
        </is>
      </c>
      <c r="D305" s="14" t="inlineStr">
        <is>
          <t>Nets to zero after the opening</t>
        </is>
      </c>
      <c r="E305" s="14" t="n"/>
    </row>
    <row r="306">
      <c r="A306" s="43" t="inlineStr">
        <is>
          <t>Tax type (TAX_TYPE)</t>
        </is>
      </c>
      <c r="B306" s="20" t="inlineStr">
        <is>
          <t>D0-10 Tax codes: Tax type</t>
        </is>
      </c>
      <c r="C306" s="58" t="inlineStr">
        <is>
          <t>EWT</t>
        </is>
      </c>
      <c r="D306" s="20" t="inlineStr">
        <is>
          <t>Expanded withholding tax</t>
        </is>
      </c>
      <c r="E306" s="20" t="n"/>
    </row>
    <row r="307">
      <c r="A307" s="43" t="n"/>
      <c r="B307" s="20" t="n"/>
      <c r="C307" s="58" t="inlineStr">
        <is>
          <t>FWT</t>
        </is>
      </c>
      <c r="D307" s="20" t="inlineStr">
        <is>
          <t>Final withholding tax</t>
        </is>
      </c>
      <c r="E307" s="20" t="n"/>
    </row>
    <row r="308">
      <c r="A308" s="43" t="n"/>
      <c r="B308" s="20" t="n"/>
      <c r="C308" s="58" t="inlineStr">
        <is>
          <t>VAT</t>
        </is>
      </c>
      <c r="D308" s="20" t="inlineStr">
        <is>
          <t>Value-added tax</t>
        </is>
      </c>
      <c r="E308" s="20" t="n"/>
    </row>
    <row r="309">
      <c r="A309" s="43" t="n"/>
      <c r="B309" s="20" t="n"/>
      <c r="C309" s="58" t="inlineStr">
        <is>
          <t>PT</t>
        </is>
      </c>
      <c r="D309" s="20" t="inlineStr">
        <is>
          <t>Percentage tax</t>
        </is>
      </c>
      <c r="E309" s="20" t="n"/>
    </row>
    <row r="310" ht="28" customHeight="1">
      <c r="A310" s="59" t="inlineStr">
        <is>
          <t>Payee class (PAYEE_CLASS)</t>
        </is>
      </c>
      <c r="B310" s="14" t="inlineStr">
        <is>
          <t>D0-10 Tax codes: Payee class</t>
        </is>
      </c>
      <c r="C310" s="60" t="inlineStr">
        <is>
          <t>SUPPLIER</t>
        </is>
      </c>
      <c r="D310" s="14" t="inlineStr">
        <is>
          <t>Supplier</t>
        </is>
      </c>
      <c r="E310" s="14" t="inlineStr">
        <is>
          <t>The values of the list PAYEE_CLASS as delivered with BIBS; a new value is added with its template and may then be used here.</t>
        </is>
      </c>
    </row>
    <row r="311">
      <c r="A311" s="59" t="n"/>
      <c r="B311" s="14" t="n"/>
      <c r="C311" s="60" t="inlineStr">
        <is>
          <t>INSURER</t>
        </is>
      </c>
      <c r="D311" s="14" t="inlineStr">
        <is>
          <t>Insurer</t>
        </is>
      </c>
      <c r="E311" s="14" t="n"/>
    </row>
    <row r="312">
      <c r="A312" s="59" t="n"/>
      <c r="B312" s="14" t="n"/>
      <c r="C312" s="60" t="inlineStr">
        <is>
          <t>EMPLOYEE</t>
        </is>
      </c>
      <c r="D312" s="14" t="inlineStr">
        <is>
          <t>Employee</t>
        </is>
      </c>
      <c r="E312" s="14" t="n"/>
    </row>
    <row r="313">
      <c r="A313" s="59" t="n"/>
      <c r="B313" s="14" t="n"/>
      <c r="C313" s="60" t="inlineStr">
        <is>
          <t>CLIENT</t>
        </is>
      </c>
      <c r="D313" s="14" t="inlineStr">
        <is>
          <t>Client</t>
        </is>
      </c>
      <c r="E313" s="14" t="n"/>
    </row>
    <row r="314">
      <c r="A314" s="59" t="n"/>
      <c r="B314" s="14" t="n"/>
      <c r="C314" s="60" t="inlineStr">
        <is>
          <t>GOVERNMENT</t>
        </is>
      </c>
      <c r="D314" s="14" t="inlineStr">
        <is>
          <t>Government agency</t>
        </is>
      </c>
      <c r="E314" s="14" t="n"/>
    </row>
    <row r="315">
      <c r="A315" s="59" t="n"/>
      <c r="B315" s="14" t="n"/>
      <c r="C315" s="60" t="inlineStr">
        <is>
          <t>OTHER</t>
        </is>
      </c>
      <c r="D315" s="14" t="inlineStr">
        <is>
          <t>Others</t>
        </is>
      </c>
      <c r="E315" s="14" t="n"/>
    </row>
    <row r="316" ht="28" customHeight="1">
      <c r="A316" s="43" t="inlineStr">
        <is>
          <t>Module of an approval matrix (APPROVAL_MODULE)</t>
        </is>
      </c>
      <c r="B316" s="20" t="inlineStr">
        <is>
          <t>D0-15 Approval limits: Module</t>
        </is>
      </c>
      <c r="C316" s="58" t="inlineStr">
        <is>
          <t>Submitted Policies</t>
        </is>
      </c>
      <c r="D316" s="20" t="n"/>
      <c r="E316" s="20" t="n"/>
    </row>
    <row r="317">
      <c r="A317" s="43" t="n"/>
      <c r="B317" s="20" t="n"/>
      <c r="C317" s="58" t="inlineStr">
        <is>
          <t>Employee Benefits</t>
        </is>
      </c>
      <c r="D317" s="20" t="n"/>
      <c r="E317" s="20" t="n"/>
    </row>
    <row r="318">
      <c r="A318" s="43" t="n"/>
      <c r="B318" s="20" t="n"/>
      <c r="C318" s="58" t="inlineStr">
        <is>
          <t>Sanction Screening</t>
        </is>
      </c>
      <c r="D318" s="20" t="n"/>
      <c r="E318" s="20" t="n"/>
    </row>
    <row r="319">
      <c r="A319" s="43" t="n"/>
      <c r="B319" s="20" t="n"/>
      <c r="C319" s="58" t="inlineStr">
        <is>
          <t>Disbursement</t>
        </is>
      </c>
      <c r="D319" s="20" t="n"/>
      <c r="E319" s="20" t="n"/>
    </row>
    <row r="320" ht="28" customHeight="1">
      <c r="A320" s="59" t="inlineStr">
        <is>
          <t>Route (ROUTE)</t>
        </is>
      </c>
      <c r="B320" s="14" t="inlineStr">
        <is>
          <t>Ref Lists of values: Route
Ref System parameters: Route</t>
        </is>
      </c>
      <c r="C320" s="60" t="inlineStr">
        <is>
          <t>Screen</t>
        </is>
      </c>
      <c r="D320" s="14" t="n"/>
      <c r="E320" s="14" t="n"/>
    </row>
    <row r="321">
      <c r="A321" s="59" t="n"/>
      <c r="B321" s="14" t="n"/>
      <c r="C321" s="60" t="inlineStr">
        <is>
          <t>Template</t>
        </is>
      </c>
      <c r="D321" s="14" t="n"/>
      <c r="E321" s="14" t="n"/>
    </row>
    <row r="322">
      <c r="A322" s="59" t="n"/>
      <c r="B322" s="14" t="n"/>
      <c r="C322" s="60" t="inlineStr">
        <is>
          <t>Migration object</t>
        </is>
      </c>
      <c r="D322" s="14" t="n"/>
      <c r="E322" s="14" t="n"/>
    </row>
    <row r="323" ht="90.5" customHeight="1">
      <c r="A323" s="43" t="inlineStr">
        <is>
          <t>Status (STATUS)</t>
        </is>
      </c>
      <c r="B323" s="20" t="inlineStr">
        <is>
          <t>Ref Lists of values: Status
Ref System parameters: Status
Ref Document numbering: Status
Ref Notifications: Status
Ref Document templates: Status
Ref Accounting events: Status
Start here: Status</t>
        </is>
      </c>
      <c r="C323" s="58" t="inlineStr">
        <is>
          <t>Not started</t>
        </is>
      </c>
      <c r="D323" s="20" t="n"/>
      <c r="E323" s="20" t="n"/>
    </row>
    <row r="324">
      <c r="A324" s="43" t="n"/>
      <c r="B324" s="20" t="n"/>
      <c r="C324" s="58" t="inlineStr">
        <is>
          <t>In progress</t>
        </is>
      </c>
      <c r="D324" s="20" t="n"/>
      <c r="E324" s="20" t="n"/>
    </row>
    <row r="325">
      <c r="A325" s="43" t="n"/>
      <c r="B325" s="20" t="n"/>
      <c r="C325" s="58" t="inlineStr">
        <is>
          <t>Ready for review</t>
        </is>
      </c>
      <c r="D325" s="20" t="n"/>
      <c r="E325" s="20" t="n"/>
    </row>
    <row r="326">
      <c r="A326" s="43" t="n"/>
      <c r="B326" s="20" t="n"/>
      <c r="C326" s="58" t="inlineStr">
        <is>
          <t>Confirmed</t>
        </is>
      </c>
      <c r="D326" s="20" t="n"/>
      <c r="E326" s="20" t="n"/>
    </row>
    <row r="327">
      <c r="A327" s="43" t="n"/>
      <c r="B327" s="20" t="n"/>
      <c r="C327" s="58" t="inlineStr">
        <is>
          <t>Not applicable</t>
        </is>
      </c>
      <c r="D327" s="20" t="n"/>
      <c r="E327" s="20" t="n"/>
    </row>
    <row r="328" ht="28" customHeight="1">
      <c r="A328" s="59" t="inlineStr">
        <is>
          <t>Templates of this workbook (TEMPLATES)</t>
        </is>
      </c>
      <c r="B328" s="14" t="inlineStr">
        <is>
          <t>Questions and comments: Template</t>
        </is>
      </c>
      <c r="C328" s="60" t="inlineStr">
        <is>
          <t>D0-02 Branches</t>
        </is>
      </c>
      <c r="D328" s="14" t="n"/>
      <c r="E328" s="14" t="n"/>
    </row>
    <row r="329" ht="28" customHeight="1">
      <c r="A329" s="59" t="n"/>
      <c r="B329" s="14" t="n"/>
      <c r="C329" s="60" t="inlineStr">
        <is>
          <t>D0-04 Cost centres and business lines</t>
        </is>
      </c>
      <c r="D329" s="14" t="n"/>
      <c r="E329" s="14" t="n"/>
    </row>
    <row r="330" ht="28" customHeight="1">
      <c r="A330" s="59" t="n"/>
      <c r="B330" s="14" t="n"/>
      <c r="C330" s="60" t="inlineStr">
        <is>
          <t>D0-07 Account categories and numbering</t>
        </is>
      </c>
      <c r="D330" s="14" t="n"/>
      <c r="E330" s="14" t="n"/>
    </row>
    <row r="331" ht="28" customHeight="1">
      <c r="A331" s="59" t="n"/>
      <c r="B331" s="14" t="n"/>
      <c r="C331" s="60" t="inlineStr">
        <is>
          <t>PM-09 Lists of values and parameters</t>
        </is>
      </c>
      <c r="D331" s="14" t="n"/>
      <c r="E331" s="14" t="n"/>
    </row>
    <row r="332">
      <c r="A332" s="59" t="n"/>
      <c r="B332" s="14" t="n"/>
      <c r="C332" s="60" t="inlineStr">
        <is>
          <t>UA-02 Role-to-permission matrix</t>
        </is>
      </c>
      <c r="D332" s="14" t="n"/>
      <c r="E332" s="14" t="n"/>
    </row>
    <row r="333">
      <c r="A333" s="59" t="n"/>
      <c r="B333" s="14" t="n"/>
      <c r="C333" s="60" t="inlineStr">
        <is>
          <t>UA-06 Lists of values</t>
        </is>
      </c>
      <c r="D333" s="14" t="n"/>
      <c r="E333" s="14" t="n"/>
    </row>
    <row r="334">
      <c r="A334" s="59" t="n"/>
      <c r="B334" s="14" t="n"/>
      <c r="C334" s="60" t="inlineStr">
        <is>
          <t>D0-05 Employees</t>
        </is>
      </c>
      <c r="D334" s="14" t="n"/>
      <c r="E334" s="14" t="n"/>
    </row>
    <row r="335">
      <c r="A335" s="59" t="n"/>
      <c r="B335" s="14" t="n"/>
      <c r="C335" s="60" t="inlineStr">
        <is>
          <t>D0-06 Chart of accounts</t>
        </is>
      </c>
      <c r="D335" s="14" t="n"/>
      <c r="E335" s="14" t="n"/>
    </row>
    <row r="336">
      <c r="A336" s="59" t="n"/>
      <c r="B336" s="14" t="n"/>
      <c r="C336" s="60" t="inlineStr">
        <is>
          <t>PM-01 Product catalogue</t>
        </is>
      </c>
      <c r="D336" s="14" t="n"/>
      <c r="E336" s="14" t="n"/>
    </row>
    <row r="337">
      <c r="A337" s="59" t="n"/>
      <c r="B337" s="14" t="n"/>
      <c r="C337" s="60" t="inlineStr">
        <is>
          <t>UA-01 Users and roles load</t>
        </is>
      </c>
      <c r="D337" s="14" t="n"/>
      <c r="E337" s="14" t="n"/>
    </row>
    <row r="338">
      <c r="A338" s="59" t="n"/>
      <c r="B338" s="14" t="n"/>
      <c r="C338" s="60" t="inlineStr">
        <is>
          <t>D0-03 Holiday calendar</t>
        </is>
      </c>
      <c r="D338" s="14" t="n"/>
      <c r="E338" s="14" t="n"/>
    </row>
    <row r="339" ht="28" customHeight="1">
      <c r="A339" s="59" t="n"/>
      <c r="B339" s="14" t="n"/>
      <c r="C339" s="60" t="inlineStr">
        <is>
          <t>UA-04 Separation-of-duties rules</t>
        </is>
      </c>
      <c r="D339" s="14" t="n"/>
      <c r="E339" s="14" t="n"/>
    </row>
    <row r="340">
      <c r="A340" s="59" t="n"/>
      <c r="B340" s="14" t="n"/>
      <c r="C340" s="60" t="inlineStr">
        <is>
          <t>D0-11 Company bank accounts</t>
        </is>
      </c>
      <c r="D340" s="14" t="n"/>
      <c r="E340" s="14" t="n"/>
    </row>
    <row r="341" ht="28" customHeight="1">
      <c r="A341" s="59" t="n"/>
      <c r="B341" s="14" t="n"/>
      <c r="C341" s="60" t="inlineStr">
        <is>
          <t>PM-02 Coverages, perils and field rules</t>
        </is>
      </c>
      <c r="D341" s="14" t="n"/>
      <c r="E341" s="14" t="n"/>
    </row>
    <row r="342">
      <c r="A342" s="59" t="n"/>
      <c r="B342" s="14" t="n"/>
      <c r="C342" s="60" t="inlineStr">
        <is>
          <t>PM-03 Clause library</t>
        </is>
      </c>
      <c r="D342" s="14" t="n"/>
      <c r="E342" s="14" t="n"/>
    </row>
    <row r="343" ht="28" customHeight="1">
      <c r="A343" s="59" t="n"/>
      <c r="B343" s="14" t="n"/>
      <c r="C343" s="60" t="inlineStr">
        <is>
          <t>PM-05 Insurers, branches and commission rates</t>
        </is>
      </c>
      <c r="D343" s="14" t="n"/>
      <c r="E343" s="14" t="n"/>
    </row>
    <row r="344">
      <c r="A344" s="59" t="n"/>
      <c r="B344" s="14" t="n"/>
      <c r="C344" s="60" t="inlineStr">
        <is>
          <t>D0-01 Company</t>
        </is>
      </c>
      <c r="D344" s="14" t="n"/>
      <c r="E344" s="14" t="n"/>
    </row>
    <row r="345">
      <c r="A345" s="59" t="n"/>
      <c r="B345" s="14" t="n"/>
      <c r="C345" s="60" t="inlineStr">
        <is>
          <t>D0-08 Accounting rules</t>
        </is>
      </c>
      <c r="D345" s="14" t="n"/>
      <c r="E345" s="14" t="n"/>
    </row>
    <row r="346">
      <c r="A346" s="59" t="n"/>
      <c r="B346" s="14" t="n"/>
      <c r="C346" s="60" t="inlineStr">
        <is>
          <t>D0-09 Legacy control accounts</t>
        </is>
      </c>
      <c r="D346" s="14" t="n"/>
      <c r="E346" s="14" t="n"/>
    </row>
    <row r="347">
      <c r="A347" s="59" t="n"/>
      <c r="B347" s="14" t="n"/>
      <c r="C347" s="60" t="inlineStr">
        <is>
          <t>D0-10 Tax codes</t>
        </is>
      </c>
      <c r="D347" s="14" t="n"/>
      <c r="E347" s="14" t="n"/>
    </row>
    <row r="348" ht="28" customHeight="1">
      <c r="A348" s="59" t="n"/>
      <c r="B348" s="14" t="n"/>
      <c r="C348" s="60" t="inlineStr">
        <is>
          <t>D0-15 Approval limits and matrices</t>
        </is>
      </c>
      <c r="D348" s="14" t="n"/>
      <c r="E348" s="14" t="n"/>
    </row>
    <row r="349">
      <c r="A349" s="59" t="n"/>
      <c r="B349" s="14" t="n"/>
      <c r="C349" s="60" t="inlineStr">
        <is>
          <t>PM-04 Rate tables</t>
        </is>
      </c>
      <c r="D349" s="14" t="n"/>
      <c r="E349" s="14" t="n"/>
    </row>
    <row r="350">
      <c r="A350" s="59" t="n"/>
      <c r="B350" s="14" t="n"/>
      <c r="C350" s="60" t="inlineStr">
        <is>
          <t>PM-10 Incentive criteria</t>
        </is>
      </c>
      <c r="D350" s="14" t="n"/>
      <c r="E350" s="14" t="n"/>
    </row>
    <row r="351" ht="28" customHeight="1">
      <c r="A351" s="59" t="n"/>
      <c r="B351" s="14" t="n"/>
      <c r="C351" s="60" t="inlineStr">
        <is>
          <t>UA-03 Approvers, approval rules and limits</t>
        </is>
      </c>
      <c r="D351" s="14" t="n"/>
      <c r="E351" s="14" t="n"/>
    </row>
    <row r="352" ht="28" customHeight="1">
      <c r="A352" s="59" t="n"/>
      <c r="B352" s="14" t="n"/>
      <c r="C352" s="60" t="inlineStr">
        <is>
          <t>PM-06 Packages in force at go-live</t>
        </is>
      </c>
      <c r="D352" s="14" t="n"/>
      <c r="E352" s="14" t="n"/>
    </row>
    <row r="353">
      <c r="A353" s="59" t="n"/>
      <c r="B353" s="14" t="n"/>
      <c r="C353" s="60" t="inlineStr">
        <is>
          <t>D0-12 Check books</t>
        </is>
      </c>
      <c r="D353" s="14" t="n"/>
      <c r="E353" s="14" t="n"/>
    </row>
    <row r="354">
      <c r="A354" s="59" t="n"/>
      <c r="B354" s="14" t="n"/>
      <c r="C354" s="60" t="inlineStr">
        <is>
          <t>D0-13 Petty cash funds</t>
        </is>
      </c>
      <c r="D354" s="14" t="n"/>
      <c r="E354" s="14" t="n"/>
    </row>
    <row r="355">
      <c r="A355" s="59" t="n"/>
      <c r="B355" s="14" t="n"/>
      <c r="C355" s="60" t="inlineStr">
        <is>
          <t>D0-14 Bank statement layouts</t>
        </is>
      </c>
      <c r="D355" s="14" t="n"/>
      <c r="E355" s="14" t="n"/>
    </row>
    <row r="356" ht="28" customHeight="1">
      <c r="A356" s="59" t="n"/>
      <c r="B356" s="14" t="n"/>
      <c r="C356" s="60" t="inlineStr">
        <is>
          <t>PM-07 Package map (legacy package to BIBS package version)</t>
        </is>
      </c>
      <c r="D356" s="14" t="n"/>
      <c r="E356" s="14" t="n"/>
    </row>
    <row r="357">
      <c r="A357" s="59" t="n"/>
      <c r="B357" s="14" t="n"/>
      <c r="C357" s="60" t="inlineStr">
        <is>
          <t>PM-08 Document templates</t>
        </is>
      </c>
      <c r="D357" s="14" t="n"/>
      <c r="E357" s="14" t="n"/>
    </row>
    <row r="358" ht="28" customHeight="1">
      <c r="A358" s="59" t="n"/>
      <c r="B358" s="14" t="n"/>
      <c r="C358" s="60" t="inlineStr">
        <is>
          <t>UA-05 Password, session and sign-in parameters</t>
        </is>
      </c>
      <c r="D358" s="14" t="n"/>
      <c r="E358" s="14" t="n"/>
    </row>
    <row r="359">
      <c r="A359" s="59" t="n"/>
      <c r="B359" s="14" t="n"/>
      <c r="C359" s="60" t="inlineStr">
        <is>
          <t>General</t>
        </is>
      </c>
      <c r="D359" s="14" t="n"/>
      <c r="E359" s="14" t="n"/>
    </row>
    <row r="360">
      <c r="A360" s="43" t="inlineStr">
        <is>
          <t>Question status (QUESTION_STATUS)</t>
        </is>
      </c>
      <c r="B360" s="20" t="inlineStr">
        <is>
          <t>Questions and comments: Status</t>
        </is>
      </c>
      <c r="C360" s="58" t="inlineStr">
        <is>
          <t>Open</t>
        </is>
      </c>
      <c r="D360" s="20" t="n"/>
      <c r="E360" s="20" t="n"/>
    </row>
    <row r="361">
      <c r="A361" s="43" t="n"/>
      <c r="B361" s="20" t="n"/>
      <c r="C361" s="58" t="inlineStr">
        <is>
          <t>Answered</t>
        </is>
      </c>
      <c r="D361" s="20" t="n"/>
      <c r="E361" s="20" t="n"/>
    </row>
    <row r="362">
      <c r="A362" s="43" t="n"/>
      <c r="B362" s="20" t="n"/>
      <c r="C362" s="58" t="inlineStr">
        <is>
          <t>Closed</t>
        </is>
      </c>
      <c r="D362" s="20" t="n"/>
      <c r="E362" s="20" t="n"/>
    </row>
  </sheetData>
  <autoFilter ref="A4:E362"/>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7" t="inlineStr">
        <is>
          <t>Questions and comments</t>
        </is>
      </c>
    </row>
    <row r="2">
      <c r="A2" s="29" t="inlineStr">
        <is>
          <t>← Back to Start here</t>
        </is>
      </c>
      <c r="B2" s="56"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61" t="n">
        <v>1</v>
      </c>
      <c r="B5" s="14" t="n"/>
      <c r="C5" s="14" t="n"/>
      <c r="D5" s="14" t="n"/>
      <c r="E5" s="14" t="n"/>
      <c r="F5" s="16" t="n"/>
      <c r="G5" s="14" t="n"/>
      <c r="H5" s="14" t="n"/>
      <c r="I5" s="14" t="n"/>
    </row>
    <row r="6">
      <c r="A6" s="61" t="n">
        <v>2</v>
      </c>
      <c r="B6" s="14" t="n"/>
      <c r="C6" s="14" t="n"/>
      <c r="D6" s="14" t="n"/>
      <c r="E6" s="14" t="n"/>
      <c r="F6" s="16" t="n"/>
      <c r="G6" s="14" t="n"/>
      <c r="H6" s="14" t="n"/>
      <c r="I6" s="14" t="n"/>
    </row>
    <row r="7">
      <c r="A7" s="61" t="n">
        <v>3</v>
      </c>
      <c r="B7" s="14" t="n"/>
      <c r="C7" s="14" t="n"/>
      <c r="D7" s="14" t="n"/>
      <c r="E7" s="14" t="n"/>
      <c r="F7" s="16" t="n"/>
      <c r="G7" s="14" t="n"/>
      <c r="H7" s="14" t="n"/>
      <c r="I7" s="14" t="n"/>
    </row>
    <row r="8">
      <c r="A8" s="61" t="n">
        <v>4</v>
      </c>
      <c r="B8" s="14" t="n"/>
      <c r="C8" s="14" t="n"/>
      <c r="D8" s="14" t="n"/>
      <c r="E8" s="14" t="n"/>
      <c r="F8" s="16" t="n"/>
      <c r="G8" s="14" t="n"/>
      <c r="H8" s="14" t="n"/>
      <c r="I8" s="14" t="n"/>
    </row>
    <row r="9">
      <c r="A9" s="61" t="n">
        <v>5</v>
      </c>
      <c r="B9" s="14" t="n"/>
      <c r="C9" s="14" t="n"/>
      <c r="D9" s="14" t="n"/>
      <c r="E9" s="14" t="n"/>
      <c r="F9" s="16" t="n"/>
      <c r="G9" s="14" t="n"/>
      <c r="H9" s="14" t="n"/>
      <c r="I9" s="14" t="n"/>
    </row>
    <row r="10">
      <c r="A10" s="61" t="n">
        <v>6</v>
      </c>
      <c r="B10" s="14" t="n"/>
      <c r="C10" s="14" t="n"/>
      <c r="D10" s="14" t="n"/>
      <c r="E10" s="14" t="n"/>
      <c r="F10" s="16" t="n"/>
      <c r="G10" s="14" t="n"/>
      <c r="H10" s="14" t="n"/>
      <c r="I10" s="14" t="n"/>
    </row>
    <row r="11">
      <c r="A11" s="61" t="n">
        <v>7</v>
      </c>
      <c r="B11" s="14" t="n"/>
      <c r="C11" s="14" t="n"/>
      <c r="D11" s="14" t="n"/>
      <c r="E11" s="14" t="n"/>
      <c r="F11" s="16" t="n"/>
      <c r="G11" s="14" t="n"/>
      <c r="H11" s="14" t="n"/>
      <c r="I11" s="14" t="n"/>
    </row>
    <row r="12">
      <c r="A12" s="61" t="n">
        <v>8</v>
      </c>
      <c r="B12" s="14" t="n"/>
      <c r="C12" s="14" t="n"/>
      <c r="D12" s="14" t="n"/>
      <c r="E12" s="14" t="n"/>
      <c r="F12" s="16" t="n"/>
      <c r="G12" s="14" t="n"/>
      <c r="H12" s="14" t="n"/>
      <c r="I12" s="14" t="n"/>
    </row>
    <row r="13">
      <c r="A13" s="61" t="n">
        <v>9</v>
      </c>
      <c r="B13" s="14" t="n"/>
      <c r="C13" s="14" t="n"/>
      <c r="D13" s="14" t="n"/>
      <c r="E13" s="14" t="n"/>
      <c r="F13" s="16" t="n"/>
      <c r="G13" s="14" t="n"/>
      <c r="H13" s="14" t="n"/>
      <c r="I13" s="14" t="n"/>
    </row>
    <row r="14">
      <c r="A14" s="61" t="n">
        <v>10</v>
      </c>
      <c r="B14" s="14" t="n"/>
      <c r="C14" s="14" t="n"/>
      <c r="D14" s="14" t="n"/>
      <c r="E14" s="14" t="n"/>
      <c r="F14" s="16" t="n"/>
      <c r="G14" s="14" t="n"/>
      <c r="H14" s="14" t="n"/>
      <c r="I14" s="14" t="n"/>
    </row>
    <row r="15">
      <c r="A15" s="61" t="n">
        <v>11</v>
      </c>
      <c r="B15" s="14" t="n"/>
      <c r="C15" s="14" t="n"/>
      <c r="D15" s="14" t="n"/>
      <c r="E15" s="14" t="n"/>
      <c r="F15" s="16" t="n"/>
      <c r="G15" s="14" t="n"/>
      <c r="H15" s="14" t="n"/>
      <c r="I15" s="14" t="n"/>
    </row>
    <row r="16">
      <c r="A16" s="61" t="n">
        <v>12</v>
      </c>
      <c r="B16" s="14" t="n"/>
      <c r="C16" s="14" t="n"/>
      <c r="D16" s="14" t="n"/>
      <c r="E16" s="14" t="n"/>
      <c r="F16" s="16" t="n"/>
      <c r="G16" s="14" t="n"/>
      <c r="H16" s="14" t="n"/>
      <c r="I16" s="14" t="n"/>
    </row>
    <row r="17">
      <c r="A17" s="61" t="n">
        <v>13</v>
      </c>
      <c r="B17" s="14" t="n"/>
      <c r="C17" s="14" t="n"/>
      <c r="D17" s="14" t="n"/>
      <c r="E17" s="14" t="n"/>
      <c r="F17" s="16" t="n"/>
      <c r="G17" s="14" t="n"/>
      <c r="H17" s="14" t="n"/>
      <c r="I17" s="14" t="n"/>
    </row>
    <row r="18">
      <c r="A18" s="61" t="n">
        <v>14</v>
      </c>
      <c r="B18" s="14" t="n"/>
      <c r="C18" s="14" t="n"/>
      <c r="D18" s="14" t="n"/>
      <c r="E18" s="14" t="n"/>
      <c r="F18" s="16" t="n"/>
      <c r="G18" s="14" t="n"/>
      <c r="H18" s="14" t="n"/>
      <c r="I18" s="14" t="n"/>
    </row>
    <row r="19">
      <c r="A19" s="61" t="n">
        <v>15</v>
      </c>
      <c r="B19" s="14" t="n"/>
      <c r="C19" s="14" t="n"/>
      <c r="D19" s="14" t="n"/>
      <c r="E19" s="14" t="n"/>
      <c r="F19" s="16" t="n"/>
      <c r="G19" s="14" t="n"/>
      <c r="H19" s="14" t="n"/>
      <c r="I19" s="14" t="n"/>
    </row>
    <row r="20">
      <c r="A20" s="61" t="n">
        <v>16</v>
      </c>
      <c r="B20" s="14" t="n"/>
      <c r="C20" s="14" t="n"/>
      <c r="D20" s="14" t="n"/>
      <c r="E20" s="14" t="n"/>
      <c r="F20" s="16" t="n"/>
      <c r="G20" s="14" t="n"/>
      <c r="H20" s="14" t="n"/>
      <c r="I20" s="14" t="n"/>
    </row>
    <row r="21">
      <c r="A21" s="61" t="n">
        <v>17</v>
      </c>
      <c r="B21" s="14" t="n"/>
      <c r="C21" s="14" t="n"/>
      <c r="D21" s="14" t="n"/>
      <c r="E21" s="14" t="n"/>
      <c r="F21" s="16" t="n"/>
      <c r="G21" s="14" t="n"/>
      <c r="H21" s="14" t="n"/>
      <c r="I21" s="14" t="n"/>
    </row>
    <row r="22">
      <c r="A22" s="61" t="n">
        <v>18</v>
      </c>
      <c r="B22" s="14" t="n"/>
      <c r="C22" s="14" t="n"/>
      <c r="D22" s="14" t="n"/>
      <c r="E22" s="14" t="n"/>
      <c r="F22" s="16" t="n"/>
      <c r="G22" s="14" t="n"/>
      <c r="H22" s="14" t="n"/>
      <c r="I22" s="14" t="n"/>
    </row>
    <row r="23">
      <c r="A23" s="61" t="n">
        <v>19</v>
      </c>
      <c r="B23" s="14" t="n"/>
      <c r="C23" s="14" t="n"/>
      <c r="D23" s="14" t="n"/>
      <c r="E23" s="14" t="n"/>
      <c r="F23" s="16" t="n"/>
      <c r="G23" s="14" t="n"/>
      <c r="H23" s="14" t="n"/>
      <c r="I23" s="14" t="n"/>
    </row>
    <row r="24">
      <c r="A24" s="61" t="n">
        <v>20</v>
      </c>
      <c r="B24" s="14" t="n"/>
      <c r="C24" s="14" t="n"/>
      <c r="D24" s="14" t="n"/>
      <c r="E24" s="14" t="n"/>
      <c r="F24" s="16" t="n"/>
      <c r="G24" s="14" t="n"/>
      <c r="H24" s="14" t="n"/>
      <c r="I24" s="14" t="n"/>
    </row>
    <row r="25">
      <c r="A25" s="61" t="n">
        <v>21</v>
      </c>
      <c r="B25" s="14" t="n"/>
      <c r="C25" s="14" t="n"/>
      <c r="D25" s="14" t="n"/>
      <c r="E25" s="14" t="n"/>
      <c r="F25" s="16" t="n"/>
      <c r="G25" s="14" t="n"/>
      <c r="H25" s="14" t="n"/>
      <c r="I25" s="14" t="n"/>
    </row>
    <row r="26">
      <c r="A26" s="61" t="n">
        <v>22</v>
      </c>
      <c r="B26" s="14" t="n"/>
      <c r="C26" s="14" t="n"/>
      <c r="D26" s="14" t="n"/>
      <c r="E26" s="14" t="n"/>
      <c r="F26" s="16" t="n"/>
      <c r="G26" s="14" t="n"/>
      <c r="H26" s="14" t="n"/>
      <c r="I26" s="14" t="n"/>
    </row>
    <row r="27">
      <c r="A27" s="61" t="n">
        <v>23</v>
      </c>
      <c r="B27" s="14" t="n"/>
      <c r="C27" s="14" t="n"/>
      <c r="D27" s="14" t="n"/>
      <c r="E27" s="14" t="n"/>
      <c r="F27" s="16" t="n"/>
      <c r="G27" s="14" t="n"/>
      <c r="H27" s="14" t="n"/>
      <c r="I27" s="14" t="n"/>
    </row>
    <row r="28">
      <c r="A28" s="61" t="n">
        <v>24</v>
      </c>
      <c r="B28" s="14" t="n"/>
      <c r="C28" s="14" t="n"/>
      <c r="D28" s="14" t="n"/>
      <c r="E28" s="14" t="n"/>
      <c r="F28" s="16" t="n"/>
      <c r="G28" s="14" t="n"/>
      <c r="H28" s="14" t="n"/>
      <c r="I28" s="14" t="n"/>
    </row>
    <row r="29">
      <c r="A29" s="61" t="n">
        <v>25</v>
      </c>
      <c r="B29" s="14" t="n"/>
      <c r="C29" s="14" t="n"/>
      <c r="D29" s="14" t="n"/>
      <c r="E29" s="14" t="n"/>
      <c r="F29" s="16" t="n"/>
      <c r="G29" s="14" t="n"/>
      <c r="H29" s="14" t="n"/>
      <c r="I29" s="14" t="n"/>
    </row>
    <row r="30">
      <c r="A30" s="61" t="n">
        <v>26</v>
      </c>
      <c r="B30" s="14" t="n"/>
      <c r="C30" s="14" t="n"/>
      <c r="D30" s="14" t="n"/>
      <c r="E30" s="14" t="n"/>
      <c r="F30" s="16" t="n"/>
      <c r="G30" s="14" t="n"/>
      <c r="H30" s="14" t="n"/>
      <c r="I30" s="14" t="n"/>
    </row>
    <row r="31">
      <c r="A31" s="61" t="n">
        <v>27</v>
      </c>
      <c r="B31" s="14" t="n"/>
      <c r="C31" s="14" t="n"/>
      <c r="D31" s="14" t="n"/>
      <c r="E31" s="14" t="n"/>
      <c r="F31" s="16" t="n"/>
      <c r="G31" s="14" t="n"/>
      <c r="H31" s="14" t="n"/>
      <c r="I31" s="14" t="n"/>
    </row>
    <row r="32">
      <c r="A32" s="61" t="n">
        <v>28</v>
      </c>
      <c r="B32" s="14" t="n"/>
      <c r="C32" s="14" t="n"/>
      <c r="D32" s="14" t="n"/>
      <c r="E32" s="14" t="n"/>
      <c r="F32" s="16" t="n"/>
      <c r="G32" s="14" t="n"/>
      <c r="H32" s="14" t="n"/>
      <c r="I32" s="14" t="n"/>
    </row>
    <row r="33">
      <c r="A33" s="61" t="n">
        <v>29</v>
      </c>
      <c r="B33" s="14" t="n"/>
      <c r="C33" s="14" t="n"/>
      <c r="D33" s="14" t="n"/>
      <c r="E33" s="14" t="n"/>
      <c r="F33" s="16" t="n"/>
      <c r="G33" s="14" t="n"/>
      <c r="H33" s="14" t="n"/>
      <c r="I33" s="14" t="n"/>
    </row>
    <row r="34">
      <c r="A34" s="61" t="n">
        <v>30</v>
      </c>
      <c r="B34" s="14" t="n"/>
      <c r="C34" s="14" t="n"/>
      <c r="D34" s="14" t="n"/>
      <c r="E34" s="14" t="n"/>
      <c r="F34" s="16" t="n"/>
      <c r="G34" s="14" t="n"/>
      <c r="H34" s="14" t="n"/>
      <c r="I34" s="14" t="n"/>
    </row>
    <row r="35">
      <c r="A35" s="61" t="n">
        <v>31</v>
      </c>
      <c r="B35" s="14" t="n"/>
      <c r="C35" s="14" t="n"/>
      <c r="D35" s="14" t="n"/>
      <c r="E35" s="14" t="n"/>
      <c r="F35" s="16" t="n"/>
      <c r="G35" s="14" t="n"/>
      <c r="H35" s="14" t="n"/>
      <c r="I35" s="14" t="n"/>
    </row>
    <row r="36">
      <c r="A36" s="61" t="n">
        <v>32</v>
      </c>
      <c r="B36" s="14" t="n"/>
      <c r="C36" s="14" t="n"/>
      <c r="D36" s="14" t="n"/>
      <c r="E36" s="14" t="n"/>
      <c r="F36" s="16" t="n"/>
      <c r="G36" s="14" t="n"/>
      <c r="H36" s="14" t="n"/>
      <c r="I36" s="14" t="n"/>
    </row>
    <row r="37">
      <c r="A37" s="61" t="n">
        <v>33</v>
      </c>
      <c r="B37" s="14" t="n"/>
      <c r="C37" s="14" t="n"/>
      <c r="D37" s="14" t="n"/>
      <c r="E37" s="14" t="n"/>
      <c r="F37" s="16" t="n"/>
      <c r="G37" s="14" t="n"/>
      <c r="H37" s="14" t="n"/>
      <c r="I37" s="14" t="n"/>
    </row>
    <row r="38">
      <c r="A38" s="61" t="n">
        <v>34</v>
      </c>
      <c r="B38" s="14" t="n"/>
      <c r="C38" s="14" t="n"/>
      <c r="D38" s="14" t="n"/>
      <c r="E38" s="14" t="n"/>
      <c r="F38" s="16" t="n"/>
      <c r="G38" s="14" t="n"/>
      <c r="H38" s="14" t="n"/>
      <c r="I38" s="14" t="n"/>
    </row>
    <row r="39">
      <c r="A39" s="61" t="n">
        <v>35</v>
      </c>
      <c r="B39" s="14" t="n"/>
      <c r="C39" s="14" t="n"/>
      <c r="D39" s="14" t="n"/>
      <c r="E39" s="14" t="n"/>
      <c r="F39" s="16" t="n"/>
      <c r="G39" s="14" t="n"/>
      <c r="H39" s="14" t="n"/>
      <c r="I39" s="14" t="n"/>
    </row>
    <row r="40">
      <c r="A40" s="61" t="n">
        <v>36</v>
      </c>
      <c r="B40" s="14" t="n"/>
      <c r="C40" s="14" t="n"/>
      <c r="D40" s="14" t="n"/>
      <c r="E40" s="14" t="n"/>
      <c r="F40" s="16" t="n"/>
      <c r="G40" s="14" t="n"/>
      <c r="H40" s="14" t="n"/>
      <c r="I40" s="14" t="n"/>
    </row>
    <row r="41">
      <c r="A41" s="61" t="n">
        <v>37</v>
      </c>
      <c r="B41" s="14" t="n"/>
      <c r="C41" s="14" t="n"/>
      <c r="D41" s="14" t="n"/>
      <c r="E41" s="14" t="n"/>
      <c r="F41" s="16" t="n"/>
      <c r="G41" s="14" t="n"/>
      <c r="H41" s="14" t="n"/>
      <c r="I41" s="14" t="n"/>
    </row>
    <row r="42">
      <c r="A42" s="61" t="n">
        <v>38</v>
      </c>
      <c r="B42" s="14" t="n"/>
      <c r="C42" s="14" t="n"/>
      <c r="D42" s="14" t="n"/>
      <c r="E42" s="14" t="n"/>
      <c r="F42" s="16" t="n"/>
      <c r="G42" s="14" t="n"/>
      <c r="H42" s="14" t="n"/>
      <c r="I42" s="14" t="n"/>
    </row>
    <row r="43">
      <c r="A43" s="61" t="n">
        <v>39</v>
      </c>
      <c r="B43" s="14" t="n"/>
      <c r="C43" s="14" t="n"/>
      <c r="D43" s="14" t="n"/>
      <c r="E43" s="14" t="n"/>
      <c r="F43" s="16" t="n"/>
      <c r="G43" s="14" t="n"/>
      <c r="H43" s="14" t="n"/>
      <c r="I43" s="14" t="n"/>
    </row>
    <row r="44">
      <c r="A44" s="61" t="n">
        <v>40</v>
      </c>
      <c r="B44" s="14" t="n"/>
      <c r="C44" s="14" t="n"/>
      <c r="D44" s="14" t="n"/>
      <c r="E44" s="14" t="n"/>
      <c r="F44" s="16" t="n"/>
      <c r="G44" s="14" t="n"/>
      <c r="H44" s="14" t="n"/>
      <c r="I44" s="14" t="n"/>
    </row>
    <row r="45">
      <c r="A45" s="61" t="n">
        <v>41</v>
      </c>
      <c r="B45" s="14" t="n"/>
      <c r="C45" s="14" t="n"/>
      <c r="D45" s="14" t="n"/>
      <c r="E45" s="14" t="n"/>
      <c r="F45" s="16" t="n"/>
      <c r="G45" s="14" t="n"/>
      <c r="H45" s="14" t="n"/>
      <c r="I45" s="14" t="n"/>
    </row>
    <row r="46">
      <c r="A46" s="61" t="n">
        <v>42</v>
      </c>
      <c r="B46" s="14" t="n"/>
      <c r="C46" s="14" t="n"/>
      <c r="D46" s="14" t="n"/>
      <c r="E46" s="14" t="n"/>
      <c r="F46" s="16" t="n"/>
      <c r="G46" s="14" t="n"/>
      <c r="H46" s="14" t="n"/>
      <c r="I46" s="14" t="n"/>
    </row>
    <row r="47">
      <c r="A47" s="61" t="n">
        <v>43</v>
      </c>
      <c r="B47" s="14" t="n"/>
      <c r="C47" s="14" t="n"/>
      <c r="D47" s="14" t="n"/>
      <c r="E47" s="14" t="n"/>
      <c r="F47" s="16" t="n"/>
      <c r="G47" s="14" t="n"/>
      <c r="H47" s="14" t="n"/>
      <c r="I47" s="14" t="n"/>
    </row>
    <row r="48">
      <c r="A48" s="61" t="n">
        <v>44</v>
      </c>
      <c r="B48" s="14" t="n"/>
      <c r="C48" s="14" t="n"/>
      <c r="D48" s="14" t="n"/>
      <c r="E48" s="14" t="n"/>
      <c r="F48" s="16" t="n"/>
      <c r="G48" s="14" t="n"/>
      <c r="H48" s="14" t="n"/>
      <c r="I48" s="14" t="n"/>
    </row>
    <row r="49">
      <c r="A49" s="61" t="n">
        <v>45</v>
      </c>
      <c r="B49" s="14" t="n"/>
      <c r="C49" s="14" t="n"/>
      <c r="D49" s="14" t="n"/>
      <c r="E49" s="14" t="n"/>
      <c r="F49" s="16" t="n"/>
      <c r="G49" s="14" t="n"/>
      <c r="H49" s="14" t="n"/>
      <c r="I49" s="14" t="n"/>
    </row>
    <row r="50">
      <c r="A50" s="61" t="n">
        <v>46</v>
      </c>
      <c r="B50" s="14" t="n"/>
      <c r="C50" s="14" t="n"/>
      <c r="D50" s="14" t="n"/>
      <c r="E50" s="14" t="n"/>
      <c r="F50" s="16" t="n"/>
      <c r="G50" s="14" t="n"/>
      <c r="H50" s="14" t="n"/>
      <c r="I50" s="14" t="n"/>
    </row>
    <row r="51">
      <c r="A51" s="61" t="n">
        <v>47</v>
      </c>
      <c r="B51" s="14" t="n"/>
      <c r="C51" s="14" t="n"/>
      <c r="D51" s="14" t="n"/>
      <c r="E51" s="14" t="n"/>
      <c r="F51" s="16" t="n"/>
      <c r="G51" s="14" t="n"/>
      <c r="H51" s="14" t="n"/>
      <c r="I51" s="14" t="n"/>
    </row>
    <row r="52">
      <c r="A52" s="61" t="n">
        <v>48</v>
      </c>
      <c r="B52" s="14" t="n"/>
      <c r="C52" s="14" t="n"/>
      <c r="D52" s="14" t="n"/>
      <c r="E52" s="14" t="n"/>
      <c r="F52" s="16" t="n"/>
      <c r="G52" s="14" t="n"/>
      <c r="H52" s="14" t="n"/>
      <c r="I52" s="14" t="n"/>
    </row>
    <row r="53">
      <c r="A53" s="61" t="n">
        <v>49</v>
      </c>
      <c r="B53" s="14" t="n"/>
      <c r="C53" s="14" t="n"/>
      <c r="D53" s="14" t="n"/>
      <c r="E53" s="14" t="n"/>
      <c r="F53" s="16" t="n"/>
      <c r="G53" s="14" t="n"/>
      <c r="H53" s="14" t="n"/>
      <c r="I53" s="14" t="n"/>
    </row>
    <row r="54">
      <c r="A54" s="61" t="n">
        <v>50</v>
      </c>
      <c r="B54" s="14" t="n"/>
      <c r="C54" s="14" t="n"/>
      <c r="D54" s="14" t="n"/>
      <c r="E54" s="14" t="n"/>
      <c r="F54" s="16" t="n"/>
      <c r="G54" s="14" t="n"/>
      <c r="H54" s="14" t="n"/>
      <c r="I54" s="14" t="n"/>
    </row>
    <row r="55">
      <c r="A55" s="61" t="n">
        <v>51</v>
      </c>
      <c r="B55" s="14" t="n"/>
      <c r="C55" s="14" t="n"/>
      <c r="D55" s="14" t="n"/>
      <c r="E55" s="14" t="n"/>
      <c r="F55" s="16" t="n"/>
      <c r="G55" s="14" t="n"/>
      <c r="H55" s="14" t="n"/>
      <c r="I55" s="14" t="n"/>
    </row>
    <row r="56">
      <c r="A56" s="61" t="n">
        <v>52</v>
      </c>
      <c r="B56" s="14" t="n"/>
      <c r="C56" s="14" t="n"/>
      <c r="D56" s="14" t="n"/>
      <c r="E56" s="14" t="n"/>
      <c r="F56" s="16" t="n"/>
      <c r="G56" s="14" t="n"/>
      <c r="H56" s="14" t="n"/>
      <c r="I56" s="14" t="n"/>
    </row>
    <row r="57">
      <c r="A57" s="61" t="n">
        <v>53</v>
      </c>
      <c r="B57" s="14" t="n"/>
      <c r="C57" s="14" t="n"/>
      <c r="D57" s="14" t="n"/>
      <c r="E57" s="14" t="n"/>
      <c r="F57" s="16" t="n"/>
      <c r="G57" s="14" t="n"/>
      <c r="H57" s="14" t="n"/>
      <c r="I57" s="14" t="n"/>
    </row>
    <row r="58">
      <c r="A58" s="61" t="n">
        <v>54</v>
      </c>
      <c r="B58" s="14" t="n"/>
      <c r="C58" s="14" t="n"/>
      <c r="D58" s="14" t="n"/>
      <c r="E58" s="14" t="n"/>
      <c r="F58" s="16" t="n"/>
      <c r="G58" s="14" t="n"/>
      <c r="H58" s="14" t="n"/>
      <c r="I58" s="14" t="n"/>
    </row>
    <row r="59">
      <c r="A59" s="61" t="n">
        <v>55</v>
      </c>
      <c r="B59" s="14" t="n"/>
      <c r="C59" s="14" t="n"/>
      <c r="D59" s="14" t="n"/>
      <c r="E59" s="14" t="n"/>
      <c r="F59" s="16" t="n"/>
      <c r="G59" s="14" t="n"/>
      <c r="H59" s="14" t="n"/>
      <c r="I59" s="14" t="n"/>
    </row>
    <row r="60">
      <c r="A60" s="61" t="n">
        <v>56</v>
      </c>
      <c r="B60" s="14" t="n"/>
      <c r="C60" s="14" t="n"/>
      <c r="D60" s="14" t="n"/>
      <c r="E60" s="14" t="n"/>
      <c r="F60" s="16" t="n"/>
      <c r="G60" s="14" t="n"/>
      <c r="H60" s="14" t="n"/>
      <c r="I60" s="14" t="n"/>
    </row>
    <row r="61">
      <c r="A61" s="61" t="n">
        <v>57</v>
      </c>
      <c r="B61" s="14" t="n"/>
      <c r="C61" s="14" t="n"/>
      <c r="D61" s="14" t="n"/>
      <c r="E61" s="14" t="n"/>
      <c r="F61" s="16" t="n"/>
      <c r="G61" s="14" t="n"/>
      <c r="H61" s="14" t="n"/>
      <c r="I61" s="14" t="n"/>
    </row>
    <row r="62">
      <c r="A62" s="61" t="n">
        <v>58</v>
      </c>
      <c r="B62" s="14" t="n"/>
      <c r="C62" s="14" t="n"/>
      <c r="D62" s="14" t="n"/>
      <c r="E62" s="14" t="n"/>
      <c r="F62" s="16" t="n"/>
      <c r="G62" s="14" t="n"/>
      <c r="H62" s="14" t="n"/>
      <c r="I62" s="14" t="n"/>
    </row>
    <row r="63">
      <c r="A63" s="61" t="n">
        <v>59</v>
      </c>
      <c r="B63" s="14" t="n"/>
      <c r="C63" s="14" t="n"/>
      <c r="D63" s="14" t="n"/>
      <c r="E63" s="14" t="n"/>
      <c r="F63" s="16" t="n"/>
      <c r="G63" s="14" t="n"/>
      <c r="H63" s="14" t="n"/>
      <c r="I63" s="14" t="n"/>
    </row>
    <row r="64">
      <c r="A64" s="61" t="n">
        <v>60</v>
      </c>
      <c r="B64" s="14" t="n"/>
      <c r="C64" s="14" t="n"/>
      <c r="D64" s="14" t="n"/>
      <c r="E64" s="14" t="n"/>
      <c r="F64" s="16" t="n"/>
      <c r="G64" s="14" t="n"/>
      <c r="H64" s="14" t="n"/>
      <c r="I64" s="14" t="n"/>
    </row>
    <row r="65">
      <c r="A65" s="61" t="n">
        <v>61</v>
      </c>
      <c r="B65" s="14" t="n"/>
      <c r="C65" s="14" t="n"/>
      <c r="D65" s="14" t="n"/>
      <c r="E65" s="14" t="n"/>
      <c r="F65" s="16" t="n"/>
      <c r="G65" s="14" t="n"/>
      <c r="H65" s="14" t="n"/>
      <c r="I65" s="14" t="n"/>
    </row>
    <row r="66">
      <c r="A66" s="61" t="n">
        <v>62</v>
      </c>
      <c r="B66" s="14" t="n"/>
      <c r="C66" s="14" t="n"/>
      <c r="D66" s="14" t="n"/>
      <c r="E66" s="14" t="n"/>
      <c r="F66" s="16" t="n"/>
      <c r="G66" s="14" t="n"/>
      <c r="H66" s="14" t="n"/>
      <c r="I66" s="14" t="n"/>
    </row>
    <row r="67">
      <c r="A67" s="61" t="n">
        <v>63</v>
      </c>
      <c r="B67" s="14" t="n"/>
      <c r="C67" s="14" t="n"/>
      <c r="D67" s="14" t="n"/>
      <c r="E67" s="14" t="n"/>
      <c r="F67" s="16" t="n"/>
      <c r="G67" s="14" t="n"/>
      <c r="H67" s="14" t="n"/>
      <c r="I67" s="14" t="n"/>
    </row>
    <row r="68">
      <c r="A68" s="61" t="n">
        <v>64</v>
      </c>
      <c r="B68" s="14" t="n"/>
      <c r="C68" s="14" t="n"/>
      <c r="D68" s="14" t="n"/>
      <c r="E68" s="14" t="n"/>
      <c r="F68" s="16" t="n"/>
      <c r="G68" s="14" t="n"/>
      <c r="H68" s="14" t="n"/>
      <c r="I68" s="14" t="n"/>
    </row>
    <row r="69">
      <c r="A69" s="61" t="n">
        <v>65</v>
      </c>
      <c r="B69" s="14" t="n"/>
      <c r="C69" s="14" t="n"/>
      <c r="D69" s="14" t="n"/>
      <c r="E69" s="14" t="n"/>
      <c r="F69" s="16" t="n"/>
      <c r="G69" s="14" t="n"/>
      <c r="H69" s="14" t="n"/>
      <c r="I69" s="14" t="n"/>
    </row>
    <row r="70">
      <c r="A70" s="61" t="n">
        <v>66</v>
      </c>
      <c r="B70" s="14" t="n"/>
      <c r="C70" s="14" t="n"/>
      <c r="D70" s="14" t="n"/>
      <c r="E70" s="14" t="n"/>
      <c r="F70" s="16" t="n"/>
      <c r="G70" s="14" t="n"/>
      <c r="H70" s="14" t="n"/>
      <c r="I70" s="14" t="n"/>
    </row>
    <row r="71">
      <c r="A71" s="61" t="n">
        <v>67</v>
      </c>
      <c r="B71" s="14" t="n"/>
      <c r="C71" s="14" t="n"/>
      <c r="D71" s="14" t="n"/>
      <c r="E71" s="14" t="n"/>
      <c r="F71" s="16" t="n"/>
      <c r="G71" s="14" t="n"/>
      <c r="H71" s="14" t="n"/>
      <c r="I71" s="14" t="n"/>
    </row>
    <row r="72">
      <c r="A72" s="61" t="n">
        <v>68</v>
      </c>
      <c r="B72" s="14" t="n"/>
      <c r="C72" s="14" t="n"/>
      <c r="D72" s="14" t="n"/>
      <c r="E72" s="14" t="n"/>
      <c r="F72" s="16" t="n"/>
      <c r="G72" s="14" t="n"/>
      <c r="H72" s="14" t="n"/>
      <c r="I72" s="14" t="n"/>
    </row>
    <row r="73">
      <c r="A73" s="61" t="n">
        <v>69</v>
      </c>
      <c r="B73" s="14" t="n"/>
      <c r="C73" s="14" t="n"/>
      <c r="D73" s="14" t="n"/>
      <c r="E73" s="14" t="n"/>
      <c r="F73" s="16" t="n"/>
      <c r="G73" s="14" t="n"/>
      <c r="H73" s="14" t="n"/>
      <c r="I73" s="14" t="n"/>
    </row>
    <row r="74">
      <c r="A74" s="61" t="n">
        <v>70</v>
      </c>
      <c r="B74" s="14" t="n"/>
      <c r="C74" s="14" t="n"/>
      <c r="D74" s="14" t="n"/>
      <c r="E74" s="14" t="n"/>
      <c r="F74" s="16" t="n"/>
      <c r="G74" s="14" t="n"/>
      <c r="H74" s="14" t="n"/>
      <c r="I74" s="14" t="n"/>
    </row>
    <row r="75">
      <c r="A75" s="61" t="n">
        <v>71</v>
      </c>
      <c r="B75" s="14" t="n"/>
      <c r="C75" s="14" t="n"/>
      <c r="D75" s="14" t="n"/>
      <c r="E75" s="14" t="n"/>
      <c r="F75" s="16" t="n"/>
      <c r="G75" s="14" t="n"/>
      <c r="H75" s="14" t="n"/>
      <c r="I75" s="14" t="n"/>
    </row>
    <row r="76">
      <c r="A76" s="61" t="n">
        <v>72</v>
      </c>
      <c r="B76" s="14" t="n"/>
      <c r="C76" s="14" t="n"/>
      <c r="D76" s="14" t="n"/>
      <c r="E76" s="14" t="n"/>
      <c r="F76" s="16" t="n"/>
      <c r="G76" s="14" t="n"/>
      <c r="H76" s="14" t="n"/>
      <c r="I76" s="14" t="n"/>
    </row>
    <row r="77">
      <c r="A77" s="61" t="n">
        <v>73</v>
      </c>
      <c r="B77" s="14" t="n"/>
      <c r="C77" s="14" t="n"/>
      <c r="D77" s="14" t="n"/>
      <c r="E77" s="14" t="n"/>
      <c r="F77" s="16" t="n"/>
      <c r="G77" s="14" t="n"/>
      <c r="H77" s="14" t="n"/>
      <c r="I77" s="14" t="n"/>
    </row>
    <row r="78">
      <c r="A78" s="61" t="n">
        <v>74</v>
      </c>
      <c r="B78" s="14" t="n"/>
      <c r="C78" s="14" t="n"/>
      <c r="D78" s="14" t="n"/>
      <c r="E78" s="14" t="n"/>
      <c r="F78" s="16" t="n"/>
      <c r="G78" s="14" t="n"/>
      <c r="H78" s="14" t="n"/>
      <c r="I78" s="14" t="n"/>
    </row>
    <row r="79">
      <c r="A79" s="61" t="n">
        <v>75</v>
      </c>
      <c r="B79" s="14" t="n"/>
      <c r="C79" s="14" t="n"/>
      <c r="D79" s="14" t="n"/>
      <c r="E79" s="14" t="n"/>
      <c r="F79" s="16" t="n"/>
      <c r="G79" s="14" t="n"/>
      <c r="H79" s="14" t="n"/>
      <c r="I79" s="14" t="n"/>
    </row>
    <row r="80">
      <c r="A80" s="61" t="n">
        <v>76</v>
      </c>
      <c r="B80" s="14" t="n"/>
      <c r="C80" s="14" t="n"/>
      <c r="D80" s="14" t="n"/>
      <c r="E80" s="14" t="n"/>
      <c r="F80" s="16" t="n"/>
      <c r="G80" s="14" t="n"/>
      <c r="H80" s="14" t="n"/>
      <c r="I80" s="14" t="n"/>
    </row>
    <row r="81">
      <c r="A81" s="61" t="n">
        <v>77</v>
      </c>
      <c r="B81" s="14" t="n"/>
      <c r="C81" s="14" t="n"/>
      <c r="D81" s="14" t="n"/>
      <c r="E81" s="14" t="n"/>
      <c r="F81" s="16" t="n"/>
      <c r="G81" s="14" t="n"/>
      <c r="H81" s="14" t="n"/>
      <c r="I81" s="14" t="n"/>
    </row>
    <row r="82">
      <c r="A82" s="61" t="n">
        <v>78</v>
      </c>
      <c r="B82" s="14" t="n"/>
      <c r="C82" s="14" t="n"/>
      <c r="D82" s="14" t="n"/>
      <c r="E82" s="14" t="n"/>
      <c r="F82" s="16" t="n"/>
      <c r="G82" s="14" t="n"/>
      <c r="H82" s="14" t="n"/>
      <c r="I82" s="14" t="n"/>
    </row>
    <row r="83">
      <c r="A83" s="61" t="n">
        <v>79</v>
      </c>
      <c r="B83" s="14" t="n"/>
      <c r="C83" s="14" t="n"/>
      <c r="D83" s="14" t="n"/>
      <c r="E83" s="14" t="n"/>
      <c r="F83" s="16" t="n"/>
      <c r="G83" s="14" t="n"/>
      <c r="H83" s="14" t="n"/>
      <c r="I83" s="14" t="n"/>
    </row>
    <row r="84">
      <c r="A84" s="61" t="n">
        <v>80</v>
      </c>
      <c r="B84" s="14" t="n"/>
      <c r="C84" s="14" t="n"/>
      <c r="D84" s="14" t="n"/>
      <c r="E84" s="14" t="n"/>
      <c r="F84" s="16" t="n"/>
      <c r="G84" s="14" t="n"/>
      <c r="H84" s="14" t="n"/>
      <c r="I84" s="14" t="n"/>
    </row>
    <row r="85">
      <c r="A85" s="61" t="n">
        <v>81</v>
      </c>
      <c r="B85" s="14" t="n"/>
      <c r="C85" s="14" t="n"/>
      <c r="D85" s="14" t="n"/>
      <c r="E85" s="14" t="n"/>
      <c r="F85" s="16" t="n"/>
      <c r="G85" s="14" t="n"/>
      <c r="H85" s="14" t="n"/>
      <c r="I85" s="14" t="n"/>
    </row>
    <row r="86">
      <c r="A86" s="61" t="n">
        <v>82</v>
      </c>
      <c r="B86" s="14" t="n"/>
      <c r="C86" s="14" t="n"/>
      <c r="D86" s="14" t="n"/>
      <c r="E86" s="14" t="n"/>
      <c r="F86" s="16" t="n"/>
      <c r="G86" s="14" t="n"/>
      <c r="H86" s="14" t="n"/>
      <c r="I86" s="14" t="n"/>
    </row>
    <row r="87">
      <c r="A87" s="61" t="n">
        <v>83</v>
      </c>
      <c r="B87" s="14" t="n"/>
      <c r="C87" s="14" t="n"/>
      <c r="D87" s="14" t="n"/>
      <c r="E87" s="14" t="n"/>
      <c r="F87" s="16" t="n"/>
      <c r="G87" s="14" t="n"/>
      <c r="H87" s="14" t="n"/>
      <c r="I87" s="14" t="n"/>
    </row>
    <row r="88">
      <c r="A88" s="61" t="n">
        <v>84</v>
      </c>
      <c r="B88" s="14" t="n"/>
      <c r="C88" s="14" t="n"/>
      <c r="D88" s="14" t="n"/>
      <c r="E88" s="14" t="n"/>
      <c r="F88" s="16" t="n"/>
      <c r="G88" s="14" t="n"/>
      <c r="H88" s="14" t="n"/>
      <c r="I88" s="14" t="n"/>
    </row>
    <row r="89">
      <c r="A89" s="61" t="n">
        <v>85</v>
      </c>
      <c r="B89" s="14" t="n"/>
      <c r="C89" s="14" t="n"/>
      <c r="D89" s="14" t="n"/>
      <c r="E89" s="14" t="n"/>
      <c r="F89" s="16" t="n"/>
      <c r="G89" s="14" t="n"/>
      <c r="H89" s="14" t="n"/>
      <c r="I89" s="14" t="n"/>
    </row>
    <row r="90">
      <c r="A90" s="61" t="n">
        <v>86</v>
      </c>
      <c r="B90" s="14" t="n"/>
      <c r="C90" s="14" t="n"/>
      <c r="D90" s="14" t="n"/>
      <c r="E90" s="14" t="n"/>
      <c r="F90" s="16" t="n"/>
      <c r="G90" s="14" t="n"/>
      <c r="H90" s="14" t="n"/>
      <c r="I90" s="14" t="n"/>
    </row>
    <row r="91">
      <c r="A91" s="61" t="n">
        <v>87</v>
      </c>
      <c r="B91" s="14" t="n"/>
      <c r="C91" s="14" t="n"/>
      <c r="D91" s="14" t="n"/>
      <c r="E91" s="14" t="n"/>
      <c r="F91" s="16" t="n"/>
      <c r="G91" s="14" t="n"/>
      <c r="H91" s="14" t="n"/>
      <c r="I91" s="14" t="n"/>
    </row>
    <row r="92">
      <c r="A92" s="61" t="n">
        <v>88</v>
      </c>
      <c r="B92" s="14" t="n"/>
      <c r="C92" s="14" t="n"/>
      <c r="D92" s="14" t="n"/>
      <c r="E92" s="14" t="n"/>
      <c r="F92" s="16" t="n"/>
      <c r="G92" s="14" t="n"/>
      <c r="H92" s="14" t="n"/>
      <c r="I92" s="14" t="n"/>
    </row>
    <row r="93">
      <c r="A93" s="61" t="n">
        <v>89</v>
      </c>
      <c r="B93" s="14" t="n"/>
      <c r="C93" s="14" t="n"/>
      <c r="D93" s="14" t="n"/>
      <c r="E93" s="14" t="n"/>
      <c r="F93" s="16" t="n"/>
      <c r="G93" s="14" t="n"/>
      <c r="H93" s="14" t="n"/>
      <c r="I93" s="14" t="n"/>
    </row>
    <row r="94">
      <c r="A94" s="61" t="n">
        <v>90</v>
      </c>
      <c r="B94" s="14" t="n"/>
      <c r="C94" s="14" t="n"/>
      <c r="D94" s="14" t="n"/>
      <c r="E94" s="14" t="n"/>
      <c r="F94" s="16" t="n"/>
      <c r="G94" s="14" t="n"/>
      <c r="H94" s="14" t="n"/>
      <c r="I94" s="14" t="n"/>
    </row>
    <row r="95">
      <c r="A95" s="61" t="n">
        <v>91</v>
      </c>
      <c r="B95" s="14" t="n"/>
      <c r="C95" s="14" t="n"/>
      <c r="D95" s="14" t="n"/>
      <c r="E95" s="14" t="n"/>
      <c r="F95" s="16" t="n"/>
      <c r="G95" s="14" t="n"/>
      <c r="H95" s="14" t="n"/>
      <c r="I95" s="14" t="n"/>
    </row>
    <row r="96">
      <c r="A96" s="61" t="n">
        <v>92</v>
      </c>
      <c r="B96" s="14" t="n"/>
      <c r="C96" s="14" t="n"/>
      <c r="D96" s="14" t="n"/>
      <c r="E96" s="14" t="n"/>
      <c r="F96" s="16" t="n"/>
      <c r="G96" s="14" t="n"/>
      <c r="H96" s="14" t="n"/>
      <c r="I96" s="14" t="n"/>
    </row>
    <row r="97">
      <c r="A97" s="61" t="n">
        <v>93</v>
      </c>
      <c r="B97" s="14" t="n"/>
      <c r="C97" s="14" t="n"/>
      <c r="D97" s="14" t="n"/>
      <c r="E97" s="14" t="n"/>
      <c r="F97" s="16" t="n"/>
      <c r="G97" s="14" t="n"/>
      <c r="H97" s="14" t="n"/>
      <c r="I97" s="14" t="n"/>
    </row>
    <row r="98">
      <c r="A98" s="61" t="n">
        <v>94</v>
      </c>
      <c r="B98" s="14" t="n"/>
      <c r="C98" s="14" t="n"/>
      <c r="D98" s="14" t="n"/>
      <c r="E98" s="14" t="n"/>
      <c r="F98" s="16" t="n"/>
      <c r="G98" s="14" t="n"/>
      <c r="H98" s="14" t="n"/>
      <c r="I98" s="14" t="n"/>
    </row>
    <row r="99">
      <c r="A99" s="61" t="n">
        <v>95</v>
      </c>
      <c r="B99" s="14" t="n"/>
      <c r="C99" s="14" t="n"/>
      <c r="D99" s="14" t="n"/>
      <c r="E99" s="14" t="n"/>
      <c r="F99" s="16" t="n"/>
      <c r="G99" s="14" t="n"/>
      <c r="H99" s="14" t="n"/>
      <c r="I99" s="14" t="n"/>
    </row>
    <row r="100">
      <c r="A100" s="61" t="n">
        <v>96</v>
      </c>
      <c r="B100" s="14" t="n"/>
      <c r="C100" s="14" t="n"/>
      <c r="D100" s="14" t="n"/>
      <c r="E100" s="14" t="n"/>
      <c r="F100" s="16" t="n"/>
      <c r="G100" s="14" t="n"/>
      <c r="H100" s="14" t="n"/>
      <c r="I100" s="14" t="n"/>
    </row>
    <row r="101">
      <c r="A101" s="61" t="n">
        <v>97</v>
      </c>
      <c r="B101" s="14" t="n"/>
      <c r="C101" s="14" t="n"/>
      <c r="D101" s="14" t="n"/>
      <c r="E101" s="14" t="n"/>
      <c r="F101" s="16" t="n"/>
      <c r="G101" s="14" t="n"/>
      <c r="H101" s="14" t="n"/>
      <c r="I101" s="14" t="n"/>
    </row>
    <row r="102">
      <c r="A102" s="61" t="n">
        <v>98</v>
      </c>
      <c r="B102" s="14" t="n"/>
      <c r="C102" s="14" t="n"/>
      <c r="D102" s="14" t="n"/>
      <c r="E102" s="14" t="n"/>
      <c r="F102" s="16" t="n"/>
      <c r="G102" s="14" t="n"/>
      <c r="H102" s="14" t="n"/>
      <c r="I102" s="14" t="n"/>
    </row>
    <row r="103">
      <c r="A103" s="61" t="n">
        <v>99</v>
      </c>
      <c r="B103" s="14" t="n"/>
      <c r="C103" s="14" t="n"/>
      <c r="D103" s="14" t="n"/>
      <c r="E103" s="14" t="n"/>
      <c r="F103" s="16" t="n"/>
      <c r="G103" s="14" t="n"/>
      <c r="H103" s="14" t="n"/>
      <c r="I103" s="14" t="n"/>
    </row>
    <row r="104">
      <c r="A104" s="61" t="n">
        <v>100</v>
      </c>
      <c r="B104" s="14" t="n"/>
      <c r="C104" s="14" t="n"/>
      <c r="D104" s="14" t="n"/>
      <c r="E104" s="14" t="n"/>
      <c r="F104" s="16"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&amp;K004EA8Drop 0 Configuration Inputs&amp;R&amp;8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 BIBS Drop-0 Configuration Inputs v2.1</dc:title>
  <dc:subject>BDO Insure Brokering System (BIBS)</dc:subject>
  <dc:creator>iorta TechNXT</dc:creator>
  <cp:lastModifiedBy>iorta TechNXT</cp:lastModifiedBy>
  <dcterms:created xsi:type="dcterms:W3CDTF">2026-10-10T10:46:37Z</dcterms:created>
  <dcterms:modified xsi:type="dcterms:W3CDTF">2026-10-10T10:46:40Z</dcterms:modified>
</cp:coreProperties>
</file>