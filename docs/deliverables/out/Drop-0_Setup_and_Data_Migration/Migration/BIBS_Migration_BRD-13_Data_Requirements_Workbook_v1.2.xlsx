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Object Register" sheetId="3" state="visible" r:id="rId3"/>
    <sheet xmlns:r="http://schemas.openxmlformats.org/officeDocument/2006/relationships" name="File Contract" sheetId="4" state="visible" r:id="rId4"/>
    <sheet xmlns:r="http://schemas.openxmlformats.org/officeDocument/2006/relationships" name="R01 LOV and MIS values" sheetId="5" state="visible" r:id="rId5"/>
    <sheet xmlns:r="http://schemas.openxmlformats.org/officeDocument/2006/relationships" name="R02 Branches" sheetId="6" state="visible" r:id="rId6"/>
    <sheet xmlns:r="http://schemas.openxmlformats.org/officeDocument/2006/relationships" name="R03 Sales organisation" sheetId="7" state="visible" r:id="rId7"/>
    <sheet xmlns:r="http://schemas.openxmlformats.org/officeDocument/2006/relationships" name="R04 Insurers" sheetId="8" state="visible" r:id="rId8"/>
    <sheet xmlns:r="http://schemas.openxmlformats.org/officeDocument/2006/relationships" name="R04B Insurer branches" sheetId="9" state="visible" r:id="rId9"/>
    <sheet xmlns:r="http://schemas.openxmlformats.org/officeDocument/2006/relationships" name="R05 Products and risk codes" sheetId="10" state="visible" r:id="rId10"/>
    <sheet xmlns:r="http://schemas.openxmlformats.org/officeDocument/2006/relationships" name="R06 PACKAGE map" sheetId="11" state="visible" r:id="rId11"/>
    <sheet xmlns:r="http://schemas.openxmlformats.org/officeDocument/2006/relationships" name="R07 Commission rates" sheetId="12" state="visible" r:id="rId12"/>
    <sheet xmlns:r="http://schemas.openxmlformats.org/officeDocument/2006/relationships" name="R08 GL account map" sheetId="13" state="visible" r:id="rId13"/>
    <sheet xmlns:r="http://schemas.openxmlformats.org/officeDocument/2006/relationships" name="R09 Payees" sheetId="14" state="visible" r:id="rId14"/>
    <sheet xmlns:r="http://schemas.openxmlformats.org/officeDocument/2006/relationships" name="R11 Receipt series" sheetId="15" state="visible" r:id="rId15"/>
    <sheet xmlns:r="http://schemas.openxmlformats.org/officeDocument/2006/relationships" name="C01 Client master" sheetId="16" state="visible" r:id="rId16"/>
    <sheet xmlns:r="http://schemas.openxmlformats.org/officeDocument/2006/relationships" name="C02 Client addresses" sheetId="17" state="visible" r:id="rId17"/>
    <sheet xmlns:r="http://schemas.openxmlformats.org/officeDocument/2006/relationships" name="C03 Payout accounts" sheetId="18" state="visible" r:id="rId18"/>
    <sheet xmlns:r="http://schemas.openxmlformats.org/officeDocument/2006/relationships" name="P01 Policy headers" sheetId="19" state="visible" r:id="rId19"/>
    <sheet xmlns:r="http://schemas.openxmlformats.org/officeDocument/2006/relationships" name="P01S Policy shares" sheetId="20" state="visible" r:id="rId20"/>
    <sheet xmlns:r="http://schemas.openxmlformats.org/officeDocument/2006/relationships" name="P03 RA already sent" sheetId="21" state="visible" r:id="rId21"/>
    <sheet xmlns:r="http://schemas.openxmlformats.org/officeDocument/2006/relationships" name="F01 Invoice header" sheetId="22" state="visible" r:id="rId22"/>
    <sheet xmlns:r="http://schemas.openxmlformats.org/officeDocument/2006/relationships" name="F01S Invoice shares" sheetId="23" state="visible" r:id="rId23"/>
    <sheet xmlns:r="http://schemas.openxmlformats.org/officeDocument/2006/relationships" name="F01C Invoice components" sheetId="24" state="visible" r:id="rId24"/>
    <sheet xmlns:r="http://schemas.openxmlformats.org/officeDocument/2006/relationships" name="F02 UPP" sheetId="25" state="visible" r:id="rId25"/>
    <sheet xmlns:r="http://schemas.openxmlformats.org/officeDocument/2006/relationships" name="F03 Open collection state" sheetId="26" state="visible" r:id="rId26"/>
    <sheet xmlns:r="http://schemas.openxmlformats.org/officeDocument/2006/relationships" name="F04 Remittance in flight" sheetId="27" state="visible" r:id="rId27"/>
    <sheet xmlns:r="http://schemas.openxmlformats.org/officeDocument/2006/relationships" name="F06 PDCs pick-ups refunds" sheetId="28" state="visible" r:id="rId28"/>
    <sheet xmlns:r="http://schemas.openxmlformats.org/officeDocument/2006/relationships" name="G01 GL trial balance" sheetId="29" state="visible" r:id="rId29"/>
    <sheet xmlns:r="http://schemas.openxmlformats.org/officeDocument/2006/relationships" name="G03 True-up journals" sheetId="30" state="visible" r:id="rId30"/>
    <sheet xmlns:r="http://schemas.openxmlformats.org/officeDocument/2006/relationships" name="G03D True-up item detail" sheetId="31" state="visible" r:id="rId31"/>
    <sheet xmlns:r="http://schemas.openxmlformats.org/officeDocument/2006/relationships" name="H01 Archive records" sheetId="32" state="visible" r:id="rId32"/>
    <sheet xmlns:r="http://schemas.openxmlformats.org/officeDocument/2006/relationships" name="H02 Archive documents" sheetId="33" state="visible" r:id="rId33"/>
    <sheet xmlns:r="http://schemas.openxmlformats.org/officeDocument/2006/relationships" name="Control File" sheetId="34" state="visible" r:id="rId34"/>
    <sheet xmlns:r="http://schemas.openxmlformats.org/officeDocument/2006/relationships" name="Control Example" sheetId="35" state="visible" r:id="rId35"/>
    <sheet xmlns:r="http://schemas.openxmlformats.org/officeDocument/2006/relationships" name="Control Totals" sheetId="36" state="visible" r:id="rId36"/>
    <sheet xmlns:r="http://schemas.openxmlformats.org/officeDocument/2006/relationships" name="Code Map Sets" sheetId="37" state="visible" r:id="rId37"/>
    <sheet xmlns:r="http://schemas.openxmlformats.org/officeDocument/2006/relationships" name="Code Map Template" sheetId="38" state="visible" r:id="rId38"/>
    <sheet xmlns:r="http://schemas.openxmlformats.org/officeDocument/2006/relationships" name="DQ Rules" sheetId="39" state="visible" r:id="rId39"/>
    <sheet xmlns:r="http://schemas.openxmlformats.org/officeDocument/2006/relationships" name="Open Decisions" sheetId="40" state="visible" r:id="rId40"/>
    <sheet xmlns:r="http://schemas.openxmlformats.org/officeDocument/2006/relationships" name="Milestones" sheetId="41" state="visible" r:id="rId41"/>
    <sheet xmlns:r="http://schemas.openxmlformats.org/officeDocument/2006/relationships" name="_lists" sheetId="42" state="hidden" r:id="rId42"/>
  </sheets>
  <definedNames>
    <definedName name="_xlnm._FilterDatabase" localSheetId="1" hidden="1">'README'!$A$4:$D$446</definedName>
    <definedName name="_xlnm.Print_Titles" localSheetId="1">'README'!$4:$4</definedName>
    <definedName name="_xlnm._FilterDatabase" localSheetId="2" hidden="1">'Object Register'!$A$4:$T$36</definedName>
    <definedName name="_xlnm.Print_Titles" localSheetId="2">'Object Register'!$4:$4</definedName>
    <definedName name="_xlnm._FilterDatabase" localSheetId="3" hidden="1">'File Contract'!$A$4:$B$18</definedName>
    <definedName name="_xlnm.Print_Titles" localSheetId="3">'File Contract'!$4:$4</definedName>
    <definedName name="_xlnm._FilterDatabase" localSheetId="4" hidden="1">'R01 LOV and MIS values'!$A$4:$L$12</definedName>
    <definedName name="_xlnm.Print_Titles" localSheetId="4">'R01 LOV and MIS values'!$4:$4</definedName>
    <definedName name="_xlnm._FilterDatabase" localSheetId="5" hidden="1">'R02 Branches'!$A$4:$L$9</definedName>
    <definedName name="_xlnm.Print_Titles" localSheetId="5">'R02 Branches'!$4:$4</definedName>
    <definedName name="_xlnm._FilterDatabase" localSheetId="6" hidden="1">'R03 Sales organisation'!$A$4:$L$15</definedName>
    <definedName name="_xlnm.Print_Titles" localSheetId="6">'R03 Sales organisation'!$4:$4</definedName>
    <definedName name="_xlnm._FilterDatabase" localSheetId="7" hidden="1">'R04 Insurers'!$A$4:$L$14</definedName>
    <definedName name="_xlnm.Print_Titles" localSheetId="7">'R04 Insurers'!$4:$4</definedName>
    <definedName name="_xlnm._FilterDatabase" localSheetId="8" hidden="1">'R04B Insurer branches'!$A$4:$L$11</definedName>
    <definedName name="_xlnm.Print_Titles" localSheetId="8">'R04B Insurer branches'!$4:$4</definedName>
    <definedName name="_xlnm._FilterDatabase" localSheetId="9" hidden="1">'R05 Products and risk codes'!$A$4:$L$13</definedName>
    <definedName name="_xlnm.Print_Titles" localSheetId="9">'R05 Products and risk codes'!$4:$4</definedName>
    <definedName name="_xlnm._FilterDatabase" localSheetId="10" hidden="1">'R06 PACKAGE map'!$A$4:$L$12</definedName>
    <definedName name="_xlnm.Print_Titles" localSheetId="10">'R06 PACKAGE map'!$4:$4</definedName>
    <definedName name="_xlnm._FilterDatabase" localSheetId="11" hidden="1">'R07 Commission rates'!$A$4:$L$9</definedName>
    <definedName name="_xlnm.Print_Titles" localSheetId="11">'R07 Commission rates'!$4:$4</definedName>
    <definedName name="_xlnm._FilterDatabase" localSheetId="12" hidden="1">'R08 GL account map'!$A$4:$L$12</definedName>
    <definedName name="_xlnm.Print_Titles" localSheetId="12">'R08 GL account map'!$4:$4</definedName>
    <definedName name="_xlnm._FilterDatabase" localSheetId="13" hidden="1">'R09 Payees'!$A$4:$L$15</definedName>
    <definedName name="_xlnm.Print_Titles" localSheetId="13">'R09 Payees'!$4:$4</definedName>
    <definedName name="_xlnm._FilterDatabase" localSheetId="14" hidden="1">'R11 Receipt series'!$A$4:$L$12</definedName>
    <definedName name="_xlnm.Print_Titles" localSheetId="14">'R11 Receipt series'!$4:$4</definedName>
    <definedName name="_xlnm._FilterDatabase" localSheetId="15" hidden="1">'C01 Client master'!$A$4:$L$40</definedName>
    <definedName name="_xlnm.Print_Titles" localSheetId="15">'C01 Client master'!$4:$4</definedName>
    <definedName name="_xlnm._FilterDatabase" localSheetId="16" hidden="1">'C02 Client addresses'!$A$4:$L$17</definedName>
    <definedName name="_xlnm.Print_Titles" localSheetId="16">'C02 Client addresses'!$4:$4</definedName>
    <definedName name="_xlnm._FilterDatabase" localSheetId="17" hidden="1">'C03 Payout accounts'!$A$4:$L$10</definedName>
    <definedName name="_xlnm.Print_Titles" localSheetId="17">'C03 Payout accounts'!$4:$4</definedName>
    <definedName name="_xlnm._FilterDatabase" localSheetId="18" hidden="1">'P01 Policy headers'!$A$4:$L$35</definedName>
    <definedName name="_xlnm.Print_Titles" localSheetId="18">'P01 Policy headers'!$4:$4</definedName>
    <definedName name="_xlnm._FilterDatabase" localSheetId="19" hidden="1">'P01S Policy shares'!$A$4:$L$10</definedName>
    <definedName name="_xlnm.Print_Titles" localSheetId="19">'P01S Policy shares'!$4:$4</definedName>
    <definedName name="_xlnm._FilterDatabase" localSheetId="20" hidden="1">'P03 RA already sent'!$A$4:$L$17</definedName>
    <definedName name="_xlnm.Print_Titles" localSheetId="20">'P03 RA already sent'!$4:$4</definedName>
    <definedName name="_xlnm._FilterDatabase" localSheetId="21" hidden="1">'F01 Invoice header'!$A$4:$L$42</definedName>
    <definedName name="_xlnm.Print_Titles" localSheetId="21">'F01 Invoice header'!$4:$4</definedName>
    <definedName name="_xlnm._FilterDatabase" localSheetId="22" hidden="1">'F01S Invoice shares'!$A$4:$L$9</definedName>
    <definedName name="_xlnm.Print_Titles" localSheetId="22">'F01S Invoice shares'!$4:$4</definedName>
    <definedName name="_xlnm._FilterDatabase" localSheetId="23" hidden="1">'F01C Invoice components'!$A$4:$L$12</definedName>
    <definedName name="_xlnm.Print_Titles" localSheetId="23">'F01C Invoice components'!$4:$4</definedName>
    <definedName name="_xlnm._FilterDatabase" localSheetId="24" hidden="1">'F02 UPP'!$A$4:$L$25</definedName>
    <definedName name="_xlnm.Print_Titles" localSheetId="24">'F02 UPP'!$4:$4</definedName>
    <definedName name="_xlnm._FilterDatabase" localSheetId="25" hidden="1">'F03 Open collection state'!$A$4:$L$16</definedName>
    <definedName name="_xlnm.Print_Titles" localSheetId="25">'F03 Open collection state'!$4:$4</definedName>
    <definedName name="_xlnm._FilterDatabase" localSheetId="26" hidden="1">'F04 Remittance in flight'!$A$4:$L$14</definedName>
    <definedName name="_xlnm.Print_Titles" localSheetId="26">'F04 Remittance in flight'!$4:$4</definedName>
    <definedName name="_xlnm._FilterDatabase" localSheetId="27" hidden="1">'F06 PDCs pick-ups refunds'!$A$4:$L$18</definedName>
    <definedName name="_xlnm.Print_Titles" localSheetId="27">'F06 PDCs pick-ups refunds'!$4:$4</definedName>
    <definedName name="_xlnm._FilterDatabase" localSheetId="28" hidden="1">'G01 GL trial balance'!$A$4:$L$15</definedName>
    <definedName name="_xlnm.Print_Titles" localSheetId="28">'G01 GL trial balance'!$4:$4</definedName>
    <definedName name="_xlnm._FilterDatabase" localSheetId="29" hidden="1">'G03 True-up journals'!$A$4:$L$23</definedName>
    <definedName name="_xlnm.Print_Titles" localSheetId="29">'G03 True-up journals'!$4:$4</definedName>
    <definedName name="_xlnm._FilterDatabase" localSheetId="30" hidden="1">'G03D True-up item detail'!$A$4:$L$14</definedName>
    <definedName name="_xlnm.Print_Titles" localSheetId="30">'G03D True-up item detail'!$4:$4</definedName>
    <definedName name="_xlnm._FilterDatabase" localSheetId="31" hidden="1">'H01 Archive records'!$A$4:$L$19</definedName>
    <definedName name="_xlnm.Print_Titles" localSheetId="31">'H01 Archive records'!$4:$4</definedName>
    <definedName name="_xlnm._FilterDatabase" localSheetId="32" hidden="1">'H02 Archive documents'!$A$4:$L$12</definedName>
    <definedName name="_xlnm.Print_Titles" localSheetId="32">'H02 Archive documents'!$4:$4</definedName>
    <definedName name="_xlnm._FilterDatabase" localSheetId="33" hidden="1">'Control File'!$A$4:$L$16</definedName>
    <definedName name="_xlnm.Print_Titles" localSheetId="33">'Control File'!$4:$4</definedName>
    <definedName name="_xlnm._FilterDatabase" localSheetId="34" hidden="1">'Control Example'!$A$4:$L$11</definedName>
    <definedName name="_xlnm.Print_Titles" localSheetId="34">'Control Example'!$4:$4</definedName>
    <definedName name="_xlnm._FilterDatabase" localSheetId="35" hidden="1">'Control Totals'!$A$4:$J$120</definedName>
    <definedName name="_xlnm.Print_Titles" localSheetId="35">'Control Totals'!$4:$4</definedName>
    <definedName name="_xlnm._FilterDatabase" localSheetId="36" hidden="1">'Code Map Sets'!$A$4:$G$24</definedName>
    <definedName name="_xlnm.Print_Titles" localSheetId="36">'Code Map Sets'!$4:$4</definedName>
    <definedName name="_xlnm._FilterDatabase" localSheetId="37" hidden="1">'Code Map Template'!$A$4:$K$15</definedName>
    <definedName name="_xlnm.Print_Titles" localSheetId="37">'Code Map Template'!$4:$4</definedName>
    <definedName name="_xlnm._FilterDatabase" localSheetId="38" hidden="1">'DQ Rules'!$A$4:$H$58</definedName>
    <definedName name="_xlnm.Print_Titles" localSheetId="38">'DQ Rules'!$4:$4</definedName>
    <definedName name="_xlnm._FilterDatabase" localSheetId="39" hidden="1">'Open Decisions'!$A$4:$I$46</definedName>
    <definedName name="_xlnm.Print_Titles" localSheetId="39">'Open Decisions'!$4:$4</definedName>
    <definedName name="_xlnm._FilterDatabase" localSheetId="40" hidden="1">'Milestones'!$A$4:$C$11</definedName>
    <definedName name="_xlnm.Print_Titles" localSheetId="40">'Milestones'!$4:$4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8A5A00"/>
      <sz val="10"/>
    </font>
    <font>
      <name val="Arial"/>
      <b val="1"/>
      <color rgb="002E7D32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7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4D6"/>
      </patternFill>
    </fill>
    <fill>
      <patternFill patternType="solid">
        <fgColor rgb="00E8F5E9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dxfs count="5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  <dxf>
      <fill>
        <patternFill patternType="solid">
          <fgColor rgb="00E5F5FF"/>
          <bgColor rgb="00E5F5FF"/>
        </patternFill>
      </fill>
    </dxf>
    <dxf>
      <font>
        <b val="1"/>
        <color rgb="00004EA8"/>
      </font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70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Object Register'!A1" TargetMode="External" Id="rId2"/><Relationship Type="http://schemas.openxmlformats.org/officeDocument/2006/relationships/hyperlink" Target="#'File Contract'!A1" TargetMode="External" Id="rId3"/><Relationship Type="http://schemas.openxmlformats.org/officeDocument/2006/relationships/hyperlink" Target="#'R01 LOV and MIS values'!A1" TargetMode="External" Id="rId4"/><Relationship Type="http://schemas.openxmlformats.org/officeDocument/2006/relationships/hyperlink" Target="#'R02 Branches'!A1" TargetMode="External" Id="rId5"/><Relationship Type="http://schemas.openxmlformats.org/officeDocument/2006/relationships/hyperlink" Target="#'R03 Sales organisation'!A1" TargetMode="External" Id="rId6"/><Relationship Type="http://schemas.openxmlformats.org/officeDocument/2006/relationships/hyperlink" Target="#'R04 Insurers'!A1" TargetMode="External" Id="rId7"/><Relationship Type="http://schemas.openxmlformats.org/officeDocument/2006/relationships/hyperlink" Target="#'R04B Insurer branches'!A1" TargetMode="External" Id="rId8"/><Relationship Type="http://schemas.openxmlformats.org/officeDocument/2006/relationships/hyperlink" Target="#'R05 Products and risk codes'!A1" TargetMode="External" Id="rId9"/><Relationship Type="http://schemas.openxmlformats.org/officeDocument/2006/relationships/hyperlink" Target="#'R06 PACKAGE map'!A1" TargetMode="External" Id="rId10"/><Relationship Type="http://schemas.openxmlformats.org/officeDocument/2006/relationships/hyperlink" Target="#'R07 Commission rates'!A1" TargetMode="External" Id="rId11"/><Relationship Type="http://schemas.openxmlformats.org/officeDocument/2006/relationships/hyperlink" Target="#'R08 GL account map'!A1" TargetMode="External" Id="rId12"/><Relationship Type="http://schemas.openxmlformats.org/officeDocument/2006/relationships/hyperlink" Target="#'R09 Payees'!A1" TargetMode="External" Id="rId13"/><Relationship Type="http://schemas.openxmlformats.org/officeDocument/2006/relationships/hyperlink" Target="#'R11 Receipt series'!A1" TargetMode="External" Id="rId14"/><Relationship Type="http://schemas.openxmlformats.org/officeDocument/2006/relationships/hyperlink" Target="#'C01 Client master'!A1" TargetMode="External" Id="rId15"/><Relationship Type="http://schemas.openxmlformats.org/officeDocument/2006/relationships/hyperlink" Target="#'C02 Client addresses'!A1" TargetMode="External" Id="rId16"/><Relationship Type="http://schemas.openxmlformats.org/officeDocument/2006/relationships/hyperlink" Target="#'C03 Payout accounts'!A1" TargetMode="External" Id="rId17"/><Relationship Type="http://schemas.openxmlformats.org/officeDocument/2006/relationships/hyperlink" Target="#'P01 Policy headers'!A1" TargetMode="External" Id="rId18"/><Relationship Type="http://schemas.openxmlformats.org/officeDocument/2006/relationships/hyperlink" Target="#'P01S Policy shares'!A1" TargetMode="External" Id="rId19"/><Relationship Type="http://schemas.openxmlformats.org/officeDocument/2006/relationships/hyperlink" Target="#'P03 RA already sent'!A1" TargetMode="External" Id="rId20"/><Relationship Type="http://schemas.openxmlformats.org/officeDocument/2006/relationships/hyperlink" Target="#'F01 Invoice header'!A1" TargetMode="External" Id="rId21"/><Relationship Type="http://schemas.openxmlformats.org/officeDocument/2006/relationships/hyperlink" Target="#'F01S Invoice shares'!A1" TargetMode="External" Id="rId22"/><Relationship Type="http://schemas.openxmlformats.org/officeDocument/2006/relationships/hyperlink" Target="#'F01C Invoice components'!A1" TargetMode="External" Id="rId23"/><Relationship Type="http://schemas.openxmlformats.org/officeDocument/2006/relationships/hyperlink" Target="#'F02 UPP'!A1" TargetMode="External" Id="rId24"/><Relationship Type="http://schemas.openxmlformats.org/officeDocument/2006/relationships/hyperlink" Target="#'F03 Open collection state'!A1" TargetMode="External" Id="rId25"/><Relationship Type="http://schemas.openxmlformats.org/officeDocument/2006/relationships/hyperlink" Target="#'F04 Remittance in flight'!A1" TargetMode="External" Id="rId26"/><Relationship Type="http://schemas.openxmlformats.org/officeDocument/2006/relationships/hyperlink" Target="#'F06 PDCs pick-ups refunds'!A1" TargetMode="External" Id="rId27"/><Relationship Type="http://schemas.openxmlformats.org/officeDocument/2006/relationships/hyperlink" Target="#'G01 GL trial balance'!A1" TargetMode="External" Id="rId28"/><Relationship Type="http://schemas.openxmlformats.org/officeDocument/2006/relationships/hyperlink" Target="#'G03 True-up journals'!A1" TargetMode="External" Id="rId29"/><Relationship Type="http://schemas.openxmlformats.org/officeDocument/2006/relationships/hyperlink" Target="#'G03D True-up item detail'!A1" TargetMode="External" Id="rId30"/><Relationship Type="http://schemas.openxmlformats.org/officeDocument/2006/relationships/hyperlink" Target="#'H01 Archive records'!A1" TargetMode="External" Id="rId31"/><Relationship Type="http://schemas.openxmlformats.org/officeDocument/2006/relationships/hyperlink" Target="#'H02 Archive documents'!A1" TargetMode="External" Id="rId32"/><Relationship Type="http://schemas.openxmlformats.org/officeDocument/2006/relationships/hyperlink" Target="#'Control File'!A1" TargetMode="External" Id="rId33"/><Relationship Type="http://schemas.openxmlformats.org/officeDocument/2006/relationships/hyperlink" Target="#'Control Example'!A1" TargetMode="External" Id="rId34"/><Relationship Type="http://schemas.openxmlformats.org/officeDocument/2006/relationships/hyperlink" Target="#'Control Totals'!A1" TargetMode="External" Id="rId35"/><Relationship Type="http://schemas.openxmlformats.org/officeDocument/2006/relationships/hyperlink" Target="#'Code Map Sets'!A1" TargetMode="External" Id="rId36"/><Relationship Type="http://schemas.openxmlformats.org/officeDocument/2006/relationships/hyperlink" Target="#'Code Map Template'!A1" TargetMode="External" Id="rId37"/><Relationship Type="http://schemas.openxmlformats.org/officeDocument/2006/relationships/hyperlink" Target="#'DQ Rules'!A1" TargetMode="External" Id="rId38"/><Relationship Type="http://schemas.openxmlformats.org/officeDocument/2006/relationships/hyperlink" Target="#'Open Decisions'!A1" TargetMode="External" Id="rId39"/><Relationship Type="http://schemas.openxmlformats.org/officeDocument/2006/relationships/hyperlink" Target="#'Milestones'!A1" TargetMode="External" Id="rId40"/><Relationship Type="http://schemas.openxmlformats.org/officeDocument/2006/relationships/drawing" Target="/xl/drawings/drawing1.xml" Id="rId4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7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DATA MIGRATION REQUIREMENTS</t>
        </is>
      </c>
    </row>
    <row r="7" ht="32" customHeight="1">
      <c r="B7" s="3" t="inlineStr">
        <is>
          <t>BDOI Data Requirements Workbook</t>
        </is>
      </c>
    </row>
    <row r="8">
      <c r="B8" s="4" t="inlineStr">
        <is>
          <t>BRD-13 Data Migration - what BDOI extracts, in which form, and by when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BRD-13</t>
        </is>
      </c>
    </row>
    <row r="13">
      <c r="B13" s="6" t="inlineStr">
        <is>
          <t>Version</t>
        </is>
      </c>
      <c r="C13" s="7" t="inlineStr">
        <is>
          <t>1.2</t>
        </is>
      </c>
    </row>
    <row r="14">
      <c r="B14" s="6" t="inlineStr">
        <is>
          <t>Date</t>
        </is>
      </c>
      <c r="C14" s="7" t="inlineStr">
        <is>
          <t>26 September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Object Register</t>
        </is>
      </c>
      <c r="C21" s="14" t="inlineStr">
        <is>
          <t>One row per data object with the proposed decision (BRID 1.1a); BDOI fills the volumes</t>
        </is>
      </c>
      <c r="D21" s="14" t="n">
        <v>32</v>
      </c>
    </row>
    <row r="22">
      <c r="B22" s="11" t="inlineStr">
        <is>
          <t>File Contract</t>
        </is>
      </c>
      <c r="C22" s="12" t="inlineStr">
        <is>
          <t>Rules for every extract and control file (FR-DM-010)</t>
        </is>
      </c>
      <c r="D22" s="12" t="n">
        <v>14</v>
      </c>
    </row>
    <row r="23">
      <c r="B23" s="13" t="inlineStr">
        <is>
          <t>R01 LOV and MIS values</t>
        </is>
      </c>
      <c r="C23" s="14" t="inlineStr">
        <is>
          <t>Layout R01 of object R01; key: list_type, code; template templates/R01_template.csv</t>
        </is>
      </c>
      <c r="D23" s="14" t="n">
        <v>8</v>
      </c>
    </row>
    <row r="24">
      <c r="B24" s="11" t="inlineStr">
        <is>
          <t>R02 Branches</t>
        </is>
      </c>
      <c r="C24" s="12" t="inlineStr">
        <is>
          <t>Layout R02 of object R02; key: branch_code; template templates/R02_template.csv</t>
        </is>
      </c>
      <c r="D24" s="12" t="n">
        <v>5</v>
      </c>
    </row>
    <row r="25">
      <c r="B25" s="13" t="inlineStr">
        <is>
          <t>R03 Sales organisation</t>
        </is>
      </c>
      <c r="C25" s="14" t="inlineStr">
        <is>
          <t>Layout R03 of object R03; key: record_type, unit_code, ao_user_id; template templates/R03_template.csv</t>
        </is>
      </c>
      <c r="D25" s="14" t="n">
        <v>11</v>
      </c>
    </row>
    <row r="26">
      <c r="B26" s="11" t="inlineStr">
        <is>
          <t>R04 Insurers</t>
        </is>
      </c>
      <c r="C26" s="12" t="inlineStr">
        <is>
          <t>Layout R04 of object R04; key: insurer_code; template templates/R04_template.csv</t>
        </is>
      </c>
      <c r="D26" s="12" t="n">
        <v>10</v>
      </c>
    </row>
    <row r="27">
      <c r="B27" s="13" t="inlineStr">
        <is>
          <t>R04B Insurer branches</t>
        </is>
      </c>
      <c r="C27" s="14" t="inlineStr">
        <is>
          <t>Layout R04B of object R04; key: insurer_code, branch_code; template templates/R04B_template.csv</t>
        </is>
      </c>
      <c r="D27" s="14" t="n">
        <v>7</v>
      </c>
    </row>
    <row r="28">
      <c r="B28" s="11" t="inlineStr">
        <is>
          <t>R05 Products and risk codes</t>
        </is>
      </c>
      <c r="C28" s="12" t="inlineStr">
        <is>
          <t>Layout R05 of object R05; key: risk_code; template templates/R05_template.csv</t>
        </is>
      </c>
      <c r="D28" s="12" t="n">
        <v>9</v>
      </c>
    </row>
    <row r="29">
      <c r="B29" s="13" t="inlineStr">
        <is>
          <t>R06 PACKAGE map</t>
        </is>
      </c>
      <c r="C29" s="14" t="inlineStr">
        <is>
          <t>Layout R06 of object R06; key: legacy_package_code, legacy_package_version, qualifier, qualifier_value; template templates/R06_template.csv</t>
        </is>
      </c>
      <c r="D29" s="14" t="n">
        <v>8</v>
      </c>
    </row>
    <row r="30">
      <c r="B30" s="11" t="inlineStr">
        <is>
          <t>R07 Commission rates</t>
        </is>
      </c>
      <c r="C30" s="12" t="inlineStr">
        <is>
          <t>Layout R07 of object R07; key: insurer_code, risk_code, effective_from; template templates/R07_template.csv</t>
        </is>
      </c>
      <c r="D30" s="12" t="n">
        <v>5</v>
      </c>
    </row>
    <row r="31">
      <c r="B31" s="13" t="inlineStr">
        <is>
          <t>R08 GL account map</t>
        </is>
      </c>
      <c r="C31" s="14" t="inlineStr">
        <is>
          <t>Layout R08 of object R08; key: legacy_account_code; template templates/R08_template.csv</t>
        </is>
      </c>
      <c r="D31" s="14" t="n">
        <v>8</v>
      </c>
    </row>
    <row r="32">
      <c r="B32" s="11" t="inlineStr">
        <is>
          <t>R09 Payees</t>
        </is>
      </c>
      <c r="C32" s="12" t="inlineStr">
        <is>
          <t>Layout R09 of object R09; key: payee_code; template templates/R09_template.csv</t>
        </is>
      </c>
      <c r="D32" s="12" t="n">
        <v>11</v>
      </c>
    </row>
    <row r="33">
      <c r="B33" s="13" t="inlineStr">
        <is>
          <t>R11 Receipt series</t>
        </is>
      </c>
      <c r="C33" s="14" t="inlineStr">
        <is>
          <t>Layout R11 of object R11; key: branch_code, kind, prefix; template templates/R11_template.csv</t>
        </is>
      </c>
      <c r="D33" s="14" t="n">
        <v>8</v>
      </c>
    </row>
    <row r="34">
      <c r="B34" s="11" t="inlineStr">
        <is>
          <t>C01 Client master</t>
        </is>
      </c>
      <c r="C34" s="12" t="inlineStr">
        <is>
          <t>Layout C01 of object C01; key: legacy_client_no; template templates/C01_template.csv</t>
        </is>
      </c>
      <c r="D34" s="12" t="n">
        <v>36</v>
      </c>
    </row>
    <row r="35">
      <c r="B35" s="13" t="inlineStr">
        <is>
          <t>C02 Client addresses</t>
        </is>
      </c>
      <c r="C35" s="14" t="inlineStr">
        <is>
          <t>Layout C02 of object C01; key: legacy_client_no, record_type, seq_no; template templates/C02_template.csv</t>
        </is>
      </c>
      <c r="D35" s="14" t="n">
        <v>13</v>
      </c>
    </row>
    <row r="36">
      <c r="B36" s="11" t="inlineStr">
        <is>
          <t>C03 Payout accounts</t>
        </is>
      </c>
      <c r="C36" s="12" t="inlineStr">
        <is>
          <t>Layout C03 of object C03; key: legacy_client_no, account_no; template templates/C03_template.csv</t>
        </is>
      </c>
      <c r="D36" s="12" t="n">
        <v>6</v>
      </c>
    </row>
    <row r="37">
      <c r="B37" s="13" t="inlineStr">
        <is>
          <t>P01 Policy headers</t>
        </is>
      </c>
      <c r="C37" s="14" t="inlineStr">
        <is>
          <t>Layout P01 of object P01; key: legacy_policy_ref; template templates/P01_template.csv</t>
        </is>
      </c>
      <c r="D37" s="14" t="n">
        <v>31</v>
      </c>
    </row>
    <row r="38">
      <c r="B38" s="11" t="inlineStr">
        <is>
          <t>P01S Policy shares</t>
        </is>
      </c>
      <c r="C38" s="12" t="inlineStr">
        <is>
          <t>Layout P01S of object P01; key: legacy_policy_ref, share_seq; template templates/P01S_template.csv</t>
        </is>
      </c>
      <c r="D38" s="12" t="n">
        <v>6</v>
      </c>
    </row>
    <row r="39">
      <c r="B39" s="13" t="inlineStr">
        <is>
          <t>P03 RA already sent</t>
        </is>
      </c>
      <c r="C39" s="14" t="inlineStr">
        <is>
          <t>Layout P03 of object P03; key: legacy_policy_ref; template templates/P03_template.csv</t>
        </is>
      </c>
      <c r="D39" s="14" t="n">
        <v>13</v>
      </c>
    </row>
    <row r="40">
      <c r="B40" s="11" t="inlineStr">
        <is>
          <t>F01 Invoice header</t>
        </is>
      </c>
      <c r="C40" s="12" t="inlineStr">
        <is>
          <t>Layout F01 of object F01; key: legacy_invoice_no; template templates/F01_template.csv</t>
        </is>
      </c>
      <c r="D40" s="12" t="n">
        <v>38</v>
      </c>
    </row>
    <row r="41">
      <c r="B41" s="13" t="inlineStr">
        <is>
          <t>F01S Invoice shares</t>
        </is>
      </c>
      <c r="C41" s="14" t="inlineStr">
        <is>
          <t>Layout F01S of object F01; key: legacy_invoice_no, share_seq; template templates/F01S_template.csv</t>
        </is>
      </c>
      <c r="D41" s="14" t="n">
        <v>5</v>
      </c>
    </row>
    <row r="42">
      <c r="B42" s="11" t="inlineStr">
        <is>
          <t>F01C Invoice components</t>
        </is>
      </c>
      <c r="C42" s="12" t="inlineStr">
        <is>
          <t>Layout F01C of object F01; key: legacy_invoice_no, component; template templates/F01C_template.csv</t>
        </is>
      </c>
      <c r="D42" s="12" t="n">
        <v>8</v>
      </c>
    </row>
    <row r="43">
      <c r="B43" s="13" t="inlineStr">
        <is>
          <t>F02 UPP</t>
        </is>
      </c>
      <c r="C43" s="14" t="inlineStr">
        <is>
          <t>Layout F02 of object F02; key: legacy_upp_ref; template templates/F02_template.csv</t>
        </is>
      </c>
      <c r="D43" s="14" t="n">
        <v>21</v>
      </c>
    </row>
    <row r="44">
      <c r="B44" s="11" t="inlineStr">
        <is>
          <t>F03 Open collection state</t>
        </is>
      </c>
      <c r="C44" s="12" t="inlineStr">
        <is>
          <t>Layout F03 of object F03; key: legacy_invoice_no, record_type, seq_no; template templates/F03_template.csv</t>
        </is>
      </c>
      <c r="D44" s="12" t="n">
        <v>12</v>
      </c>
    </row>
    <row r="45">
      <c r="B45" s="13" t="inlineStr">
        <is>
          <t>F04 Remittance in flight</t>
        </is>
      </c>
      <c r="C45" s="14" t="inlineStr">
        <is>
          <t>Layout F04 of object F04; key: legacy_batch_no, legacy_invoice_no; template templates/F04_template.csv</t>
        </is>
      </c>
      <c r="D45" s="14" t="n">
        <v>10</v>
      </c>
    </row>
    <row r="46">
      <c r="B46" s="11" t="inlineStr">
        <is>
          <t>F06 PDCs pick-ups refunds</t>
        </is>
      </c>
      <c r="C46" s="12" t="inlineStr">
        <is>
          <t>Layout F06 of object F06; key: record_type, reference; template templates/F06_template.csv</t>
        </is>
      </c>
      <c r="D46" s="12" t="n">
        <v>14</v>
      </c>
    </row>
    <row r="47">
      <c r="B47" s="13" t="inlineStr">
        <is>
          <t>G01 GL trial balance</t>
        </is>
      </c>
      <c r="C47" s="14" t="inlineStr">
        <is>
          <t>Layout G01 of object G01; key: branch_code, currency, legacy_account_code, cost_center; template templates/G01_template.csv</t>
        </is>
      </c>
      <c r="D47" s="14" t="n">
        <v>11</v>
      </c>
    </row>
    <row r="48">
      <c r="B48" s="11" t="inlineStr">
        <is>
          <t>G03 True-up journals</t>
        </is>
      </c>
      <c r="C48" s="12" t="inlineStr">
        <is>
          <t>Layout G03 of object G03; key: legacy_journal_no, line_no; template templates/G03_template.csv</t>
        </is>
      </c>
      <c r="D48" s="12" t="n">
        <v>19</v>
      </c>
    </row>
    <row r="49">
      <c r="B49" s="13" t="inlineStr">
        <is>
          <t>G03D True-up item detail</t>
        </is>
      </c>
      <c r="C49" s="14" t="inlineStr">
        <is>
          <t>Layout G03D of object G03; key: legacy_journal_no, line_no, item_ref, component; template templates/G03D_template.csv</t>
        </is>
      </c>
      <c r="D49" s="14" t="n">
        <v>10</v>
      </c>
    </row>
    <row r="50">
      <c r="B50" s="11" t="inlineStr">
        <is>
          <t>H01 Archive records</t>
        </is>
      </c>
      <c r="C50" s="12" t="inlineStr">
        <is>
          <t>Layout H01 of object H01; key: record_type, legacy_key; template templates/H01_template.csv</t>
        </is>
      </c>
      <c r="D50" s="12" t="n">
        <v>15</v>
      </c>
    </row>
    <row r="51">
      <c r="B51" s="13" t="inlineStr">
        <is>
          <t>H02 Archive documents</t>
        </is>
      </c>
      <c r="C51" s="14" t="inlineStr">
        <is>
          <t>Layout H02 of object H02; key: record_type, legacy_key, file_name; template templates/H02_template.csv</t>
        </is>
      </c>
      <c r="D51" s="14" t="n">
        <v>8</v>
      </c>
    </row>
    <row r="52">
      <c r="B52" s="11" t="inlineStr">
        <is>
          <t>Control File</t>
        </is>
      </c>
      <c r="C52" s="12" t="inlineStr">
        <is>
          <t>Layout of the control file sent with every data file (one row per measure)</t>
        </is>
      </c>
      <c r="D52" s="12" t="n">
        <v>12</v>
      </c>
    </row>
    <row r="53">
      <c r="B53" s="13" t="inlineStr">
        <is>
          <t>Control Example</t>
        </is>
      </c>
      <c r="C53" s="14" t="inlineStr">
        <is>
          <t>Example control file of F01C (made-up values)</t>
        </is>
      </c>
      <c r="D53" s="14" t="n">
        <v>7</v>
      </c>
    </row>
    <row r="54">
      <c r="B54" s="11" t="inlineStr">
        <is>
          <t>Control Totals</t>
        </is>
      </c>
      <c r="C54" s="12" t="inlineStr">
        <is>
          <t>Control totals required per layout; also the tie-out template of the reconciliation (L1-L3)</t>
        </is>
      </c>
      <c r="D54" s="12" t="n">
        <v>116</v>
      </c>
    </row>
    <row r="55">
      <c r="B55" s="13" t="inlineStr">
        <is>
          <t>Code Map Sets</t>
        </is>
      </c>
      <c r="C55" s="14" t="inlineStr">
        <is>
          <t>Code map sets (BRID 3.1): one per domain, versioned and approved</t>
        </is>
      </c>
      <c r="D55" s="14" t="n">
        <v>20</v>
      </c>
    </row>
    <row r="56">
      <c r="B56" s="11" t="inlineStr">
        <is>
          <t>Code Map Template</t>
        </is>
      </c>
      <c r="C56" s="12" t="inlineStr">
        <is>
          <t>Template of a code map version (examples in the first rows; one file per set, imported into the Migration Console as a DRAFT version)</t>
        </is>
      </c>
      <c r="D56" s="12" t="n">
        <v>11</v>
      </c>
    </row>
    <row r="57">
      <c r="B57" s="13" t="inlineStr">
        <is>
          <t>DQ Rules</t>
        </is>
      </c>
      <c r="C57" s="14" t="inlineStr">
        <is>
          <t>Data-quality rules applied in staging (FR-DM-013); thresholds - master data 0.5 % rejected or waived, financial objects 0</t>
        </is>
      </c>
      <c r="D57" s="14" t="n">
        <v>54</v>
      </c>
    </row>
    <row r="58">
      <c r="B58" s="11" t="inlineStr">
        <is>
          <t>Open Decisions</t>
        </is>
      </c>
      <c r="C58" s="12" t="inlineStr">
        <is>
          <t>Decisions that block the migration, with the date each is needed by</t>
        </is>
      </c>
      <c r="D58" s="12" t="n">
        <v>42</v>
      </c>
    </row>
    <row r="59">
      <c r="B59" s="13" t="inlineStr">
        <is>
          <t>Milestones</t>
        </is>
      </c>
      <c r="C59" s="14" t="inlineStr">
        <is>
          <t>Milestones used in the Due and Needed-by columns</t>
        </is>
      </c>
      <c r="D59" s="14" t="n">
        <v>7</v>
      </c>
    </row>
    <row r="61">
      <c r="B61" s="9" t="inlineStr">
        <is>
          <t>Legend</t>
        </is>
      </c>
    </row>
    <row r="62">
      <c r="B62" s="15" t="inlineStr">
        <is>
          <t>OPEN</t>
        </is>
      </c>
      <c r="C62" s="16" t="inlineStr">
        <is>
          <t>Not yet supplied or decided</t>
        </is>
      </c>
    </row>
    <row r="63">
      <c r="B63" s="15" t="inlineStr">
        <is>
          <t>IN PROGRESS</t>
        </is>
      </c>
      <c r="C63" s="16" t="inlineStr">
        <is>
          <t>Being prepared</t>
        </is>
      </c>
    </row>
    <row r="64">
      <c r="B64" s="17" t="inlineStr">
        <is>
          <t>DONE</t>
        </is>
      </c>
      <c r="C64" s="16" t="inlineStr">
        <is>
          <t>Supplied, checked and signed</t>
        </is>
      </c>
    </row>
    <row r="65">
      <c r="B65" s="18" t="inlineStr">
        <is>
          <t>N/A</t>
        </is>
      </c>
      <c r="C65" s="16" t="inlineStr">
        <is>
          <t>Not applicable (excluded object)</t>
        </is>
      </c>
    </row>
    <row r="67">
      <c r="B67" s="19" t="inlineStr">
        <is>
          <t>Each layout sheet is the contract of one extract file; the CSV template of the same code in the templates folder has exactly these field names as its header row.</t>
        </is>
      </c>
    </row>
    <row r="68">
      <c r="B68" s="19" t="inlineStr">
        <is>
          <t>Volumes, owners and stewards marked 'to name' or blank are filled by BDOI (DMQ01, DMQ28).</t>
        </is>
      </c>
    </row>
    <row r="69">
      <c r="B69" s="19" t="inlineStr">
        <is>
          <t>Sources: BDOI_DM_BRD_SPEC.md and DATA_MIGRATION_DESIGN.md (sections 2, 5, 7, 8, 12, 15, 17, 27); dates on the BDOI programme timeline (go-live January 2028).</t>
        </is>
      </c>
    </row>
    <row r="71" ht="26" customHeight="1">
      <c r="B71" s="20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  <hyperlink xmlns:r="http://schemas.openxmlformats.org/officeDocument/2006/relationships" ref="B29" r:id="rId10"/>
    <hyperlink xmlns:r="http://schemas.openxmlformats.org/officeDocument/2006/relationships" ref="B30" r:id="rId11"/>
    <hyperlink xmlns:r="http://schemas.openxmlformats.org/officeDocument/2006/relationships" ref="B31" r:id="rId12"/>
    <hyperlink xmlns:r="http://schemas.openxmlformats.org/officeDocument/2006/relationships" ref="B32" r:id="rId13"/>
    <hyperlink xmlns:r="http://schemas.openxmlformats.org/officeDocument/2006/relationships" ref="B33" r:id="rId14"/>
    <hyperlink xmlns:r="http://schemas.openxmlformats.org/officeDocument/2006/relationships" ref="B34" r:id="rId15"/>
    <hyperlink xmlns:r="http://schemas.openxmlformats.org/officeDocument/2006/relationships" ref="B35" r:id="rId16"/>
    <hyperlink xmlns:r="http://schemas.openxmlformats.org/officeDocument/2006/relationships" ref="B36" r:id="rId17"/>
    <hyperlink xmlns:r="http://schemas.openxmlformats.org/officeDocument/2006/relationships" ref="B37" r:id="rId18"/>
    <hyperlink xmlns:r="http://schemas.openxmlformats.org/officeDocument/2006/relationships" ref="B38" r:id="rId19"/>
    <hyperlink xmlns:r="http://schemas.openxmlformats.org/officeDocument/2006/relationships" ref="B39" r:id="rId20"/>
    <hyperlink xmlns:r="http://schemas.openxmlformats.org/officeDocument/2006/relationships" ref="B40" r:id="rId21"/>
    <hyperlink xmlns:r="http://schemas.openxmlformats.org/officeDocument/2006/relationships" ref="B41" r:id="rId22"/>
    <hyperlink xmlns:r="http://schemas.openxmlformats.org/officeDocument/2006/relationships" ref="B42" r:id="rId23"/>
    <hyperlink xmlns:r="http://schemas.openxmlformats.org/officeDocument/2006/relationships" ref="B43" r:id="rId24"/>
    <hyperlink xmlns:r="http://schemas.openxmlformats.org/officeDocument/2006/relationships" ref="B44" r:id="rId25"/>
    <hyperlink xmlns:r="http://schemas.openxmlformats.org/officeDocument/2006/relationships" ref="B45" r:id="rId26"/>
    <hyperlink xmlns:r="http://schemas.openxmlformats.org/officeDocument/2006/relationships" ref="B46" r:id="rId27"/>
    <hyperlink xmlns:r="http://schemas.openxmlformats.org/officeDocument/2006/relationships" ref="B47" r:id="rId28"/>
    <hyperlink xmlns:r="http://schemas.openxmlformats.org/officeDocument/2006/relationships" ref="B48" r:id="rId29"/>
    <hyperlink xmlns:r="http://schemas.openxmlformats.org/officeDocument/2006/relationships" ref="B49" r:id="rId30"/>
    <hyperlink xmlns:r="http://schemas.openxmlformats.org/officeDocument/2006/relationships" ref="B50" r:id="rId31"/>
    <hyperlink xmlns:r="http://schemas.openxmlformats.org/officeDocument/2006/relationships" ref="B51" r:id="rId32"/>
    <hyperlink xmlns:r="http://schemas.openxmlformats.org/officeDocument/2006/relationships" ref="B52" r:id="rId33"/>
    <hyperlink xmlns:r="http://schemas.openxmlformats.org/officeDocument/2006/relationships" ref="B53" r:id="rId34"/>
    <hyperlink xmlns:r="http://schemas.openxmlformats.org/officeDocument/2006/relationships" ref="B54" r:id="rId35"/>
    <hyperlink xmlns:r="http://schemas.openxmlformats.org/officeDocument/2006/relationships" ref="B55" r:id="rId36"/>
    <hyperlink xmlns:r="http://schemas.openxmlformats.org/officeDocument/2006/relationships" ref="B56" r:id="rId37"/>
    <hyperlink xmlns:r="http://schemas.openxmlformats.org/officeDocument/2006/relationships" ref="B57" r:id="rId38"/>
    <hyperlink xmlns:r="http://schemas.openxmlformats.org/officeDocument/2006/relationships" ref="B58" r:id="rId39"/>
    <hyperlink xmlns:r="http://schemas.openxmlformats.org/officeDocument/2006/relationships" ref="B59" r:id="rId40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  <drawing xmlns:r="http://schemas.openxmlformats.org/officeDocument/2006/relationships" r:id="rId4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1" t="inlineStr">
        <is>
          <t>README – columns of each sheet</t>
        </is>
      </c>
    </row>
    <row r="2">
      <c r="A2" s="20" t="inlineStr">
        <is>
          <t>BDOI Data Requirements Workbook, version 1.2.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Object Register</t>
        </is>
      </c>
      <c r="B5" s="22" t="inlineStr">
        <is>
          <t>Object</t>
        </is>
      </c>
      <c r="C5" s="12" t="inlineStr">
        <is>
          <t>Data object code</t>
        </is>
      </c>
      <c r="D5" s="12" t="inlineStr"/>
    </row>
    <row r="6">
      <c r="A6" s="14" t="inlineStr">
        <is>
          <t>Object Register</t>
        </is>
      </c>
      <c r="B6" s="23" t="inlineStr">
        <is>
          <t>Data object</t>
        </is>
      </c>
      <c r="C6" s="14" t="inlineStr">
        <is>
          <t>What the object holds</t>
        </is>
      </c>
      <c r="D6" s="14" t="inlineStr"/>
    </row>
    <row r="7">
      <c r="A7" s="12" t="inlineStr">
        <is>
          <t>Object Register</t>
        </is>
      </c>
      <c r="B7" s="22" t="inlineStr">
        <is>
          <t>Category</t>
        </is>
      </c>
      <c r="C7" s="12" t="inlineStr">
        <is>
          <t>Reference, Client, Policy, Open item, GL, History</t>
        </is>
      </c>
      <c r="D7" s="12" t="inlineStr">
        <is>
          <t>Reference, Client, Policy, Open item, GL, History</t>
        </is>
      </c>
    </row>
    <row r="8">
      <c r="A8" s="14" t="inlineStr">
        <is>
          <t>Object Register</t>
        </is>
      </c>
      <c r="B8" s="23" t="inlineStr">
        <is>
          <t>Decision (proposed)</t>
        </is>
      </c>
      <c r="C8" s="14" t="inlineStr">
        <is>
          <t>Migrate / Carry forward / Conditional / Archive / Excluded; BDOI confirms at gate G1</t>
        </is>
      </c>
      <c r="D8" s="14" t="inlineStr">
        <is>
          <t>MIGRATE, CARRY_FORWARD, CONDITIONAL, ARCHIVE, EXCLUDED</t>
        </is>
      </c>
    </row>
    <row r="9">
      <c r="A9" s="12" t="inlineStr">
        <is>
          <t>Object Register</t>
        </is>
      </c>
      <c r="B9" s="22" t="inlineStr">
        <is>
          <t>Rationale</t>
        </is>
      </c>
      <c r="C9" s="12" t="inlineStr">
        <is>
          <t>Why this class</t>
        </is>
      </c>
      <c r="D9" s="12" t="inlineStr"/>
    </row>
    <row r="10">
      <c r="A10" s="14" t="inlineStr">
        <is>
          <t>Object Register</t>
        </is>
      </c>
      <c r="B10" s="23" t="inlineStr">
        <is>
          <t>Source system</t>
        </is>
      </c>
      <c r="C10" s="14" t="inlineStr">
        <is>
          <t>Legacy system(s) that hold the object</t>
        </is>
      </c>
      <c r="D10" s="14" t="inlineStr"/>
    </row>
    <row r="11">
      <c r="A11" s="12" t="inlineStr">
        <is>
          <t>Object Register</t>
        </is>
      </c>
      <c r="B11" s="22" t="inlineStr">
        <is>
          <t>Templates</t>
        </is>
      </c>
      <c r="C11" s="12" t="inlineStr">
        <is>
          <t>Extract layouts (sheets of this workbook, CSV templates)</t>
        </is>
      </c>
      <c r="D11" s="12" t="inlineStr"/>
    </row>
    <row r="12">
      <c r="A12" s="14" t="inlineStr">
        <is>
          <t>Object Register</t>
        </is>
      </c>
      <c r="B12" s="23" t="inlineStr">
        <is>
          <t>BIBS target</t>
        </is>
      </c>
      <c r="C12" s="14" t="inlineStr">
        <is>
          <t>Where the object lands in BIBS</t>
        </is>
      </c>
      <c r="D12" s="14" t="inlineStr"/>
    </row>
    <row r="13">
      <c r="A13" s="12" t="inlineStr">
        <is>
          <t>Object Register</t>
        </is>
      </c>
      <c r="B13" s="22" t="inlineStr">
        <is>
          <t>Business owner (sign-off)</t>
        </is>
      </c>
      <c r="C13" s="12" t="inlineStr">
        <is>
          <t>Signs gates G1, G2 and G6</t>
        </is>
      </c>
      <c r="D13" s="12" t="inlineStr"/>
    </row>
    <row r="14">
      <c r="A14" s="14" t="inlineStr">
        <is>
          <t>Object Register</t>
        </is>
      </c>
      <c r="B14" s="23" t="inlineStr">
        <is>
          <t>Data steward</t>
        </is>
      </c>
      <c r="C14" s="14" t="inlineStr">
        <is>
          <t>Resolves data-quality issues and prepares code maps</t>
        </is>
      </c>
      <c r="D14" s="14" t="inlineStr"/>
    </row>
    <row r="15">
      <c r="A15" s="12" t="inlineStr">
        <is>
          <t>Object Register</t>
        </is>
      </c>
      <c r="B15" s="22" t="inlineStr">
        <is>
          <t>Volume estimate (BDOI to fill)</t>
        </is>
      </c>
      <c r="C15" s="12" t="inlineStr">
        <is>
          <t>Row count per source system at the last extract</t>
        </is>
      </c>
      <c r="D15" s="12" t="inlineStr"/>
    </row>
    <row r="16">
      <c r="A16" s="14" t="inlineStr">
        <is>
          <t>Object Register</t>
        </is>
      </c>
      <c r="B16" s="23" t="inlineStr">
        <is>
          <t>Planning bound</t>
        </is>
      </c>
      <c r="C16" s="14" t="inlineStr">
        <is>
          <t>Known bound from the umbrella BRD or the design</t>
        </is>
      </c>
      <c r="D16" s="14" t="inlineStr"/>
    </row>
    <row r="17">
      <c r="A17" s="12" t="inlineStr">
        <is>
          <t>Object Register</t>
        </is>
      </c>
      <c r="B17" s="22" t="inlineStr">
        <is>
          <t>History depth</t>
        </is>
      </c>
      <c r="C17" s="12" t="inlineStr">
        <is>
          <t>Which records and how far back</t>
        </is>
      </c>
      <c r="D17" s="12" t="inlineStr"/>
    </row>
    <row r="18">
      <c r="A18" s="14" t="inlineStr">
        <is>
          <t>Object Register</t>
        </is>
      </c>
      <c r="B18" s="23" t="inlineStr">
        <is>
          <t>Delta frequency</t>
        </is>
      </c>
      <c r="C18" s="14" t="inlineStr">
        <is>
          <t>Extracts after the first full one</t>
        </is>
      </c>
      <c r="D18" s="14" t="inlineStr"/>
    </row>
    <row r="19">
      <c r="A19" s="12" t="inlineStr">
        <is>
          <t>Object Register</t>
        </is>
      </c>
      <c r="B19" s="22" t="inlineStr">
        <is>
          <t>Extract format</t>
        </is>
      </c>
      <c r="C19" s="12" t="inlineStr">
        <is>
          <t>CSV or XLSX, with a control file</t>
        </is>
      </c>
      <c r="D19" s="12" t="inlineStr"/>
    </row>
    <row r="20">
      <c r="A20" s="14" t="inlineStr">
        <is>
          <t>Object Register</t>
        </is>
      </c>
      <c r="B20" s="23" t="inlineStr">
        <is>
          <t>Control totals required</t>
        </is>
      </c>
      <c r="C20" s="14" t="inlineStr">
        <is>
          <t>Measures of the control file</t>
        </is>
      </c>
      <c r="D20" s="14" t="inlineStr"/>
    </row>
    <row r="21">
      <c r="A21" s="12" t="inlineStr">
        <is>
          <t>Object Register</t>
        </is>
      </c>
      <c r="B21" s="22" t="inlineStr">
        <is>
          <t>Due</t>
        </is>
      </c>
      <c r="C21" s="12" t="inlineStr">
        <is>
          <t>Milestone of the first full extract and the final one</t>
        </is>
      </c>
      <c r="D21" s="12" t="inlineStr"/>
    </row>
    <row r="22">
      <c r="A22" s="14" t="inlineStr">
        <is>
          <t>Object Register</t>
        </is>
      </c>
      <c r="B22" s="23" t="inlineStr">
        <is>
          <t>Load order</t>
        </is>
      </c>
      <c r="C22" s="14" t="inlineStr">
        <is>
          <t>Lower loads first; 0 = not loaded</t>
        </is>
      </c>
      <c r="D22" s="14" t="inlineStr"/>
    </row>
    <row r="23">
      <c r="A23" s="12" t="inlineStr">
        <is>
          <t>Object Register</t>
        </is>
      </c>
      <c r="B23" s="22" t="inlineStr">
        <is>
          <t>Open decisions</t>
        </is>
      </c>
      <c r="C23" s="12" t="inlineStr">
        <is>
          <t>Questions that affect the object</t>
        </is>
      </c>
      <c r="D23" s="12" t="inlineStr"/>
    </row>
    <row r="24">
      <c r="A24" s="14" t="inlineStr">
        <is>
          <t>Object Register</t>
        </is>
      </c>
      <c r="B24" s="23" t="inlineStr">
        <is>
          <t>Status</t>
        </is>
      </c>
      <c r="C24" s="14" t="inlineStr">
        <is>
          <t>Progress of the object</t>
        </is>
      </c>
      <c r="D24" s="14" t="inlineStr">
        <is>
          <t>OPEN, IN PROGRESS, DONE, N/A</t>
        </is>
      </c>
    </row>
    <row r="25">
      <c r="A25" s="12" t="inlineStr">
        <is>
          <t>File Contract</t>
        </is>
      </c>
      <c r="B25" s="22" t="inlineStr">
        <is>
          <t>Item</t>
        </is>
      </c>
      <c r="C25" s="12" t="inlineStr">
        <is>
          <t>Topic of the rule</t>
        </is>
      </c>
      <c r="D25" s="12" t="inlineStr"/>
    </row>
    <row r="26">
      <c r="A26" s="14" t="inlineStr">
        <is>
          <t>File Contract</t>
        </is>
      </c>
      <c r="B26" s="23" t="inlineStr">
        <is>
          <t>Rule</t>
        </is>
      </c>
      <c r="C26" s="14" t="inlineStr">
        <is>
          <t>What every extract file must follow (R3 section 5.1)</t>
        </is>
      </c>
      <c r="D26" s="14" t="inlineStr"/>
    </row>
    <row r="27">
      <c r="A27" s="12" t="inlineStr">
        <is>
          <t>R01 LOV and MIS values</t>
        </is>
      </c>
      <c r="B27" s="22" t="inlineStr">
        <is>
          <t>#</t>
        </is>
      </c>
      <c r="C27" s="12" t="inlineStr">
        <is>
          <t>Column position in the file</t>
        </is>
      </c>
      <c r="D27" s="12" t="inlineStr"/>
    </row>
    <row r="28">
      <c r="A28" s="14" t="inlineStr">
        <is>
          <t>R01 LOV and MIS values</t>
        </is>
      </c>
      <c r="B28" s="23" t="inlineStr">
        <is>
          <t>Field name</t>
        </is>
      </c>
      <c r="C28" s="14" t="inlineStr">
        <is>
          <t>Column name in the header row of the file, exactly as written (lower case)</t>
        </is>
      </c>
      <c r="D28" s="14" t="inlineStr"/>
    </row>
    <row r="29">
      <c r="A29" s="12" t="inlineStr">
        <is>
          <t>R01 LOV and MIS values</t>
        </is>
      </c>
      <c r="B29" s="22" t="inlineStr">
        <is>
          <t>Description</t>
        </is>
      </c>
      <c r="C29" s="12" t="inlineStr">
        <is>
          <t>What the field holds</t>
        </is>
      </c>
      <c r="D29" s="12" t="inlineStr"/>
    </row>
    <row r="30">
      <c r="A30" s="14" t="inlineStr">
        <is>
          <t>R01 LOV and MIS values</t>
        </is>
      </c>
      <c r="B30" s="23" t="inlineStr">
        <is>
          <t>Type</t>
        </is>
      </c>
      <c r="C30" s="14" t="inlineStr">
        <is>
          <t>Text, Code (a coded value), Date, Timestamp, Amount (2 decimals), Integer, Decimal, Flag (Y or N)</t>
        </is>
      </c>
      <c r="D30" s="14" t="inlineStr">
        <is>
          <t>Amount, Code, Date, Decimal, Flag, Integer, Text, Timestamp</t>
        </is>
      </c>
    </row>
    <row r="31">
      <c r="A31" s="12" t="inlineStr">
        <is>
          <t>R01 LOV and MIS values</t>
        </is>
      </c>
      <c r="B31" s="22" t="inlineStr">
        <is>
          <t>Length</t>
        </is>
      </c>
      <c r="C31" s="12" t="inlineStr">
        <is>
          <t>Maximum characters; for numbers the precision and decimals (19,2)</t>
        </is>
      </c>
      <c r="D31" s="12" t="inlineStr"/>
    </row>
    <row r="32">
      <c r="A32" s="14" t="inlineStr">
        <is>
          <t>R01 LOV and MIS values</t>
        </is>
      </c>
      <c r="B32" s="23" t="inlineStr">
        <is>
          <t>Mandatory</t>
        </is>
      </c>
      <c r="C32" s="14" t="inlineStr">
        <is>
          <t>Y = always; N = optional; C = conditional (see the validation rule)</t>
        </is>
      </c>
      <c r="D32" s="14" t="inlineStr">
        <is>
          <t>Y, N, C</t>
        </is>
      </c>
    </row>
    <row r="33">
      <c r="A33" s="12" t="inlineStr">
        <is>
          <t>R01 LOV and MIS values</t>
        </is>
      </c>
      <c r="B33" s="22" t="inlineStr">
        <is>
          <t>Allowed values / code list</t>
        </is>
      </c>
      <c r="C33" s="12" t="inlineStr">
        <is>
          <t>Closed list of values, or the code map set that maps the legacy value to BIBS</t>
        </is>
      </c>
      <c r="D33" s="12" t="inlineStr"/>
    </row>
    <row r="34">
      <c r="A34" s="14" t="inlineStr">
        <is>
          <t>R01 LOV and MIS values</t>
        </is>
      </c>
      <c r="B34" s="23" t="inlineStr">
        <is>
          <t>Format</t>
        </is>
      </c>
      <c r="C34" s="14" t="inlineStr">
        <is>
          <t>How the value is written in the file</t>
        </is>
      </c>
      <c r="D34" s="14" t="inlineStr"/>
    </row>
    <row r="35">
      <c r="A35" s="12" t="inlineStr">
        <is>
          <t>R01 LOV and MIS values</t>
        </is>
      </c>
      <c r="B35" s="22" t="inlineStr">
        <is>
          <t>Example</t>
        </is>
      </c>
      <c r="C35" s="12" t="inlineStr">
        <is>
          <t>A made-up example value</t>
        </is>
      </c>
      <c r="D35" s="12" t="inlineStr"/>
    </row>
    <row r="36">
      <c r="A36" s="14" t="inlineStr">
        <is>
          <t>R01 LOV and MIS values</t>
        </is>
      </c>
      <c r="B36" s="23" t="inlineStr">
        <is>
          <t>BIBS target field</t>
        </is>
      </c>
      <c r="C36" s="14" t="inlineStr">
        <is>
          <t>Table and column (or service field) in BIBS; '(new)' = added by the migration build</t>
        </is>
      </c>
      <c r="D36" s="14" t="inlineStr"/>
    </row>
    <row r="37">
      <c r="A37" s="12" t="inlineStr">
        <is>
          <t>R01 LOV and MIS values</t>
        </is>
      </c>
      <c r="B37" s="22" t="inlineStr">
        <is>
          <t>Validation rule</t>
        </is>
      </c>
      <c r="C37" s="12" t="inlineStr">
        <is>
          <t>Check BIBS applies in staging (data-quality rules catalogue)</t>
        </is>
      </c>
      <c r="D37" s="12" t="inlineStr"/>
    </row>
    <row r="38">
      <c r="A38" s="14" t="inlineStr">
        <is>
          <t>R01 LOV and MIS values</t>
        </is>
      </c>
      <c r="B38" s="23" t="inlineStr">
        <is>
          <t>Source system hint</t>
        </is>
      </c>
      <c r="C38" s="14" t="inlineStr">
        <is>
          <t>Where the value is expected to come from in legacy; BDOI IT confirms</t>
        </is>
      </c>
      <c r="D38" s="14" t="inlineStr"/>
    </row>
    <row r="39">
      <c r="A39" s="12" t="inlineStr">
        <is>
          <t>R02 Branches</t>
        </is>
      </c>
      <c r="B39" s="22" t="inlineStr">
        <is>
          <t>#</t>
        </is>
      </c>
      <c r="C39" s="12" t="inlineStr">
        <is>
          <t>Column position in the file</t>
        </is>
      </c>
      <c r="D39" s="12" t="inlineStr"/>
    </row>
    <row r="40">
      <c r="A40" s="14" t="inlineStr">
        <is>
          <t>R02 Branches</t>
        </is>
      </c>
      <c r="B40" s="23" t="inlineStr">
        <is>
          <t>Field name</t>
        </is>
      </c>
      <c r="C40" s="14" t="inlineStr">
        <is>
          <t>Column name in the header row of the file, exactly as written (lower case)</t>
        </is>
      </c>
      <c r="D40" s="14" t="inlineStr"/>
    </row>
    <row r="41">
      <c r="A41" s="12" t="inlineStr">
        <is>
          <t>R02 Branches</t>
        </is>
      </c>
      <c r="B41" s="22" t="inlineStr">
        <is>
          <t>Description</t>
        </is>
      </c>
      <c r="C41" s="12" t="inlineStr">
        <is>
          <t>What the field holds</t>
        </is>
      </c>
      <c r="D41" s="12" t="inlineStr"/>
    </row>
    <row r="42">
      <c r="A42" s="14" t="inlineStr">
        <is>
          <t>R02 Branches</t>
        </is>
      </c>
      <c r="B42" s="23" t="inlineStr">
        <is>
          <t>Type</t>
        </is>
      </c>
      <c r="C42" s="14" t="inlineStr">
        <is>
          <t>Text, Code (a coded value), Date, Timestamp, Amount (2 decimals), Integer, Decimal, Flag (Y or N)</t>
        </is>
      </c>
      <c r="D42" s="14" t="inlineStr">
        <is>
          <t>Amount, Code, Date, Decimal, Flag, Integer, Text, Timestamp</t>
        </is>
      </c>
    </row>
    <row r="43">
      <c r="A43" s="12" t="inlineStr">
        <is>
          <t>R02 Branches</t>
        </is>
      </c>
      <c r="B43" s="22" t="inlineStr">
        <is>
          <t>Length</t>
        </is>
      </c>
      <c r="C43" s="12" t="inlineStr">
        <is>
          <t>Maximum characters; for numbers the precision and decimals (19,2)</t>
        </is>
      </c>
      <c r="D43" s="12" t="inlineStr"/>
    </row>
    <row r="44">
      <c r="A44" s="14" t="inlineStr">
        <is>
          <t>R02 Branches</t>
        </is>
      </c>
      <c r="B44" s="23" t="inlineStr">
        <is>
          <t>Mandatory</t>
        </is>
      </c>
      <c r="C44" s="14" t="inlineStr">
        <is>
          <t>Y = always; N = optional; C = conditional (see the validation rule)</t>
        </is>
      </c>
      <c r="D44" s="14" t="inlineStr">
        <is>
          <t>Y, N, C</t>
        </is>
      </c>
    </row>
    <row r="45">
      <c r="A45" s="12" t="inlineStr">
        <is>
          <t>R02 Branches</t>
        </is>
      </c>
      <c r="B45" s="22" t="inlineStr">
        <is>
          <t>Allowed values / code list</t>
        </is>
      </c>
      <c r="C45" s="12" t="inlineStr">
        <is>
          <t>Closed list of values, or the code map set that maps the legacy value to BIBS</t>
        </is>
      </c>
      <c r="D45" s="12" t="inlineStr"/>
    </row>
    <row r="46">
      <c r="A46" s="14" t="inlineStr">
        <is>
          <t>R02 Branches</t>
        </is>
      </c>
      <c r="B46" s="23" t="inlineStr">
        <is>
          <t>Format</t>
        </is>
      </c>
      <c r="C46" s="14" t="inlineStr">
        <is>
          <t>How the value is written in the file</t>
        </is>
      </c>
      <c r="D46" s="14" t="inlineStr"/>
    </row>
    <row r="47">
      <c r="A47" s="12" t="inlineStr">
        <is>
          <t>R02 Branches</t>
        </is>
      </c>
      <c r="B47" s="22" t="inlineStr">
        <is>
          <t>Example</t>
        </is>
      </c>
      <c r="C47" s="12" t="inlineStr">
        <is>
          <t>A made-up example value</t>
        </is>
      </c>
      <c r="D47" s="12" t="inlineStr"/>
    </row>
    <row r="48">
      <c r="A48" s="14" t="inlineStr">
        <is>
          <t>R02 Branches</t>
        </is>
      </c>
      <c r="B48" s="23" t="inlineStr">
        <is>
          <t>BIBS target field</t>
        </is>
      </c>
      <c r="C48" s="14" t="inlineStr">
        <is>
          <t>Table and column (or service field) in BIBS; '(new)' = added by the migration build</t>
        </is>
      </c>
      <c r="D48" s="14" t="inlineStr"/>
    </row>
    <row r="49">
      <c r="A49" s="12" t="inlineStr">
        <is>
          <t>R02 Branches</t>
        </is>
      </c>
      <c r="B49" s="22" t="inlineStr">
        <is>
          <t>Validation rule</t>
        </is>
      </c>
      <c r="C49" s="12" t="inlineStr">
        <is>
          <t>Check BIBS applies in staging (data-quality rules catalogue)</t>
        </is>
      </c>
      <c r="D49" s="12" t="inlineStr"/>
    </row>
    <row r="50">
      <c r="A50" s="14" t="inlineStr">
        <is>
          <t>R02 Branches</t>
        </is>
      </c>
      <c r="B50" s="23" t="inlineStr">
        <is>
          <t>Source system hint</t>
        </is>
      </c>
      <c r="C50" s="14" t="inlineStr">
        <is>
          <t>Where the value is expected to come from in legacy; BDOI IT confirms</t>
        </is>
      </c>
      <c r="D50" s="14" t="inlineStr"/>
    </row>
    <row r="51">
      <c r="A51" s="12" t="inlineStr">
        <is>
          <t>R03 Sales organisation</t>
        </is>
      </c>
      <c r="B51" s="22" t="inlineStr">
        <is>
          <t>#</t>
        </is>
      </c>
      <c r="C51" s="12" t="inlineStr">
        <is>
          <t>Column position in the file</t>
        </is>
      </c>
      <c r="D51" s="12" t="inlineStr"/>
    </row>
    <row r="52">
      <c r="A52" s="14" t="inlineStr">
        <is>
          <t>R03 Sales organisation</t>
        </is>
      </c>
      <c r="B52" s="23" t="inlineStr">
        <is>
          <t>Field name</t>
        </is>
      </c>
      <c r="C52" s="14" t="inlineStr">
        <is>
          <t>Column name in the header row of the file, exactly as written (lower case)</t>
        </is>
      </c>
      <c r="D52" s="14" t="inlineStr"/>
    </row>
    <row r="53">
      <c r="A53" s="12" t="inlineStr">
        <is>
          <t>R03 Sales organisation</t>
        </is>
      </c>
      <c r="B53" s="22" t="inlineStr">
        <is>
          <t>Description</t>
        </is>
      </c>
      <c r="C53" s="12" t="inlineStr">
        <is>
          <t>What the field holds</t>
        </is>
      </c>
      <c r="D53" s="12" t="inlineStr"/>
    </row>
    <row r="54">
      <c r="A54" s="14" t="inlineStr">
        <is>
          <t>R03 Sales organisation</t>
        </is>
      </c>
      <c r="B54" s="23" t="inlineStr">
        <is>
          <t>Type</t>
        </is>
      </c>
      <c r="C54" s="14" t="inlineStr">
        <is>
          <t>Text, Code (a coded value), Date, Timestamp, Amount (2 decimals), Integer, Decimal, Flag (Y or N)</t>
        </is>
      </c>
      <c r="D54" s="14" t="inlineStr">
        <is>
          <t>Amount, Code, Date, Decimal, Flag, Integer, Text, Timestamp</t>
        </is>
      </c>
    </row>
    <row r="55">
      <c r="A55" s="12" t="inlineStr">
        <is>
          <t>R03 Sales organisation</t>
        </is>
      </c>
      <c r="B55" s="22" t="inlineStr">
        <is>
          <t>Length</t>
        </is>
      </c>
      <c r="C55" s="12" t="inlineStr">
        <is>
          <t>Maximum characters; for numbers the precision and decimals (19,2)</t>
        </is>
      </c>
      <c r="D55" s="12" t="inlineStr"/>
    </row>
    <row r="56">
      <c r="A56" s="14" t="inlineStr">
        <is>
          <t>R03 Sales organisation</t>
        </is>
      </c>
      <c r="B56" s="23" t="inlineStr">
        <is>
          <t>Mandatory</t>
        </is>
      </c>
      <c r="C56" s="14" t="inlineStr">
        <is>
          <t>Y = always; N = optional; C = conditional (see the validation rule)</t>
        </is>
      </c>
      <c r="D56" s="14" t="inlineStr">
        <is>
          <t>Y, N, C</t>
        </is>
      </c>
    </row>
    <row r="57">
      <c r="A57" s="12" t="inlineStr">
        <is>
          <t>R03 Sales organisation</t>
        </is>
      </c>
      <c r="B57" s="22" t="inlineStr">
        <is>
          <t>Allowed values / code list</t>
        </is>
      </c>
      <c r="C57" s="12" t="inlineStr">
        <is>
          <t>Closed list of values, or the code map set that maps the legacy value to BIBS</t>
        </is>
      </c>
      <c r="D57" s="12" t="inlineStr"/>
    </row>
    <row r="58">
      <c r="A58" s="14" t="inlineStr">
        <is>
          <t>R03 Sales organisation</t>
        </is>
      </c>
      <c r="B58" s="23" t="inlineStr">
        <is>
          <t>Format</t>
        </is>
      </c>
      <c r="C58" s="14" t="inlineStr">
        <is>
          <t>How the value is written in the file</t>
        </is>
      </c>
      <c r="D58" s="14" t="inlineStr"/>
    </row>
    <row r="59">
      <c r="A59" s="12" t="inlineStr">
        <is>
          <t>R03 Sales organisation</t>
        </is>
      </c>
      <c r="B59" s="22" t="inlineStr">
        <is>
          <t>Example</t>
        </is>
      </c>
      <c r="C59" s="12" t="inlineStr">
        <is>
          <t>A made-up example value</t>
        </is>
      </c>
      <c r="D59" s="12" t="inlineStr"/>
    </row>
    <row r="60">
      <c r="A60" s="14" t="inlineStr">
        <is>
          <t>R03 Sales organisation</t>
        </is>
      </c>
      <c r="B60" s="23" t="inlineStr">
        <is>
          <t>BIBS target field</t>
        </is>
      </c>
      <c r="C60" s="14" t="inlineStr">
        <is>
          <t>Table and column (or service field) in BIBS; '(new)' = added by the migration build</t>
        </is>
      </c>
      <c r="D60" s="14" t="inlineStr"/>
    </row>
    <row r="61">
      <c r="A61" s="12" t="inlineStr">
        <is>
          <t>R03 Sales organisation</t>
        </is>
      </c>
      <c r="B61" s="22" t="inlineStr">
        <is>
          <t>Validation rule</t>
        </is>
      </c>
      <c r="C61" s="12" t="inlineStr">
        <is>
          <t>Check BIBS applies in staging (data-quality rules catalogue)</t>
        </is>
      </c>
      <c r="D61" s="12" t="inlineStr"/>
    </row>
    <row r="62">
      <c r="A62" s="14" t="inlineStr">
        <is>
          <t>R03 Sales organisation</t>
        </is>
      </c>
      <c r="B62" s="23" t="inlineStr">
        <is>
          <t>Source system hint</t>
        </is>
      </c>
      <c r="C62" s="14" t="inlineStr">
        <is>
          <t>Where the value is expected to come from in legacy; BDOI IT confirms</t>
        </is>
      </c>
      <c r="D62" s="14" t="inlineStr"/>
    </row>
    <row r="63">
      <c r="A63" s="12" t="inlineStr">
        <is>
          <t>R04 Insurers</t>
        </is>
      </c>
      <c r="B63" s="22" t="inlineStr">
        <is>
          <t>#</t>
        </is>
      </c>
      <c r="C63" s="12" t="inlineStr">
        <is>
          <t>Column position in the file</t>
        </is>
      </c>
      <c r="D63" s="12" t="inlineStr"/>
    </row>
    <row r="64">
      <c r="A64" s="14" t="inlineStr">
        <is>
          <t>R04 Insurers</t>
        </is>
      </c>
      <c r="B64" s="23" t="inlineStr">
        <is>
          <t>Field name</t>
        </is>
      </c>
      <c r="C64" s="14" t="inlineStr">
        <is>
          <t>Column name in the header row of the file, exactly as written (lower case)</t>
        </is>
      </c>
      <c r="D64" s="14" t="inlineStr"/>
    </row>
    <row r="65">
      <c r="A65" s="12" t="inlineStr">
        <is>
          <t>R04 Insurers</t>
        </is>
      </c>
      <c r="B65" s="22" t="inlineStr">
        <is>
          <t>Description</t>
        </is>
      </c>
      <c r="C65" s="12" t="inlineStr">
        <is>
          <t>What the field holds</t>
        </is>
      </c>
      <c r="D65" s="12" t="inlineStr"/>
    </row>
    <row r="66">
      <c r="A66" s="14" t="inlineStr">
        <is>
          <t>R04 Insurers</t>
        </is>
      </c>
      <c r="B66" s="23" t="inlineStr">
        <is>
          <t>Type</t>
        </is>
      </c>
      <c r="C66" s="14" t="inlineStr">
        <is>
          <t>Text, Code (a coded value), Date, Timestamp, Amount (2 decimals), Integer, Decimal, Flag (Y or N)</t>
        </is>
      </c>
      <c r="D66" s="14" t="inlineStr">
        <is>
          <t>Amount, Code, Date, Decimal, Flag, Integer, Text, Timestamp</t>
        </is>
      </c>
    </row>
    <row r="67">
      <c r="A67" s="12" t="inlineStr">
        <is>
          <t>R04 Insurers</t>
        </is>
      </c>
      <c r="B67" s="22" t="inlineStr">
        <is>
          <t>Length</t>
        </is>
      </c>
      <c r="C67" s="12" t="inlineStr">
        <is>
          <t>Maximum characters; for numbers the precision and decimals (19,2)</t>
        </is>
      </c>
      <c r="D67" s="12" t="inlineStr"/>
    </row>
    <row r="68">
      <c r="A68" s="14" t="inlineStr">
        <is>
          <t>R04 Insurers</t>
        </is>
      </c>
      <c r="B68" s="23" t="inlineStr">
        <is>
          <t>Mandatory</t>
        </is>
      </c>
      <c r="C68" s="14" t="inlineStr">
        <is>
          <t>Y = always; N = optional; C = conditional (see the validation rule)</t>
        </is>
      </c>
      <c r="D68" s="14" t="inlineStr">
        <is>
          <t>Y, N, C</t>
        </is>
      </c>
    </row>
    <row r="69">
      <c r="A69" s="12" t="inlineStr">
        <is>
          <t>R04 Insurers</t>
        </is>
      </c>
      <c r="B69" s="22" t="inlineStr">
        <is>
          <t>Allowed values / code list</t>
        </is>
      </c>
      <c r="C69" s="12" t="inlineStr">
        <is>
          <t>Closed list of values, or the code map set that maps the legacy value to BIBS</t>
        </is>
      </c>
      <c r="D69" s="12" t="inlineStr"/>
    </row>
    <row r="70">
      <c r="A70" s="14" t="inlineStr">
        <is>
          <t>R04 Insurers</t>
        </is>
      </c>
      <c r="B70" s="23" t="inlineStr">
        <is>
          <t>Format</t>
        </is>
      </c>
      <c r="C70" s="14" t="inlineStr">
        <is>
          <t>How the value is written in the file</t>
        </is>
      </c>
      <c r="D70" s="14" t="inlineStr"/>
    </row>
    <row r="71">
      <c r="A71" s="12" t="inlineStr">
        <is>
          <t>R04 Insurers</t>
        </is>
      </c>
      <c r="B71" s="22" t="inlineStr">
        <is>
          <t>Example</t>
        </is>
      </c>
      <c r="C71" s="12" t="inlineStr">
        <is>
          <t>A made-up example value</t>
        </is>
      </c>
      <c r="D71" s="12" t="inlineStr"/>
    </row>
    <row r="72">
      <c r="A72" s="14" t="inlineStr">
        <is>
          <t>R04 Insurers</t>
        </is>
      </c>
      <c r="B72" s="23" t="inlineStr">
        <is>
          <t>BIBS target field</t>
        </is>
      </c>
      <c r="C72" s="14" t="inlineStr">
        <is>
          <t>Table and column (or service field) in BIBS; '(new)' = added by the migration build</t>
        </is>
      </c>
      <c r="D72" s="14" t="inlineStr"/>
    </row>
    <row r="73">
      <c r="A73" s="12" t="inlineStr">
        <is>
          <t>R04 Insurers</t>
        </is>
      </c>
      <c r="B73" s="22" t="inlineStr">
        <is>
          <t>Validation rule</t>
        </is>
      </c>
      <c r="C73" s="12" t="inlineStr">
        <is>
          <t>Check BIBS applies in staging (data-quality rules catalogue)</t>
        </is>
      </c>
      <c r="D73" s="12" t="inlineStr"/>
    </row>
    <row r="74">
      <c r="A74" s="14" t="inlineStr">
        <is>
          <t>R04 Insurers</t>
        </is>
      </c>
      <c r="B74" s="23" t="inlineStr">
        <is>
          <t>Source system hint</t>
        </is>
      </c>
      <c r="C74" s="14" t="inlineStr">
        <is>
          <t>Where the value is expected to come from in legacy; BDOI IT confirms</t>
        </is>
      </c>
      <c r="D74" s="14" t="inlineStr"/>
    </row>
    <row r="75">
      <c r="A75" s="12" t="inlineStr">
        <is>
          <t>R04B Insurer branches</t>
        </is>
      </c>
      <c r="B75" s="22" t="inlineStr">
        <is>
          <t>#</t>
        </is>
      </c>
      <c r="C75" s="12" t="inlineStr">
        <is>
          <t>Column position in the file</t>
        </is>
      </c>
      <c r="D75" s="12" t="inlineStr"/>
    </row>
    <row r="76">
      <c r="A76" s="14" t="inlineStr">
        <is>
          <t>R04B Insurer branches</t>
        </is>
      </c>
      <c r="B76" s="23" t="inlineStr">
        <is>
          <t>Field name</t>
        </is>
      </c>
      <c r="C76" s="14" t="inlineStr">
        <is>
          <t>Column name in the header row of the file, exactly as written (lower case)</t>
        </is>
      </c>
      <c r="D76" s="14" t="inlineStr"/>
    </row>
    <row r="77">
      <c r="A77" s="12" t="inlineStr">
        <is>
          <t>R04B Insurer branches</t>
        </is>
      </c>
      <c r="B77" s="22" t="inlineStr">
        <is>
          <t>Description</t>
        </is>
      </c>
      <c r="C77" s="12" t="inlineStr">
        <is>
          <t>What the field holds</t>
        </is>
      </c>
      <c r="D77" s="12" t="inlineStr"/>
    </row>
    <row r="78">
      <c r="A78" s="14" t="inlineStr">
        <is>
          <t>R04B Insurer branches</t>
        </is>
      </c>
      <c r="B78" s="23" t="inlineStr">
        <is>
          <t>Type</t>
        </is>
      </c>
      <c r="C78" s="14" t="inlineStr">
        <is>
          <t>Text, Code (a coded value), Date, Timestamp, Amount (2 decimals), Integer, Decimal, Flag (Y or N)</t>
        </is>
      </c>
      <c r="D78" s="14" t="inlineStr">
        <is>
          <t>Amount, Code, Date, Decimal, Flag, Integer, Text, Timestamp</t>
        </is>
      </c>
    </row>
    <row r="79">
      <c r="A79" s="12" t="inlineStr">
        <is>
          <t>R04B Insurer branches</t>
        </is>
      </c>
      <c r="B79" s="22" t="inlineStr">
        <is>
          <t>Length</t>
        </is>
      </c>
      <c r="C79" s="12" t="inlineStr">
        <is>
          <t>Maximum characters; for numbers the precision and decimals (19,2)</t>
        </is>
      </c>
      <c r="D79" s="12" t="inlineStr"/>
    </row>
    <row r="80">
      <c r="A80" s="14" t="inlineStr">
        <is>
          <t>R04B Insurer branches</t>
        </is>
      </c>
      <c r="B80" s="23" t="inlineStr">
        <is>
          <t>Mandatory</t>
        </is>
      </c>
      <c r="C80" s="14" t="inlineStr">
        <is>
          <t>Y = always; N = optional; C = conditional (see the validation rule)</t>
        </is>
      </c>
      <c r="D80" s="14" t="inlineStr">
        <is>
          <t>Y, N, C</t>
        </is>
      </c>
    </row>
    <row r="81">
      <c r="A81" s="12" t="inlineStr">
        <is>
          <t>R04B Insurer branches</t>
        </is>
      </c>
      <c r="B81" s="22" t="inlineStr">
        <is>
          <t>Allowed values / code list</t>
        </is>
      </c>
      <c r="C81" s="12" t="inlineStr">
        <is>
          <t>Closed list of values, or the code map set that maps the legacy value to BIBS</t>
        </is>
      </c>
      <c r="D81" s="12" t="inlineStr"/>
    </row>
    <row r="82">
      <c r="A82" s="14" t="inlineStr">
        <is>
          <t>R04B Insurer branches</t>
        </is>
      </c>
      <c r="B82" s="23" t="inlineStr">
        <is>
          <t>Format</t>
        </is>
      </c>
      <c r="C82" s="14" t="inlineStr">
        <is>
          <t>How the value is written in the file</t>
        </is>
      </c>
      <c r="D82" s="14" t="inlineStr"/>
    </row>
    <row r="83">
      <c r="A83" s="12" t="inlineStr">
        <is>
          <t>R04B Insurer branches</t>
        </is>
      </c>
      <c r="B83" s="22" t="inlineStr">
        <is>
          <t>Example</t>
        </is>
      </c>
      <c r="C83" s="12" t="inlineStr">
        <is>
          <t>A made-up example value</t>
        </is>
      </c>
      <c r="D83" s="12" t="inlineStr"/>
    </row>
    <row r="84">
      <c r="A84" s="14" t="inlineStr">
        <is>
          <t>R04B Insurer branches</t>
        </is>
      </c>
      <c r="B84" s="23" t="inlineStr">
        <is>
          <t>BIBS target field</t>
        </is>
      </c>
      <c r="C84" s="14" t="inlineStr">
        <is>
          <t>Table and column (or service field) in BIBS; '(new)' = added by the migration build</t>
        </is>
      </c>
      <c r="D84" s="14" t="inlineStr"/>
    </row>
    <row r="85">
      <c r="A85" s="12" t="inlineStr">
        <is>
          <t>R04B Insurer branches</t>
        </is>
      </c>
      <c r="B85" s="22" t="inlineStr">
        <is>
          <t>Validation rule</t>
        </is>
      </c>
      <c r="C85" s="12" t="inlineStr">
        <is>
          <t>Check BIBS applies in staging (data-quality rules catalogue)</t>
        </is>
      </c>
      <c r="D85" s="12" t="inlineStr"/>
    </row>
    <row r="86">
      <c r="A86" s="14" t="inlineStr">
        <is>
          <t>R04B Insurer branches</t>
        </is>
      </c>
      <c r="B86" s="23" t="inlineStr">
        <is>
          <t>Source system hint</t>
        </is>
      </c>
      <c r="C86" s="14" t="inlineStr">
        <is>
          <t>Where the value is expected to come from in legacy; BDOI IT confirms</t>
        </is>
      </c>
      <c r="D86" s="14" t="inlineStr"/>
    </row>
    <row r="87">
      <c r="A87" s="12" t="inlineStr">
        <is>
          <t>R05 Products and risk codes</t>
        </is>
      </c>
      <c r="B87" s="22" t="inlineStr">
        <is>
          <t>#</t>
        </is>
      </c>
      <c r="C87" s="12" t="inlineStr">
        <is>
          <t>Column position in the file</t>
        </is>
      </c>
      <c r="D87" s="12" t="inlineStr"/>
    </row>
    <row r="88">
      <c r="A88" s="14" t="inlineStr">
        <is>
          <t>R05 Products and risk codes</t>
        </is>
      </c>
      <c r="B88" s="23" t="inlineStr">
        <is>
          <t>Field name</t>
        </is>
      </c>
      <c r="C88" s="14" t="inlineStr">
        <is>
          <t>Column name in the header row of the file, exactly as written (lower case)</t>
        </is>
      </c>
      <c r="D88" s="14" t="inlineStr"/>
    </row>
    <row r="89">
      <c r="A89" s="12" t="inlineStr">
        <is>
          <t>R05 Products and risk codes</t>
        </is>
      </c>
      <c r="B89" s="22" t="inlineStr">
        <is>
          <t>Description</t>
        </is>
      </c>
      <c r="C89" s="12" t="inlineStr">
        <is>
          <t>What the field holds</t>
        </is>
      </c>
      <c r="D89" s="12" t="inlineStr"/>
    </row>
    <row r="90">
      <c r="A90" s="14" t="inlineStr">
        <is>
          <t>R05 Products and risk codes</t>
        </is>
      </c>
      <c r="B90" s="23" t="inlineStr">
        <is>
          <t>Type</t>
        </is>
      </c>
      <c r="C90" s="14" t="inlineStr">
        <is>
          <t>Text, Code (a coded value), Date, Timestamp, Amount (2 decimals), Integer, Decimal, Flag (Y or N)</t>
        </is>
      </c>
      <c r="D90" s="14" t="inlineStr">
        <is>
          <t>Amount, Code, Date, Decimal, Flag, Integer, Text, Timestamp</t>
        </is>
      </c>
    </row>
    <row r="91">
      <c r="A91" s="12" t="inlineStr">
        <is>
          <t>R05 Products and risk codes</t>
        </is>
      </c>
      <c r="B91" s="22" t="inlineStr">
        <is>
          <t>Length</t>
        </is>
      </c>
      <c r="C91" s="12" t="inlineStr">
        <is>
          <t>Maximum characters; for numbers the precision and decimals (19,2)</t>
        </is>
      </c>
      <c r="D91" s="12" t="inlineStr"/>
    </row>
    <row r="92">
      <c r="A92" s="14" t="inlineStr">
        <is>
          <t>R05 Products and risk codes</t>
        </is>
      </c>
      <c r="B92" s="23" t="inlineStr">
        <is>
          <t>Mandatory</t>
        </is>
      </c>
      <c r="C92" s="14" t="inlineStr">
        <is>
          <t>Y = always; N = optional; C = conditional (see the validation rule)</t>
        </is>
      </c>
      <c r="D92" s="14" t="inlineStr">
        <is>
          <t>Y, N, C</t>
        </is>
      </c>
    </row>
    <row r="93">
      <c r="A93" s="12" t="inlineStr">
        <is>
          <t>R05 Products and risk codes</t>
        </is>
      </c>
      <c r="B93" s="22" t="inlineStr">
        <is>
          <t>Allowed values / code list</t>
        </is>
      </c>
      <c r="C93" s="12" t="inlineStr">
        <is>
          <t>Closed list of values, or the code map set that maps the legacy value to BIBS</t>
        </is>
      </c>
      <c r="D93" s="12" t="inlineStr"/>
    </row>
    <row r="94">
      <c r="A94" s="14" t="inlineStr">
        <is>
          <t>R05 Products and risk codes</t>
        </is>
      </c>
      <c r="B94" s="23" t="inlineStr">
        <is>
          <t>Format</t>
        </is>
      </c>
      <c r="C94" s="14" t="inlineStr">
        <is>
          <t>How the value is written in the file</t>
        </is>
      </c>
      <c r="D94" s="14" t="inlineStr"/>
    </row>
    <row r="95">
      <c r="A95" s="12" t="inlineStr">
        <is>
          <t>R05 Products and risk codes</t>
        </is>
      </c>
      <c r="B95" s="22" t="inlineStr">
        <is>
          <t>Example</t>
        </is>
      </c>
      <c r="C95" s="12" t="inlineStr">
        <is>
          <t>A made-up example value</t>
        </is>
      </c>
      <c r="D95" s="12" t="inlineStr"/>
    </row>
    <row r="96">
      <c r="A96" s="14" t="inlineStr">
        <is>
          <t>R05 Products and risk codes</t>
        </is>
      </c>
      <c r="B96" s="23" t="inlineStr">
        <is>
          <t>BIBS target field</t>
        </is>
      </c>
      <c r="C96" s="14" t="inlineStr">
        <is>
          <t>Table and column (or service field) in BIBS; '(new)' = added by the migration build</t>
        </is>
      </c>
      <c r="D96" s="14" t="inlineStr"/>
    </row>
    <row r="97">
      <c r="A97" s="12" t="inlineStr">
        <is>
          <t>R05 Products and risk codes</t>
        </is>
      </c>
      <c r="B97" s="22" t="inlineStr">
        <is>
          <t>Validation rule</t>
        </is>
      </c>
      <c r="C97" s="12" t="inlineStr">
        <is>
          <t>Check BIBS applies in staging (data-quality rules catalogue)</t>
        </is>
      </c>
      <c r="D97" s="12" t="inlineStr"/>
    </row>
    <row r="98">
      <c r="A98" s="14" t="inlineStr">
        <is>
          <t>R05 Products and risk codes</t>
        </is>
      </c>
      <c r="B98" s="23" t="inlineStr">
        <is>
          <t>Source system hint</t>
        </is>
      </c>
      <c r="C98" s="14" t="inlineStr">
        <is>
          <t>Where the value is expected to come from in legacy; BDOI IT confirms</t>
        </is>
      </c>
      <c r="D98" s="14" t="inlineStr"/>
    </row>
    <row r="99">
      <c r="A99" s="12" t="inlineStr">
        <is>
          <t>R06 PACKAGE map</t>
        </is>
      </c>
      <c r="B99" s="22" t="inlineStr">
        <is>
          <t>#</t>
        </is>
      </c>
      <c r="C99" s="12" t="inlineStr">
        <is>
          <t>Column position in the file</t>
        </is>
      </c>
      <c r="D99" s="12" t="inlineStr"/>
    </row>
    <row r="100">
      <c r="A100" s="14" t="inlineStr">
        <is>
          <t>R06 PACKAGE map</t>
        </is>
      </c>
      <c r="B100" s="23" t="inlineStr">
        <is>
          <t>Field name</t>
        </is>
      </c>
      <c r="C100" s="14" t="inlineStr">
        <is>
          <t>Column name in the header row of the file, exactly as written (lower case)</t>
        </is>
      </c>
      <c r="D100" s="14" t="inlineStr"/>
    </row>
    <row r="101">
      <c r="A101" s="12" t="inlineStr">
        <is>
          <t>R06 PACKAGE map</t>
        </is>
      </c>
      <c r="B101" s="22" t="inlineStr">
        <is>
          <t>Description</t>
        </is>
      </c>
      <c r="C101" s="12" t="inlineStr">
        <is>
          <t>What the field holds</t>
        </is>
      </c>
      <c r="D101" s="12" t="inlineStr"/>
    </row>
    <row r="102">
      <c r="A102" s="14" t="inlineStr">
        <is>
          <t>R06 PACKAGE map</t>
        </is>
      </c>
      <c r="B102" s="23" t="inlineStr">
        <is>
          <t>Type</t>
        </is>
      </c>
      <c r="C102" s="14" t="inlineStr">
        <is>
          <t>Text, Code (a coded value), Date, Timestamp, Amount (2 decimals), Integer, Decimal, Flag (Y or N)</t>
        </is>
      </c>
      <c r="D102" s="14" t="inlineStr">
        <is>
          <t>Amount, Code, Date, Decimal, Flag, Integer, Text, Timestamp</t>
        </is>
      </c>
    </row>
    <row r="103">
      <c r="A103" s="12" t="inlineStr">
        <is>
          <t>R06 PACKAGE map</t>
        </is>
      </c>
      <c r="B103" s="22" t="inlineStr">
        <is>
          <t>Length</t>
        </is>
      </c>
      <c r="C103" s="12" t="inlineStr">
        <is>
          <t>Maximum characters; for numbers the precision and decimals (19,2)</t>
        </is>
      </c>
      <c r="D103" s="12" t="inlineStr"/>
    </row>
    <row r="104">
      <c r="A104" s="14" t="inlineStr">
        <is>
          <t>R06 PACKAGE map</t>
        </is>
      </c>
      <c r="B104" s="23" t="inlineStr">
        <is>
          <t>Mandatory</t>
        </is>
      </c>
      <c r="C104" s="14" t="inlineStr">
        <is>
          <t>Y = always; N = optional; C = conditional (see the validation rule)</t>
        </is>
      </c>
      <c r="D104" s="14" t="inlineStr">
        <is>
          <t>Y, N, C</t>
        </is>
      </c>
    </row>
    <row r="105">
      <c r="A105" s="12" t="inlineStr">
        <is>
          <t>R06 PACKAGE map</t>
        </is>
      </c>
      <c r="B105" s="22" t="inlineStr">
        <is>
          <t>Allowed values / code list</t>
        </is>
      </c>
      <c r="C105" s="12" t="inlineStr">
        <is>
          <t>Closed list of values, or the code map set that maps the legacy value to BIBS</t>
        </is>
      </c>
      <c r="D105" s="12" t="inlineStr"/>
    </row>
    <row r="106">
      <c r="A106" s="14" t="inlineStr">
        <is>
          <t>R06 PACKAGE map</t>
        </is>
      </c>
      <c r="B106" s="23" t="inlineStr">
        <is>
          <t>Format</t>
        </is>
      </c>
      <c r="C106" s="14" t="inlineStr">
        <is>
          <t>How the value is written in the file</t>
        </is>
      </c>
      <c r="D106" s="14" t="inlineStr"/>
    </row>
    <row r="107">
      <c r="A107" s="12" t="inlineStr">
        <is>
          <t>R06 PACKAGE map</t>
        </is>
      </c>
      <c r="B107" s="22" t="inlineStr">
        <is>
          <t>Example</t>
        </is>
      </c>
      <c r="C107" s="12" t="inlineStr">
        <is>
          <t>A made-up example value</t>
        </is>
      </c>
      <c r="D107" s="12" t="inlineStr"/>
    </row>
    <row r="108">
      <c r="A108" s="14" t="inlineStr">
        <is>
          <t>R06 PACKAGE map</t>
        </is>
      </c>
      <c r="B108" s="23" t="inlineStr">
        <is>
          <t>BIBS target field</t>
        </is>
      </c>
      <c r="C108" s="14" t="inlineStr">
        <is>
          <t>Table and column (or service field) in BIBS; '(new)' = added by the migration build</t>
        </is>
      </c>
      <c r="D108" s="14" t="inlineStr"/>
    </row>
    <row r="109">
      <c r="A109" s="12" t="inlineStr">
        <is>
          <t>R06 PACKAGE map</t>
        </is>
      </c>
      <c r="B109" s="22" t="inlineStr">
        <is>
          <t>Validation rule</t>
        </is>
      </c>
      <c r="C109" s="12" t="inlineStr">
        <is>
          <t>Check BIBS applies in staging (data-quality rules catalogue)</t>
        </is>
      </c>
      <c r="D109" s="12" t="inlineStr"/>
    </row>
    <row r="110">
      <c r="A110" s="14" t="inlineStr">
        <is>
          <t>R06 PACKAGE map</t>
        </is>
      </c>
      <c r="B110" s="23" t="inlineStr">
        <is>
          <t>Source system hint</t>
        </is>
      </c>
      <c r="C110" s="14" t="inlineStr">
        <is>
          <t>Where the value is expected to come from in legacy; BDOI IT confirms</t>
        </is>
      </c>
      <c r="D110" s="14" t="inlineStr"/>
    </row>
    <row r="111">
      <c r="A111" s="12" t="inlineStr">
        <is>
          <t>R07 Commission rates</t>
        </is>
      </c>
      <c r="B111" s="22" t="inlineStr">
        <is>
          <t>#</t>
        </is>
      </c>
      <c r="C111" s="12" t="inlineStr">
        <is>
          <t>Column position in the file</t>
        </is>
      </c>
      <c r="D111" s="12" t="inlineStr"/>
    </row>
    <row r="112">
      <c r="A112" s="14" t="inlineStr">
        <is>
          <t>R07 Commission rates</t>
        </is>
      </c>
      <c r="B112" s="23" t="inlineStr">
        <is>
          <t>Field name</t>
        </is>
      </c>
      <c r="C112" s="14" t="inlineStr">
        <is>
          <t>Column name in the header row of the file, exactly as written (lower case)</t>
        </is>
      </c>
      <c r="D112" s="14" t="inlineStr"/>
    </row>
    <row r="113">
      <c r="A113" s="12" t="inlineStr">
        <is>
          <t>R07 Commission rates</t>
        </is>
      </c>
      <c r="B113" s="22" t="inlineStr">
        <is>
          <t>Description</t>
        </is>
      </c>
      <c r="C113" s="12" t="inlineStr">
        <is>
          <t>What the field holds</t>
        </is>
      </c>
      <c r="D113" s="12" t="inlineStr"/>
    </row>
    <row r="114">
      <c r="A114" s="14" t="inlineStr">
        <is>
          <t>R07 Commission rates</t>
        </is>
      </c>
      <c r="B114" s="23" t="inlineStr">
        <is>
          <t>Type</t>
        </is>
      </c>
      <c r="C114" s="14" t="inlineStr">
        <is>
          <t>Text, Code (a coded value), Date, Timestamp, Amount (2 decimals), Integer, Decimal, Flag (Y or N)</t>
        </is>
      </c>
      <c r="D114" s="14" t="inlineStr">
        <is>
          <t>Amount, Code, Date, Decimal, Flag, Integer, Text, Timestamp</t>
        </is>
      </c>
    </row>
    <row r="115">
      <c r="A115" s="12" t="inlineStr">
        <is>
          <t>R07 Commission rates</t>
        </is>
      </c>
      <c r="B115" s="22" t="inlineStr">
        <is>
          <t>Length</t>
        </is>
      </c>
      <c r="C115" s="12" t="inlineStr">
        <is>
          <t>Maximum characters; for numbers the precision and decimals (19,2)</t>
        </is>
      </c>
      <c r="D115" s="12" t="inlineStr"/>
    </row>
    <row r="116">
      <c r="A116" s="14" t="inlineStr">
        <is>
          <t>R07 Commission rates</t>
        </is>
      </c>
      <c r="B116" s="23" t="inlineStr">
        <is>
          <t>Mandatory</t>
        </is>
      </c>
      <c r="C116" s="14" t="inlineStr">
        <is>
          <t>Y = always; N = optional; C = conditional (see the validation rule)</t>
        </is>
      </c>
      <c r="D116" s="14" t="inlineStr">
        <is>
          <t>Y, N, C</t>
        </is>
      </c>
    </row>
    <row r="117">
      <c r="A117" s="12" t="inlineStr">
        <is>
          <t>R07 Commission rates</t>
        </is>
      </c>
      <c r="B117" s="22" t="inlineStr">
        <is>
          <t>Allowed values / code list</t>
        </is>
      </c>
      <c r="C117" s="12" t="inlineStr">
        <is>
          <t>Closed list of values, or the code map set that maps the legacy value to BIBS</t>
        </is>
      </c>
      <c r="D117" s="12" t="inlineStr"/>
    </row>
    <row r="118">
      <c r="A118" s="14" t="inlineStr">
        <is>
          <t>R07 Commission rates</t>
        </is>
      </c>
      <c r="B118" s="23" t="inlineStr">
        <is>
          <t>Format</t>
        </is>
      </c>
      <c r="C118" s="14" t="inlineStr">
        <is>
          <t>How the value is written in the file</t>
        </is>
      </c>
      <c r="D118" s="14" t="inlineStr"/>
    </row>
    <row r="119">
      <c r="A119" s="12" t="inlineStr">
        <is>
          <t>R07 Commission rates</t>
        </is>
      </c>
      <c r="B119" s="22" t="inlineStr">
        <is>
          <t>Example</t>
        </is>
      </c>
      <c r="C119" s="12" t="inlineStr">
        <is>
          <t>A made-up example value</t>
        </is>
      </c>
      <c r="D119" s="12" t="inlineStr"/>
    </row>
    <row r="120">
      <c r="A120" s="14" t="inlineStr">
        <is>
          <t>R07 Commission rates</t>
        </is>
      </c>
      <c r="B120" s="23" t="inlineStr">
        <is>
          <t>BIBS target field</t>
        </is>
      </c>
      <c r="C120" s="14" t="inlineStr">
        <is>
          <t>Table and column (or service field) in BIBS; '(new)' = added by the migration build</t>
        </is>
      </c>
      <c r="D120" s="14" t="inlineStr"/>
    </row>
    <row r="121">
      <c r="A121" s="12" t="inlineStr">
        <is>
          <t>R07 Commission rates</t>
        </is>
      </c>
      <c r="B121" s="22" t="inlineStr">
        <is>
          <t>Validation rule</t>
        </is>
      </c>
      <c r="C121" s="12" t="inlineStr">
        <is>
          <t>Check BIBS applies in staging (data-quality rules catalogue)</t>
        </is>
      </c>
      <c r="D121" s="12" t="inlineStr"/>
    </row>
    <row r="122">
      <c r="A122" s="14" t="inlineStr">
        <is>
          <t>R07 Commission rates</t>
        </is>
      </c>
      <c r="B122" s="23" t="inlineStr">
        <is>
          <t>Source system hint</t>
        </is>
      </c>
      <c r="C122" s="14" t="inlineStr">
        <is>
          <t>Where the value is expected to come from in legacy; BDOI IT confirms</t>
        </is>
      </c>
      <c r="D122" s="14" t="inlineStr"/>
    </row>
    <row r="123">
      <c r="A123" s="12" t="inlineStr">
        <is>
          <t>R08 GL account map</t>
        </is>
      </c>
      <c r="B123" s="22" t="inlineStr">
        <is>
          <t>#</t>
        </is>
      </c>
      <c r="C123" s="12" t="inlineStr">
        <is>
          <t>Column position in the file</t>
        </is>
      </c>
      <c r="D123" s="12" t="inlineStr"/>
    </row>
    <row r="124">
      <c r="A124" s="14" t="inlineStr">
        <is>
          <t>R08 GL account map</t>
        </is>
      </c>
      <c r="B124" s="23" t="inlineStr">
        <is>
          <t>Field name</t>
        </is>
      </c>
      <c r="C124" s="14" t="inlineStr">
        <is>
          <t>Column name in the header row of the file, exactly as written (lower case)</t>
        </is>
      </c>
      <c r="D124" s="14" t="inlineStr"/>
    </row>
    <row r="125">
      <c r="A125" s="12" t="inlineStr">
        <is>
          <t>R08 GL account map</t>
        </is>
      </c>
      <c r="B125" s="22" t="inlineStr">
        <is>
          <t>Description</t>
        </is>
      </c>
      <c r="C125" s="12" t="inlineStr">
        <is>
          <t>What the field holds</t>
        </is>
      </c>
      <c r="D125" s="12" t="inlineStr"/>
    </row>
    <row r="126">
      <c r="A126" s="14" t="inlineStr">
        <is>
          <t>R08 GL account map</t>
        </is>
      </c>
      <c r="B126" s="23" t="inlineStr">
        <is>
          <t>Type</t>
        </is>
      </c>
      <c r="C126" s="14" t="inlineStr">
        <is>
          <t>Text, Code (a coded value), Date, Timestamp, Amount (2 decimals), Integer, Decimal, Flag (Y or N)</t>
        </is>
      </c>
      <c r="D126" s="14" t="inlineStr">
        <is>
          <t>Amount, Code, Date, Decimal, Flag, Integer, Text, Timestamp</t>
        </is>
      </c>
    </row>
    <row r="127">
      <c r="A127" s="12" t="inlineStr">
        <is>
          <t>R08 GL account map</t>
        </is>
      </c>
      <c r="B127" s="22" t="inlineStr">
        <is>
          <t>Length</t>
        </is>
      </c>
      <c r="C127" s="12" t="inlineStr">
        <is>
          <t>Maximum characters; for numbers the precision and decimals (19,2)</t>
        </is>
      </c>
      <c r="D127" s="12" t="inlineStr"/>
    </row>
    <row r="128">
      <c r="A128" s="14" t="inlineStr">
        <is>
          <t>R08 GL account map</t>
        </is>
      </c>
      <c r="B128" s="23" t="inlineStr">
        <is>
          <t>Mandatory</t>
        </is>
      </c>
      <c r="C128" s="14" t="inlineStr">
        <is>
          <t>Y = always; N = optional; C = conditional (see the validation rule)</t>
        </is>
      </c>
      <c r="D128" s="14" t="inlineStr">
        <is>
          <t>Y, N, C</t>
        </is>
      </c>
    </row>
    <row r="129">
      <c r="A129" s="12" t="inlineStr">
        <is>
          <t>R08 GL account map</t>
        </is>
      </c>
      <c r="B129" s="22" t="inlineStr">
        <is>
          <t>Allowed values / code list</t>
        </is>
      </c>
      <c r="C129" s="12" t="inlineStr">
        <is>
          <t>Closed list of values, or the code map set that maps the legacy value to BIBS</t>
        </is>
      </c>
      <c r="D129" s="12" t="inlineStr"/>
    </row>
    <row r="130">
      <c r="A130" s="14" t="inlineStr">
        <is>
          <t>R08 GL account map</t>
        </is>
      </c>
      <c r="B130" s="23" t="inlineStr">
        <is>
          <t>Format</t>
        </is>
      </c>
      <c r="C130" s="14" t="inlineStr">
        <is>
          <t>How the value is written in the file</t>
        </is>
      </c>
      <c r="D130" s="14" t="inlineStr"/>
    </row>
    <row r="131">
      <c r="A131" s="12" t="inlineStr">
        <is>
          <t>R08 GL account map</t>
        </is>
      </c>
      <c r="B131" s="22" t="inlineStr">
        <is>
          <t>Example</t>
        </is>
      </c>
      <c r="C131" s="12" t="inlineStr">
        <is>
          <t>A made-up example value</t>
        </is>
      </c>
      <c r="D131" s="12" t="inlineStr"/>
    </row>
    <row r="132">
      <c r="A132" s="14" t="inlineStr">
        <is>
          <t>R08 GL account map</t>
        </is>
      </c>
      <c r="B132" s="23" t="inlineStr">
        <is>
          <t>BIBS target field</t>
        </is>
      </c>
      <c r="C132" s="14" t="inlineStr">
        <is>
          <t>Table and column (or service field) in BIBS; '(new)' = added by the migration build</t>
        </is>
      </c>
      <c r="D132" s="14" t="inlineStr"/>
    </row>
    <row r="133">
      <c r="A133" s="12" t="inlineStr">
        <is>
          <t>R08 GL account map</t>
        </is>
      </c>
      <c r="B133" s="22" t="inlineStr">
        <is>
          <t>Validation rule</t>
        </is>
      </c>
      <c r="C133" s="12" t="inlineStr">
        <is>
          <t>Check BIBS applies in staging (data-quality rules catalogue)</t>
        </is>
      </c>
      <c r="D133" s="12" t="inlineStr"/>
    </row>
    <row r="134">
      <c r="A134" s="14" t="inlineStr">
        <is>
          <t>R08 GL account map</t>
        </is>
      </c>
      <c r="B134" s="23" t="inlineStr">
        <is>
          <t>Source system hint</t>
        </is>
      </c>
      <c r="C134" s="14" t="inlineStr">
        <is>
          <t>Where the value is expected to come from in legacy; BDOI IT confirms</t>
        </is>
      </c>
      <c r="D134" s="14" t="inlineStr"/>
    </row>
    <row r="135">
      <c r="A135" s="12" t="inlineStr">
        <is>
          <t>R09 Payees</t>
        </is>
      </c>
      <c r="B135" s="22" t="inlineStr">
        <is>
          <t>#</t>
        </is>
      </c>
      <c r="C135" s="12" t="inlineStr">
        <is>
          <t>Column position in the file</t>
        </is>
      </c>
      <c r="D135" s="12" t="inlineStr"/>
    </row>
    <row r="136">
      <c r="A136" s="14" t="inlineStr">
        <is>
          <t>R09 Payees</t>
        </is>
      </c>
      <c r="B136" s="23" t="inlineStr">
        <is>
          <t>Field name</t>
        </is>
      </c>
      <c r="C136" s="14" t="inlineStr">
        <is>
          <t>Column name in the header row of the file, exactly as written (lower case)</t>
        </is>
      </c>
      <c r="D136" s="14" t="inlineStr"/>
    </row>
    <row r="137">
      <c r="A137" s="12" t="inlineStr">
        <is>
          <t>R09 Payees</t>
        </is>
      </c>
      <c r="B137" s="22" t="inlineStr">
        <is>
          <t>Description</t>
        </is>
      </c>
      <c r="C137" s="12" t="inlineStr">
        <is>
          <t>What the field holds</t>
        </is>
      </c>
      <c r="D137" s="12" t="inlineStr"/>
    </row>
    <row r="138">
      <c r="A138" s="14" t="inlineStr">
        <is>
          <t>R09 Payees</t>
        </is>
      </c>
      <c r="B138" s="23" t="inlineStr">
        <is>
          <t>Type</t>
        </is>
      </c>
      <c r="C138" s="14" t="inlineStr">
        <is>
          <t>Text, Code (a coded value), Date, Timestamp, Amount (2 decimals), Integer, Decimal, Flag (Y or N)</t>
        </is>
      </c>
      <c r="D138" s="14" t="inlineStr">
        <is>
          <t>Amount, Code, Date, Decimal, Flag, Integer, Text, Timestamp</t>
        </is>
      </c>
    </row>
    <row r="139">
      <c r="A139" s="12" t="inlineStr">
        <is>
          <t>R09 Payees</t>
        </is>
      </c>
      <c r="B139" s="22" t="inlineStr">
        <is>
          <t>Length</t>
        </is>
      </c>
      <c r="C139" s="12" t="inlineStr">
        <is>
          <t>Maximum characters; for numbers the precision and decimals (19,2)</t>
        </is>
      </c>
      <c r="D139" s="12" t="inlineStr"/>
    </row>
    <row r="140">
      <c r="A140" s="14" t="inlineStr">
        <is>
          <t>R09 Payees</t>
        </is>
      </c>
      <c r="B140" s="23" t="inlineStr">
        <is>
          <t>Mandatory</t>
        </is>
      </c>
      <c r="C140" s="14" t="inlineStr">
        <is>
          <t>Y = always; N = optional; C = conditional (see the validation rule)</t>
        </is>
      </c>
      <c r="D140" s="14" t="inlineStr">
        <is>
          <t>Y, N, C</t>
        </is>
      </c>
    </row>
    <row r="141">
      <c r="A141" s="12" t="inlineStr">
        <is>
          <t>R09 Payees</t>
        </is>
      </c>
      <c r="B141" s="22" t="inlineStr">
        <is>
          <t>Allowed values / code list</t>
        </is>
      </c>
      <c r="C141" s="12" t="inlineStr">
        <is>
          <t>Closed list of values, or the code map set that maps the legacy value to BIBS</t>
        </is>
      </c>
      <c r="D141" s="12" t="inlineStr"/>
    </row>
    <row r="142">
      <c r="A142" s="14" t="inlineStr">
        <is>
          <t>R09 Payees</t>
        </is>
      </c>
      <c r="B142" s="23" t="inlineStr">
        <is>
          <t>Format</t>
        </is>
      </c>
      <c r="C142" s="14" t="inlineStr">
        <is>
          <t>How the value is written in the file</t>
        </is>
      </c>
      <c r="D142" s="14" t="inlineStr"/>
    </row>
    <row r="143">
      <c r="A143" s="12" t="inlineStr">
        <is>
          <t>R09 Payees</t>
        </is>
      </c>
      <c r="B143" s="22" t="inlineStr">
        <is>
          <t>Example</t>
        </is>
      </c>
      <c r="C143" s="12" t="inlineStr">
        <is>
          <t>A made-up example value</t>
        </is>
      </c>
      <c r="D143" s="12" t="inlineStr"/>
    </row>
    <row r="144">
      <c r="A144" s="14" t="inlineStr">
        <is>
          <t>R09 Payees</t>
        </is>
      </c>
      <c r="B144" s="23" t="inlineStr">
        <is>
          <t>BIBS target field</t>
        </is>
      </c>
      <c r="C144" s="14" t="inlineStr">
        <is>
          <t>Table and column (or service field) in BIBS; '(new)' = added by the migration build</t>
        </is>
      </c>
      <c r="D144" s="14" t="inlineStr"/>
    </row>
    <row r="145">
      <c r="A145" s="12" t="inlineStr">
        <is>
          <t>R09 Payees</t>
        </is>
      </c>
      <c r="B145" s="22" t="inlineStr">
        <is>
          <t>Validation rule</t>
        </is>
      </c>
      <c r="C145" s="12" t="inlineStr">
        <is>
          <t>Check BIBS applies in staging (data-quality rules catalogue)</t>
        </is>
      </c>
      <c r="D145" s="12" t="inlineStr"/>
    </row>
    <row r="146">
      <c r="A146" s="14" t="inlineStr">
        <is>
          <t>R09 Payees</t>
        </is>
      </c>
      <c r="B146" s="23" t="inlineStr">
        <is>
          <t>Source system hint</t>
        </is>
      </c>
      <c r="C146" s="14" t="inlineStr">
        <is>
          <t>Where the value is expected to come from in legacy; BDOI IT confirms</t>
        </is>
      </c>
      <c r="D146" s="14" t="inlineStr"/>
    </row>
    <row r="147">
      <c r="A147" s="12" t="inlineStr">
        <is>
          <t>R11 Receipt series</t>
        </is>
      </c>
      <c r="B147" s="22" t="inlineStr">
        <is>
          <t>#</t>
        </is>
      </c>
      <c r="C147" s="12" t="inlineStr">
        <is>
          <t>Column position in the file</t>
        </is>
      </c>
      <c r="D147" s="12" t="inlineStr"/>
    </row>
    <row r="148">
      <c r="A148" s="14" t="inlineStr">
        <is>
          <t>R11 Receipt series</t>
        </is>
      </c>
      <c r="B148" s="23" t="inlineStr">
        <is>
          <t>Field name</t>
        </is>
      </c>
      <c r="C148" s="14" t="inlineStr">
        <is>
          <t>Column name in the header row of the file, exactly as written (lower case)</t>
        </is>
      </c>
      <c r="D148" s="14" t="inlineStr"/>
    </row>
    <row r="149">
      <c r="A149" s="12" t="inlineStr">
        <is>
          <t>R11 Receipt series</t>
        </is>
      </c>
      <c r="B149" s="22" t="inlineStr">
        <is>
          <t>Description</t>
        </is>
      </c>
      <c r="C149" s="12" t="inlineStr">
        <is>
          <t>What the field holds</t>
        </is>
      </c>
      <c r="D149" s="12" t="inlineStr"/>
    </row>
    <row r="150">
      <c r="A150" s="14" t="inlineStr">
        <is>
          <t>R11 Receipt series</t>
        </is>
      </c>
      <c r="B150" s="23" t="inlineStr">
        <is>
          <t>Type</t>
        </is>
      </c>
      <c r="C150" s="14" t="inlineStr">
        <is>
          <t>Text, Code (a coded value), Date, Timestamp, Amount (2 decimals), Integer, Decimal, Flag (Y or N)</t>
        </is>
      </c>
      <c r="D150" s="14" t="inlineStr">
        <is>
          <t>Amount, Code, Date, Decimal, Flag, Integer, Text, Timestamp</t>
        </is>
      </c>
    </row>
    <row r="151">
      <c r="A151" s="12" t="inlineStr">
        <is>
          <t>R11 Receipt series</t>
        </is>
      </c>
      <c r="B151" s="22" t="inlineStr">
        <is>
          <t>Length</t>
        </is>
      </c>
      <c r="C151" s="12" t="inlineStr">
        <is>
          <t>Maximum characters; for numbers the precision and decimals (19,2)</t>
        </is>
      </c>
      <c r="D151" s="12" t="inlineStr"/>
    </row>
    <row r="152">
      <c r="A152" s="14" t="inlineStr">
        <is>
          <t>R11 Receipt series</t>
        </is>
      </c>
      <c r="B152" s="23" t="inlineStr">
        <is>
          <t>Mandatory</t>
        </is>
      </c>
      <c r="C152" s="14" t="inlineStr">
        <is>
          <t>Y = always; N = optional; C = conditional (see the validation rule)</t>
        </is>
      </c>
      <c r="D152" s="14" t="inlineStr">
        <is>
          <t>Y, N, C</t>
        </is>
      </c>
    </row>
    <row r="153">
      <c r="A153" s="12" t="inlineStr">
        <is>
          <t>R11 Receipt series</t>
        </is>
      </c>
      <c r="B153" s="22" t="inlineStr">
        <is>
          <t>Allowed values / code list</t>
        </is>
      </c>
      <c r="C153" s="12" t="inlineStr">
        <is>
          <t>Closed list of values, or the code map set that maps the legacy value to BIBS</t>
        </is>
      </c>
      <c r="D153" s="12" t="inlineStr"/>
    </row>
    <row r="154">
      <c r="A154" s="14" t="inlineStr">
        <is>
          <t>R11 Receipt series</t>
        </is>
      </c>
      <c r="B154" s="23" t="inlineStr">
        <is>
          <t>Format</t>
        </is>
      </c>
      <c r="C154" s="14" t="inlineStr">
        <is>
          <t>How the value is written in the file</t>
        </is>
      </c>
      <c r="D154" s="14" t="inlineStr"/>
    </row>
    <row r="155">
      <c r="A155" s="12" t="inlineStr">
        <is>
          <t>R11 Receipt series</t>
        </is>
      </c>
      <c r="B155" s="22" t="inlineStr">
        <is>
          <t>Example</t>
        </is>
      </c>
      <c r="C155" s="12" t="inlineStr">
        <is>
          <t>A made-up example value</t>
        </is>
      </c>
      <c r="D155" s="12" t="inlineStr"/>
    </row>
    <row r="156">
      <c r="A156" s="14" t="inlineStr">
        <is>
          <t>R11 Receipt series</t>
        </is>
      </c>
      <c r="B156" s="23" t="inlineStr">
        <is>
          <t>BIBS target field</t>
        </is>
      </c>
      <c r="C156" s="14" t="inlineStr">
        <is>
          <t>Table and column (or service field) in BIBS; '(new)' = added by the migration build</t>
        </is>
      </c>
      <c r="D156" s="14" t="inlineStr"/>
    </row>
    <row r="157">
      <c r="A157" s="12" t="inlineStr">
        <is>
          <t>R11 Receipt series</t>
        </is>
      </c>
      <c r="B157" s="22" t="inlineStr">
        <is>
          <t>Validation rule</t>
        </is>
      </c>
      <c r="C157" s="12" t="inlineStr">
        <is>
          <t>Check BIBS applies in staging (data-quality rules catalogue)</t>
        </is>
      </c>
      <c r="D157" s="12" t="inlineStr"/>
    </row>
    <row r="158">
      <c r="A158" s="14" t="inlineStr">
        <is>
          <t>R11 Receipt series</t>
        </is>
      </c>
      <c r="B158" s="23" t="inlineStr">
        <is>
          <t>Source system hint</t>
        </is>
      </c>
      <c r="C158" s="14" t="inlineStr">
        <is>
          <t>Where the value is expected to come from in legacy; BDOI IT confirms</t>
        </is>
      </c>
      <c r="D158" s="14" t="inlineStr"/>
    </row>
    <row r="159">
      <c r="A159" s="12" t="inlineStr">
        <is>
          <t>C01 Client master</t>
        </is>
      </c>
      <c r="B159" s="22" t="inlineStr">
        <is>
          <t>#</t>
        </is>
      </c>
      <c r="C159" s="12" t="inlineStr">
        <is>
          <t>Column position in the file</t>
        </is>
      </c>
      <c r="D159" s="12" t="inlineStr"/>
    </row>
    <row r="160">
      <c r="A160" s="14" t="inlineStr">
        <is>
          <t>C01 Client master</t>
        </is>
      </c>
      <c r="B160" s="23" t="inlineStr">
        <is>
          <t>Field name</t>
        </is>
      </c>
      <c r="C160" s="14" t="inlineStr">
        <is>
          <t>Column name in the header row of the file, exactly as written (lower case)</t>
        </is>
      </c>
      <c r="D160" s="14" t="inlineStr"/>
    </row>
    <row r="161">
      <c r="A161" s="12" t="inlineStr">
        <is>
          <t>C01 Client master</t>
        </is>
      </c>
      <c r="B161" s="22" t="inlineStr">
        <is>
          <t>Description</t>
        </is>
      </c>
      <c r="C161" s="12" t="inlineStr">
        <is>
          <t>What the field holds</t>
        </is>
      </c>
      <c r="D161" s="12" t="inlineStr"/>
    </row>
    <row r="162">
      <c r="A162" s="14" t="inlineStr">
        <is>
          <t>C01 Client master</t>
        </is>
      </c>
      <c r="B162" s="23" t="inlineStr">
        <is>
          <t>Type</t>
        </is>
      </c>
      <c r="C162" s="14" t="inlineStr">
        <is>
          <t>Text, Code (a coded value), Date, Timestamp, Amount (2 decimals), Integer, Decimal, Flag (Y or N)</t>
        </is>
      </c>
      <c r="D162" s="14" t="inlineStr">
        <is>
          <t>Amount, Code, Date, Decimal, Flag, Integer, Text, Timestamp</t>
        </is>
      </c>
    </row>
    <row r="163">
      <c r="A163" s="12" t="inlineStr">
        <is>
          <t>C01 Client master</t>
        </is>
      </c>
      <c r="B163" s="22" t="inlineStr">
        <is>
          <t>Length</t>
        </is>
      </c>
      <c r="C163" s="12" t="inlineStr">
        <is>
          <t>Maximum characters; for numbers the precision and decimals (19,2)</t>
        </is>
      </c>
      <c r="D163" s="12" t="inlineStr"/>
    </row>
    <row r="164">
      <c r="A164" s="14" t="inlineStr">
        <is>
          <t>C01 Client master</t>
        </is>
      </c>
      <c r="B164" s="23" t="inlineStr">
        <is>
          <t>Mandatory</t>
        </is>
      </c>
      <c r="C164" s="14" t="inlineStr">
        <is>
          <t>Y = always; N = optional; C = conditional (see the validation rule)</t>
        </is>
      </c>
      <c r="D164" s="14" t="inlineStr">
        <is>
          <t>Y, N, C</t>
        </is>
      </c>
    </row>
    <row r="165">
      <c r="A165" s="12" t="inlineStr">
        <is>
          <t>C01 Client master</t>
        </is>
      </c>
      <c r="B165" s="22" t="inlineStr">
        <is>
          <t>Allowed values / code list</t>
        </is>
      </c>
      <c r="C165" s="12" t="inlineStr">
        <is>
          <t>Closed list of values, or the code map set that maps the legacy value to BIBS</t>
        </is>
      </c>
      <c r="D165" s="12" t="inlineStr"/>
    </row>
    <row r="166">
      <c r="A166" s="14" t="inlineStr">
        <is>
          <t>C01 Client master</t>
        </is>
      </c>
      <c r="B166" s="23" t="inlineStr">
        <is>
          <t>Format</t>
        </is>
      </c>
      <c r="C166" s="14" t="inlineStr">
        <is>
          <t>How the value is written in the file</t>
        </is>
      </c>
      <c r="D166" s="14" t="inlineStr"/>
    </row>
    <row r="167">
      <c r="A167" s="12" t="inlineStr">
        <is>
          <t>C01 Client master</t>
        </is>
      </c>
      <c r="B167" s="22" t="inlineStr">
        <is>
          <t>Example</t>
        </is>
      </c>
      <c r="C167" s="12" t="inlineStr">
        <is>
          <t>A made-up example value</t>
        </is>
      </c>
      <c r="D167" s="12" t="inlineStr"/>
    </row>
    <row r="168">
      <c r="A168" s="14" t="inlineStr">
        <is>
          <t>C01 Client master</t>
        </is>
      </c>
      <c r="B168" s="23" t="inlineStr">
        <is>
          <t>BIBS target field</t>
        </is>
      </c>
      <c r="C168" s="14" t="inlineStr">
        <is>
          <t>Table and column (or service field) in BIBS; '(new)' = added by the migration build</t>
        </is>
      </c>
      <c r="D168" s="14" t="inlineStr"/>
    </row>
    <row r="169">
      <c r="A169" s="12" t="inlineStr">
        <is>
          <t>C01 Client master</t>
        </is>
      </c>
      <c r="B169" s="22" t="inlineStr">
        <is>
          <t>Validation rule</t>
        </is>
      </c>
      <c r="C169" s="12" t="inlineStr">
        <is>
          <t>Check BIBS applies in staging (data-quality rules catalogue)</t>
        </is>
      </c>
      <c r="D169" s="12" t="inlineStr"/>
    </row>
    <row r="170">
      <c r="A170" s="14" t="inlineStr">
        <is>
          <t>C01 Client master</t>
        </is>
      </c>
      <c r="B170" s="23" t="inlineStr">
        <is>
          <t>Source system hint</t>
        </is>
      </c>
      <c r="C170" s="14" t="inlineStr">
        <is>
          <t>Where the value is expected to come from in legacy; BDOI IT confirms</t>
        </is>
      </c>
      <c r="D170" s="14" t="inlineStr"/>
    </row>
    <row r="171">
      <c r="A171" s="12" t="inlineStr">
        <is>
          <t>C02 Client addresses</t>
        </is>
      </c>
      <c r="B171" s="22" t="inlineStr">
        <is>
          <t>#</t>
        </is>
      </c>
      <c r="C171" s="12" t="inlineStr">
        <is>
          <t>Column position in the file</t>
        </is>
      </c>
      <c r="D171" s="12" t="inlineStr"/>
    </row>
    <row r="172">
      <c r="A172" s="14" t="inlineStr">
        <is>
          <t>C02 Client addresses</t>
        </is>
      </c>
      <c r="B172" s="23" t="inlineStr">
        <is>
          <t>Field name</t>
        </is>
      </c>
      <c r="C172" s="14" t="inlineStr">
        <is>
          <t>Column name in the header row of the file, exactly as written (lower case)</t>
        </is>
      </c>
      <c r="D172" s="14" t="inlineStr"/>
    </row>
    <row r="173">
      <c r="A173" s="12" t="inlineStr">
        <is>
          <t>C02 Client addresses</t>
        </is>
      </c>
      <c r="B173" s="22" t="inlineStr">
        <is>
          <t>Description</t>
        </is>
      </c>
      <c r="C173" s="12" t="inlineStr">
        <is>
          <t>What the field holds</t>
        </is>
      </c>
      <c r="D173" s="12" t="inlineStr"/>
    </row>
    <row r="174">
      <c r="A174" s="14" t="inlineStr">
        <is>
          <t>C02 Client addresses</t>
        </is>
      </c>
      <c r="B174" s="23" t="inlineStr">
        <is>
          <t>Type</t>
        </is>
      </c>
      <c r="C174" s="14" t="inlineStr">
        <is>
          <t>Text, Code (a coded value), Date, Timestamp, Amount (2 decimals), Integer, Decimal, Flag (Y or N)</t>
        </is>
      </c>
      <c r="D174" s="14" t="inlineStr">
        <is>
          <t>Amount, Code, Date, Decimal, Flag, Integer, Text, Timestamp</t>
        </is>
      </c>
    </row>
    <row r="175">
      <c r="A175" s="12" t="inlineStr">
        <is>
          <t>C02 Client addresses</t>
        </is>
      </c>
      <c r="B175" s="22" t="inlineStr">
        <is>
          <t>Length</t>
        </is>
      </c>
      <c r="C175" s="12" t="inlineStr">
        <is>
          <t>Maximum characters; for numbers the precision and decimals (19,2)</t>
        </is>
      </c>
      <c r="D175" s="12" t="inlineStr"/>
    </row>
    <row r="176">
      <c r="A176" s="14" t="inlineStr">
        <is>
          <t>C02 Client addresses</t>
        </is>
      </c>
      <c r="B176" s="23" t="inlineStr">
        <is>
          <t>Mandatory</t>
        </is>
      </c>
      <c r="C176" s="14" t="inlineStr">
        <is>
          <t>Y = always; N = optional; C = conditional (see the validation rule)</t>
        </is>
      </c>
      <c r="D176" s="14" t="inlineStr">
        <is>
          <t>Y, N, C</t>
        </is>
      </c>
    </row>
    <row r="177">
      <c r="A177" s="12" t="inlineStr">
        <is>
          <t>C02 Client addresses</t>
        </is>
      </c>
      <c r="B177" s="22" t="inlineStr">
        <is>
          <t>Allowed values / code list</t>
        </is>
      </c>
      <c r="C177" s="12" t="inlineStr">
        <is>
          <t>Closed list of values, or the code map set that maps the legacy value to BIBS</t>
        </is>
      </c>
      <c r="D177" s="12" t="inlineStr"/>
    </row>
    <row r="178">
      <c r="A178" s="14" t="inlineStr">
        <is>
          <t>C02 Client addresses</t>
        </is>
      </c>
      <c r="B178" s="23" t="inlineStr">
        <is>
          <t>Format</t>
        </is>
      </c>
      <c r="C178" s="14" t="inlineStr">
        <is>
          <t>How the value is written in the file</t>
        </is>
      </c>
      <c r="D178" s="14" t="inlineStr"/>
    </row>
    <row r="179">
      <c r="A179" s="12" t="inlineStr">
        <is>
          <t>C02 Client addresses</t>
        </is>
      </c>
      <c r="B179" s="22" t="inlineStr">
        <is>
          <t>Example</t>
        </is>
      </c>
      <c r="C179" s="12" t="inlineStr">
        <is>
          <t>A made-up example value</t>
        </is>
      </c>
      <c r="D179" s="12" t="inlineStr"/>
    </row>
    <row r="180">
      <c r="A180" s="14" t="inlineStr">
        <is>
          <t>C02 Client addresses</t>
        </is>
      </c>
      <c r="B180" s="23" t="inlineStr">
        <is>
          <t>BIBS target field</t>
        </is>
      </c>
      <c r="C180" s="14" t="inlineStr">
        <is>
          <t>Table and column (or service field) in BIBS; '(new)' = added by the migration build</t>
        </is>
      </c>
      <c r="D180" s="14" t="inlineStr"/>
    </row>
    <row r="181">
      <c r="A181" s="12" t="inlineStr">
        <is>
          <t>C02 Client addresses</t>
        </is>
      </c>
      <c r="B181" s="22" t="inlineStr">
        <is>
          <t>Validation rule</t>
        </is>
      </c>
      <c r="C181" s="12" t="inlineStr">
        <is>
          <t>Check BIBS applies in staging (data-quality rules catalogue)</t>
        </is>
      </c>
      <c r="D181" s="12" t="inlineStr"/>
    </row>
    <row r="182">
      <c r="A182" s="14" t="inlineStr">
        <is>
          <t>C02 Client addresses</t>
        </is>
      </c>
      <c r="B182" s="23" t="inlineStr">
        <is>
          <t>Source system hint</t>
        </is>
      </c>
      <c r="C182" s="14" t="inlineStr">
        <is>
          <t>Where the value is expected to come from in legacy; BDOI IT confirms</t>
        </is>
      </c>
      <c r="D182" s="14" t="inlineStr"/>
    </row>
    <row r="183">
      <c r="A183" s="12" t="inlineStr">
        <is>
          <t>C03 Payout accounts</t>
        </is>
      </c>
      <c r="B183" s="22" t="inlineStr">
        <is>
          <t>#</t>
        </is>
      </c>
      <c r="C183" s="12" t="inlineStr">
        <is>
          <t>Column position in the file</t>
        </is>
      </c>
      <c r="D183" s="12" t="inlineStr"/>
    </row>
    <row r="184">
      <c r="A184" s="14" t="inlineStr">
        <is>
          <t>C03 Payout accounts</t>
        </is>
      </c>
      <c r="B184" s="23" t="inlineStr">
        <is>
          <t>Field name</t>
        </is>
      </c>
      <c r="C184" s="14" t="inlineStr">
        <is>
          <t>Column name in the header row of the file, exactly as written (lower case)</t>
        </is>
      </c>
      <c r="D184" s="14" t="inlineStr"/>
    </row>
    <row r="185">
      <c r="A185" s="12" t="inlineStr">
        <is>
          <t>C03 Payout accounts</t>
        </is>
      </c>
      <c r="B185" s="22" t="inlineStr">
        <is>
          <t>Description</t>
        </is>
      </c>
      <c r="C185" s="12" t="inlineStr">
        <is>
          <t>What the field holds</t>
        </is>
      </c>
      <c r="D185" s="12" t="inlineStr"/>
    </row>
    <row r="186">
      <c r="A186" s="14" t="inlineStr">
        <is>
          <t>C03 Payout accounts</t>
        </is>
      </c>
      <c r="B186" s="23" t="inlineStr">
        <is>
          <t>Type</t>
        </is>
      </c>
      <c r="C186" s="14" t="inlineStr">
        <is>
          <t>Text, Code (a coded value), Date, Timestamp, Amount (2 decimals), Integer, Decimal, Flag (Y or N)</t>
        </is>
      </c>
      <c r="D186" s="14" t="inlineStr">
        <is>
          <t>Amount, Code, Date, Decimal, Flag, Integer, Text, Timestamp</t>
        </is>
      </c>
    </row>
    <row r="187">
      <c r="A187" s="12" t="inlineStr">
        <is>
          <t>C03 Payout accounts</t>
        </is>
      </c>
      <c r="B187" s="22" t="inlineStr">
        <is>
          <t>Length</t>
        </is>
      </c>
      <c r="C187" s="12" t="inlineStr">
        <is>
          <t>Maximum characters; for numbers the precision and decimals (19,2)</t>
        </is>
      </c>
      <c r="D187" s="12" t="inlineStr"/>
    </row>
    <row r="188">
      <c r="A188" s="14" t="inlineStr">
        <is>
          <t>C03 Payout accounts</t>
        </is>
      </c>
      <c r="B188" s="23" t="inlineStr">
        <is>
          <t>Mandatory</t>
        </is>
      </c>
      <c r="C188" s="14" t="inlineStr">
        <is>
          <t>Y = always; N = optional; C = conditional (see the validation rule)</t>
        </is>
      </c>
      <c r="D188" s="14" t="inlineStr">
        <is>
          <t>Y, N, C</t>
        </is>
      </c>
    </row>
    <row r="189">
      <c r="A189" s="12" t="inlineStr">
        <is>
          <t>C03 Payout accounts</t>
        </is>
      </c>
      <c r="B189" s="22" t="inlineStr">
        <is>
          <t>Allowed values / code list</t>
        </is>
      </c>
      <c r="C189" s="12" t="inlineStr">
        <is>
          <t>Closed list of values, or the code map set that maps the legacy value to BIBS</t>
        </is>
      </c>
      <c r="D189" s="12" t="inlineStr"/>
    </row>
    <row r="190">
      <c r="A190" s="14" t="inlineStr">
        <is>
          <t>C03 Payout accounts</t>
        </is>
      </c>
      <c r="B190" s="23" t="inlineStr">
        <is>
          <t>Format</t>
        </is>
      </c>
      <c r="C190" s="14" t="inlineStr">
        <is>
          <t>How the value is written in the file</t>
        </is>
      </c>
      <c r="D190" s="14" t="inlineStr"/>
    </row>
    <row r="191">
      <c r="A191" s="12" t="inlineStr">
        <is>
          <t>C03 Payout accounts</t>
        </is>
      </c>
      <c r="B191" s="22" t="inlineStr">
        <is>
          <t>Example</t>
        </is>
      </c>
      <c r="C191" s="12" t="inlineStr">
        <is>
          <t>A made-up example value</t>
        </is>
      </c>
      <c r="D191" s="12" t="inlineStr"/>
    </row>
    <row r="192">
      <c r="A192" s="14" t="inlineStr">
        <is>
          <t>C03 Payout accounts</t>
        </is>
      </c>
      <c r="B192" s="23" t="inlineStr">
        <is>
          <t>BIBS target field</t>
        </is>
      </c>
      <c r="C192" s="14" t="inlineStr">
        <is>
          <t>Table and column (or service field) in BIBS; '(new)' = added by the migration build</t>
        </is>
      </c>
      <c r="D192" s="14" t="inlineStr"/>
    </row>
    <row r="193">
      <c r="A193" s="12" t="inlineStr">
        <is>
          <t>C03 Payout accounts</t>
        </is>
      </c>
      <c r="B193" s="22" t="inlineStr">
        <is>
          <t>Validation rule</t>
        </is>
      </c>
      <c r="C193" s="12" t="inlineStr">
        <is>
          <t>Check BIBS applies in staging (data-quality rules catalogue)</t>
        </is>
      </c>
      <c r="D193" s="12" t="inlineStr"/>
    </row>
    <row r="194">
      <c r="A194" s="14" t="inlineStr">
        <is>
          <t>C03 Payout accounts</t>
        </is>
      </c>
      <c r="B194" s="23" t="inlineStr">
        <is>
          <t>Source system hint</t>
        </is>
      </c>
      <c r="C194" s="14" t="inlineStr">
        <is>
          <t>Where the value is expected to come from in legacy; BDOI IT confirms</t>
        </is>
      </c>
      <c r="D194" s="14" t="inlineStr"/>
    </row>
    <row r="195">
      <c r="A195" s="12" t="inlineStr">
        <is>
          <t>P01 Policy headers</t>
        </is>
      </c>
      <c r="B195" s="22" t="inlineStr">
        <is>
          <t>#</t>
        </is>
      </c>
      <c r="C195" s="12" t="inlineStr">
        <is>
          <t>Column position in the file</t>
        </is>
      </c>
      <c r="D195" s="12" t="inlineStr"/>
    </row>
    <row r="196">
      <c r="A196" s="14" t="inlineStr">
        <is>
          <t>P01 Policy headers</t>
        </is>
      </c>
      <c r="B196" s="23" t="inlineStr">
        <is>
          <t>Field name</t>
        </is>
      </c>
      <c r="C196" s="14" t="inlineStr">
        <is>
          <t>Column name in the header row of the file, exactly as written (lower case)</t>
        </is>
      </c>
      <c r="D196" s="14" t="inlineStr"/>
    </row>
    <row r="197">
      <c r="A197" s="12" t="inlineStr">
        <is>
          <t>P01 Policy headers</t>
        </is>
      </c>
      <c r="B197" s="22" t="inlineStr">
        <is>
          <t>Description</t>
        </is>
      </c>
      <c r="C197" s="12" t="inlineStr">
        <is>
          <t>What the field holds</t>
        </is>
      </c>
      <c r="D197" s="12" t="inlineStr"/>
    </row>
    <row r="198">
      <c r="A198" s="14" t="inlineStr">
        <is>
          <t>P01 Policy headers</t>
        </is>
      </c>
      <c r="B198" s="23" t="inlineStr">
        <is>
          <t>Type</t>
        </is>
      </c>
      <c r="C198" s="14" t="inlineStr">
        <is>
          <t>Text, Code (a coded value), Date, Timestamp, Amount (2 decimals), Integer, Decimal, Flag (Y or N)</t>
        </is>
      </c>
      <c r="D198" s="14" t="inlineStr">
        <is>
          <t>Amount, Code, Date, Decimal, Flag, Integer, Text, Timestamp</t>
        </is>
      </c>
    </row>
    <row r="199">
      <c r="A199" s="12" t="inlineStr">
        <is>
          <t>P01 Policy headers</t>
        </is>
      </c>
      <c r="B199" s="22" t="inlineStr">
        <is>
          <t>Length</t>
        </is>
      </c>
      <c r="C199" s="12" t="inlineStr">
        <is>
          <t>Maximum characters; for numbers the precision and decimals (19,2)</t>
        </is>
      </c>
      <c r="D199" s="12" t="inlineStr"/>
    </row>
    <row r="200">
      <c r="A200" s="14" t="inlineStr">
        <is>
          <t>P01 Policy headers</t>
        </is>
      </c>
      <c r="B200" s="23" t="inlineStr">
        <is>
          <t>Mandatory</t>
        </is>
      </c>
      <c r="C200" s="14" t="inlineStr">
        <is>
          <t>Y = always; N = optional; C = conditional (see the validation rule)</t>
        </is>
      </c>
      <c r="D200" s="14" t="inlineStr">
        <is>
          <t>Y, N, C</t>
        </is>
      </c>
    </row>
    <row r="201">
      <c r="A201" s="12" t="inlineStr">
        <is>
          <t>P01 Policy headers</t>
        </is>
      </c>
      <c r="B201" s="22" t="inlineStr">
        <is>
          <t>Allowed values / code list</t>
        </is>
      </c>
      <c r="C201" s="12" t="inlineStr">
        <is>
          <t>Closed list of values, or the code map set that maps the legacy value to BIBS</t>
        </is>
      </c>
      <c r="D201" s="12" t="inlineStr"/>
    </row>
    <row r="202">
      <c r="A202" s="14" t="inlineStr">
        <is>
          <t>P01 Policy headers</t>
        </is>
      </c>
      <c r="B202" s="23" t="inlineStr">
        <is>
          <t>Format</t>
        </is>
      </c>
      <c r="C202" s="14" t="inlineStr">
        <is>
          <t>How the value is written in the file</t>
        </is>
      </c>
      <c r="D202" s="14" t="inlineStr"/>
    </row>
    <row r="203">
      <c r="A203" s="12" t="inlineStr">
        <is>
          <t>P01 Policy headers</t>
        </is>
      </c>
      <c r="B203" s="22" t="inlineStr">
        <is>
          <t>Example</t>
        </is>
      </c>
      <c r="C203" s="12" t="inlineStr">
        <is>
          <t>A made-up example value</t>
        </is>
      </c>
      <c r="D203" s="12" t="inlineStr"/>
    </row>
    <row r="204">
      <c r="A204" s="14" t="inlineStr">
        <is>
          <t>P01 Policy headers</t>
        </is>
      </c>
      <c r="B204" s="23" t="inlineStr">
        <is>
          <t>BIBS target field</t>
        </is>
      </c>
      <c r="C204" s="14" t="inlineStr">
        <is>
          <t>Table and column (or service field) in BIBS; '(new)' = added by the migration build</t>
        </is>
      </c>
      <c r="D204" s="14" t="inlineStr"/>
    </row>
    <row r="205">
      <c r="A205" s="12" t="inlineStr">
        <is>
          <t>P01 Policy headers</t>
        </is>
      </c>
      <c r="B205" s="22" t="inlineStr">
        <is>
          <t>Validation rule</t>
        </is>
      </c>
      <c r="C205" s="12" t="inlineStr">
        <is>
          <t>Check BIBS applies in staging (data-quality rules catalogue)</t>
        </is>
      </c>
      <c r="D205" s="12" t="inlineStr"/>
    </row>
    <row r="206">
      <c r="A206" s="14" t="inlineStr">
        <is>
          <t>P01 Policy headers</t>
        </is>
      </c>
      <c r="B206" s="23" t="inlineStr">
        <is>
          <t>Source system hint</t>
        </is>
      </c>
      <c r="C206" s="14" t="inlineStr">
        <is>
          <t>Where the value is expected to come from in legacy; BDOI IT confirms</t>
        </is>
      </c>
      <c r="D206" s="14" t="inlineStr"/>
    </row>
    <row r="207">
      <c r="A207" s="12" t="inlineStr">
        <is>
          <t>P01S Policy shares</t>
        </is>
      </c>
      <c r="B207" s="22" t="inlineStr">
        <is>
          <t>#</t>
        </is>
      </c>
      <c r="C207" s="12" t="inlineStr">
        <is>
          <t>Column position in the file</t>
        </is>
      </c>
      <c r="D207" s="12" t="inlineStr"/>
    </row>
    <row r="208">
      <c r="A208" s="14" t="inlineStr">
        <is>
          <t>P01S Policy shares</t>
        </is>
      </c>
      <c r="B208" s="23" t="inlineStr">
        <is>
          <t>Field name</t>
        </is>
      </c>
      <c r="C208" s="14" t="inlineStr">
        <is>
          <t>Column name in the header row of the file, exactly as written (lower case)</t>
        </is>
      </c>
      <c r="D208" s="14" t="inlineStr"/>
    </row>
    <row r="209">
      <c r="A209" s="12" t="inlineStr">
        <is>
          <t>P01S Policy shares</t>
        </is>
      </c>
      <c r="B209" s="22" t="inlineStr">
        <is>
          <t>Description</t>
        </is>
      </c>
      <c r="C209" s="12" t="inlineStr">
        <is>
          <t>What the field holds</t>
        </is>
      </c>
      <c r="D209" s="12" t="inlineStr"/>
    </row>
    <row r="210">
      <c r="A210" s="14" t="inlineStr">
        <is>
          <t>P01S Policy shares</t>
        </is>
      </c>
      <c r="B210" s="23" t="inlineStr">
        <is>
          <t>Type</t>
        </is>
      </c>
      <c r="C210" s="14" t="inlineStr">
        <is>
          <t>Text, Code (a coded value), Date, Timestamp, Amount (2 decimals), Integer, Decimal, Flag (Y or N)</t>
        </is>
      </c>
      <c r="D210" s="14" t="inlineStr">
        <is>
          <t>Amount, Code, Date, Decimal, Flag, Integer, Text, Timestamp</t>
        </is>
      </c>
    </row>
    <row r="211">
      <c r="A211" s="12" t="inlineStr">
        <is>
          <t>P01S Policy shares</t>
        </is>
      </c>
      <c r="B211" s="22" t="inlineStr">
        <is>
          <t>Length</t>
        </is>
      </c>
      <c r="C211" s="12" t="inlineStr">
        <is>
          <t>Maximum characters; for numbers the precision and decimals (19,2)</t>
        </is>
      </c>
      <c r="D211" s="12" t="inlineStr"/>
    </row>
    <row r="212">
      <c r="A212" s="14" t="inlineStr">
        <is>
          <t>P01S Policy shares</t>
        </is>
      </c>
      <c r="B212" s="23" t="inlineStr">
        <is>
          <t>Mandatory</t>
        </is>
      </c>
      <c r="C212" s="14" t="inlineStr">
        <is>
          <t>Y = always; N = optional; C = conditional (see the validation rule)</t>
        </is>
      </c>
      <c r="D212" s="14" t="inlineStr">
        <is>
          <t>Y, N, C</t>
        </is>
      </c>
    </row>
    <row r="213">
      <c r="A213" s="12" t="inlineStr">
        <is>
          <t>P01S Policy shares</t>
        </is>
      </c>
      <c r="B213" s="22" t="inlineStr">
        <is>
          <t>Allowed values / code list</t>
        </is>
      </c>
      <c r="C213" s="12" t="inlineStr">
        <is>
          <t>Closed list of values, or the code map set that maps the legacy value to BIBS</t>
        </is>
      </c>
      <c r="D213" s="12" t="inlineStr"/>
    </row>
    <row r="214">
      <c r="A214" s="14" t="inlineStr">
        <is>
          <t>P01S Policy shares</t>
        </is>
      </c>
      <c r="B214" s="23" t="inlineStr">
        <is>
          <t>Format</t>
        </is>
      </c>
      <c r="C214" s="14" t="inlineStr">
        <is>
          <t>How the value is written in the file</t>
        </is>
      </c>
      <c r="D214" s="14" t="inlineStr"/>
    </row>
    <row r="215">
      <c r="A215" s="12" t="inlineStr">
        <is>
          <t>P01S Policy shares</t>
        </is>
      </c>
      <c r="B215" s="22" t="inlineStr">
        <is>
          <t>Example</t>
        </is>
      </c>
      <c r="C215" s="12" t="inlineStr">
        <is>
          <t>A made-up example value</t>
        </is>
      </c>
      <c r="D215" s="12" t="inlineStr"/>
    </row>
    <row r="216">
      <c r="A216" s="14" t="inlineStr">
        <is>
          <t>P01S Policy shares</t>
        </is>
      </c>
      <c r="B216" s="23" t="inlineStr">
        <is>
          <t>BIBS target field</t>
        </is>
      </c>
      <c r="C216" s="14" t="inlineStr">
        <is>
          <t>Table and column (or service field) in BIBS; '(new)' = added by the migration build</t>
        </is>
      </c>
      <c r="D216" s="14" t="inlineStr"/>
    </row>
    <row r="217">
      <c r="A217" s="12" t="inlineStr">
        <is>
          <t>P01S Policy shares</t>
        </is>
      </c>
      <c r="B217" s="22" t="inlineStr">
        <is>
          <t>Validation rule</t>
        </is>
      </c>
      <c r="C217" s="12" t="inlineStr">
        <is>
          <t>Check BIBS applies in staging (data-quality rules catalogue)</t>
        </is>
      </c>
      <c r="D217" s="12" t="inlineStr"/>
    </row>
    <row r="218">
      <c r="A218" s="14" t="inlineStr">
        <is>
          <t>P01S Policy shares</t>
        </is>
      </c>
      <c r="B218" s="23" t="inlineStr">
        <is>
          <t>Source system hint</t>
        </is>
      </c>
      <c r="C218" s="14" t="inlineStr">
        <is>
          <t>Where the value is expected to come from in legacy; BDOI IT confirms</t>
        </is>
      </c>
      <c r="D218" s="14" t="inlineStr"/>
    </row>
    <row r="219">
      <c r="A219" s="12" t="inlineStr">
        <is>
          <t>P03 RA already sent</t>
        </is>
      </c>
      <c r="B219" s="22" t="inlineStr">
        <is>
          <t>#</t>
        </is>
      </c>
      <c r="C219" s="12" t="inlineStr">
        <is>
          <t>Column position in the file</t>
        </is>
      </c>
      <c r="D219" s="12" t="inlineStr"/>
    </row>
    <row r="220">
      <c r="A220" s="14" t="inlineStr">
        <is>
          <t>P03 RA already sent</t>
        </is>
      </c>
      <c r="B220" s="23" t="inlineStr">
        <is>
          <t>Field name</t>
        </is>
      </c>
      <c r="C220" s="14" t="inlineStr">
        <is>
          <t>Column name in the header row of the file, exactly as written (lower case)</t>
        </is>
      </c>
      <c r="D220" s="14" t="inlineStr"/>
    </row>
    <row r="221">
      <c r="A221" s="12" t="inlineStr">
        <is>
          <t>P03 RA already sent</t>
        </is>
      </c>
      <c r="B221" s="22" t="inlineStr">
        <is>
          <t>Description</t>
        </is>
      </c>
      <c r="C221" s="12" t="inlineStr">
        <is>
          <t>What the field holds</t>
        </is>
      </c>
      <c r="D221" s="12" t="inlineStr"/>
    </row>
    <row r="222">
      <c r="A222" s="14" t="inlineStr">
        <is>
          <t>P03 RA already sent</t>
        </is>
      </c>
      <c r="B222" s="23" t="inlineStr">
        <is>
          <t>Type</t>
        </is>
      </c>
      <c r="C222" s="14" t="inlineStr">
        <is>
          <t>Text, Code (a coded value), Date, Timestamp, Amount (2 decimals), Integer, Decimal, Flag (Y or N)</t>
        </is>
      </c>
      <c r="D222" s="14" t="inlineStr">
        <is>
          <t>Amount, Code, Date, Decimal, Flag, Integer, Text, Timestamp</t>
        </is>
      </c>
    </row>
    <row r="223">
      <c r="A223" s="12" t="inlineStr">
        <is>
          <t>P03 RA already sent</t>
        </is>
      </c>
      <c r="B223" s="22" t="inlineStr">
        <is>
          <t>Length</t>
        </is>
      </c>
      <c r="C223" s="12" t="inlineStr">
        <is>
          <t>Maximum characters; for numbers the precision and decimals (19,2)</t>
        </is>
      </c>
      <c r="D223" s="12" t="inlineStr"/>
    </row>
    <row r="224">
      <c r="A224" s="14" t="inlineStr">
        <is>
          <t>P03 RA already sent</t>
        </is>
      </c>
      <c r="B224" s="23" t="inlineStr">
        <is>
          <t>Mandatory</t>
        </is>
      </c>
      <c r="C224" s="14" t="inlineStr">
        <is>
          <t>Y = always; N = optional; C = conditional (see the validation rule)</t>
        </is>
      </c>
      <c r="D224" s="14" t="inlineStr">
        <is>
          <t>Y, N, C</t>
        </is>
      </c>
    </row>
    <row r="225">
      <c r="A225" s="12" t="inlineStr">
        <is>
          <t>P03 RA already sent</t>
        </is>
      </c>
      <c r="B225" s="22" t="inlineStr">
        <is>
          <t>Allowed values / code list</t>
        </is>
      </c>
      <c r="C225" s="12" t="inlineStr">
        <is>
          <t>Closed list of values, or the code map set that maps the legacy value to BIBS</t>
        </is>
      </c>
      <c r="D225" s="12" t="inlineStr"/>
    </row>
    <row r="226">
      <c r="A226" s="14" t="inlineStr">
        <is>
          <t>P03 RA already sent</t>
        </is>
      </c>
      <c r="B226" s="23" t="inlineStr">
        <is>
          <t>Format</t>
        </is>
      </c>
      <c r="C226" s="14" t="inlineStr">
        <is>
          <t>How the value is written in the file</t>
        </is>
      </c>
      <c r="D226" s="14" t="inlineStr"/>
    </row>
    <row r="227">
      <c r="A227" s="12" t="inlineStr">
        <is>
          <t>P03 RA already sent</t>
        </is>
      </c>
      <c r="B227" s="22" t="inlineStr">
        <is>
          <t>Example</t>
        </is>
      </c>
      <c r="C227" s="12" t="inlineStr">
        <is>
          <t>A made-up example value</t>
        </is>
      </c>
      <c r="D227" s="12" t="inlineStr"/>
    </row>
    <row r="228">
      <c r="A228" s="14" t="inlineStr">
        <is>
          <t>P03 RA already sent</t>
        </is>
      </c>
      <c r="B228" s="23" t="inlineStr">
        <is>
          <t>BIBS target field</t>
        </is>
      </c>
      <c r="C228" s="14" t="inlineStr">
        <is>
          <t>Table and column (or service field) in BIBS; '(new)' = added by the migration build</t>
        </is>
      </c>
      <c r="D228" s="14" t="inlineStr"/>
    </row>
    <row r="229">
      <c r="A229" s="12" t="inlineStr">
        <is>
          <t>P03 RA already sent</t>
        </is>
      </c>
      <c r="B229" s="22" t="inlineStr">
        <is>
          <t>Validation rule</t>
        </is>
      </c>
      <c r="C229" s="12" t="inlineStr">
        <is>
          <t>Check BIBS applies in staging (data-quality rules catalogue)</t>
        </is>
      </c>
      <c r="D229" s="12" t="inlineStr"/>
    </row>
    <row r="230">
      <c r="A230" s="14" t="inlineStr">
        <is>
          <t>P03 RA already sent</t>
        </is>
      </c>
      <c r="B230" s="23" t="inlineStr">
        <is>
          <t>Source system hint</t>
        </is>
      </c>
      <c r="C230" s="14" t="inlineStr">
        <is>
          <t>Where the value is expected to come from in legacy; BDOI IT confirms</t>
        </is>
      </c>
      <c r="D230" s="14" t="inlineStr"/>
    </row>
    <row r="231">
      <c r="A231" s="12" t="inlineStr">
        <is>
          <t>F01 Invoice header</t>
        </is>
      </c>
      <c r="B231" s="22" t="inlineStr">
        <is>
          <t>#</t>
        </is>
      </c>
      <c r="C231" s="12" t="inlineStr">
        <is>
          <t>Column position in the file</t>
        </is>
      </c>
      <c r="D231" s="12" t="inlineStr"/>
    </row>
    <row r="232">
      <c r="A232" s="14" t="inlineStr">
        <is>
          <t>F01 Invoice header</t>
        </is>
      </c>
      <c r="B232" s="23" t="inlineStr">
        <is>
          <t>Field name</t>
        </is>
      </c>
      <c r="C232" s="14" t="inlineStr">
        <is>
          <t>Column name in the header row of the file, exactly as written (lower case)</t>
        </is>
      </c>
      <c r="D232" s="14" t="inlineStr"/>
    </row>
    <row r="233">
      <c r="A233" s="12" t="inlineStr">
        <is>
          <t>F01 Invoice header</t>
        </is>
      </c>
      <c r="B233" s="22" t="inlineStr">
        <is>
          <t>Description</t>
        </is>
      </c>
      <c r="C233" s="12" t="inlineStr">
        <is>
          <t>What the field holds</t>
        </is>
      </c>
      <c r="D233" s="12" t="inlineStr"/>
    </row>
    <row r="234">
      <c r="A234" s="14" t="inlineStr">
        <is>
          <t>F01 Invoice header</t>
        </is>
      </c>
      <c r="B234" s="23" t="inlineStr">
        <is>
          <t>Type</t>
        </is>
      </c>
      <c r="C234" s="14" t="inlineStr">
        <is>
          <t>Text, Code (a coded value), Date, Timestamp, Amount (2 decimals), Integer, Decimal, Flag (Y or N)</t>
        </is>
      </c>
      <c r="D234" s="14" t="inlineStr">
        <is>
          <t>Amount, Code, Date, Decimal, Flag, Integer, Text, Timestamp</t>
        </is>
      </c>
    </row>
    <row r="235">
      <c r="A235" s="12" t="inlineStr">
        <is>
          <t>F01 Invoice header</t>
        </is>
      </c>
      <c r="B235" s="22" t="inlineStr">
        <is>
          <t>Length</t>
        </is>
      </c>
      <c r="C235" s="12" t="inlineStr">
        <is>
          <t>Maximum characters; for numbers the precision and decimals (19,2)</t>
        </is>
      </c>
      <c r="D235" s="12" t="inlineStr"/>
    </row>
    <row r="236">
      <c r="A236" s="14" t="inlineStr">
        <is>
          <t>F01 Invoice header</t>
        </is>
      </c>
      <c r="B236" s="23" t="inlineStr">
        <is>
          <t>Mandatory</t>
        </is>
      </c>
      <c r="C236" s="14" t="inlineStr">
        <is>
          <t>Y = always; N = optional; C = conditional (see the validation rule)</t>
        </is>
      </c>
      <c r="D236" s="14" t="inlineStr">
        <is>
          <t>Y, N, C</t>
        </is>
      </c>
    </row>
    <row r="237">
      <c r="A237" s="12" t="inlineStr">
        <is>
          <t>F01 Invoice header</t>
        </is>
      </c>
      <c r="B237" s="22" t="inlineStr">
        <is>
          <t>Allowed values / code list</t>
        </is>
      </c>
      <c r="C237" s="12" t="inlineStr">
        <is>
          <t>Closed list of values, or the code map set that maps the legacy value to BIBS</t>
        </is>
      </c>
      <c r="D237" s="12" t="inlineStr"/>
    </row>
    <row r="238">
      <c r="A238" s="14" t="inlineStr">
        <is>
          <t>F01 Invoice header</t>
        </is>
      </c>
      <c r="B238" s="23" t="inlineStr">
        <is>
          <t>Format</t>
        </is>
      </c>
      <c r="C238" s="14" t="inlineStr">
        <is>
          <t>How the value is written in the file</t>
        </is>
      </c>
      <c r="D238" s="14" t="inlineStr"/>
    </row>
    <row r="239">
      <c r="A239" s="12" t="inlineStr">
        <is>
          <t>F01 Invoice header</t>
        </is>
      </c>
      <c r="B239" s="22" t="inlineStr">
        <is>
          <t>Example</t>
        </is>
      </c>
      <c r="C239" s="12" t="inlineStr">
        <is>
          <t>A made-up example value</t>
        </is>
      </c>
      <c r="D239" s="12" t="inlineStr"/>
    </row>
    <row r="240">
      <c r="A240" s="14" t="inlineStr">
        <is>
          <t>F01 Invoice header</t>
        </is>
      </c>
      <c r="B240" s="23" t="inlineStr">
        <is>
          <t>BIBS target field</t>
        </is>
      </c>
      <c r="C240" s="14" t="inlineStr">
        <is>
          <t>Table and column (or service field) in BIBS; '(new)' = added by the migration build</t>
        </is>
      </c>
      <c r="D240" s="14" t="inlineStr"/>
    </row>
    <row r="241">
      <c r="A241" s="12" t="inlineStr">
        <is>
          <t>F01 Invoice header</t>
        </is>
      </c>
      <c r="B241" s="22" t="inlineStr">
        <is>
          <t>Validation rule</t>
        </is>
      </c>
      <c r="C241" s="12" t="inlineStr">
        <is>
          <t>Check BIBS applies in staging (data-quality rules catalogue)</t>
        </is>
      </c>
      <c r="D241" s="12" t="inlineStr"/>
    </row>
    <row r="242">
      <c r="A242" s="14" t="inlineStr">
        <is>
          <t>F01 Invoice header</t>
        </is>
      </c>
      <c r="B242" s="23" t="inlineStr">
        <is>
          <t>Source system hint</t>
        </is>
      </c>
      <c r="C242" s="14" t="inlineStr">
        <is>
          <t>Where the value is expected to come from in legacy; BDOI IT confirms</t>
        </is>
      </c>
      <c r="D242" s="14" t="inlineStr"/>
    </row>
    <row r="243">
      <c r="A243" s="12" t="inlineStr">
        <is>
          <t>F01S Invoice shares</t>
        </is>
      </c>
      <c r="B243" s="22" t="inlineStr">
        <is>
          <t>#</t>
        </is>
      </c>
      <c r="C243" s="12" t="inlineStr">
        <is>
          <t>Column position in the file</t>
        </is>
      </c>
      <c r="D243" s="12" t="inlineStr"/>
    </row>
    <row r="244">
      <c r="A244" s="14" t="inlineStr">
        <is>
          <t>F01S Invoice shares</t>
        </is>
      </c>
      <c r="B244" s="23" t="inlineStr">
        <is>
          <t>Field name</t>
        </is>
      </c>
      <c r="C244" s="14" t="inlineStr">
        <is>
          <t>Column name in the header row of the file, exactly as written (lower case)</t>
        </is>
      </c>
      <c r="D244" s="14" t="inlineStr"/>
    </row>
    <row r="245">
      <c r="A245" s="12" t="inlineStr">
        <is>
          <t>F01S Invoice shares</t>
        </is>
      </c>
      <c r="B245" s="22" t="inlineStr">
        <is>
          <t>Description</t>
        </is>
      </c>
      <c r="C245" s="12" t="inlineStr">
        <is>
          <t>What the field holds</t>
        </is>
      </c>
      <c r="D245" s="12" t="inlineStr"/>
    </row>
    <row r="246">
      <c r="A246" s="14" t="inlineStr">
        <is>
          <t>F01S Invoice shares</t>
        </is>
      </c>
      <c r="B246" s="23" t="inlineStr">
        <is>
          <t>Type</t>
        </is>
      </c>
      <c r="C246" s="14" t="inlineStr">
        <is>
          <t>Text, Code (a coded value), Date, Timestamp, Amount (2 decimals), Integer, Decimal, Flag (Y or N)</t>
        </is>
      </c>
      <c r="D246" s="14" t="inlineStr">
        <is>
          <t>Amount, Code, Date, Decimal, Flag, Integer, Text, Timestamp</t>
        </is>
      </c>
    </row>
    <row r="247">
      <c r="A247" s="12" t="inlineStr">
        <is>
          <t>F01S Invoice shares</t>
        </is>
      </c>
      <c r="B247" s="22" t="inlineStr">
        <is>
          <t>Length</t>
        </is>
      </c>
      <c r="C247" s="12" t="inlineStr">
        <is>
          <t>Maximum characters; for numbers the precision and decimals (19,2)</t>
        </is>
      </c>
      <c r="D247" s="12" t="inlineStr"/>
    </row>
    <row r="248">
      <c r="A248" s="14" t="inlineStr">
        <is>
          <t>F01S Invoice shares</t>
        </is>
      </c>
      <c r="B248" s="23" t="inlineStr">
        <is>
          <t>Mandatory</t>
        </is>
      </c>
      <c r="C248" s="14" t="inlineStr">
        <is>
          <t>Y = always; N = optional; C = conditional (see the validation rule)</t>
        </is>
      </c>
      <c r="D248" s="14" t="inlineStr">
        <is>
          <t>Y, N, C</t>
        </is>
      </c>
    </row>
    <row r="249">
      <c r="A249" s="12" t="inlineStr">
        <is>
          <t>F01S Invoice shares</t>
        </is>
      </c>
      <c r="B249" s="22" t="inlineStr">
        <is>
          <t>Allowed values / code list</t>
        </is>
      </c>
      <c r="C249" s="12" t="inlineStr">
        <is>
          <t>Closed list of values, or the code map set that maps the legacy value to BIBS</t>
        </is>
      </c>
      <c r="D249" s="12" t="inlineStr"/>
    </row>
    <row r="250">
      <c r="A250" s="14" t="inlineStr">
        <is>
          <t>F01S Invoice shares</t>
        </is>
      </c>
      <c r="B250" s="23" t="inlineStr">
        <is>
          <t>Format</t>
        </is>
      </c>
      <c r="C250" s="14" t="inlineStr">
        <is>
          <t>How the value is written in the file</t>
        </is>
      </c>
      <c r="D250" s="14" t="inlineStr"/>
    </row>
    <row r="251">
      <c r="A251" s="12" t="inlineStr">
        <is>
          <t>F01S Invoice shares</t>
        </is>
      </c>
      <c r="B251" s="22" t="inlineStr">
        <is>
          <t>Example</t>
        </is>
      </c>
      <c r="C251" s="12" t="inlineStr">
        <is>
          <t>A made-up example value</t>
        </is>
      </c>
      <c r="D251" s="12" t="inlineStr"/>
    </row>
    <row r="252">
      <c r="A252" s="14" t="inlineStr">
        <is>
          <t>F01S Invoice shares</t>
        </is>
      </c>
      <c r="B252" s="23" t="inlineStr">
        <is>
          <t>BIBS target field</t>
        </is>
      </c>
      <c r="C252" s="14" t="inlineStr">
        <is>
          <t>Table and column (or service field) in BIBS; '(new)' = added by the migration build</t>
        </is>
      </c>
      <c r="D252" s="14" t="inlineStr"/>
    </row>
    <row r="253">
      <c r="A253" s="12" t="inlineStr">
        <is>
          <t>F01S Invoice shares</t>
        </is>
      </c>
      <c r="B253" s="22" t="inlineStr">
        <is>
          <t>Validation rule</t>
        </is>
      </c>
      <c r="C253" s="12" t="inlineStr">
        <is>
          <t>Check BIBS applies in staging (data-quality rules catalogue)</t>
        </is>
      </c>
      <c r="D253" s="12" t="inlineStr"/>
    </row>
    <row r="254">
      <c r="A254" s="14" t="inlineStr">
        <is>
          <t>F01S Invoice shares</t>
        </is>
      </c>
      <c r="B254" s="23" t="inlineStr">
        <is>
          <t>Source system hint</t>
        </is>
      </c>
      <c r="C254" s="14" t="inlineStr">
        <is>
          <t>Where the value is expected to come from in legacy; BDOI IT confirms</t>
        </is>
      </c>
      <c r="D254" s="14" t="inlineStr"/>
    </row>
    <row r="255">
      <c r="A255" s="12" t="inlineStr">
        <is>
          <t>F01C Invoice components</t>
        </is>
      </c>
      <c r="B255" s="22" t="inlineStr">
        <is>
          <t>#</t>
        </is>
      </c>
      <c r="C255" s="12" t="inlineStr">
        <is>
          <t>Column position in the file</t>
        </is>
      </c>
      <c r="D255" s="12" t="inlineStr"/>
    </row>
    <row r="256">
      <c r="A256" s="14" t="inlineStr">
        <is>
          <t>F01C Invoice components</t>
        </is>
      </c>
      <c r="B256" s="23" t="inlineStr">
        <is>
          <t>Field name</t>
        </is>
      </c>
      <c r="C256" s="14" t="inlineStr">
        <is>
          <t>Column name in the header row of the file, exactly as written (lower case)</t>
        </is>
      </c>
      <c r="D256" s="14" t="inlineStr"/>
    </row>
    <row r="257">
      <c r="A257" s="12" t="inlineStr">
        <is>
          <t>F01C Invoice components</t>
        </is>
      </c>
      <c r="B257" s="22" t="inlineStr">
        <is>
          <t>Description</t>
        </is>
      </c>
      <c r="C257" s="12" t="inlineStr">
        <is>
          <t>What the field holds</t>
        </is>
      </c>
      <c r="D257" s="12" t="inlineStr"/>
    </row>
    <row r="258">
      <c r="A258" s="14" t="inlineStr">
        <is>
          <t>F01C Invoice components</t>
        </is>
      </c>
      <c r="B258" s="23" t="inlineStr">
        <is>
          <t>Type</t>
        </is>
      </c>
      <c r="C258" s="14" t="inlineStr">
        <is>
          <t>Text, Code (a coded value), Date, Timestamp, Amount (2 decimals), Integer, Decimal, Flag (Y or N)</t>
        </is>
      </c>
      <c r="D258" s="14" t="inlineStr">
        <is>
          <t>Amount, Code, Date, Decimal, Flag, Integer, Text, Timestamp</t>
        </is>
      </c>
    </row>
    <row r="259">
      <c r="A259" s="12" t="inlineStr">
        <is>
          <t>F01C Invoice components</t>
        </is>
      </c>
      <c r="B259" s="22" t="inlineStr">
        <is>
          <t>Length</t>
        </is>
      </c>
      <c r="C259" s="12" t="inlineStr">
        <is>
          <t>Maximum characters; for numbers the precision and decimals (19,2)</t>
        </is>
      </c>
      <c r="D259" s="12" t="inlineStr"/>
    </row>
    <row r="260">
      <c r="A260" s="14" t="inlineStr">
        <is>
          <t>F01C Invoice components</t>
        </is>
      </c>
      <c r="B260" s="23" t="inlineStr">
        <is>
          <t>Mandatory</t>
        </is>
      </c>
      <c r="C260" s="14" t="inlineStr">
        <is>
          <t>Y = always; N = optional; C = conditional (see the validation rule)</t>
        </is>
      </c>
      <c r="D260" s="14" t="inlineStr">
        <is>
          <t>Y, N, C</t>
        </is>
      </c>
    </row>
    <row r="261">
      <c r="A261" s="12" t="inlineStr">
        <is>
          <t>F01C Invoice components</t>
        </is>
      </c>
      <c r="B261" s="22" t="inlineStr">
        <is>
          <t>Allowed values / code list</t>
        </is>
      </c>
      <c r="C261" s="12" t="inlineStr">
        <is>
          <t>Closed list of values, or the code map set that maps the legacy value to BIBS</t>
        </is>
      </c>
      <c r="D261" s="12" t="inlineStr"/>
    </row>
    <row r="262">
      <c r="A262" s="14" t="inlineStr">
        <is>
          <t>F01C Invoice components</t>
        </is>
      </c>
      <c r="B262" s="23" t="inlineStr">
        <is>
          <t>Format</t>
        </is>
      </c>
      <c r="C262" s="14" t="inlineStr">
        <is>
          <t>How the value is written in the file</t>
        </is>
      </c>
      <c r="D262" s="14" t="inlineStr"/>
    </row>
    <row r="263">
      <c r="A263" s="12" t="inlineStr">
        <is>
          <t>F01C Invoice components</t>
        </is>
      </c>
      <c r="B263" s="22" t="inlineStr">
        <is>
          <t>Example</t>
        </is>
      </c>
      <c r="C263" s="12" t="inlineStr">
        <is>
          <t>A made-up example value</t>
        </is>
      </c>
      <c r="D263" s="12" t="inlineStr"/>
    </row>
    <row r="264">
      <c r="A264" s="14" t="inlineStr">
        <is>
          <t>F01C Invoice components</t>
        </is>
      </c>
      <c r="B264" s="23" t="inlineStr">
        <is>
          <t>BIBS target field</t>
        </is>
      </c>
      <c r="C264" s="14" t="inlineStr">
        <is>
          <t>Table and column (or service field) in BIBS; '(new)' = added by the migration build</t>
        </is>
      </c>
      <c r="D264" s="14" t="inlineStr"/>
    </row>
    <row r="265">
      <c r="A265" s="12" t="inlineStr">
        <is>
          <t>F01C Invoice components</t>
        </is>
      </c>
      <c r="B265" s="22" t="inlineStr">
        <is>
          <t>Validation rule</t>
        </is>
      </c>
      <c r="C265" s="12" t="inlineStr">
        <is>
          <t>Check BIBS applies in staging (data-quality rules catalogue)</t>
        </is>
      </c>
      <c r="D265" s="12" t="inlineStr"/>
    </row>
    <row r="266">
      <c r="A266" s="14" t="inlineStr">
        <is>
          <t>F01C Invoice components</t>
        </is>
      </c>
      <c r="B266" s="23" t="inlineStr">
        <is>
          <t>Source system hint</t>
        </is>
      </c>
      <c r="C266" s="14" t="inlineStr">
        <is>
          <t>Where the value is expected to come from in legacy; BDOI IT confirms</t>
        </is>
      </c>
      <c r="D266" s="14" t="inlineStr"/>
    </row>
    <row r="267">
      <c r="A267" s="12" t="inlineStr">
        <is>
          <t>F02 UPP</t>
        </is>
      </c>
      <c r="B267" s="22" t="inlineStr">
        <is>
          <t>#</t>
        </is>
      </c>
      <c r="C267" s="12" t="inlineStr">
        <is>
          <t>Column position in the file</t>
        </is>
      </c>
      <c r="D267" s="12" t="inlineStr"/>
    </row>
    <row r="268">
      <c r="A268" s="14" t="inlineStr">
        <is>
          <t>F02 UPP</t>
        </is>
      </c>
      <c r="B268" s="23" t="inlineStr">
        <is>
          <t>Field name</t>
        </is>
      </c>
      <c r="C268" s="14" t="inlineStr">
        <is>
          <t>Column name in the header row of the file, exactly as written (lower case)</t>
        </is>
      </c>
      <c r="D268" s="14" t="inlineStr"/>
    </row>
    <row r="269">
      <c r="A269" s="12" t="inlineStr">
        <is>
          <t>F02 UPP</t>
        </is>
      </c>
      <c r="B269" s="22" t="inlineStr">
        <is>
          <t>Description</t>
        </is>
      </c>
      <c r="C269" s="12" t="inlineStr">
        <is>
          <t>What the field holds</t>
        </is>
      </c>
      <c r="D269" s="12" t="inlineStr"/>
    </row>
    <row r="270">
      <c r="A270" s="14" t="inlineStr">
        <is>
          <t>F02 UPP</t>
        </is>
      </c>
      <c r="B270" s="23" t="inlineStr">
        <is>
          <t>Type</t>
        </is>
      </c>
      <c r="C270" s="14" t="inlineStr">
        <is>
          <t>Text, Code (a coded value), Date, Timestamp, Amount (2 decimals), Integer, Decimal, Flag (Y or N)</t>
        </is>
      </c>
      <c r="D270" s="14" t="inlineStr">
        <is>
          <t>Amount, Code, Date, Decimal, Flag, Integer, Text, Timestamp</t>
        </is>
      </c>
    </row>
    <row r="271">
      <c r="A271" s="12" t="inlineStr">
        <is>
          <t>F02 UPP</t>
        </is>
      </c>
      <c r="B271" s="22" t="inlineStr">
        <is>
          <t>Length</t>
        </is>
      </c>
      <c r="C271" s="12" t="inlineStr">
        <is>
          <t>Maximum characters; for numbers the precision and decimals (19,2)</t>
        </is>
      </c>
      <c r="D271" s="12" t="inlineStr"/>
    </row>
    <row r="272">
      <c r="A272" s="14" t="inlineStr">
        <is>
          <t>F02 UPP</t>
        </is>
      </c>
      <c r="B272" s="23" t="inlineStr">
        <is>
          <t>Mandatory</t>
        </is>
      </c>
      <c r="C272" s="14" t="inlineStr">
        <is>
          <t>Y = always; N = optional; C = conditional (see the validation rule)</t>
        </is>
      </c>
      <c r="D272" s="14" t="inlineStr">
        <is>
          <t>Y, N, C</t>
        </is>
      </c>
    </row>
    <row r="273">
      <c r="A273" s="12" t="inlineStr">
        <is>
          <t>F02 UPP</t>
        </is>
      </c>
      <c r="B273" s="22" t="inlineStr">
        <is>
          <t>Allowed values / code list</t>
        </is>
      </c>
      <c r="C273" s="12" t="inlineStr">
        <is>
          <t>Closed list of values, or the code map set that maps the legacy value to BIBS</t>
        </is>
      </c>
      <c r="D273" s="12" t="inlineStr"/>
    </row>
    <row r="274">
      <c r="A274" s="14" t="inlineStr">
        <is>
          <t>F02 UPP</t>
        </is>
      </c>
      <c r="B274" s="23" t="inlineStr">
        <is>
          <t>Format</t>
        </is>
      </c>
      <c r="C274" s="14" t="inlineStr">
        <is>
          <t>How the value is written in the file</t>
        </is>
      </c>
      <c r="D274" s="14" t="inlineStr"/>
    </row>
    <row r="275">
      <c r="A275" s="12" t="inlineStr">
        <is>
          <t>F02 UPP</t>
        </is>
      </c>
      <c r="B275" s="22" t="inlineStr">
        <is>
          <t>Example</t>
        </is>
      </c>
      <c r="C275" s="12" t="inlineStr">
        <is>
          <t>A made-up example value</t>
        </is>
      </c>
      <c r="D275" s="12" t="inlineStr"/>
    </row>
    <row r="276">
      <c r="A276" s="14" t="inlineStr">
        <is>
          <t>F02 UPP</t>
        </is>
      </c>
      <c r="B276" s="23" t="inlineStr">
        <is>
          <t>BIBS target field</t>
        </is>
      </c>
      <c r="C276" s="14" t="inlineStr">
        <is>
          <t>Table and column (or service field) in BIBS; '(new)' = added by the migration build</t>
        </is>
      </c>
      <c r="D276" s="14" t="inlineStr"/>
    </row>
    <row r="277">
      <c r="A277" s="12" t="inlineStr">
        <is>
          <t>F02 UPP</t>
        </is>
      </c>
      <c r="B277" s="22" t="inlineStr">
        <is>
          <t>Validation rule</t>
        </is>
      </c>
      <c r="C277" s="12" t="inlineStr">
        <is>
          <t>Check BIBS applies in staging (data-quality rules catalogue)</t>
        </is>
      </c>
      <c r="D277" s="12" t="inlineStr"/>
    </row>
    <row r="278">
      <c r="A278" s="14" t="inlineStr">
        <is>
          <t>F02 UPP</t>
        </is>
      </c>
      <c r="B278" s="23" t="inlineStr">
        <is>
          <t>Source system hint</t>
        </is>
      </c>
      <c r="C278" s="14" t="inlineStr">
        <is>
          <t>Where the value is expected to come from in legacy; BDOI IT confirms</t>
        </is>
      </c>
      <c r="D278" s="14" t="inlineStr"/>
    </row>
    <row r="279">
      <c r="A279" s="12" t="inlineStr">
        <is>
          <t>F03 Open collection state</t>
        </is>
      </c>
      <c r="B279" s="22" t="inlineStr">
        <is>
          <t>#</t>
        </is>
      </c>
      <c r="C279" s="12" t="inlineStr">
        <is>
          <t>Column position in the file</t>
        </is>
      </c>
      <c r="D279" s="12" t="inlineStr"/>
    </row>
    <row r="280">
      <c r="A280" s="14" t="inlineStr">
        <is>
          <t>F03 Open collection state</t>
        </is>
      </c>
      <c r="B280" s="23" t="inlineStr">
        <is>
          <t>Field name</t>
        </is>
      </c>
      <c r="C280" s="14" t="inlineStr">
        <is>
          <t>Column name in the header row of the file, exactly as written (lower case)</t>
        </is>
      </c>
      <c r="D280" s="14" t="inlineStr"/>
    </row>
    <row r="281">
      <c r="A281" s="12" t="inlineStr">
        <is>
          <t>F03 Open collection state</t>
        </is>
      </c>
      <c r="B281" s="22" t="inlineStr">
        <is>
          <t>Description</t>
        </is>
      </c>
      <c r="C281" s="12" t="inlineStr">
        <is>
          <t>What the field holds</t>
        </is>
      </c>
      <c r="D281" s="12" t="inlineStr"/>
    </row>
    <row r="282">
      <c r="A282" s="14" t="inlineStr">
        <is>
          <t>F03 Open collection state</t>
        </is>
      </c>
      <c r="B282" s="23" t="inlineStr">
        <is>
          <t>Type</t>
        </is>
      </c>
      <c r="C282" s="14" t="inlineStr">
        <is>
          <t>Text, Code (a coded value), Date, Timestamp, Amount (2 decimals), Integer, Decimal, Flag (Y or N)</t>
        </is>
      </c>
      <c r="D282" s="14" t="inlineStr">
        <is>
          <t>Amount, Code, Date, Decimal, Flag, Integer, Text, Timestamp</t>
        </is>
      </c>
    </row>
    <row r="283">
      <c r="A283" s="12" t="inlineStr">
        <is>
          <t>F03 Open collection state</t>
        </is>
      </c>
      <c r="B283" s="22" t="inlineStr">
        <is>
          <t>Length</t>
        </is>
      </c>
      <c r="C283" s="12" t="inlineStr">
        <is>
          <t>Maximum characters; for numbers the precision and decimals (19,2)</t>
        </is>
      </c>
      <c r="D283" s="12" t="inlineStr"/>
    </row>
    <row r="284">
      <c r="A284" s="14" t="inlineStr">
        <is>
          <t>F03 Open collection state</t>
        </is>
      </c>
      <c r="B284" s="23" t="inlineStr">
        <is>
          <t>Mandatory</t>
        </is>
      </c>
      <c r="C284" s="14" t="inlineStr">
        <is>
          <t>Y = always; N = optional; C = conditional (see the validation rule)</t>
        </is>
      </c>
      <c r="D284" s="14" t="inlineStr">
        <is>
          <t>Y, N, C</t>
        </is>
      </c>
    </row>
    <row r="285">
      <c r="A285" s="12" t="inlineStr">
        <is>
          <t>F03 Open collection state</t>
        </is>
      </c>
      <c r="B285" s="22" t="inlineStr">
        <is>
          <t>Allowed values / code list</t>
        </is>
      </c>
      <c r="C285" s="12" t="inlineStr">
        <is>
          <t>Closed list of values, or the code map set that maps the legacy value to BIBS</t>
        </is>
      </c>
      <c r="D285" s="12" t="inlineStr"/>
    </row>
    <row r="286">
      <c r="A286" s="14" t="inlineStr">
        <is>
          <t>F03 Open collection state</t>
        </is>
      </c>
      <c r="B286" s="23" t="inlineStr">
        <is>
          <t>Format</t>
        </is>
      </c>
      <c r="C286" s="14" t="inlineStr">
        <is>
          <t>How the value is written in the file</t>
        </is>
      </c>
      <c r="D286" s="14" t="inlineStr"/>
    </row>
    <row r="287">
      <c r="A287" s="12" t="inlineStr">
        <is>
          <t>F03 Open collection state</t>
        </is>
      </c>
      <c r="B287" s="22" t="inlineStr">
        <is>
          <t>Example</t>
        </is>
      </c>
      <c r="C287" s="12" t="inlineStr">
        <is>
          <t>A made-up example value</t>
        </is>
      </c>
      <c r="D287" s="12" t="inlineStr"/>
    </row>
    <row r="288">
      <c r="A288" s="14" t="inlineStr">
        <is>
          <t>F03 Open collection state</t>
        </is>
      </c>
      <c r="B288" s="23" t="inlineStr">
        <is>
          <t>BIBS target field</t>
        </is>
      </c>
      <c r="C288" s="14" t="inlineStr">
        <is>
          <t>Table and column (or service field) in BIBS; '(new)' = added by the migration build</t>
        </is>
      </c>
      <c r="D288" s="14" t="inlineStr"/>
    </row>
    <row r="289">
      <c r="A289" s="12" t="inlineStr">
        <is>
          <t>F03 Open collection state</t>
        </is>
      </c>
      <c r="B289" s="22" t="inlineStr">
        <is>
          <t>Validation rule</t>
        </is>
      </c>
      <c r="C289" s="12" t="inlineStr">
        <is>
          <t>Check BIBS applies in staging (data-quality rules catalogue)</t>
        </is>
      </c>
      <c r="D289" s="12" t="inlineStr"/>
    </row>
    <row r="290">
      <c r="A290" s="14" t="inlineStr">
        <is>
          <t>F03 Open collection state</t>
        </is>
      </c>
      <c r="B290" s="23" t="inlineStr">
        <is>
          <t>Source system hint</t>
        </is>
      </c>
      <c r="C290" s="14" t="inlineStr">
        <is>
          <t>Where the value is expected to come from in legacy; BDOI IT confirms</t>
        </is>
      </c>
      <c r="D290" s="14" t="inlineStr"/>
    </row>
    <row r="291">
      <c r="A291" s="12" t="inlineStr">
        <is>
          <t>F04 Remittance in flight</t>
        </is>
      </c>
      <c r="B291" s="22" t="inlineStr">
        <is>
          <t>#</t>
        </is>
      </c>
      <c r="C291" s="12" t="inlineStr">
        <is>
          <t>Column position in the file</t>
        </is>
      </c>
      <c r="D291" s="12" t="inlineStr"/>
    </row>
    <row r="292">
      <c r="A292" s="14" t="inlineStr">
        <is>
          <t>F04 Remittance in flight</t>
        </is>
      </c>
      <c r="B292" s="23" t="inlineStr">
        <is>
          <t>Field name</t>
        </is>
      </c>
      <c r="C292" s="14" t="inlineStr">
        <is>
          <t>Column name in the header row of the file, exactly as written (lower case)</t>
        </is>
      </c>
      <c r="D292" s="14" t="inlineStr"/>
    </row>
    <row r="293">
      <c r="A293" s="12" t="inlineStr">
        <is>
          <t>F04 Remittance in flight</t>
        </is>
      </c>
      <c r="B293" s="22" t="inlineStr">
        <is>
          <t>Description</t>
        </is>
      </c>
      <c r="C293" s="12" t="inlineStr">
        <is>
          <t>What the field holds</t>
        </is>
      </c>
      <c r="D293" s="12" t="inlineStr"/>
    </row>
    <row r="294">
      <c r="A294" s="14" t="inlineStr">
        <is>
          <t>F04 Remittance in flight</t>
        </is>
      </c>
      <c r="B294" s="23" t="inlineStr">
        <is>
          <t>Type</t>
        </is>
      </c>
      <c r="C294" s="14" t="inlineStr">
        <is>
          <t>Text, Code (a coded value), Date, Timestamp, Amount (2 decimals), Integer, Decimal, Flag (Y or N)</t>
        </is>
      </c>
      <c r="D294" s="14" t="inlineStr">
        <is>
          <t>Amount, Code, Date, Decimal, Flag, Integer, Text, Timestamp</t>
        </is>
      </c>
    </row>
    <row r="295">
      <c r="A295" s="12" t="inlineStr">
        <is>
          <t>F04 Remittance in flight</t>
        </is>
      </c>
      <c r="B295" s="22" t="inlineStr">
        <is>
          <t>Length</t>
        </is>
      </c>
      <c r="C295" s="12" t="inlineStr">
        <is>
          <t>Maximum characters; for numbers the precision and decimals (19,2)</t>
        </is>
      </c>
      <c r="D295" s="12" t="inlineStr"/>
    </row>
    <row r="296">
      <c r="A296" s="14" t="inlineStr">
        <is>
          <t>F04 Remittance in flight</t>
        </is>
      </c>
      <c r="B296" s="23" t="inlineStr">
        <is>
          <t>Mandatory</t>
        </is>
      </c>
      <c r="C296" s="14" t="inlineStr">
        <is>
          <t>Y = always; N = optional; C = conditional (see the validation rule)</t>
        </is>
      </c>
      <c r="D296" s="14" t="inlineStr">
        <is>
          <t>Y, N, C</t>
        </is>
      </c>
    </row>
    <row r="297">
      <c r="A297" s="12" t="inlineStr">
        <is>
          <t>F04 Remittance in flight</t>
        </is>
      </c>
      <c r="B297" s="22" t="inlineStr">
        <is>
          <t>Allowed values / code list</t>
        </is>
      </c>
      <c r="C297" s="12" t="inlineStr">
        <is>
          <t>Closed list of values, or the code map set that maps the legacy value to BIBS</t>
        </is>
      </c>
      <c r="D297" s="12" t="inlineStr"/>
    </row>
    <row r="298">
      <c r="A298" s="14" t="inlineStr">
        <is>
          <t>F04 Remittance in flight</t>
        </is>
      </c>
      <c r="B298" s="23" t="inlineStr">
        <is>
          <t>Format</t>
        </is>
      </c>
      <c r="C298" s="14" t="inlineStr">
        <is>
          <t>How the value is written in the file</t>
        </is>
      </c>
      <c r="D298" s="14" t="inlineStr"/>
    </row>
    <row r="299">
      <c r="A299" s="12" t="inlineStr">
        <is>
          <t>F04 Remittance in flight</t>
        </is>
      </c>
      <c r="B299" s="22" t="inlineStr">
        <is>
          <t>Example</t>
        </is>
      </c>
      <c r="C299" s="12" t="inlineStr">
        <is>
          <t>A made-up example value</t>
        </is>
      </c>
      <c r="D299" s="12" t="inlineStr"/>
    </row>
    <row r="300">
      <c r="A300" s="14" t="inlineStr">
        <is>
          <t>F04 Remittance in flight</t>
        </is>
      </c>
      <c r="B300" s="23" t="inlineStr">
        <is>
          <t>BIBS target field</t>
        </is>
      </c>
      <c r="C300" s="14" t="inlineStr">
        <is>
          <t>Table and column (or service field) in BIBS; '(new)' = added by the migration build</t>
        </is>
      </c>
      <c r="D300" s="14" t="inlineStr"/>
    </row>
    <row r="301">
      <c r="A301" s="12" t="inlineStr">
        <is>
          <t>F04 Remittance in flight</t>
        </is>
      </c>
      <c r="B301" s="22" t="inlineStr">
        <is>
          <t>Validation rule</t>
        </is>
      </c>
      <c r="C301" s="12" t="inlineStr">
        <is>
          <t>Check BIBS applies in staging (data-quality rules catalogue)</t>
        </is>
      </c>
      <c r="D301" s="12" t="inlineStr"/>
    </row>
    <row r="302">
      <c r="A302" s="14" t="inlineStr">
        <is>
          <t>F04 Remittance in flight</t>
        </is>
      </c>
      <c r="B302" s="23" t="inlineStr">
        <is>
          <t>Source system hint</t>
        </is>
      </c>
      <c r="C302" s="14" t="inlineStr">
        <is>
          <t>Where the value is expected to come from in legacy; BDOI IT confirms</t>
        </is>
      </c>
      <c r="D302" s="14" t="inlineStr"/>
    </row>
    <row r="303">
      <c r="A303" s="12" t="inlineStr">
        <is>
          <t>F06 PDCs pick-ups refunds</t>
        </is>
      </c>
      <c r="B303" s="22" t="inlineStr">
        <is>
          <t>#</t>
        </is>
      </c>
      <c r="C303" s="12" t="inlineStr">
        <is>
          <t>Column position in the file</t>
        </is>
      </c>
      <c r="D303" s="12" t="inlineStr"/>
    </row>
    <row r="304">
      <c r="A304" s="14" t="inlineStr">
        <is>
          <t>F06 PDCs pick-ups refunds</t>
        </is>
      </c>
      <c r="B304" s="23" t="inlineStr">
        <is>
          <t>Field name</t>
        </is>
      </c>
      <c r="C304" s="14" t="inlineStr">
        <is>
          <t>Column name in the header row of the file, exactly as written (lower case)</t>
        </is>
      </c>
      <c r="D304" s="14" t="inlineStr"/>
    </row>
    <row r="305">
      <c r="A305" s="12" t="inlineStr">
        <is>
          <t>F06 PDCs pick-ups refunds</t>
        </is>
      </c>
      <c r="B305" s="22" t="inlineStr">
        <is>
          <t>Description</t>
        </is>
      </c>
      <c r="C305" s="12" t="inlineStr">
        <is>
          <t>What the field holds</t>
        </is>
      </c>
      <c r="D305" s="12" t="inlineStr"/>
    </row>
    <row r="306">
      <c r="A306" s="14" t="inlineStr">
        <is>
          <t>F06 PDCs pick-ups refunds</t>
        </is>
      </c>
      <c r="B306" s="23" t="inlineStr">
        <is>
          <t>Type</t>
        </is>
      </c>
      <c r="C306" s="14" t="inlineStr">
        <is>
          <t>Text, Code (a coded value), Date, Timestamp, Amount (2 decimals), Integer, Decimal, Flag (Y or N)</t>
        </is>
      </c>
      <c r="D306" s="14" t="inlineStr">
        <is>
          <t>Amount, Code, Date, Decimal, Flag, Integer, Text, Timestamp</t>
        </is>
      </c>
    </row>
    <row r="307">
      <c r="A307" s="12" t="inlineStr">
        <is>
          <t>F06 PDCs pick-ups refunds</t>
        </is>
      </c>
      <c r="B307" s="22" t="inlineStr">
        <is>
          <t>Length</t>
        </is>
      </c>
      <c r="C307" s="12" t="inlineStr">
        <is>
          <t>Maximum characters; for numbers the precision and decimals (19,2)</t>
        </is>
      </c>
      <c r="D307" s="12" t="inlineStr"/>
    </row>
    <row r="308">
      <c r="A308" s="14" t="inlineStr">
        <is>
          <t>F06 PDCs pick-ups refunds</t>
        </is>
      </c>
      <c r="B308" s="23" t="inlineStr">
        <is>
          <t>Mandatory</t>
        </is>
      </c>
      <c r="C308" s="14" t="inlineStr">
        <is>
          <t>Y = always; N = optional; C = conditional (see the validation rule)</t>
        </is>
      </c>
      <c r="D308" s="14" t="inlineStr">
        <is>
          <t>Y, N, C</t>
        </is>
      </c>
    </row>
    <row r="309">
      <c r="A309" s="12" t="inlineStr">
        <is>
          <t>F06 PDCs pick-ups refunds</t>
        </is>
      </c>
      <c r="B309" s="22" t="inlineStr">
        <is>
          <t>Allowed values / code list</t>
        </is>
      </c>
      <c r="C309" s="12" t="inlineStr">
        <is>
          <t>Closed list of values, or the code map set that maps the legacy value to BIBS</t>
        </is>
      </c>
      <c r="D309" s="12" t="inlineStr"/>
    </row>
    <row r="310">
      <c r="A310" s="14" t="inlineStr">
        <is>
          <t>F06 PDCs pick-ups refunds</t>
        </is>
      </c>
      <c r="B310" s="23" t="inlineStr">
        <is>
          <t>Format</t>
        </is>
      </c>
      <c r="C310" s="14" t="inlineStr">
        <is>
          <t>How the value is written in the file</t>
        </is>
      </c>
      <c r="D310" s="14" t="inlineStr"/>
    </row>
    <row r="311">
      <c r="A311" s="12" t="inlineStr">
        <is>
          <t>F06 PDCs pick-ups refunds</t>
        </is>
      </c>
      <c r="B311" s="22" t="inlineStr">
        <is>
          <t>Example</t>
        </is>
      </c>
      <c r="C311" s="12" t="inlineStr">
        <is>
          <t>A made-up example value</t>
        </is>
      </c>
      <c r="D311" s="12" t="inlineStr"/>
    </row>
    <row r="312">
      <c r="A312" s="14" t="inlineStr">
        <is>
          <t>F06 PDCs pick-ups refunds</t>
        </is>
      </c>
      <c r="B312" s="23" t="inlineStr">
        <is>
          <t>BIBS target field</t>
        </is>
      </c>
      <c r="C312" s="14" t="inlineStr">
        <is>
          <t>Table and column (or service field) in BIBS; '(new)' = added by the migration build</t>
        </is>
      </c>
      <c r="D312" s="14" t="inlineStr"/>
    </row>
    <row r="313">
      <c r="A313" s="12" t="inlineStr">
        <is>
          <t>F06 PDCs pick-ups refunds</t>
        </is>
      </c>
      <c r="B313" s="22" t="inlineStr">
        <is>
          <t>Validation rule</t>
        </is>
      </c>
      <c r="C313" s="12" t="inlineStr">
        <is>
          <t>Check BIBS applies in staging (data-quality rules catalogue)</t>
        </is>
      </c>
      <c r="D313" s="12" t="inlineStr"/>
    </row>
    <row r="314">
      <c r="A314" s="14" t="inlineStr">
        <is>
          <t>F06 PDCs pick-ups refunds</t>
        </is>
      </c>
      <c r="B314" s="23" t="inlineStr">
        <is>
          <t>Source system hint</t>
        </is>
      </c>
      <c r="C314" s="14" t="inlineStr">
        <is>
          <t>Where the value is expected to come from in legacy; BDOI IT confirms</t>
        </is>
      </c>
      <c r="D314" s="14" t="inlineStr"/>
    </row>
    <row r="315">
      <c r="A315" s="12" t="inlineStr">
        <is>
          <t>G01 GL trial balance</t>
        </is>
      </c>
      <c r="B315" s="22" t="inlineStr">
        <is>
          <t>#</t>
        </is>
      </c>
      <c r="C315" s="12" t="inlineStr">
        <is>
          <t>Column position in the file</t>
        </is>
      </c>
      <c r="D315" s="12" t="inlineStr"/>
    </row>
    <row r="316">
      <c r="A316" s="14" t="inlineStr">
        <is>
          <t>G01 GL trial balance</t>
        </is>
      </c>
      <c r="B316" s="23" t="inlineStr">
        <is>
          <t>Field name</t>
        </is>
      </c>
      <c r="C316" s="14" t="inlineStr">
        <is>
          <t>Column name in the header row of the file, exactly as written (lower case)</t>
        </is>
      </c>
      <c r="D316" s="14" t="inlineStr"/>
    </row>
    <row r="317">
      <c r="A317" s="12" t="inlineStr">
        <is>
          <t>G01 GL trial balance</t>
        </is>
      </c>
      <c r="B317" s="22" t="inlineStr">
        <is>
          <t>Description</t>
        </is>
      </c>
      <c r="C317" s="12" t="inlineStr">
        <is>
          <t>What the field holds</t>
        </is>
      </c>
      <c r="D317" s="12" t="inlineStr"/>
    </row>
    <row r="318">
      <c r="A318" s="14" t="inlineStr">
        <is>
          <t>G01 GL trial balance</t>
        </is>
      </c>
      <c r="B318" s="23" t="inlineStr">
        <is>
          <t>Type</t>
        </is>
      </c>
      <c r="C318" s="14" t="inlineStr">
        <is>
          <t>Text, Code (a coded value), Date, Timestamp, Amount (2 decimals), Integer, Decimal, Flag (Y or N)</t>
        </is>
      </c>
      <c r="D318" s="14" t="inlineStr">
        <is>
          <t>Amount, Code, Date, Decimal, Flag, Integer, Text, Timestamp</t>
        </is>
      </c>
    </row>
    <row r="319">
      <c r="A319" s="12" t="inlineStr">
        <is>
          <t>G01 GL trial balance</t>
        </is>
      </c>
      <c r="B319" s="22" t="inlineStr">
        <is>
          <t>Length</t>
        </is>
      </c>
      <c r="C319" s="12" t="inlineStr">
        <is>
          <t>Maximum characters; for numbers the precision and decimals (19,2)</t>
        </is>
      </c>
      <c r="D319" s="12" t="inlineStr"/>
    </row>
    <row r="320">
      <c r="A320" s="14" t="inlineStr">
        <is>
          <t>G01 GL trial balance</t>
        </is>
      </c>
      <c r="B320" s="23" t="inlineStr">
        <is>
          <t>Mandatory</t>
        </is>
      </c>
      <c r="C320" s="14" t="inlineStr">
        <is>
          <t>Y = always; N = optional; C = conditional (see the validation rule)</t>
        </is>
      </c>
      <c r="D320" s="14" t="inlineStr">
        <is>
          <t>Y, N, C</t>
        </is>
      </c>
    </row>
    <row r="321">
      <c r="A321" s="12" t="inlineStr">
        <is>
          <t>G01 GL trial balance</t>
        </is>
      </c>
      <c r="B321" s="22" t="inlineStr">
        <is>
          <t>Allowed values / code list</t>
        </is>
      </c>
      <c r="C321" s="12" t="inlineStr">
        <is>
          <t>Closed list of values, or the code map set that maps the legacy value to BIBS</t>
        </is>
      </c>
      <c r="D321" s="12" t="inlineStr"/>
    </row>
    <row r="322">
      <c r="A322" s="14" t="inlineStr">
        <is>
          <t>G01 GL trial balance</t>
        </is>
      </c>
      <c r="B322" s="23" t="inlineStr">
        <is>
          <t>Format</t>
        </is>
      </c>
      <c r="C322" s="14" t="inlineStr">
        <is>
          <t>How the value is written in the file</t>
        </is>
      </c>
      <c r="D322" s="14" t="inlineStr"/>
    </row>
    <row r="323">
      <c r="A323" s="12" t="inlineStr">
        <is>
          <t>G01 GL trial balance</t>
        </is>
      </c>
      <c r="B323" s="22" t="inlineStr">
        <is>
          <t>Example</t>
        </is>
      </c>
      <c r="C323" s="12" t="inlineStr">
        <is>
          <t>A made-up example value</t>
        </is>
      </c>
      <c r="D323" s="12" t="inlineStr"/>
    </row>
    <row r="324">
      <c r="A324" s="14" t="inlineStr">
        <is>
          <t>G01 GL trial balance</t>
        </is>
      </c>
      <c r="B324" s="23" t="inlineStr">
        <is>
          <t>BIBS target field</t>
        </is>
      </c>
      <c r="C324" s="14" t="inlineStr">
        <is>
          <t>Table and column (or service field) in BIBS; '(new)' = added by the migration build</t>
        </is>
      </c>
      <c r="D324" s="14" t="inlineStr"/>
    </row>
    <row r="325">
      <c r="A325" s="12" t="inlineStr">
        <is>
          <t>G01 GL trial balance</t>
        </is>
      </c>
      <c r="B325" s="22" t="inlineStr">
        <is>
          <t>Validation rule</t>
        </is>
      </c>
      <c r="C325" s="12" t="inlineStr">
        <is>
          <t>Check BIBS applies in staging (data-quality rules catalogue)</t>
        </is>
      </c>
      <c r="D325" s="12" t="inlineStr"/>
    </row>
    <row r="326">
      <c r="A326" s="14" t="inlineStr">
        <is>
          <t>G01 GL trial balance</t>
        </is>
      </c>
      <c r="B326" s="23" t="inlineStr">
        <is>
          <t>Source system hint</t>
        </is>
      </c>
      <c r="C326" s="14" t="inlineStr">
        <is>
          <t>Where the value is expected to come from in legacy; BDOI IT confirms</t>
        </is>
      </c>
      <c r="D326" s="14" t="inlineStr"/>
    </row>
    <row r="327">
      <c r="A327" s="12" t="inlineStr">
        <is>
          <t>G03 True-up journals</t>
        </is>
      </c>
      <c r="B327" s="22" t="inlineStr">
        <is>
          <t>#</t>
        </is>
      </c>
      <c r="C327" s="12" t="inlineStr">
        <is>
          <t>Column position in the file</t>
        </is>
      </c>
      <c r="D327" s="12" t="inlineStr"/>
    </row>
    <row r="328">
      <c r="A328" s="14" t="inlineStr">
        <is>
          <t>G03 True-up journals</t>
        </is>
      </c>
      <c r="B328" s="23" t="inlineStr">
        <is>
          <t>Field name</t>
        </is>
      </c>
      <c r="C328" s="14" t="inlineStr">
        <is>
          <t>Column name in the header row of the file, exactly as written (lower case)</t>
        </is>
      </c>
      <c r="D328" s="14" t="inlineStr"/>
    </row>
    <row r="329">
      <c r="A329" s="12" t="inlineStr">
        <is>
          <t>G03 True-up journals</t>
        </is>
      </c>
      <c r="B329" s="22" t="inlineStr">
        <is>
          <t>Description</t>
        </is>
      </c>
      <c r="C329" s="12" t="inlineStr">
        <is>
          <t>What the field holds</t>
        </is>
      </c>
      <c r="D329" s="12" t="inlineStr"/>
    </row>
    <row r="330">
      <c r="A330" s="14" t="inlineStr">
        <is>
          <t>G03 True-up journals</t>
        </is>
      </c>
      <c r="B330" s="23" t="inlineStr">
        <is>
          <t>Type</t>
        </is>
      </c>
      <c r="C330" s="14" t="inlineStr">
        <is>
          <t>Text, Code (a coded value), Date, Timestamp, Amount (2 decimals), Integer, Decimal, Flag (Y or N)</t>
        </is>
      </c>
      <c r="D330" s="14" t="inlineStr">
        <is>
          <t>Amount, Code, Date, Decimal, Flag, Integer, Text, Timestamp</t>
        </is>
      </c>
    </row>
    <row r="331">
      <c r="A331" s="12" t="inlineStr">
        <is>
          <t>G03 True-up journals</t>
        </is>
      </c>
      <c r="B331" s="22" t="inlineStr">
        <is>
          <t>Length</t>
        </is>
      </c>
      <c r="C331" s="12" t="inlineStr">
        <is>
          <t>Maximum characters; for numbers the precision and decimals (19,2)</t>
        </is>
      </c>
      <c r="D331" s="12" t="inlineStr"/>
    </row>
    <row r="332">
      <c r="A332" s="14" t="inlineStr">
        <is>
          <t>G03 True-up journals</t>
        </is>
      </c>
      <c r="B332" s="23" t="inlineStr">
        <is>
          <t>Mandatory</t>
        </is>
      </c>
      <c r="C332" s="14" t="inlineStr">
        <is>
          <t>Y = always; N = optional; C = conditional (see the validation rule)</t>
        </is>
      </c>
      <c r="D332" s="14" t="inlineStr">
        <is>
          <t>Y, N, C</t>
        </is>
      </c>
    </row>
    <row r="333">
      <c r="A333" s="12" t="inlineStr">
        <is>
          <t>G03 True-up journals</t>
        </is>
      </c>
      <c r="B333" s="22" t="inlineStr">
        <is>
          <t>Allowed values / code list</t>
        </is>
      </c>
      <c r="C333" s="12" t="inlineStr">
        <is>
          <t>Closed list of values, or the code map set that maps the legacy value to BIBS</t>
        </is>
      </c>
      <c r="D333" s="12" t="inlineStr"/>
    </row>
    <row r="334">
      <c r="A334" s="14" t="inlineStr">
        <is>
          <t>G03 True-up journals</t>
        </is>
      </c>
      <c r="B334" s="23" t="inlineStr">
        <is>
          <t>Format</t>
        </is>
      </c>
      <c r="C334" s="14" t="inlineStr">
        <is>
          <t>How the value is written in the file</t>
        </is>
      </c>
      <c r="D334" s="14" t="inlineStr"/>
    </row>
    <row r="335">
      <c r="A335" s="12" t="inlineStr">
        <is>
          <t>G03 True-up journals</t>
        </is>
      </c>
      <c r="B335" s="22" t="inlineStr">
        <is>
          <t>Example</t>
        </is>
      </c>
      <c r="C335" s="12" t="inlineStr">
        <is>
          <t>A made-up example value</t>
        </is>
      </c>
      <c r="D335" s="12" t="inlineStr"/>
    </row>
    <row r="336">
      <c r="A336" s="14" t="inlineStr">
        <is>
          <t>G03 True-up journals</t>
        </is>
      </c>
      <c r="B336" s="23" t="inlineStr">
        <is>
          <t>BIBS target field</t>
        </is>
      </c>
      <c r="C336" s="14" t="inlineStr">
        <is>
          <t>Table and column (or service field) in BIBS; '(new)' = added by the migration build</t>
        </is>
      </c>
      <c r="D336" s="14" t="inlineStr"/>
    </row>
    <row r="337">
      <c r="A337" s="12" t="inlineStr">
        <is>
          <t>G03 True-up journals</t>
        </is>
      </c>
      <c r="B337" s="22" t="inlineStr">
        <is>
          <t>Validation rule</t>
        </is>
      </c>
      <c r="C337" s="12" t="inlineStr">
        <is>
          <t>Check BIBS applies in staging (data-quality rules catalogue)</t>
        </is>
      </c>
      <c r="D337" s="12" t="inlineStr"/>
    </row>
    <row r="338">
      <c r="A338" s="14" t="inlineStr">
        <is>
          <t>G03 True-up journals</t>
        </is>
      </c>
      <c r="B338" s="23" t="inlineStr">
        <is>
          <t>Source system hint</t>
        </is>
      </c>
      <c r="C338" s="14" t="inlineStr">
        <is>
          <t>Where the value is expected to come from in legacy; BDOI IT confirms</t>
        </is>
      </c>
      <c r="D338" s="14" t="inlineStr"/>
    </row>
    <row r="339">
      <c r="A339" s="12" t="inlineStr">
        <is>
          <t>G03D True-up item detail</t>
        </is>
      </c>
      <c r="B339" s="22" t="inlineStr">
        <is>
          <t>#</t>
        </is>
      </c>
      <c r="C339" s="12" t="inlineStr">
        <is>
          <t>Column position in the file</t>
        </is>
      </c>
      <c r="D339" s="12" t="inlineStr"/>
    </row>
    <row r="340">
      <c r="A340" s="14" t="inlineStr">
        <is>
          <t>G03D True-up item detail</t>
        </is>
      </c>
      <c r="B340" s="23" t="inlineStr">
        <is>
          <t>Field name</t>
        </is>
      </c>
      <c r="C340" s="14" t="inlineStr">
        <is>
          <t>Column name in the header row of the file, exactly as written (lower case)</t>
        </is>
      </c>
      <c r="D340" s="14" t="inlineStr"/>
    </row>
    <row r="341">
      <c r="A341" s="12" t="inlineStr">
        <is>
          <t>G03D True-up item detail</t>
        </is>
      </c>
      <c r="B341" s="22" t="inlineStr">
        <is>
          <t>Description</t>
        </is>
      </c>
      <c r="C341" s="12" t="inlineStr">
        <is>
          <t>What the field holds</t>
        </is>
      </c>
      <c r="D341" s="12" t="inlineStr"/>
    </row>
    <row r="342">
      <c r="A342" s="14" t="inlineStr">
        <is>
          <t>G03D True-up item detail</t>
        </is>
      </c>
      <c r="B342" s="23" t="inlineStr">
        <is>
          <t>Type</t>
        </is>
      </c>
      <c r="C342" s="14" t="inlineStr">
        <is>
          <t>Text, Code (a coded value), Date, Timestamp, Amount (2 decimals), Integer, Decimal, Flag (Y or N)</t>
        </is>
      </c>
      <c r="D342" s="14" t="inlineStr">
        <is>
          <t>Amount, Code, Date, Decimal, Flag, Integer, Text, Timestamp</t>
        </is>
      </c>
    </row>
    <row r="343">
      <c r="A343" s="12" t="inlineStr">
        <is>
          <t>G03D True-up item detail</t>
        </is>
      </c>
      <c r="B343" s="22" t="inlineStr">
        <is>
          <t>Length</t>
        </is>
      </c>
      <c r="C343" s="12" t="inlineStr">
        <is>
          <t>Maximum characters; for numbers the precision and decimals (19,2)</t>
        </is>
      </c>
      <c r="D343" s="12" t="inlineStr"/>
    </row>
    <row r="344">
      <c r="A344" s="14" t="inlineStr">
        <is>
          <t>G03D True-up item detail</t>
        </is>
      </c>
      <c r="B344" s="23" t="inlineStr">
        <is>
          <t>Mandatory</t>
        </is>
      </c>
      <c r="C344" s="14" t="inlineStr">
        <is>
          <t>Y = always; N = optional; C = conditional (see the validation rule)</t>
        </is>
      </c>
      <c r="D344" s="14" t="inlineStr">
        <is>
          <t>Y, N, C</t>
        </is>
      </c>
    </row>
    <row r="345">
      <c r="A345" s="12" t="inlineStr">
        <is>
          <t>G03D True-up item detail</t>
        </is>
      </c>
      <c r="B345" s="22" t="inlineStr">
        <is>
          <t>Allowed values / code list</t>
        </is>
      </c>
      <c r="C345" s="12" t="inlineStr">
        <is>
          <t>Closed list of values, or the code map set that maps the legacy value to BIBS</t>
        </is>
      </c>
      <c r="D345" s="12" t="inlineStr"/>
    </row>
    <row r="346">
      <c r="A346" s="14" t="inlineStr">
        <is>
          <t>G03D True-up item detail</t>
        </is>
      </c>
      <c r="B346" s="23" t="inlineStr">
        <is>
          <t>Format</t>
        </is>
      </c>
      <c r="C346" s="14" t="inlineStr">
        <is>
          <t>How the value is written in the file</t>
        </is>
      </c>
      <c r="D346" s="14" t="inlineStr"/>
    </row>
    <row r="347">
      <c r="A347" s="12" t="inlineStr">
        <is>
          <t>G03D True-up item detail</t>
        </is>
      </c>
      <c r="B347" s="22" t="inlineStr">
        <is>
          <t>Example</t>
        </is>
      </c>
      <c r="C347" s="12" t="inlineStr">
        <is>
          <t>A made-up example value</t>
        </is>
      </c>
      <c r="D347" s="12" t="inlineStr"/>
    </row>
    <row r="348">
      <c r="A348" s="14" t="inlineStr">
        <is>
          <t>G03D True-up item detail</t>
        </is>
      </c>
      <c r="B348" s="23" t="inlineStr">
        <is>
          <t>BIBS target field</t>
        </is>
      </c>
      <c r="C348" s="14" t="inlineStr">
        <is>
          <t>Table and column (or service field) in BIBS; '(new)' = added by the migration build</t>
        </is>
      </c>
      <c r="D348" s="14" t="inlineStr"/>
    </row>
    <row r="349">
      <c r="A349" s="12" t="inlineStr">
        <is>
          <t>G03D True-up item detail</t>
        </is>
      </c>
      <c r="B349" s="22" t="inlineStr">
        <is>
          <t>Validation rule</t>
        </is>
      </c>
      <c r="C349" s="12" t="inlineStr">
        <is>
          <t>Check BIBS applies in staging (data-quality rules catalogue)</t>
        </is>
      </c>
      <c r="D349" s="12" t="inlineStr"/>
    </row>
    <row r="350">
      <c r="A350" s="14" t="inlineStr">
        <is>
          <t>G03D True-up item detail</t>
        </is>
      </c>
      <c r="B350" s="23" t="inlineStr">
        <is>
          <t>Source system hint</t>
        </is>
      </c>
      <c r="C350" s="14" t="inlineStr">
        <is>
          <t>Where the value is expected to come from in legacy; BDOI IT confirms</t>
        </is>
      </c>
      <c r="D350" s="14" t="inlineStr"/>
    </row>
    <row r="351">
      <c r="A351" s="12" t="inlineStr">
        <is>
          <t>H01 Archive records</t>
        </is>
      </c>
      <c r="B351" s="22" t="inlineStr">
        <is>
          <t>#</t>
        </is>
      </c>
      <c r="C351" s="12" t="inlineStr">
        <is>
          <t>Column position in the file</t>
        </is>
      </c>
      <c r="D351" s="12" t="inlineStr"/>
    </row>
    <row r="352">
      <c r="A352" s="14" t="inlineStr">
        <is>
          <t>H01 Archive records</t>
        </is>
      </c>
      <c r="B352" s="23" t="inlineStr">
        <is>
          <t>Field name</t>
        </is>
      </c>
      <c r="C352" s="14" t="inlineStr">
        <is>
          <t>Column name in the header row of the file, exactly as written (lower case)</t>
        </is>
      </c>
      <c r="D352" s="14" t="inlineStr"/>
    </row>
    <row r="353">
      <c r="A353" s="12" t="inlineStr">
        <is>
          <t>H01 Archive records</t>
        </is>
      </c>
      <c r="B353" s="22" t="inlineStr">
        <is>
          <t>Description</t>
        </is>
      </c>
      <c r="C353" s="12" t="inlineStr">
        <is>
          <t>What the field holds</t>
        </is>
      </c>
      <c r="D353" s="12" t="inlineStr"/>
    </row>
    <row r="354">
      <c r="A354" s="14" t="inlineStr">
        <is>
          <t>H01 Archive records</t>
        </is>
      </c>
      <c r="B354" s="23" t="inlineStr">
        <is>
          <t>Type</t>
        </is>
      </c>
      <c r="C354" s="14" t="inlineStr">
        <is>
          <t>Text, Code (a coded value), Date, Timestamp, Amount (2 decimals), Integer, Decimal, Flag (Y or N)</t>
        </is>
      </c>
      <c r="D354" s="14" t="inlineStr">
        <is>
          <t>Amount, Code, Date, Decimal, Flag, Integer, Text, Timestamp</t>
        </is>
      </c>
    </row>
    <row r="355">
      <c r="A355" s="12" t="inlineStr">
        <is>
          <t>H01 Archive records</t>
        </is>
      </c>
      <c r="B355" s="22" t="inlineStr">
        <is>
          <t>Length</t>
        </is>
      </c>
      <c r="C355" s="12" t="inlineStr">
        <is>
          <t>Maximum characters; for numbers the precision and decimals (19,2)</t>
        </is>
      </c>
      <c r="D355" s="12" t="inlineStr"/>
    </row>
    <row r="356">
      <c r="A356" s="14" t="inlineStr">
        <is>
          <t>H01 Archive records</t>
        </is>
      </c>
      <c r="B356" s="23" t="inlineStr">
        <is>
          <t>Mandatory</t>
        </is>
      </c>
      <c r="C356" s="14" t="inlineStr">
        <is>
          <t>Y = always; N = optional; C = conditional (see the validation rule)</t>
        </is>
      </c>
      <c r="D356" s="14" t="inlineStr">
        <is>
          <t>Y, N, C</t>
        </is>
      </c>
    </row>
    <row r="357">
      <c r="A357" s="12" t="inlineStr">
        <is>
          <t>H01 Archive records</t>
        </is>
      </c>
      <c r="B357" s="22" t="inlineStr">
        <is>
          <t>Allowed values / code list</t>
        </is>
      </c>
      <c r="C357" s="12" t="inlineStr">
        <is>
          <t>Closed list of values, or the code map set that maps the legacy value to BIBS</t>
        </is>
      </c>
      <c r="D357" s="12" t="inlineStr"/>
    </row>
    <row r="358">
      <c r="A358" s="14" t="inlineStr">
        <is>
          <t>H01 Archive records</t>
        </is>
      </c>
      <c r="B358" s="23" t="inlineStr">
        <is>
          <t>Format</t>
        </is>
      </c>
      <c r="C358" s="14" t="inlineStr">
        <is>
          <t>How the value is written in the file</t>
        </is>
      </c>
      <c r="D358" s="14" t="inlineStr"/>
    </row>
    <row r="359">
      <c r="A359" s="12" t="inlineStr">
        <is>
          <t>H01 Archive records</t>
        </is>
      </c>
      <c r="B359" s="22" t="inlineStr">
        <is>
          <t>Example</t>
        </is>
      </c>
      <c r="C359" s="12" t="inlineStr">
        <is>
          <t>A made-up example value</t>
        </is>
      </c>
      <c r="D359" s="12" t="inlineStr"/>
    </row>
    <row r="360">
      <c r="A360" s="14" t="inlineStr">
        <is>
          <t>H01 Archive records</t>
        </is>
      </c>
      <c r="B360" s="23" t="inlineStr">
        <is>
          <t>BIBS target field</t>
        </is>
      </c>
      <c r="C360" s="14" t="inlineStr">
        <is>
          <t>Table and column (or service field) in BIBS; '(new)' = added by the migration build</t>
        </is>
      </c>
      <c r="D360" s="14" t="inlineStr"/>
    </row>
    <row r="361">
      <c r="A361" s="12" t="inlineStr">
        <is>
          <t>H01 Archive records</t>
        </is>
      </c>
      <c r="B361" s="22" t="inlineStr">
        <is>
          <t>Validation rule</t>
        </is>
      </c>
      <c r="C361" s="12" t="inlineStr">
        <is>
          <t>Check BIBS applies in staging (data-quality rules catalogue)</t>
        </is>
      </c>
      <c r="D361" s="12" t="inlineStr"/>
    </row>
    <row r="362">
      <c r="A362" s="14" t="inlineStr">
        <is>
          <t>H01 Archive records</t>
        </is>
      </c>
      <c r="B362" s="23" t="inlineStr">
        <is>
          <t>Source system hint</t>
        </is>
      </c>
      <c r="C362" s="14" t="inlineStr">
        <is>
          <t>Where the value is expected to come from in legacy; BDOI IT confirms</t>
        </is>
      </c>
      <c r="D362" s="14" t="inlineStr"/>
    </row>
    <row r="363">
      <c r="A363" s="12" t="inlineStr">
        <is>
          <t>H02 Archive documents</t>
        </is>
      </c>
      <c r="B363" s="22" t="inlineStr">
        <is>
          <t>#</t>
        </is>
      </c>
      <c r="C363" s="12" t="inlineStr">
        <is>
          <t>Column position in the file</t>
        </is>
      </c>
      <c r="D363" s="12" t="inlineStr"/>
    </row>
    <row r="364">
      <c r="A364" s="14" t="inlineStr">
        <is>
          <t>H02 Archive documents</t>
        </is>
      </c>
      <c r="B364" s="23" t="inlineStr">
        <is>
          <t>Field name</t>
        </is>
      </c>
      <c r="C364" s="14" t="inlineStr">
        <is>
          <t>Column name in the header row of the file, exactly as written (lower case)</t>
        </is>
      </c>
      <c r="D364" s="14" t="inlineStr"/>
    </row>
    <row r="365">
      <c r="A365" s="12" t="inlineStr">
        <is>
          <t>H02 Archive documents</t>
        </is>
      </c>
      <c r="B365" s="22" t="inlineStr">
        <is>
          <t>Description</t>
        </is>
      </c>
      <c r="C365" s="12" t="inlineStr">
        <is>
          <t>What the field holds</t>
        </is>
      </c>
      <c r="D365" s="12" t="inlineStr"/>
    </row>
    <row r="366">
      <c r="A366" s="14" t="inlineStr">
        <is>
          <t>H02 Archive documents</t>
        </is>
      </c>
      <c r="B366" s="23" t="inlineStr">
        <is>
          <t>Type</t>
        </is>
      </c>
      <c r="C366" s="14" t="inlineStr">
        <is>
          <t>Text, Code (a coded value), Date, Timestamp, Amount (2 decimals), Integer, Decimal, Flag (Y or N)</t>
        </is>
      </c>
      <c r="D366" s="14" t="inlineStr">
        <is>
          <t>Amount, Code, Date, Decimal, Flag, Integer, Text, Timestamp</t>
        </is>
      </c>
    </row>
    <row r="367">
      <c r="A367" s="12" t="inlineStr">
        <is>
          <t>H02 Archive documents</t>
        </is>
      </c>
      <c r="B367" s="22" t="inlineStr">
        <is>
          <t>Length</t>
        </is>
      </c>
      <c r="C367" s="12" t="inlineStr">
        <is>
          <t>Maximum characters; for numbers the precision and decimals (19,2)</t>
        </is>
      </c>
      <c r="D367" s="12" t="inlineStr"/>
    </row>
    <row r="368">
      <c r="A368" s="14" t="inlineStr">
        <is>
          <t>H02 Archive documents</t>
        </is>
      </c>
      <c r="B368" s="23" t="inlineStr">
        <is>
          <t>Mandatory</t>
        </is>
      </c>
      <c r="C368" s="14" t="inlineStr">
        <is>
          <t>Y = always; N = optional; C = conditional (see the validation rule)</t>
        </is>
      </c>
      <c r="D368" s="14" t="inlineStr">
        <is>
          <t>Y, N, C</t>
        </is>
      </c>
    </row>
    <row r="369">
      <c r="A369" s="12" t="inlineStr">
        <is>
          <t>H02 Archive documents</t>
        </is>
      </c>
      <c r="B369" s="22" t="inlineStr">
        <is>
          <t>Allowed values / code list</t>
        </is>
      </c>
      <c r="C369" s="12" t="inlineStr">
        <is>
          <t>Closed list of values, or the code map set that maps the legacy value to BIBS</t>
        </is>
      </c>
      <c r="D369" s="12" t="inlineStr"/>
    </row>
    <row r="370">
      <c r="A370" s="14" t="inlineStr">
        <is>
          <t>H02 Archive documents</t>
        </is>
      </c>
      <c r="B370" s="23" t="inlineStr">
        <is>
          <t>Format</t>
        </is>
      </c>
      <c r="C370" s="14" t="inlineStr">
        <is>
          <t>How the value is written in the file</t>
        </is>
      </c>
      <c r="D370" s="14" t="inlineStr"/>
    </row>
    <row r="371">
      <c r="A371" s="12" t="inlineStr">
        <is>
          <t>H02 Archive documents</t>
        </is>
      </c>
      <c r="B371" s="22" t="inlineStr">
        <is>
          <t>Example</t>
        </is>
      </c>
      <c r="C371" s="12" t="inlineStr">
        <is>
          <t>A made-up example value</t>
        </is>
      </c>
      <c r="D371" s="12" t="inlineStr"/>
    </row>
    <row r="372">
      <c r="A372" s="14" t="inlineStr">
        <is>
          <t>H02 Archive documents</t>
        </is>
      </c>
      <c r="B372" s="23" t="inlineStr">
        <is>
          <t>BIBS target field</t>
        </is>
      </c>
      <c r="C372" s="14" t="inlineStr">
        <is>
          <t>Table and column (or service field) in BIBS; '(new)' = added by the migration build</t>
        </is>
      </c>
      <c r="D372" s="14" t="inlineStr"/>
    </row>
    <row r="373">
      <c r="A373" s="12" t="inlineStr">
        <is>
          <t>H02 Archive documents</t>
        </is>
      </c>
      <c r="B373" s="22" t="inlineStr">
        <is>
          <t>Validation rule</t>
        </is>
      </c>
      <c r="C373" s="12" t="inlineStr">
        <is>
          <t>Check BIBS applies in staging (data-quality rules catalogue)</t>
        </is>
      </c>
      <c r="D373" s="12" t="inlineStr"/>
    </row>
    <row r="374">
      <c r="A374" s="14" t="inlineStr">
        <is>
          <t>H02 Archive documents</t>
        </is>
      </c>
      <c r="B374" s="23" t="inlineStr">
        <is>
          <t>Source system hint</t>
        </is>
      </c>
      <c r="C374" s="14" t="inlineStr">
        <is>
          <t>Where the value is expected to come from in legacy; BDOI IT confirms</t>
        </is>
      </c>
      <c r="D374" s="14" t="inlineStr"/>
    </row>
    <row r="375">
      <c r="A375" s="12" t="inlineStr">
        <is>
          <t>Control File</t>
        </is>
      </c>
      <c r="B375" s="22" t="inlineStr">
        <is>
          <t>#</t>
        </is>
      </c>
      <c r="C375" s="12" t="inlineStr">
        <is>
          <t>Column position in the file</t>
        </is>
      </c>
      <c r="D375" s="12" t="inlineStr"/>
    </row>
    <row r="376">
      <c r="A376" s="14" t="inlineStr">
        <is>
          <t>Control File</t>
        </is>
      </c>
      <c r="B376" s="23" t="inlineStr">
        <is>
          <t>Field name</t>
        </is>
      </c>
      <c r="C376" s="14" t="inlineStr">
        <is>
          <t>Column name in the header row of the file, exactly as written (lower case)</t>
        </is>
      </c>
      <c r="D376" s="14" t="inlineStr"/>
    </row>
    <row r="377">
      <c r="A377" s="12" t="inlineStr">
        <is>
          <t>Control File</t>
        </is>
      </c>
      <c r="B377" s="22" t="inlineStr">
        <is>
          <t>Description</t>
        </is>
      </c>
      <c r="C377" s="12" t="inlineStr">
        <is>
          <t>What the field holds</t>
        </is>
      </c>
      <c r="D377" s="12" t="inlineStr"/>
    </row>
    <row r="378">
      <c r="A378" s="14" t="inlineStr">
        <is>
          <t>Control File</t>
        </is>
      </c>
      <c r="B378" s="23" t="inlineStr">
        <is>
          <t>Type</t>
        </is>
      </c>
      <c r="C378" s="14" t="inlineStr">
        <is>
          <t>Text, Code (a coded value), Date, Timestamp, Amount (2 decimals), Integer, Decimal, Flag (Y or N)</t>
        </is>
      </c>
      <c r="D378" s="14" t="inlineStr">
        <is>
          <t>Amount, Code, Date, Decimal, Flag, Integer, Text, Timestamp</t>
        </is>
      </c>
    </row>
    <row r="379">
      <c r="A379" s="12" t="inlineStr">
        <is>
          <t>Control File</t>
        </is>
      </c>
      <c r="B379" s="22" t="inlineStr">
        <is>
          <t>Length</t>
        </is>
      </c>
      <c r="C379" s="12" t="inlineStr">
        <is>
          <t>Maximum characters; for numbers the precision and decimals (19,2)</t>
        </is>
      </c>
      <c r="D379" s="12" t="inlineStr"/>
    </row>
    <row r="380">
      <c r="A380" s="14" t="inlineStr">
        <is>
          <t>Control File</t>
        </is>
      </c>
      <c r="B380" s="23" t="inlineStr">
        <is>
          <t>Mandatory</t>
        </is>
      </c>
      <c r="C380" s="14" t="inlineStr">
        <is>
          <t>Y = always; N = optional; C = conditional (see the validation rule)</t>
        </is>
      </c>
      <c r="D380" s="14" t="inlineStr">
        <is>
          <t>Y, N, C</t>
        </is>
      </c>
    </row>
    <row r="381">
      <c r="A381" s="12" t="inlineStr">
        <is>
          <t>Control File</t>
        </is>
      </c>
      <c r="B381" s="22" t="inlineStr">
        <is>
          <t>Allowed values / code list</t>
        </is>
      </c>
      <c r="C381" s="12" t="inlineStr">
        <is>
          <t>Closed list of values, or the code map set that maps the legacy value to BIBS</t>
        </is>
      </c>
      <c r="D381" s="12" t="inlineStr"/>
    </row>
    <row r="382">
      <c r="A382" s="14" t="inlineStr">
        <is>
          <t>Control File</t>
        </is>
      </c>
      <c r="B382" s="23" t="inlineStr">
        <is>
          <t>Format</t>
        </is>
      </c>
      <c r="C382" s="14" t="inlineStr">
        <is>
          <t>How the value is written in the file</t>
        </is>
      </c>
      <c r="D382" s="14" t="inlineStr"/>
    </row>
    <row r="383">
      <c r="A383" s="12" t="inlineStr">
        <is>
          <t>Control File</t>
        </is>
      </c>
      <c r="B383" s="22" t="inlineStr">
        <is>
          <t>Example</t>
        </is>
      </c>
      <c r="C383" s="12" t="inlineStr">
        <is>
          <t>A made-up example value</t>
        </is>
      </c>
      <c r="D383" s="12" t="inlineStr"/>
    </row>
    <row r="384">
      <c r="A384" s="14" t="inlineStr">
        <is>
          <t>Control File</t>
        </is>
      </c>
      <c r="B384" s="23" t="inlineStr">
        <is>
          <t>BIBS target field</t>
        </is>
      </c>
      <c r="C384" s="14" t="inlineStr">
        <is>
          <t>Table and column (or service field) in BIBS; '(new)' = added by the migration build</t>
        </is>
      </c>
      <c r="D384" s="14" t="inlineStr"/>
    </row>
    <row r="385">
      <c r="A385" s="12" t="inlineStr">
        <is>
          <t>Control File</t>
        </is>
      </c>
      <c r="B385" s="22" t="inlineStr">
        <is>
          <t>Validation rule</t>
        </is>
      </c>
      <c r="C385" s="12" t="inlineStr">
        <is>
          <t>Check BIBS applies in staging (data-quality rules catalogue)</t>
        </is>
      </c>
      <c r="D385" s="12" t="inlineStr"/>
    </row>
    <row r="386">
      <c r="A386" s="14" t="inlineStr">
        <is>
          <t>Control File</t>
        </is>
      </c>
      <c r="B386" s="23" t="inlineStr">
        <is>
          <t>Source system hint</t>
        </is>
      </c>
      <c r="C386" s="14" t="inlineStr">
        <is>
          <t>Where the value is expected to come from in legacy; BDOI IT confirms</t>
        </is>
      </c>
      <c r="D386" s="14" t="inlineStr"/>
    </row>
    <row r="387">
      <c r="A387" s="12" t="inlineStr">
        <is>
          <t>Control Example</t>
        </is>
      </c>
      <c r="B387" s="22" t="inlineStr">
        <is>
          <t>object</t>
        </is>
      </c>
      <c r="C387" s="12" t="inlineStr">
        <is>
          <t>Object code of the data file</t>
        </is>
      </c>
      <c r="D387" s="12" t="inlineStr"/>
    </row>
    <row r="388">
      <c r="A388" s="14" t="inlineStr">
        <is>
          <t>Control Example</t>
        </is>
      </c>
      <c r="B388" s="23" t="inlineStr">
        <is>
          <t>layout</t>
        </is>
      </c>
      <c r="C388" s="14" t="inlineStr">
        <is>
          <t>Layout (template) code</t>
        </is>
      </c>
      <c r="D388" s="14" t="inlineStr"/>
    </row>
    <row r="389">
      <c r="A389" s="12" t="inlineStr">
        <is>
          <t>Control Example</t>
        </is>
      </c>
      <c r="B389" s="22" t="inlineStr">
        <is>
          <t>source_system</t>
        </is>
      </c>
      <c r="C389" s="12" t="inlineStr">
        <is>
          <t>Source system</t>
        </is>
      </c>
      <c r="D389" s="12" t="inlineStr"/>
    </row>
    <row r="390">
      <c r="A390" s="14" t="inlineStr">
        <is>
          <t>Control Example</t>
        </is>
      </c>
      <c r="B390" s="23" t="inlineStr">
        <is>
          <t>data_file</t>
        </is>
      </c>
      <c r="C390" s="14" t="inlineStr">
        <is>
          <t>Name of the data file</t>
        </is>
      </c>
      <c r="D390" s="14" t="inlineStr"/>
    </row>
    <row r="391">
      <c r="A391" s="12" t="inlineStr">
        <is>
          <t>Control Example</t>
        </is>
      </c>
      <c r="B391" s="22" t="inlineStr">
        <is>
          <t>as_of</t>
        </is>
      </c>
      <c r="C391" s="12" t="inlineStr">
        <is>
          <t>Date and time the data represents</t>
        </is>
      </c>
      <c r="D391" s="12" t="inlineStr"/>
    </row>
    <row r="392">
      <c r="A392" s="14" t="inlineStr">
        <is>
          <t>Control Example</t>
        </is>
      </c>
      <c r="B392" s="23" t="inlineStr">
        <is>
          <t>extracted_at</t>
        </is>
      </c>
      <c r="C392" s="14" t="inlineStr">
        <is>
          <t>When the extract ran</t>
        </is>
      </c>
      <c r="D392" s="14" t="inlineStr"/>
    </row>
    <row r="393">
      <c r="A393" s="12" t="inlineStr">
        <is>
          <t>Control Example</t>
        </is>
      </c>
      <c r="B393" s="22" t="inlineStr">
        <is>
          <t>extracted_by</t>
        </is>
      </c>
      <c r="C393" s="12" t="inlineStr">
        <is>
          <t>BDOI IT user who ran the extract</t>
        </is>
      </c>
      <c r="D393" s="12" t="inlineStr"/>
    </row>
    <row r="394">
      <c r="A394" s="14" t="inlineStr">
        <is>
          <t>Control Example</t>
        </is>
      </c>
      <c r="B394" s="23" t="inlineStr">
        <is>
          <t>measure</t>
        </is>
      </c>
      <c r="C394" s="14" t="inlineStr">
        <is>
          <t>Kind of control</t>
        </is>
      </c>
      <c r="D394" s="14" t="inlineStr"/>
    </row>
    <row r="395">
      <c r="A395" s="12" t="inlineStr">
        <is>
          <t>Control Example</t>
        </is>
      </c>
      <c r="B395" s="22" t="inlineStr">
        <is>
          <t>column_name</t>
        </is>
      </c>
      <c r="C395" s="12" t="inlineStr">
        <is>
          <t>Column the measure applies to (AMOUNT_TOTAL, HASH_TOTAL)</t>
        </is>
      </c>
      <c r="D395" s="12" t="inlineStr"/>
    </row>
    <row r="396">
      <c r="A396" s="14" t="inlineStr">
        <is>
          <t>Control Example</t>
        </is>
      </c>
      <c r="B396" s="23" t="inlineStr">
        <is>
          <t>currency</t>
        </is>
      </c>
      <c r="C396" s="14" t="inlineStr">
        <is>
          <t>Currency of an AMOUNT_TOTAL</t>
        </is>
      </c>
      <c r="D396" s="14" t="inlineStr"/>
    </row>
    <row r="397">
      <c r="A397" s="12" t="inlineStr">
        <is>
          <t>Control Example</t>
        </is>
      </c>
      <c r="B397" s="22" t="inlineStr">
        <is>
          <t>filter</t>
        </is>
      </c>
      <c r="C397" s="12" t="inlineStr">
        <is>
          <t>Optional filter of the measure (for example component=BASIC)</t>
        </is>
      </c>
      <c r="D397" s="12" t="inlineStr"/>
    </row>
    <row r="398">
      <c r="A398" s="14" t="inlineStr">
        <is>
          <t>Control Example</t>
        </is>
      </c>
      <c r="B398" s="23" t="inlineStr">
        <is>
          <t>value</t>
        </is>
      </c>
      <c r="C398" s="14" t="inlineStr">
        <is>
          <t>Value of the measure</t>
        </is>
      </c>
      <c r="D398" s="14" t="inlineStr"/>
    </row>
    <row r="399">
      <c r="A399" s="12" t="inlineStr">
        <is>
          <t>Control Totals</t>
        </is>
      </c>
      <c r="B399" s="22" t="inlineStr">
        <is>
          <t>Layout</t>
        </is>
      </c>
      <c r="C399" s="12" t="inlineStr">
        <is>
          <t>Layout code</t>
        </is>
      </c>
      <c r="D399" s="12" t="inlineStr"/>
    </row>
    <row r="400">
      <c r="A400" s="14" t="inlineStr">
        <is>
          <t>Control Totals</t>
        </is>
      </c>
      <c r="B400" s="23" t="inlineStr">
        <is>
          <t>Object</t>
        </is>
      </c>
      <c r="C400" s="14" t="inlineStr">
        <is>
          <t>Data object</t>
        </is>
      </c>
      <c r="D400" s="14" t="inlineStr"/>
    </row>
    <row r="401">
      <c r="A401" s="12" t="inlineStr">
        <is>
          <t>Control Totals</t>
        </is>
      </c>
      <c r="B401" s="22" t="inlineStr">
        <is>
          <t>Measure</t>
        </is>
      </c>
      <c r="C401" s="12" t="inlineStr">
        <is>
          <t>Control measure</t>
        </is>
      </c>
      <c r="D401" s="12" t="inlineStr">
        <is>
          <t>ROW_COUNT, HASH_TOTAL, AMOUNT_TOTAL, SHA256</t>
        </is>
      </c>
    </row>
    <row r="402">
      <c r="A402" s="14" t="inlineStr">
        <is>
          <t>Control Totals</t>
        </is>
      </c>
      <c r="B402" s="23" t="inlineStr">
        <is>
          <t>Column</t>
        </is>
      </c>
      <c r="C402" s="14" t="inlineStr">
        <is>
          <t>Column the measure applies to</t>
        </is>
      </c>
      <c r="D402" s="14" t="inlineStr"/>
    </row>
    <row r="403">
      <c r="A403" s="12" t="inlineStr">
        <is>
          <t>Control Totals</t>
        </is>
      </c>
      <c r="B403" s="22" t="inlineStr">
        <is>
          <t>Currency</t>
        </is>
      </c>
      <c r="C403" s="12" t="inlineStr">
        <is>
          <t>Per currency or not</t>
        </is>
      </c>
      <c r="D403" s="12" t="inlineStr"/>
    </row>
    <row r="404">
      <c r="A404" s="14" t="inlineStr">
        <is>
          <t>Control Totals</t>
        </is>
      </c>
      <c r="B404" s="23" t="inlineStr">
        <is>
          <t>How it is computed</t>
        </is>
      </c>
      <c r="C404" s="14" t="inlineStr">
        <is>
          <t>Computation rule</t>
        </is>
      </c>
      <c r="D404" s="14" t="inlineStr"/>
    </row>
    <row r="405">
      <c r="A405" s="12" t="inlineStr">
        <is>
          <t>Control Totals</t>
        </is>
      </c>
      <c r="B405" s="22" t="inlineStr">
        <is>
          <t>Value from BDOI (control file)</t>
        </is>
      </c>
      <c r="C405" s="12" t="inlineStr">
        <is>
          <t>Filled from the control file</t>
        </is>
      </c>
      <c r="D405" s="12" t="inlineStr"/>
    </row>
    <row r="406">
      <c r="A406" s="14" t="inlineStr">
        <is>
          <t>Control Totals</t>
        </is>
      </c>
      <c r="B406" s="23" t="inlineStr">
        <is>
          <t>Value in BIBS</t>
        </is>
      </c>
      <c r="C406" s="14" t="inlineStr">
        <is>
          <t>Received / staged / loaded value (MIG-RECON-SUMMARY)</t>
        </is>
      </c>
      <c r="D406" s="14" t="inlineStr"/>
    </row>
    <row r="407">
      <c r="A407" s="12" t="inlineStr">
        <is>
          <t>Control Totals</t>
        </is>
      </c>
      <c r="B407" s="22" t="inlineStr">
        <is>
          <t>Difference</t>
        </is>
      </c>
      <c r="C407" s="12" t="inlineStr">
        <is>
          <t>BDOI value minus BIBS value</t>
        </is>
      </c>
      <c r="D407" s="12" t="inlineStr"/>
    </row>
    <row r="408">
      <c r="A408" s="14" t="inlineStr">
        <is>
          <t>Control Totals</t>
        </is>
      </c>
      <c r="B408" s="23" t="inlineStr">
        <is>
          <t>Status</t>
        </is>
      </c>
      <c r="C408" s="14" t="inlineStr">
        <is>
          <t>MATCHED, BREAK or EXPLAINED</t>
        </is>
      </c>
      <c r="D408" s="14" t="inlineStr">
        <is>
          <t>MATCHED, BREAK, EXPLAINED</t>
        </is>
      </c>
    </row>
    <row r="409">
      <c r="A409" s="12" t="inlineStr">
        <is>
          <t>Code Map Sets</t>
        </is>
      </c>
      <c r="B409" s="22" t="inlineStr">
        <is>
          <t>Map set</t>
        </is>
      </c>
      <c r="C409" s="12" t="inlineStr">
        <is>
          <t>Code map set</t>
        </is>
      </c>
      <c r="D409" s="12" t="inlineStr"/>
    </row>
    <row r="410">
      <c r="A410" s="14" t="inlineStr">
        <is>
          <t>Code Map Sets</t>
        </is>
      </c>
      <c r="B410" s="23" t="inlineStr">
        <is>
          <t>What is mapped</t>
        </is>
      </c>
      <c r="C410" s="14" t="inlineStr">
        <is>
          <t>Legacy codes mapped</t>
        </is>
      </c>
      <c r="D410" s="14" t="inlineStr"/>
    </row>
    <row r="411">
      <c r="A411" s="12" t="inlineStr">
        <is>
          <t>Code Map Sets</t>
        </is>
      </c>
      <c r="B411" s="22" t="inlineStr">
        <is>
          <t>BIBS master</t>
        </is>
      </c>
      <c r="C411" s="12" t="inlineStr">
        <is>
          <t>Target master of the codes</t>
        </is>
      </c>
      <c r="D411" s="12" t="inlineStr"/>
    </row>
    <row r="412">
      <c r="A412" s="14" t="inlineStr">
        <is>
          <t>Code Map Sets</t>
        </is>
      </c>
      <c r="B412" s="23" t="inlineStr">
        <is>
          <t>Business owner (approves)</t>
        </is>
      </c>
      <c r="C412" s="14" t="inlineStr">
        <is>
          <t>Approves the map versions (gate G2)</t>
        </is>
      </c>
      <c r="D412" s="14" t="inlineStr"/>
    </row>
    <row r="413">
      <c r="A413" s="12" t="inlineStr">
        <is>
          <t>Code Map Sets</t>
        </is>
      </c>
      <c r="B413" s="22" t="inlineStr">
        <is>
          <t>Data steward (prepares)</t>
        </is>
      </c>
      <c r="C413" s="12" t="inlineStr">
        <is>
          <t>Prepares the entries</t>
        </is>
      </c>
      <c r="D413" s="12" t="inlineStr"/>
    </row>
    <row r="414">
      <c r="A414" s="14" t="inlineStr">
        <is>
          <t>Code Map Sets</t>
        </is>
      </c>
      <c r="B414" s="23" t="inlineStr">
        <is>
          <t>Used by layouts</t>
        </is>
      </c>
      <c r="C414" s="14" t="inlineStr">
        <is>
          <t>Layouts whose columns use the set</t>
        </is>
      </c>
      <c r="D414" s="14" t="inlineStr"/>
    </row>
    <row r="415">
      <c r="A415" s="12" t="inlineStr">
        <is>
          <t>Code Map Sets</t>
        </is>
      </c>
      <c r="B415" s="22" t="inlineStr">
        <is>
          <t>Approved version due</t>
        </is>
      </c>
      <c r="C415" s="12" t="inlineStr">
        <is>
          <t>Milestone</t>
        </is>
      </c>
      <c r="D415" s="12" t="inlineStr"/>
    </row>
    <row r="416">
      <c r="A416" s="14" t="inlineStr">
        <is>
          <t>Code Map Template</t>
        </is>
      </c>
      <c r="B416" s="23" t="inlineStr">
        <is>
          <t>Map set</t>
        </is>
      </c>
      <c r="C416" s="14" t="inlineStr">
        <is>
          <t>Code map set (sheet Code Map Sets)</t>
        </is>
      </c>
      <c r="D416" s="14" t="inlineStr"/>
    </row>
    <row r="417">
      <c r="A417" s="12" t="inlineStr">
        <is>
          <t>Code Map Template</t>
        </is>
      </c>
      <c r="B417" s="22" t="inlineStr">
        <is>
          <t>Source system</t>
        </is>
      </c>
      <c r="C417" s="12" t="inlineStr">
        <is>
          <t>Legacy system of the code</t>
        </is>
      </c>
      <c r="D417" s="12" t="inlineStr">
        <is>
          <t>EBIX, QPS, ISYS, CMS, EXCEL</t>
        </is>
      </c>
    </row>
    <row r="418">
      <c r="A418" s="14" t="inlineStr">
        <is>
          <t>Code Map Template</t>
        </is>
      </c>
      <c r="B418" s="23" t="inlineStr">
        <is>
          <t>Legacy code</t>
        </is>
      </c>
      <c r="C418" s="14" t="inlineStr">
        <is>
          <t>Code as stored in legacy</t>
        </is>
      </c>
      <c r="D418" s="14" t="inlineStr"/>
    </row>
    <row r="419">
      <c r="A419" s="12" t="inlineStr">
        <is>
          <t>Code Map Template</t>
        </is>
      </c>
      <c r="B419" s="22" t="inlineStr">
        <is>
          <t>Legacy description</t>
        </is>
      </c>
      <c r="C419" s="12" t="inlineStr">
        <is>
          <t>Description in legacy</t>
        </is>
      </c>
      <c r="D419" s="12" t="inlineStr"/>
    </row>
    <row r="420">
      <c r="A420" s="14" t="inlineStr">
        <is>
          <t>Code Map Template</t>
        </is>
      </c>
      <c r="B420" s="23" t="inlineStr">
        <is>
          <t>Rows using it</t>
        </is>
      </c>
      <c r="C420" s="14" t="inlineStr">
        <is>
          <t>Filled by iorta TechNXT from profiling</t>
        </is>
      </c>
      <c r="D420" s="14" t="inlineStr"/>
    </row>
    <row r="421">
      <c r="A421" s="12" t="inlineStr">
        <is>
          <t>Code Map Template</t>
        </is>
      </c>
      <c r="B421" s="22" t="inlineStr">
        <is>
          <t>Action</t>
        </is>
      </c>
      <c r="C421" s="12" t="inlineStr">
        <is>
          <t>MAP to a BIBS code; DEFAULT to the set default; REJECT the rows; CREATE a new BIBS value</t>
        </is>
      </c>
      <c r="D421" s="12" t="inlineStr">
        <is>
          <t>MAP, DEFAULT, REJECT, CREATE</t>
        </is>
      </c>
    </row>
    <row r="422">
      <c r="A422" s="14" t="inlineStr">
        <is>
          <t>Code Map Template</t>
        </is>
      </c>
      <c r="B422" s="23" t="inlineStr">
        <is>
          <t>BIBS code</t>
        </is>
      </c>
      <c r="C422" s="14" t="inlineStr">
        <is>
          <t>Target code; mandatory for MAP and CREATE</t>
        </is>
      </c>
      <c r="D422" s="14" t="inlineStr"/>
    </row>
    <row r="423">
      <c r="A423" s="12" t="inlineStr">
        <is>
          <t>Code Map Template</t>
        </is>
      </c>
      <c r="B423" s="22" t="inlineStr">
        <is>
          <t>BIBS description</t>
        </is>
      </c>
      <c r="C423" s="12" t="inlineStr">
        <is>
          <t>Description of the BIBS value</t>
        </is>
      </c>
      <c r="D423" s="12" t="inlineStr"/>
    </row>
    <row r="424">
      <c r="A424" s="14" t="inlineStr">
        <is>
          <t>Code Map Template</t>
        </is>
      </c>
      <c r="B424" s="23" t="inlineStr">
        <is>
          <t>Remarks</t>
        </is>
      </c>
      <c r="C424" s="14" t="inlineStr">
        <is>
          <t>Reason for DEFAULT, REJECT or CREATE</t>
        </is>
      </c>
      <c r="D424" s="14" t="inlineStr"/>
    </row>
    <row r="425">
      <c r="A425" s="12" t="inlineStr">
        <is>
          <t>Code Map Template</t>
        </is>
      </c>
      <c r="B425" s="22" t="inlineStr">
        <is>
          <t>Prepared by</t>
        </is>
      </c>
      <c r="C425" s="12" t="inlineStr">
        <is>
          <t>Data steward</t>
        </is>
      </c>
      <c r="D425" s="12" t="inlineStr"/>
    </row>
    <row r="426">
      <c r="A426" s="14" t="inlineStr">
        <is>
          <t>Code Map Template</t>
        </is>
      </c>
      <c r="B426" s="23" t="inlineStr">
        <is>
          <t>Approved by</t>
        </is>
      </c>
      <c r="C426" s="14" t="inlineStr">
        <is>
          <t>Business owner</t>
        </is>
      </c>
      <c r="D426" s="14" t="inlineStr"/>
    </row>
    <row r="427">
      <c r="A427" s="12" t="inlineStr">
        <is>
          <t>DQ Rules</t>
        </is>
      </c>
      <c r="B427" s="22" t="inlineStr">
        <is>
          <t>Rule</t>
        </is>
      </c>
      <c r="C427" s="12" t="inlineStr">
        <is>
          <t>Rule ID</t>
        </is>
      </c>
      <c r="D427" s="12" t="inlineStr"/>
    </row>
    <row r="428">
      <c r="A428" s="14" t="inlineStr">
        <is>
          <t>DQ Rules</t>
        </is>
      </c>
      <c r="B428" s="23" t="inlineStr">
        <is>
          <t>Layout</t>
        </is>
      </c>
      <c r="C428" s="14" t="inlineStr">
        <is>
          <t>Layout(s) checked</t>
        </is>
      </c>
      <c r="D428" s="14" t="inlineStr"/>
    </row>
    <row r="429">
      <c r="A429" s="12" t="inlineStr">
        <is>
          <t>DQ Rules</t>
        </is>
      </c>
      <c r="B429" s="22" t="inlineStr">
        <is>
          <t>Columns</t>
        </is>
      </c>
      <c r="C429" s="12" t="inlineStr">
        <is>
          <t>Columns checked</t>
        </is>
      </c>
      <c r="D429" s="12" t="inlineStr"/>
    </row>
    <row r="430">
      <c r="A430" s="14" t="inlineStr">
        <is>
          <t>DQ Rules</t>
        </is>
      </c>
      <c r="B430" s="23" t="inlineStr">
        <is>
          <t>Kind</t>
        </is>
      </c>
      <c r="C430" s="14" t="inlineStr">
        <is>
          <t>Kind of rule</t>
        </is>
      </c>
      <c r="D430" s="14" t="inlineStr">
        <is>
          <t>MANDATORY, FORMAT, LOOKUP, UNIQUE, REFERENTIAL, CROSS_FIELD, BALANCE, PLAUSIBILITY, DUPLICATE_CLIENT</t>
        </is>
      </c>
    </row>
    <row r="431">
      <c r="A431" s="12" t="inlineStr">
        <is>
          <t>DQ Rules</t>
        </is>
      </c>
      <c r="B431" s="22" t="inlineStr">
        <is>
          <t>Rule</t>
        </is>
      </c>
      <c r="C431" s="12" t="inlineStr">
        <is>
          <t>What is checked</t>
        </is>
      </c>
      <c r="D431" s="12" t="inlineStr"/>
    </row>
    <row r="432">
      <c r="A432" s="14" t="inlineStr">
        <is>
          <t>DQ Rules</t>
        </is>
      </c>
      <c r="B432" s="23" t="inlineStr">
        <is>
          <t>Severity</t>
        </is>
      </c>
      <c r="C432" s="14" t="inlineStr">
        <is>
          <t>ERROR = the row is not loaded; WARNING = loaded and reported</t>
        </is>
      </c>
      <c r="D432" s="14" t="inlineStr"/>
    </row>
    <row r="433">
      <c r="A433" s="12" t="inlineStr">
        <is>
          <t>DQ Rules</t>
        </is>
      </c>
      <c r="B433" s="22" t="inlineStr">
        <is>
          <t>Message shown in BIBS</t>
        </is>
      </c>
      <c r="C433" s="12" t="inlineStr">
        <is>
          <t>Message text; codes are assigned at build</t>
        </is>
      </c>
      <c r="D433" s="12" t="inlineStr"/>
    </row>
    <row r="434">
      <c r="A434" s="14" t="inlineStr">
        <is>
          <t>DQ Rules</t>
        </is>
      </c>
      <c r="B434" s="23" t="inlineStr">
        <is>
          <t>Fixed by</t>
        </is>
      </c>
      <c r="C434" s="14" t="inlineStr">
        <is>
          <t>Who corrects a failing row</t>
        </is>
      </c>
      <c r="D434" s="14" t="inlineStr"/>
    </row>
    <row r="435">
      <c r="A435" s="12" t="inlineStr">
        <is>
          <t>Open Decisions</t>
        </is>
      </c>
      <c r="B435" s="22" t="inlineStr">
        <is>
          <t>ID</t>
        </is>
      </c>
      <c r="C435" s="12" t="inlineStr">
        <is>
          <t>Question (DMQ##) or register ID (DCR-nnn)</t>
        </is>
      </c>
      <c r="D435" s="12" t="inlineStr"/>
    </row>
    <row r="436">
      <c r="A436" s="14" t="inlineStr">
        <is>
          <t>Open Decisions</t>
        </is>
      </c>
      <c r="B436" s="23" t="inlineStr">
        <is>
          <t>Register</t>
        </is>
      </c>
      <c r="C436" s="14" t="inlineStr">
        <is>
          <t>Item of the BRD discrepancy and clarification register v1.2</t>
        </is>
      </c>
      <c r="D436" s="14" t="inlineStr"/>
    </row>
    <row r="437">
      <c r="A437" s="12" t="inlineStr">
        <is>
          <t>Open Decisions</t>
        </is>
      </c>
      <c r="B437" s="22" t="inlineStr">
        <is>
          <t>Topic</t>
        </is>
      </c>
      <c r="C437" s="12" t="inlineStr">
        <is>
          <t>Subject</t>
        </is>
      </c>
      <c r="D437" s="12" t="inlineStr"/>
    </row>
    <row r="438">
      <c r="A438" s="14" t="inlineStr">
        <is>
          <t>Open Decisions</t>
        </is>
      </c>
      <c r="B438" s="23" t="inlineStr">
        <is>
          <t>Decision needed</t>
        </is>
      </c>
      <c r="C438" s="14" t="inlineStr">
        <is>
          <t>What BDOI decides</t>
        </is>
      </c>
      <c r="D438" s="14" t="inlineStr"/>
    </row>
    <row r="439">
      <c r="A439" s="12" t="inlineStr">
        <is>
          <t>Open Decisions</t>
        </is>
      </c>
      <c r="B439" s="22" t="inlineStr">
        <is>
          <t>Blocks</t>
        </is>
      </c>
      <c r="C439" s="12" t="inlineStr">
        <is>
          <t>Objects, gates or build waves that wait for the answer</t>
        </is>
      </c>
      <c r="D439" s="12" t="inlineStr"/>
    </row>
    <row r="440">
      <c r="A440" s="14" t="inlineStr">
        <is>
          <t>Open Decisions</t>
        </is>
      </c>
      <c r="B440" s="23" t="inlineStr">
        <is>
          <t>Needed by</t>
        </is>
      </c>
      <c r="C440" s="14" t="inlineStr">
        <is>
          <t>Milestone and date</t>
        </is>
      </c>
      <c r="D440" s="14" t="inlineStr"/>
    </row>
    <row r="441">
      <c r="A441" s="12" t="inlineStr">
        <is>
          <t>Open Decisions</t>
        </is>
      </c>
      <c r="B441" s="22" t="inlineStr">
        <is>
          <t>BDOI owner</t>
        </is>
      </c>
      <c r="C441" s="12" t="inlineStr">
        <is>
          <t>Who answers</t>
        </is>
      </c>
      <c r="D441" s="12" t="inlineStr"/>
    </row>
    <row r="442">
      <c r="A442" s="14" t="inlineStr">
        <is>
          <t>Open Decisions</t>
        </is>
      </c>
      <c r="B442" s="23" t="inlineStr">
        <is>
          <t>Status</t>
        </is>
      </c>
      <c r="C442" s="14" t="inlineStr">
        <is>
          <t>OPEN, PARTIAL, ANSWERED, RECOMMENDED (answered with a recommendation that BDOI still confirms)</t>
        </is>
      </c>
      <c r="D442" s="14" t="inlineStr">
        <is>
          <t>OPEN, PARTIAL, ANSWERED, RECOMMENDED</t>
        </is>
      </c>
    </row>
    <row r="443">
      <c r="A443" s="12" t="inlineStr">
        <is>
          <t>Open Decisions</t>
        </is>
      </c>
      <c r="B443" s="22" t="inlineStr">
        <is>
          <t>Answer</t>
        </is>
      </c>
      <c r="C443" s="12" t="inlineStr">
        <is>
          <t>BDOI answer and date</t>
        </is>
      </c>
      <c r="D443" s="12" t="inlineStr"/>
    </row>
    <row r="444">
      <c r="A444" s="14" t="inlineStr">
        <is>
          <t>Milestones</t>
        </is>
      </c>
      <c r="B444" s="23" t="inlineStr">
        <is>
          <t>Milestone</t>
        </is>
      </c>
      <c r="C444" s="14" t="inlineStr">
        <is>
          <t>Milestone ID</t>
        </is>
      </c>
      <c r="D444" s="14" t="inlineStr"/>
    </row>
    <row r="445">
      <c r="A445" s="12" t="inlineStr">
        <is>
          <t>Milestones</t>
        </is>
      </c>
      <c r="B445" s="22" t="inlineStr">
        <is>
          <t>What is due</t>
        </is>
      </c>
      <c r="C445" s="12" t="inlineStr">
        <is>
          <t>Content of the milestone</t>
        </is>
      </c>
      <c r="D445" s="12" t="inlineStr"/>
    </row>
    <row r="446">
      <c r="A446" s="14" t="inlineStr">
        <is>
          <t>Milestones</t>
        </is>
      </c>
      <c r="B446" s="23" t="inlineStr">
        <is>
          <t>When</t>
        </is>
      </c>
      <c r="C446" s="14" t="inlineStr">
        <is>
          <t>Date or T-minus (T = go-live)</t>
        </is>
      </c>
      <c r="D446" s="14" t="inlineStr"/>
    </row>
  </sheetData>
  <autoFilter ref="A4:D446"/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3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1" customWidth="1" min="3" max="3"/>
    <col width="15" customWidth="1" min="4" max="4"/>
    <col width="44" customWidth="1" min="5" max="5"/>
    <col width="14" customWidth="1" min="6" max="6"/>
    <col width="11" customWidth="1" min="7" max="7"/>
    <col width="32" customWidth="1" min="8" max="8"/>
    <col width="24" customWidth="1" min="9" max="9"/>
    <col width="20" customWidth="1" min="10" max="10"/>
    <col width="14" customWidth="1" min="11" max="11"/>
    <col width="18" customWidth="1" min="12" max="12"/>
    <col width="22" customWidth="1" min="13" max="13"/>
    <col width="22" customWidth="1" min="14" max="14"/>
    <col width="12" customWidth="1" min="15" max="15"/>
    <col width="28" customWidth="1" min="16" max="16"/>
    <col width="22" customWidth="1" min="17" max="17"/>
    <col width="7" customWidth="1" min="18" max="18"/>
    <col width="14" customWidth="1" min="19" max="19"/>
    <col width="12" customWidth="1" min="20" max="20"/>
  </cols>
  <sheetData>
    <row r="1" ht="24" customHeight="1">
      <c r="A1" s="21" t="inlineStr">
        <is>
          <t>Object Register</t>
        </is>
      </c>
    </row>
    <row r="2">
      <c r="A2" s="24" t="inlineStr">
        <is>
          <t>One row per data object with the proposed decision (BRID 1.1a); BDOI fills the volumes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</row>
    <row r="4" ht="30" customHeight="1">
      <c r="A4" s="26" t="inlineStr">
        <is>
          <t>Object</t>
        </is>
      </c>
      <c r="B4" s="26" t="inlineStr">
        <is>
          <t>Data object</t>
        </is>
      </c>
      <c r="C4" s="26" t="inlineStr">
        <is>
          <t>Category</t>
        </is>
      </c>
      <c r="D4" s="26" t="inlineStr">
        <is>
          <t>Decision (proposed)</t>
        </is>
      </c>
      <c r="E4" s="26" t="inlineStr">
        <is>
          <t>Rationale</t>
        </is>
      </c>
      <c r="F4" s="26" t="inlineStr">
        <is>
          <t>Source system</t>
        </is>
      </c>
      <c r="G4" s="26" t="inlineStr">
        <is>
          <t>Templates</t>
        </is>
      </c>
      <c r="H4" s="26" t="inlineStr">
        <is>
          <t>BIBS target</t>
        </is>
      </c>
      <c r="I4" s="26" t="inlineStr">
        <is>
          <t>Business owner (sign-off)</t>
        </is>
      </c>
      <c r="J4" s="26" t="inlineStr">
        <is>
          <t>Data steward</t>
        </is>
      </c>
      <c r="K4" s="26" t="inlineStr">
        <is>
          <t>Volume estimate (BDOI to fill)</t>
        </is>
      </c>
      <c r="L4" s="26" t="inlineStr">
        <is>
          <t>Planning bound</t>
        </is>
      </c>
      <c r="M4" s="26" t="inlineStr">
        <is>
          <t>History depth</t>
        </is>
      </c>
      <c r="N4" s="26" t="inlineStr">
        <is>
          <t>Delta frequency</t>
        </is>
      </c>
      <c r="O4" s="26" t="inlineStr">
        <is>
          <t>Extract format</t>
        </is>
      </c>
      <c r="P4" s="26" t="inlineStr">
        <is>
          <t>Control totals required</t>
        </is>
      </c>
      <c r="Q4" s="26" t="inlineStr">
        <is>
          <t>Due</t>
        </is>
      </c>
      <c r="R4" s="26" t="inlineStr">
        <is>
          <t>Load order</t>
        </is>
      </c>
      <c r="S4" s="26" t="inlineStr">
        <is>
          <t>Open decisions</t>
        </is>
      </c>
      <c r="T4" s="26" t="inlineStr">
        <is>
          <t>Status</t>
        </is>
      </c>
    </row>
    <row r="5">
      <c r="A5" s="12" t="inlineStr">
        <is>
          <t>R01</t>
        </is>
      </c>
      <c r="B5" s="12" t="inlineStr">
        <is>
          <t>Lists of values and MIS values</t>
        </is>
      </c>
      <c r="C5" s="12" t="inlineStr">
        <is>
          <t>Reference</t>
        </is>
      </c>
      <c r="D5" s="12" t="inlineStr">
        <is>
          <t>MIGRATE</t>
        </is>
      </c>
      <c r="E5" s="12" t="inlineStr">
        <is>
          <t>Every coded field of clients, policies and open items needs its BIBS value on Day 1 (BRID 3.1). Legacy values are mapped to BIBS values; missing values are created through the LOV master with maker-checker.</t>
        </is>
      </c>
      <c r="F5" s="12" t="inlineStr">
        <is>
          <t>QPS, EBIX</t>
        </is>
      </c>
      <c r="G5" s="12" t="inlineStr">
        <is>
          <t>R01</t>
        </is>
      </c>
      <c r="H5" s="12" t="inlineStr">
        <is>
          <t>lov_value through LovService; MIS field catalogue (Core Replacement CR-W1)</t>
        </is>
      </c>
      <c r="I5" s="12" t="inlineStr">
        <is>
          <t>Product Owner, Marketing Business System (MBS)</t>
        </is>
      </c>
      <c r="J5" s="12" t="inlineStr">
        <is>
          <t>MBS data steward (to name)</t>
        </is>
      </c>
      <c r="K5" s="12" t="inlineStr"/>
      <c r="L5" s="12" t="inlineStr">
        <is>
          <t>A few thousand values</t>
        </is>
      </c>
      <c r="M5" s="12" t="inlineStr">
        <is>
          <t>Current values and values used by any migrated record</t>
        </is>
      </c>
      <c r="N5" s="12" t="inlineStr">
        <is>
          <t>None after the map freeze (T-7 days); changes by change request and a new map version</t>
        </is>
      </c>
      <c r="O5" s="12" t="inlineStr">
        <is>
          <t>CSV</t>
        </is>
      </c>
      <c r="P5" s="12" t="inlineStr">
        <is>
          <t>Row count; count of distinct (list_type, code)</t>
        </is>
      </c>
      <c r="Q5" s="12" t="inlineStr">
        <is>
          <t>M3 (29 Jan 2027)</t>
        </is>
      </c>
      <c r="R5" s="12" t="n">
        <v>1</v>
      </c>
      <c r="S5" s="12" t="inlineStr">
        <is>
          <t>DMQ08</t>
        </is>
      </c>
      <c r="T5" s="27" t="inlineStr">
        <is>
          <t>OPEN</t>
        </is>
      </c>
    </row>
    <row r="6">
      <c r="A6" s="12" t="inlineStr">
        <is>
          <t>R02</t>
        </is>
      </c>
      <c r="B6" s="12" t="inlineStr">
        <is>
          <t>Branches and invoicing branches</t>
        </is>
      </c>
      <c r="C6" s="12" t="inlineStr">
        <is>
          <t>Reference</t>
        </is>
      </c>
      <c r="D6" s="12" t="inlineStr">
        <is>
          <t>MIGRATE</t>
        </is>
      </c>
      <c r="E6" s="12" t="inlineStr">
        <is>
          <t>Branch codes are mapped only; BIBS branches are configured by Comptrollership before the load.</t>
        </is>
      </c>
      <c r="F6" s="12" t="inlineStr">
        <is>
          <t>EBIX</t>
        </is>
      </c>
      <c r="G6" s="12" t="inlineStr">
        <is>
          <t>R02</t>
        </is>
      </c>
      <c r="H6" s="12" t="inlineStr">
        <is>
          <t>org_branch (check only, code map BRANCH)</t>
        </is>
      </c>
      <c r="I6" s="12" t="inlineStr">
        <is>
          <t>Head, Comptrollership</t>
        </is>
      </c>
      <c r="J6" s="12" t="inlineStr">
        <is>
          <t>Comptrollership data steward (to name)</t>
        </is>
      </c>
      <c r="K6" s="12" t="inlineStr"/>
      <c r="L6" s="12" t="inlineStr">
        <is>
          <t>Under 100</t>
        </is>
      </c>
      <c r="M6" s="12" t="inlineStr">
        <is>
          <t>Current</t>
        </is>
      </c>
      <c r="N6" s="12" t="inlineStr">
        <is>
          <t>None</t>
        </is>
      </c>
      <c r="O6" s="12" t="inlineStr">
        <is>
          <t>CSV</t>
        </is>
      </c>
      <c r="P6" s="12" t="inlineStr">
        <is>
          <t>Row count</t>
        </is>
      </c>
      <c r="Q6" s="12" t="inlineStr">
        <is>
          <t>M3 (29 Jan 2027)</t>
        </is>
      </c>
      <c r="R6" s="12" t="n">
        <v>1</v>
      </c>
      <c r="S6" s="12" t="inlineStr">
        <is>
          <t>DMQ08</t>
        </is>
      </c>
      <c r="T6" s="27" t="inlineStr">
        <is>
          <t>OPEN</t>
        </is>
      </c>
    </row>
    <row r="7">
      <c r="A7" s="12" t="inlineStr">
        <is>
          <t>R03</t>
        </is>
      </c>
      <c r="B7" s="12" t="inlineStr">
        <is>
          <t>Sales organisation (regions, departments, teams, unit heads, account officers)</t>
        </is>
      </c>
      <c r="C7" s="12" t="inlineStr">
        <is>
          <t>Reference</t>
        </is>
      </c>
      <c r="D7" s="12" t="inlineStr">
        <is>
          <t>MIGRATE</t>
        </is>
      </c>
      <c r="E7" s="12" t="inlineStr">
        <is>
          <t>Clients, policies and open items carry the AO and unit; MIS reporting and Collections assignment need them on Day 1.</t>
        </is>
      </c>
      <c r="F7" s="12" t="inlineStr">
        <is>
          <t>QPS, EBIX</t>
        </is>
      </c>
      <c r="G7" s="12" t="inlineStr">
        <is>
          <t>R03</t>
        </is>
      </c>
      <c r="H7" s="12" t="inlineStr">
        <is>
          <t>cat_sales_unit, cat_sales_officer (catalog services)</t>
        </is>
      </c>
      <c r="I7" s="12" t="inlineStr">
        <is>
          <t>Heads, Retail and Corporate Marketing</t>
        </is>
      </c>
      <c r="J7" s="12" t="inlineStr">
        <is>
          <t>Marketing data steward (to name)</t>
        </is>
      </c>
      <c r="K7" s="12" t="inlineStr"/>
      <c r="L7" s="12" t="inlineStr">
        <is>
          <t>About 600 AOs (485 Marketing users, BRD-3)</t>
        </is>
      </c>
      <c r="M7" s="12" t="inlineStr">
        <is>
          <t>Current, plus inactive AOs referenced by open items</t>
        </is>
      </c>
      <c r="N7" s="12" t="inlineStr">
        <is>
          <t>Weekly until the freeze</t>
        </is>
      </c>
      <c r="O7" s="12" t="inlineStr">
        <is>
          <t>CSV</t>
        </is>
      </c>
      <c r="P7" s="12" t="inlineStr">
        <is>
          <t>Row count per record type</t>
        </is>
      </c>
      <c r="Q7" s="12" t="inlineStr">
        <is>
          <t>M3 (29 Jan 2027)</t>
        </is>
      </c>
      <c r="R7" s="12" t="n">
        <v>2</v>
      </c>
      <c r="S7" s="12" t="inlineStr">
        <is>
          <t>DMQ08</t>
        </is>
      </c>
      <c r="T7" s="27" t="inlineStr">
        <is>
          <t>OPEN</t>
        </is>
      </c>
    </row>
    <row r="8">
      <c r="A8" s="12" t="inlineStr">
        <is>
          <t>R04</t>
        </is>
      </c>
      <c r="B8" s="12" t="inlineStr">
        <is>
          <t>Insurers and insurer branches</t>
        </is>
      </c>
      <c r="C8" s="12" t="inlineStr">
        <is>
          <t>Reference</t>
        </is>
      </c>
      <c r="D8" s="12" t="inlineStr">
        <is>
          <t>MIGRATE</t>
        </is>
      </c>
      <c r="E8" s="12" t="inlineStr">
        <is>
          <t>Every open invoice, header and remittance position is owed to or by an insurer.</t>
        </is>
      </c>
      <c r="F8" s="12" t="inlineStr">
        <is>
          <t>QPS, EBIX</t>
        </is>
      </c>
      <c r="G8" s="12" t="inlineStr">
        <is>
          <t>R04, R04B</t>
        </is>
      </c>
      <c r="H8" s="12" t="inlineStr">
        <is>
          <t>cat_insurer, cat_insurer_branch (InsurerService), party</t>
        </is>
      </c>
      <c r="I8" s="12" t="inlineStr">
        <is>
          <t>Head, Operations</t>
        </is>
      </c>
      <c r="J8" s="12" t="inlineStr">
        <is>
          <t>Operations data steward (to name)</t>
        </is>
      </c>
      <c r="K8" s="12" t="inlineStr"/>
      <c r="L8" s="12" t="inlineStr">
        <is>
          <t>Under 100 insurers</t>
        </is>
      </c>
      <c r="M8" s="12" t="inlineStr">
        <is>
          <t>Active insurers, and inactive insurers with open items</t>
        </is>
      </c>
      <c r="N8" s="12" t="inlineStr">
        <is>
          <t>None</t>
        </is>
      </c>
      <c r="O8" s="12" t="inlineStr">
        <is>
          <t>CSV</t>
        </is>
      </c>
      <c r="P8" s="12" t="inlineStr">
        <is>
          <t>Row count per file</t>
        </is>
      </c>
      <c r="Q8" s="12" t="inlineStr">
        <is>
          <t>M3 (29 Jan 2027)</t>
        </is>
      </c>
      <c r="R8" s="12" t="n">
        <v>2</v>
      </c>
      <c r="S8" s="12" t="inlineStr">
        <is>
          <t>DMQ08</t>
        </is>
      </c>
      <c r="T8" s="27" t="inlineStr">
        <is>
          <t>OPEN</t>
        </is>
      </c>
    </row>
    <row r="9">
      <c r="A9" s="12" t="inlineStr">
        <is>
          <t>R05</t>
        </is>
      </c>
      <c r="B9" s="12" t="inlineStr">
        <is>
          <t>Product lines, cover types, products and risk codes</t>
        </is>
      </c>
      <c r="C9" s="12" t="inlineStr">
        <is>
          <t>Reference</t>
        </is>
      </c>
      <c r="D9" s="12" t="inlineStr">
        <is>
          <t>MIGRATE</t>
        </is>
      </c>
      <c r="E9" s="12" t="inlineStr">
        <is>
          <t>The risk code decides the premium components, taxes and commission of every open invoice and header.</t>
        </is>
      </c>
      <c r="F9" s="12" t="inlineStr">
        <is>
          <t>QPS, EBIX</t>
        </is>
      </c>
      <c r="G9" s="12" t="inlineStr">
        <is>
          <t>R05</t>
        </is>
      </c>
      <c r="H9" s="12" t="inlineStr">
        <is>
          <t>cat_product_line, cat_cover_type, cat_product (ProductCatalogService)</t>
        </is>
      </c>
      <c r="I9" s="12" t="inlineStr">
        <is>
          <t>Product Owner, MBS</t>
        </is>
      </c>
      <c r="J9" s="12" t="inlineStr">
        <is>
          <t>MBS data steward (to name)</t>
        </is>
      </c>
      <c r="K9" s="12" t="inlineStr"/>
      <c r="L9" s="12" t="inlineStr">
        <is>
          <t>A few hundred codes</t>
        </is>
      </c>
      <c r="M9" s="12" t="inlineStr">
        <is>
          <t>Current, plus codes used by in-force policies and open items</t>
        </is>
      </c>
      <c r="N9" s="12" t="inlineStr">
        <is>
          <t>None</t>
        </is>
      </c>
      <c r="O9" s="12" t="inlineStr">
        <is>
          <t>CSV</t>
        </is>
      </c>
      <c r="P9" s="12" t="inlineStr">
        <is>
          <t>Row count</t>
        </is>
      </c>
      <c r="Q9" s="12" t="inlineStr">
        <is>
          <t>M3 (29 Jan 2027)</t>
        </is>
      </c>
      <c r="R9" s="12" t="n">
        <v>3</v>
      </c>
      <c r="S9" s="12" t="inlineStr">
        <is>
          <t>DMQ08</t>
        </is>
      </c>
      <c r="T9" s="27" t="inlineStr">
        <is>
          <t>OPEN</t>
        </is>
      </c>
    </row>
    <row r="10">
      <c r="A10" s="12" t="inlineStr">
        <is>
          <t>R06</t>
        </is>
      </c>
      <c r="B10" s="12" t="inlineStr">
        <is>
          <t>PACKAGE code map (legacy package and version to BIBS package version)</t>
        </is>
      </c>
      <c r="C10" s="12" t="inlineStr">
        <is>
          <t>Reference</t>
        </is>
      </c>
      <c r="D10" s="12" t="inlineStr">
        <is>
          <t>MIGRATE</t>
        </is>
      </c>
      <c r="E10" s="12" t="inlineStr">
        <is>
          <t>Packages are remapped at sanitation in Renewal, not at migration intake (DMQ36, answered 26-Sep-2026). The migration loads the PACKAGE code map as reference data only; the Renewal check PACKAGE_REMAP uses it and sends unmapped packages to the Exception bucket, worked by the Renewal processing team. The BIBS packages themselves are maintained by TSU in Product Maintenance (BRD-3) and are not migrated.</t>
        </is>
      </c>
      <c r="F10" s="12" t="inlineStr">
        <is>
          <t>QPS (legacy packages); TSU (BIBS package versions)</t>
        </is>
      </c>
      <c r="G10" s="12" t="inlineStr">
        <is>
          <t>R06</t>
        </is>
      </c>
      <c r="H10" s="12" t="inlineStr">
        <is>
          <t>Renewal package map, through the Renewal service that maintains it (check PACKAGE_REMAP)</t>
        </is>
      </c>
      <c r="I10" s="12" t="inlineStr">
        <is>
          <t>Product Owner, MBS (approves); TSU (prepares)</t>
        </is>
      </c>
      <c r="J10" s="12" t="inlineStr">
        <is>
          <t>TSU (to name)</t>
        </is>
      </c>
      <c r="K10" s="12" t="inlineStr"/>
      <c r="L10" s="12" t="inlineStr">
        <is>
          <t>Under 200 legacy packages</t>
        </is>
      </c>
      <c r="M10" s="12" t="inlineStr">
        <is>
          <t>Legacy packages of in-force policies</t>
        </is>
      </c>
      <c r="N10" s="12" t="inlineStr">
        <is>
          <t>New map versions until the map freeze (T-7 days)</t>
        </is>
      </c>
      <c r="O10" s="12" t="inlineStr">
        <is>
          <t>XLSX or CSV</t>
        </is>
      </c>
      <c r="P10" s="12" t="inlineStr">
        <is>
          <t>Row count; count of distinct (legacy_package_code, legacy_package_version)</t>
        </is>
      </c>
      <c r="Q10" s="12" t="inlineStr">
        <is>
          <t>M5 (18 Jun 2027); final at T-7</t>
        </is>
      </c>
      <c r="R10" s="12" t="n">
        <v>3</v>
      </c>
      <c r="S10" s="12" t="inlineStr">
        <is>
          <t>DMQ08, DMQ36</t>
        </is>
      </c>
      <c r="T10" s="27" t="inlineStr">
        <is>
          <t>OPEN</t>
        </is>
      </c>
    </row>
    <row r="11">
      <c r="A11" s="12" t="inlineStr">
        <is>
          <t>R07</t>
        </is>
      </c>
      <c r="B11" s="12" t="inlineStr">
        <is>
          <t>Commission rates by insurer and product</t>
        </is>
      </c>
      <c r="C11" s="12" t="inlineStr">
        <is>
          <t>Reference</t>
        </is>
      </c>
      <c r="D11" s="12" t="inlineStr">
        <is>
          <t>MIGRATE</t>
        </is>
      </c>
      <c r="E11" s="12" t="inlineStr">
        <is>
          <t>Endorsements and renewals of legacy policies compute commission from the rate table.</t>
        </is>
      </c>
      <c r="F11" s="12" t="inlineStr">
        <is>
          <t>QPS, EBIX</t>
        </is>
      </c>
      <c r="G11" s="12" t="inlineStr">
        <is>
          <t>R07</t>
        </is>
      </c>
      <c r="H11" s="12" t="inlineStr">
        <is>
          <t>cat_commission_rate</t>
        </is>
      </c>
      <c r="I11" s="12" t="inlineStr">
        <is>
          <t>Head, Operations</t>
        </is>
      </c>
      <c r="J11" s="12" t="inlineStr">
        <is>
          <t>Operations data steward (to name)</t>
        </is>
      </c>
      <c r="K11" s="12" t="inlineStr"/>
      <c r="L11" s="12" t="inlineStr">
        <is>
          <t>Insurers x products</t>
        </is>
      </c>
      <c r="M11" s="12" t="inlineStr">
        <is>
          <t>Rates effective at cutover and later</t>
        </is>
      </c>
      <c r="N11" s="12" t="inlineStr">
        <is>
          <t>None</t>
        </is>
      </c>
      <c r="O11" s="12" t="inlineStr">
        <is>
          <t>CSV</t>
        </is>
      </c>
      <c r="P11" s="12" t="inlineStr">
        <is>
          <t>Row count</t>
        </is>
      </c>
      <c r="Q11" s="12" t="inlineStr">
        <is>
          <t>M3 (29 Jan 2027)</t>
        </is>
      </c>
      <c r="R11" s="12" t="n">
        <v>3</v>
      </c>
      <c r="S11" s="12" t="inlineStr">
        <is>
          <t>DMQ30</t>
        </is>
      </c>
      <c r="T11" s="27" t="inlineStr">
        <is>
          <t>OPEN</t>
        </is>
      </c>
    </row>
    <row r="12">
      <c r="A12" s="12" t="inlineStr">
        <is>
          <t>R08</t>
        </is>
      </c>
      <c r="B12" s="12" t="inlineStr">
        <is>
          <t>Chart of accounts mapping (legacy GL account to BIBS account)</t>
        </is>
      </c>
      <c r="C12" s="12" t="inlineStr">
        <is>
          <t>Reference</t>
        </is>
      </c>
      <c r="D12" s="12" t="inlineStr">
        <is>
          <t>MIGRATE</t>
        </is>
      </c>
      <c r="E12" s="12" t="inlineStr">
        <is>
          <t>The GL opening trial balance (G01) is loaded through this map; legacy control accounts are mapped to Migration Clearing.</t>
        </is>
      </c>
      <c r="F12" s="12" t="inlineStr">
        <is>
          <t>EBIX, ISYS GL</t>
        </is>
      </c>
      <c r="G12" s="12" t="inlineStr">
        <is>
          <t>R08</t>
        </is>
      </c>
      <c r="H12" s="12" t="inlineStr">
        <is>
          <t>Code map GL_ACCOUNT to coa_account (chart configured by Comptrollership)</t>
        </is>
      </c>
      <c r="I12" s="12" t="inlineStr">
        <is>
          <t>Head, Comptrollership; Product Owner FRBS and ACSL</t>
        </is>
      </c>
      <c r="J12" s="12" t="inlineStr">
        <is>
          <t>Comptrollership data steward (to name)</t>
        </is>
      </c>
      <c r="K12" s="12" t="inlineStr"/>
      <c r="L12" s="12" t="inlineStr">
        <is>
          <t>A few thousand accounts</t>
        </is>
      </c>
      <c r="M12" s="12" t="inlineStr">
        <is>
          <t>Current chart</t>
        </is>
      </c>
      <c r="N12" s="12" t="inlineStr">
        <is>
          <t>None</t>
        </is>
      </c>
      <c r="O12" s="12" t="inlineStr">
        <is>
          <t>XLSX or CSV</t>
        </is>
      </c>
      <c r="P12" s="12" t="inlineStr">
        <is>
          <t>Row count</t>
        </is>
      </c>
      <c r="Q12" s="12" t="inlineStr">
        <is>
          <t>M3 (29 Jan 2027)</t>
        </is>
      </c>
      <c r="R12" s="12" t="n">
        <v>3</v>
      </c>
      <c r="S12" s="12" t="inlineStr">
        <is>
          <t>DMQ18</t>
        </is>
      </c>
      <c r="T12" s="27" t="inlineStr">
        <is>
          <t>OPEN</t>
        </is>
      </c>
    </row>
    <row r="13">
      <c r="A13" s="12" t="inlineStr">
        <is>
          <t>R09</t>
        </is>
      </c>
      <c r="B13" s="12" t="inlineStr">
        <is>
          <t>Payees</t>
        </is>
      </c>
      <c r="C13" s="12" t="inlineStr">
        <is>
          <t>Reference</t>
        </is>
      </c>
      <c r="D13" s="12" t="inlineStr">
        <is>
          <t>CONDITIONAL</t>
        </is>
      </c>
      <c r="E13" s="12" t="inlineStr">
        <is>
          <t>The payee migration handler exists (DISB_PAYEE_MIGRATION); in scope if BDOI confirms (AQ11, DMQ30).</t>
        </is>
      </c>
      <c r="F13" s="12" t="inlineStr">
        <is>
          <t>EBIX, Disbursement files</t>
        </is>
      </c>
      <c r="G13" s="12" t="inlineStr">
        <is>
          <t>R09</t>
        </is>
      </c>
      <c r="H13" s="12" t="inlineStr">
        <is>
          <t>party and payee through the DISB_PAYEE_MIGRATION service</t>
        </is>
      </c>
      <c r="I13" s="12" t="inlineStr">
        <is>
          <t>Product Owner, Comptrollership - Disbursement</t>
        </is>
      </c>
      <c r="J13" s="12" t="inlineStr">
        <is>
          <t>Disbursement data steward (to name)</t>
        </is>
      </c>
      <c r="K13" s="12" t="inlineStr"/>
      <c r="L13" s="12" t="inlineStr">
        <is>
          <t>To supply</t>
        </is>
      </c>
      <c r="M13" s="12" t="inlineStr">
        <is>
          <t>Active payees</t>
        </is>
      </c>
      <c r="N13" s="12" t="inlineStr">
        <is>
          <t>None</t>
        </is>
      </c>
      <c r="O13" s="12" t="inlineStr">
        <is>
          <t>CSV</t>
        </is>
      </c>
      <c r="P13" s="12" t="inlineStr">
        <is>
          <t>Row count</t>
        </is>
      </c>
      <c r="Q13" s="12" t="inlineStr">
        <is>
          <t>M3 (29 Jan 2027)</t>
        </is>
      </c>
      <c r="R13" s="12" t="n">
        <v>4</v>
      </c>
      <c r="S13" s="12" t="inlineStr">
        <is>
          <t>DMQ30</t>
        </is>
      </c>
      <c r="T13" s="27" t="inlineStr">
        <is>
          <t>OPEN</t>
        </is>
      </c>
    </row>
    <row r="14">
      <c r="A14" s="12" t="inlineStr">
        <is>
          <t>R10</t>
        </is>
      </c>
      <c r="B14" s="12" t="inlineStr">
        <is>
          <t>Users and roles</t>
        </is>
      </c>
      <c r="C14" s="12" t="inlineStr">
        <is>
          <t>Reference</t>
        </is>
      </c>
      <c r="D14" s="12" t="inlineStr">
        <is>
          <t>EXCLUDED</t>
        </is>
      </c>
      <c r="E14" s="12" t="inlineStr">
        <is>
          <t>Users are created through User Access requests and approvals (BRD-11); legacy user IDs are only mapped (map set USER) so AO, handler and collector fields resolve.</t>
        </is>
      </c>
      <c r="F14" s="12" t="inlineStr">
        <is>
          <t>QPS, EBIX</t>
        </is>
      </c>
      <c r="G14" s="12" t="inlineStr">
        <is>
          <t>-</t>
        </is>
      </c>
      <c r="H14" s="12" t="inlineStr">
        <is>
          <t>None (code map USER only)</t>
        </is>
      </c>
      <c r="I14" s="12" t="inlineStr">
        <is>
          <t>Unit Head, Analytics and Risk Management (User Access)</t>
        </is>
      </c>
      <c r="J14" s="12" t="inlineStr">
        <is>
          <t>IT security administrator</t>
        </is>
      </c>
      <c r="K14" s="12" t="inlineStr"/>
      <c r="L14" s="12" t="inlineStr">
        <is>
          <t>About 1,344 named users (umbrella p.44)</t>
        </is>
      </c>
      <c r="M14" s="12" t="inlineStr">
        <is>
          <t>-</t>
        </is>
      </c>
      <c r="N14" s="12" t="inlineStr">
        <is>
          <t>-</t>
        </is>
      </c>
      <c r="O14" s="12" t="inlineStr">
        <is>
          <t>-</t>
        </is>
      </c>
      <c r="P14" s="12" t="inlineStr">
        <is>
          <t>-</t>
        </is>
      </c>
      <c r="Q14" s="12" t="inlineStr">
        <is>
          <t>M5 (18 Jun 2027) (USER map)</t>
        </is>
      </c>
      <c r="R14" s="12" t="n">
        <v>0</v>
      </c>
      <c r="S14" s="12" t="inlineStr">
        <is>
          <t>DMQ30</t>
        </is>
      </c>
      <c r="T14" s="27" t="inlineStr">
        <is>
          <t>N/A</t>
        </is>
      </c>
    </row>
    <row r="15">
      <c r="A15" s="12" t="inlineStr">
        <is>
          <t>R11</t>
        </is>
      </c>
      <c r="B15" s="12" t="inlineStr">
        <is>
          <t>Receipt series in use (AR and OR, ATP and next number)</t>
        </is>
      </c>
      <c r="C15" s="12" t="inlineStr">
        <is>
          <t>Reference</t>
        </is>
      </c>
      <c r="D15" s="12" t="inlineStr">
        <is>
          <t>CARRY_FORWARD</t>
        </is>
      </c>
      <c r="E15" s="12" t="inlineStr">
        <is>
          <t>Receipts issued in BIBS after go-live must continue the BIR-authorised series without gap or overlap.</t>
        </is>
      </c>
      <c r="F15" s="12" t="inlineStr">
        <is>
          <t>EBIX</t>
        </is>
      </c>
      <c r="G15" s="12" t="inlineStr">
        <is>
          <t>R11</t>
        </is>
      </c>
      <c r="H15" s="12" t="inlineStr">
        <is>
          <t>csh_receipt_series</t>
        </is>
      </c>
      <c r="I15" s="12" t="inlineStr">
        <is>
          <t>Operations - Financial Transactions</t>
        </is>
      </c>
      <c r="J15" s="12" t="inlineStr">
        <is>
          <t>Cashiering data steward (to name)</t>
        </is>
      </c>
      <c r="K15" s="12" t="inlineStr"/>
      <c r="L15" s="12" t="inlineStr">
        <is>
          <t>One per branch and kind</t>
        </is>
      </c>
      <c r="M15" s="12" t="inlineStr">
        <is>
          <t>Series in use at the freeze</t>
        </is>
      </c>
      <c r="N15" s="12" t="inlineStr">
        <is>
          <t>Final values at the freeze (T-3)</t>
        </is>
      </c>
      <c r="O15" s="12" t="inlineStr">
        <is>
          <t>CSV</t>
        </is>
      </c>
      <c r="P15" s="12" t="inlineStr">
        <is>
          <t>Row count</t>
        </is>
      </c>
      <c r="Q15" s="12" t="inlineStr">
        <is>
          <t>M3 (29 Jan 2027); final at T-3</t>
        </is>
      </c>
      <c r="R15" s="12" t="n">
        <v>4</v>
      </c>
      <c r="S15" s="12" t="inlineStr">
        <is>
          <t>DMQ14</t>
        </is>
      </c>
      <c r="T15" s="27" t="inlineStr">
        <is>
          <t>OPEN</t>
        </is>
      </c>
    </row>
    <row r="16">
      <c r="A16" s="12" t="inlineStr">
        <is>
          <t>C01</t>
        </is>
      </c>
      <c r="B16" s="12" t="inlineStr">
        <is>
          <t>Client master (individual and corporate)</t>
        </is>
      </c>
      <c r="C16" s="12" t="inlineStr">
        <is>
          <t>Client</t>
        </is>
      </c>
      <c r="D16" s="12" t="inlineStr">
        <is>
          <t>MIGRATE</t>
        </is>
      </c>
      <c r="E16" s="12" t="inlineStr">
        <is>
          <t>Marketing, Operations and Renewal must find and use clients on Day 1 without re-encoding (BRID 2.1); clients are deduplicated before load. Umbrella BRD p.43 asks for clients "2020 to present" and daily client batches (DCR-173).</t>
        </is>
      </c>
      <c r="F16" s="12" t="inlineStr">
        <is>
          <t>QPS, EBIX, CMS</t>
        </is>
      </c>
      <c r="G16" s="12" t="inlineStr">
        <is>
          <t>C01, C02</t>
        </is>
      </c>
      <c r="H16" s="12" t="inlineStr">
        <is>
          <t>crm_client through ClientOnboardingService.registerMigrated (new)</t>
        </is>
      </c>
      <c r="I16" s="12" t="inlineStr">
        <is>
          <t>Product Owner, MBS; Heads, Retail and Corporate Marketing</t>
        </is>
      </c>
      <c r="J16" s="12" t="inlineStr">
        <is>
          <t>Marketing data steward (to name)</t>
        </is>
      </c>
      <c r="K16" s="12" t="inlineStr"/>
      <c r="L16" s="12" t="inlineStr">
        <is>
          <t>Loaders sized for 1,000,000 rows</t>
        </is>
      </c>
      <c r="M16" s="12" t="inlineStr">
        <is>
          <t>Clients from 2020 to present (umbrella p.43); filter per DMQ05</t>
        </is>
      </c>
      <c r="N16" s="12" t="inlineStr">
        <is>
          <t>Daily new and changed clients from T-14 days until the freeze</t>
        </is>
      </c>
      <c r="O16" s="12" t="inlineStr">
        <is>
          <t>CSV</t>
        </is>
      </c>
      <c r="P16" s="12" t="inlineStr">
        <is>
          <t>Row count; count of distinct legacy_client_no</t>
        </is>
      </c>
      <c r="Q16" s="12" t="inlineStr">
        <is>
          <t>M3 (29 Jan 2027); deltas daily from T-14 days</t>
        </is>
      </c>
      <c r="R16" s="12" t="n">
        <v>5</v>
      </c>
      <c r="S16" s="12" t="inlineStr">
        <is>
          <t>DMQ04, DMQ05, DMQ06, DCR-173</t>
        </is>
      </c>
      <c r="T16" s="27" t="inlineStr">
        <is>
          <t>OPEN</t>
        </is>
      </c>
    </row>
    <row r="17">
      <c r="A17" s="12" t="inlineStr">
        <is>
          <t>C03</t>
        </is>
      </c>
      <c r="B17" s="12" t="inlineStr">
        <is>
          <t>Client payout accounts (for refunds)</t>
        </is>
      </c>
      <c r="C17" s="12" t="inlineStr">
        <is>
          <t>Client</t>
        </is>
      </c>
      <c r="D17" s="12" t="inlineStr">
        <is>
          <t>MIGRATE</t>
        </is>
      </c>
      <c r="E17" s="12" t="inlineStr">
        <is>
          <t>Refunds of legacy UPP (BRID 5.4) need the client's payout account.</t>
        </is>
      </c>
      <c r="F17" s="12" t="inlineStr">
        <is>
          <t>EBIX</t>
        </is>
      </c>
      <c r="G17" s="12" t="inlineStr">
        <is>
          <t>C03</t>
        </is>
      </c>
      <c r="H17" s="12" t="inlineStr">
        <is>
          <t>crm_client_payout_account (ClientPayoutAccounts)</t>
        </is>
      </c>
      <c r="I17" s="12" t="inlineStr">
        <is>
          <t>Product Owner, Comptrollership - Disbursement</t>
        </is>
      </c>
      <c r="J17" s="12" t="inlineStr">
        <is>
          <t>Disbursement data steward (to name)</t>
        </is>
      </c>
      <c r="K17" s="12" t="inlineStr"/>
      <c r="L17" s="12" t="inlineStr">
        <is>
          <t>To supply</t>
        </is>
      </c>
      <c r="M17" s="12" t="inlineStr">
        <is>
          <t>Active accounts</t>
        </is>
      </c>
      <c r="N17" s="12" t="inlineStr">
        <is>
          <t>None</t>
        </is>
      </c>
      <c r="O17" s="12" t="inlineStr">
        <is>
          <t>CSV</t>
        </is>
      </c>
      <c r="P17" s="12" t="inlineStr">
        <is>
          <t>Row count</t>
        </is>
      </c>
      <c r="Q17" s="12" t="inlineStr">
        <is>
          <t>M3 (29 Jan 2027)</t>
        </is>
      </c>
      <c r="R17" s="12" t="n">
        <v>6</v>
      </c>
      <c r="S17" s="12" t="inlineStr">
        <is>
          <t>DMQ17</t>
        </is>
      </c>
      <c r="T17" s="27" t="inlineStr">
        <is>
          <t>OPEN</t>
        </is>
      </c>
    </row>
    <row r="18">
      <c r="A18" s="12" t="inlineStr">
        <is>
          <t>C04</t>
        </is>
      </c>
      <c r="B18" s="12" t="inlineStr">
        <is>
          <t>KYC documents and IDs</t>
        </is>
      </c>
      <c r="C18" s="12" t="inlineStr">
        <is>
          <t>Client</t>
        </is>
      </c>
      <c r="D18" s="12" t="inlineStr">
        <is>
          <t>ARCHIVE</t>
        </is>
      </c>
      <c r="E18" s="12" t="inlineStr">
        <is>
          <t>Documents stay retrievable for audit; BIBS keeps the KYC status and review date on the client (DMQ07 may change this to MIGRATE).</t>
        </is>
      </c>
      <c r="F18" s="12" t="inlineStr">
        <is>
          <t>QPS, file shares</t>
        </is>
      </c>
      <c r="G18" s="12" t="inlineStr">
        <is>
          <t>H02</t>
        </is>
      </c>
      <c r="H18" s="12" t="inlineStr">
        <is>
          <t>BIBS archive (mig_archive_record, attachment LEGACY_DOCUMENT)</t>
        </is>
      </c>
      <c r="I18" s="12" t="inlineStr">
        <is>
          <t>Compliance</t>
        </is>
      </c>
      <c r="J18" s="12" t="inlineStr">
        <is>
          <t>Compliance data steward (to name)</t>
        </is>
      </c>
      <c r="K18" s="12" t="inlineStr"/>
      <c r="L18" s="12" t="inlineStr">
        <is>
          <t>To supply</t>
        </is>
      </c>
      <c r="M18" s="12" t="inlineStr">
        <is>
          <t>Per retention</t>
        </is>
      </c>
      <c r="N18" s="12" t="inlineStr">
        <is>
          <t>None</t>
        </is>
      </c>
      <c r="O18" s="12" t="inlineStr">
        <is>
          <t>CSV index plus files</t>
        </is>
      </c>
      <c r="P18" s="12" t="inlineStr">
        <is>
          <t>Row count; SHA-256 per file</t>
        </is>
      </c>
      <c r="Q18" s="12" t="inlineStr">
        <is>
          <t>Before decommissioning</t>
        </is>
      </c>
      <c r="R18" s="12" t="n">
        <v>16</v>
      </c>
      <c r="S18" s="12" t="inlineStr">
        <is>
          <t>DMQ07, DMQ24</t>
        </is>
      </c>
      <c r="T18" s="27" t="inlineStr">
        <is>
          <t>OPEN</t>
        </is>
      </c>
    </row>
    <row r="19">
      <c r="A19" s="12" t="inlineStr">
        <is>
          <t>C05</t>
        </is>
      </c>
      <c r="B19" s="12" t="inlineStr">
        <is>
          <t>Screening results and risk ratings</t>
        </is>
      </c>
      <c r="C19" s="12" t="inlineStr">
        <is>
          <t>Client</t>
        </is>
      </c>
      <c r="D19" s="12" t="inlineStr">
        <is>
          <t>EXCLUDED</t>
        </is>
      </c>
      <c r="E19" s="12" t="inlineStr">
        <is>
          <t>One full screening run after the client load gives current results (BRD-10); legacy results are archived with the client history.</t>
        </is>
      </c>
      <c r="F19" s="12" t="inlineStr">
        <is>
          <t>Excel, Compliance</t>
        </is>
      </c>
      <c r="G19" s="12" t="inlineStr">
        <is>
          <t>-</t>
        </is>
      </c>
      <c r="H19" s="12" t="inlineStr">
        <is>
          <t>None (SCR_PERIODIC_SCREENING full run after C01)</t>
        </is>
      </c>
      <c r="I19" s="12" t="inlineStr">
        <is>
          <t>Compliance</t>
        </is>
      </c>
      <c r="J19" s="12" t="inlineStr">
        <is>
          <t>-</t>
        </is>
      </c>
      <c r="K19" s="12" t="inlineStr"/>
      <c r="L19" s="12" t="inlineStr">
        <is>
          <t>-</t>
        </is>
      </c>
      <c r="M19" s="12" t="inlineStr">
        <is>
          <t>-</t>
        </is>
      </c>
      <c r="N19" s="12" t="inlineStr">
        <is>
          <t>-</t>
        </is>
      </c>
      <c r="O19" s="12" t="inlineStr">
        <is>
          <t>-</t>
        </is>
      </c>
      <c r="P19" s="12" t="inlineStr">
        <is>
          <t>-</t>
        </is>
      </c>
      <c r="Q19" s="12" t="inlineStr">
        <is>
          <t>-</t>
        </is>
      </c>
      <c r="R19" s="12" t="n">
        <v>0</v>
      </c>
      <c r="S19" s="12" t="inlineStr">
        <is>
          <t>DMQ06</t>
        </is>
      </c>
      <c r="T19" s="27" t="inlineStr">
        <is>
          <t>N/A</t>
        </is>
      </c>
    </row>
    <row r="20">
      <c r="A20" s="12" t="inlineStr">
        <is>
          <t>P01</t>
        </is>
      </c>
      <c r="B20" s="12" t="inlineStr">
        <is>
          <t>In-force policy headers</t>
        </is>
      </c>
      <c r="C20" s="12" t="inlineStr">
        <is>
          <t>Policy</t>
        </is>
      </c>
      <c r="D20" s="12" t="inlineStr">
        <is>
          <t>CONDITIONAL</t>
        </is>
      </c>
      <c r="E20" s="12" t="inlineStr">
        <is>
          <t>Needed to locate active coverage, to endorse legacy invoices (BRID 9) and to renew in BIBS (BRID 12.1); the scope condition is decided by BDOI (DMQ09). Whatever it is, every policy expiring from T to 31-May-2028 and every renewal term booked in legacy that starts on or after T are in scope, because the go-live renewal extraction works only from the headers (DMQ37). The legacy package is kept as given; it is remapped at Renewal sanitation (DMQ36).</t>
        </is>
      </c>
      <c r="F20" s="12" t="inlineStr">
        <is>
          <t>QPS, EBIX</t>
        </is>
      </c>
      <c r="G20" s="12" t="inlineStr">
        <is>
          <t>P01, P01S</t>
        </is>
      </c>
      <c r="H20" s="12" t="inlineStr">
        <is>
          <t>acc_account through AccountService.importLegacy (new)</t>
        </is>
      </c>
      <c r="I20" s="12" t="inlineStr">
        <is>
          <t>Head, Operations</t>
        </is>
      </c>
      <c r="J20" s="12" t="inlineStr">
        <is>
          <t>Operations data steward (to name)</t>
        </is>
      </c>
      <c r="K20" s="12" t="inlineStr"/>
      <c r="L20" s="12" t="inlineStr">
        <is>
          <t>250,000-310,000 renewable accounts a year (umbrella p.44-45)</t>
        </is>
      </c>
      <c r="M20" s="12" t="inlineStr">
        <is>
          <t>Policies in force at T (DMQ09); at least every expiry from T to 31-May-2028 and every booked renewal term starting on or after T</t>
        </is>
      </c>
      <c r="N20" s="12" t="inlineStr">
        <is>
          <t>Single load after the freeze</t>
        </is>
      </c>
      <c r="O20" s="12" t="inlineStr">
        <is>
          <t>CSV</t>
        </is>
      </c>
      <c r="P20" s="12" t="inlineStr">
        <is>
          <t>Row count; sum of sum_insured and gross_premium per currency; count of distinct legacy_policy_ref</t>
        </is>
      </c>
      <c r="Q20" s="12" t="inlineStr">
        <is>
          <t>M3 (29 Jan 2027); final at T-2</t>
        </is>
      </c>
      <c r="R20" s="12" t="n">
        <v>7</v>
      </c>
      <c r="S20" s="12" t="inlineStr">
        <is>
          <t>DMQ09, DMQ22, DMQ36, DMQ37</t>
        </is>
      </c>
      <c r="T20" s="27" t="inlineStr">
        <is>
          <t>OPEN</t>
        </is>
      </c>
    </row>
    <row r="21">
      <c r="A21" s="12" t="inlineStr">
        <is>
          <t>P02</t>
        </is>
      </c>
      <c r="B21" s="12" t="inlineStr">
        <is>
          <t>Expired policies and policy history</t>
        </is>
      </c>
      <c r="C21" s="12" t="inlineStr">
        <is>
          <t>Policy</t>
        </is>
      </c>
      <c r="D21" s="12" t="inlineStr">
        <is>
          <t>ARCHIVE</t>
        </is>
      </c>
      <c r="E21" s="12" t="inlineStr">
        <is>
          <t>History is not converted (BRD p.3); kept for inquiry.</t>
        </is>
      </c>
      <c r="F21" s="12" t="inlineStr">
        <is>
          <t>QPS, EBIX</t>
        </is>
      </c>
      <c r="G21" s="12" t="inlineStr">
        <is>
          <t>H01</t>
        </is>
      </c>
      <c r="H21" s="12" t="inlineStr">
        <is>
          <t>BIBS archive record type POLICY</t>
        </is>
      </c>
      <c r="I21" s="12" t="inlineStr">
        <is>
          <t>Head, Operations</t>
        </is>
      </c>
      <c r="J21" s="12" t="inlineStr">
        <is>
          <t>Operations data steward (to name)</t>
        </is>
      </c>
      <c r="K21" s="12" t="inlineStr"/>
      <c r="L21" s="12" t="inlineStr">
        <is>
          <t>To supply</t>
        </is>
      </c>
      <c r="M21" s="12" t="inlineStr">
        <is>
          <t>Per retention (5 years online, 15 years archive, umbrella p.45)</t>
        </is>
      </c>
      <c r="N21" s="12" t="inlineStr">
        <is>
          <t>None</t>
        </is>
      </c>
      <c r="O21" s="12" t="inlineStr">
        <is>
          <t>CSV</t>
        </is>
      </c>
      <c r="P21" s="12" t="inlineStr">
        <is>
          <t>Row count and hash total per record type</t>
        </is>
      </c>
      <c r="Q21" s="12" t="inlineStr">
        <is>
          <t>Before decommissioning</t>
        </is>
      </c>
      <c r="R21" s="12" t="n">
        <v>16</v>
      </c>
      <c r="S21" s="12" t="inlineStr">
        <is>
          <t>DMQ24</t>
        </is>
      </c>
      <c r="T21" s="27" t="inlineStr">
        <is>
          <t>OPEN</t>
        </is>
      </c>
    </row>
    <row r="22">
      <c r="A22" s="12" t="inlineStr">
        <is>
          <t>P03</t>
        </is>
      </c>
      <c r="B22" s="12" t="inlineStr">
        <is>
          <t>Renewal advices already sent before go-live (RA-sent file)</t>
        </is>
      </c>
      <c r="C22" s="12" t="inlineStr">
        <is>
          <t>Policy</t>
        </is>
      </c>
      <c r="D22" s="12" t="inlineStr">
        <is>
          <t>MIGRATE</t>
        </is>
      </c>
      <c r="E22" s="12" t="inlineStr">
        <is>
          <t>The January-May 2028 expiries are processed in BIBS after go-live from a go-live extraction of the migrated headers (DMQ37, answered 26-Sep-2026); no renewal candidate is carried. The RAs already sent by hand before go-live, kept in the Excel trackers of the Renewal processing team (DMQ38), are loaded as a small reference file so that BIBS does not send them again.</t>
        </is>
      </c>
      <c r="F22" s="12" t="inlineStr">
        <is>
          <t>Excel RA trackers of the Renewal processing team</t>
        </is>
      </c>
      <c r="G22" s="12" t="inlineStr">
        <is>
          <t>P03</t>
        </is>
      </c>
      <c r="H22" s="12" t="inlineStr">
        <is>
          <t>mig_ra_sent, served to Renewal with the header in the go-live extraction (LegacyPolicySource)</t>
        </is>
      </c>
      <c r="I22" s="12" t="inlineStr">
        <is>
          <t>Head of the Renewal processing team</t>
        </is>
      </c>
      <c r="J22" s="12" t="inlineStr">
        <is>
          <t>Renewal processing team - makers (corrections) and checkers (resubmission approval)</t>
        </is>
      </c>
      <c r="K22" s="12" t="inlineStr"/>
      <c r="L22" s="12" t="inlineStr">
        <is>
          <t>Small - at most the January-May 2028 expiries with an RA sent before go-live</t>
        </is>
      </c>
      <c r="M22" s="12" t="inlineStr">
        <is>
          <t>RAs sent before go-live for expiries from T to 31-May-2028</t>
        </is>
      </c>
      <c r="N22" s="12" t="inlineStr">
        <is>
          <t>One file in every trial migration; final file with the RAs sent up to T-5; resubmissions of corrected rows until T-1 12:00</t>
        </is>
      </c>
      <c r="O22" s="12" t="inlineStr">
        <is>
          <t>XLSX template (P03_template.xlsx) or CSV</t>
        </is>
      </c>
      <c r="P22" s="12" t="inlineStr">
        <is>
          <t>Row count; count of distinct legacy_policy_ref; sum of proposed_premium per currency</t>
        </is>
      </c>
      <c r="Q22" s="12" t="inlineStr">
        <is>
          <t>M4 (9 Apr 2027) (Trial migration 1); final at T-5</t>
        </is>
      </c>
      <c r="R22" s="12" t="n">
        <v>13</v>
      </c>
      <c r="S22" s="12" t="inlineStr">
        <is>
          <t>DMQ26, DMQ37, DMQ38</t>
        </is>
      </c>
      <c r="T22" s="27" t="inlineStr">
        <is>
          <t>OPEN</t>
        </is>
      </c>
    </row>
    <row r="23">
      <c r="A23" s="12" t="inlineStr">
        <is>
          <t>P04</t>
        </is>
      </c>
      <c r="B23" s="12" t="inlineStr">
        <is>
          <t>Submitted-policy masterlists</t>
        </is>
      </c>
      <c r="C23" s="12" t="inlineStr">
        <is>
          <t>Policy</t>
        </is>
      </c>
      <c r="D23" s="12" t="inlineStr">
        <is>
          <t>CONDITIONAL</t>
        </is>
      </c>
      <c r="E23" s="12" t="inlineStr">
        <is>
          <t>Loaded through the Submitted Policies migration handler (SBM_MIGRATION) if BDOI confirms (SP SQ16, DMQ30); layout issued with that module.</t>
        </is>
      </c>
      <c r="F23" s="12" t="inlineStr">
        <is>
          <t>Excel</t>
        </is>
      </c>
      <c r="G23" s="12" t="inlineStr">
        <is>
          <t>-</t>
        </is>
      </c>
      <c r="H23" s="12" t="inlineStr">
        <is>
          <t>sbm_policy through SBM_MIGRATION</t>
        </is>
      </c>
      <c r="I23" s="12" t="inlineStr">
        <is>
          <t>CBG and Non-CBG Marketing (Submitted Policies)</t>
        </is>
      </c>
      <c r="J23" s="12" t="inlineStr">
        <is>
          <t>Submitted Policies data steward (to name)</t>
        </is>
      </c>
      <c r="K23" s="12" t="inlineStr"/>
      <c r="L23" s="12" t="inlineStr">
        <is>
          <t>To supply</t>
        </is>
      </c>
      <c r="M23" s="12" t="inlineStr">
        <is>
          <t>All active records</t>
        </is>
      </c>
      <c r="N23" s="12" t="inlineStr">
        <is>
          <t>None</t>
        </is>
      </c>
      <c r="O23" s="12" t="inlineStr">
        <is>
          <t>XLSX</t>
        </is>
      </c>
      <c r="P23" s="12" t="inlineStr">
        <is>
          <t>Row count per segment</t>
        </is>
      </c>
      <c r="Q23" s="12" t="inlineStr">
        <is>
          <t>M3 (29 Jan 2027) if in scope</t>
        </is>
      </c>
      <c r="R23" s="12" t="n">
        <v>14</v>
      </c>
      <c r="S23" s="12" t="inlineStr">
        <is>
          <t>DMQ30</t>
        </is>
      </c>
      <c r="T23" s="27" t="inlineStr">
        <is>
          <t>OPEN</t>
        </is>
      </c>
    </row>
    <row r="24">
      <c r="A24" s="12" t="inlineStr">
        <is>
          <t>P05</t>
        </is>
      </c>
      <c r="B24" s="12" t="inlineStr">
        <is>
          <t>Employee Benefits programmes</t>
        </is>
      </c>
      <c r="C24" s="12" t="inlineStr">
        <is>
          <t>Policy</t>
        </is>
      </c>
      <c r="D24" s="12" t="inlineStr">
        <is>
          <t>CONDITIONAL</t>
        </is>
      </c>
      <c r="E24" s="12" t="inlineStr">
        <is>
          <t>Loaded through EB_PROGRAMME_LOAD if BDOI confirms (DMQ30); layout issued with the EB module.</t>
        </is>
      </c>
      <c r="F24" s="12" t="inlineStr">
        <is>
          <t>EBIX</t>
        </is>
      </c>
      <c r="G24" s="12" t="inlineStr">
        <is>
          <t>-</t>
        </is>
      </c>
      <c r="H24" s="12" t="inlineStr">
        <is>
          <t>EB programme tables through EB_PROGRAMME_LOAD</t>
        </is>
      </c>
      <c r="I24" s="12" t="inlineStr">
        <is>
          <t>Head, Employee Benefits</t>
        </is>
      </c>
      <c r="J24" s="12" t="inlineStr">
        <is>
          <t>EB data steward (to name)</t>
        </is>
      </c>
      <c r="K24" s="12" t="inlineStr"/>
      <c r="L24" s="12" t="inlineStr">
        <is>
          <t>To supply</t>
        </is>
      </c>
      <c r="M24" s="12" t="inlineStr">
        <is>
          <t>Active programmes</t>
        </is>
      </c>
      <c r="N24" s="12" t="inlineStr">
        <is>
          <t>None</t>
        </is>
      </c>
      <c r="O24" s="12" t="inlineStr">
        <is>
          <t>XLSX</t>
        </is>
      </c>
      <c r="P24" s="12" t="inlineStr">
        <is>
          <t>Row count</t>
        </is>
      </c>
      <c r="Q24" s="12" t="inlineStr">
        <is>
          <t>M3 (29 Jan 2027) if in scope</t>
        </is>
      </c>
      <c r="R24" s="12" t="n">
        <v>14</v>
      </c>
      <c r="S24" s="12" t="inlineStr">
        <is>
          <t>DMQ30</t>
        </is>
      </c>
      <c r="T24" s="27" t="inlineStr">
        <is>
          <t>OPEN</t>
        </is>
      </c>
    </row>
    <row r="25">
      <c r="A25" s="12" t="inlineStr">
        <is>
          <t>F01</t>
        </is>
      </c>
      <c r="B25" s="12" t="inlineStr">
        <is>
          <t>Open legacy invoices (premium receivable, paid not remitted, commission receivable, PR2307), with components and insurer shares</t>
        </is>
      </c>
      <c r="C25" s="12" t="inlineStr">
        <is>
          <t>Open item</t>
        </is>
      </c>
      <c r="D25" s="12" t="inlineStr">
        <is>
          <t>CARRY_FORWARD</t>
        </is>
      </c>
      <c r="E25" s="12" t="inlineStr">
        <is>
          <t>Receivables and payables open at cutover must be collected, remitted, reversed and endorsed in BIBS (BRID 5.1-10.1).</t>
        </is>
      </c>
      <c r="F25" s="12" t="inlineStr">
        <is>
          <t>EBIX, QPS</t>
        </is>
      </c>
      <c r="G25" s="12" t="inlineStr">
        <is>
          <t>F01, F01S, F01C</t>
        </is>
      </c>
      <c r="H25" s="12" t="inlineStr">
        <is>
          <t>ops_invoice, ops_invoice_share, ops_invoice_component through LegacyInvoiceIntake (new); opening entry MIG_LEGACY_INVOICE_OPENING</t>
        </is>
      </c>
      <c r="I25" s="12" t="inlineStr">
        <is>
          <t>Operations - Financial Transactions; Head, Comptrollership</t>
        </is>
      </c>
      <c r="J25" s="12" t="inlineStr">
        <is>
          <t>Operations data steward (to name)</t>
        </is>
      </c>
      <c r="K25" s="12" t="inlineStr"/>
      <c r="L25" s="12" t="inlineStr">
        <is>
          <t>Loaders sized for 500,000 rows</t>
        </is>
      </c>
      <c r="M25" s="12" t="inlineStr">
        <is>
          <t>Every invoice with any open component at T (DMQ10)</t>
        </is>
      </c>
      <c r="N25" s="12" t="inlineStr">
        <is>
          <t>Single load after the freeze</t>
        </is>
      </c>
      <c r="O25" s="12" t="inlineStr">
        <is>
          <t>CSV with control file</t>
        </is>
      </c>
      <c r="P25" s="12" t="inlineStr">
        <is>
          <t>Row count per file; sums per component, bucket and currency; count of distinct legacy_invoice_no</t>
        </is>
      </c>
      <c r="Q25" s="12" t="inlineStr">
        <is>
          <t>M3 (29 Jan 2027); final at T-2</t>
        </is>
      </c>
      <c r="R25" s="12" t="n">
        <v>8</v>
      </c>
      <c r="S25" s="12" t="inlineStr">
        <is>
          <t>DMQ10, DMQ11, DMQ12, DMQ13, DMQ35</t>
        </is>
      </c>
      <c r="T25" s="27" t="inlineStr">
        <is>
          <t>OPEN</t>
        </is>
      </c>
    </row>
    <row r="26">
      <c r="A26" s="12" t="inlineStr">
        <is>
          <t>F02</t>
        </is>
      </c>
      <c r="B26" s="12" t="inlineStr">
        <is>
          <t>Unapplied premium payments (UPP) with disposition in progress</t>
        </is>
      </c>
      <c r="C26" s="12" t="inlineStr">
        <is>
          <t>Open item</t>
        </is>
      </c>
      <c r="D26" s="12" t="inlineStr">
        <is>
          <t>CARRY_FORWARD</t>
        </is>
      </c>
      <c r="E26" s="12" t="inlineStr">
        <is>
          <t>Unapplied cash must not be lost after cutover (BRID 5.1); it is applied, refunded or reclassified in BIBS.</t>
        </is>
      </c>
      <c r="F26" s="12" t="inlineStr">
        <is>
          <t>EBIX, CMS</t>
        </is>
      </c>
      <c r="G26" s="12" t="inlineStr">
        <is>
          <t>F02</t>
        </is>
      </c>
      <c r="H26" s="12" t="inlineStr">
        <is>
          <t>csh_unapplied through UnappliedService.createMigrated (new); opening entry MIG_UPP_OPENING</t>
        </is>
      </c>
      <c r="I26" s="12" t="inlineStr">
        <is>
          <t>Operations - Financial Transactions</t>
        </is>
      </c>
      <c r="J26" s="12" t="inlineStr">
        <is>
          <t>Cashiering data steward (to name)</t>
        </is>
      </c>
      <c r="K26" s="12" t="inlineStr"/>
      <c r="L26" s="12" t="inlineStr">
        <is>
          <t>To supply</t>
        </is>
      </c>
      <c r="M26" s="12" t="inlineStr">
        <is>
          <t>Every UPP item with a balance at T</t>
        </is>
      </c>
      <c r="N26" s="12" t="inlineStr">
        <is>
          <t>Single load after the freeze</t>
        </is>
      </c>
      <c r="O26" s="12" t="inlineStr">
        <is>
          <t>CSV with control file</t>
        </is>
      </c>
      <c r="P26" s="12" t="inlineStr">
        <is>
          <t>Row count; sums of amount and balance per currency; count of distinct legacy_upp_ref</t>
        </is>
      </c>
      <c r="Q26" s="12" t="inlineStr">
        <is>
          <t>M3 (29 Jan 2027); final at T-2</t>
        </is>
      </c>
      <c r="R26" s="12" t="n">
        <v>9</v>
      </c>
      <c r="S26" s="12" t="inlineStr">
        <is>
          <t>DMQ14, DMQ15, DMQ16</t>
        </is>
      </c>
      <c r="T26" s="27" t="inlineStr">
        <is>
          <t>OPEN</t>
        </is>
      </c>
    </row>
    <row r="27">
      <c r="A27" s="12" t="inlineStr">
        <is>
          <t>F03</t>
        </is>
      </c>
      <c r="B27" s="12" t="inlineStr">
        <is>
          <t>Open collection state (dispositions, promises to pay, installment plans, collector assignments)</t>
        </is>
      </c>
      <c r="C27" s="12" t="inlineStr">
        <is>
          <t>Open item</t>
        </is>
      </c>
      <c r="D27" s="12" t="inlineStr">
        <is>
          <t>CARRY_FORWARD</t>
        </is>
      </c>
      <c r="E27" s="12" t="inlineStr">
        <is>
          <t>Collectors continue their follow-up without re-keying (CQ07); only the open state is carried, history is archived (DMQ34).</t>
        </is>
      </c>
      <c r="F27" s="12" t="inlineStr">
        <is>
          <t>CMS</t>
        </is>
      </c>
      <c r="G27" s="12" t="inlineStr">
        <is>
          <t>F03</t>
        </is>
      </c>
      <c r="H27" s="12" t="inlineStr">
        <is>
          <t>Collections legacy state (CLX_LEGACY_ITEMS, LegacyItemStateService, new)</t>
        </is>
      </c>
      <c r="I27" s="12" t="inlineStr">
        <is>
          <t>Head, Operations (Collections)</t>
        </is>
      </c>
      <c r="J27" s="12" t="inlineStr">
        <is>
          <t>Collections data steward (to name)</t>
        </is>
      </c>
      <c r="K27" s="12" t="inlineStr"/>
      <c r="L27" s="12" t="inlineStr">
        <is>
          <t>1,200 dispositions a day (umbrella p.42)</t>
        </is>
      </c>
      <c r="M27" s="12" t="inlineStr">
        <is>
          <t>Open items only</t>
        </is>
      </c>
      <c r="N27" s="12" t="inlineStr">
        <is>
          <t>Single load after the freeze</t>
        </is>
      </c>
      <c r="O27" s="12" t="inlineStr">
        <is>
          <t>CSV</t>
        </is>
      </c>
      <c r="P27" s="12" t="inlineStr">
        <is>
          <t>Row count; sum of promise_amount per currency</t>
        </is>
      </c>
      <c r="Q27" s="12" t="inlineStr">
        <is>
          <t>M3 (29 Jan 2027); final at T-2</t>
        </is>
      </c>
      <c r="R27" s="12" t="n">
        <v>10</v>
      </c>
      <c r="S27" s="12" t="inlineStr">
        <is>
          <t>DMQ34</t>
        </is>
      </c>
      <c r="T27" s="27" t="inlineStr">
        <is>
          <t>OPEN</t>
        </is>
      </c>
    </row>
    <row r="28">
      <c r="A28" s="12" t="inlineStr">
        <is>
          <t>F04</t>
        </is>
      </c>
      <c r="B28" s="12" t="inlineStr">
        <is>
          <t>Remittance in flight (batches not yet paid, holds, special remittances)</t>
        </is>
      </c>
      <c r="C28" s="12" t="inlineStr">
        <is>
          <t>Open item</t>
        </is>
      </c>
      <c r="D28" s="12" t="inlineStr">
        <is>
          <t>CONDITIONAL</t>
        </is>
      </c>
      <c r="E28" s="12" t="inlineStr">
        <is>
          <t>Proposal - complete legacy batches before the freeze; carry only holds and special remittances that cannot complete (DMQ21).</t>
        </is>
      </c>
      <c r="F28" s="12" t="inlineStr">
        <is>
          <t>EBIX</t>
        </is>
      </c>
      <c r="G28" s="12" t="inlineStr">
        <is>
          <t>F04</t>
        </is>
      </c>
      <c r="H28" s="12" t="inlineStr">
        <is>
          <t>rem_hold_request, rem_special_request (remittance services)</t>
        </is>
      </c>
      <c r="I28" s="12" t="inlineStr">
        <is>
          <t>Operations - Remittance</t>
        </is>
      </c>
      <c r="J28" s="12" t="inlineStr">
        <is>
          <t>Remittance data steward (to name)</t>
        </is>
      </c>
      <c r="K28" s="12" t="inlineStr"/>
      <c r="L28" s="12" t="inlineStr">
        <is>
          <t>To supply</t>
        </is>
      </c>
      <c r="M28" s="12" t="inlineStr">
        <is>
          <t>Open at T</t>
        </is>
      </c>
      <c r="N28" s="12" t="inlineStr">
        <is>
          <t>Single load after the freeze</t>
        </is>
      </c>
      <c r="O28" s="12" t="inlineStr">
        <is>
          <t>CSV</t>
        </is>
      </c>
      <c r="P28" s="12" t="inlineStr">
        <is>
          <t>Row count; sum of amount per currency</t>
        </is>
      </c>
      <c r="Q28" s="12" t="inlineStr">
        <is>
          <t>M3 (29 Jan 2027); final at T-2</t>
        </is>
      </c>
      <c r="R28" s="12" t="n">
        <v>11</v>
      </c>
      <c r="S28" s="12" t="inlineStr">
        <is>
          <t>DMQ21</t>
        </is>
      </c>
      <c r="T28" s="27" t="inlineStr">
        <is>
          <t>OPEN</t>
        </is>
      </c>
    </row>
    <row r="29">
      <c r="A29" s="12" t="inlineStr">
        <is>
          <t>F05</t>
        </is>
      </c>
      <c r="B29" s="12" t="inlineStr">
        <is>
          <t>DP billing in process and DP commission receivable</t>
        </is>
      </c>
      <c r="C29" s="12" t="inlineStr">
        <is>
          <t>Open item</t>
        </is>
      </c>
      <c r="D29" s="12" t="inlineStr">
        <is>
          <t>CARRY_FORWARD</t>
        </is>
      </c>
      <c r="E29" s="12" t="inlineStr">
        <is>
          <t>Carried inside F01 (dp_flag and the COMMISSION components of direct-payment invoices); no separate file.</t>
        </is>
      </c>
      <c r="F29" s="12" t="inlineStr">
        <is>
          <t>EBIX, Operations files</t>
        </is>
      </c>
      <c r="G29" s="12" t="inlineStr">
        <is>
          <t>-</t>
        </is>
      </c>
      <c r="H29" s="12" t="inlineStr">
        <is>
          <t>Part of F01; commission DP list service</t>
        </is>
      </c>
      <c r="I29" s="12" t="inlineStr">
        <is>
          <t>Operations - Financial Transactions</t>
        </is>
      </c>
      <c r="J29" s="12" t="inlineStr">
        <is>
          <t>Operations data steward (to name)</t>
        </is>
      </c>
      <c r="K29" s="12" t="inlineStr"/>
      <c r="L29" s="12" t="inlineStr">
        <is>
          <t>-</t>
        </is>
      </c>
      <c r="M29" s="12" t="inlineStr">
        <is>
          <t>Open at T</t>
        </is>
      </c>
      <c r="N29" s="12" t="inlineStr">
        <is>
          <t>-</t>
        </is>
      </c>
      <c r="O29" s="12" t="inlineStr">
        <is>
          <t>In F01</t>
        </is>
      </c>
      <c r="P29" s="12" t="inlineStr">
        <is>
          <t>In F01</t>
        </is>
      </c>
      <c r="Q29" s="12" t="inlineStr">
        <is>
          <t>With F01</t>
        </is>
      </c>
      <c r="R29" s="12" t="n">
        <v>8</v>
      </c>
      <c r="S29" s="12" t="inlineStr">
        <is>
          <t>DMQ19</t>
        </is>
      </c>
      <c r="T29" s="27" t="inlineStr">
        <is>
          <t>OPEN</t>
        </is>
      </c>
    </row>
    <row r="30">
      <c r="A30" s="12" t="inlineStr">
        <is>
          <t>F06</t>
        </is>
      </c>
      <c r="B30" s="12" t="inlineStr">
        <is>
          <t>PDCs in the warehouse, check pick-ups and refunds in process</t>
        </is>
      </c>
      <c r="C30" s="12" t="inlineStr">
        <is>
          <t>Open item</t>
        </is>
      </c>
      <c r="D30" s="12" t="inlineStr">
        <is>
          <t>CONDITIONAL</t>
        </is>
      </c>
      <c r="E30" s="12" t="inlineStr">
        <is>
          <t>Proposal - carry PDCs in the warehouse; complete pick-ups and refunds in legacy before the freeze where possible (DMQ33).</t>
        </is>
      </c>
      <c r="F30" s="12" t="inlineStr">
        <is>
          <t>EBIX</t>
        </is>
      </c>
      <c r="G30" s="12" t="inlineStr">
        <is>
          <t>F06</t>
        </is>
      </c>
      <c r="H30" s="12" t="inlineStr">
        <is>
          <t>csh_pdc_item and the cashiering pick-up service</t>
        </is>
      </c>
      <c r="I30" s="12" t="inlineStr">
        <is>
          <t>Operations - Cashiering</t>
        </is>
      </c>
      <c r="J30" s="12" t="inlineStr">
        <is>
          <t>Cashiering data steward (to name)</t>
        </is>
      </c>
      <c r="K30" s="12" t="inlineStr"/>
      <c r="L30" s="12" t="inlineStr">
        <is>
          <t>To supply</t>
        </is>
      </c>
      <c r="M30" s="12" t="inlineStr">
        <is>
          <t>Open at T</t>
        </is>
      </c>
      <c r="N30" s="12" t="inlineStr">
        <is>
          <t>Single load after the freeze</t>
        </is>
      </c>
      <c r="O30" s="12" t="inlineStr">
        <is>
          <t>CSV</t>
        </is>
      </c>
      <c r="P30" s="12" t="inlineStr">
        <is>
          <t>Row count; sum of amount per currency and record type</t>
        </is>
      </c>
      <c r="Q30" s="12" t="inlineStr">
        <is>
          <t>M3 (29 Jan 2027); final at T-2</t>
        </is>
      </c>
      <c r="R30" s="12" t="n">
        <v>11</v>
      </c>
      <c r="S30" s="12" t="inlineStr">
        <is>
          <t>DMQ33</t>
        </is>
      </c>
      <c r="T30" s="27" t="inlineStr">
        <is>
          <t>OPEN</t>
        </is>
      </c>
    </row>
    <row r="31">
      <c r="A31" s="12" t="inlineStr">
        <is>
          <t>F07</t>
        </is>
      </c>
      <c r="B31" s="12" t="inlineStr">
        <is>
          <t>Open claims</t>
        </is>
      </c>
      <c r="C31" s="12" t="inlineStr">
        <is>
          <t>Open item</t>
        </is>
      </c>
      <c r="D31" s="12" t="inlineStr">
        <is>
          <t>CONDITIONAL</t>
        </is>
      </c>
      <c r="E31" s="12" t="inlineStr">
        <is>
          <t>Loaded through the Claims migration (BCL_CLAIM_MIGRATION, V1025 held) if BDOI decides (CLQ14, DMQ30); closed claims are archived.</t>
        </is>
      </c>
      <c r="F31" s="12" t="inlineStr">
        <is>
          <t>EBIX, ISYS</t>
        </is>
      </c>
      <c r="G31" s="12" t="inlineStr">
        <is>
          <t>-</t>
        </is>
      </c>
      <c r="H31" s="12" t="inlineStr">
        <is>
          <t>bcl_claim through BCL_CLAIM_MIGRATION</t>
        </is>
      </c>
      <c r="I31" s="12" t="inlineStr">
        <is>
          <t>Unit Head, Claims, RI and TU</t>
        </is>
      </c>
      <c r="J31" s="12" t="inlineStr">
        <is>
          <t>Claims data steward (to name)</t>
        </is>
      </c>
      <c r="K31" s="12" t="inlineStr"/>
      <c r="L31" s="12" t="inlineStr">
        <is>
          <t>55 new claims a day (umbrella p.42)</t>
        </is>
      </c>
      <c r="M31" s="12" t="inlineStr">
        <is>
          <t>Open at T</t>
        </is>
      </c>
      <c r="N31" s="12" t="inlineStr">
        <is>
          <t>Single load after the freeze</t>
        </is>
      </c>
      <c r="O31" s="12" t="inlineStr">
        <is>
          <t>CSV</t>
        </is>
      </c>
      <c r="P31" s="12" t="inlineStr">
        <is>
          <t>Row count; sum of reserve and claimed amounts per currency</t>
        </is>
      </c>
      <c r="Q31" s="12" t="inlineStr">
        <is>
          <t>M3 (29 Jan 2027) if in scope</t>
        </is>
      </c>
      <c r="R31" s="12" t="n">
        <v>14</v>
      </c>
      <c r="S31" s="12" t="inlineStr">
        <is>
          <t>DMQ30</t>
        </is>
      </c>
      <c r="T31" s="27" t="inlineStr">
        <is>
          <t>OPEN</t>
        </is>
      </c>
    </row>
    <row r="32">
      <c r="A32" s="12" t="inlineStr">
        <is>
          <t>G01</t>
        </is>
      </c>
      <c r="B32" s="12" t="inlineStr">
        <is>
          <t>GL trial balance per account, branch and currency (provisional opening; legacy TB at each true-up)</t>
        </is>
      </c>
      <c r="C32" s="12" t="inlineStr">
        <is>
          <t>GL</t>
        </is>
      </c>
      <c r="D32" s="12" t="inlineStr">
        <is>
          <t>MIGRATE</t>
        </is>
      </c>
      <c r="E32" s="12" t="inlineStr">
        <is>
          <t>At the year-end go-live (DMQ39, option A recommended) the BIBS GL opens from the preliminary December 2027 TB - balance-sheet accounts only, the FY2027 net result to retained earnings, legacy control-account lines to Migration Clearing, which the F01 and F02 opening entries clear to 0.00. The opening is provisional; at each true-up the legacy TB after the adjustments is sent again as reconciliation input (G03).</t>
        </is>
      </c>
      <c r="F32" s="12" t="inlineStr">
        <is>
          <t>EBIX GL, ISYS GL</t>
        </is>
      </c>
      <c r="G32" s="12" t="inlineStr">
        <is>
          <t>G01</t>
        </is>
      </c>
      <c r="H32" s="12" t="inlineStr">
        <is>
          <t>jnl_batch, jnl_line (SystemJournalService, journal type OPENING, value date 1-Jan-2028); at a true-up, reconciliation input only</t>
        </is>
      </c>
      <c r="I32" s="12" t="inlineStr">
        <is>
          <t>Head, Comptrollership</t>
        </is>
      </c>
      <c r="J32" s="12" t="inlineStr">
        <is>
          <t>Comptrollership data steward (to name)</t>
        </is>
      </c>
      <c r="K32" s="12" t="inlineStr"/>
      <c r="L32" s="12" t="inlineStr">
        <is>
          <t>A few thousand lines</t>
        </is>
      </c>
      <c r="M32" s="12" t="inlineStr">
        <is>
          <t>Preliminary December 2027 TB after the last legacy EOD; the legacy TB at each true-up</t>
        </is>
      </c>
      <c r="N32" s="12" t="inlineStr">
        <is>
          <t>Single load after the freeze; one TB per true-up (about 18-Jan-2028 and after the audited FS)</t>
        </is>
      </c>
      <c r="O32" s="12" t="inlineStr">
        <is>
          <t>XLSX or CSV with control file</t>
        </is>
      </c>
      <c r="P32" s="12" t="inlineStr">
        <is>
          <t>Row count; total debit and total credit per branch and currency (must be equal)</t>
        </is>
      </c>
      <c r="Q32" s="12" t="inlineStr">
        <is>
          <t>M3 (29 Jan 2027); final at T-2; at each true-up</t>
        </is>
      </c>
      <c r="R32" s="12" t="n">
        <v>12</v>
      </c>
      <c r="S32" s="12" t="inlineStr">
        <is>
          <t>DMQ18, DMQ25, DMQ35, DMQ39</t>
        </is>
      </c>
      <c r="T32" s="27" t="inlineStr">
        <is>
          <t>OPEN</t>
        </is>
      </c>
    </row>
    <row r="33">
      <c r="A33" s="12" t="inlineStr">
        <is>
          <t>G02</t>
        </is>
      </c>
      <c r="B33" s="12" t="inlineStr">
        <is>
          <t>GL history (journals and balances before cutover)</t>
        </is>
      </c>
      <c r="C33" s="12" t="inlineStr">
        <is>
          <t>History</t>
        </is>
      </c>
      <c r="D33" s="12" t="inlineStr">
        <is>
          <t>ARCHIVE</t>
        </is>
      </c>
      <c r="E33" s="12" t="inlineStr">
        <is>
          <t>Kept for audit; BIBS starts from the opening trial balance.</t>
        </is>
      </c>
      <c r="F33" s="12" t="inlineStr">
        <is>
          <t>EBIX GL, ISYS GL</t>
        </is>
      </c>
      <c r="G33" s="12" t="inlineStr">
        <is>
          <t>H01</t>
        </is>
      </c>
      <c r="H33" s="12" t="inlineStr">
        <is>
          <t>BIBS archive record type GL_JOURNAL</t>
        </is>
      </c>
      <c r="I33" s="12" t="inlineStr">
        <is>
          <t>Head, Comptrollership</t>
        </is>
      </c>
      <c r="J33" s="12" t="inlineStr">
        <is>
          <t>Comptrollership data steward (to name)</t>
        </is>
      </c>
      <c r="K33" s="12" t="inlineStr"/>
      <c r="L33" s="12" t="inlineStr">
        <is>
          <t>To supply</t>
        </is>
      </c>
      <c r="M33" s="12" t="inlineStr">
        <is>
          <t>Per retention</t>
        </is>
      </c>
      <c r="N33" s="12" t="inlineStr">
        <is>
          <t>None</t>
        </is>
      </c>
      <c r="O33" s="12" t="inlineStr">
        <is>
          <t>CSV</t>
        </is>
      </c>
      <c r="P33" s="12" t="inlineStr">
        <is>
          <t>Row count and debit / credit totals per period</t>
        </is>
      </c>
      <c r="Q33" s="12" t="inlineStr">
        <is>
          <t>Before decommissioning</t>
        </is>
      </c>
      <c r="R33" s="12" t="n">
        <v>16</v>
      </c>
      <c r="S33" s="12" t="inlineStr">
        <is>
          <t>DMQ24</t>
        </is>
      </c>
      <c r="T33" s="27" t="inlineStr">
        <is>
          <t>OPEN</t>
        </is>
      </c>
    </row>
    <row r="34">
      <c r="A34" s="12" t="inlineStr">
        <is>
          <t>G03</t>
        </is>
      </c>
      <c r="B34" s="12" t="inlineStr">
        <is>
          <t>FY2027 opening-balance true-ups (legacy adjustment journals after the freeze and their open-item detail)</t>
        </is>
      </c>
      <c r="C34" s="12" t="inlineStr">
        <is>
          <t>GL</t>
        </is>
      </c>
      <c r="D34" s="12" t="inlineStr">
        <is>
          <t>MIGRATE</t>
        </is>
      </c>
      <c r="E34" s="12" t="inlineStr">
        <is>
          <t>The legacy GL stays open after the freeze only for the FY2027 closing and audit adjustments of Comptrollership (DMQ39). Each adjustment reaches BIBS as a controlled opening-balance adjustment journal in the opening period - after the legacy year-end close and after the audited FS - with approvals, cut-off controls and a reconciliation to the legacy TB.</t>
        </is>
      </c>
      <c r="F34" s="12" t="inlineStr">
        <is>
          <t>EBIX GL, ISYS GL; FY2027 adjustment register of Comptrollership</t>
        </is>
      </c>
      <c r="G34" s="12" t="inlineStr">
        <is>
          <t>G03, G03D</t>
        </is>
      </c>
      <c r="H34" s="12" t="inlineStr">
        <is>
          <t>jnl_batch, jnl_line (journal type OPENING, reference MIG-TU-&lt;n&gt;); legacy open items through LegacyInvoiceIntake.adjustOpening and UnappliedService.adjustMigratedOpening (new)</t>
        </is>
      </c>
      <c r="I34" s="12" t="inlineStr">
        <is>
          <t>Head, Comptrollership</t>
        </is>
      </c>
      <c r="J34" s="12" t="inlineStr">
        <is>
          <t>Comptrollership GL lead (prepares each true-up)</t>
        </is>
      </c>
      <c r="K34" s="12" t="inlineStr"/>
      <c r="L34" s="12" t="inlineStr">
        <is>
          <t>Tens to a few hundred journal lines per true-up</t>
        </is>
      </c>
      <c r="M34" s="12" t="inlineStr">
        <is>
          <t>Legacy journals posted after the freeze, dated in FY2027</t>
        </is>
      </c>
      <c r="N34" s="12" t="inlineStr">
        <is>
          <t>One set per true-up (true-up 1 about 18-Jan-2028; final after the audited FS, about March-April 2028)</t>
        </is>
      </c>
      <c r="O34" s="12" t="inlineStr">
        <is>
          <t>XLSX or CSV with control file</t>
        </is>
      </c>
      <c r="P34" s="12" t="inlineStr">
        <is>
          <t>Row count; debit and credit totals per branch and currency; count of distinct legacy_journal_no</t>
        </is>
      </c>
      <c r="Q34" s="12" t="inlineStr">
        <is>
          <t>T+16 (true-up 1); T+92 (final)</t>
        </is>
      </c>
      <c r="R34" s="12" t="n">
        <v>17</v>
      </c>
      <c r="S34" s="12" t="inlineStr">
        <is>
          <t>DMQ18, DMQ39</t>
        </is>
      </c>
      <c r="T34" s="27" t="inlineStr">
        <is>
          <t>OPEN</t>
        </is>
      </c>
    </row>
    <row r="35">
      <c r="A35" s="12" t="inlineStr">
        <is>
          <t>H01</t>
        </is>
      </c>
      <c r="B35" s="12" t="inlineStr">
        <is>
          <t>Closed transactions (paid and remitted invoices, receipts, remittances, endorsements, claims, renewal advices, letters)</t>
        </is>
      </c>
      <c r="C35" s="12" t="inlineStr">
        <is>
          <t>History</t>
        </is>
      </c>
      <c r="D35" s="12" t="inlineStr">
        <is>
          <t>ARCHIVE</t>
        </is>
      </c>
      <c r="E35" s="12" t="inlineStr">
        <is>
          <t>History stays in read-only legacy or the BIBS archive with logged access (BRID 11.1).</t>
        </is>
      </c>
      <c r="F35" s="12" t="inlineStr">
        <is>
          <t>EBIX, QPS, ISYS</t>
        </is>
      </c>
      <c r="G35" s="12" t="inlineStr">
        <is>
          <t>H01</t>
        </is>
      </c>
      <c r="H35" s="12" t="inlineStr">
        <is>
          <t>mig_archive_record (Legacy Inquiry)</t>
        </is>
      </c>
      <c r="I35" s="12" t="inlineStr">
        <is>
          <t>Audit / Compliance; legacy system owners</t>
        </is>
      </c>
      <c r="J35" s="12" t="inlineStr">
        <is>
          <t>Compliance data steward (to name)</t>
        </is>
      </c>
      <c r="K35" s="12" t="inlineStr"/>
      <c r="L35" s="12" t="inlineStr">
        <is>
          <t>To supply</t>
        </is>
      </c>
      <c r="M35" s="12" t="inlineStr">
        <is>
          <t>Per retention (5 years online, 15 years archive, umbrella p.45)</t>
        </is>
      </c>
      <c r="N35" s="12" t="inlineStr">
        <is>
          <t>None</t>
        </is>
      </c>
      <c r="O35" s="12" t="inlineStr">
        <is>
          <t>CSV</t>
        </is>
      </c>
      <c r="P35" s="12" t="inlineStr">
        <is>
          <t>Row count, amount totals and hash total per record type</t>
        </is>
      </c>
      <c r="Q35" s="12" t="inlineStr">
        <is>
          <t>Before decommissioning</t>
        </is>
      </c>
      <c r="R35" s="12" t="n">
        <v>16</v>
      </c>
      <c r="S35" s="12" t="inlineStr">
        <is>
          <t>DMQ24, DMQ27</t>
        </is>
      </c>
      <c r="T35" s="27" t="inlineStr">
        <is>
          <t>OPEN</t>
        </is>
      </c>
    </row>
    <row r="36">
      <c r="A36" s="12" t="inlineStr">
        <is>
          <t>H02</t>
        </is>
      </c>
      <c r="B36" s="12" t="inlineStr">
        <is>
          <t>Legacy documents (policies, SOAs, ORs, certificates, letters)</t>
        </is>
      </c>
      <c r="C36" s="12" t="inlineStr">
        <is>
          <t>History</t>
        </is>
      </c>
      <c r="D36" s="12" t="inlineStr">
        <is>
          <t>ARCHIVE</t>
        </is>
      </c>
      <c r="E36" s="12" t="inlineStr">
        <is>
          <t>Documents are kept with their archive record and a checksum.</t>
        </is>
      </c>
      <c r="F36" s="12" t="inlineStr">
        <is>
          <t>File shares, EBIX</t>
        </is>
      </c>
      <c r="G36" s="12" t="inlineStr">
        <is>
          <t>H02</t>
        </is>
      </c>
      <c r="H36" s="12" t="inlineStr">
        <is>
          <t>attachment (type LEGACY_DOCUMENT) linked to mig_archive_record</t>
        </is>
      </c>
      <c r="I36" s="12" t="inlineStr">
        <is>
          <t>Audit / Compliance</t>
        </is>
      </c>
      <c r="J36" s="12" t="inlineStr">
        <is>
          <t>Compliance data steward (to name)</t>
        </is>
      </c>
      <c r="K36" s="12" t="inlineStr"/>
      <c r="L36" s="12" t="inlineStr">
        <is>
          <t>To supply</t>
        </is>
      </c>
      <c r="M36" s="12" t="inlineStr">
        <is>
          <t>Per retention</t>
        </is>
      </c>
      <c r="N36" s="12" t="inlineStr">
        <is>
          <t>None</t>
        </is>
      </c>
      <c r="O36" s="12" t="inlineStr">
        <is>
          <t>CSV index plus files</t>
        </is>
      </c>
      <c r="P36" s="12" t="inlineStr">
        <is>
          <t>Row count; SHA-256 per file</t>
        </is>
      </c>
      <c r="Q36" s="12" t="inlineStr">
        <is>
          <t>Before decommissioning</t>
        </is>
      </c>
      <c r="R36" s="12" t="n">
        <v>16</v>
      </c>
      <c r="S36" s="12" t="inlineStr">
        <is>
          <t>DMQ24</t>
        </is>
      </c>
      <c r="T36" s="27" t="inlineStr">
        <is>
          <t>OPEN</t>
        </is>
      </c>
    </row>
  </sheetData>
  <autoFilter ref="A4:T36"/>
  <mergeCells count="1">
    <mergeCell ref="A2:T2"/>
  </mergeCells>
  <conditionalFormatting sqref="T5:T536">
    <cfRule type="cellIs" priority="1" operator="equal" dxfId="0" stopIfTrue="1">
      <formula>"OPEN"</formula>
    </cfRule>
    <cfRule type="cellIs" priority="2" operator="equal" dxfId="0" stopIfTrue="1">
      <formula>"IN PROGRESS"</formula>
    </cfRule>
    <cfRule type="cellIs" priority="3" operator="equal" dxfId="1" stopIfTrue="1">
      <formula>"DONE"</formula>
    </cfRule>
    <cfRule type="cellIs" priority="4" operator="equal" dxfId="2" stopIfTrue="1">
      <formula>"N/A"</formula>
    </cfRule>
  </conditionalFormatting>
  <conditionalFormatting sqref="A5:T536">
    <cfRule type="expression" priority="5" dxfId="3">
      <formula>AND(MOD(ROW(),2)=0,$A5&lt;&gt;"")</formula>
    </cfRule>
  </conditionalFormatting>
  <dataValidations count="3">
    <dataValidation sqref="C5:C536" showDropDown="0" showInputMessage="0" showErrorMessage="1" allowBlank="1" errorTitle="Category" error="Choose a value from the list (Category)." type="list">
      <formula1>'_lists'!$A$1:$A$6</formula1>
    </dataValidation>
    <dataValidation sqref="D5:D536" showDropDown="0" showInputMessage="0" showErrorMessage="1" allowBlank="1" errorTitle="Decision (proposed)" error="Choose a value from the list (Decision (proposed))." type="list">
      <formula1>'_lists'!$B$1:$B$5</formula1>
    </dataValidation>
    <dataValidation sqref="T5:T536" showDropDown="0" showInputMessage="0" showErrorMessage="1" allowBlank="1" errorTitle="Status" error="Choose a value from the list (Status)." type="list">
      <formula1>'_lists'!$C$1:$C$4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24" customHeight="1">
      <c r="A1" s="21" t="inlineStr">
        <is>
          <t>File Contract</t>
        </is>
      </c>
    </row>
    <row r="2">
      <c r="A2" s="24" t="inlineStr">
        <is>
          <t>Rules for every extract and control file (FR-DM-010)</t>
        </is>
      </c>
    </row>
    <row r="3" ht="6" customHeight="1">
      <c r="A3" s="25" t="n"/>
      <c r="B3" s="25" t="n"/>
    </row>
    <row r="4" ht="30" customHeight="1">
      <c r="A4" s="26" t="inlineStr">
        <is>
          <t>Item</t>
        </is>
      </c>
      <c r="B4" s="26" t="inlineStr">
        <is>
          <t>Rule</t>
        </is>
      </c>
    </row>
    <row r="5">
      <c r="A5" s="12" t="inlineStr">
        <is>
          <t>File name</t>
        </is>
      </c>
      <c r="B5" s="12" t="inlineStr">
        <is>
          <t>&lt;LAYOUT&gt;_&lt;SOURCE&gt;_&lt;yyyyMMdd&gt;_&lt;nn&gt;.csv (or .xlsx), for example F01C_EBIX_20271231_01.csv; the date is the as-of date; nn is the sequence of that day</t>
        </is>
      </c>
    </row>
    <row r="6">
      <c r="A6" s="12" t="inlineStr">
        <is>
          <t>One file per</t>
        </is>
      </c>
      <c r="B6" s="12" t="inlineStr">
        <is>
          <t>Layout, source system and extract (as-of date and sequence)</t>
        </is>
      </c>
    </row>
    <row r="7">
      <c r="A7" s="12" t="inlineStr">
        <is>
          <t>CSV</t>
        </is>
      </c>
      <c r="B7" s="12" t="inlineStr">
        <is>
          <t>UTF-8 without BOM; comma separator; RFC 4180 quoting (double quotes around values that contain a comma, quote or line break); one header row with the field names of the layout, in any order; no total or blank rows</t>
        </is>
      </c>
    </row>
    <row r="8">
      <c r="A8" s="12" t="inlineStr">
        <is>
          <t>XLSX</t>
        </is>
      </c>
      <c r="B8" s="12" t="inlineStr">
        <is>
          <t>First sheet only; header in row 1; no merged cells, formulas, hidden rows or colour-coded meaning</t>
        </is>
      </c>
    </row>
    <row r="9">
      <c r="A9" s="12" t="inlineStr">
        <is>
          <t>Dates and times</t>
        </is>
      </c>
      <c r="B9" s="12" t="inlineStr">
        <is>
          <t>yyyy-MM-dd; timestamps yyyy-MM-dd HH:mm:ss in Philippine time</t>
        </is>
      </c>
    </row>
    <row r="10">
      <c r="A10" s="12" t="inlineStr">
        <is>
          <t>Amounts</t>
        </is>
      </c>
      <c r="B10" s="12" t="inlineStr">
        <is>
          <t>Dot decimal, 2 decimals, no thousands separator, minus sign for negatives (return invoices), no currency symbol</t>
        </is>
      </c>
    </row>
    <row r="11">
      <c r="A11" s="12" t="inlineStr">
        <is>
          <t>Currency</t>
        </is>
      </c>
      <c r="B11" s="12" t="inlineStr">
        <is>
          <t>ISO 4217 code (PHP, USD) in the currency column</t>
        </is>
      </c>
    </row>
    <row r="12">
      <c r="A12" s="12" t="inlineStr">
        <is>
          <t>Codes</t>
        </is>
      </c>
      <c r="B12" s="12" t="inlineStr">
        <is>
          <t>Exactly as stored in legacy; BIBS maps them through the code maps; never translate codes in the extract</t>
        </is>
      </c>
    </row>
    <row r="13">
      <c r="A13" s="12" t="inlineStr">
        <is>
          <t>Blank</t>
        </is>
      </c>
      <c r="B13" s="12" t="inlineStr">
        <is>
          <t>Empty value = no value; do not write NULL, N/A or 0 for an unknown value</t>
        </is>
      </c>
    </row>
    <row r="14">
      <c r="A14" s="12" t="inlineStr">
        <is>
          <t>Control file</t>
        </is>
      </c>
      <c r="B14" s="12" t="inlineStr">
        <is>
          <t>&lt;data file name&gt;.ctl.csv in the CONTROL layout: row count, hash total of the key, amount totals per column and currency, SHA-256 of the data file (sheet Control File)</t>
        </is>
      </c>
    </row>
    <row r="15">
      <c r="A15" s="12" t="inlineStr">
        <is>
          <t>Delivery</t>
        </is>
      </c>
      <c r="B15" s="12" t="inlineStr">
        <is>
          <t>Console upload or the SFTP drop agreed with BDOI IT; never e-mail; files land in the encrypted intake bucket (AWS ap-southeast-1)</t>
        </is>
      </c>
    </row>
    <row r="16">
      <c r="A16" s="12" t="inlineStr">
        <is>
          <t>Personal data</t>
        </is>
      </c>
      <c r="B16" s="12" t="inlineStr">
        <is>
          <t>Production extracts are loaded only in production; every non-production environment receives masked data (masking at intake); staging and files are purged within 5 days of the batch sign-off</t>
        </is>
      </c>
    </row>
    <row r="17">
      <c r="A17" s="12" t="inlineStr">
        <is>
          <t>Layout changes</t>
        </is>
      </c>
      <c r="B17" s="12" t="inlineStr">
        <is>
          <t>A layout is frozen at gate G2; a file whose header does not match the current layout version is rejected; changes go through the Data Migration Lead</t>
        </is>
      </c>
    </row>
    <row r="18">
      <c r="A18" s="12" t="inlineStr">
        <is>
          <t>Rejections</t>
        </is>
      </c>
      <c r="B18" s="12" t="inlineStr">
        <is>
          <t>A file is rejected as a whole when its checksum, header, row count, amount totals or hash total do not match its control file; BIBS gives the reason and the difference</t>
        </is>
      </c>
    </row>
  </sheetData>
  <autoFilter ref="A4:B18"/>
  <mergeCells count="1">
    <mergeCell ref="A2:B2"/>
  </mergeCells>
  <conditionalFormatting sqref="A5:B518">
    <cfRule type="expression" priority="1" dxfId="3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R01 LOV and MIS values</t>
        </is>
      </c>
    </row>
    <row r="2">
      <c r="A2" s="24" t="inlineStr">
        <is>
          <t>Layout R01 of object R01; key: list_type, code; template templates/R01_template.csv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list_type</t>
        </is>
      </c>
      <c r="C5" s="12" t="inlineStr">
        <is>
          <t>Legacy name of the list (for example MARKET_SEGMENT, BUSINESS_ORIGIN, CUSTOMER_SEGMENT, REGION, AREA, DEPARTMENT, ACCOUNT_TYPE, ID_TYPE, NATIONALITY)</t>
        </is>
      </c>
      <c r="D5" s="12" t="inlineStr">
        <is>
          <t>Code</t>
        </is>
      </c>
      <c r="E5" s="12" t="inlineStr">
        <is>
          <t>40</t>
        </is>
      </c>
      <c r="F5" s="12" t="inlineStr">
        <is>
          <t>Y</t>
        </is>
      </c>
      <c r="G5" s="12" t="inlineStr">
        <is>
          <t>Legacy list names; one code map set LOV:&lt;list&gt; or MIS:&lt;field&gt; per list</t>
        </is>
      </c>
      <c r="H5" s="12" t="inlineStr">
        <is>
          <t>Upper case</t>
        </is>
      </c>
      <c r="I5" s="12" t="inlineStr">
        <is>
          <t>MARKET_SEGMENT</t>
        </is>
      </c>
      <c r="J5" s="12" t="inlineStr">
        <is>
          <t>Code map set LOV:&lt;list&gt; / MIS:&lt;field&gt;</t>
        </is>
      </c>
      <c r="K5" s="12" t="inlineStr">
        <is>
          <t>Known list name</t>
        </is>
      </c>
      <c r="L5" s="12" t="inlineStr">
        <is>
          <t>QPS and EBIX maintenance tables</t>
        </is>
      </c>
    </row>
    <row r="6">
      <c r="A6" s="12" t="n">
        <v>2</v>
      </c>
      <c r="B6" s="12" t="inlineStr">
        <is>
          <t>code</t>
        </is>
      </c>
      <c r="C6" s="12" t="inlineStr">
        <is>
          <t>Legacy value code</t>
        </is>
      </c>
      <c r="D6" s="12" t="inlineStr">
        <is>
          <t>Code</t>
        </is>
      </c>
      <c r="E6" s="12" t="inlineStr">
        <is>
          <t>40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CBG</t>
        </is>
      </c>
      <c r="J6" s="12" t="inlineStr">
        <is>
          <t>lov_value.code (through the code map)</t>
        </is>
      </c>
      <c r="K6" s="12" t="inlineStr">
        <is>
          <t>Unique per list_type</t>
        </is>
      </c>
      <c r="L6" s="12" t="inlineStr">
        <is>
          <t>QPS and EBIX maintenance tables</t>
        </is>
      </c>
    </row>
    <row r="7">
      <c r="A7" s="12" t="n">
        <v>3</v>
      </c>
      <c r="B7" s="12" t="inlineStr">
        <is>
          <t>description</t>
        </is>
      </c>
      <c r="C7" s="12" t="inlineStr">
        <is>
          <t>Legacy value description</t>
        </is>
      </c>
      <c r="D7" s="12" t="inlineStr">
        <is>
          <t>Text</t>
        </is>
      </c>
      <c r="E7" s="12" t="inlineStr">
        <is>
          <t>200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Consumer Banking Group</t>
        </is>
      </c>
      <c r="J7" s="12" t="inlineStr">
        <is>
          <t>lov_value.label (for CREATE)</t>
        </is>
      </c>
      <c r="K7" s="12" t="inlineStr">
        <is>
          <t>Not blank</t>
        </is>
      </c>
      <c r="L7" s="12" t="inlineStr">
        <is>
          <t>QPS and EBIX</t>
        </is>
      </c>
    </row>
    <row r="8">
      <c r="A8" s="12" t="n">
        <v>4</v>
      </c>
      <c r="B8" s="12" t="inlineStr">
        <is>
          <t>parent_code</t>
        </is>
      </c>
      <c r="C8" s="12" t="inlineStr">
        <is>
          <t>Code of the parent value for hierarchical lists (area under region)</t>
        </is>
      </c>
      <c r="D8" s="12" t="inlineStr">
        <is>
          <t>Code</t>
        </is>
      </c>
      <c r="E8" s="12" t="inlineStr">
        <is>
          <t>40</t>
        </is>
      </c>
      <c r="F8" s="12" t="inlineStr">
        <is>
          <t>N</t>
        </is>
      </c>
      <c r="G8" s="12" t="inlineStr">
        <is>
          <t>Codes of the same file</t>
        </is>
      </c>
      <c r="H8" s="12" t="inlineStr">
        <is>
          <t>-</t>
        </is>
      </c>
      <c r="I8" s="12" t="inlineStr">
        <is>
          <t>NCR</t>
        </is>
      </c>
      <c r="J8" s="12" t="inlineStr">
        <is>
          <t>Hierarchy of the MIS field</t>
        </is>
      </c>
      <c r="K8" s="12" t="inlineStr">
        <is>
          <t>Parent exists in the file</t>
        </is>
      </c>
      <c r="L8" s="12" t="inlineStr">
        <is>
          <t>QPS</t>
        </is>
      </c>
    </row>
    <row r="9">
      <c r="A9" s="12" t="n">
        <v>5</v>
      </c>
      <c r="B9" s="12" t="inlineStr">
        <is>
          <t>active_flag</t>
        </is>
      </c>
      <c r="C9" s="12" t="inlineStr">
        <is>
          <t>Value in use in legacy</t>
        </is>
      </c>
      <c r="D9" s="12" t="inlineStr">
        <is>
          <t>Flag</t>
        </is>
      </c>
      <c r="E9" s="12" t="inlineStr">
        <is>
          <t>1</t>
        </is>
      </c>
      <c r="F9" s="12" t="inlineStr">
        <is>
          <t>Y</t>
        </is>
      </c>
      <c r="G9" s="12" t="inlineStr">
        <is>
          <t>Y, N</t>
        </is>
      </c>
      <c r="H9" s="12" t="inlineStr">
        <is>
          <t>Y or N</t>
        </is>
      </c>
      <c r="I9" s="12" t="inlineStr">
        <is>
          <t>Y</t>
        </is>
      </c>
      <c r="J9" s="12" t="inlineStr">
        <is>
          <t>lov_value.record_status</t>
        </is>
      </c>
      <c r="K9" s="12" t="inlineStr">
        <is>
          <t>Y or N</t>
        </is>
      </c>
      <c r="L9" s="12" t="inlineStr">
        <is>
          <t>QPS and EBIX</t>
        </is>
      </c>
    </row>
    <row r="10">
      <c r="A10" s="12" t="n">
        <v>6</v>
      </c>
      <c r="B10" s="12" t="inlineStr">
        <is>
          <t>effective_from</t>
        </is>
      </c>
      <c r="C10" s="12" t="inlineStr">
        <is>
          <t>First day the value is valid</t>
        </is>
      </c>
      <c r="D10" s="12" t="inlineStr">
        <is>
          <t>Date</t>
        </is>
      </c>
      <c r="E10" s="12" t="inlineStr">
        <is>
          <t>10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yyyy-MM-dd</t>
        </is>
      </c>
      <c r="I10" s="12" t="inlineStr">
        <is>
          <t>2020-01-01</t>
        </is>
      </c>
      <c r="J10" s="12" t="inlineStr">
        <is>
          <t>lov_value.effective_from</t>
        </is>
      </c>
      <c r="K10" s="12" t="inlineStr">
        <is>
          <t>Valid date</t>
        </is>
      </c>
      <c r="L10" s="12" t="inlineStr">
        <is>
          <t>QPS and EBIX</t>
        </is>
      </c>
    </row>
    <row r="11">
      <c r="A11" s="12" t="n">
        <v>7</v>
      </c>
      <c r="B11" s="12" t="inlineStr">
        <is>
          <t>effective_to</t>
        </is>
      </c>
      <c r="C11" s="12" t="inlineStr">
        <is>
          <t>Last day the value is valid</t>
        </is>
      </c>
      <c r="D11" s="12" t="inlineStr">
        <is>
          <t>Date</t>
        </is>
      </c>
      <c r="E11" s="12" t="inlineStr">
        <is>
          <t>10</t>
        </is>
      </c>
      <c r="F11" s="12" t="inlineStr">
        <is>
          <t>N</t>
        </is>
      </c>
      <c r="G11" s="12" t="inlineStr">
        <is>
          <t>-</t>
        </is>
      </c>
      <c r="H11" s="12" t="inlineStr">
        <is>
          <t>yyyy-MM-dd</t>
        </is>
      </c>
      <c r="I11" s="12" t="inlineStr">
        <is>
          <t>-</t>
        </is>
      </c>
      <c r="J11" s="12" t="inlineStr">
        <is>
          <t>lov_value.effective_to</t>
        </is>
      </c>
      <c r="K11" s="12" t="inlineStr">
        <is>
          <t>Not before effective_from</t>
        </is>
      </c>
      <c r="L11" s="12" t="inlineStr">
        <is>
          <t>QPS and EBIX</t>
        </is>
      </c>
    </row>
    <row r="12">
      <c r="A12" s="12" t="n">
        <v>8</v>
      </c>
      <c r="B12" s="12" t="inlineStr">
        <is>
          <t>used_count</t>
        </is>
      </c>
      <c r="C12" s="12" t="inlineStr">
        <is>
          <t>Number of legacy records that use the value (helps the mapping)</t>
        </is>
      </c>
      <c r="D12" s="12" t="inlineStr">
        <is>
          <t>Integer</t>
        </is>
      </c>
      <c r="E12" s="12" t="inlineStr">
        <is>
          <t>9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Digits</t>
        </is>
      </c>
      <c r="I12" s="12" t="inlineStr">
        <is>
          <t>1520</t>
        </is>
      </c>
      <c r="J12" s="12" t="inlineStr">
        <is>
          <t>- (profiling only)</t>
        </is>
      </c>
      <c r="K12" s="12" t="inlineStr">
        <is>
          <t>0 or more</t>
        </is>
      </c>
      <c r="L12" s="12" t="inlineStr">
        <is>
          <t>Legacy query</t>
        </is>
      </c>
    </row>
  </sheetData>
  <autoFilter ref="A4:L12"/>
  <mergeCells count="1">
    <mergeCell ref="A2:L2"/>
  </mergeCells>
  <conditionalFormatting sqref="A5:L512">
    <cfRule type="expression" priority="1" dxfId="3">
      <formula>AND(MOD(ROW(),2)=0,$A5&lt;&gt;"")</formula>
    </cfRule>
  </conditionalFormatting>
  <dataValidations count="2">
    <dataValidation sqref="D5:D512" showDropDown="0" showInputMessage="0" showErrorMessage="1" allowBlank="1" errorTitle="Type" error="Choose a value from the list (Type)." type="list">
      <formula1>'_lists'!$D$1:$D$8</formula1>
    </dataValidation>
    <dataValidation sqref="F5:F512" showDropDown="0" showInputMessage="0" showErrorMessage="1" allowBlank="1" errorTitle="Mandatory" error="Choose a value from the list (Mandatory)." type="list">
      <formula1>'_lists'!$E$1:$E$3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R02 Branches</t>
        </is>
      </c>
    </row>
    <row r="2">
      <c r="A2" s="24" t="inlineStr">
        <is>
          <t>Layout R02 of object R02; key: branch_code; template templates/R02_template.csv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branch_code</t>
        </is>
      </c>
      <c r="C5" s="12" t="inlineStr">
        <is>
          <t>Legacy branch code</t>
        </is>
      </c>
      <c r="D5" s="12" t="inlineStr">
        <is>
          <t>Code</t>
        </is>
      </c>
      <c r="E5" s="12" t="inlineStr">
        <is>
          <t>20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MKT01</t>
        </is>
      </c>
      <c r="J5" s="12" t="inlineStr">
        <is>
          <t>Code map BRANCH to org_branch.code</t>
        </is>
      </c>
      <c r="K5" s="12" t="inlineStr">
        <is>
          <t>Unique</t>
        </is>
      </c>
      <c r="L5" s="12" t="inlineStr">
        <is>
          <t>EBIX branch table</t>
        </is>
      </c>
    </row>
    <row r="6">
      <c r="A6" s="12" t="n">
        <v>2</v>
      </c>
      <c r="B6" s="12" t="inlineStr">
        <is>
          <t>branch_name</t>
        </is>
      </c>
      <c r="C6" s="12" t="inlineStr">
        <is>
          <t>Branch name</t>
        </is>
      </c>
      <c r="D6" s="12" t="inlineStr">
        <is>
          <t>Text</t>
        </is>
      </c>
      <c r="E6" s="12" t="inlineStr">
        <is>
          <t>120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Free text</t>
        </is>
      </c>
      <c r="I6" s="12" t="inlineStr">
        <is>
          <t>Makati Head Office</t>
        </is>
      </c>
      <c r="J6" s="12" t="inlineStr">
        <is>
          <t>org_branch name (check)</t>
        </is>
      </c>
      <c r="K6" s="12" t="inlineStr">
        <is>
          <t>Not blank</t>
        </is>
      </c>
      <c r="L6" s="12" t="inlineStr">
        <is>
          <t>EBIX</t>
        </is>
      </c>
    </row>
    <row r="7">
      <c r="A7" s="12" t="n">
        <v>3</v>
      </c>
      <c r="B7" s="12" t="inlineStr">
        <is>
          <t>invoicing_branch_flag</t>
        </is>
      </c>
      <c r="C7" s="12" t="inlineStr">
        <is>
          <t>Branch issues invoices and receipts</t>
        </is>
      </c>
      <c r="D7" s="12" t="inlineStr">
        <is>
          <t>Flag</t>
        </is>
      </c>
      <c r="E7" s="12" t="inlineStr">
        <is>
          <t>1</t>
        </is>
      </c>
      <c r="F7" s="12" t="inlineStr">
        <is>
          <t>Y</t>
        </is>
      </c>
      <c r="G7" s="12" t="inlineStr">
        <is>
          <t>Y, N</t>
        </is>
      </c>
      <c r="H7" s="12" t="inlineStr">
        <is>
          <t>Y or N</t>
        </is>
      </c>
      <c r="I7" s="12" t="inlineStr">
        <is>
          <t>Y</t>
        </is>
      </c>
      <c r="J7" s="12" t="inlineStr">
        <is>
          <t>org_branch configuration (check)</t>
        </is>
      </c>
      <c r="K7" s="12" t="inlineStr">
        <is>
          <t>Y or N</t>
        </is>
      </c>
      <c r="L7" s="12" t="inlineStr">
        <is>
          <t>EBIX</t>
        </is>
      </c>
    </row>
    <row r="8">
      <c r="A8" s="12" t="n">
        <v>4</v>
      </c>
      <c r="B8" s="12" t="inlineStr">
        <is>
          <t>city</t>
        </is>
      </c>
      <c r="C8" s="12" t="inlineStr">
        <is>
          <t>City of the branch</t>
        </is>
      </c>
      <c r="D8" s="12" t="inlineStr">
        <is>
          <t>Text</t>
        </is>
      </c>
      <c r="E8" s="12" t="inlineStr">
        <is>
          <t>80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Free text</t>
        </is>
      </c>
      <c r="I8" s="12" t="inlineStr">
        <is>
          <t>Makati City</t>
        </is>
      </c>
      <c r="J8" s="12" t="inlineStr">
        <is>
          <t>- (check)</t>
        </is>
      </c>
      <c r="K8" s="12" t="inlineStr">
        <is>
          <t>-</t>
        </is>
      </c>
      <c r="L8" s="12" t="inlineStr">
        <is>
          <t>EBIX</t>
        </is>
      </c>
    </row>
    <row r="9">
      <c r="A9" s="12" t="n">
        <v>5</v>
      </c>
      <c r="B9" s="12" t="inlineStr">
        <is>
          <t>active_flag</t>
        </is>
      </c>
      <c r="C9" s="12" t="inlineStr">
        <is>
          <t>Branch active in legacy</t>
        </is>
      </c>
      <c r="D9" s="12" t="inlineStr">
        <is>
          <t>Flag</t>
        </is>
      </c>
      <c r="E9" s="12" t="inlineStr">
        <is>
          <t>1</t>
        </is>
      </c>
      <c r="F9" s="12" t="inlineStr">
        <is>
          <t>Y</t>
        </is>
      </c>
      <c r="G9" s="12" t="inlineStr">
        <is>
          <t>Y, N</t>
        </is>
      </c>
      <c r="H9" s="12" t="inlineStr">
        <is>
          <t>Y or N</t>
        </is>
      </c>
      <c r="I9" s="12" t="inlineStr">
        <is>
          <t>Y</t>
        </is>
      </c>
      <c r="J9" s="12" t="inlineStr">
        <is>
          <t>- (check)</t>
        </is>
      </c>
      <c r="K9" s="12" t="inlineStr">
        <is>
          <t>Y or N</t>
        </is>
      </c>
      <c r="L9" s="12" t="inlineStr">
        <is>
          <t>EBIX</t>
        </is>
      </c>
    </row>
  </sheetData>
  <autoFilter ref="A4:L9"/>
  <mergeCells count="1">
    <mergeCell ref="A2:L2"/>
  </mergeCells>
  <conditionalFormatting sqref="A5:L509">
    <cfRule type="expression" priority="1" dxfId="3">
      <formula>AND(MOD(ROW(),2)=0,$A5&lt;&gt;"")</formula>
    </cfRule>
  </conditionalFormatting>
  <dataValidations count="2">
    <dataValidation sqref="D5:D509" showDropDown="0" showInputMessage="0" showErrorMessage="1" allowBlank="1" errorTitle="Type" error="Choose a value from the list (Type)." type="list">
      <formula1>'_lists'!$F$1:$F$8</formula1>
    </dataValidation>
    <dataValidation sqref="F5:F509" showDropDown="0" showInputMessage="0" showErrorMessage="1" allowBlank="1" errorTitle="Mandatory" error="Choose a value from the list (Mandatory)." type="list">
      <formula1>'_lists'!$G$1:$G$3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R03 Sales organisation</t>
        </is>
      </c>
    </row>
    <row r="2">
      <c r="A2" s="24" t="inlineStr">
        <is>
          <t>Layout R03 of object R03; key: record_type, unit_code, ao_user_id; template templates/R03_template.csv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record_type</t>
        </is>
      </c>
      <c r="C5" s="12" t="inlineStr">
        <is>
          <t>Kind of row</t>
        </is>
      </c>
      <c r="D5" s="12" t="inlineStr">
        <is>
          <t>Code</t>
        </is>
      </c>
      <c r="E5" s="12" t="inlineStr">
        <is>
          <t>12</t>
        </is>
      </c>
      <c r="F5" s="12" t="inlineStr">
        <is>
          <t>Y</t>
        </is>
      </c>
      <c r="G5" s="12" t="inlineStr">
        <is>
          <t>REGION, DEPARTMENT, TEAM, AO</t>
        </is>
      </c>
      <c r="H5" s="12" t="inlineStr">
        <is>
          <t>Upper case</t>
        </is>
      </c>
      <c r="I5" s="12" t="inlineStr">
        <is>
          <t>TEAM</t>
        </is>
      </c>
      <c r="J5" s="12" t="inlineStr">
        <is>
          <t>cat_sales_unit.unit_level / cat_sales_officer</t>
        </is>
      </c>
      <c r="K5" s="12" t="inlineStr">
        <is>
          <t>In the list</t>
        </is>
      </c>
      <c r="L5" s="12" t="inlineStr">
        <is>
          <t>QPS sales hierarchy</t>
        </is>
      </c>
    </row>
    <row r="6">
      <c r="A6" s="12" t="n">
        <v>2</v>
      </c>
      <c r="B6" s="12" t="inlineStr">
        <is>
          <t>unit_code</t>
        </is>
      </c>
      <c r="C6" s="12" t="inlineStr">
        <is>
          <t>Legacy code of the unit (for an AO row, the team of the AO)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T-RET-07</t>
        </is>
      </c>
      <c r="J6" s="12" t="inlineStr">
        <is>
          <t>Code map SALES_UNIT to cat_sales_unit.code</t>
        </is>
      </c>
      <c r="K6" s="12" t="inlineStr">
        <is>
          <t>Exists as a TEAM row for AO rows</t>
        </is>
      </c>
      <c r="L6" s="12" t="inlineStr">
        <is>
          <t>QPS</t>
        </is>
      </c>
    </row>
    <row r="7">
      <c r="A7" s="12" t="n">
        <v>3</v>
      </c>
      <c r="B7" s="12" t="inlineStr">
        <is>
          <t>unit_name</t>
        </is>
      </c>
      <c r="C7" s="12" t="inlineStr">
        <is>
          <t>Unit name</t>
        </is>
      </c>
      <c r="D7" s="12" t="inlineStr">
        <is>
          <t>Text</t>
        </is>
      </c>
      <c r="E7" s="12" t="inlineStr">
        <is>
          <t>120</t>
        </is>
      </c>
      <c r="F7" s="12" t="inlineStr">
        <is>
          <t>C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Retail Team 7</t>
        </is>
      </c>
      <c r="J7" s="12" t="inlineStr">
        <is>
          <t>cat_sales_unit.name</t>
        </is>
      </c>
      <c r="K7" s="12" t="inlineStr">
        <is>
          <t>Mandatory for REGION, DEPARTMENT, TEAM</t>
        </is>
      </c>
      <c r="L7" s="12" t="inlineStr">
        <is>
          <t>QPS</t>
        </is>
      </c>
    </row>
    <row r="8">
      <c r="A8" s="12" t="n">
        <v>4</v>
      </c>
      <c r="B8" s="12" t="inlineStr">
        <is>
          <t>parent_unit_code</t>
        </is>
      </c>
      <c r="C8" s="12" t="inlineStr">
        <is>
          <t>Code of the parent unit (department of a team, region of a department)</t>
        </is>
      </c>
      <c r="D8" s="12" t="inlineStr">
        <is>
          <t>Code</t>
        </is>
      </c>
      <c r="E8" s="12" t="inlineStr">
        <is>
          <t>20</t>
        </is>
      </c>
      <c r="F8" s="12" t="inlineStr">
        <is>
          <t>C</t>
        </is>
      </c>
      <c r="G8" s="12" t="inlineStr">
        <is>
          <t>unit_code values of the file</t>
        </is>
      </c>
      <c r="H8" s="12" t="inlineStr">
        <is>
          <t>As stored in legacy</t>
        </is>
      </c>
      <c r="I8" s="12" t="inlineStr">
        <is>
          <t>D-RET</t>
        </is>
      </c>
      <c r="J8" s="12" t="inlineStr">
        <is>
          <t>cat_sales_unit.parent_code</t>
        </is>
      </c>
      <c r="K8" s="12" t="inlineStr">
        <is>
          <t>Mandatory for DEPARTMENT and TEAM; parent exists</t>
        </is>
      </c>
      <c r="L8" s="12" t="inlineStr">
        <is>
          <t>QPS</t>
        </is>
      </c>
    </row>
    <row r="9">
      <c r="A9" s="12" t="n">
        <v>5</v>
      </c>
      <c r="B9" s="12" t="inlineStr">
        <is>
          <t>unit_head_user_id</t>
        </is>
      </c>
      <c r="C9" s="12" t="inlineStr">
        <is>
          <t>Legacy user ID of the unit head</t>
        </is>
      </c>
      <c r="D9" s="12" t="inlineStr">
        <is>
          <t>Code</t>
        </is>
      </c>
      <c r="E9" s="12" t="inlineStr">
        <is>
          <t>50</t>
        </is>
      </c>
      <c r="F9" s="12" t="inlineStr">
        <is>
          <t>N</t>
        </is>
      </c>
      <c r="G9" s="12" t="inlineStr">
        <is>
          <t>Code map USER</t>
        </is>
      </c>
      <c r="H9" s="12" t="inlineStr">
        <is>
          <t>As stored in legacy</t>
        </is>
      </c>
      <c r="I9" s="12" t="inlineStr">
        <is>
          <t>jdelacruz</t>
        </is>
      </c>
      <c r="J9" s="12" t="inlineStr">
        <is>
          <t>MIS field unit head</t>
        </is>
      </c>
      <c r="K9" s="12" t="inlineStr">
        <is>
          <t>Mapped in USER</t>
        </is>
      </c>
      <c r="L9" s="12" t="inlineStr">
        <is>
          <t>QPS</t>
        </is>
      </c>
    </row>
    <row r="10">
      <c r="A10" s="12" t="n">
        <v>6</v>
      </c>
      <c r="B10" s="12" t="inlineStr">
        <is>
          <t>cost_center</t>
        </is>
      </c>
      <c r="C10" s="12" t="inlineStr">
        <is>
          <t>Cost centre of the unit</t>
        </is>
      </c>
      <c r="D10" s="12" t="inlineStr">
        <is>
          <t>Code</t>
        </is>
      </c>
      <c r="E10" s="12" t="inlineStr">
        <is>
          <t>20</t>
        </is>
      </c>
      <c r="F10" s="12" t="inlineStr">
        <is>
          <t>N</t>
        </is>
      </c>
      <c r="G10" s="12" t="inlineStr">
        <is>
          <t>Code map COST_CENTER</t>
        </is>
      </c>
      <c r="H10" s="12" t="inlineStr">
        <is>
          <t>As stored in legacy</t>
        </is>
      </c>
      <c r="I10" s="12" t="inlineStr">
        <is>
          <t>4100</t>
        </is>
      </c>
      <c r="J10" s="12" t="inlineStr">
        <is>
          <t>cat_sales_unit.cost_center</t>
        </is>
      </c>
      <c r="K10" s="12" t="inlineStr">
        <is>
          <t>Mapped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ao_user_id</t>
        </is>
      </c>
      <c r="C11" s="12" t="inlineStr">
        <is>
          <t>Legacy user ID of the account officer</t>
        </is>
      </c>
      <c r="D11" s="12" t="inlineStr">
        <is>
          <t>Code</t>
        </is>
      </c>
      <c r="E11" s="12" t="inlineStr">
        <is>
          <t>50</t>
        </is>
      </c>
      <c r="F11" s="12" t="inlineStr">
        <is>
          <t>C</t>
        </is>
      </c>
      <c r="G11" s="12" t="inlineStr">
        <is>
          <t>Code map USER</t>
        </is>
      </c>
      <c r="H11" s="12" t="inlineStr">
        <is>
          <t>As stored in legacy</t>
        </is>
      </c>
      <c r="I11" s="12" t="inlineStr">
        <is>
          <t>mreyes</t>
        </is>
      </c>
      <c r="J11" s="12" t="inlineStr">
        <is>
          <t>cat_sales_officer.username (through USER)</t>
        </is>
      </c>
      <c r="K11" s="12" t="inlineStr">
        <is>
          <t>Mandatory for AO rows; mapped in USER</t>
        </is>
      </c>
      <c r="L11" s="12" t="inlineStr">
        <is>
          <t>QPS</t>
        </is>
      </c>
    </row>
    <row r="12">
      <c r="A12" s="12" t="n">
        <v>8</v>
      </c>
      <c r="B12" s="12" t="inlineStr">
        <is>
          <t>ao_code</t>
        </is>
      </c>
      <c r="C12" s="12" t="inlineStr">
        <is>
          <t>Legacy AO code if different from the user ID</t>
        </is>
      </c>
      <c r="D12" s="12" t="inlineStr">
        <is>
          <t>Code</t>
        </is>
      </c>
      <c r="E12" s="12" t="inlineStr">
        <is>
          <t>20</t>
        </is>
      </c>
      <c r="F12" s="12" t="inlineStr">
        <is>
          <t>N</t>
        </is>
      </c>
      <c r="G12" s="12" t="inlineStr">
        <is>
          <t>Code map AO</t>
        </is>
      </c>
      <c r="H12" s="12" t="inlineStr">
        <is>
          <t>As stored in legacy</t>
        </is>
      </c>
      <c r="I12" s="12" t="inlineStr">
        <is>
          <t>AO0457</t>
        </is>
      </c>
      <c r="J12" s="12" t="inlineStr">
        <is>
          <t>Code map AO</t>
        </is>
      </c>
      <c r="K12" s="12" t="inlineStr">
        <is>
          <t>Unique</t>
        </is>
      </c>
      <c r="L12" s="12" t="inlineStr">
        <is>
          <t>EBIX</t>
        </is>
      </c>
    </row>
    <row r="13">
      <c r="A13" s="12" t="n">
        <v>9</v>
      </c>
      <c r="B13" s="12" t="inlineStr">
        <is>
          <t>ao_name</t>
        </is>
      </c>
      <c r="C13" s="12" t="inlineStr">
        <is>
          <t>AO full name</t>
        </is>
      </c>
      <c r="D13" s="12" t="inlineStr">
        <is>
          <t>Text</t>
        </is>
      </c>
      <c r="E13" s="12" t="inlineStr">
        <is>
          <t>120</t>
        </is>
      </c>
      <c r="F13" s="12" t="inlineStr">
        <is>
          <t>C</t>
        </is>
      </c>
      <c r="G13" s="12" t="inlineStr">
        <is>
          <t>-</t>
        </is>
      </c>
      <c r="H13" s="12" t="inlineStr">
        <is>
          <t>Free text</t>
        </is>
      </c>
      <c r="I13" s="12" t="inlineStr">
        <is>
          <t>Maria Reyes</t>
        </is>
      </c>
      <c r="J13" s="12" t="inlineStr">
        <is>
          <t>- (check against the BIBS user)</t>
        </is>
      </c>
      <c r="K13" s="12" t="inlineStr">
        <is>
          <t>Mandatory for AO rows</t>
        </is>
      </c>
      <c r="L13" s="12" t="inlineStr">
        <is>
          <t>QPS</t>
        </is>
      </c>
    </row>
    <row r="14">
      <c r="A14" s="12" t="n">
        <v>10</v>
      </c>
      <c r="B14" s="12" t="inlineStr">
        <is>
          <t>branch_code</t>
        </is>
      </c>
      <c r="C14" s="12" t="inlineStr">
        <is>
          <t>Branch of the unit or AO</t>
        </is>
      </c>
      <c r="D14" s="12" t="inlineStr">
        <is>
          <t>Code</t>
        </is>
      </c>
      <c r="E14" s="12" t="inlineStr">
        <is>
          <t>20</t>
        </is>
      </c>
      <c r="F14" s="12" t="inlineStr">
        <is>
          <t>N</t>
        </is>
      </c>
      <c r="G14" s="12" t="inlineStr">
        <is>
          <t>Code map BRANCH</t>
        </is>
      </c>
      <c r="H14" s="12" t="inlineStr">
        <is>
          <t>As stored in legacy</t>
        </is>
      </c>
      <c r="I14" s="12" t="inlineStr">
        <is>
          <t>MKT01</t>
        </is>
      </c>
      <c r="J14" s="12" t="inlineStr">
        <is>
          <t>Branch of the unit</t>
        </is>
      </c>
      <c r="K14" s="12" t="inlineStr">
        <is>
          <t>Mapped</t>
        </is>
      </c>
      <c r="L14" s="12" t="inlineStr">
        <is>
          <t>QPS</t>
        </is>
      </c>
    </row>
    <row r="15">
      <c r="A15" s="12" t="n">
        <v>11</v>
      </c>
      <c r="B15" s="12" t="inlineStr">
        <is>
          <t>active_flag</t>
        </is>
      </c>
      <c r="C15" s="12" t="inlineStr">
        <is>
          <t>Unit or AO active</t>
        </is>
      </c>
      <c r="D15" s="12" t="inlineStr">
        <is>
          <t>Flag</t>
        </is>
      </c>
      <c r="E15" s="12" t="inlineStr">
        <is>
          <t>1</t>
        </is>
      </c>
      <c r="F15" s="12" t="inlineStr">
        <is>
          <t>Y</t>
        </is>
      </c>
      <c r="G15" s="12" t="inlineStr">
        <is>
          <t>Y, N</t>
        </is>
      </c>
      <c r="H15" s="12" t="inlineStr">
        <is>
          <t>Y or N</t>
        </is>
      </c>
      <c r="I15" s="12" t="inlineStr">
        <is>
          <t>Y</t>
        </is>
      </c>
      <c r="J15" s="12" t="inlineStr">
        <is>
          <t>record_status</t>
        </is>
      </c>
      <c r="K15" s="12" t="inlineStr">
        <is>
          <t>Y or N</t>
        </is>
      </c>
      <c r="L15" s="12" t="inlineStr">
        <is>
          <t>QPS</t>
        </is>
      </c>
    </row>
  </sheetData>
  <autoFilter ref="A4:L15"/>
  <mergeCells count="1">
    <mergeCell ref="A2:L2"/>
  </mergeCells>
  <conditionalFormatting sqref="A5:L515">
    <cfRule type="expression" priority="1" dxfId="3">
      <formula>AND(MOD(ROW(),2)=0,$A5&lt;&gt;"")</formula>
    </cfRule>
  </conditionalFormatting>
  <dataValidations count="2">
    <dataValidation sqref="D5:D515" showDropDown="0" showInputMessage="0" showErrorMessage="1" allowBlank="1" errorTitle="Type" error="Choose a value from the list (Type)." type="list">
      <formula1>'_lists'!$H$1:$H$8</formula1>
    </dataValidation>
    <dataValidation sqref="F5:F515" showDropDown="0" showInputMessage="0" showErrorMessage="1" allowBlank="1" errorTitle="Mandatory" error="Choose a value from the list (Mandatory)." type="list">
      <formula1>'_lists'!$I$1:$I$3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R04 Insurers</t>
        </is>
      </c>
    </row>
    <row r="2">
      <c r="A2" s="24" t="inlineStr">
        <is>
          <t>Layout R04 of object R04; key: insurer_code; template templates/R04_template.csv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insurer_code</t>
        </is>
      </c>
      <c r="C5" s="12" t="inlineStr">
        <is>
          <t>Legacy insurer code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MAL</t>
        </is>
      </c>
      <c r="J5" s="12" t="inlineStr">
        <is>
          <t>Code map INSURER to cat_insurer (party_code)</t>
        </is>
      </c>
      <c r="K5" s="12" t="inlineStr">
        <is>
          <t>Unique</t>
        </is>
      </c>
      <c r="L5" s="12" t="inlineStr">
        <is>
          <t>QPS and EBIX insurer tables</t>
        </is>
      </c>
    </row>
    <row r="6">
      <c r="A6" s="12" t="n">
        <v>2</v>
      </c>
      <c r="B6" s="12" t="inlineStr">
        <is>
          <t>insurer_name</t>
        </is>
      </c>
      <c r="C6" s="12" t="inlineStr">
        <is>
          <t>Registered name</t>
        </is>
      </c>
      <c r="D6" s="12" t="inlineStr">
        <is>
          <t>Text</t>
        </is>
      </c>
      <c r="E6" s="12" t="inlineStr">
        <is>
          <t>200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Free text</t>
        </is>
      </c>
      <c r="I6" s="12" t="inlineStr">
        <is>
          <t>Malayan Insurance Co., Inc.</t>
        </is>
      </c>
      <c r="J6" s="12" t="inlineStr">
        <is>
          <t>cat_insurer.name</t>
        </is>
      </c>
      <c r="K6" s="12" t="inlineStr">
        <is>
          <t>Not blank</t>
        </is>
      </c>
      <c r="L6" s="12" t="inlineStr">
        <is>
          <t>QPS and EBIX</t>
        </is>
      </c>
    </row>
    <row r="7">
      <c r="A7" s="12" t="n">
        <v>3</v>
      </c>
      <c r="B7" s="12" t="inlineStr">
        <is>
          <t>short_name</t>
        </is>
      </c>
      <c r="C7" s="12" t="inlineStr">
        <is>
          <t>Short name</t>
        </is>
      </c>
      <c r="D7" s="12" t="inlineStr">
        <is>
          <t>Text</t>
        </is>
      </c>
      <c r="E7" s="12" t="inlineStr">
        <is>
          <t>40</t>
        </is>
      </c>
      <c r="F7" s="12" t="inlineStr">
        <is>
          <t>N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Malayan</t>
        </is>
      </c>
      <c r="J7" s="12" t="inlineStr">
        <is>
          <t>cat_insurer.short_name</t>
        </is>
      </c>
      <c r="K7" s="12" t="inlineStr">
        <is>
          <t>-</t>
        </is>
      </c>
      <c r="L7" s="12" t="inlineStr">
        <is>
          <t>QPS</t>
        </is>
      </c>
    </row>
    <row r="8">
      <c r="A8" s="12" t="n">
        <v>4</v>
      </c>
      <c r="B8" s="12" t="inlineStr">
        <is>
          <t>tin</t>
        </is>
      </c>
      <c r="C8" s="12" t="inlineStr">
        <is>
          <t>Tax identification number</t>
        </is>
      </c>
      <c r="D8" s="12" t="inlineStr">
        <is>
          <t>Text</t>
        </is>
      </c>
      <c r="E8" s="12" t="inlineStr">
        <is>
          <t>20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000-000-000-000</t>
        </is>
      </c>
      <c r="I8" s="12" t="inlineStr">
        <is>
          <t>000-123-456-000</t>
        </is>
      </c>
      <c r="J8" s="12" t="inlineStr">
        <is>
          <t>party TIN</t>
        </is>
      </c>
      <c r="K8" s="12" t="inlineStr">
        <is>
          <t>9 to 12 digits</t>
        </is>
      </c>
      <c r="L8" s="12" t="inlineStr">
        <is>
          <t>EBIX</t>
        </is>
      </c>
    </row>
    <row r="9">
      <c r="A9" s="12" t="n">
        <v>5</v>
      </c>
      <c r="B9" s="12" t="inlineStr">
        <is>
          <t>address</t>
        </is>
      </c>
      <c r="C9" s="12" t="inlineStr">
        <is>
          <t>Registered address</t>
        </is>
      </c>
      <c r="D9" s="12" t="inlineStr">
        <is>
          <t>Text</t>
        </is>
      </c>
      <c r="E9" s="12" t="inlineStr">
        <is>
          <t>300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Free text</t>
        </is>
      </c>
      <c r="I9" s="12" t="inlineStr">
        <is>
          <t>500 Quintin Paredes St., Manila</t>
        </is>
      </c>
      <c r="J9" s="12" t="inlineStr">
        <is>
          <t>party address</t>
        </is>
      </c>
      <c r="K9" s="12" t="inlineStr">
        <is>
          <t>-</t>
        </is>
      </c>
      <c r="L9" s="12" t="inlineStr">
        <is>
          <t>EBIX</t>
        </is>
      </c>
    </row>
    <row r="10">
      <c r="A10" s="12" t="n">
        <v>6</v>
      </c>
      <c r="B10" s="12" t="inlineStr">
        <is>
          <t>accreditation_no</t>
        </is>
      </c>
      <c r="C10" s="12" t="inlineStr">
        <is>
          <t>Insurance Commission accreditation number</t>
        </is>
      </c>
      <c r="D10" s="12" t="inlineStr">
        <is>
          <t>Text</t>
        </is>
      </c>
      <c r="E10" s="12" t="inlineStr">
        <is>
          <t>40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Free text</t>
        </is>
      </c>
      <c r="I10" s="12" t="inlineStr">
        <is>
          <t>IC-2025-0123</t>
        </is>
      </c>
      <c r="J10" s="12" t="inlineStr">
        <is>
          <t>cat_insurer.accreditation_no</t>
        </is>
      </c>
      <c r="K10" s="12" t="inlineStr">
        <is>
          <t>-</t>
        </is>
      </c>
      <c r="L10" s="12" t="inlineStr">
        <is>
          <t>QPS</t>
        </is>
      </c>
    </row>
    <row r="11">
      <c r="A11" s="12" t="n">
        <v>7</v>
      </c>
      <c r="B11" s="12" t="inlineStr">
        <is>
          <t>accredited_until</t>
        </is>
      </c>
      <c r="C11" s="12" t="inlineStr">
        <is>
          <t>End of accreditation</t>
        </is>
      </c>
      <c r="D11" s="12" t="inlineStr">
        <is>
          <t>Date</t>
        </is>
      </c>
      <c r="E11" s="12" t="inlineStr">
        <is>
          <t>10</t>
        </is>
      </c>
      <c r="F11" s="12" t="inlineStr">
        <is>
          <t>N</t>
        </is>
      </c>
      <c r="G11" s="12" t="inlineStr">
        <is>
          <t>-</t>
        </is>
      </c>
      <c r="H11" s="12" t="inlineStr">
        <is>
          <t>yyyy-MM-dd</t>
        </is>
      </c>
      <c r="I11" s="12" t="inlineStr">
        <is>
          <t>2028-06-30</t>
        </is>
      </c>
      <c r="J11" s="12" t="inlineStr">
        <is>
          <t>cat_insurer.accredited_until</t>
        </is>
      </c>
      <c r="K11" s="12" t="inlineStr">
        <is>
          <t>Valid date</t>
        </is>
      </c>
      <c r="L11" s="12" t="inlineStr">
        <is>
          <t>QPS</t>
        </is>
      </c>
    </row>
    <row r="12">
      <c r="A12" s="12" t="n">
        <v>8</v>
      </c>
      <c r="B12" s="12" t="inlineStr">
        <is>
          <t>placement_email</t>
        </is>
      </c>
      <c r="C12" s="12" t="inlineStr">
        <is>
          <t>E-mail address(es) for placement, separated by semicolons</t>
        </is>
      </c>
      <c r="D12" s="12" t="inlineStr">
        <is>
          <t>Text</t>
        </is>
      </c>
      <c r="E12" s="12" t="inlineStr">
        <is>
          <t>500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name@domain;name@domain</t>
        </is>
      </c>
      <c r="I12" s="12" t="inlineStr">
        <is>
          <t>placement@insurer.example</t>
        </is>
      </c>
      <c r="J12" s="12" t="inlineStr">
        <is>
          <t>cat_insurer.placement_emails</t>
        </is>
      </c>
      <c r="K12" s="12" t="inlineStr">
        <is>
          <t>Valid e-mail addresses</t>
        </is>
      </c>
      <c r="L12" s="12" t="inlineStr">
        <is>
          <t>QPS</t>
        </is>
      </c>
    </row>
    <row r="13">
      <c r="A13" s="12" t="n">
        <v>9</v>
      </c>
      <c r="B13" s="12" t="inlineStr">
        <is>
          <t>default_credit_days</t>
        </is>
      </c>
      <c r="C13" s="12" t="inlineStr">
        <is>
          <t>Credit term in days</t>
        </is>
      </c>
      <c r="D13" s="12" t="inlineStr">
        <is>
          <t>Integer</t>
        </is>
      </c>
      <c r="E13" s="12" t="inlineStr">
        <is>
          <t>3</t>
        </is>
      </c>
      <c r="F13" s="12" t="inlineStr">
        <is>
          <t>N</t>
        </is>
      </c>
      <c r="G13" s="12" t="inlineStr">
        <is>
          <t>-</t>
        </is>
      </c>
      <c r="H13" s="12" t="inlineStr">
        <is>
          <t>Digits</t>
        </is>
      </c>
      <c r="I13" s="12" t="inlineStr">
        <is>
          <t>60</t>
        </is>
      </c>
      <c r="J13" s="12" t="inlineStr">
        <is>
          <t>cat_insurer.default_credit_days</t>
        </is>
      </c>
      <c r="K13" s="12" t="inlineStr">
        <is>
          <t>0 to 365</t>
        </is>
      </c>
      <c r="L13" s="12" t="inlineStr">
        <is>
          <t>EBIX</t>
        </is>
      </c>
    </row>
    <row r="14">
      <c r="A14" s="12" t="n">
        <v>10</v>
      </c>
      <c r="B14" s="12" t="inlineStr">
        <is>
          <t>status</t>
        </is>
      </c>
      <c r="C14" s="12" t="inlineStr">
        <is>
          <t>Insurer status in legacy</t>
        </is>
      </c>
      <c r="D14" s="12" t="inlineStr">
        <is>
          <t>Code</t>
        </is>
      </c>
      <c r="E14" s="12" t="inlineStr">
        <is>
          <t>20</t>
        </is>
      </c>
      <c r="F14" s="12" t="inlineStr">
        <is>
          <t>Y</t>
        </is>
      </c>
      <c r="G14" s="12" t="inlineStr">
        <is>
          <t>Code map STATUS:INSURER</t>
        </is>
      </c>
      <c r="H14" s="12" t="inlineStr">
        <is>
          <t>As stored in legacy</t>
        </is>
      </c>
      <c r="I14" s="12" t="inlineStr">
        <is>
          <t>ACTIVE</t>
        </is>
      </c>
      <c r="J14" s="12" t="inlineStr">
        <is>
          <t>cat_insurer.record_status</t>
        </is>
      </c>
      <c r="K14" s="12" t="inlineStr">
        <is>
          <t>Mapped</t>
        </is>
      </c>
      <c r="L14" s="12" t="inlineStr">
        <is>
          <t>QPS and EBIX</t>
        </is>
      </c>
    </row>
  </sheetData>
  <autoFilter ref="A4:L14"/>
  <mergeCells count="1">
    <mergeCell ref="A2:L2"/>
  </mergeCells>
  <conditionalFormatting sqref="A5:L514">
    <cfRule type="expression" priority="1" dxfId="3">
      <formula>AND(MOD(ROW(),2)=0,$A5&lt;&gt;"")</formula>
    </cfRule>
  </conditionalFormatting>
  <dataValidations count="2">
    <dataValidation sqref="D5:D514" showDropDown="0" showInputMessage="0" showErrorMessage="1" allowBlank="1" errorTitle="Type" error="Choose a value from the list (Type)." type="list">
      <formula1>'_lists'!$J$1:$J$8</formula1>
    </dataValidation>
    <dataValidation sqref="F5:F514" showDropDown="0" showInputMessage="0" showErrorMessage="1" allowBlank="1" errorTitle="Mandatory" error="Choose a value from the list (Mandatory)." type="list">
      <formula1>'_lists'!$K$1:$K$3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R04B Insurer branches</t>
        </is>
      </c>
    </row>
    <row r="2">
      <c r="A2" s="24" t="inlineStr">
        <is>
          <t>Layout R04B of object R04; key: insurer_code, branch_code; template templates/R04B_template.csv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insurer_code</t>
        </is>
      </c>
      <c r="C5" s="12" t="inlineStr">
        <is>
          <t>Legacy insurer code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Code map INSURER</t>
        </is>
      </c>
      <c r="H5" s="12" t="inlineStr">
        <is>
          <t>As stored in legacy</t>
        </is>
      </c>
      <c r="I5" s="12" t="inlineStr">
        <is>
          <t>MAL</t>
        </is>
      </c>
      <c r="J5" s="12" t="inlineStr">
        <is>
          <t>cat_insurer_branch.insurer_id</t>
        </is>
      </c>
      <c r="K5" s="12" t="inlineStr">
        <is>
          <t>Exists in R04</t>
        </is>
      </c>
      <c r="L5" s="12" t="inlineStr">
        <is>
          <t>QPS</t>
        </is>
      </c>
    </row>
    <row r="6">
      <c r="A6" s="12" t="n">
        <v>2</v>
      </c>
      <c r="B6" s="12" t="inlineStr">
        <is>
          <t>branch_code</t>
        </is>
      </c>
      <c r="C6" s="12" t="inlineStr">
        <is>
          <t>Legacy insurer branch code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MAL-CEB</t>
        </is>
      </c>
      <c r="J6" s="12" t="inlineStr">
        <is>
          <t>Code map INSURER_BRANCH to cat_insurer_branch.code</t>
        </is>
      </c>
      <c r="K6" s="12" t="inlineStr">
        <is>
          <t>Unique per insurer</t>
        </is>
      </c>
      <c r="L6" s="12" t="inlineStr">
        <is>
          <t>QPS</t>
        </is>
      </c>
    </row>
    <row r="7">
      <c r="A7" s="12" t="n">
        <v>3</v>
      </c>
      <c r="B7" s="12" t="inlineStr">
        <is>
          <t>branch_name</t>
        </is>
      </c>
      <c r="C7" s="12" t="inlineStr">
        <is>
          <t>Branch name</t>
        </is>
      </c>
      <c r="D7" s="12" t="inlineStr">
        <is>
          <t>Text</t>
        </is>
      </c>
      <c r="E7" s="12" t="inlineStr">
        <is>
          <t>120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Malayan Cebu</t>
        </is>
      </c>
      <c r="J7" s="12" t="inlineStr">
        <is>
          <t>cat_insurer_branch.name</t>
        </is>
      </c>
      <c r="K7" s="12" t="inlineStr">
        <is>
          <t>Not blank</t>
        </is>
      </c>
      <c r="L7" s="12" t="inlineStr">
        <is>
          <t>QPS</t>
        </is>
      </c>
    </row>
    <row r="8">
      <c r="A8" s="12" t="n">
        <v>4</v>
      </c>
      <c r="B8" s="12" t="inlineStr">
        <is>
          <t>city</t>
        </is>
      </c>
      <c r="C8" s="12" t="inlineStr">
        <is>
          <t>City</t>
        </is>
      </c>
      <c r="D8" s="12" t="inlineStr">
        <is>
          <t>Text</t>
        </is>
      </c>
      <c r="E8" s="12" t="inlineStr">
        <is>
          <t>80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Free text</t>
        </is>
      </c>
      <c r="I8" s="12" t="inlineStr">
        <is>
          <t>Cebu City</t>
        </is>
      </c>
      <c r="J8" s="12" t="inlineStr">
        <is>
          <t>cat_insurer_branch.city</t>
        </is>
      </c>
      <c r="K8" s="12" t="inlineStr">
        <is>
          <t>-</t>
        </is>
      </c>
      <c r="L8" s="12" t="inlineStr">
        <is>
          <t>QPS</t>
        </is>
      </c>
    </row>
    <row r="9">
      <c r="A9" s="12" t="n">
        <v>5</v>
      </c>
      <c r="B9" s="12" t="inlineStr">
        <is>
          <t>lgt_rate</t>
        </is>
      </c>
      <c r="C9" s="12" t="inlineStr">
        <is>
          <t>Local government tax rate of the branch location, in percent</t>
        </is>
      </c>
      <c r="D9" s="12" t="inlineStr">
        <is>
          <t>Decimal</t>
        </is>
      </c>
      <c r="E9" s="12" t="inlineStr">
        <is>
          <t>9,4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Dot decimal</t>
        </is>
      </c>
      <c r="I9" s="12" t="inlineStr">
        <is>
          <t>0.75</t>
        </is>
      </c>
      <c r="J9" s="12" t="inlineStr">
        <is>
          <t>cat_insurer_branch.lgt_rate</t>
        </is>
      </c>
      <c r="K9" s="12" t="inlineStr">
        <is>
          <t>0 to 5</t>
        </is>
      </c>
      <c r="L9" s="12" t="inlineStr">
        <is>
          <t>QPS</t>
        </is>
      </c>
    </row>
    <row r="10">
      <c r="A10" s="12" t="n">
        <v>6</v>
      </c>
      <c r="B10" s="12" t="inlineStr">
        <is>
          <t>placement_email</t>
        </is>
      </c>
      <c r="C10" s="12" t="inlineStr">
        <is>
          <t>Branch placement e-mail</t>
        </is>
      </c>
      <c r="D10" s="12" t="inlineStr">
        <is>
          <t>Text</t>
        </is>
      </c>
      <c r="E10" s="12" t="inlineStr">
        <is>
          <t>120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name@domain</t>
        </is>
      </c>
      <c r="I10" s="12" t="inlineStr">
        <is>
          <t>cebu@insurer.example</t>
        </is>
      </c>
      <c r="J10" s="12" t="inlineStr">
        <is>
          <t>cat_insurer_branch.placement_email</t>
        </is>
      </c>
      <c r="K10" s="12" t="inlineStr">
        <is>
          <t>Valid e-mail</t>
        </is>
      </c>
      <c r="L10" s="12" t="inlineStr">
        <is>
          <t>QPS</t>
        </is>
      </c>
    </row>
    <row r="11">
      <c r="A11" s="12" t="n">
        <v>7</v>
      </c>
      <c r="B11" s="12" t="inlineStr">
        <is>
          <t>status</t>
        </is>
      </c>
      <c r="C11" s="12" t="inlineStr">
        <is>
          <t>Branch status</t>
        </is>
      </c>
      <c r="D11" s="12" t="inlineStr">
        <is>
          <t>Code</t>
        </is>
      </c>
      <c r="E11" s="12" t="inlineStr">
        <is>
          <t>20</t>
        </is>
      </c>
      <c r="F11" s="12" t="inlineStr">
        <is>
          <t>Y</t>
        </is>
      </c>
      <c r="G11" s="12" t="inlineStr">
        <is>
          <t>Code map STATUS:INSURER</t>
        </is>
      </c>
      <c r="H11" s="12" t="inlineStr">
        <is>
          <t>As stored in legacy</t>
        </is>
      </c>
      <c r="I11" s="12" t="inlineStr">
        <is>
          <t>ACTIVE</t>
        </is>
      </c>
      <c r="J11" s="12" t="inlineStr">
        <is>
          <t>cat_insurer_branch.record_status</t>
        </is>
      </c>
      <c r="K11" s="12" t="inlineStr">
        <is>
          <t>Mapped</t>
        </is>
      </c>
      <c r="L11" s="12" t="inlineStr">
        <is>
          <t>QPS</t>
        </is>
      </c>
    </row>
  </sheetData>
  <autoFilter ref="A4:L11"/>
  <mergeCells count="1">
    <mergeCell ref="A2:L2"/>
  </mergeCells>
  <conditionalFormatting sqref="A5:L511">
    <cfRule type="expression" priority="1" dxfId="3">
      <formula>AND(MOD(ROW(),2)=0,$A5&lt;&gt;"")</formula>
    </cfRule>
  </conditionalFormatting>
  <dataValidations count="2">
    <dataValidation sqref="D5:D511" showDropDown="0" showInputMessage="0" showErrorMessage="1" allowBlank="1" errorTitle="Type" error="Choose a value from the list (Type)." type="list">
      <formula1>'_lists'!$L$1:$L$8</formula1>
    </dataValidation>
    <dataValidation sqref="F5:F511" showDropDown="0" showInputMessage="0" showErrorMessage="1" allowBlank="1" errorTitle="Mandatory" error="Choose a value from the list (Mandatory)." type="list">
      <formula1>'_lists'!$M$1:$M$3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R05 Products and risk codes</t>
        </is>
      </c>
    </row>
    <row r="2">
      <c r="A2" s="24" t="inlineStr">
        <is>
          <t>Layout R05 of object R05; key: risk_code; template templates/R05_template.csv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line_code</t>
        </is>
      </c>
      <c r="C5" s="12" t="inlineStr">
        <is>
          <t>Legacy line of business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Code map LINE</t>
        </is>
      </c>
      <c r="H5" s="12" t="inlineStr">
        <is>
          <t>As stored in legacy</t>
        </is>
      </c>
      <c r="I5" s="12" t="inlineStr">
        <is>
          <t>MOTOR</t>
        </is>
      </c>
      <c r="J5" s="12" t="inlineStr">
        <is>
          <t>cat_product.line_code (through LINE)</t>
        </is>
      </c>
      <c r="K5" s="12" t="inlineStr">
        <is>
          <t>Mapped</t>
        </is>
      </c>
      <c r="L5" s="12" t="inlineStr">
        <is>
          <t>QPS and EBIX product tables</t>
        </is>
      </c>
    </row>
    <row r="6">
      <c r="A6" s="12" t="n">
        <v>2</v>
      </c>
      <c r="B6" s="12" t="inlineStr">
        <is>
          <t>line_name</t>
        </is>
      </c>
      <c r="C6" s="12" t="inlineStr">
        <is>
          <t>Line name</t>
        </is>
      </c>
      <c r="D6" s="12" t="inlineStr">
        <is>
          <t>Text</t>
        </is>
      </c>
      <c r="E6" s="12" t="inlineStr">
        <is>
          <t>120</t>
        </is>
      </c>
      <c r="F6" s="12" t="inlineStr">
        <is>
          <t>N</t>
        </is>
      </c>
      <c r="G6" s="12" t="inlineStr">
        <is>
          <t>-</t>
        </is>
      </c>
      <c r="H6" s="12" t="inlineStr">
        <is>
          <t>Free text</t>
        </is>
      </c>
      <c r="I6" s="12" t="inlineStr">
        <is>
          <t>Motor Car</t>
        </is>
      </c>
      <c r="J6" s="12" t="inlineStr">
        <is>
          <t>cat_product_line name (check)</t>
        </is>
      </c>
      <c r="K6" s="12" t="inlineStr">
        <is>
          <t>-</t>
        </is>
      </c>
      <c r="L6" s="12" t="inlineStr">
        <is>
          <t>QPS</t>
        </is>
      </c>
    </row>
    <row r="7">
      <c r="A7" s="12" t="n">
        <v>3</v>
      </c>
      <c r="B7" s="12" t="inlineStr">
        <is>
          <t>cover_type_code</t>
        </is>
      </c>
      <c r="C7" s="12" t="inlineStr">
        <is>
          <t>Legacy cover type</t>
        </is>
      </c>
      <c r="D7" s="12" t="inlineStr">
        <is>
          <t>Code</t>
        </is>
      </c>
      <c r="E7" s="12" t="inlineStr">
        <is>
          <t>30</t>
        </is>
      </c>
      <c r="F7" s="12" t="inlineStr">
        <is>
          <t>N</t>
        </is>
      </c>
      <c r="G7" s="12" t="inlineStr">
        <is>
          <t>Code map COVER_TYPE</t>
        </is>
      </c>
      <c r="H7" s="12" t="inlineStr">
        <is>
          <t>As stored in legacy</t>
        </is>
      </c>
      <c r="I7" s="12" t="inlineStr">
        <is>
          <t>COMP</t>
        </is>
      </c>
      <c r="J7" s="12" t="inlineStr">
        <is>
          <t>cat_product.cover_type_code</t>
        </is>
      </c>
      <c r="K7" s="12" t="inlineStr">
        <is>
          <t>Mapped</t>
        </is>
      </c>
      <c r="L7" s="12" t="inlineStr">
        <is>
          <t>QPS</t>
        </is>
      </c>
    </row>
    <row r="8">
      <c r="A8" s="12" t="n">
        <v>4</v>
      </c>
      <c r="B8" s="12" t="inlineStr">
        <is>
          <t>risk_code</t>
        </is>
      </c>
      <c r="C8" s="12" t="inlineStr">
        <is>
          <t>Legacy risk code / product code</t>
        </is>
      </c>
      <c r="D8" s="12" t="inlineStr">
        <is>
          <t>Code</t>
        </is>
      </c>
      <c r="E8" s="12" t="inlineStr">
        <is>
          <t>20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As stored in legacy</t>
        </is>
      </c>
      <c r="I8" s="12" t="inlineStr">
        <is>
          <t>MC-PC-COMP</t>
        </is>
      </c>
      <c r="J8" s="12" t="inlineStr">
        <is>
          <t>Code map PRODUCT to cat_product.code</t>
        </is>
      </c>
      <c r="K8" s="12" t="inlineStr">
        <is>
          <t>Unique</t>
        </is>
      </c>
      <c r="L8" s="12" t="inlineStr">
        <is>
          <t>QPS and EBIX</t>
        </is>
      </c>
    </row>
    <row r="9">
      <c r="A9" s="12" t="n">
        <v>5</v>
      </c>
      <c r="B9" s="12" t="inlineStr">
        <is>
          <t>risk_name</t>
        </is>
      </c>
      <c r="C9" s="12" t="inlineStr">
        <is>
          <t>Product / risk name</t>
        </is>
      </c>
      <c r="D9" s="12" t="inlineStr">
        <is>
          <t>Text</t>
        </is>
      </c>
      <c r="E9" s="12" t="inlineStr">
        <is>
          <t>200</t>
        </is>
      </c>
      <c r="F9" s="12" t="inlineStr">
        <is>
          <t>Y</t>
        </is>
      </c>
      <c r="G9" s="12" t="inlineStr">
        <is>
          <t>-</t>
        </is>
      </c>
      <c r="H9" s="12" t="inlineStr">
        <is>
          <t>Free text</t>
        </is>
      </c>
      <c r="I9" s="12" t="inlineStr">
        <is>
          <t>Private Car Own Damage and Theft</t>
        </is>
      </c>
      <c r="J9" s="12" t="inlineStr">
        <is>
          <t>cat_product.name (for CREATE)</t>
        </is>
      </c>
      <c r="K9" s="12" t="inlineStr">
        <is>
          <t>Not blank</t>
        </is>
      </c>
      <c r="L9" s="12" t="inlineStr">
        <is>
          <t>QPS</t>
        </is>
      </c>
    </row>
    <row r="10">
      <c r="A10" s="12" t="n">
        <v>6</v>
      </c>
      <c r="B10" s="12" t="inlineStr">
        <is>
          <t>packaged_flag</t>
        </is>
      </c>
      <c r="C10" s="12" t="inlineStr">
        <is>
          <t>Sold as a package</t>
        </is>
      </c>
      <c r="D10" s="12" t="inlineStr">
        <is>
          <t>Flag</t>
        </is>
      </c>
      <c r="E10" s="12" t="inlineStr">
        <is>
          <t>1</t>
        </is>
      </c>
      <c r="F10" s="12" t="inlineStr">
        <is>
          <t>N</t>
        </is>
      </c>
      <c r="G10" s="12" t="inlineStr">
        <is>
          <t>Y, N</t>
        </is>
      </c>
      <c r="H10" s="12" t="inlineStr">
        <is>
          <t>Y or N</t>
        </is>
      </c>
      <c r="I10" s="12" t="inlineStr">
        <is>
          <t>N</t>
        </is>
      </c>
      <c r="J10" s="12" t="inlineStr">
        <is>
          <t>cat_product.packaged</t>
        </is>
      </c>
      <c r="K10" s="12" t="inlineStr">
        <is>
          <t>Y or N</t>
        </is>
      </c>
      <c r="L10" s="12" t="inlineStr">
        <is>
          <t>QPS</t>
        </is>
      </c>
    </row>
    <row r="11">
      <c r="A11" s="12" t="n">
        <v>7</v>
      </c>
      <c r="B11" s="12" t="inlineStr">
        <is>
          <t>market_segments</t>
        </is>
      </c>
      <c r="C11" s="12" t="inlineStr">
        <is>
          <t>Segments that may use the product, separated by semicolons</t>
        </is>
      </c>
      <c r="D11" s="12" t="inlineStr">
        <is>
          <t>Text</t>
        </is>
      </c>
      <c r="E11" s="12" t="inlineStr">
        <is>
          <t>300</t>
        </is>
      </c>
      <c r="F11" s="12" t="inlineStr">
        <is>
          <t>N</t>
        </is>
      </c>
      <c r="G11" s="12" t="inlineStr">
        <is>
          <t>Code map LOV:MARKET_SEGMENT</t>
        </is>
      </c>
      <c r="H11" s="12" t="inlineStr">
        <is>
          <t>CODE;CODE</t>
        </is>
      </c>
      <c r="I11" s="12" t="inlineStr">
        <is>
          <t>CBG;RETAIL</t>
        </is>
      </c>
      <c r="J11" s="12" t="inlineStr">
        <is>
          <t>cat_product.market_segments</t>
        </is>
      </c>
      <c r="K11" s="12" t="inlineStr">
        <is>
          <t>Each mapped</t>
        </is>
      </c>
      <c r="L11" s="12" t="inlineStr">
        <is>
          <t>QPS</t>
        </is>
      </c>
    </row>
    <row r="12">
      <c r="A12" s="12" t="n">
        <v>8</v>
      </c>
      <c r="B12" s="12" t="inlineStr">
        <is>
          <t>status</t>
        </is>
      </c>
      <c r="C12" s="12" t="inlineStr">
        <is>
          <t>Status in legacy</t>
        </is>
      </c>
      <c r="D12" s="12" t="inlineStr">
        <is>
          <t>Code</t>
        </is>
      </c>
      <c r="E12" s="12" t="inlineStr">
        <is>
          <t>20</t>
        </is>
      </c>
      <c r="F12" s="12" t="inlineStr">
        <is>
          <t>Y</t>
        </is>
      </c>
      <c r="G12" s="12" t="inlineStr">
        <is>
          <t>Code map STATUS:PRODUCT</t>
        </is>
      </c>
      <c r="H12" s="12" t="inlineStr">
        <is>
          <t>As stored in legacy</t>
        </is>
      </c>
      <c r="I12" s="12" t="inlineStr">
        <is>
          <t>ACTIVE</t>
        </is>
      </c>
      <c r="J12" s="12" t="inlineStr">
        <is>
          <t>cat_product.record_status</t>
        </is>
      </c>
      <c r="K12" s="12" t="inlineStr">
        <is>
          <t>Mapped</t>
        </is>
      </c>
      <c r="L12" s="12" t="inlineStr">
        <is>
          <t>QPS</t>
        </is>
      </c>
    </row>
    <row r="13">
      <c r="A13" s="12" t="n">
        <v>9</v>
      </c>
      <c r="B13" s="12" t="inlineStr">
        <is>
          <t>open_item_count</t>
        </is>
      </c>
      <c r="C13" s="12" t="inlineStr">
        <is>
          <t>Open invoices and in-force policies using the code (helps the mapping)</t>
        </is>
      </c>
      <c r="D13" s="12" t="inlineStr">
        <is>
          <t>Integer</t>
        </is>
      </c>
      <c r="E13" s="12" t="inlineStr">
        <is>
          <t>9</t>
        </is>
      </c>
      <c r="F13" s="12" t="inlineStr">
        <is>
          <t>N</t>
        </is>
      </c>
      <c r="G13" s="12" t="inlineStr">
        <is>
          <t>-</t>
        </is>
      </c>
      <c r="H13" s="12" t="inlineStr">
        <is>
          <t>Digits</t>
        </is>
      </c>
      <c r="I13" s="12" t="inlineStr">
        <is>
          <t>4211</t>
        </is>
      </c>
      <c r="J13" s="12" t="inlineStr">
        <is>
          <t>- (profiling only)</t>
        </is>
      </c>
      <c r="K13" s="12" t="inlineStr">
        <is>
          <t>0 or more</t>
        </is>
      </c>
      <c r="L13" s="12" t="inlineStr">
        <is>
          <t>Legacy query</t>
        </is>
      </c>
    </row>
  </sheetData>
  <autoFilter ref="A4:L13"/>
  <mergeCells count="1">
    <mergeCell ref="A2:L2"/>
  </mergeCells>
  <conditionalFormatting sqref="A5:L513">
    <cfRule type="expression" priority="1" dxfId="3">
      <formula>AND(MOD(ROW(),2)=0,$A5&lt;&gt;"")</formula>
    </cfRule>
  </conditionalFormatting>
  <dataValidations count="2">
    <dataValidation sqref="D5:D513" showDropDown="0" showInputMessage="0" showErrorMessage="1" allowBlank="1" errorTitle="Type" error="Choose a value from the list (Type)." type="list">
      <formula1>'_lists'!$N$1:$N$8</formula1>
    </dataValidation>
    <dataValidation sqref="F5:F513" showDropDown="0" showInputMessage="0" showErrorMessage="1" allowBlank="1" errorTitle="Mandatory" error="Choose a value from the list (Mandatory)." type="list">
      <formula1>'_lists'!$O$1:$O$3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R06 PACKAGE map</t>
        </is>
      </c>
    </row>
    <row r="2">
      <c r="A2" s="24" t="inlineStr">
        <is>
          <t>Layout R06 of object R06; key: legacy_package_code, legacy_package_version, qualifier, qualifier_value; template templates/R06_template.csv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legacy_package_code</t>
        </is>
      </c>
      <c r="C5" s="12" t="inlineStr">
        <is>
          <t>Legacy package code</t>
        </is>
      </c>
      <c r="D5" s="12" t="inlineStr">
        <is>
          <t>Code</t>
        </is>
      </c>
      <c r="E5" s="12" t="inlineStr">
        <is>
          <t>20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PKG-MC-PRIV</t>
        </is>
      </c>
      <c r="J5" s="12" t="inlineStr">
        <is>
          <t>Renewal package map - legacy package</t>
        </is>
      </c>
      <c r="K5" s="12" t="inlineStr">
        <is>
          <t>Exists in the legacy package list</t>
        </is>
      </c>
      <c r="L5" s="12" t="inlineStr">
        <is>
          <t>QPS package tables</t>
        </is>
      </c>
    </row>
    <row r="6">
      <c r="A6" s="12" t="n">
        <v>2</v>
      </c>
      <c r="B6" s="12" t="inlineStr">
        <is>
          <t>legacy_package_version</t>
        </is>
      </c>
      <c r="C6" s="12" t="inlineStr">
        <is>
          <t>Version of the legacy package</t>
        </is>
      </c>
      <c r="D6" s="12" t="inlineStr">
        <is>
          <t>Integer</t>
        </is>
      </c>
      <c r="E6" s="12" t="inlineStr">
        <is>
          <t>4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Digits</t>
        </is>
      </c>
      <c r="I6" s="12" t="inlineStr">
        <is>
          <t>3</t>
        </is>
      </c>
      <c r="J6" s="12" t="inlineStr">
        <is>
          <t>Renewal package map - legacy version</t>
        </is>
      </c>
      <c r="K6" s="12" t="inlineStr">
        <is>
          <t>0 or more</t>
        </is>
      </c>
      <c r="L6" s="12" t="inlineStr">
        <is>
          <t>QPS package tables</t>
        </is>
      </c>
    </row>
    <row r="7">
      <c r="A7" s="12" t="n">
        <v>3</v>
      </c>
      <c r="B7" s="12" t="inlineStr">
        <is>
          <t>legacy_package_name</t>
        </is>
      </c>
      <c r="C7" s="12" t="inlineStr">
        <is>
          <t>Package name in legacy</t>
        </is>
      </c>
      <c r="D7" s="12" t="inlineStr">
        <is>
          <t>Text</t>
        </is>
      </c>
      <c r="E7" s="12" t="inlineStr">
        <is>
          <t>200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Private Car Package 2027</t>
        </is>
      </c>
      <c r="J7" s="12" t="inlineStr">
        <is>
          <t>Map entry description</t>
        </is>
      </c>
      <c r="K7" s="12" t="inlineStr">
        <is>
          <t>Not blank</t>
        </is>
      </c>
      <c r="L7" s="12" t="inlineStr">
        <is>
          <t>QPS</t>
        </is>
      </c>
    </row>
    <row r="8">
      <c r="A8" s="12" t="n">
        <v>4</v>
      </c>
      <c r="B8" s="12" t="inlineStr">
        <is>
          <t>qualifier</t>
        </is>
      </c>
      <c r="C8" s="12" t="inlineStr">
        <is>
          <t>Attribute that splits one legacy package into several BIBS packages</t>
        </is>
      </c>
      <c r="D8" s="12" t="inlineStr">
        <is>
          <t>Code</t>
        </is>
      </c>
      <c r="E8" s="12" t="inlineStr">
        <is>
          <t>20</t>
        </is>
      </c>
      <c r="F8" s="12" t="inlineStr">
        <is>
          <t>N</t>
        </is>
      </c>
      <c r="G8" s="12" t="inlineStr">
        <is>
          <t>RISK_CODE, INSURER, SI_BAND</t>
        </is>
      </c>
      <c r="H8" s="12" t="inlineStr">
        <is>
          <t>Upper case</t>
        </is>
      </c>
      <c r="I8" s="12" t="inlineStr">
        <is>
          <t>SI_BAND</t>
        </is>
      </c>
      <c r="J8" s="12" t="inlineStr">
        <is>
          <t>Map entry qualifier</t>
        </is>
      </c>
      <c r="K8" s="12" t="inlineStr">
        <is>
          <t>In the list; one qualifier per entry</t>
        </is>
      </c>
      <c r="L8" s="12" t="inlineStr">
        <is>
          <t>TSU</t>
        </is>
      </c>
    </row>
    <row r="9">
      <c r="A9" s="12" t="n">
        <v>5</v>
      </c>
      <c r="B9" s="12" t="inlineStr">
        <is>
          <t>qualifier_value</t>
        </is>
      </c>
      <c r="C9" s="12" t="inlineStr">
        <is>
          <t>Value of the qualifier (risk code, insurer code, or sum-insured band as from-to)</t>
        </is>
      </c>
      <c r="D9" s="12" t="inlineStr">
        <is>
          <t>Text</t>
        </is>
      </c>
      <c r="E9" s="12" t="inlineStr">
        <is>
          <t>60</t>
        </is>
      </c>
      <c r="F9" s="12" t="inlineStr">
        <is>
          <t>C</t>
        </is>
      </c>
      <c r="G9" s="12" t="inlineStr">
        <is>
          <t>-</t>
        </is>
      </c>
      <c r="H9" s="12" t="inlineStr">
        <is>
          <t>Code, or from-to amounts with a dot decimal</t>
        </is>
      </c>
      <c r="I9" s="12" t="inlineStr">
        <is>
          <t>0.00-2000000.00</t>
        </is>
      </c>
      <c r="J9" s="12" t="inlineStr">
        <is>
          <t>Map entry qualifier value</t>
        </is>
      </c>
      <c r="K9" s="12" t="inlineStr">
        <is>
          <t>Mandatory with a qualifier; bands of one legacy package do not overlap</t>
        </is>
      </c>
      <c r="L9" s="12" t="inlineStr">
        <is>
          <t>TSU</t>
        </is>
      </c>
    </row>
    <row r="10">
      <c r="A10" s="12" t="n">
        <v>6</v>
      </c>
      <c r="B10" s="12" t="inlineStr">
        <is>
          <t>action</t>
        </is>
      </c>
      <c r="C10" s="12" t="inlineStr">
        <is>
          <t>MAP to a BIBS package version, or REJECT (no BIBS package)</t>
        </is>
      </c>
      <c r="D10" s="12" t="inlineStr">
        <is>
          <t>Code</t>
        </is>
      </c>
      <c r="E10" s="12" t="inlineStr">
        <is>
          <t>6</t>
        </is>
      </c>
      <c r="F10" s="12" t="inlineStr">
        <is>
          <t>Y</t>
        </is>
      </c>
      <c r="G10" s="12" t="inlineStr">
        <is>
          <t>MAP, REJECT</t>
        </is>
      </c>
      <c r="H10" s="12" t="inlineStr">
        <is>
          <t>Upper case</t>
        </is>
      </c>
      <c r="I10" s="12" t="inlineStr">
        <is>
          <t>MAP</t>
        </is>
      </c>
      <c r="J10" s="12" t="inlineStr">
        <is>
          <t>Map entry action</t>
        </is>
      </c>
      <c r="K10" s="12" t="inlineStr">
        <is>
          <t>In the list</t>
        </is>
      </c>
      <c r="L10" s="12" t="inlineStr">
        <is>
          <t>TSU</t>
        </is>
      </c>
    </row>
    <row r="11">
      <c r="A11" s="12" t="n">
        <v>7</v>
      </c>
      <c r="B11" s="12" t="inlineStr">
        <is>
          <t>bibs_package_version</t>
        </is>
      </c>
      <c r="C11" s="12" t="inlineStr">
        <is>
          <t>BIBS package version maintained by TSU</t>
        </is>
      </c>
      <c r="D11" s="12" t="inlineStr">
        <is>
          <t>Code</t>
        </is>
      </c>
      <c r="E11" s="12" t="inlineStr">
        <is>
          <t>40</t>
        </is>
      </c>
      <c r="F11" s="12" t="inlineStr">
        <is>
          <t>C</t>
        </is>
      </c>
      <c r="G11" s="12" t="inlineStr">
        <is>
          <t>Active package versions in Product Maintenance</t>
        </is>
      </c>
      <c r="H11" s="12" t="inlineStr">
        <is>
          <t>As in BIBS</t>
        </is>
      </c>
      <c r="I11" s="12" t="inlineStr">
        <is>
          <t>MC-PRIVATE-STD v1</t>
        </is>
      </c>
      <c r="J11" s="12" t="inlineStr">
        <is>
          <t>Map entry target (cat_product_version)</t>
        </is>
      </c>
      <c r="K11" s="12" t="inlineStr">
        <is>
          <t>Mandatory for MAP; active in Product Maintenance</t>
        </is>
      </c>
      <c r="L11" s="12" t="inlineStr">
        <is>
          <t>TSU</t>
        </is>
      </c>
    </row>
    <row r="12">
      <c r="A12" s="12" t="n">
        <v>8</v>
      </c>
      <c r="B12" s="12" t="inlineStr">
        <is>
          <t>remarks</t>
        </is>
      </c>
      <c r="C12" s="12" t="inlineStr">
        <is>
          <t>Why the entry maps as it does</t>
        </is>
      </c>
      <c r="D12" s="12" t="inlineStr">
        <is>
          <t>Text</t>
        </is>
      </c>
      <c r="E12" s="12" t="inlineStr">
        <is>
          <t>250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Free text</t>
        </is>
      </c>
      <c r="I12" s="12" t="inlineStr">
        <is>
          <t>Sum insured up to 2,000,000.00</t>
        </is>
      </c>
      <c r="J12" s="12" t="inlineStr">
        <is>
          <t>Map entry remarks</t>
        </is>
      </c>
      <c r="K12" s="12" t="inlineStr">
        <is>
          <t>-</t>
        </is>
      </c>
      <c r="L12" s="12" t="inlineStr">
        <is>
          <t>TSU</t>
        </is>
      </c>
    </row>
  </sheetData>
  <autoFilter ref="A4:L12"/>
  <mergeCells count="1">
    <mergeCell ref="A2:L2"/>
  </mergeCells>
  <conditionalFormatting sqref="A5:L512">
    <cfRule type="expression" priority="1" dxfId="3">
      <formula>AND(MOD(ROW(),2)=0,$A5&lt;&gt;"")</formula>
    </cfRule>
  </conditionalFormatting>
  <dataValidations count="2">
    <dataValidation sqref="D5:D512" showDropDown="0" showInputMessage="0" showErrorMessage="1" allowBlank="1" errorTitle="Type" error="Choose a value from the list (Type)." type="list">
      <formula1>'_lists'!$P$1:$P$8</formula1>
    </dataValidation>
    <dataValidation sqref="F5:F512" showDropDown="0" showInputMessage="0" showErrorMessage="1" allowBlank="1" errorTitle="Mandatory" error="Choose a value from the list (Mandatory)." type="list">
      <formula1>'_lists'!$Q$1:$Q$3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R07 Commission rates</t>
        </is>
      </c>
    </row>
    <row r="2">
      <c r="A2" s="24" t="inlineStr">
        <is>
          <t>Layout R07 of object R07; key: insurer_code, risk_code, effective_from; template templates/R07_template.csv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insurer_code</t>
        </is>
      </c>
      <c r="C5" s="12" t="inlineStr">
        <is>
          <t>Legacy insurer code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Code map INSURER</t>
        </is>
      </c>
      <c r="H5" s="12" t="inlineStr">
        <is>
          <t>As stored in legacy</t>
        </is>
      </c>
      <c r="I5" s="12" t="inlineStr">
        <is>
          <t>MAL</t>
        </is>
      </c>
      <c r="J5" s="12" t="inlineStr">
        <is>
          <t>cat_commission_rate.insurer_code</t>
        </is>
      </c>
      <c r="K5" s="12" t="inlineStr">
        <is>
          <t>Mapped</t>
        </is>
      </c>
      <c r="L5" s="12" t="inlineStr">
        <is>
          <t>QPS and EBIX rate tables</t>
        </is>
      </c>
    </row>
    <row r="6">
      <c r="A6" s="12" t="n">
        <v>2</v>
      </c>
      <c r="B6" s="12" t="inlineStr">
        <is>
          <t>risk_code</t>
        </is>
      </c>
      <c r="C6" s="12" t="inlineStr">
        <is>
          <t>Legacy product / risk code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Code map PRODUCT</t>
        </is>
      </c>
      <c r="H6" s="12" t="inlineStr">
        <is>
          <t>As stored in legacy</t>
        </is>
      </c>
      <c r="I6" s="12" t="inlineStr">
        <is>
          <t>MC-PC-COMP</t>
        </is>
      </c>
      <c r="J6" s="12" t="inlineStr">
        <is>
          <t>cat_commission_rate.product_code</t>
        </is>
      </c>
      <c r="K6" s="12" t="inlineStr">
        <is>
          <t>Mapped</t>
        </is>
      </c>
      <c r="L6" s="12" t="inlineStr">
        <is>
          <t>QPS and EBIX</t>
        </is>
      </c>
    </row>
    <row r="7">
      <c r="A7" s="12" t="n">
        <v>3</v>
      </c>
      <c r="B7" s="12" t="inlineStr">
        <is>
          <t>rate_pct</t>
        </is>
      </c>
      <c r="C7" s="12" t="inlineStr">
        <is>
          <t>Commission rate in percent</t>
        </is>
      </c>
      <c r="D7" s="12" t="inlineStr">
        <is>
          <t>Decimal</t>
        </is>
      </c>
      <c r="E7" s="12" t="inlineStr">
        <is>
          <t>9,4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Dot decimal</t>
        </is>
      </c>
      <c r="I7" s="12" t="inlineStr">
        <is>
          <t>20.0000</t>
        </is>
      </c>
      <c r="J7" s="12" t="inlineStr">
        <is>
          <t>cat_commission_rate.rate</t>
        </is>
      </c>
      <c r="K7" s="12" t="inlineStr">
        <is>
          <t>0 to 100</t>
        </is>
      </c>
      <c r="L7" s="12" t="inlineStr">
        <is>
          <t>QPS and EBIX</t>
        </is>
      </c>
    </row>
    <row r="8">
      <c r="A8" s="12" t="n">
        <v>4</v>
      </c>
      <c r="B8" s="12" t="inlineStr">
        <is>
          <t>effective_from</t>
        </is>
      </c>
      <c r="C8" s="12" t="inlineStr">
        <is>
          <t>Rate valid from</t>
        </is>
      </c>
      <c r="D8" s="12" t="inlineStr">
        <is>
          <t>Date</t>
        </is>
      </c>
      <c r="E8" s="12" t="inlineStr">
        <is>
          <t>10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yyyy-MM-dd</t>
        </is>
      </c>
      <c r="I8" s="12" t="inlineStr">
        <is>
          <t>2026-01-01</t>
        </is>
      </c>
      <c r="J8" s="12" t="inlineStr">
        <is>
          <t>cat_commission_rate.effective_from</t>
        </is>
      </c>
      <c r="K8" s="12" t="inlineStr">
        <is>
          <t>Valid date</t>
        </is>
      </c>
      <c r="L8" s="12" t="inlineStr">
        <is>
          <t>QPS and EBIX</t>
        </is>
      </c>
    </row>
    <row r="9">
      <c r="A9" s="12" t="n">
        <v>5</v>
      </c>
      <c r="B9" s="12" t="inlineStr">
        <is>
          <t>effective_to</t>
        </is>
      </c>
      <c r="C9" s="12" t="inlineStr">
        <is>
          <t>Rate valid to</t>
        </is>
      </c>
      <c r="D9" s="12" t="inlineStr">
        <is>
          <t>Date</t>
        </is>
      </c>
      <c r="E9" s="12" t="inlineStr">
        <is>
          <t>10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yyyy-MM-dd</t>
        </is>
      </c>
      <c r="I9" s="12" t="inlineStr">
        <is>
          <t>-</t>
        </is>
      </c>
      <c r="J9" s="12" t="inlineStr">
        <is>
          <t>cat_commission_rate.effective_to</t>
        </is>
      </c>
      <c r="K9" s="12" t="inlineStr">
        <is>
          <t>No overlap for the same insurer and product</t>
        </is>
      </c>
      <c r="L9" s="12" t="inlineStr">
        <is>
          <t>QPS and EBIX</t>
        </is>
      </c>
    </row>
  </sheetData>
  <autoFilter ref="A4:L9"/>
  <mergeCells count="1">
    <mergeCell ref="A2:L2"/>
  </mergeCells>
  <conditionalFormatting sqref="A5:L509">
    <cfRule type="expression" priority="1" dxfId="3">
      <formula>AND(MOD(ROW(),2)=0,$A5&lt;&gt;"")</formula>
    </cfRule>
  </conditionalFormatting>
  <dataValidations count="2">
    <dataValidation sqref="D5:D509" showDropDown="0" showInputMessage="0" showErrorMessage="1" allowBlank="1" errorTitle="Type" error="Choose a value from the list (Type)." type="list">
      <formula1>'_lists'!$R$1:$R$8</formula1>
    </dataValidation>
    <dataValidation sqref="F5:F509" showDropDown="0" showInputMessage="0" showErrorMessage="1" allowBlank="1" errorTitle="Mandatory" error="Choose a value from the list (Mandatory)." type="list">
      <formula1>'_lists'!$S$1:$S$3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R08 GL account map</t>
        </is>
      </c>
    </row>
    <row r="2">
      <c r="A2" s="24" t="inlineStr">
        <is>
          <t>Layout R08 of object R08; key: legacy_account_code; template templates/R08_template.csv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legacy_account_code</t>
        </is>
      </c>
      <c r="C5" s="12" t="inlineStr">
        <is>
          <t>Legacy GL account code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1101-02</t>
        </is>
      </c>
      <c r="J5" s="12" t="inlineStr">
        <is>
          <t>Code map GL_ACCOUNT</t>
        </is>
      </c>
      <c r="K5" s="12" t="inlineStr">
        <is>
          <t>Unique</t>
        </is>
      </c>
      <c r="L5" s="12" t="inlineStr">
        <is>
          <t>EBIX and ISYS chart of accounts</t>
        </is>
      </c>
    </row>
    <row r="6">
      <c r="A6" s="12" t="n">
        <v>2</v>
      </c>
      <c r="B6" s="12" t="inlineStr">
        <is>
          <t>legacy_account_name</t>
        </is>
      </c>
      <c r="C6" s="12" t="inlineStr">
        <is>
          <t>Legacy account name</t>
        </is>
      </c>
      <c r="D6" s="12" t="inlineStr">
        <is>
          <t>Text</t>
        </is>
      </c>
      <c r="E6" s="12" t="inlineStr">
        <is>
          <t>200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Free text</t>
        </is>
      </c>
      <c r="I6" s="12" t="inlineStr">
        <is>
          <t>Cash in Bank - BDO Makati</t>
        </is>
      </c>
      <c r="J6" s="12" t="inlineStr">
        <is>
          <t>-</t>
        </is>
      </c>
      <c r="K6" s="12" t="inlineStr">
        <is>
          <t>Not blank</t>
        </is>
      </c>
      <c r="L6" s="12" t="inlineStr">
        <is>
          <t>EBIX and ISYS</t>
        </is>
      </c>
    </row>
    <row r="7">
      <c r="A7" s="12" t="n">
        <v>3</v>
      </c>
      <c r="B7" s="12" t="inlineStr">
        <is>
          <t>account_type</t>
        </is>
      </c>
      <c r="C7" s="12" t="inlineStr">
        <is>
          <t>Account type</t>
        </is>
      </c>
      <c r="D7" s="12" t="inlineStr">
        <is>
          <t>Code</t>
        </is>
      </c>
      <c r="E7" s="12" t="inlineStr">
        <is>
          <t>12</t>
        </is>
      </c>
      <c r="F7" s="12" t="inlineStr">
        <is>
          <t>Y</t>
        </is>
      </c>
      <c r="G7" s="12" t="inlineStr">
        <is>
          <t>ASSET, LIABILITY, EQUITY, INCOME, EXPENSE</t>
        </is>
      </c>
      <c r="H7" s="12" t="inlineStr">
        <is>
          <t>Upper case</t>
        </is>
      </c>
      <c r="I7" s="12" t="inlineStr">
        <is>
          <t>ASSET</t>
        </is>
      </c>
      <c r="J7" s="12" t="inlineStr">
        <is>
          <t>coa_account category (check)</t>
        </is>
      </c>
      <c r="K7" s="12" t="inlineStr">
        <is>
          <t>In the list</t>
        </is>
      </c>
      <c r="L7" s="12" t="inlineStr">
        <is>
          <t>EBIX and ISYS</t>
        </is>
      </c>
    </row>
    <row r="8">
      <c r="A8" s="12" t="n">
        <v>4</v>
      </c>
      <c r="B8" s="12" t="inlineStr">
        <is>
          <t>normal_balance</t>
        </is>
      </c>
      <c r="C8" s="12" t="inlineStr">
        <is>
          <t>Normal balance side</t>
        </is>
      </c>
      <c r="D8" s="12" t="inlineStr">
        <is>
          <t>Code</t>
        </is>
      </c>
      <c r="E8" s="12" t="inlineStr">
        <is>
          <t>2</t>
        </is>
      </c>
      <c r="F8" s="12" t="inlineStr">
        <is>
          <t>Y</t>
        </is>
      </c>
      <c r="G8" s="12" t="inlineStr">
        <is>
          <t>DR, CR</t>
        </is>
      </c>
      <c r="H8" s="12" t="inlineStr">
        <is>
          <t>Upper case</t>
        </is>
      </c>
      <c r="I8" s="12" t="inlineStr">
        <is>
          <t>DR</t>
        </is>
      </c>
      <c r="J8" s="12" t="inlineStr">
        <is>
          <t>- (check)</t>
        </is>
      </c>
      <c r="K8" s="12" t="inlineStr">
        <is>
          <t>In the list</t>
        </is>
      </c>
      <c r="L8" s="12" t="inlineStr">
        <is>
          <t>EBIX and ISYS</t>
        </is>
      </c>
    </row>
    <row r="9">
      <c r="A9" s="12" t="n">
        <v>5</v>
      </c>
      <c r="B9" s="12" t="inlineStr">
        <is>
          <t>legacy_control_type</t>
        </is>
      </c>
      <c r="C9" s="12" t="inlineStr">
        <is>
          <t>Marks the legacy control accounts whose balance F01 or F02 rebuilds in detail</t>
        </is>
      </c>
      <c r="D9" s="12" t="inlineStr">
        <is>
          <t>Code</t>
        </is>
      </c>
      <c r="E9" s="12" t="inlineStr">
        <is>
          <t>20</t>
        </is>
      </c>
      <c r="F9" s="12" t="inlineStr">
        <is>
          <t>N</t>
        </is>
      </c>
      <c r="G9" s="12" t="inlineStr">
        <is>
          <t>PR, PR2307, DTIP, COMMISSION_REC, UNREALIZED_COMM, DEFERRED_VAT, UPP, NONE</t>
        </is>
      </c>
      <c r="H9" s="12" t="inlineStr">
        <is>
          <t>Upper case</t>
        </is>
      </c>
      <c r="I9" s="12" t="inlineStr">
        <is>
          <t>NONE</t>
        </is>
      </c>
      <c r="J9" s="12" t="inlineStr">
        <is>
          <t>Mapped to Migration Clearing when not NONE</t>
        </is>
      </c>
      <c r="K9" s="12" t="inlineStr">
        <is>
          <t>In the list</t>
        </is>
      </c>
      <c r="L9" s="12" t="inlineStr">
        <is>
          <t>Comptrollership</t>
        </is>
      </c>
    </row>
    <row r="10">
      <c r="A10" s="12" t="n">
        <v>6</v>
      </c>
      <c r="B10" s="12" t="inlineStr">
        <is>
          <t>bibs_account_code</t>
        </is>
      </c>
      <c r="C10" s="12" t="inlineStr">
        <is>
          <t>BIBS account the legacy account maps to (filled by Comptrollership)</t>
        </is>
      </c>
      <c r="D10" s="12" t="inlineStr">
        <is>
          <t>Code</t>
        </is>
      </c>
      <c r="E10" s="12" t="inlineStr">
        <is>
          <t>30</t>
        </is>
      </c>
      <c r="F10" s="12" t="inlineStr">
        <is>
          <t>C</t>
        </is>
      </c>
      <c r="G10" s="12" t="inlineStr">
        <is>
          <t>coa_account codes</t>
        </is>
      </c>
      <c r="H10" s="12" t="inlineStr">
        <is>
          <t>As in the BIBS chart</t>
        </is>
      </c>
      <c r="I10" s="12" t="inlineStr">
        <is>
          <t>X102.03 (illustrative code, not in use)</t>
        </is>
      </c>
      <c r="J10" s="12" t="inlineStr">
        <is>
          <t>coa_account.code</t>
        </is>
      </c>
      <c r="K10" s="12" t="inlineStr">
        <is>
          <t>Mandatory when legacy_control_type is NONE; exists and active in BIBS</t>
        </is>
      </c>
      <c r="L10" s="12" t="inlineStr">
        <is>
          <t>Comptrollership</t>
        </is>
      </c>
    </row>
    <row r="11">
      <c r="A11" s="12" t="n">
        <v>7</v>
      </c>
      <c r="B11" s="12" t="inlineStr">
        <is>
          <t>branch_specific_flag</t>
        </is>
      </c>
      <c r="C11" s="12" t="inlineStr">
        <is>
          <t>Balances are kept per branch</t>
        </is>
      </c>
      <c r="D11" s="12" t="inlineStr">
        <is>
          <t>Flag</t>
        </is>
      </c>
      <c r="E11" s="12" t="inlineStr">
        <is>
          <t>1</t>
        </is>
      </c>
      <c r="F11" s="12" t="inlineStr">
        <is>
          <t>N</t>
        </is>
      </c>
      <c r="G11" s="12" t="inlineStr">
        <is>
          <t>Y, N</t>
        </is>
      </c>
      <c r="H11" s="12" t="inlineStr">
        <is>
          <t>Y or N</t>
        </is>
      </c>
      <c r="I11" s="12" t="inlineStr">
        <is>
          <t>Y</t>
        </is>
      </c>
      <c r="J11" s="12" t="inlineStr">
        <is>
          <t>coa_account_branch (check)</t>
        </is>
      </c>
      <c r="K11" s="12" t="inlineStr">
        <is>
          <t>Y or N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remarks</t>
        </is>
      </c>
      <c r="C12" s="12" t="inlineStr">
        <is>
          <t>Mapping remarks</t>
        </is>
      </c>
      <c r="D12" s="12" t="inlineStr">
        <is>
          <t>Text</t>
        </is>
      </c>
      <c r="E12" s="12" t="inlineStr">
        <is>
          <t>300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Free text</t>
        </is>
      </c>
      <c r="I12" s="12" t="inlineStr">
        <is>
          <t>Merged with 1201-01</t>
        </is>
      </c>
      <c r="J12" s="12" t="inlineStr">
        <is>
          <t>-</t>
        </is>
      </c>
      <c r="K12" s="12" t="inlineStr">
        <is>
          <t>-</t>
        </is>
      </c>
      <c r="L12" s="12" t="inlineStr">
        <is>
          <t>Comptrollership</t>
        </is>
      </c>
    </row>
  </sheetData>
  <autoFilter ref="A4:L12"/>
  <mergeCells count="1">
    <mergeCell ref="A2:L2"/>
  </mergeCells>
  <conditionalFormatting sqref="A5:L512">
    <cfRule type="expression" priority="1" dxfId="3">
      <formula>AND(MOD(ROW(),2)=0,$A5&lt;&gt;"")</formula>
    </cfRule>
  </conditionalFormatting>
  <dataValidations count="2">
    <dataValidation sqref="D5:D512" showDropDown="0" showInputMessage="0" showErrorMessage="1" allowBlank="1" errorTitle="Type" error="Choose a value from the list (Type)." type="list">
      <formula1>'_lists'!$T$1:$T$8</formula1>
    </dataValidation>
    <dataValidation sqref="F5:F512" showDropDown="0" showInputMessage="0" showErrorMessage="1" allowBlank="1" errorTitle="Mandatory" error="Choose a value from the list (Mandatory)." type="list">
      <formula1>'_lists'!$U$1:$U$3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R09 Payees</t>
        </is>
      </c>
    </row>
    <row r="2">
      <c r="A2" s="24" t="inlineStr">
        <is>
          <t>Layout R09 of object R09; key: payee_code; template templates/R09_template.csv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payee_code</t>
        </is>
      </c>
      <c r="C5" s="12" t="inlineStr">
        <is>
          <t>Legacy payee code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SUP-0001</t>
        </is>
      </c>
      <c r="J5" s="12" t="inlineStr">
        <is>
          <t>DISB_PAYEE_MIGRATION "Payee code"</t>
        </is>
      </c>
      <c r="K5" s="12" t="inlineStr">
        <is>
          <t>Unique</t>
        </is>
      </c>
      <c r="L5" s="12" t="inlineStr">
        <is>
          <t>EBIX payee table</t>
        </is>
      </c>
    </row>
    <row r="6">
      <c r="A6" s="12" t="n">
        <v>2</v>
      </c>
      <c r="B6" s="12" t="inlineStr">
        <is>
          <t>payee_class</t>
        </is>
      </c>
      <c r="C6" s="12" t="inlineStr">
        <is>
          <t>Payee class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LOV PAYEE_CLASS</t>
        </is>
      </c>
      <c r="H6" s="12" t="inlineStr">
        <is>
          <t>Upper case</t>
        </is>
      </c>
      <c r="I6" s="12" t="inlineStr">
        <is>
          <t>SUPPLIER</t>
        </is>
      </c>
      <c r="J6" s="12" t="inlineStr">
        <is>
          <t>"Payee class"</t>
        </is>
      </c>
      <c r="K6" s="12" t="inlineStr">
        <is>
          <t>In the list</t>
        </is>
      </c>
      <c r="L6" s="12" t="inlineStr">
        <is>
          <t>EBIX</t>
        </is>
      </c>
    </row>
    <row r="7">
      <c r="A7" s="12" t="n">
        <v>3</v>
      </c>
      <c r="B7" s="12" t="inlineStr">
        <is>
          <t>name</t>
        </is>
      </c>
      <c r="C7" s="12" t="inlineStr">
        <is>
          <t>Payee name</t>
        </is>
      </c>
      <c r="D7" s="12" t="inlineStr">
        <is>
          <t>Text</t>
        </is>
      </c>
      <c r="E7" s="12" t="inlineStr">
        <is>
          <t>250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Acme Office Supply</t>
        </is>
      </c>
      <c r="J7" s="12" t="inlineStr">
        <is>
          <t>"Name"</t>
        </is>
      </c>
      <c r="K7" s="12" t="inlineStr">
        <is>
          <t>Not blank</t>
        </is>
      </c>
      <c r="L7" s="12" t="inlineStr">
        <is>
          <t>EBIX</t>
        </is>
      </c>
    </row>
    <row r="8">
      <c r="A8" s="12" t="n">
        <v>4</v>
      </c>
      <c r="B8" s="12" t="inlineStr">
        <is>
          <t>address</t>
        </is>
      </c>
      <c r="C8" s="12" t="inlineStr">
        <is>
          <t>Address</t>
        </is>
      </c>
      <c r="D8" s="12" t="inlineStr">
        <is>
          <t>Text</t>
        </is>
      </c>
      <c r="E8" s="12" t="inlineStr">
        <is>
          <t>300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Free text</t>
        </is>
      </c>
      <c r="I8" s="12" t="inlineStr">
        <is>
          <t>Makati City</t>
        </is>
      </c>
      <c r="J8" s="12" t="inlineStr">
        <is>
          <t>"Address"</t>
        </is>
      </c>
      <c r="K8" s="12" t="inlineStr">
        <is>
          <t>-</t>
        </is>
      </c>
      <c r="L8" s="12" t="inlineStr">
        <is>
          <t>EBIX</t>
        </is>
      </c>
    </row>
    <row r="9">
      <c r="A9" s="12" t="n">
        <v>5</v>
      </c>
      <c r="B9" s="12" t="inlineStr">
        <is>
          <t>email</t>
        </is>
      </c>
      <c r="C9" s="12" t="inlineStr">
        <is>
          <t>E-mail for payment advices</t>
        </is>
      </c>
      <c r="D9" s="12" t="inlineStr">
        <is>
          <t>Text</t>
        </is>
      </c>
      <c r="E9" s="12" t="inlineStr">
        <is>
          <t>120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name@domain</t>
        </is>
      </c>
      <c r="I9" s="12" t="inlineStr">
        <is>
          <t>ap@acme.example</t>
        </is>
      </c>
      <c r="J9" s="12" t="inlineStr">
        <is>
          <t>"Email"</t>
        </is>
      </c>
      <c r="K9" s="12" t="inlineStr">
        <is>
          <t>Valid e-mail</t>
        </is>
      </c>
      <c r="L9" s="12" t="inlineStr">
        <is>
          <t>EBIX</t>
        </is>
      </c>
    </row>
    <row r="10">
      <c r="A10" s="12" t="n">
        <v>6</v>
      </c>
      <c r="B10" s="12" t="inlineStr">
        <is>
          <t>tin</t>
        </is>
      </c>
      <c r="C10" s="12" t="inlineStr">
        <is>
          <t>Tax identification number</t>
        </is>
      </c>
      <c r="D10" s="12" t="inlineStr">
        <is>
          <t>Text</t>
        </is>
      </c>
      <c r="E10" s="12" t="inlineStr">
        <is>
          <t>20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000-000-000-000</t>
        </is>
      </c>
      <c r="I10" s="12" t="inlineStr">
        <is>
          <t>123-456-789-000</t>
        </is>
      </c>
      <c r="J10" s="12" t="inlineStr">
        <is>
          <t>"TIN"</t>
        </is>
      </c>
      <c r="K10" s="12" t="inlineStr">
        <is>
          <t>9 to 12 digits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default_mode</t>
        </is>
      </c>
      <c r="C11" s="12" t="inlineStr">
        <is>
          <t>Default payment mode</t>
        </is>
      </c>
      <c r="D11" s="12" t="inlineStr">
        <is>
          <t>Code</t>
        </is>
      </c>
      <c r="E11" s="12" t="inlineStr">
        <is>
          <t>20</t>
        </is>
      </c>
      <c r="F11" s="12" t="inlineStr">
        <is>
          <t>Y</t>
        </is>
      </c>
      <c r="G11" s="12" t="inlineStr">
        <is>
          <t>CTA, ATD, MC_DD, CREDIT_TICKET, TT, ONLINE_BANKING, CHECK</t>
        </is>
      </c>
      <c r="H11" s="12" t="inlineStr">
        <is>
          <t>Upper case</t>
        </is>
      </c>
      <c r="I11" s="12" t="inlineStr">
        <is>
          <t>CHECK</t>
        </is>
      </c>
      <c r="J11" s="12" t="inlineStr">
        <is>
          <t>"Default mode"</t>
        </is>
      </c>
      <c r="K11" s="12" t="inlineStr">
        <is>
          <t>One of allowed_modes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allowed_modes</t>
        </is>
      </c>
      <c r="C12" s="12" t="inlineStr">
        <is>
          <t>Allowed payment modes separated by a vertical bar</t>
        </is>
      </c>
      <c r="D12" s="12" t="inlineStr">
        <is>
          <t>Text</t>
        </is>
      </c>
      <c r="E12" s="12" t="inlineStr">
        <is>
          <t>100</t>
        </is>
      </c>
      <c r="F12" s="12" t="inlineStr">
        <is>
          <t>Y</t>
        </is>
      </c>
      <c r="G12" s="12" t="inlineStr">
        <is>
          <t>Same list as default_mode</t>
        </is>
      </c>
      <c r="H12" s="12" t="inlineStr">
        <is>
          <t>MODE|MODE</t>
        </is>
      </c>
      <c r="I12" s="12" t="inlineStr">
        <is>
          <t>CHECK|CTA</t>
        </is>
      </c>
      <c r="J12" s="12" t="inlineStr">
        <is>
          <t>"Allowed modes"</t>
        </is>
      </c>
      <c r="K12" s="12" t="inlineStr">
        <is>
          <t>Each in the list</t>
        </is>
      </c>
      <c r="L12" s="12" t="inlineStr">
        <is>
          <t>EBIX</t>
        </is>
      </c>
    </row>
    <row r="13">
      <c r="A13" s="12" t="n">
        <v>9</v>
      </c>
      <c r="B13" s="12" t="inlineStr">
        <is>
          <t>currency</t>
        </is>
      </c>
      <c r="C13" s="12" t="inlineStr">
        <is>
          <t>Currency</t>
        </is>
      </c>
      <c r="D13" s="12" t="inlineStr">
        <is>
          <t>Code</t>
        </is>
      </c>
      <c r="E13" s="12" t="inlineStr">
        <is>
          <t>3</t>
        </is>
      </c>
      <c r="F13" s="12" t="inlineStr">
        <is>
          <t>Y</t>
        </is>
      </c>
      <c r="G13" s="12" t="inlineStr">
        <is>
          <t>ISO 4217</t>
        </is>
      </c>
      <c r="H13" s="12" t="inlineStr">
        <is>
          <t>Upper case</t>
        </is>
      </c>
      <c r="I13" s="12" t="inlineStr">
        <is>
          <t>PHP</t>
        </is>
      </c>
      <c r="J13" s="12" t="inlineStr">
        <is>
          <t>"Currency"</t>
        </is>
      </c>
      <c r="K13" s="12" t="inlineStr">
        <is>
          <t>Valid code</t>
        </is>
      </c>
      <c r="L13" s="12" t="inlineStr">
        <is>
          <t>EBIX</t>
        </is>
      </c>
    </row>
    <row r="14">
      <c r="A14" s="12" t="n">
        <v>10</v>
      </c>
      <c r="B14" s="12" t="inlineStr">
        <is>
          <t>bank</t>
        </is>
      </c>
      <c r="C14" s="12" t="inlineStr">
        <is>
          <t>Bank of the payee account</t>
        </is>
      </c>
      <c r="D14" s="12" t="inlineStr">
        <is>
          <t>Text</t>
        </is>
      </c>
      <c r="E14" s="12" t="inlineStr">
        <is>
          <t>120</t>
        </is>
      </c>
      <c r="F14" s="12" t="inlineStr">
        <is>
          <t>N</t>
        </is>
      </c>
      <c r="G14" s="12" t="inlineStr">
        <is>
          <t>Code map BANK</t>
        </is>
      </c>
      <c r="H14" s="12" t="inlineStr">
        <is>
          <t>Free text</t>
        </is>
      </c>
      <c r="I14" s="12" t="inlineStr">
        <is>
          <t>BDO Unibank</t>
        </is>
      </c>
      <c r="J14" s="12" t="inlineStr">
        <is>
          <t>"Bank"</t>
        </is>
      </c>
      <c r="K14" s="12" t="inlineStr">
        <is>
          <t>Mapped</t>
        </is>
      </c>
      <c r="L14" s="12" t="inlineStr">
        <is>
          <t>EBIX</t>
        </is>
      </c>
    </row>
    <row r="15">
      <c r="A15" s="12" t="n">
        <v>11</v>
      </c>
      <c r="B15" s="12" t="inlineStr">
        <is>
          <t>account_no</t>
        </is>
      </c>
      <c r="C15" s="12" t="inlineStr">
        <is>
          <t>Payee account number</t>
        </is>
      </c>
      <c r="D15" s="12" t="inlineStr">
        <is>
          <t>Text</t>
        </is>
      </c>
      <c r="E15" s="12" t="inlineStr">
        <is>
          <t>40</t>
        </is>
      </c>
      <c r="F15" s="12" t="inlineStr">
        <is>
          <t>C</t>
        </is>
      </c>
      <c r="G15" s="12" t="inlineStr">
        <is>
          <t>-</t>
        </is>
      </c>
      <c r="H15" s="12" t="inlineStr">
        <is>
          <t>Digits</t>
        </is>
      </c>
      <c r="I15" s="12" t="inlineStr">
        <is>
          <t>001234567890</t>
        </is>
      </c>
      <c r="J15" s="12" t="inlineStr">
        <is>
          <t>"Account no"</t>
        </is>
      </c>
      <c r="K15" s="12" t="inlineStr">
        <is>
          <t>Mandatory for CTA</t>
        </is>
      </c>
      <c r="L15" s="12" t="inlineStr">
        <is>
          <t>EBIX</t>
        </is>
      </c>
    </row>
  </sheetData>
  <autoFilter ref="A4:L15"/>
  <mergeCells count="1">
    <mergeCell ref="A2:L2"/>
  </mergeCells>
  <conditionalFormatting sqref="A5:L515">
    <cfRule type="expression" priority="1" dxfId="3">
      <formula>AND(MOD(ROW(),2)=0,$A5&lt;&gt;"")</formula>
    </cfRule>
  </conditionalFormatting>
  <dataValidations count="2">
    <dataValidation sqref="D5:D515" showDropDown="0" showInputMessage="0" showErrorMessage="1" allowBlank="1" errorTitle="Type" error="Choose a value from the list (Type)." type="list">
      <formula1>'_lists'!$V$1:$V$8</formula1>
    </dataValidation>
    <dataValidation sqref="F5:F515" showDropDown="0" showInputMessage="0" showErrorMessage="1" allowBlank="1" errorTitle="Mandatory" error="Choose a value from the list (Mandatory)." type="list">
      <formula1>'_lists'!$W$1:$W$3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R11 Receipt series</t>
        </is>
      </c>
    </row>
    <row r="2">
      <c r="A2" s="24" t="inlineStr">
        <is>
          <t>Layout R11 of object R11; key: branch_code, kind, prefix; template templates/R11_template.csv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branch_code</t>
        </is>
      </c>
      <c r="C5" s="12" t="inlineStr">
        <is>
          <t>Issuing branch</t>
        </is>
      </c>
      <c r="D5" s="12" t="inlineStr">
        <is>
          <t>Code</t>
        </is>
      </c>
      <c r="E5" s="12" t="inlineStr">
        <is>
          <t>20</t>
        </is>
      </c>
      <c r="F5" s="12" t="inlineStr">
        <is>
          <t>Y</t>
        </is>
      </c>
      <c r="G5" s="12" t="inlineStr">
        <is>
          <t>Code map BRANCH</t>
        </is>
      </c>
      <c r="H5" s="12" t="inlineStr">
        <is>
          <t>As stored in legacy</t>
        </is>
      </c>
      <c r="I5" s="12" t="inlineStr">
        <is>
          <t>MKT01</t>
        </is>
      </c>
      <c r="J5" s="12" t="inlineStr">
        <is>
          <t>csh_receipt_series.branch_id</t>
        </is>
      </c>
      <c r="K5" s="12" t="inlineStr">
        <is>
          <t>Mapped</t>
        </is>
      </c>
      <c r="L5" s="12" t="inlineStr">
        <is>
          <t>EBIX receipt set-up</t>
        </is>
      </c>
    </row>
    <row r="6">
      <c r="A6" s="12" t="n">
        <v>2</v>
      </c>
      <c r="B6" s="12" t="inlineStr">
        <is>
          <t>kind</t>
        </is>
      </c>
      <c r="C6" s="12" t="inlineStr">
        <is>
          <t>Receipt kind</t>
        </is>
      </c>
      <c r="D6" s="12" t="inlineStr">
        <is>
          <t>Code</t>
        </is>
      </c>
      <c r="E6" s="12" t="inlineStr">
        <is>
          <t>2</t>
        </is>
      </c>
      <c r="F6" s="12" t="inlineStr">
        <is>
          <t>Y</t>
        </is>
      </c>
      <c r="G6" s="12" t="inlineStr">
        <is>
          <t>AR, OR</t>
        </is>
      </c>
      <c r="H6" s="12" t="inlineStr">
        <is>
          <t>Upper case</t>
        </is>
      </c>
      <c r="I6" s="12" t="inlineStr">
        <is>
          <t>AR</t>
        </is>
      </c>
      <c r="J6" s="12" t="inlineStr">
        <is>
          <t>csh_receipt_series.kind</t>
        </is>
      </c>
      <c r="K6" s="12" t="inlineStr">
        <is>
          <t>In the list</t>
        </is>
      </c>
      <c r="L6" s="12" t="inlineStr">
        <is>
          <t>EBIX</t>
        </is>
      </c>
    </row>
    <row r="7">
      <c r="A7" s="12" t="n">
        <v>3</v>
      </c>
      <c r="B7" s="12" t="inlineStr">
        <is>
          <t>atp_no</t>
        </is>
      </c>
      <c r="C7" s="12" t="inlineStr">
        <is>
          <t>BIR Authority to Print number</t>
        </is>
      </c>
      <c r="D7" s="12" t="inlineStr">
        <is>
          <t>Text</t>
        </is>
      </c>
      <c r="E7" s="12" t="inlineStr">
        <is>
          <t>40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As printed</t>
        </is>
      </c>
      <c r="I7" s="12" t="inlineStr">
        <is>
          <t>ATP-OCN-2025-000123</t>
        </is>
      </c>
      <c r="J7" s="12" t="inlineStr">
        <is>
          <t>csh_receipt_series.atp_no</t>
        </is>
      </c>
      <c r="K7" s="12" t="inlineStr">
        <is>
          <t>Not blank</t>
        </is>
      </c>
      <c r="L7" s="12" t="inlineStr">
        <is>
          <t>EBIX</t>
        </is>
      </c>
    </row>
    <row r="8">
      <c r="A8" s="12" t="n">
        <v>4</v>
      </c>
      <c r="B8" s="12" t="inlineStr">
        <is>
          <t>prefix</t>
        </is>
      </c>
      <c r="C8" s="12" t="inlineStr">
        <is>
          <t>Series prefix</t>
        </is>
      </c>
      <c r="D8" s="12" t="inlineStr">
        <is>
          <t>Text</t>
        </is>
      </c>
      <c r="E8" s="12" t="inlineStr">
        <is>
          <t>20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As printed</t>
        </is>
      </c>
      <c r="I8" s="12" t="inlineStr">
        <is>
          <t>AR-MKT</t>
        </is>
      </c>
      <c r="J8" s="12" t="inlineStr">
        <is>
          <t>csh_receipt_series.prefix</t>
        </is>
      </c>
      <c r="K8" s="12" t="inlineStr">
        <is>
          <t>Unique per branch and kind</t>
        </is>
      </c>
      <c r="L8" s="12" t="inlineStr">
        <is>
          <t>EBIX</t>
        </is>
      </c>
    </row>
    <row r="9">
      <c r="A9" s="12" t="n">
        <v>5</v>
      </c>
      <c r="B9" s="12" t="inlineStr">
        <is>
          <t>from_no</t>
        </is>
      </c>
      <c r="C9" s="12" t="inlineStr">
        <is>
          <t>First number of the series</t>
        </is>
      </c>
      <c r="D9" s="12" t="inlineStr">
        <is>
          <t>Integer</t>
        </is>
      </c>
      <c r="E9" s="12" t="inlineStr">
        <is>
          <t>12</t>
        </is>
      </c>
      <c r="F9" s="12" t="inlineStr">
        <is>
          <t>Y</t>
        </is>
      </c>
      <c r="G9" s="12" t="inlineStr">
        <is>
          <t>-</t>
        </is>
      </c>
      <c r="H9" s="12" t="inlineStr">
        <is>
          <t>Digits</t>
        </is>
      </c>
      <c r="I9" s="12" t="inlineStr">
        <is>
          <t>100001</t>
        </is>
      </c>
      <c r="J9" s="12" t="inlineStr">
        <is>
          <t>csh_receipt_series.from_no</t>
        </is>
      </c>
      <c r="K9" s="12" t="inlineStr">
        <is>
          <t>Less than to_no</t>
        </is>
      </c>
      <c r="L9" s="12" t="inlineStr">
        <is>
          <t>EBIX</t>
        </is>
      </c>
    </row>
    <row r="10">
      <c r="A10" s="12" t="n">
        <v>6</v>
      </c>
      <c r="B10" s="12" t="inlineStr">
        <is>
          <t>to_no</t>
        </is>
      </c>
      <c r="C10" s="12" t="inlineStr">
        <is>
          <t>Last number of the series</t>
        </is>
      </c>
      <c r="D10" s="12" t="inlineStr">
        <is>
          <t>Integer</t>
        </is>
      </c>
      <c r="E10" s="12" t="inlineStr">
        <is>
          <t>12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Digits</t>
        </is>
      </c>
      <c r="I10" s="12" t="inlineStr">
        <is>
          <t>150000</t>
        </is>
      </c>
      <c r="J10" s="12" t="inlineStr">
        <is>
          <t>csh_receipt_series.to_no</t>
        </is>
      </c>
      <c r="K10" s="12" t="inlineStr">
        <is>
          <t>More than from_no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last_used_no</t>
        </is>
      </c>
      <c r="C11" s="12" t="inlineStr">
        <is>
          <t>Last number issued in legacy at the freeze</t>
        </is>
      </c>
      <c r="D11" s="12" t="inlineStr">
        <is>
          <t>Integer</t>
        </is>
      </c>
      <c r="E11" s="12" t="inlineStr">
        <is>
          <t>12</t>
        </is>
      </c>
      <c r="F11" s="12" t="inlineStr">
        <is>
          <t>Y</t>
        </is>
      </c>
      <c r="G11" s="12" t="inlineStr">
        <is>
          <t>-</t>
        </is>
      </c>
      <c r="H11" s="12" t="inlineStr">
        <is>
          <t>Digits</t>
        </is>
      </c>
      <c r="I11" s="12" t="inlineStr">
        <is>
          <t>131245</t>
        </is>
      </c>
      <c r="J11" s="12" t="inlineStr">
        <is>
          <t>- (check)</t>
        </is>
      </c>
      <c r="K11" s="12" t="inlineStr">
        <is>
          <t>Between from_no and to_no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next_no</t>
        </is>
      </c>
      <c r="C12" s="12" t="inlineStr">
        <is>
          <t>Next number BIBS issues</t>
        </is>
      </c>
      <c r="D12" s="12" t="inlineStr">
        <is>
          <t>Integer</t>
        </is>
      </c>
      <c r="E12" s="12" t="inlineStr">
        <is>
          <t>12</t>
        </is>
      </c>
      <c r="F12" s="12" t="inlineStr">
        <is>
          <t>Y</t>
        </is>
      </c>
      <c r="G12" s="12" t="inlineStr">
        <is>
          <t>-</t>
        </is>
      </c>
      <c r="H12" s="12" t="inlineStr">
        <is>
          <t>Digits</t>
        </is>
      </c>
      <c r="I12" s="12" t="inlineStr">
        <is>
          <t>131246</t>
        </is>
      </c>
      <c r="J12" s="12" t="inlineStr">
        <is>
          <t>csh_receipt_series.next_no</t>
        </is>
      </c>
      <c r="K12" s="12">
        <f> last_used_no + 1</f>
        <v/>
      </c>
      <c r="L12" s="12" t="inlineStr">
        <is>
          <t>EBIX</t>
        </is>
      </c>
    </row>
  </sheetData>
  <autoFilter ref="A4:L12"/>
  <mergeCells count="1">
    <mergeCell ref="A2:L2"/>
  </mergeCells>
  <conditionalFormatting sqref="A5:L512">
    <cfRule type="expression" priority="1" dxfId="3">
      <formula>AND(MOD(ROW(),2)=0,$A5&lt;&gt;"")</formula>
    </cfRule>
  </conditionalFormatting>
  <dataValidations count="2">
    <dataValidation sqref="D5:D512" showDropDown="0" showInputMessage="0" showErrorMessage="1" allowBlank="1" errorTitle="Type" error="Choose a value from the list (Type)." type="list">
      <formula1>'_lists'!$X$1:$X$8</formula1>
    </dataValidation>
    <dataValidation sqref="F5:F512" showDropDown="0" showInputMessage="0" showErrorMessage="1" allowBlank="1" errorTitle="Mandatory" error="Choose a value from the list (Mandatory)." type="list">
      <formula1>'_lists'!$Y$1:$Y$3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C01 Client master</t>
        </is>
      </c>
    </row>
    <row r="2">
      <c r="A2" s="24" t="inlineStr">
        <is>
          <t>Layout C01 of object C01; key: legacy_client_no; template templates/C01_template.csv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legacy_client_no</t>
        </is>
      </c>
      <c r="C5" s="12" t="inlineStr">
        <is>
          <t>Client number in the source system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Q-0012345</t>
        </is>
      </c>
      <c r="J5" s="12" t="inlineStr">
        <is>
          <t>mig_key_xref.legacy_key</t>
        </is>
      </c>
      <c r="K5" s="12" t="inlineStr">
        <is>
          <t>Unique in the file</t>
        </is>
      </c>
      <c r="L5" s="12" t="inlineStr">
        <is>
          <t>QPS assured / client record; EBIX client record; CMS client</t>
        </is>
      </c>
    </row>
    <row r="6">
      <c r="A6" s="12" t="n">
        <v>2</v>
      </c>
      <c r="B6" s="12" t="inlineStr">
        <is>
          <t>client_type</t>
        </is>
      </c>
      <c r="C6" s="12" t="inlineStr">
        <is>
          <t>Individual or corporate</t>
        </is>
      </c>
      <c r="D6" s="12" t="inlineStr">
        <is>
          <t>Code</t>
        </is>
      </c>
      <c r="E6" s="12" t="inlineStr">
        <is>
          <t>1</t>
        </is>
      </c>
      <c r="F6" s="12" t="inlineStr">
        <is>
          <t>Y</t>
        </is>
      </c>
      <c r="G6" s="12" t="inlineStr">
        <is>
          <t>I, C</t>
        </is>
      </c>
      <c r="H6" s="12" t="inlineStr">
        <is>
          <t>Upper case</t>
        </is>
      </c>
      <c r="I6" s="12" t="inlineStr">
        <is>
          <t>I</t>
        </is>
      </c>
      <c r="J6" s="12" t="inlineStr">
        <is>
          <t>crm_client.client_type (INDIVIDUAL, CORPORATE)</t>
        </is>
      </c>
      <c r="K6" s="12" t="inlineStr">
        <is>
          <t>In the list</t>
        </is>
      </c>
      <c r="L6" s="12" t="inlineStr">
        <is>
          <t>QPS, EBIX</t>
        </is>
      </c>
    </row>
    <row r="7">
      <c r="A7" s="12" t="n">
        <v>3</v>
      </c>
      <c r="B7" s="12" t="inlineStr">
        <is>
          <t>last_name</t>
        </is>
      </c>
      <c r="C7" s="12" t="inlineStr">
        <is>
          <t>Last name (individual)</t>
        </is>
      </c>
      <c r="D7" s="12" t="inlineStr">
        <is>
          <t>Text</t>
        </is>
      </c>
      <c r="E7" s="12" t="inlineStr">
        <is>
          <t>100</t>
        </is>
      </c>
      <c r="F7" s="12" t="inlineStr">
        <is>
          <t>C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Reyes</t>
        </is>
      </c>
      <c r="J7" s="12" t="inlineStr">
        <is>
          <t>crm_client.last_name</t>
        </is>
      </c>
      <c r="K7" s="12" t="inlineStr">
        <is>
          <t>Mandatory for I</t>
        </is>
      </c>
      <c r="L7" s="12" t="inlineStr">
        <is>
          <t>QPS, EBIX</t>
        </is>
      </c>
    </row>
    <row r="8">
      <c r="A8" s="12" t="n">
        <v>4</v>
      </c>
      <c r="B8" s="12" t="inlineStr">
        <is>
          <t>first_name</t>
        </is>
      </c>
      <c r="C8" s="12" t="inlineStr">
        <is>
          <t>First name (individual)</t>
        </is>
      </c>
      <c r="D8" s="12" t="inlineStr">
        <is>
          <t>Text</t>
        </is>
      </c>
      <c r="E8" s="12" t="inlineStr">
        <is>
          <t>100</t>
        </is>
      </c>
      <c r="F8" s="12" t="inlineStr">
        <is>
          <t>C</t>
        </is>
      </c>
      <c r="G8" s="12" t="inlineStr">
        <is>
          <t>-</t>
        </is>
      </c>
      <c r="H8" s="12" t="inlineStr">
        <is>
          <t>Free text</t>
        </is>
      </c>
      <c r="I8" s="12" t="inlineStr">
        <is>
          <t>Ana</t>
        </is>
      </c>
      <c r="J8" s="12" t="inlineStr">
        <is>
          <t>crm_client.first_name</t>
        </is>
      </c>
      <c r="K8" s="12" t="inlineStr">
        <is>
          <t>Mandatory for I</t>
        </is>
      </c>
      <c r="L8" s="12" t="inlineStr">
        <is>
          <t>QPS, EBIX</t>
        </is>
      </c>
    </row>
    <row r="9">
      <c r="A9" s="12" t="n">
        <v>5</v>
      </c>
      <c r="B9" s="12" t="inlineStr">
        <is>
          <t>middle_name</t>
        </is>
      </c>
      <c r="C9" s="12" t="inlineStr">
        <is>
          <t>Middle name</t>
        </is>
      </c>
      <c r="D9" s="12" t="inlineStr">
        <is>
          <t>Text</t>
        </is>
      </c>
      <c r="E9" s="12" t="inlineStr">
        <is>
          <t>100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Free text</t>
        </is>
      </c>
      <c r="I9" s="12" t="inlineStr">
        <is>
          <t>Cruz</t>
        </is>
      </c>
      <c r="J9" s="12" t="inlineStr">
        <is>
          <t>crm_client.middle_name</t>
        </is>
      </c>
      <c r="K9" s="12" t="inlineStr">
        <is>
          <t>-</t>
        </is>
      </c>
      <c r="L9" s="12" t="inlineStr">
        <is>
          <t>QPS, EBIX</t>
        </is>
      </c>
    </row>
    <row r="10">
      <c r="A10" s="12" t="n">
        <v>6</v>
      </c>
      <c r="B10" s="12" t="inlineStr">
        <is>
          <t>suffix</t>
        </is>
      </c>
      <c r="C10" s="12" t="inlineStr">
        <is>
          <t>Name suffix</t>
        </is>
      </c>
      <c r="D10" s="12" t="inlineStr">
        <is>
          <t>Text</t>
        </is>
      </c>
      <c r="E10" s="12" t="inlineStr">
        <is>
          <t>20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Free text</t>
        </is>
      </c>
      <c r="I10" s="12" t="inlineStr">
        <is>
          <t>Jr.</t>
        </is>
      </c>
      <c r="J10" s="12" t="inlineStr">
        <is>
          <t>crm_client.suffix</t>
        </is>
      </c>
      <c r="K10" s="12" t="inlineStr">
        <is>
          <t>-</t>
        </is>
      </c>
      <c r="L10" s="12" t="inlineStr">
        <is>
          <t>QPS</t>
        </is>
      </c>
    </row>
    <row r="11">
      <c r="A11" s="12" t="n">
        <v>7</v>
      </c>
      <c r="B11" s="12" t="inlineStr">
        <is>
          <t>corporate_name</t>
        </is>
      </c>
      <c r="C11" s="12" t="inlineStr">
        <is>
          <t>Registered name (corporate)</t>
        </is>
      </c>
      <c r="D11" s="12" t="inlineStr">
        <is>
          <t>Text</t>
        </is>
      </c>
      <c r="E11" s="12" t="inlineStr">
        <is>
          <t>200</t>
        </is>
      </c>
      <c r="F11" s="12" t="inlineStr">
        <is>
          <t>C</t>
        </is>
      </c>
      <c r="G11" s="12" t="inlineStr">
        <is>
          <t>-</t>
        </is>
      </c>
      <c r="H11" s="12" t="inlineStr">
        <is>
          <t>Free text</t>
        </is>
      </c>
      <c r="I11" s="12" t="inlineStr">
        <is>
          <t>Acme Trading Corp.</t>
        </is>
      </c>
      <c r="J11" s="12" t="inlineStr">
        <is>
          <t>crm_client.corporate_name</t>
        </is>
      </c>
      <c r="K11" s="12" t="inlineStr">
        <is>
          <t>Mandatory for C</t>
        </is>
      </c>
      <c r="L11" s="12" t="inlineStr">
        <is>
          <t>QPS, EBIX</t>
        </is>
      </c>
    </row>
    <row r="12">
      <c r="A12" s="12" t="n">
        <v>8</v>
      </c>
      <c r="B12" s="12" t="inlineStr">
        <is>
          <t>registration_no</t>
        </is>
      </c>
      <c r="C12" s="12" t="inlineStr">
        <is>
          <t>SEC or DTI registration number (corporate)</t>
        </is>
      </c>
      <c r="D12" s="12" t="inlineStr">
        <is>
          <t>Text</t>
        </is>
      </c>
      <c r="E12" s="12" t="inlineStr">
        <is>
          <t>60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As registered</t>
        </is>
      </c>
      <c r="I12" s="12" t="inlineStr">
        <is>
          <t>CS201912345</t>
        </is>
      </c>
      <c r="J12" s="12" t="inlineStr">
        <is>
          <t>crm_client.id_number with id_type SEC_REG / DTI_REG</t>
        </is>
      </c>
      <c r="K12" s="12" t="inlineStr">
        <is>
          <t>-</t>
        </is>
      </c>
      <c r="L12" s="12" t="inlineStr">
        <is>
          <t>QPS</t>
        </is>
      </c>
    </row>
    <row r="13">
      <c r="A13" s="12" t="n">
        <v>9</v>
      </c>
      <c r="B13" s="12" t="inlineStr">
        <is>
          <t>birth_date</t>
        </is>
      </c>
      <c r="C13" s="12" t="inlineStr">
        <is>
          <t>Birth date (individual)</t>
        </is>
      </c>
      <c r="D13" s="12" t="inlineStr">
        <is>
          <t>Date</t>
        </is>
      </c>
      <c r="E13" s="12" t="inlineStr">
        <is>
          <t>10</t>
        </is>
      </c>
      <c r="F13" s="12" t="inlineStr">
        <is>
          <t>C</t>
        </is>
      </c>
      <c r="G13" s="12" t="inlineStr">
        <is>
          <t>-</t>
        </is>
      </c>
      <c r="H13" s="12" t="inlineStr">
        <is>
          <t>yyyy-MM-dd</t>
        </is>
      </c>
      <c r="I13" s="12" t="inlineStr">
        <is>
          <t>1990-04-15</t>
        </is>
      </c>
      <c r="J13" s="12" t="inlineStr">
        <is>
          <t>crm_client.birth_date</t>
        </is>
      </c>
      <c r="K13" s="12" t="inlineStr">
        <is>
          <t>Mandatory for I; not in the future; age 0 to 120</t>
        </is>
      </c>
      <c r="L13" s="12" t="inlineStr">
        <is>
          <t>QPS, EBIX</t>
        </is>
      </c>
    </row>
    <row r="14">
      <c r="A14" s="12" t="n">
        <v>10</v>
      </c>
      <c r="B14" s="12" t="inlineStr">
        <is>
          <t>tin</t>
        </is>
      </c>
      <c r="C14" s="12" t="inlineStr">
        <is>
          <t>Tax identification number</t>
        </is>
      </c>
      <c r="D14" s="12" t="inlineStr">
        <is>
          <t>Text</t>
        </is>
      </c>
      <c r="E14" s="12" t="inlineStr">
        <is>
          <t>20</t>
        </is>
      </c>
      <c r="F14" s="12" t="inlineStr">
        <is>
          <t>N</t>
        </is>
      </c>
      <c r="G14" s="12" t="inlineStr">
        <is>
          <t>-</t>
        </is>
      </c>
      <c r="H14" s="12" t="inlineStr">
        <is>
          <t>000-000-000-000</t>
        </is>
      </c>
      <c r="I14" s="12" t="inlineStr">
        <is>
          <t>123-456-789-000</t>
        </is>
      </c>
      <c r="J14" s="12" t="inlineStr">
        <is>
          <t>crm_client.tin</t>
        </is>
      </c>
      <c r="K14" s="12" t="inlineStr">
        <is>
          <t>9 to 12 digits; duplicate key K1</t>
        </is>
      </c>
      <c r="L14" s="12" t="inlineStr">
        <is>
          <t>QPS, EBIX</t>
        </is>
      </c>
    </row>
    <row r="15">
      <c r="A15" s="12" t="n">
        <v>11</v>
      </c>
      <c r="B15" s="12" t="inlineStr">
        <is>
          <t>id_type</t>
        </is>
      </c>
      <c r="C15" s="12" t="inlineStr">
        <is>
          <t>Government ID type</t>
        </is>
      </c>
      <c r="D15" s="12" t="inlineStr">
        <is>
          <t>Code</t>
        </is>
      </c>
      <c r="E15" s="12" t="inlineStr">
        <is>
          <t>40</t>
        </is>
      </c>
      <c r="F15" s="12" t="inlineStr">
        <is>
          <t>N</t>
        </is>
      </c>
      <c r="G15" s="12" t="inlineStr">
        <is>
          <t>Code map LOV:ID_TYPE</t>
        </is>
      </c>
      <c r="H15" s="12" t="inlineStr">
        <is>
          <t>As stored in legacy</t>
        </is>
      </c>
      <c r="I15" s="12" t="inlineStr">
        <is>
          <t>PASSPORT</t>
        </is>
      </c>
      <c r="J15" s="12" t="inlineStr">
        <is>
          <t>crm_client.id_type</t>
        </is>
      </c>
      <c r="K15" s="12" t="inlineStr">
        <is>
          <t>Mapped</t>
        </is>
      </c>
      <c r="L15" s="12" t="inlineStr">
        <is>
          <t>QPS</t>
        </is>
      </c>
    </row>
    <row r="16">
      <c r="A16" s="12" t="n">
        <v>12</v>
      </c>
      <c r="B16" s="12" t="inlineStr">
        <is>
          <t>id_number</t>
        </is>
      </c>
      <c r="C16" s="12" t="inlineStr">
        <is>
          <t>Government ID number</t>
        </is>
      </c>
      <c r="D16" s="12" t="inlineStr">
        <is>
          <t>Text</t>
        </is>
      </c>
      <c r="E16" s="12" t="inlineStr">
        <is>
          <t>60</t>
        </is>
      </c>
      <c r="F16" s="12" t="inlineStr">
        <is>
          <t>C</t>
        </is>
      </c>
      <c r="G16" s="12" t="inlineStr">
        <is>
          <t>-</t>
        </is>
      </c>
      <c r="H16" s="12" t="inlineStr">
        <is>
          <t>As printed</t>
        </is>
      </c>
      <c r="I16" s="12" t="inlineStr">
        <is>
          <t>P1234567A</t>
        </is>
      </c>
      <c r="J16" s="12" t="inlineStr">
        <is>
          <t>crm_client.id_number</t>
        </is>
      </c>
      <c r="K16" s="12" t="inlineStr">
        <is>
          <t>Mandatory when id_type is given; duplicate key K2</t>
        </is>
      </c>
      <c r="L16" s="12" t="inlineStr">
        <is>
          <t>QPS</t>
        </is>
      </c>
    </row>
    <row r="17">
      <c r="A17" s="12" t="n">
        <v>13</v>
      </c>
      <c r="B17" s="12" t="inlineStr">
        <is>
          <t>bank_client_flag</t>
        </is>
      </c>
      <c r="C17" s="12" t="inlineStr">
        <is>
          <t>BDO bank client</t>
        </is>
      </c>
      <c r="D17" s="12" t="inlineStr">
        <is>
          <t>Flag</t>
        </is>
      </c>
      <c r="E17" s="12" t="inlineStr">
        <is>
          <t>1</t>
        </is>
      </c>
      <c r="F17" s="12" t="inlineStr">
        <is>
          <t>N</t>
        </is>
      </c>
      <c r="G17" s="12" t="inlineStr">
        <is>
          <t>Y, N</t>
        </is>
      </c>
      <c r="H17" s="12" t="inlineStr">
        <is>
          <t>Y or N</t>
        </is>
      </c>
      <c r="I17" s="12" t="inlineStr">
        <is>
          <t>Y</t>
        </is>
      </c>
      <c r="J17" s="12" t="inlineStr">
        <is>
          <t>crm_client.bank_client</t>
        </is>
      </c>
      <c r="K17" s="12" t="inlineStr">
        <is>
          <t>Y or N</t>
        </is>
      </c>
      <c r="L17" s="12" t="inlineStr">
        <is>
          <t>QPS, CMS</t>
        </is>
      </c>
    </row>
    <row r="18">
      <c r="A18" s="12" t="n">
        <v>14</v>
      </c>
      <c r="B18" s="12" t="inlineStr">
        <is>
          <t>bank_cif</t>
        </is>
      </c>
      <c r="C18" s="12" t="inlineStr">
        <is>
          <t>BDO customer information file number</t>
        </is>
      </c>
      <c r="D18" s="12" t="inlineStr">
        <is>
          <t>Text</t>
        </is>
      </c>
      <c r="E18" s="12" t="inlineStr">
        <is>
          <t>40</t>
        </is>
      </c>
      <c r="F18" s="12" t="inlineStr">
        <is>
          <t>N</t>
        </is>
      </c>
      <c r="G18" s="12" t="inlineStr">
        <is>
          <t>-</t>
        </is>
      </c>
      <c r="H18" s="12" t="inlineStr">
        <is>
          <t>Digits</t>
        </is>
      </c>
      <c r="I18" s="12" t="inlineStr">
        <is>
          <t>1234567890</t>
        </is>
      </c>
      <c r="J18" s="12" t="inlineStr">
        <is>
          <t>crm_client.bank_cif</t>
        </is>
      </c>
      <c r="K18" s="12" t="inlineStr">
        <is>
          <t>Duplicate key K5 if agreed (DMQ04)</t>
        </is>
      </c>
      <c r="L18" s="12" t="inlineStr">
        <is>
          <t>QPS, CMS</t>
        </is>
      </c>
    </row>
    <row r="19">
      <c r="A19" s="12" t="n">
        <v>15</v>
      </c>
      <c r="B19" s="12" t="inlineStr">
        <is>
          <t>nationality</t>
        </is>
      </c>
      <c r="C19" s="12" t="inlineStr">
        <is>
          <t>Nationality</t>
        </is>
      </c>
      <c r="D19" s="12" t="inlineStr">
        <is>
          <t>Code</t>
        </is>
      </c>
      <c r="E19" s="12" t="inlineStr">
        <is>
          <t>40</t>
        </is>
      </c>
      <c r="F19" s="12" t="inlineStr">
        <is>
          <t>N</t>
        </is>
      </c>
      <c r="G19" s="12" t="inlineStr">
        <is>
          <t>Code map LOV:NATIONALITY</t>
        </is>
      </c>
      <c r="H19" s="12" t="inlineStr">
        <is>
          <t>As stored in legacy</t>
        </is>
      </c>
      <c r="I19" s="12" t="inlineStr">
        <is>
          <t>FILIPINO</t>
        </is>
      </c>
      <c r="J19" s="12" t="inlineStr">
        <is>
          <t>Client KYC data</t>
        </is>
      </c>
      <c r="K19" s="12" t="inlineStr">
        <is>
          <t>Mapped</t>
        </is>
      </c>
      <c r="L19" s="12" t="inlineStr">
        <is>
          <t>QPS</t>
        </is>
      </c>
    </row>
    <row r="20">
      <c r="A20" s="12" t="n">
        <v>16</v>
      </c>
      <c r="B20" s="12" t="inlineStr">
        <is>
          <t>source_of_funds</t>
        </is>
      </c>
      <c r="C20" s="12" t="inlineStr">
        <is>
          <t>Source of funds</t>
        </is>
      </c>
      <c r="D20" s="12" t="inlineStr">
        <is>
          <t>Code</t>
        </is>
      </c>
      <c r="E20" s="12" t="inlineStr">
        <is>
          <t>40</t>
        </is>
      </c>
      <c r="F20" s="12" t="inlineStr">
        <is>
          <t>N</t>
        </is>
      </c>
      <c r="G20" s="12" t="inlineStr">
        <is>
          <t>Code map LOV:SOURCE_OF_FUNDS</t>
        </is>
      </c>
      <c r="H20" s="12" t="inlineStr">
        <is>
          <t>As stored in legacy</t>
        </is>
      </c>
      <c r="I20" s="12" t="inlineStr">
        <is>
          <t>SALARY</t>
        </is>
      </c>
      <c r="J20" s="12" t="inlineStr">
        <is>
          <t>Client KYC data</t>
        </is>
      </c>
      <c r="K20" s="12" t="inlineStr">
        <is>
          <t>Mapped</t>
        </is>
      </c>
      <c r="L20" s="12" t="inlineStr">
        <is>
          <t>QPS</t>
        </is>
      </c>
    </row>
    <row r="21">
      <c r="A21" s="12" t="n">
        <v>17</v>
      </c>
      <c r="B21" s="12" t="inlineStr">
        <is>
          <t>market_segment</t>
        </is>
      </c>
      <c r="C21" s="12" t="inlineStr">
        <is>
          <t>Market segment</t>
        </is>
      </c>
      <c r="D21" s="12" t="inlineStr">
        <is>
          <t>Code</t>
        </is>
      </c>
      <c r="E21" s="12" t="inlineStr">
        <is>
          <t>40</t>
        </is>
      </c>
      <c r="F21" s="12" t="inlineStr">
        <is>
          <t>Y</t>
        </is>
      </c>
      <c r="G21" s="12" t="inlineStr">
        <is>
          <t>Code map LOV:MARKET_SEGMENT</t>
        </is>
      </c>
      <c r="H21" s="12" t="inlineStr">
        <is>
          <t>As stored in legacy</t>
        </is>
      </c>
      <c r="I21" s="12" t="inlineStr">
        <is>
          <t>CBG</t>
        </is>
      </c>
      <c r="J21" s="12" t="inlineStr">
        <is>
          <t>crm_client.market_segment</t>
        </is>
      </c>
      <c r="K21" s="12" t="inlineStr">
        <is>
          <t>Mapped</t>
        </is>
      </c>
      <c r="L21" s="12" t="inlineStr">
        <is>
          <t>QPS, EBIX</t>
        </is>
      </c>
    </row>
    <row r="22">
      <c r="A22" s="12" t="n">
        <v>18</v>
      </c>
      <c r="B22" s="12" t="inlineStr">
        <is>
          <t>customer_segment</t>
        </is>
      </c>
      <c r="C22" s="12" t="inlineStr">
        <is>
          <t>Customer segment (MIS)</t>
        </is>
      </c>
      <c r="D22" s="12" t="inlineStr">
        <is>
          <t>Code</t>
        </is>
      </c>
      <c r="E22" s="12" t="inlineStr">
        <is>
          <t>40</t>
        </is>
      </c>
      <c r="F22" s="12" t="inlineStr">
        <is>
          <t>N</t>
        </is>
      </c>
      <c r="G22" s="12" t="inlineStr">
        <is>
          <t>Code map MIS:CUSTOMER_SEGMENT</t>
        </is>
      </c>
      <c r="H22" s="12" t="inlineStr">
        <is>
          <t>As stored in legacy</t>
        </is>
      </c>
      <c r="I22" s="12" t="inlineStr">
        <is>
          <t>AFFLUENT</t>
        </is>
      </c>
      <c r="J22" s="12" t="inlineStr">
        <is>
          <t>MIS field customer segment</t>
        </is>
      </c>
      <c r="K22" s="12" t="inlineStr">
        <is>
          <t>Mapped</t>
        </is>
      </c>
      <c r="L22" s="12" t="inlineStr">
        <is>
          <t>QPS</t>
        </is>
      </c>
    </row>
    <row r="23">
      <c r="A23" s="12" t="n">
        <v>19</v>
      </c>
      <c r="B23" s="12" t="inlineStr">
        <is>
          <t>business_origin</t>
        </is>
      </c>
      <c r="C23" s="12" t="inlineStr">
        <is>
          <t>Business origin (MIS)</t>
        </is>
      </c>
      <c r="D23" s="12" t="inlineStr">
        <is>
          <t>Code</t>
        </is>
      </c>
      <c r="E23" s="12" t="inlineStr">
        <is>
          <t>40</t>
        </is>
      </c>
      <c r="F23" s="12" t="inlineStr">
        <is>
          <t>N</t>
        </is>
      </c>
      <c r="G23" s="12" t="inlineStr">
        <is>
          <t>Code map MIS:BUSINESS_ORIGIN</t>
        </is>
      </c>
      <c r="H23" s="12" t="inlineStr">
        <is>
          <t>As stored in legacy</t>
        </is>
      </c>
      <c r="I23" s="12" t="inlineStr">
        <is>
          <t>BANK_REFERRAL</t>
        </is>
      </c>
      <c r="J23" s="12" t="inlineStr">
        <is>
          <t>MIS field business origin</t>
        </is>
      </c>
      <c r="K23" s="12" t="inlineStr">
        <is>
          <t>Mapped</t>
        </is>
      </c>
      <c r="L23" s="12" t="inlineStr">
        <is>
          <t>QPS</t>
        </is>
      </c>
    </row>
    <row r="24">
      <c r="A24" s="12" t="n">
        <v>20</v>
      </c>
      <c r="B24" s="12" t="inlineStr">
        <is>
          <t>ao_user_id</t>
        </is>
      </c>
      <c r="C24" s="12" t="inlineStr">
        <is>
          <t>Account officer</t>
        </is>
      </c>
      <c r="D24" s="12" t="inlineStr">
        <is>
          <t>Code</t>
        </is>
      </c>
      <c r="E24" s="12" t="inlineStr">
        <is>
          <t>50</t>
        </is>
      </c>
      <c r="F24" s="12" t="inlineStr">
        <is>
          <t>N</t>
        </is>
      </c>
      <c r="G24" s="12" t="inlineStr">
        <is>
          <t>Code map USER</t>
        </is>
      </c>
      <c r="H24" s="12" t="inlineStr">
        <is>
          <t>As stored in legacy</t>
        </is>
      </c>
      <c r="I24" s="12" t="inlineStr">
        <is>
          <t>mreyes</t>
        </is>
      </c>
      <c r="J24" s="12" t="inlineStr">
        <is>
          <t>Client AO</t>
        </is>
      </c>
      <c r="K24" s="12" t="inlineStr">
        <is>
          <t>Mapped in USER</t>
        </is>
      </c>
      <c r="L24" s="12" t="inlineStr">
        <is>
          <t>QPS, EBIX</t>
        </is>
      </c>
    </row>
    <row r="25">
      <c r="A25" s="12" t="n">
        <v>21</v>
      </c>
      <c r="B25" s="12" t="inlineStr">
        <is>
          <t>sales_unit_code</t>
        </is>
      </c>
      <c r="C25" s="12" t="inlineStr">
        <is>
          <t>Sales unit of the client</t>
        </is>
      </c>
      <c r="D25" s="12" t="inlineStr">
        <is>
          <t>Code</t>
        </is>
      </c>
      <c r="E25" s="12" t="inlineStr">
        <is>
          <t>20</t>
        </is>
      </c>
      <c r="F25" s="12" t="inlineStr">
        <is>
          <t>N</t>
        </is>
      </c>
      <c r="G25" s="12" t="inlineStr">
        <is>
          <t>Code map SALES_UNIT</t>
        </is>
      </c>
      <c r="H25" s="12" t="inlineStr">
        <is>
          <t>As stored in legacy</t>
        </is>
      </c>
      <c r="I25" s="12" t="inlineStr">
        <is>
          <t>T-RET-07</t>
        </is>
      </c>
      <c r="J25" s="12" t="inlineStr">
        <is>
          <t>Client sales unit</t>
        </is>
      </c>
      <c r="K25" s="12" t="inlineStr">
        <is>
          <t>Mapped</t>
        </is>
      </c>
      <c r="L25" s="12" t="inlineStr">
        <is>
          <t>QPS</t>
        </is>
      </c>
    </row>
    <row r="26">
      <c r="A26" s="12" t="n">
        <v>22</v>
      </c>
      <c r="B26" s="12" t="inlineStr">
        <is>
          <t>branch_code</t>
        </is>
      </c>
      <c r="C26" s="12" t="inlineStr">
        <is>
          <t>Servicing branch</t>
        </is>
      </c>
      <c r="D26" s="12" t="inlineStr">
        <is>
          <t>Code</t>
        </is>
      </c>
      <c r="E26" s="12" t="inlineStr">
        <is>
          <t>20</t>
        </is>
      </c>
      <c r="F26" s="12" t="inlineStr">
        <is>
          <t>N</t>
        </is>
      </c>
      <c r="G26" s="12" t="inlineStr">
        <is>
          <t>Code map BRANCH</t>
        </is>
      </c>
      <c r="H26" s="12" t="inlineStr">
        <is>
          <t>As stored in legacy</t>
        </is>
      </c>
      <c r="I26" s="12" t="inlineStr">
        <is>
          <t>MKT01</t>
        </is>
      </c>
      <c r="J26" s="12" t="inlineStr">
        <is>
          <t>Client branch</t>
        </is>
      </c>
      <c r="K26" s="12" t="inlineStr">
        <is>
          <t>Mapped</t>
        </is>
      </c>
      <c r="L26" s="12" t="inlineStr">
        <is>
          <t>EBIX</t>
        </is>
      </c>
    </row>
    <row r="27">
      <c r="A27" s="12" t="n">
        <v>23</v>
      </c>
      <c r="B27" s="12" t="inlineStr">
        <is>
          <t>email</t>
        </is>
      </c>
      <c r="C27" s="12" t="inlineStr">
        <is>
          <t>Primary e-mail</t>
        </is>
      </c>
      <c r="D27" s="12" t="inlineStr">
        <is>
          <t>Text</t>
        </is>
      </c>
      <c r="E27" s="12" t="inlineStr">
        <is>
          <t>120</t>
        </is>
      </c>
      <c r="F27" s="12" t="inlineStr">
        <is>
          <t>N</t>
        </is>
      </c>
      <c r="G27" s="12" t="inlineStr">
        <is>
          <t>-</t>
        </is>
      </c>
      <c r="H27" s="12" t="inlineStr">
        <is>
          <t>name@domain</t>
        </is>
      </c>
      <c r="I27" s="12" t="inlineStr">
        <is>
          <t>ana.reyes@example.ph</t>
        </is>
      </c>
      <c r="J27" s="12" t="inlineStr">
        <is>
          <t>crm_client.email</t>
        </is>
      </c>
      <c r="K27" s="12" t="inlineStr">
        <is>
          <t>Valid e-mail; soft key K6</t>
        </is>
      </c>
      <c r="L27" s="12" t="inlineStr">
        <is>
          <t>QPS, EBIX</t>
        </is>
      </c>
    </row>
    <row r="28">
      <c r="A28" s="12" t="n">
        <v>24</v>
      </c>
      <c r="B28" s="12" t="inlineStr">
        <is>
          <t>mobile</t>
        </is>
      </c>
      <c r="C28" s="12" t="inlineStr">
        <is>
          <t>Primary mobile number</t>
        </is>
      </c>
      <c r="D28" s="12" t="inlineStr">
        <is>
          <t>Text</t>
        </is>
      </c>
      <c r="E28" s="12" t="inlineStr">
        <is>
          <t>30</t>
        </is>
      </c>
      <c r="F28" s="12" t="inlineStr">
        <is>
          <t>N</t>
        </is>
      </c>
      <c r="G28" s="12" t="inlineStr">
        <is>
          <t>-</t>
        </is>
      </c>
      <c r="H28" s="12" t="inlineStr">
        <is>
          <t>09xxxxxxxxx or +639xxxxxxxxx</t>
        </is>
      </c>
      <c r="I28" s="12" t="inlineStr">
        <is>
          <t>09171234567</t>
        </is>
      </c>
      <c r="J28" s="12" t="inlineStr">
        <is>
          <t>crm_client.mobile</t>
        </is>
      </c>
      <c r="K28" s="12" t="inlineStr">
        <is>
          <t>PH mobile format; soft key K6</t>
        </is>
      </c>
      <c r="L28" s="12" t="inlineStr">
        <is>
          <t>QPS, EBIX</t>
        </is>
      </c>
    </row>
    <row r="29">
      <c r="A29" s="12" t="n">
        <v>25</v>
      </c>
      <c r="B29" s="12" t="inlineStr">
        <is>
          <t>phone</t>
        </is>
      </c>
      <c r="C29" s="12" t="inlineStr">
        <is>
          <t>Landline</t>
        </is>
      </c>
      <c r="D29" s="12" t="inlineStr">
        <is>
          <t>Text</t>
        </is>
      </c>
      <c r="E29" s="12" t="inlineStr">
        <is>
          <t>30</t>
        </is>
      </c>
      <c r="F29" s="12" t="inlineStr">
        <is>
          <t>N</t>
        </is>
      </c>
      <c r="G29" s="12" t="inlineStr">
        <is>
          <t>-</t>
        </is>
      </c>
      <c r="H29" s="12" t="inlineStr">
        <is>
          <t>Free text</t>
        </is>
      </c>
      <c r="I29" s="12" t="inlineStr">
        <is>
          <t>(02) 8123 4567</t>
        </is>
      </c>
      <c r="J29" s="12" t="inlineStr">
        <is>
          <t>crm_client.phone</t>
        </is>
      </c>
      <c r="K29" s="12" t="inlineStr">
        <is>
          <t>-</t>
        </is>
      </c>
      <c r="L29" s="12" t="inlineStr">
        <is>
          <t>QPS</t>
        </is>
      </c>
    </row>
    <row r="30">
      <c r="A30" s="12" t="n">
        <v>26</v>
      </c>
      <c r="B30" s="12" t="inlineStr">
        <is>
          <t>address_line</t>
        </is>
      </c>
      <c r="C30" s="12" t="inlineStr">
        <is>
          <t>Primary street address</t>
        </is>
      </c>
      <c r="D30" s="12" t="inlineStr">
        <is>
          <t>Text</t>
        </is>
      </c>
      <c r="E30" s="12" t="inlineStr">
        <is>
          <t>300</t>
        </is>
      </c>
      <c r="F30" s="12" t="inlineStr">
        <is>
          <t>N</t>
        </is>
      </c>
      <c r="G30" s="12" t="inlineStr">
        <is>
          <t>-</t>
        </is>
      </c>
      <c r="H30" s="12" t="inlineStr">
        <is>
          <t>Free text</t>
        </is>
      </c>
      <c r="I30" s="12" t="inlineStr">
        <is>
          <t>12 Rizal St., Brgy. San Antonio</t>
        </is>
      </c>
      <c r="J30" s="12" t="inlineStr">
        <is>
          <t>crm_client.address_line</t>
        </is>
      </c>
      <c r="K30" s="12" t="inlineStr">
        <is>
          <t>-</t>
        </is>
      </c>
      <c r="L30" s="12" t="inlineStr">
        <is>
          <t>QPS, EBIX</t>
        </is>
      </c>
    </row>
    <row r="31">
      <c r="A31" s="12" t="n">
        <v>27</v>
      </c>
      <c r="B31" s="12" t="inlineStr">
        <is>
          <t>city</t>
        </is>
      </c>
      <c r="C31" s="12" t="inlineStr">
        <is>
          <t>City / municipality</t>
        </is>
      </c>
      <c r="D31" s="12" t="inlineStr">
        <is>
          <t>Text</t>
        </is>
      </c>
      <c r="E31" s="12" t="inlineStr">
        <is>
          <t>80</t>
        </is>
      </c>
      <c r="F31" s="12" t="inlineStr">
        <is>
          <t>N</t>
        </is>
      </c>
      <c r="G31" s="12" t="inlineStr">
        <is>
          <t>-</t>
        </is>
      </c>
      <c r="H31" s="12" t="inlineStr">
        <is>
          <t>Free text</t>
        </is>
      </c>
      <c r="I31" s="12" t="inlineStr">
        <is>
          <t>Pasig</t>
        </is>
      </c>
      <c r="J31" s="12" t="inlineStr">
        <is>
          <t>crm_client.city</t>
        </is>
      </c>
      <c r="K31" s="12" t="inlineStr">
        <is>
          <t>-</t>
        </is>
      </c>
      <c r="L31" s="12" t="inlineStr">
        <is>
          <t>QPS, EBIX</t>
        </is>
      </c>
    </row>
    <row r="32">
      <c r="A32" s="12" t="n">
        <v>28</v>
      </c>
      <c r="B32" s="12" t="inlineStr">
        <is>
          <t>province</t>
        </is>
      </c>
      <c r="C32" s="12" t="inlineStr">
        <is>
          <t>Province</t>
        </is>
      </c>
      <c r="D32" s="12" t="inlineStr">
        <is>
          <t>Text</t>
        </is>
      </c>
      <c r="E32" s="12" t="inlineStr">
        <is>
          <t>80</t>
        </is>
      </c>
      <c r="F32" s="12" t="inlineStr">
        <is>
          <t>N</t>
        </is>
      </c>
      <c r="G32" s="12" t="inlineStr">
        <is>
          <t>-</t>
        </is>
      </c>
      <c r="H32" s="12" t="inlineStr">
        <is>
          <t>Free text</t>
        </is>
      </c>
      <c r="I32" s="12" t="inlineStr">
        <is>
          <t>Metro Manila</t>
        </is>
      </c>
      <c r="J32" s="12" t="inlineStr">
        <is>
          <t>crm_client.province</t>
        </is>
      </c>
      <c r="K32" s="12" t="inlineStr">
        <is>
          <t>-</t>
        </is>
      </c>
      <c r="L32" s="12" t="inlineStr">
        <is>
          <t>QPS, EBIX</t>
        </is>
      </c>
    </row>
    <row r="33">
      <c r="A33" s="12" t="n">
        <v>29</v>
      </c>
      <c r="B33" s="12" t="inlineStr">
        <is>
          <t>postal_code</t>
        </is>
      </c>
      <c r="C33" s="12" t="inlineStr">
        <is>
          <t>Postal code</t>
        </is>
      </c>
      <c r="D33" s="12" t="inlineStr">
        <is>
          <t>Text</t>
        </is>
      </c>
      <c r="E33" s="12" t="inlineStr">
        <is>
          <t>10</t>
        </is>
      </c>
      <c r="F33" s="12" t="inlineStr">
        <is>
          <t>N</t>
        </is>
      </c>
      <c r="G33" s="12" t="inlineStr">
        <is>
          <t>-</t>
        </is>
      </c>
      <c r="H33" s="12" t="inlineStr">
        <is>
          <t>4 digits</t>
        </is>
      </c>
      <c r="I33" s="12" t="inlineStr">
        <is>
          <t>1600</t>
        </is>
      </c>
      <c r="J33" s="12" t="inlineStr">
        <is>
          <t>crm_client.postal_code</t>
        </is>
      </c>
      <c r="K33" s="12" t="inlineStr">
        <is>
          <t>4 digits</t>
        </is>
      </c>
      <c r="L33" s="12" t="inlineStr">
        <is>
          <t>QPS, EBIX</t>
        </is>
      </c>
    </row>
    <row r="34">
      <c r="A34" s="12" t="n">
        <v>30</v>
      </c>
      <c r="B34" s="12" t="inlineStr">
        <is>
          <t>kyc_status</t>
        </is>
      </c>
      <c r="C34" s="12" t="inlineStr">
        <is>
          <t>KYC status in legacy</t>
        </is>
      </c>
      <c r="D34" s="12" t="inlineStr">
        <is>
          <t>Code</t>
        </is>
      </c>
      <c r="E34" s="12" t="inlineStr">
        <is>
          <t>20</t>
        </is>
      </c>
      <c r="F34" s="12" t="inlineStr">
        <is>
          <t>N</t>
        </is>
      </c>
      <c r="G34" s="12" t="inlineStr">
        <is>
          <t>Code map STATUS:KYC (to NOT_STARTED, PENDING, VERIFIED, EXPIRED)</t>
        </is>
      </c>
      <c r="H34" s="12" t="inlineStr">
        <is>
          <t>As stored in legacy</t>
        </is>
      </c>
      <c r="I34" s="12" t="inlineStr">
        <is>
          <t>COMPLETE</t>
        </is>
      </c>
      <c r="J34" s="12" t="inlineStr">
        <is>
          <t>crm_client.kyc_status</t>
        </is>
      </c>
      <c r="K34" s="12" t="inlineStr">
        <is>
          <t>Mapped</t>
        </is>
      </c>
      <c r="L34" s="12" t="inlineStr">
        <is>
          <t>QPS</t>
        </is>
      </c>
    </row>
    <row r="35">
      <c r="A35" s="12" t="n">
        <v>31</v>
      </c>
      <c r="B35" s="12" t="inlineStr">
        <is>
          <t>kyc_verified_date</t>
        </is>
      </c>
      <c r="C35" s="12" t="inlineStr">
        <is>
          <t>Date KYC was verified</t>
        </is>
      </c>
      <c r="D35" s="12" t="inlineStr">
        <is>
          <t>Date</t>
        </is>
      </c>
      <c r="E35" s="12" t="inlineStr">
        <is>
          <t>10</t>
        </is>
      </c>
      <c r="F35" s="12" t="inlineStr">
        <is>
          <t>N</t>
        </is>
      </c>
      <c r="G35" s="12" t="inlineStr">
        <is>
          <t>-</t>
        </is>
      </c>
      <c r="H35" s="12" t="inlineStr">
        <is>
          <t>yyyy-MM-dd</t>
        </is>
      </c>
      <c r="I35" s="12" t="inlineStr">
        <is>
          <t>2024-03-11</t>
        </is>
      </c>
      <c r="J35" s="12" t="inlineStr">
        <is>
          <t>crm_client.kyc_verified_at</t>
        </is>
      </c>
      <c r="K35" s="12" t="inlineStr">
        <is>
          <t>Not in the future</t>
        </is>
      </c>
      <c r="L35" s="12" t="inlineStr">
        <is>
          <t>QPS</t>
        </is>
      </c>
    </row>
    <row r="36">
      <c r="A36" s="12" t="n">
        <v>32</v>
      </c>
      <c r="B36" s="12" t="inlineStr">
        <is>
          <t>kyc_review_due</t>
        </is>
      </c>
      <c r="C36" s="12" t="inlineStr">
        <is>
          <t>Next KYC review date</t>
        </is>
      </c>
      <c r="D36" s="12" t="inlineStr">
        <is>
          <t>Date</t>
        </is>
      </c>
      <c r="E36" s="12" t="inlineStr">
        <is>
          <t>10</t>
        </is>
      </c>
      <c r="F36" s="12" t="inlineStr">
        <is>
          <t>N</t>
        </is>
      </c>
      <c r="G36" s="12" t="inlineStr">
        <is>
          <t>-</t>
        </is>
      </c>
      <c r="H36" s="12" t="inlineStr">
        <is>
          <t>yyyy-MM-dd</t>
        </is>
      </c>
      <c r="I36" s="12" t="inlineStr">
        <is>
          <t>2028-03-11</t>
        </is>
      </c>
      <c r="J36" s="12" t="inlineStr">
        <is>
          <t>crm_client.kyc_review_due</t>
        </is>
      </c>
      <c r="K36" s="12" t="inlineStr">
        <is>
          <t>Valid date</t>
        </is>
      </c>
      <c r="L36" s="12" t="inlineStr">
        <is>
          <t>QPS</t>
        </is>
      </c>
    </row>
    <row r="37">
      <c r="A37" s="12" t="n">
        <v>33</v>
      </c>
      <c r="B37" s="12" t="inlineStr">
        <is>
          <t>risk_rating</t>
        </is>
      </c>
      <c r="C37" s="12" t="inlineStr">
        <is>
          <t>KYC risk rating</t>
        </is>
      </c>
      <c r="D37" s="12" t="inlineStr">
        <is>
          <t>Code</t>
        </is>
      </c>
      <c r="E37" s="12" t="inlineStr">
        <is>
          <t>20</t>
        </is>
      </c>
      <c r="F37" s="12" t="inlineStr">
        <is>
          <t>N</t>
        </is>
      </c>
      <c r="G37" s="12" t="inlineStr">
        <is>
          <t>Code map LOV:KYC_RISK_RATING</t>
        </is>
      </c>
      <c r="H37" s="12" t="inlineStr">
        <is>
          <t>As stored in legacy</t>
        </is>
      </c>
      <c r="I37" s="12" t="inlineStr">
        <is>
          <t>STANDARD</t>
        </is>
      </c>
      <c r="J37" s="12" t="inlineStr">
        <is>
          <t>Client risk profile</t>
        </is>
      </c>
      <c r="K37" s="12" t="inlineStr">
        <is>
          <t>Mapped</t>
        </is>
      </c>
      <c r="L37" s="12" t="inlineStr">
        <is>
          <t>QPS, Compliance</t>
        </is>
      </c>
    </row>
    <row r="38">
      <c r="A38" s="12" t="n">
        <v>34</v>
      </c>
      <c r="B38" s="12" t="inlineStr">
        <is>
          <t>client_status</t>
        </is>
      </c>
      <c r="C38" s="12" t="inlineStr">
        <is>
          <t>Client status in legacy</t>
        </is>
      </c>
      <c r="D38" s="12" t="inlineStr">
        <is>
          <t>Code</t>
        </is>
      </c>
      <c r="E38" s="12" t="inlineStr">
        <is>
          <t>20</t>
        </is>
      </c>
      <c r="F38" s="12" t="inlineStr">
        <is>
          <t>Y</t>
        </is>
      </c>
      <c r="G38" s="12" t="inlineStr">
        <is>
          <t>Code map STATUS:CLIENT</t>
        </is>
      </c>
      <c r="H38" s="12" t="inlineStr">
        <is>
          <t>As stored in legacy</t>
        </is>
      </c>
      <c r="I38" s="12" t="inlineStr">
        <is>
          <t>ACTIVE</t>
        </is>
      </c>
      <c r="J38" s="12" t="inlineStr">
        <is>
          <t>crm_client.status (CONFIRMED or INACTIVE)</t>
        </is>
      </c>
      <c r="K38" s="12" t="inlineStr">
        <is>
          <t>Mapped</t>
        </is>
      </c>
      <c r="L38" s="12" t="inlineStr">
        <is>
          <t>QPS, EBIX</t>
        </is>
      </c>
    </row>
    <row r="39">
      <c r="A39" s="12" t="n">
        <v>35</v>
      </c>
      <c r="B39" s="12" t="inlineStr">
        <is>
          <t>created_date</t>
        </is>
      </c>
      <c r="C39" s="12" t="inlineStr">
        <is>
          <t>Date the client was created in legacy</t>
        </is>
      </c>
      <c r="D39" s="12" t="inlineStr">
        <is>
          <t>Date</t>
        </is>
      </c>
      <c r="E39" s="12" t="inlineStr">
        <is>
          <t>10</t>
        </is>
      </c>
      <c r="F39" s="12" t="inlineStr">
        <is>
          <t>Y</t>
        </is>
      </c>
      <c r="G39" s="12" t="inlineStr">
        <is>
          <t>-</t>
        </is>
      </c>
      <c r="H39" s="12" t="inlineStr">
        <is>
          <t>yyyy-MM-dd</t>
        </is>
      </c>
      <c r="I39" s="12" t="inlineStr">
        <is>
          <t>2021-07-02</t>
        </is>
      </c>
      <c r="J39" s="12" t="inlineStr">
        <is>
          <t>- (scope filter 2020 to present, DMQ05)</t>
        </is>
      </c>
      <c r="K39" s="12" t="inlineStr">
        <is>
          <t>Valid date</t>
        </is>
      </c>
      <c r="L39" s="12" t="inlineStr">
        <is>
          <t>QPS, EBIX</t>
        </is>
      </c>
    </row>
    <row r="40">
      <c r="A40" s="12" t="n">
        <v>36</v>
      </c>
      <c r="B40" s="12" t="inlineStr">
        <is>
          <t>last_updated</t>
        </is>
      </c>
      <c r="C40" s="12" t="inlineStr">
        <is>
          <t>Last change in legacy (survivorship and deltas)</t>
        </is>
      </c>
      <c r="D40" s="12" t="inlineStr">
        <is>
          <t>Timestamp</t>
        </is>
      </c>
      <c r="E40" s="12" t="inlineStr">
        <is>
          <t>19</t>
        </is>
      </c>
      <c r="F40" s="12" t="inlineStr">
        <is>
          <t>Y</t>
        </is>
      </c>
      <c r="G40" s="12" t="inlineStr">
        <is>
          <t>-</t>
        </is>
      </c>
      <c r="H40" s="12" t="inlineStr">
        <is>
          <t>yyyy-MM-dd HH:mm:ss</t>
        </is>
      </c>
      <c r="I40" s="12" t="inlineStr">
        <is>
          <t>2026-08-30 14:22:05</t>
        </is>
      </c>
      <c r="J40" s="12" t="inlineStr">
        <is>
          <t>- (survivorship rule)</t>
        </is>
      </c>
      <c r="K40" s="12" t="inlineStr">
        <is>
          <t>Valid timestamp</t>
        </is>
      </c>
      <c r="L40" s="12" t="inlineStr">
        <is>
          <t>QPS, EBIX</t>
        </is>
      </c>
    </row>
  </sheetData>
  <autoFilter ref="A4:L40"/>
  <mergeCells count="1">
    <mergeCell ref="A2:L2"/>
  </mergeCells>
  <conditionalFormatting sqref="A5:L540">
    <cfRule type="expression" priority="1" dxfId="3">
      <formula>AND(MOD(ROW(),2)=0,$A5&lt;&gt;"")</formula>
    </cfRule>
  </conditionalFormatting>
  <dataValidations count="2">
    <dataValidation sqref="D5:D540" showDropDown="0" showInputMessage="0" showErrorMessage="1" allowBlank="1" errorTitle="Type" error="Choose a value from the list (Type)." type="list">
      <formula1>'_lists'!$Z$1:$Z$8</formula1>
    </dataValidation>
    <dataValidation sqref="F5:F540" showDropDown="0" showInputMessage="0" showErrorMessage="1" allowBlank="1" errorTitle="Mandatory" error="Choose a value from the list (Mandatory)." type="list">
      <formula1>'_lists'!$AA$1:$AA$3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C02 Client addresses</t>
        </is>
      </c>
    </row>
    <row r="2">
      <c r="A2" s="24" t="inlineStr">
        <is>
          <t>Layout C02 of object C01; key: legacy_client_no, record_type, seq_no; template templates/C02_template.csv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legacy_client_no</t>
        </is>
      </c>
      <c r="C5" s="12" t="inlineStr">
        <is>
          <t>Client number in the source system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legacy_client_no of C01</t>
        </is>
      </c>
      <c r="H5" s="12" t="inlineStr">
        <is>
          <t>As stored in legacy</t>
        </is>
      </c>
      <c r="I5" s="12" t="inlineStr">
        <is>
          <t>Q-0012345</t>
        </is>
      </c>
      <c r="J5" s="12" t="inlineStr">
        <is>
          <t>Client (through mig_key_xref)</t>
        </is>
      </c>
      <c r="K5" s="12" t="inlineStr">
        <is>
          <t>Exists in C01 of the same source</t>
        </is>
      </c>
      <c r="L5" s="12" t="inlineStr">
        <is>
          <t>QPS, EBIX</t>
        </is>
      </c>
    </row>
    <row r="6">
      <c r="A6" s="12" t="n">
        <v>2</v>
      </c>
      <c r="B6" s="12" t="inlineStr">
        <is>
          <t>record_type</t>
        </is>
      </c>
      <c r="C6" s="12" t="inlineStr">
        <is>
          <t>Address or contact person</t>
        </is>
      </c>
      <c r="D6" s="12" t="inlineStr">
        <is>
          <t>Code</t>
        </is>
      </c>
      <c r="E6" s="12" t="inlineStr">
        <is>
          <t>10</t>
        </is>
      </c>
      <c r="F6" s="12" t="inlineStr">
        <is>
          <t>Y</t>
        </is>
      </c>
      <c r="G6" s="12" t="inlineStr">
        <is>
          <t>ADDRESS, CONTACT</t>
        </is>
      </c>
      <c r="H6" s="12" t="inlineStr">
        <is>
          <t>Upper case</t>
        </is>
      </c>
      <c r="I6" s="12" t="inlineStr">
        <is>
          <t>ADDRESS</t>
        </is>
      </c>
      <c r="J6" s="12" t="inlineStr">
        <is>
          <t>-</t>
        </is>
      </c>
      <c r="K6" s="12" t="inlineStr">
        <is>
          <t>In the list</t>
        </is>
      </c>
      <c r="L6" s="12" t="inlineStr">
        <is>
          <t>QPS, EBIX</t>
        </is>
      </c>
    </row>
    <row r="7">
      <c r="A7" s="12" t="n">
        <v>3</v>
      </c>
      <c r="B7" s="12" t="inlineStr">
        <is>
          <t>seq_no</t>
        </is>
      </c>
      <c r="C7" s="12" t="inlineStr">
        <is>
          <t>Sequence within the client and record type</t>
        </is>
      </c>
      <c r="D7" s="12" t="inlineStr">
        <is>
          <t>Integer</t>
        </is>
      </c>
      <c r="E7" s="12" t="inlineStr">
        <is>
          <t>3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Digits</t>
        </is>
      </c>
      <c r="I7" s="12" t="inlineStr">
        <is>
          <t>1</t>
        </is>
      </c>
      <c r="J7" s="12" t="inlineStr">
        <is>
          <t>-</t>
        </is>
      </c>
      <c r="K7" s="12" t="inlineStr">
        <is>
          <t>Unique per client and record type</t>
        </is>
      </c>
      <c r="L7" s="12" t="inlineStr">
        <is>
          <t>QPS, EBIX</t>
        </is>
      </c>
    </row>
    <row r="8">
      <c r="A8" s="12" t="n">
        <v>4</v>
      </c>
      <c r="B8" s="12" t="inlineStr">
        <is>
          <t>address_type</t>
        </is>
      </c>
      <c r="C8" s="12" t="inlineStr">
        <is>
          <t>Kind of address</t>
        </is>
      </c>
      <c r="D8" s="12" t="inlineStr">
        <is>
          <t>Code</t>
        </is>
      </c>
      <c r="E8" s="12" t="inlineStr">
        <is>
          <t>12</t>
        </is>
      </c>
      <c r="F8" s="12" t="inlineStr">
        <is>
          <t>C</t>
        </is>
      </c>
      <c r="G8" s="12" t="inlineStr">
        <is>
          <t>HOME, BUSINESS, MAILING, BILLING</t>
        </is>
      </c>
      <c r="H8" s="12" t="inlineStr">
        <is>
          <t>Upper case</t>
        </is>
      </c>
      <c r="I8" s="12" t="inlineStr">
        <is>
          <t>MAILING</t>
        </is>
      </c>
      <c r="J8" s="12" t="inlineStr">
        <is>
          <t>Primary address fields of crm_client</t>
        </is>
      </c>
      <c r="K8" s="12" t="inlineStr">
        <is>
          <t>Mandatory for ADDRESS</t>
        </is>
      </c>
      <c r="L8" s="12" t="inlineStr">
        <is>
          <t>QPS</t>
        </is>
      </c>
    </row>
    <row r="9">
      <c r="A9" s="12" t="n">
        <v>5</v>
      </c>
      <c r="B9" s="12" t="inlineStr">
        <is>
          <t>address_line</t>
        </is>
      </c>
      <c r="C9" s="12" t="inlineStr">
        <is>
          <t>Street address</t>
        </is>
      </c>
      <c r="D9" s="12" t="inlineStr">
        <is>
          <t>Text</t>
        </is>
      </c>
      <c r="E9" s="12" t="inlineStr">
        <is>
          <t>300</t>
        </is>
      </c>
      <c r="F9" s="12" t="inlineStr">
        <is>
          <t>C</t>
        </is>
      </c>
      <c r="G9" s="12" t="inlineStr">
        <is>
          <t>-</t>
        </is>
      </c>
      <c r="H9" s="12" t="inlineStr">
        <is>
          <t>Free text</t>
        </is>
      </c>
      <c r="I9" s="12" t="inlineStr">
        <is>
          <t>12 Rizal St., Brgy. San Antonio</t>
        </is>
      </c>
      <c r="J9" s="12" t="inlineStr">
        <is>
          <t>crm_client.address_line (primary)</t>
        </is>
      </c>
      <c r="K9" s="12" t="inlineStr">
        <is>
          <t>Mandatory for ADDRESS</t>
        </is>
      </c>
      <c r="L9" s="12" t="inlineStr">
        <is>
          <t>QPS, EBIX</t>
        </is>
      </c>
    </row>
    <row r="10">
      <c r="A10" s="12" t="n">
        <v>6</v>
      </c>
      <c r="B10" s="12" t="inlineStr">
        <is>
          <t>city</t>
        </is>
      </c>
      <c r="C10" s="12" t="inlineStr">
        <is>
          <t>City / municipality</t>
        </is>
      </c>
      <c r="D10" s="12" t="inlineStr">
        <is>
          <t>Text</t>
        </is>
      </c>
      <c r="E10" s="12" t="inlineStr">
        <is>
          <t>80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Free text</t>
        </is>
      </c>
      <c r="I10" s="12" t="inlineStr">
        <is>
          <t>Pasig</t>
        </is>
      </c>
      <c r="J10" s="12" t="inlineStr">
        <is>
          <t>crm_client.city (primary)</t>
        </is>
      </c>
      <c r="K10" s="12" t="inlineStr">
        <is>
          <t>-</t>
        </is>
      </c>
      <c r="L10" s="12" t="inlineStr">
        <is>
          <t>QPS, EBIX</t>
        </is>
      </c>
    </row>
    <row r="11">
      <c r="A11" s="12" t="n">
        <v>7</v>
      </c>
      <c r="B11" s="12" t="inlineStr">
        <is>
          <t>province</t>
        </is>
      </c>
      <c r="C11" s="12" t="inlineStr">
        <is>
          <t>Province</t>
        </is>
      </c>
      <c r="D11" s="12" t="inlineStr">
        <is>
          <t>Text</t>
        </is>
      </c>
      <c r="E11" s="12" t="inlineStr">
        <is>
          <t>80</t>
        </is>
      </c>
      <c r="F11" s="12" t="inlineStr">
        <is>
          <t>N</t>
        </is>
      </c>
      <c r="G11" s="12" t="inlineStr">
        <is>
          <t>-</t>
        </is>
      </c>
      <c r="H11" s="12" t="inlineStr">
        <is>
          <t>Free text</t>
        </is>
      </c>
      <c r="I11" s="12" t="inlineStr">
        <is>
          <t>Metro Manila</t>
        </is>
      </c>
      <c r="J11" s="12" t="inlineStr">
        <is>
          <t>crm_client.province (primary)</t>
        </is>
      </c>
      <c r="K11" s="12" t="inlineStr">
        <is>
          <t>-</t>
        </is>
      </c>
      <c r="L11" s="12" t="inlineStr">
        <is>
          <t>QPS, EBIX</t>
        </is>
      </c>
    </row>
    <row r="12">
      <c r="A12" s="12" t="n">
        <v>8</v>
      </c>
      <c r="B12" s="12" t="inlineStr">
        <is>
          <t>postal_code</t>
        </is>
      </c>
      <c r="C12" s="12" t="inlineStr">
        <is>
          <t>Postal code</t>
        </is>
      </c>
      <c r="D12" s="12" t="inlineStr">
        <is>
          <t>Text</t>
        </is>
      </c>
      <c r="E12" s="12" t="inlineStr">
        <is>
          <t>10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4 digits</t>
        </is>
      </c>
      <c r="I12" s="12" t="inlineStr">
        <is>
          <t>1600</t>
        </is>
      </c>
      <c r="J12" s="12" t="inlineStr">
        <is>
          <t>crm_client.postal_code (primary)</t>
        </is>
      </c>
      <c r="K12" s="12" t="inlineStr">
        <is>
          <t>4 digits</t>
        </is>
      </c>
      <c r="L12" s="12" t="inlineStr">
        <is>
          <t>QPS, EBIX</t>
        </is>
      </c>
    </row>
    <row r="13">
      <c r="A13" s="12" t="n">
        <v>9</v>
      </c>
      <c r="B13" s="12" t="inlineStr">
        <is>
          <t>contact_name</t>
        </is>
      </c>
      <c r="C13" s="12" t="inlineStr">
        <is>
          <t>Contact person (corporate clients)</t>
        </is>
      </c>
      <c r="D13" s="12" t="inlineStr">
        <is>
          <t>Text</t>
        </is>
      </c>
      <c r="E13" s="12" t="inlineStr">
        <is>
          <t>200</t>
        </is>
      </c>
      <c r="F13" s="12" t="inlineStr">
        <is>
          <t>C</t>
        </is>
      </c>
      <c r="G13" s="12" t="inlineStr">
        <is>
          <t>-</t>
        </is>
      </c>
      <c r="H13" s="12" t="inlineStr">
        <is>
          <t>Free text</t>
        </is>
      </c>
      <c r="I13" s="12" t="inlineStr">
        <is>
          <t>Jose Santos</t>
        </is>
      </c>
      <c r="J13" s="12" t="inlineStr">
        <is>
          <t>Contact of the client (DMQ05)</t>
        </is>
      </c>
      <c r="K13" s="12" t="inlineStr">
        <is>
          <t>Mandatory for CONTACT</t>
        </is>
      </c>
      <c r="L13" s="12" t="inlineStr">
        <is>
          <t>QPS</t>
        </is>
      </c>
    </row>
    <row r="14">
      <c r="A14" s="12" t="n">
        <v>10</v>
      </c>
      <c r="B14" s="12" t="inlineStr">
        <is>
          <t>contact_role</t>
        </is>
      </c>
      <c r="C14" s="12" t="inlineStr">
        <is>
          <t>Role of the contact</t>
        </is>
      </c>
      <c r="D14" s="12" t="inlineStr">
        <is>
          <t>Text</t>
        </is>
      </c>
      <c r="E14" s="12" t="inlineStr">
        <is>
          <t>60</t>
        </is>
      </c>
      <c r="F14" s="12" t="inlineStr">
        <is>
          <t>N</t>
        </is>
      </c>
      <c r="G14" s="12" t="inlineStr">
        <is>
          <t>-</t>
        </is>
      </c>
      <c r="H14" s="12" t="inlineStr">
        <is>
          <t>Free text</t>
        </is>
      </c>
      <c r="I14" s="12" t="inlineStr">
        <is>
          <t>HR Manager</t>
        </is>
      </c>
      <c r="J14" s="12" t="inlineStr">
        <is>
          <t>Contact of the client (DMQ05)</t>
        </is>
      </c>
      <c r="K14" s="12" t="inlineStr">
        <is>
          <t>-</t>
        </is>
      </c>
      <c r="L14" s="12" t="inlineStr">
        <is>
          <t>QPS</t>
        </is>
      </c>
    </row>
    <row r="15">
      <c r="A15" s="12" t="n">
        <v>11</v>
      </c>
      <c r="B15" s="12" t="inlineStr">
        <is>
          <t>email</t>
        </is>
      </c>
      <c r="C15" s="12" t="inlineStr">
        <is>
          <t>E-mail</t>
        </is>
      </c>
      <c r="D15" s="12" t="inlineStr">
        <is>
          <t>Text</t>
        </is>
      </c>
      <c r="E15" s="12" t="inlineStr">
        <is>
          <t>120</t>
        </is>
      </c>
      <c r="F15" s="12" t="inlineStr">
        <is>
          <t>N</t>
        </is>
      </c>
      <c r="G15" s="12" t="inlineStr">
        <is>
          <t>-</t>
        </is>
      </c>
      <c r="H15" s="12" t="inlineStr">
        <is>
          <t>name@domain</t>
        </is>
      </c>
      <c r="I15" s="12" t="inlineStr">
        <is>
          <t>jose.santos@acme.example</t>
        </is>
      </c>
      <c r="J15" s="12" t="inlineStr">
        <is>
          <t>Contact e-mail</t>
        </is>
      </c>
      <c r="K15" s="12" t="inlineStr">
        <is>
          <t>Valid e-mail</t>
        </is>
      </c>
      <c r="L15" s="12" t="inlineStr">
        <is>
          <t>QPS</t>
        </is>
      </c>
    </row>
    <row r="16">
      <c r="A16" s="12" t="n">
        <v>12</v>
      </c>
      <c r="B16" s="12" t="inlineStr">
        <is>
          <t>mobile</t>
        </is>
      </c>
      <c r="C16" s="12" t="inlineStr">
        <is>
          <t>Mobile number</t>
        </is>
      </c>
      <c r="D16" s="12" t="inlineStr">
        <is>
          <t>Text</t>
        </is>
      </c>
      <c r="E16" s="12" t="inlineStr">
        <is>
          <t>30</t>
        </is>
      </c>
      <c r="F16" s="12" t="inlineStr">
        <is>
          <t>N</t>
        </is>
      </c>
      <c r="G16" s="12" t="inlineStr">
        <is>
          <t>-</t>
        </is>
      </c>
      <c r="H16" s="12" t="inlineStr">
        <is>
          <t>09xxxxxxxxx</t>
        </is>
      </c>
      <c r="I16" s="12" t="inlineStr">
        <is>
          <t>09181234567</t>
        </is>
      </c>
      <c r="J16" s="12" t="inlineStr">
        <is>
          <t>Contact mobile</t>
        </is>
      </c>
      <c r="K16" s="12" t="inlineStr">
        <is>
          <t>PH mobile format</t>
        </is>
      </c>
      <c r="L16" s="12" t="inlineStr">
        <is>
          <t>QPS</t>
        </is>
      </c>
    </row>
    <row r="17">
      <c r="A17" s="12" t="n">
        <v>13</v>
      </c>
      <c r="B17" s="12" t="inlineStr">
        <is>
          <t>primary_flag</t>
        </is>
      </c>
      <c r="C17" s="12" t="inlineStr">
        <is>
          <t>Primary address or contact</t>
        </is>
      </c>
      <c r="D17" s="12" t="inlineStr">
        <is>
          <t>Flag</t>
        </is>
      </c>
      <c r="E17" s="12" t="inlineStr">
        <is>
          <t>1</t>
        </is>
      </c>
      <c r="F17" s="12" t="inlineStr">
        <is>
          <t>Y</t>
        </is>
      </c>
      <c r="G17" s="12" t="inlineStr">
        <is>
          <t>Y, N</t>
        </is>
      </c>
      <c r="H17" s="12" t="inlineStr">
        <is>
          <t>Y or N</t>
        </is>
      </c>
      <c r="I17" s="12" t="inlineStr">
        <is>
          <t>Y</t>
        </is>
      </c>
      <c r="J17" s="12" t="inlineStr">
        <is>
          <t>Chooses the address kept on crm_client</t>
        </is>
      </c>
      <c r="K17" s="12" t="inlineStr">
        <is>
          <t>One primary ADDRESS per client</t>
        </is>
      </c>
      <c r="L17" s="12" t="inlineStr">
        <is>
          <t>QPS, EBIX</t>
        </is>
      </c>
    </row>
  </sheetData>
  <autoFilter ref="A4:L17"/>
  <mergeCells count="1">
    <mergeCell ref="A2:L2"/>
  </mergeCells>
  <conditionalFormatting sqref="A5:L517">
    <cfRule type="expression" priority="1" dxfId="3">
      <formula>AND(MOD(ROW(),2)=0,$A5&lt;&gt;"")</formula>
    </cfRule>
  </conditionalFormatting>
  <dataValidations count="2">
    <dataValidation sqref="D5:D517" showDropDown="0" showInputMessage="0" showErrorMessage="1" allowBlank="1" errorTitle="Type" error="Choose a value from the list (Type)." type="list">
      <formula1>'_lists'!$AB$1:$AB$8</formula1>
    </dataValidation>
    <dataValidation sqref="F5:F517" showDropDown="0" showInputMessage="0" showErrorMessage="1" allowBlank="1" errorTitle="Mandatory" error="Choose a value from the list (Mandatory)." type="list">
      <formula1>'_lists'!$AC$1:$AC$3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C03 Payout accounts</t>
        </is>
      </c>
    </row>
    <row r="2">
      <c r="A2" s="24" t="inlineStr">
        <is>
          <t>Layout C03 of object C03; key: legacy_client_no, account_no; template templates/C03_template.csv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legacy_client_no</t>
        </is>
      </c>
      <c r="C5" s="12" t="inlineStr">
        <is>
          <t>Client number in the source system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legacy_client_no of C01</t>
        </is>
      </c>
      <c r="H5" s="12" t="inlineStr">
        <is>
          <t>As stored in legacy</t>
        </is>
      </c>
      <c r="I5" s="12" t="inlineStr">
        <is>
          <t>E-0098765</t>
        </is>
      </c>
      <c r="J5" s="12" t="inlineStr">
        <is>
          <t>crm_client_payout_account.client_code (through xref)</t>
        </is>
      </c>
      <c r="K5" s="12" t="inlineStr">
        <is>
          <t>Client loaded</t>
        </is>
      </c>
      <c r="L5" s="12" t="inlineStr">
        <is>
          <t>EBIX refund set-up</t>
        </is>
      </c>
    </row>
    <row r="6">
      <c r="A6" s="12" t="n">
        <v>2</v>
      </c>
      <c r="B6" s="12" t="inlineStr">
        <is>
          <t>mode</t>
        </is>
      </c>
      <c r="C6" s="12" t="inlineStr">
        <is>
          <t>Payout mode</t>
        </is>
      </c>
      <c r="D6" s="12" t="inlineStr">
        <is>
          <t>Code</t>
        </is>
      </c>
      <c r="E6" s="12" t="inlineStr">
        <is>
          <t>10</t>
        </is>
      </c>
      <c r="F6" s="12" t="inlineStr">
        <is>
          <t>Y</t>
        </is>
      </c>
      <c r="G6" s="12" t="inlineStr">
        <is>
          <t>CTA, CHECK</t>
        </is>
      </c>
      <c r="H6" s="12" t="inlineStr">
        <is>
          <t>Upper case</t>
        </is>
      </c>
      <c r="I6" s="12" t="inlineStr">
        <is>
          <t>CTA</t>
        </is>
      </c>
      <c r="J6" s="12" t="inlineStr">
        <is>
          <t>crm_client_payout_account.mode</t>
        </is>
      </c>
      <c r="K6" s="12" t="inlineStr">
        <is>
          <t>In the list</t>
        </is>
      </c>
      <c r="L6" s="12" t="inlineStr">
        <is>
          <t>EBIX</t>
        </is>
      </c>
    </row>
    <row r="7">
      <c r="A7" s="12" t="n">
        <v>3</v>
      </c>
      <c r="B7" s="12" t="inlineStr">
        <is>
          <t>payee_name</t>
        </is>
      </c>
      <c r="C7" s="12" t="inlineStr">
        <is>
          <t>Name on the account or check</t>
        </is>
      </c>
      <c r="D7" s="12" t="inlineStr">
        <is>
          <t>Text</t>
        </is>
      </c>
      <c r="E7" s="12" t="inlineStr">
        <is>
          <t>250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Ana C. Reyes</t>
        </is>
      </c>
      <c r="J7" s="12" t="inlineStr">
        <is>
          <t>crm_client_payout_account.payee_name</t>
        </is>
      </c>
      <c r="K7" s="12" t="inlineStr">
        <is>
          <t>Not blank</t>
        </is>
      </c>
      <c r="L7" s="12" t="inlineStr">
        <is>
          <t>EBIX</t>
        </is>
      </c>
    </row>
    <row r="8">
      <c r="A8" s="12" t="n">
        <v>4</v>
      </c>
      <c r="B8" s="12" t="inlineStr">
        <is>
          <t>bank_code</t>
        </is>
      </c>
      <c r="C8" s="12" t="inlineStr">
        <is>
          <t>Bank of the account</t>
        </is>
      </c>
      <c r="D8" s="12" t="inlineStr">
        <is>
          <t>Code</t>
        </is>
      </c>
      <c r="E8" s="12" t="inlineStr">
        <is>
          <t>30</t>
        </is>
      </c>
      <c r="F8" s="12" t="inlineStr">
        <is>
          <t>C</t>
        </is>
      </c>
      <c r="G8" s="12" t="inlineStr">
        <is>
          <t>Code map BANK</t>
        </is>
      </c>
      <c r="H8" s="12" t="inlineStr">
        <is>
          <t>As stored in legacy</t>
        </is>
      </c>
      <c r="I8" s="12" t="inlineStr">
        <is>
          <t>BDO</t>
        </is>
      </c>
      <c r="J8" s="12" t="inlineStr">
        <is>
          <t>Payout bank</t>
        </is>
      </c>
      <c r="K8" s="12" t="inlineStr">
        <is>
          <t>Mandatory for CTA; mapped</t>
        </is>
      </c>
      <c r="L8" s="12" t="inlineStr">
        <is>
          <t>EBIX</t>
        </is>
      </c>
    </row>
    <row r="9">
      <c r="A9" s="12" t="n">
        <v>5</v>
      </c>
      <c r="B9" s="12" t="inlineStr">
        <is>
          <t>account_no</t>
        </is>
      </c>
      <c r="C9" s="12" t="inlineStr">
        <is>
          <t>Account number</t>
        </is>
      </c>
      <c r="D9" s="12" t="inlineStr">
        <is>
          <t>Text</t>
        </is>
      </c>
      <c r="E9" s="12" t="inlineStr">
        <is>
          <t>40</t>
        </is>
      </c>
      <c r="F9" s="12" t="inlineStr">
        <is>
          <t>C</t>
        </is>
      </c>
      <c r="G9" s="12" t="inlineStr">
        <is>
          <t>-</t>
        </is>
      </c>
      <c r="H9" s="12" t="inlineStr">
        <is>
          <t>Digits</t>
        </is>
      </c>
      <c r="I9" s="12" t="inlineStr">
        <is>
          <t>001234567890</t>
        </is>
      </c>
      <c r="J9" s="12" t="inlineStr">
        <is>
          <t>crm_client_payout_account.account_no</t>
        </is>
      </c>
      <c r="K9" s="12" t="inlineStr">
        <is>
          <t>Mandatory for CTA</t>
        </is>
      </c>
      <c r="L9" s="12" t="inlineStr">
        <is>
          <t>EBIX</t>
        </is>
      </c>
    </row>
    <row r="10">
      <c r="A10" s="12" t="n">
        <v>6</v>
      </c>
      <c r="B10" s="12" t="inlineStr">
        <is>
          <t>active_flag</t>
        </is>
      </c>
      <c r="C10" s="12" t="inlineStr">
        <is>
          <t>Account in use</t>
        </is>
      </c>
      <c r="D10" s="12" t="inlineStr">
        <is>
          <t>Flag</t>
        </is>
      </c>
      <c r="E10" s="12" t="inlineStr">
        <is>
          <t>1</t>
        </is>
      </c>
      <c r="F10" s="12" t="inlineStr">
        <is>
          <t>Y</t>
        </is>
      </c>
      <c r="G10" s="12" t="inlineStr">
        <is>
          <t>Y, N</t>
        </is>
      </c>
      <c r="H10" s="12" t="inlineStr">
        <is>
          <t>Y or N</t>
        </is>
      </c>
      <c r="I10" s="12" t="inlineStr">
        <is>
          <t>Y</t>
        </is>
      </c>
      <c r="J10" s="12" t="inlineStr">
        <is>
          <t>crm_client_payout_account.active</t>
        </is>
      </c>
      <c r="K10" s="12" t="inlineStr">
        <is>
          <t>Y or N</t>
        </is>
      </c>
      <c r="L10" s="12" t="inlineStr">
        <is>
          <t>EBIX</t>
        </is>
      </c>
    </row>
  </sheetData>
  <autoFilter ref="A4:L10"/>
  <mergeCells count="1">
    <mergeCell ref="A2:L2"/>
  </mergeCells>
  <conditionalFormatting sqref="A5:L510">
    <cfRule type="expression" priority="1" dxfId="3">
      <formula>AND(MOD(ROW(),2)=0,$A5&lt;&gt;"")</formula>
    </cfRule>
  </conditionalFormatting>
  <dataValidations count="2">
    <dataValidation sqref="D5:D510" showDropDown="0" showInputMessage="0" showErrorMessage="1" allowBlank="1" errorTitle="Type" error="Choose a value from the list (Type)." type="list">
      <formula1>'_lists'!$AD$1:$AD$8</formula1>
    </dataValidation>
    <dataValidation sqref="F5:F510" showDropDown="0" showInputMessage="0" showErrorMessage="1" allowBlank="1" errorTitle="Mandatory" error="Choose a value from the list (Mandatory)." type="list">
      <formula1>'_lists'!$AE$1:$AE$3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L3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P01 Policy headers</t>
        </is>
      </c>
    </row>
    <row r="2">
      <c r="A2" s="24" t="inlineStr">
        <is>
          <t>Layout P01 of object P01; key: legacy_policy_ref; template templates/P01_template.csv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legacy_policy_ref</t>
        </is>
      </c>
      <c r="C5" s="12" t="inlineStr">
        <is>
          <t>Unique legacy reference of the policy term (cover no. and version, or policy reference)</t>
        </is>
      </c>
      <c r="D5" s="12" t="inlineStr">
        <is>
          <t>Code</t>
        </is>
      </c>
      <c r="E5" s="12" t="inlineStr">
        <is>
          <t>60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&lt;cover no.&gt;-&lt;version&gt;</t>
        </is>
      </c>
      <c r="I5" s="12" t="inlineStr">
        <is>
          <t>C-2026-004512-01</t>
        </is>
      </c>
      <c r="J5" s="12" t="inlineStr">
        <is>
          <t>acc_account.legacy_ref (new); mig_key_xref</t>
        </is>
      </c>
      <c r="K5" s="12" t="inlineStr">
        <is>
          <t>Unique in the file</t>
        </is>
      </c>
      <c r="L5" s="12" t="inlineStr">
        <is>
          <t>QPS cover; EBIX policy record</t>
        </is>
      </c>
    </row>
    <row r="6">
      <c r="A6" s="12" t="n">
        <v>2</v>
      </c>
      <c r="B6" s="12" t="inlineStr">
        <is>
          <t>cover_no</t>
        </is>
      </c>
      <c r="C6" s="12" t="inlineStr">
        <is>
          <t>Legacy cover number</t>
        </is>
      </c>
      <c r="D6" s="12" t="inlineStr">
        <is>
          <t>Text</t>
        </is>
      </c>
      <c r="E6" s="12" t="inlineStr">
        <is>
          <t>40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C-2026-004512</t>
        </is>
      </c>
      <c r="J6" s="12" t="inlineStr">
        <is>
          <t>acc_account.legacy_ref (part)</t>
        </is>
      </c>
      <c r="K6" s="12" t="inlineStr">
        <is>
          <t>Not blank</t>
        </is>
      </c>
      <c r="L6" s="12" t="inlineStr">
        <is>
          <t>QPS</t>
        </is>
      </c>
    </row>
    <row r="7">
      <c r="A7" s="12" t="n">
        <v>3</v>
      </c>
      <c r="B7" s="12" t="inlineStr">
        <is>
          <t>cover_version</t>
        </is>
      </c>
      <c r="C7" s="12" t="inlineStr">
        <is>
          <t>Legacy cover version</t>
        </is>
      </c>
      <c r="D7" s="12" t="inlineStr">
        <is>
          <t>Integer</t>
        </is>
      </c>
      <c r="E7" s="12" t="inlineStr">
        <is>
          <t>4</t>
        </is>
      </c>
      <c r="F7" s="12" t="inlineStr">
        <is>
          <t>N</t>
        </is>
      </c>
      <c r="G7" s="12" t="inlineStr">
        <is>
          <t>-</t>
        </is>
      </c>
      <c r="H7" s="12" t="inlineStr">
        <is>
          <t>Digits</t>
        </is>
      </c>
      <c r="I7" s="12" t="inlineStr">
        <is>
          <t>1</t>
        </is>
      </c>
      <c r="J7" s="12" t="inlineStr">
        <is>
          <t>acc_account.legacy_ref (part)</t>
        </is>
      </c>
      <c r="K7" s="12" t="inlineStr">
        <is>
          <t>0 or more</t>
        </is>
      </c>
      <c r="L7" s="12" t="inlineStr">
        <is>
          <t>QPS</t>
        </is>
      </c>
    </row>
    <row r="8">
      <c r="A8" s="12" t="n">
        <v>4</v>
      </c>
      <c r="B8" s="12" t="inlineStr">
        <is>
          <t>policy_no</t>
        </is>
      </c>
      <c r="C8" s="12" t="inlineStr">
        <is>
          <t>Insurer policy number</t>
        </is>
      </c>
      <c r="D8" s="12" t="inlineStr">
        <is>
          <t>Text</t>
        </is>
      </c>
      <c r="E8" s="12" t="inlineStr">
        <is>
          <t>60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As issued</t>
        </is>
      </c>
      <c r="I8" s="12" t="inlineStr">
        <is>
          <t>MC-PC-26-0012345</t>
        </is>
      </c>
      <c r="J8" s="12" t="inlineStr">
        <is>
          <t>acc_account policy no.</t>
        </is>
      </c>
      <c r="K8" s="12" t="inlineStr">
        <is>
          <t>Not blank</t>
        </is>
      </c>
      <c r="L8" s="12" t="inlineStr">
        <is>
          <t>QPS, EBIX</t>
        </is>
      </c>
    </row>
    <row r="9">
      <c r="A9" s="12" t="n">
        <v>5</v>
      </c>
      <c r="B9" s="12" t="inlineStr">
        <is>
          <t>legacy_client_no</t>
        </is>
      </c>
      <c r="C9" s="12" t="inlineStr">
        <is>
          <t>Client number of the assured</t>
        </is>
      </c>
      <c r="D9" s="12" t="inlineStr">
        <is>
          <t>Code</t>
        </is>
      </c>
      <c r="E9" s="12" t="inlineStr">
        <is>
          <t>30</t>
        </is>
      </c>
      <c r="F9" s="12" t="inlineStr">
        <is>
          <t>Y</t>
        </is>
      </c>
      <c r="G9" s="12" t="inlineStr">
        <is>
          <t>legacy_client_no of C01</t>
        </is>
      </c>
      <c r="H9" s="12" t="inlineStr">
        <is>
          <t>As stored in legacy</t>
        </is>
      </c>
      <c r="I9" s="12" t="inlineStr">
        <is>
          <t>Q-0012345</t>
        </is>
      </c>
      <c r="J9" s="12" t="inlineStr">
        <is>
          <t>acc_account.client_id (through xref)</t>
        </is>
      </c>
      <c r="K9" s="12" t="inlineStr">
        <is>
          <t>Client loaded</t>
        </is>
      </c>
      <c r="L9" s="12" t="inlineStr">
        <is>
          <t>QPS, EBIX</t>
        </is>
      </c>
    </row>
    <row r="10">
      <c r="A10" s="12" t="n">
        <v>6</v>
      </c>
      <c r="B10" s="12" t="inlineStr">
        <is>
          <t>assured_name</t>
        </is>
      </c>
      <c r="C10" s="12" t="inlineStr">
        <is>
          <t>Assured name as on the policy</t>
        </is>
      </c>
      <c r="D10" s="12" t="inlineStr">
        <is>
          <t>Text</t>
        </is>
      </c>
      <c r="E10" s="12" t="inlineStr">
        <is>
          <t>250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Free text</t>
        </is>
      </c>
      <c r="I10" s="12" t="inlineStr">
        <is>
          <t>Ana C. Reyes</t>
        </is>
      </c>
      <c r="J10" s="12" t="inlineStr">
        <is>
          <t>acc_account.client_name (check)</t>
        </is>
      </c>
      <c r="K10" s="12" t="inlineStr">
        <is>
          <t>Not blank</t>
        </is>
      </c>
      <c r="L10" s="12" t="inlineStr">
        <is>
          <t>QPS</t>
        </is>
      </c>
    </row>
    <row r="11">
      <c r="A11" s="12" t="n">
        <v>7</v>
      </c>
      <c r="B11" s="12" t="inlineStr">
        <is>
          <t>risk_code</t>
        </is>
      </c>
      <c r="C11" s="12" t="inlineStr">
        <is>
          <t>Product / risk code</t>
        </is>
      </c>
      <c r="D11" s="12" t="inlineStr">
        <is>
          <t>Code</t>
        </is>
      </c>
      <c r="E11" s="12" t="inlineStr">
        <is>
          <t>20</t>
        </is>
      </c>
      <c r="F11" s="12" t="inlineStr">
        <is>
          <t>Y</t>
        </is>
      </c>
      <c r="G11" s="12" t="inlineStr">
        <is>
          <t>Code map PRODUCT</t>
        </is>
      </c>
      <c r="H11" s="12" t="inlineStr">
        <is>
          <t>As stored in legacy</t>
        </is>
      </c>
      <c r="I11" s="12" t="inlineStr">
        <is>
          <t>MC-PC-COMP</t>
        </is>
      </c>
      <c r="J11" s="12" t="inlineStr">
        <is>
          <t>acc_account.product_code</t>
        </is>
      </c>
      <c r="K11" s="12" t="inlineStr">
        <is>
          <t>Mapped</t>
        </is>
      </c>
      <c r="L11" s="12" t="inlineStr">
        <is>
          <t>QPS, EBIX</t>
        </is>
      </c>
    </row>
    <row r="12">
      <c r="A12" s="12" t="n">
        <v>8</v>
      </c>
      <c r="B12" s="12" t="inlineStr">
        <is>
          <t>package_code</t>
        </is>
      </c>
      <c r="C12" s="12" t="inlineStr">
        <is>
          <t>Legacy package of a packaged policy</t>
        </is>
      </c>
      <c r="D12" s="12" t="inlineStr">
        <is>
          <t>Code</t>
        </is>
      </c>
      <c r="E12" s="12" t="inlineStr">
        <is>
          <t>20</t>
        </is>
      </c>
      <c r="F12" s="12" t="inlineStr">
        <is>
          <t>C</t>
        </is>
      </c>
      <c r="G12" s="12" t="inlineStr">
        <is>
          <t>-</t>
        </is>
      </c>
      <c r="H12" s="12" t="inlineStr">
        <is>
          <t>As stored in legacy</t>
        </is>
      </c>
      <c r="I12" s="12" t="inlineStr">
        <is>
          <t>PKG-MC-PRIV</t>
        </is>
      </c>
      <c r="J12" s="12" t="inlineStr">
        <is>
          <t>acc_account.legacy_package_code (new); remapped at Renewal sanitation (PACKAGE_REMAP)</t>
        </is>
      </c>
      <c r="K12" s="12" t="inlineStr">
        <is>
          <t>Mandatory for packaged policies; not mapped at load (DMQ36)</t>
        </is>
      </c>
      <c r="L12" s="12" t="inlineStr">
        <is>
          <t>QPS</t>
        </is>
      </c>
    </row>
    <row r="13">
      <c r="A13" s="12" t="n">
        <v>9</v>
      </c>
      <c r="B13" s="12" t="inlineStr">
        <is>
          <t>package_version</t>
        </is>
      </c>
      <c r="C13" s="12" t="inlineStr">
        <is>
          <t>Version of the legacy package</t>
        </is>
      </c>
      <c r="D13" s="12" t="inlineStr">
        <is>
          <t>Integer</t>
        </is>
      </c>
      <c r="E13" s="12" t="inlineStr">
        <is>
          <t>4</t>
        </is>
      </c>
      <c r="F13" s="12" t="inlineStr">
        <is>
          <t>C</t>
        </is>
      </c>
      <c r="G13" s="12" t="inlineStr">
        <is>
          <t>-</t>
        </is>
      </c>
      <c r="H13" s="12" t="inlineStr">
        <is>
          <t>Digits</t>
        </is>
      </c>
      <c r="I13" s="12" t="inlineStr">
        <is>
          <t>3</t>
        </is>
      </c>
      <c r="J13" s="12" t="inlineStr">
        <is>
          <t>acc_account.legacy_package_version (new)</t>
        </is>
      </c>
      <c r="K13" s="12" t="inlineStr">
        <is>
          <t>Mandatory with package_code</t>
        </is>
      </c>
      <c r="L13" s="12" t="inlineStr">
        <is>
          <t>QPS</t>
        </is>
      </c>
    </row>
    <row r="14">
      <c r="A14" s="12" t="n">
        <v>10</v>
      </c>
      <c r="B14" s="12" t="inlineStr">
        <is>
          <t>line_code</t>
        </is>
      </c>
      <c r="C14" s="12" t="inlineStr">
        <is>
          <t>Line of business</t>
        </is>
      </c>
      <c r="D14" s="12" t="inlineStr">
        <is>
          <t>Code</t>
        </is>
      </c>
      <c r="E14" s="12" t="inlineStr">
        <is>
          <t>30</t>
        </is>
      </c>
      <c r="F14" s="12" t="inlineStr">
        <is>
          <t>Y</t>
        </is>
      </c>
      <c r="G14" s="12" t="inlineStr">
        <is>
          <t>Code map LINE</t>
        </is>
      </c>
      <c r="H14" s="12" t="inlineStr">
        <is>
          <t>As stored in legacy</t>
        </is>
      </c>
      <c r="I14" s="12" t="inlineStr">
        <is>
          <t>MOTOR</t>
        </is>
      </c>
      <c r="J14" s="12" t="inlineStr">
        <is>
          <t>acc_account.line_code</t>
        </is>
      </c>
      <c r="K14" s="12" t="inlineStr">
        <is>
          <t>Mapped; consistent with risk_code</t>
        </is>
      </c>
      <c r="L14" s="12" t="inlineStr">
        <is>
          <t>QPS, EBIX</t>
        </is>
      </c>
    </row>
    <row r="15">
      <c r="A15" s="12" t="n">
        <v>11</v>
      </c>
      <c r="B15" s="12" t="inlineStr">
        <is>
          <t>cover_type_code</t>
        </is>
      </c>
      <c r="C15" s="12" t="inlineStr">
        <is>
          <t>Cover type</t>
        </is>
      </c>
      <c r="D15" s="12" t="inlineStr">
        <is>
          <t>Code</t>
        </is>
      </c>
      <c r="E15" s="12" t="inlineStr">
        <is>
          <t>30</t>
        </is>
      </c>
      <c r="F15" s="12" t="inlineStr">
        <is>
          <t>N</t>
        </is>
      </c>
      <c r="G15" s="12" t="inlineStr">
        <is>
          <t>Code map COVER_TYPE</t>
        </is>
      </c>
      <c r="H15" s="12" t="inlineStr">
        <is>
          <t>As stored in legacy</t>
        </is>
      </c>
      <c r="I15" s="12" t="inlineStr">
        <is>
          <t>COMP</t>
        </is>
      </c>
      <c r="J15" s="12" t="inlineStr">
        <is>
          <t>acc_account.cover_type_code</t>
        </is>
      </c>
      <c r="K15" s="12" t="inlineStr">
        <is>
          <t>Mapped</t>
        </is>
      </c>
      <c r="L15" s="12" t="inlineStr">
        <is>
          <t>QPS</t>
        </is>
      </c>
    </row>
    <row r="16">
      <c r="A16" s="12" t="n">
        <v>12</v>
      </c>
      <c r="B16" s="12" t="inlineStr">
        <is>
          <t>business_type</t>
        </is>
      </c>
      <c r="C16" s="12" t="inlineStr">
        <is>
          <t>New business or renewal</t>
        </is>
      </c>
      <c r="D16" s="12" t="inlineStr">
        <is>
          <t>Code</t>
        </is>
      </c>
      <c r="E16" s="12" t="inlineStr">
        <is>
          <t>2</t>
        </is>
      </c>
      <c r="F16" s="12" t="inlineStr">
        <is>
          <t>Y</t>
        </is>
      </c>
      <c r="G16" s="12" t="inlineStr">
        <is>
          <t>NB, RB</t>
        </is>
      </c>
      <c r="H16" s="12" t="inlineStr">
        <is>
          <t>Upper case</t>
        </is>
      </c>
      <c r="I16" s="12" t="inlineStr">
        <is>
          <t>RB</t>
        </is>
      </c>
      <c r="J16" s="12" t="inlineStr">
        <is>
          <t>acc_account business type (BT0)</t>
        </is>
      </c>
      <c r="K16" s="12" t="inlineStr">
        <is>
          <t>In the list</t>
        </is>
      </c>
      <c r="L16" s="12" t="inlineStr">
        <is>
          <t>QPS</t>
        </is>
      </c>
    </row>
    <row r="17">
      <c r="A17" s="12" t="n">
        <v>13</v>
      </c>
      <c r="B17" s="12" t="inlineStr">
        <is>
          <t>policy_status</t>
        </is>
      </c>
      <c r="C17" s="12" t="inlineStr">
        <is>
          <t>Status of the term in legacy</t>
        </is>
      </c>
      <c r="D17" s="12" t="inlineStr">
        <is>
          <t>Code</t>
        </is>
      </c>
      <c r="E17" s="12" t="inlineStr">
        <is>
          <t>20</t>
        </is>
      </c>
      <c r="F17" s="12" t="inlineStr">
        <is>
          <t>Y</t>
        </is>
      </c>
      <c r="G17" s="12" t="inlineStr">
        <is>
          <t>Code map STATUS:POLICY</t>
        </is>
      </c>
      <c r="H17" s="12" t="inlineStr">
        <is>
          <t>As stored in legacy</t>
        </is>
      </c>
      <c r="I17" s="12" t="inlineStr">
        <is>
          <t>ISSUED</t>
        </is>
      </c>
      <c r="J17" s="12" t="inlineStr">
        <is>
          <t>acc_account.status BOOKED</t>
        </is>
      </c>
      <c r="K17" s="12" t="inlineStr">
        <is>
          <t>Mapped to an in-force status</t>
        </is>
      </c>
      <c r="L17" s="12" t="inlineStr">
        <is>
          <t>QPS, EBIX</t>
        </is>
      </c>
    </row>
    <row r="18">
      <c r="A18" s="12" t="n">
        <v>14</v>
      </c>
      <c r="B18" s="12" t="inlineStr">
        <is>
          <t>inception_date</t>
        </is>
      </c>
      <c r="C18" s="12" t="inlineStr">
        <is>
          <t>Period from</t>
        </is>
      </c>
      <c r="D18" s="12" t="inlineStr">
        <is>
          <t>Date</t>
        </is>
      </c>
      <c r="E18" s="12" t="inlineStr">
        <is>
          <t>10</t>
        </is>
      </c>
      <c r="F18" s="12" t="inlineStr">
        <is>
          <t>Y</t>
        </is>
      </c>
      <c r="G18" s="12" t="inlineStr">
        <is>
          <t>-</t>
        </is>
      </c>
      <c r="H18" s="12" t="inlineStr">
        <is>
          <t>yyyy-MM-dd</t>
        </is>
      </c>
      <c r="I18" s="12" t="inlineStr">
        <is>
          <t>2027-03-15</t>
        </is>
      </c>
      <c r="J18" s="12" t="inlineStr">
        <is>
          <t>acc_account.period_from</t>
        </is>
      </c>
      <c r="K18" s="12" t="inlineStr">
        <is>
          <t>Valid date</t>
        </is>
      </c>
      <c r="L18" s="12" t="inlineStr">
        <is>
          <t>QPS, EBIX</t>
        </is>
      </c>
    </row>
    <row r="19">
      <c r="A19" s="12" t="n">
        <v>15</v>
      </c>
      <c r="B19" s="12" t="inlineStr">
        <is>
          <t>expiry_date</t>
        </is>
      </c>
      <c r="C19" s="12" t="inlineStr">
        <is>
          <t>Period to</t>
        </is>
      </c>
      <c r="D19" s="12" t="inlineStr">
        <is>
          <t>Date</t>
        </is>
      </c>
      <c r="E19" s="12" t="inlineStr">
        <is>
          <t>10</t>
        </is>
      </c>
      <c r="F19" s="12" t="inlineStr">
        <is>
          <t>Y</t>
        </is>
      </c>
      <c r="G19" s="12" t="inlineStr">
        <is>
          <t>-</t>
        </is>
      </c>
      <c r="H19" s="12" t="inlineStr">
        <is>
          <t>yyyy-MM-dd</t>
        </is>
      </c>
      <c r="I19" s="12" t="inlineStr">
        <is>
          <t>2028-03-15</t>
        </is>
      </c>
      <c r="J19" s="12" t="inlineStr">
        <is>
          <t>acc_account.period_to</t>
        </is>
      </c>
      <c r="K19" s="12" t="inlineStr">
        <is>
          <t>After inception_date; on or after the cutover date; every expiry to 31-May-2028 present (go-live renewal extraction)</t>
        </is>
      </c>
      <c r="L19" s="12" t="inlineStr">
        <is>
          <t>QPS, EBIX</t>
        </is>
      </c>
    </row>
    <row r="20">
      <c r="A20" s="12" t="n">
        <v>16</v>
      </c>
      <c r="B20" s="12" t="inlineStr">
        <is>
          <t>currency</t>
        </is>
      </c>
      <c r="C20" s="12" t="inlineStr">
        <is>
          <t>Policy currency</t>
        </is>
      </c>
      <c r="D20" s="12" t="inlineStr">
        <is>
          <t>Code</t>
        </is>
      </c>
      <c r="E20" s="12" t="inlineStr">
        <is>
          <t>3</t>
        </is>
      </c>
      <c r="F20" s="12" t="inlineStr">
        <is>
          <t>Y</t>
        </is>
      </c>
      <c r="G20" s="12" t="inlineStr">
        <is>
          <t>ISO 4217</t>
        </is>
      </c>
      <c r="H20" s="12" t="inlineStr">
        <is>
          <t>Upper case</t>
        </is>
      </c>
      <c r="I20" s="12" t="inlineStr">
        <is>
          <t>PHP</t>
        </is>
      </c>
      <c r="J20" s="12" t="inlineStr">
        <is>
          <t>acc_account.currency</t>
        </is>
      </c>
      <c r="K20" s="12" t="inlineStr">
        <is>
          <t>Valid code</t>
        </is>
      </c>
      <c r="L20" s="12" t="inlineStr">
        <is>
          <t>QPS, EBIX</t>
        </is>
      </c>
    </row>
    <row r="21">
      <c r="A21" s="12" t="n">
        <v>17</v>
      </c>
      <c r="B21" s="12" t="inlineStr">
        <is>
          <t>sum_insured</t>
        </is>
      </c>
      <c r="C21" s="12" t="inlineStr">
        <is>
          <t>Total sum insured</t>
        </is>
      </c>
      <c r="D21" s="12" t="inlineStr">
        <is>
          <t>Amount</t>
        </is>
      </c>
      <c r="E21" s="12" t="inlineStr">
        <is>
          <t>19,2</t>
        </is>
      </c>
      <c r="F21" s="12" t="inlineStr">
        <is>
          <t>Y</t>
        </is>
      </c>
      <c r="G21" s="12" t="inlineStr">
        <is>
          <t>-</t>
        </is>
      </c>
      <c r="H21" s="12" t="inlineStr">
        <is>
          <t>Dot decimal, 2 decimals</t>
        </is>
      </c>
      <c r="I21" s="12" t="inlineStr">
        <is>
          <t>950000.00</t>
        </is>
      </c>
      <c r="J21" s="12" t="inlineStr">
        <is>
          <t>acc_account.total_sum_insured</t>
        </is>
      </c>
      <c r="K21" s="12" t="inlineStr">
        <is>
          <t>0 or more</t>
        </is>
      </c>
      <c r="L21" s="12" t="inlineStr">
        <is>
          <t>QPS</t>
        </is>
      </c>
    </row>
    <row r="22">
      <c r="A22" s="12" t="n">
        <v>18</v>
      </c>
      <c r="B22" s="12" t="inlineStr">
        <is>
          <t>net_premium</t>
        </is>
      </c>
      <c r="C22" s="12" t="inlineStr">
        <is>
          <t>Basic premium</t>
        </is>
      </c>
      <c r="D22" s="12" t="inlineStr">
        <is>
          <t>Amount</t>
        </is>
      </c>
      <c r="E22" s="12" t="inlineStr">
        <is>
          <t>19,2</t>
        </is>
      </c>
      <c r="F22" s="12" t="inlineStr">
        <is>
          <t>Y</t>
        </is>
      </c>
      <c r="G22" s="12" t="inlineStr">
        <is>
          <t>-</t>
        </is>
      </c>
      <c r="H22" s="12" t="inlineStr">
        <is>
          <t>Dot decimal, 2 decimals</t>
        </is>
      </c>
      <c r="I22" s="12" t="inlineStr">
        <is>
          <t>21375.00</t>
        </is>
      </c>
      <c r="J22" s="12" t="inlineStr">
        <is>
          <t>acc_account.net_premium</t>
        </is>
      </c>
      <c r="K22" s="12" t="inlineStr">
        <is>
          <t>0 or more</t>
        </is>
      </c>
      <c r="L22" s="12" t="inlineStr">
        <is>
          <t>QPS, EBIX</t>
        </is>
      </c>
    </row>
    <row r="23">
      <c r="A23" s="12" t="n">
        <v>19</v>
      </c>
      <c r="B23" s="12" t="inlineStr">
        <is>
          <t>gross_premium</t>
        </is>
      </c>
      <c r="C23" s="12" t="inlineStr">
        <is>
          <t>Gross premium including taxes and charges</t>
        </is>
      </c>
      <c r="D23" s="12" t="inlineStr">
        <is>
          <t>Amount</t>
        </is>
      </c>
      <c r="E23" s="12" t="inlineStr">
        <is>
          <t>19,2</t>
        </is>
      </c>
      <c r="F23" s="12" t="inlineStr">
        <is>
          <t>Y</t>
        </is>
      </c>
      <c r="G23" s="12" t="inlineStr">
        <is>
          <t>-</t>
        </is>
      </c>
      <c r="H23" s="12" t="inlineStr">
        <is>
          <t>Dot decimal, 2 decimals</t>
        </is>
      </c>
      <c r="I23" s="12" t="inlineStr">
        <is>
          <t>25946.25</t>
        </is>
      </c>
      <c r="J23" s="12" t="inlineStr">
        <is>
          <t>acc_account.gross_premium</t>
        </is>
      </c>
      <c r="K23" s="12" t="inlineStr">
        <is>
          <t>Not below net_premium</t>
        </is>
      </c>
      <c r="L23" s="12" t="inlineStr">
        <is>
          <t>QPS, EBIX</t>
        </is>
      </c>
    </row>
    <row r="24">
      <c r="A24" s="12" t="n">
        <v>20</v>
      </c>
      <c r="B24" s="12" t="inlineStr">
        <is>
          <t>commission_rate_pct</t>
        </is>
      </c>
      <c r="C24" s="12" t="inlineStr">
        <is>
          <t>Commission rate in percent</t>
        </is>
      </c>
      <c r="D24" s="12" t="inlineStr">
        <is>
          <t>Decimal</t>
        </is>
      </c>
      <c r="E24" s="12" t="inlineStr">
        <is>
          <t>9,4</t>
        </is>
      </c>
      <c r="F24" s="12" t="inlineStr">
        <is>
          <t>N</t>
        </is>
      </c>
      <c r="G24" s="12" t="inlineStr">
        <is>
          <t>-</t>
        </is>
      </c>
      <c r="H24" s="12" t="inlineStr">
        <is>
          <t>Dot decimal</t>
        </is>
      </c>
      <c r="I24" s="12" t="inlineStr">
        <is>
          <t>20.0000</t>
        </is>
      </c>
      <c r="J24" s="12" t="inlineStr">
        <is>
          <t>acc_account.commission_rate</t>
        </is>
      </c>
      <c r="K24" s="12" t="inlineStr">
        <is>
          <t>0 to 100</t>
        </is>
      </c>
      <c r="L24" s="12" t="inlineStr">
        <is>
          <t>QPS</t>
        </is>
      </c>
    </row>
    <row r="25">
      <c r="A25" s="12" t="n">
        <v>21</v>
      </c>
      <c r="B25" s="12" t="inlineStr">
        <is>
          <t>payment_arrangement</t>
        </is>
      </c>
      <c r="C25" s="12" t="inlineStr">
        <is>
          <t>Premium paid through BDOI or directly to the insurer</t>
        </is>
      </c>
      <c r="D25" s="12" t="inlineStr">
        <is>
          <t>Code</t>
        </is>
      </c>
      <c r="E25" s="12" t="inlineStr">
        <is>
          <t>20</t>
        </is>
      </c>
      <c r="F25" s="12" t="inlineStr">
        <is>
          <t>Y</t>
        </is>
      </c>
      <c r="G25" s="12" t="inlineStr">
        <is>
          <t>VIA_BDOI, DIRECT</t>
        </is>
      </c>
      <c r="H25" s="12" t="inlineStr">
        <is>
          <t>Upper case</t>
        </is>
      </c>
      <c r="I25" s="12" t="inlineStr">
        <is>
          <t>VIA_BDOI</t>
        </is>
      </c>
      <c r="J25" s="12" t="inlineStr">
        <is>
          <t>acc_account.payment_arrangement</t>
        </is>
      </c>
      <c r="K25" s="12" t="inlineStr">
        <is>
          <t>In the list</t>
        </is>
      </c>
      <c r="L25" s="12" t="inlineStr">
        <is>
          <t>QPS, EBIX</t>
        </is>
      </c>
    </row>
    <row r="26">
      <c r="A26" s="12" t="n">
        <v>22</v>
      </c>
      <c r="B26" s="12" t="inlineStr">
        <is>
          <t>pn_nos</t>
        </is>
      </c>
      <c r="C26" s="12" t="inlineStr">
        <is>
          <t>Loan promissory note numbers, separated by semicolons</t>
        </is>
      </c>
      <c r="D26" s="12" t="inlineStr">
        <is>
          <t>Text</t>
        </is>
      </c>
      <c r="E26" s="12" t="inlineStr">
        <is>
          <t>500</t>
        </is>
      </c>
      <c r="F26" s="12" t="inlineStr">
        <is>
          <t>N</t>
        </is>
      </c>
      <c r="G26" s="12" t="inlineStr">
        <is>
          <t>-</t>
        </is>
      </c>
      <c r="H26" s="12" t="inlineStr">
        <is>
          <t>PN;PN</t>
        </is>
      </c>
      <c r="I26" s="12" t="inlineStr">
        <is>
          <t>PN-2019-000123</t>
        </is>
      </c>
      <c r="J26" s="12" t="inlineStr">
        <is>
          <t>Account PN numbers</t>
        </is>
      </c>
      <c r="K26" s="12" t="inlineStr">
        <is>
          <t>-</t>
        </is>
      </c>
      <c r="L26" s="12" t="inlineStr">
        <is>
          <t>QPS</t>
        </is>
      </c>
    </row>
    <row r="27">
      <c r="A27" s="12" t="n">
        <v>23</v>
      </c>
      <c r="B27" s="12" t="inlineStr">
        <is>
          <t>loan_application_no</t>
        </is>
      </c>
      <c r="C27" s="12" t="inlineStr">
        <is>
          <t>Loan application number</t>
        </is>
      </c>
      <c r="D27" s="12" t="inlineStr">
        <is>
          <t>Text</t>
        </is>
      </c>
      <c r="E27" s="12" t="inlineStr">
        <is>
          <t>40</t>
        </is>
      </c>
      <c r="F27" s="12" t="inlineStr">
        <is>
          <t>N</t>
        </is>
      </c>
      <c r="G27" s="12" t="inlineStr">
        <is>
          <t>-</t>
        </is>
      </c>
      <c r="H27" s="12" t="inlineStr">
        <is>
          <t>As stored in legacy</t>
        </is>
      </c>
      <c r="I27" s="12" t="inlineStr">
        <is>
          <t>LA-2019-5566</t>
        </is>
      </c>
      <c r="J27" s="12" t="inlineStr">
        <is>
          <t>acc_account.loan_application_no</t>
        </is>
      </c>
      <c r="K27" s="12" t="inlineStr">
        <is>
          <t>-</t>
        </is>
      </c>
      <c r="L27" s="12" t="inlineStr">
        <is>
          <t>QPS</t>
        </is>
      </c>
    </row>
    <row r="28">
      <c r="A28" s="12" t="n">
        <v>24</v>
      </c>
      <c r="B28" s="12" t="inlineStr">
        <is>
          <t>mortgagee_bank</t>
        </is>
      </c>
      <c r="C28" s="12" t="inlineStr">
        <is>
          <t>Mortgagee</t>
        </is>
      </c>
      <c r="D28" s="12" t="inlineStr">
        <is>
          <t>Code</t>
        </is>
      </c>
      <c r="E28" s="12" t="inlineStr">
        <is>
          <t>40</t>
        </is>
      </c>
      <c r="F28" s="12" t="inlineStr">
        <is>
          <t>N</t>
        </is>
      </c>
      <c r="G28" s="12" t="inlineStr">
        <is>
          <t>Code map BANK</t>
        </is>
      </c>
      <c r="H28" s="12" t="inlineStr">
        <is>
          <t>As stored in legacy</t>
        </is>
      </c>
      <c r="I28" s="12" t="inlineStr">
        <is>
          <t>BDO</t>
        </is>
      </c>
      <c r="J28" s="12" t="inlineStr">
        <is>
          <t>acc_account.mortgagee_bank</t>
        </is>
      </c>
      <c r="K28" s="12" t="inlineStr">
        <is>
          <t>Mapped</t>
        </is>
      </c>
      <c r="L28" s="12" t="inlineStr">
        <is>
          <t>QPS</t>
        </is>
      </c>
    </row>
    <row r="29">
      <c r="A29" s="12" t="n">
        <v>25</v>
      </c>
      <c r="B29" s="12" t="inlineStr">
        <is>
          <t>ffy_flag</t>
        </is>
      </c>
      <c r="C29" s="12" t="inlineStr">
        <is>
          <t>Free first year</t>
        </is>
      </c>
      <c r="D29" s="12" t="inlineStr">
        <is>
          <t>Flag</t>
        </is>
      </c>
      <c r="E29" s="12" t="inlineStr">
        <is>
          <t>1</t>
        </is>
      </c>
      <c r="F29" s="12" t="inlineStr">
        <is>
          <t>N</t>
        </is>
      </c>
      <c r="G29" s="12" t="inlineStr">
        <is>
          <t>Y, N</t>
        </is>
      </c>
      <c r="H29" s="12" t="inlineStr">
        <is>
          <t>Y or N</t>
        </is>
      </c>
      <c r="I29" s="12" t="inlineStr">
        <is>
          <t>N</t>
        </is>
      </c>
      <c r="J29" s="12" t="inlineStr">
        <is>
          <t>acc_account.ffy</t>
        </is>
      </c>
      <c r="K29" s="12" t="inlineStr">
        <is>
          <t>Y or N</t>
        </is>
      </c>
      <c r="L29" s="12" t="inlineStr">
        <is>
          <t>QPS</t>
        </is>
      </c>
    </row>
    <row r="30">
      <c r="A30" s="12" t="n">
        <v>26</v>
      </c>
      <c r="B30" s="12" t="inlineStr">
        <is>
          <t>ao_user_id</t>
        </is>
      </c>
      <c r="C30" s="12" t="inlineStr">
        <is>
          <t>Account officer</t>
        </is>
      </c>
      <c r="D30" s="12" t="inlineStr">
        <is>
          <t>Code</t>
        </is>
      </c>
      <c r="E30" s="12" t="inlineStr">
        <is>
          <t>50</t>
        </is>
      </c>
      <c r="F30" s="12" t="inlineStr">
        <is>
          <t>Y</t>
        </is>
      </c>
      <c r="G30" s="12" t="inlineStr">
        <is>
          <t>Code map USER</t>
        </is>
      </c>
      <c r="H30" s="12" t="inlineStr">
        <is>
          <t>As stored in legacy</t>
        </is>
      </c>
      <c r="I30" s="12" t="inlineStr">
        <is>
          <t>mreyes</t>
        </is>
      </c>
      <c r="J30" s="12" t="inlineStr">
        <is>
          <t>acc_account.account_officer</t>
        </is>
      </c>
      <c r="K30" s="12" t="inlineStr">
        <is>
          <t>Mapped in USER</t>
        </is>
      </c>
      <c r="L30" s="12" t="inlineStr">
        <is>
          <t>QPS</t>
        </is>
      </c>
    </row>
    <row r="31">
      <c r="A31" s="12" t="n">
        <v>27</v>
      </c>
      <c r="B31" s="12" t="inlineStr">
        <is>
          <t>sales_unit_code</t>
        </is>
      </c>
      <c r="C31" s="12" t="inlineStr">
        <is>
          <t>Sales team</t>
        </is>
      </c>
      <c r="D31" s="12" t="inlineStr">
        <is>
          <t>Code</t>
        </is>
      </c>
      <c r="E31" s="12" t="inlineStr">
        <is>
          <t>20</t>
        </is>
      </c>
      <c r="F31" s="12" t="inlineStr">
        <is>
          <t>Y</t>
        </is>
      </c>
      <c r="G31" s="12" t="inlineStr">
        <is>
          <t>Code map SALES_UNIT</t>
        </is>
      </c>
      <c r="H31" s="12" t="inlineStr">
        <is>
          <t>As stored in legacy</t>
        </is>
      </c>
      <c r="I31" s="12" t="inlineStr">
        <is>
          <t>T-RET-07</t>
        </is>
      </c>
      <c r="J31" s="12" t="inlineStr">
        <is>
          <t>acc_account.sales_team (region and department derived)</t>
        </is>
      </c>
      <c r="K31" s="12" t="inlineStr">
        <is>
          <t>Mapped</t>
        </is>
      </c>
      <c r="L31" s="12" t="inlineStr">
        <is>
          <t>QPS</t>
        </is>
      </c>
    </row>
    <row r="32">
      <c r="A32" s="12" t="n">
        <v>28</v>
      </c>
      <c r="B32" s="12" t="inlineStr">
        <is>
          <t>branch_code</t>
        </is>
      </c>
      <c r="C32" s="12" t="inlineStr">
        <is>
          <t>Branch</t>
        </is>
      </c>
      <c r="D32" s="12" t="inlineStr">
        <is>
          <t>Code</t>
        </is>
      </c>
      <c r="E32" s="12" t="inlineStr">
        <is>
          <t>20</t>
        </is>
      </c>
      <c r="F32" s="12" t="inlineStr">
        <is>
          <t>Y</t>
        </is>
      </c>
      <c r="G32" s="12" t="inlineStr">
        <is>
          <t>Code map BRANCH</t>
        </is>
      </c>
      <c r="H32" s="12" t="inlineStr">
        <is>
          <t>As stored in legacy</t>
        </is>
      </c>
      <c r="I32" s="12" t="inlineStr">
        <is>
          <t>MKT01</t>
        </is>
      </c>
      <c r="J32" s="12" t="inlineStr">
        <is>
          <t>Account branch</t>
        </is>
      </c>
      <c r="K32" s="12" t="inlineStr">
        <is>
          <t>Mapped</t>
        </is>
      </c>
      <c r="L32" s="12" t="inlineStr">
        <is>
          <t>EBIX</t>
        </is>
      </c>
    </row>
    <row r="33">
      <c r="A33" s="12" t="n">
        <v>29</v>
      </c>
      <c r="B33" s="12" t="inlineStr">
        <is>
          <t>market_segment</t>
        </is>
      </c>
      <c r="C33" s="12" t="inlineStr">
        <is>
          <t>Market segment</t>
        </is>
      </c>
      <c r="D33" s="12" t="inlineStr">
        <is>
          <t>Code</t>
        </is>
      </c>
      <c r="E33" s="12" t="inlineStr">
        <is>
          <t>40</t>
        </is>
      </c>
      <c r="F33" s="12" t="inlineStr">
        <is>
          <t>Y</t>
        </is>
      </c>
      <c r="G33" s="12" t="inlineStr">
        <is>
          <t>Code map LOV:MARKET_SEGMENT</t>
        </is>
      </c>
      <c r="H33" s="12" t="inlineStr">
        <is>
          <t>As stored in legacy</t>
        </is>
      </c>
      <c r="I33" s="12" t="inlineStr">
        <is>
          <t>CBG</t>
        </is>
      </c>
      <c r="J33" s="12" t="inlineStr">
        <is>
          <t>acc_account.market_segment</t>
        </is>
      </c>
      <c r="K33" s="12" t="inlineStr">
        <is>
          <t>Mapped</t>
        </is>
      </c>
      <c r="L33" s="12" t="inlineStr">
        <is>
          <t>QPS</t>
        </is>
      </c>
    </row>
    <row r="34">
      <c r="A34" s="12" t="n">
        <v>30</v>
      </c>
      <c r="B34" s="12" t="inlineStr">
        <is>
          <t>source_channel</t>
        </is>
      </c>
      <c r="C34" s="12" t="inlineStr">
        <is>
          <t>Business origin / channel</t>
        </is>
      </c>
      <c r="D34" s="12" t="inlineStr">
        <is>
          <t>Code</t>
        </is>
      </c>
      <c r="E34" s="12" t="inlineStr">
        <is>
          <t>40</t>
        </is>
      </c>
      <c r="F34" s="12" t="inlineStr">
        <is>
          <t>N</t>
        </is>
      </c>
      <c r="G34" s="12" t="inlineStr">
        <is>
          <t>Code map MIS:BUSINESS_ORIGIN</t>
        </is>
      </c>
      <c r="H34" s="12" t="inlineStr">
        <is>
          <t>As stored in legacy</t>
        </is>
      </c>
      <c r="I34" s="12" t="inlineStr">
        <is>
          <t>BANK_REFERRAL</t>
        </is>
      </c>
      <c r="J34" s="12" t="inlineStr">
        <is>
          <t>acc_account.source_channel</t>
        </is>
      </c>
      <c r="K34" s="12" t="inlineStr">
        <is>
          <t>Mapped</t>
        </is>
      </c>
      <c r="L34" s="12" t="inlineStr">
        <is>
          <t>QPS</t>
        </is>
      </c>
    </row>
    <row r="35">
      <c r="A35" s="12" t="n">
        <v>31</v>
      </c>
      <c r="B35" s="12" t="inlineStr">
        <is>
          <t>risk_description</t>
        </is>
      </c>
      <c r="C35" s="12" t="inlineStr">
        <is>
          <t>Short risk description (vehicle, location)</t>
        </is>
      </c>
      <c r="D35" s="12" t="inlineStr">
        <is>
          <t>Text</t>
        </is>
      </c>
      <c r="E35" s="12" t="inlineStr">
        <is>
          <t>300</t>
        </is>
      </c>
      <c r="F35" s="12" t="inlineStr">
        <is>
          <t>N</t>
        </is>
      </c>
      <c r="G35" s="12" t="inlineStr">
        <is>
          <t>-</t>
        </is>
      </c>
      <c r="H35" s="12" t="inlineStr">
        <is>
          <t>Free text</t>
        </is>
      </c>
      <c r="I35" s="12" t="inlineStr">
        <is>
          <t>2022 Toyota Vios ABC 1234</t>
        </is>
      </c>
      <c r="J35" s="12" t="inlineStr">
        <is>
          <t>Account risk summary</t>
        </is>
      </c>
      <c r="K35" s="12" t="inlineStr">
        <is>
          <t>-</t>
        </is>
      </c>
      <c r="L35" s="12" t="inlineStr">
        <is>
          <t>QPS</t>
        </is>
      </c>
    </row>
  </sheetData>
  <autoFilter ref="A4:L35"/>
  <mergeCells count="1">
    <mergeCell ref="A2:L2"/>
  </mergeCells>
  <conditionalFormatting sqref="A5:L535">
    <cfRule type="expression" priority="1" dxfId="3">
      <formula>AND(MOD(ROW(),2)=0,$A5&lt;&gt;"")</formula>
    </cfRule>
  </conditionalFormatting>
  <dataValidations count="2">
    <dataValidation sqref="D5:D535" showDropDown="0" showInputMessage="0" showErrorMessage="1" allowBlank="1" errorTitle="Type" error="Choose a value from the list (Type)." type="list">
      <formula1>'_lists'!$AF$1:$AF$8</formula1>
    </dataValidation>
    <dataValidation sqref="F5:F535" showDropDown="0" showInputMessage="0" showErrorMessage="1" allowBlank="1" errorTitle="Mandatory" error="Choose a value from the list (Mandatory)." type="list">
      <formula1>'_lists'!$AG$1:$AG$3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P01S Policy shares</t>
        </is>
      </c>
    </row>
    <row r="2">
      <c r="A2" s="24" t="inlineStr">
        <is>
          <t>Layout P01S of object P01; key: legacy_policy_ref, share_seq; template templates/P01S_template.csv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legacy_policy_ref</t>
        </is>
      </c>
      <c r="C5" s="12" t="inlineStr">
        <is>
          <t>Legacy reference of the policy term</t>
        </is>
      </c>
      <c r="D5" s="12" t="inlineStr">
        <is>
          <t>Code</t>
        </is>
      </c>
      <c r="E5" s="12" t="inlineStr">
        <is>
          <t>60</t>
        </is>
      </c>
      <c r="F5" s="12" t="inlineStr">
        <is>
          <t>Y</t>
        </is>
      </c>
      <c r="G5" s="12" t="inlineStr">
        <is>
          <t>legacy_policy_ref of P01</t>
        </is>
      </c>
      <c r="H5" s="12" t="inlineStr">
        <is>
          <t>As in P01</t>
        </is>
      </c>
      <c r="I5" s="12" t="inlineStr">
        <is>
          <t>C-2026-004512-01</t>
        </is>
      </c>
      <c r="J5" s="12" t="inlineStr">
        <is>
          <t>Account insurer shares</t>
        </is>
      </c>
      <c r="K5" s="12" t="inlineStr">
        <is>
          <t>Exists in P01</t>
        </is>
      </c>
      <c r="L5" s="12" t="inlineStr">
        <is>
          <t>QPS</t>
        </is>
      </c>
    </row>
    <row r="6">
      <c r="A6" s="12" t="n">
        <v>2</v>
      </c>
      <c r="B6" s="12" t="inlineStr">
        <is>
          <t>share_seq</t>
        </is>
      </c>
      <c r="C6" s="12" t="inlineStr">
        <is>
          <t>Sequence of the insurer</t>
        </is>
      </c>
      <c r="D6" s="12" t="inlineStr">
        <is>
          <t>Integer</t>
        </is>
      </c>
      <c r="E6" s="12" t="inlineStr">
        <is>
          <t>2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Digits</t>
        </is>
      </c>
      <c r="I6" s="12" t="inlineStr">
        <is>
          <t>1</t>
        </is>
      </c>
      <c r="J6" s="12" t="inlineStr">
        <is>
          <t>Share index</t>
        </is>
      </c>
      <c r="K6" s="12" t="inlineStr">
        <is>
          <t>Unique per policy</t>
        </is>
      </c>
      <c r="L6" s="12" t="inlineStr">
        <is>
          <t>QPS</t>
        </is>
      </c>
    </row>
    <row r="7">
      <c r="A7" s="12" t="n">
        <v>3</v>
      </c>
      <c r="B7" s="12" t="inlineStr">
        <is>
          <t>insurer_code</t>
        </is>
      </c>
      <c r="C7" s="12" t="inlineStr">
        <is>
          <t>Insurer</t>
        </is>
      </c>
      <c r="D7" s="12" t="inlineStr">
        <is>
          <t>Code</t>
        </is>
      </c>
      <c r="E7" s="12" t="inlineStr">
        <is>
          <t>30</t>
        </is>
      </c>
      <c r="F7" s="12" t="inlineStr">
        <is>
          <t>Y</t>
        </is>
      </c>
      <c r="G7" s="12" t="inlineStr">
        <is>
          <t>Code map INSURER</t>
        </is>
      </c>
      <c r="H7" s="12" t="inlineStr">
        <is>
          <t>As stored in legacy</t>
        </is>
      </c>
      <c r="I7" s="12" t="inlineStr">
        <is>
          <t>MAL</t>
        </is>
      </c>
      <c r="J7" s="12" t="inlineStr">
        <is>
          <t>acc_account.insurer_code (lead) and shares</t>
        </is>
      </c>
      <c r="K7" s="12" t="inlineStr">
        <is>
          <t>Mapped</t>
        </is>
      </c>
      <c r="L7" s="12" t="inlineStr">
        <is>
          <t>QPS</t>
        </is>
      </c>
    </row>
    <row r="8">
      <c r="A8" s="12" t="n">
        <v>4</v>
      </c>
      <c r="B8" s="12" t="inlineStr">
        <is>
          <t>insurer_branch_code</t>
        </is>
      </c>
      <c r="C8" s="12" t="inlineStr">
        <is>
          <t>Insurer branch</t>
        </is>
      </c>
      <c r="D8" s="12" t="inlineStr">
        <is>
          <t>Code</t>
        </is>
      </c>
      <c r="E8" s="12" t="inlineStr">
        <is>
          <t>20</t>
        </is>
      </c>
      <c r="F8" s="12" t="inlineStr">
        <is>
          <t>N</t>
        </is>
      </c>
      <c r="G8" s="12" t="inlineStr">
        <is>
          <t>Code map INSURER_BRANCH</t>
        </is>
      </c>
      <c r="H8" s="12" t="inlineStr">
        <is>
          <t>As stored in legacy</t>
        </is>
      </c>
      <c r="I8" s="12" t="inlineStr">
        <is>
          <t>MAL-CEB</t>
        </is>
      </c>
      <c r="J8" s="12" t="inlineStr">
        <is>
          <t>acc_account.insurer_branch</t>
        </is>
      </c>
      <c r="K8" s="12" t="inlineStr">
        <is>
          <t>Mapped</t>
        </is>
      </c>
      <c r="L8" s="12" t="inlineStr">
        <is>
          <t>QPS</t>
        </is>
      </c>
    </row>
    <row r="9">
      <c r="A9" s="12" t="n">
        <v>5</v>
      </c>
      <c r="B9" s="12" t="inlineStr">
        <is>
          <t>share_pct</t>
        </is>
      </c>
      <c r="C9" s="12" t="inlineStr">
        <is>
          <t>Share in percent</t>
        </is>
      </c>
      <c r="D9" s="12" t="inlineStr">
        <is>
          <t>Decimal</t>
        </is>
      </c>
      <c r="E9" s="12" t="inlineStr">
        <is>
          <t>9,4</t>
        </is>
      </c>
      <c r="F9" s="12" t="inlineStr">
        <is>
          <t>Y</t>
        </is>
      </c>
      <c r="G9" s="12" t="inlineStr">
        <is>
          <t>-</t>
        </is>
      </c>
      <c r="H9" s="12" t="inlineStr">
        <is>
          <t>Dot decimal</t>
        </is>
      </c>
      <c r="I9" s="12" t="inlineStr">
        <is>
          <t>100.0000</t>
        </is>
      </c>
      <c r="J9" s="12" t="inlineStr">
        <is>
          <t>Share percent</t>
        </is>
      </c>
      <c r="K9" s="12" t="inlineStr">
        <is>
          <t>Above 0; shares of a policy add to 100</t>
        </is>
      </c>
      <c r="L9" s="12" t="inlineStr">
        <is>
          <t>QPS</t>
        </is>
      </c>
    </row>
    <row r="10">
      <c r="A10" s="12" t="n">
        <v>6</v>
      </c>
      <c r="B10" s="12" t="inlineStr">
        <is>
          <t>lead_flag</t>
        </is>
      </c>
      <c r="C10" s="12" t="inlineStr">
        <is>
          <t>Lead insurer</t>
        </is>
      </c>
      <c r="D10" s="12" t="inlineStr">
        <is>
          <t>Flag</t>
        </is>
      </c>
      <c r="E10" s="12" t="inlineStr">
        <is>
          <t>1</t>
        </is>
      </c>
      <c r="F10" s="12" t="inlineStr">
        <is>
          <t>Y</t>
        </is>
      </c>
      <c r="G10" s="12" t="inlineStr">
        <is>
          <t>Y, N</t>
        </is>
      </c>
      <c r="H10" s="12" t="inlineStr">
        <is>
          <t>Y or N</t>
        </is>
      </c>
      <c r="I10" s="12" t="inlineStr">
        <is>
          <t>Y</t>
        </is>
      </c>
      <c r="J10" s="12" t="inlineStr">
        <is>
          <t>Lead insurer</t>
        </is>
      </c>
      <c r="K10" s="12" t="inlineStr">
        <is>
          <t>One lead per policy</t>
        </is>
      </c>
      <c r="L10" s="12" t="inlineStr">
        <is>
          <t>QPS</t>
        </is>
      </c>
    </row>
  </sheetData>
  <autoFilter ref="A4:L10"/>
  <mergeCells count="1">
    <mergeCell ref="A2:L2"/>
  </mergeCells>
  <conditionalFormatting sqref="A5:L510">
    <cfRule type="expression" priority="1" dxfId="3">
      <formula>AND(MOD(ROW(),2)=0,$A5&lt;&gt;"")</formula>
    </cfRule>
  </conditionalFormatting>
  <dataValidations count="2">
    <dataValidation sqref="D5:D510" showDropDown="0" showInputMessage="0" showErrorMessage="1" allowBlank="1" errorTitle="Type" error="Choose a value from the list (Type)." type="list">
      <formula1>'_lists'!$AH$1:$AH$8</formula1>
    </dataValidation>
    <dataValidation sqref="F5:F510" showDropDown="0" showInputMessage="0" showErrorMessage="1" allowBlank="1" errorTitle="Mandatory" error="Choose a value from the list (Mandatory)." type="list">
      <formula1>'_lists'!$AI$1:$AI$3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P03 RA already sent</t>
        </is>
      </c>
    </row>
    <row r="2">
      <c r="A2" s="24" t="inlineStr">
        <is>
          <t>Layout P03 of object P03; key: legacy_policy_ref; template templates/P03_template.csv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legacy_policy_ref</t>
        </is>
      </c>
      <c r="C5" s="12" t="inlineStr">
        <is>
          <t>Legacy reference of the expiring policy term</t>
        </is>
      </c>
      <c r="D5" s="12" t="inlineStr">
        <is>
          <t>Code</t>
        </is>
      </c>
      <c r="E5" s="12" t="inlineStr">
        <is>
          <t>60</t>
        </is>
      </c>
      <c r="F5" s="12" t="inlineStr">
        <is>
          <t>Y</t>
        </is>
      </c>
      <c r="G5" s="12" t="inlineStr">
        <is>
          <t>legacy_policy_ref of P01</t>
        </is>
      </c>
      <c r="H5" s="12" t="inlineStr">
        <is>
          <t>As in P01</t>
        </is>
      </c>
      <c r="I5" s="12" t="inlineStr">
        <is>
          <t>C-2027-004512-01</t>
        </is>
      </c>
      <c r="J5" s="12" t="inlineStr">
        <is>
          <t>mig_ra_sent.legacy_ref; account through the P01 cross-reference</t>
        </is>
      </c>
      <c r="K5" s="12" t="inlineStr">
        <is>
          <t>Exists in P01 of the same load (DQ-018)</t>
        </is>
      </c>
      <c r="L5" s="12" t="inlineStr">
        <is>
          <t>Excel RA tracker</t>
        </is>
      </c>
    </row>
    <row r="6">
      <c r="A6" s="12" t="n">
        <v>2</v>
      </c>
      <c r="B6" s="12" t="inlineStr">
        <is>
          <t>cover_no</t>
        </is>
      </c>
      <c r="C6" s="12" t="inlineStr">
        <is>
          <t>Legacy cover number of the expiring term</t>
        </is>
      </c>
      <c r="D6" s="12" t="inlineStr">
        <is>
          <t>Text</t>
        </is>
      </c>
      <c r="E6" s="12" t="inlineStr">
        <is>
          <t>40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C-2027-004512</t>
        </is>
      </c>
      <c r="J6" s="12" t="inlineStr">
        <is>
          <t>mig_ra_sent cover no. (check)</t>
        </is>
      </c>
      <c r="K6" s="12" t="inlineStr">
        <is>
          <t>Equals the cover of the P01 header</t>
        </is>
      </c>
      <c r="L6" s="12" t="inlineStr">
        <is>
          <t>Excel RA tracker</t>
        </is>
      </c>
    </row>
    <row r="7">
      <c r="A7" s="12" t="n">
        <v>3</v>
      </c>
      <c r="B7" s="12" t="inlineStr">
        <is>
          <t>expiry_date</t>
        </is>
      </c>
      <c r="C7" s="12" t="inlineStr">
        <is>
          <t>Expiry of the expiring term</t>
        </is>
      </c>
      <c r="D7" s="12" t="inlineStr">
        <is>
          <t>Date</t>
        </is>
      </c>
      <c r="E7" s="12" t="inlineStr">
        <is>
          <t>10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yyyy-MM-dd</t>
        </is>
      </c>
      <c r="I7" s="12" t="inlineStr">
        <is>
          <t>2028-01-15</t>
        </is>
      </c>
      <c r="J7" s="12" t="inlineStr">
        <is>
          <t>Check against the P01 expiry</t>
        </is>
      </c>
      <c r="K7" s="12" t="inlineStr">
        <is>
          <t>Equals the P01 expiry; from T to 31-May-2028 (DQ-019)</t>
        </is>
      </c>
      <c r="L7" s="12" t="inlineStr">
        <is>
          <t>Excel RA tracker</t>
        </is>
      </c>
    </row>
    <row r="8">
      <c r="A8" s="12" t="n">
        <v>4</v>
      </c>
      <c r="B8" s="12" t="inlineStr">
        <is>
          <t>ra_sent_date</t>
        </is>
      </c>
      <c r="C8" s="12" t="inlineStr">
        <is>
          <t>Date the RA was sent</t>
        </is>
      </c>
      <c r="D8" s="12" t="inlineStr">
        <is>
          <t>Date</t>
        </is>
      </c>
      <c r="E8" s="12" t="inlineStr">
        <is>
          <t>10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yyyy-MM-dd</t>
        </is>
      </c>
      <c r="I8" s="12" t="inlineStr">
        <is>
          <t>2027-11-16</t>
        </is>
      </c>
      <c r="J8" s="12" t="inlineStr">
        <is>
          <t>Candidate RA sent date (not sent again)</t>
        </is>
      </c>
      <c r="K8" s="12" t="inlineStr">
        <is>
          <t>Not after the last legacy business day (DQ-047); warning when more than 140 days before expiry (DQ-048)</t>
        </is>
      </c>
      <c r="L8" s="12" t="inlineStr">
        <is>
          <t>Excel RA tracker</t>
        </is>
      </c>
    </row>
    <row r="9">
      <c r="A9" s="12" t="n">
        <v>5</v>
      </c>
      <c r="B9" s="12" t="inlineStr">
        <is>
          <t>ra_ref</t>
        </is>
      </c>
      <c r="C9" s="12" t="inlineStr">
        <is>
          <t>RA reference, if the tracker gives one</t>
        </is>
      </c>
      <c r="D9" s="12" t="inlineStr">
        <is>
          <t>Text</t>
        </is>
      </c>
      <c r="E9" s="12" t="inlineStr">
        <is>
          <t>30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As in the tracker</t>
        </is>
      </c>
      <c r="I9" s="12" t="inlineStr">
        <is>
          <t>RA-2027-018833</t>
        </is>
      </c>
      <c r="J9" s="12" t="inlineStr">
        <is>
          <t>Candidate RA reference</t>
        </is>
      </c>
      <c r="K9" s="12" t="inlineStr">
        <is>
          <t>-</t>
        </is>
      </c>
      <c r="L9" s="12" t="inlineStr">
        <is>
          <t>Excel RA tracker</t>
        </is>
      </c>
    </row>
    <row r="10">
      <c r="A10" s="12" t="n">
        <v>6</v>
      </c>
      <c r="B10" s="12" t="inlineStr">
        <is>
          <t>ra_channel</t>
        </is>
      </c>
      <c r="C10" s="12" t="inlineStr">
        <is>
          <t>How the RA was sent</t>
        </is>
      </c>
      <c r="D10" s="12" t="inlineStr">
        <is>
          <t>Code</t>
        </is>
      </c>
      <c r="E10" s="12" t="inlineStr">
        <is>
          <t>10</t>
        </is>
      </c>
      <c r="F10" s="12" t="inlineStr">
        <is>
          <t>Y</t>
        </is>
      </c>
      <c r="G10" s="12" t="inlineStr">
        <is>
          <t>EMAIL, COURIER, HAND, OTHER</t>
        </is>
      </c>
      <c r="H10" s="12" t="inlineStr">
        <is>
          <t>Upper case</t>
        </is>
      </c>
      <c r="I10" s="12" t="inlineStr">
        <is>
          <t>EMAIL</t>
        </is>
      </c>
      <c r="J10" s="12" t="inlineStr">
        <is>
          <t>Candidate RA channel</t>
        </is>
      </c>
      <c r="K10" s="12" t="inlineStr">
        <is>
          <t>In the list</t>
        </is>
      </c>
      <c r="L10" s="12" t="inlineStr">
        <is>
          <t>Excel RA tracker</t>
        </is>
      </c>
    </row>
    <row r="11">
      <c r="A11" s="12" t="n">
        <v>7</v>
      </c>
      <c r="B11" s="12" t="inlineStr">
        <is>
          <t>sent_to</t>
        </is>
      </c>
      <c r="C11" s="12" t="inlineStr">
        <is>
          <t>Recipient (client name or e-mail address)</t>
        </is>
      </c>
      <c r="D11" s="12" t="inlineStr">
        <is>
          <t>Text</t>
        </is>
      </c>
      <c r="E11" s="12" t="inlineStr">
        <is>
          <t>250</t>
        </is>
      </c>
      <c r="F11" s="12" t="inlineStr">
        <is>
          <t>N</t>
        </is>
      </c>
      <c r="G11" s="12" t="inlineStr">
        <is>
          <t>-</t>
        </is>
      </c>
      <c r="H11" s="12" t="inlineStr">
        <is>
          <t>Free text</t>
        </is>
      </c>
      <c r="I11" s="12" t="inlineStr">
        <is>
          <t>ana.reyes@example.com</t>
        </is>
      </c>
      <c r="J11" s="12" t="inlineStr">
        <is>
          <t>Candidate RA recipient</t>
        </is>
      </c>
      <c r="K11" s="12" t="inlineStr">
        <is>
          <t>Masked outside production</t>
        </is>
      </c>
      <c r="L11" s="12" t="inlineStr">
        <is>
          <t>Excel RA tracker</t>
        </is>
      </c>
    </row>
    <row r="12">
      <c r="A12" s="12" t="n">
        <v>8</v>
      </c>
      <c r="B12" s="12" t="inlineStr">
        <is>
          <t>proposed_insurer_code</t>
        </is>
      </c>
      <c r="C12" s="12" t="inlineStr">
        <is>
          <t>Insurer quoted on the RA</t>
        </is>
      </c>
      <c r="D12" s="12" t="inlineStr">
        <is>
          <t>Code</t>
        </is>
      </c>
      <c r="E12" s="12" t="inlineStr">
        <is>
          <t>30</t>
        </is>
      </c>
      <c r="F12" s="12" t="inlineStr">
        <is>
          <t>N</t>
        </is>
      </c>
      <c r="G12" s="12" t="inlineStr">
        <is>
          <t>Code map INSURER</t>
        </is>
      </c>
      <c r="H12" s="12" t="inlineStr">
        <is>
          <t>As stored in legacy</t>
        </is>
      </c>
      <c r="I12" s="12" t="inlineStr">
        <is>
          <t>MAL</t>
        </is>
      </c>
      <c r="J12" s="12" t="inlineStr">
        <is>
          <t>Candidate RA quoted insurer</t>
        </is>
      </c>
      <c r="K12" s="12" t="inlineStr">
        <is>
          <t>Mapped</t>
        </is>
      </c>
      <c r="L12" s="12" t="inlineStr">
        <is>
          <t>Excel RA tracker</t>
        </is>
      </c>
    </row>
    <row r="13">
      <c r="A13" s="12" t="n">
        <v>9</v>
      </c>
      <c r="B13" s="12" t="inlineStr">
        <is>
          <t>currency</t>
        </is>
      </c>
      <c r="C13" s="12" t="inlineStr">
        <is>
          <t>Currency of the quoted premium</t>
        </is>
      </c>
      <c r="D13" s="12" t="inlineStr">
        <is>
          <t>Code</t>
        </is>
      </c>
      <c r="E13" s="12" t="inlineStr">
        <is>
          <t>3</t>
        </is>
      </c>
      <c r="F13" s="12" t="inlineStr">
        <is>
          <t>C</t>
        </is>
      </c>
      <c r="G13" s="12" t="inlineStr">
        <is>
          <t>ISO 4217</t>
        </is>
      </c>
      <c r="H13" s="12" t="inlineStr">
        <is>
          <t>Upper case</t>
        </is>
      </c>
      <c r="I13" s="12" t="inlineStr">
        <is>
          <t>PHP</t>
        </is>
      </c>
      <c r="J13" s="12" t="inlineStr">
        <is>
          <t>Candidate RA currency</t>
        </is>
      </c>
      <c r="K13" s="12" t="inlineStr">
        <is>
          <t>Mandatory with proposed_premium</t>
        </is>
      </c>
      <c r="L13" s="12" t="inlineStr">
        <is>
          <t>Excel RA tracker</t>
        </is>
      </c>
    </row>
    <row r="14">
      <c r="A14" s="12" t="n">
        <v>10</v>
      </c>
      <c r="B14" s="12" t="inlineStr">
        <is>
          <t>proposed_premium</t>
        </is>
      </c>
      <c r="C14" s="12" t="inlineStr">
        <is>
          <t>Gross premium quoted on the RA</t>
        </is>
      </c>
      <c r="D14" s="12" t="inlineStr">
        <is>
          <t>Amount</t>
        </is>
      </c>
      <c r="E14" s="12" t="inlineStr">
        <is>
          <t>19,2</t>
        </is>
      </c>
      <c r="F14" s="12" t="inlineStr">
        <is>
          <t>N</t>
        </is>
      </c>
      <c r="G14" s="12" t="inlineStr">
        <is>
          <t>-</t>
        </is>
      </c>
      <c r="H14" s="12" t="inlineStr">
        <is>
          <t>Dot decimal, 2 decimals</t>
        </is>
      </c>
      <c r="I14" s="12" t="inlineStr">
        <is>
          <t>24650.00</t>
        </is>
      </c>
      <c r="J14" s="12" t="inlineStr">
        <is>
          <t>Candidate RA quoted premium</t>
        </is>
      </c>
      <c r="K14" s="12" t="inlineStr">
        <is>
          <t>0 or more</t>
        </is>
      </c>
      <c r="L14" s="12" t="inlineStr">
        <is>
          <t>Excel RA tracker</t>
        </is>
      </c>
    </row>
    <row r="15">
      <c r="A15" s="12" t="n">
        <v>11</v>
      </c>
      <c r="B15" s="12" t="inlineStr">
        <is>
          <t>sent_by_user_id</t>
        </is>
      </c>
      <c r="C15" s="12" t="inlineStr">
        <is>
          <t>Renewal processor who sent the RA</t>
        </is>
      </c>
      <c r="D15" s="12" t="inlineStr">
        <is>
          <t>Code</t>
        </is>
      </c>
      <c r="E15" s="12" t="inlineStr">
        <is>
          <t>50</t>
        </is>
      </c>
      <c r="F15" s="12" t="inlineStr">
        <is>
          <t>N</t>
        </is>
      </c>
      <c r="G15" s="12" t="inlineStr">
        <is>
          <t>Code map USER</t>
        </is>
      </c>
      <c r="H15" s="12" t="inlineStr">
        <is>
          <t>As stored in legacy</t>
        </is>
      </c>
      <c r="I15" s="12" t="inlineStr">
        <is>
          <t>mreyes</t>
        </is>
      </c>
      <c r="J15" s="12" t="inlineStr">
        <is>
          <t>Candidate RA sender</t>
        </is>
      </c>
      <c r="K15" s="12" t="inlineStr">
        <is>
          <t>Mapped in USER</t>
        </is>
      </c>
      <c r="L15" s="12" t="inlineStr">
        <is>
          <t>Excel RA tracker</t>
        </is>
      </c>
    </row>
    <row r="16">
      <c r="A16" s="12" t="n">
        <v>12</v>
      </c>
      <c r="B16" s="12" t="inlineStr">
        <is>
          <t>tracker_name</t>
        </is>
      </c>
      <c r="C16" s="12" t="inlineStr">
        <is>
          <t>Tracker file and sheet the row comes from</t>
        </is>
      </c>
      <c r="D16" s="12" t="inlineStr">
        <is>
          <t>Text</t>
        </is>
      </c>
      <c r="E16" s="12" t="inlineStr">
        <is>
          <t>120</t>
        </is>
      </c>
      <c r="F16" s="12" t="inlineStr">
        <is>
          <t>Y</t>
        </is>
      </c>
      <c r="G16" s="12" t="inlineStr">
        <is>
          <t>-</t>
        </is>
      </c>
      <c r="H16" s="12" t="inlineStr">
        <is>
          <t>File / sheet</t>
        </is>
      </c>
      <c r="I16" s="12" t="inlineStr">
        <is>
          <t>Retail RA tracker Jan-2028 / MKT01</t>
        </is>
      </c>
      <c r="J16" s="12" t="inlineStr">
        <is>
          <t>mig_ra_sent tracker (evidence)</t>
        </is>
      </c>
      <c r="K16" s="12" t="inlineStr">
        <is>
          <t>Not blank</t>
        </is>
      </c>
      <c r="L16" s="12" t="inlineStr">
        <is>
          <t>Excel RA tracker</t>
        </is>
      </c>
    </row>
    <row r="17">
      <c r="A17" s="12" t="n">
        <v>13</v>
      </c>
      <c r="B17" s="12" t="inlineStr">
        <is>
          <t>remarks</t>
        </is>
      </c>
      <c r="C17" s="12" t="inlineStr">
        <is>
          <t>Remarks of the processor</t>
        </is>
      </c>
      <c r="D17" s="12" t="inlineStr">
        <is>
          <t>Text</t>
        </is>
      </c>
      <c r="E17" s="12" t="inlineStr">
        <is>
          <t>500</t>
        </is>
      </c>
      <c r="F17" s="12" t="inlineStr">
        <is>
          <t>N</t>
        </is>
      </c>
      <c r="G17" s="12" t="inlineStr">
        <is>
          <t>-</t>
        </is>
      </c>
      <c r="H17" s="12" t="inlineStr">
        <is>
          <t>Free text</t>
        </is>
      </c>
      <c r="I17" s="12" t="inlineStr">
        <is>
          <t>Client asked for a quote with higher SI</t>
        </is>
      </c>
      <c r="J17" s="12" t="inlineStr">
        <is>
          <t>Candidate remarks</t>
        </is>
      </c>
      <c r="K17" s="12" t="inlineStr">
        <is>
          <t>-</t>
        </is>
      </c>
      <c r="L17" s="12" t="inlineStr">
        <is>
          <t>Excel RA tracker</t>
        </is>
      </c>
    </row>
  </sheetData>
  <autoFilter ref="A4:L17"/>
  <mergeCells count="1">
    <mergeCell ref="A2:L2"/>
  </mergeCells>
  <conditionalFormatting sqref="A5:L517">
    <cfRule type="expression" priority="1" dxfId="3">
      <formula>AND(MOD(ROW(),2)=0,$A5&lt;&gt;"")</formula>
    </cfRule>
  </conditionalFormatting>
  <dataValidations count="2">
    <dataValidation sqref="D5:D517" showDropDown="0" showInputMessage="0" showErrorMessage="1" allowBlank="1" errorTitle="Type" error="Choose a value from the list (Type)." type="list">
      <formula1>'_lists'!$AJ$1:$AJ$8</formula1>
    </dataValidation>
    <dataValidation sqref="F5:F517" showDropDown="0" showInputMessage="0" showErrorMessage="1" allowBlank="1" errorTitle="Mandatory" error="Choose a value from the list (Mandatory)." type="list">
      <formula1>'_lists'!$AK$1:$AK$3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F01 Invoice header</t>
        </is>
      </c>
    </row>
    <row r="2">
      <c r="A2" s="24" t="inlineStr">
        <is>
          <t>Layout F01 of object F01; key: legacy_invoice_no; template templates/F01_template.csv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legacy_invoice_no</t>
        </is>
      </c>
      <c r="C5" s="12" t="inlineStr">
        <is>
          <t>Invoice number in the source system</t>
        </is>
      </c>
      <c r="D5" s="12" t="inlineStr">
        <is>
          <t>Code</t>
        </is>
      </c>
      <c r="E5" s="12" t="inlineStr">
        <is>
          <t>40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EBIX I########</t>
        </is>
      </c>
      <c r="I5" s="12" t="inlineStr">
        <is>
          <t>I00123456</t>
        </is>
      </c>
      <c r="J5" s="12" t="inlineStr">
        <is>
          <t>ops_invoice.legacy_invoice_no (new); invoice_no unless it collides (DMQ11)</t>
        </is>
      </c>
      <c r="K5" s="12" t="inlineStr">
        <is>
          <t>Unique across EBIX and QPS</t>
        </is>
      </c>
      <c r="L5" s="12" t="inlineStr">
        <is>
          <t>EBIX invoice; QPS billing</t>
        </is>
      </c>
    </row>
    <row r="6">
      <c r="A6" s="12" t="n">
        <v>2</v>
      </c>
      <c r="B6" s="12" t="inlineStr">
        <is>
          <t>invoice_kind</t>
        </is>
      </c>
      <c r="C6" s="12" t="inlineStr">
        <is>
          <t>Kind of invoice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BOOKING, ENDORSEMENT_PLUS, ENDORSEMENT_MINUS, CANCELLATION</t>
        </is>
      </c>
      <c r="H6" s="12" t="inlineStr">
        <is>
          <t>Upper case</t>
        </is>
      </c>
      <c r="I6" s="12" t="inlineStr">
        <is>
          <t>BOOKING</t>
        </is>
      </c>
      <c r="J6" s="12" t="inlineStr">
        <is>
          <t>ops_invoice.kind</t>
        </is>
      </c>
      <c r="K6" s="12" t="inlineStr">
        <is>
          <t>In the list</t>
        </is>
      </c>
      <c r="L6" s="12" t="inlineStr">
        <is>
          <t>EBIX</t>
        </is>
      </c>
    </row>
    <row r="7">
      <c r="A7" s="12" t="n">
        <v>3</v>
      </c>
      <c r="B7" s="12" t="inlineStr">
        <is>
          <t>parent_invoice_no</t>
        </is>
      </c>
      <c r="C7" s="12" t="inlineStr">
        <is>
          <t>Original invoice of an endorsement or cancellation invoice</t>
        </is>
      </c>
      <c r="D7" s="12" t="inlineStr">
        <is>
          <t>Code</t>
        </is>
      </c>
      <c r="E7" s="12" t="inlineStr">
        <is>
          <t>40</t>
        </is>
      </c>
      <c r="F7" s="12" t="inlineStr">
        <is>
          <t>C</t>
        </is>
      </c>
      <c r="G7" s="12" t="inlineStr">
        <is>
          <t>legacy_invoice_no values</t>
        </is>
      </c>
      <c r="H7" s="12" t="inlineStr">
        <is>
          <t>As stored in legacy</t>
        </is>
      </c>
      <c r="I7" s="12" t="inlineStr">
        <is>
          <t>I00119876</t>
        </is>
      </c>
      <c r="J7" s="12" t="inlineStr">
        <is>
          <t>ops_invoice.parent_invoice_no</t>
        </is>
      </c>
      <c r="K7" s="12" t="inlineStr">
        <is>
          <t>Mandatory for ENDORSEMENT_PLUS, ENDORSEMENT_MINUS and CANCELLATION; parent in the file or loaded</t>
        </is>
      </c>
      <c r="L7" s="12" t="inlineStr">
        <is>
          <t>EBIX</t>
        </is>
      </c>
    </row>
    <row r="8">
      <c r="A8" s="12" t="n">
        <v>4</v>
      </c>
      <c r="B8" s="12" t="inlineStr">
        <is>
          <t>endorsement_no</t>
        </is>
      </c>
      <c r="C8" s="12" t="inlineStr">
        <is>
          <t>Legacy endorsement number</t>
        </is>
      </c>
      <c r="D8" s="12" t="inlineStr">
        <is>
          <t>Text</t>
        </is>
      </c>
      <c r="E8" s="12" t="inlineStr">
        <is>
          <t>40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As stored in legacy</t>
        </is>
      </c>
      <c r="I8" s="12" t="inlineStr">
        <is>
          <t>END-2026-0456</t>
        </is>
      </c>
      <c r="J8" s="12" t="inlineStr">
        <is>
          <t>ops_invoice.endorsement_no</t>
        </is>
      </c>
      <c r="K8" s="12" t="inlineStr">
        <is>
          <t>-</t>
        </is>
      </c>
      <c r="L8" s="12" t="inlineStr">
        <is>
          <t>EBIX</t>
        </is>
      </c>
    </row>
    <row r="9">
      <c r="A9" s="12" t="n">
        <v>5</v>
      </c>
      <c r="B9" s="12" t="inlineStr">
        <is>
          <t>legacy_policy_ref</t>
        </is>
      </c>
      <c r="C9" s="12" t="inlineStr">
        <is>
          <t>Legacy reference of the policy term</t>
        </is>
      </c>
      <c r="D9" s="12" t="inlineStr">
        <is>
          <t>Code</t>
        </is>
      </c>
      <c r="E9" s="12" t="inlineStr">
        <is>
          <t>60</t>
        </is>
      </c>
      <c r="F9" s="12" t="inlineStr">
        <is>
          <t>C</t>
        </is>
      </c>
      <c r="G9" s="12" t="inlineStr">
        <is>
          <t>legacy_policy_ref of P01</t>
        </is>
      </c>
      <c r="H9" s="12" t="inlineStr">
        <is>
          <t>As in P01</t>
        </is>
      </c>
      <c r="I9" s="12" t="inlineStr">
        <is>
          <t>C-2026-004512-01</t>
        </is>
      </c>
      <c r="J9" s="12" t="inlineStr">
        <is>
          <t>ops_invoice.arn (account of the header) or LGY-&lt;source&gt;-&lt;cover no.&gt;</t>
        </is>
      </c>
      <c r="K9" s="12" t="inlineStr">
        <is>
          <t>Mandatory when P01 is in scope; exists in P01</t>
        </is>
      </c>
      <c r="L9" s="12" t="inlineStr">
        <is>
          <t>EBIX, QPS</t>
        </is>
      </c>
    </row>
    <row r="10">
      <c r="A10" s="12" t="n">
        <v>6</v>
      </c>
      <c r="B10" s="12" t="inlineStr">
        <is>
          <t>policy_no</t>
        </is>
      </c>
      <c r="C10" s="12" t="inlineStr">
        <is>
          <t>Insurer policy number</t>
        </is>
      </c>
      <c r="D10" s="12" t="inlineStr">
        <is>
          <t>Text</t>
        </is>
      </c>
      <c r="E10" s="12" t="inlineStr">
        <is>
          <t>60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As issued</t>
        </is>
      </c>
      <c r="I10" s="12" t="inlineStr">
        <is>
          <t>MC-PC-26-0012345</t>
        </is>
      </c>
      <c r="J10" s="12" t="inlineStr">
        <is>
          <t>ops_invoice.policy_no</t>
        </is>
      </c>
      <c r="K10" s="12" t="inlineStr">
        <is>
          <t>Not blank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policy_year</t>
        </is>
      </c>
      <c r="C11" s="12" t="inlineStr">
        <is>
          <t>Year of a multi-year policy</t>
        </is>
      </c>
      <c r="D11" s="12" t="inlineStr">
        <is>
          <t>Integer</t>
        </is>
      </c>
      <c r="E11" s="12" t="inlineStr">
        <is>
          <t>2</t>
        </is>
      </c>
      <c r="F11" s="12" t="inlineStr">
        <is>
          <t>N</t>
        </is>
      </c>
      <c r="G11" s="12" t="inlineStr">
        <is>
          <t>-</t>
        </is>
      </c>
      <c r="H11" s="12" t="inlineStr">
        <is>
          <t>Digits</t>
        </is>
      </c>
      <c r="I11" s="12" t="inlineStr">
        <is>
          <t>1</t>
        </is>
      </c>
      <c r="J11" s="12" t="inlineStr">
        <is>
          <t>ops_invoice.policy_year</t>
        </is>
      </c>
      <c r="K11" s="12" t="inlineStr">
        <is>
          <t>1 or more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legacy_client_no</t>
        </is>
      </c>
      <c r="C12" s="12" t="inlineStr">
        <is>
          <t>Client number of the assured</t>
        </is>
      </c>
      <c r="D12" s="12" t="inlineStr">
        <is>
          <t>Code</t>
        </is>
      </c>
      <c r="E12" s="12" t="inlineStr">
        <is>
          <t>30</t>
        </is>
      </c>
      <c r="F12" s="12" t="inlineStr">
        <is>
          <t>Y</t>
        </is>
      </c>
      <c r="G12" s="12" t="inlineStr">
        <is>
          <t>legacy_client_no of C01</t>
        </is>
      </c>
      <c r="H12" s="12" t="inlineStr">
        <is>
          <t>As stored in legacy</t>
        </is>
      </c>
      <c r="I12" s="12" t="inlineStr">
        <is>
          <t>Q-0012345</t>
        </is>
      </c>
      <c r="J12" s="12" t="inlineStr">
        <is>
          <t>ops_invoice.client_code (through xref)</t>
        </is>
      </c>
      <c r="K12" s="12" t="inlineStr">
        <is>
          <t>Client loaded</t>
        </is>
      </c>
      <c r="L12" s="12" t="inlineStr">
        <is>
          <t>EBIX, QPS</t>
        </is>
      </c>
    </row>
    <row r="13">
      <c r="A13" s="12" t="n">
        <v>9</v>
      </c>
      <c r="B13" s="12" t="inlineStr">
        <is>
          <t>assured_name</t>
        </is>
      </c>
      <c r="C13" s="12" t="inlineStr">
        <is>
          <t>Assured name on the invoice</t>
        </is>
      </c>
      <c r="D13" s="12" t="inlineStr">
        <is>
          <t>Text</t>
        </is>
      </c>
      <c r="E13" s="12" t="inlineStr">
        <is>
          <t>250</t>
        </is>
      </c>
      <c r="F13" s="12" t="inlineStr">
        <is>
          <t>Y</t>
        </is>
      </c>
      <c r="G13" s="12" t="inlineStr">
        <is>
          <t>-</t>
        </is>
      </c>
      <c r="H13" s="12" t="inlineStr">
        <is>
          <t>Free text</t>
        </is>
      </c>
      <c r="I13" s="12" t="inlineStr">
        <is>
          <t>Ana C. Reyes</t>
        </is>
      </c>
      <c r="J13" s="12" t="inlineStr">
        <is>
          <t>ops_invoice.assured_name</t>
        </is>
      </c>
      <c r="K13" s="12" t="inlineStr">
        <is>
          <t>Not blank</t>
        </is>
      </c>
      <c r="L13" s="12" t="inlineStr">
        <is>
          <t>EBIX</t>
        </is>
      </c>
    </row>
    <row r="14">
      <c r="A14" s="12" t="n">
        <v>10</v>
      </c>
      <c r="B14" s="12" t="inlineStr">
        <is>
          <t>payor_name</t>
        </is>
      </c>
      <c r="C14" s="12" t="inlineStr">
        <is>
          <t>Payor if not the assured</t>
        </is>
      </c>
      <c r="D14" s="12" t="inlineStr">
        <is>
          <t>Text</t>
        </is>
      </c>
      <c r="E14" s="12" t="inlineStr">
        <is>
          <t>250</t>
        </is>
      </c>
      <c r="F14" s="12" t="inlineStr">
        <is>
          <t>N</t>
        </is>
      </c>
      <c r="G14" s="12" t="inlineStr">
        <is>
          <t>-</t>
        </is>
      </c>
      <c r="H14" s="12" t="inlineStr">
        <is>
          <t>Free text</t>
        </is>
      </c>
      <c r="I14" s="12" t="inlineStr">
        <is>
          <t>BDO Unibank - Auto Loans</t>
        </is>
      </c>
      <c r="J14" s="12" t="inlineStr">
        <is>
          <t>ops_invoice.payor_name</t>
        </is>
      </c>
      <c r="K14" s="12" t="inlineStr">
        <is>
          <t>-</t>
        </is>
      </c>
      <c r="L14" s="12" t="inlineStr">
        <is>
          <t>EBIX</t>
        </is>
      </c>
    </row>
    <row r="15">
      <c r="A15" s="12" t="n">
        <v>11</v>
      </c>
      <c r="B15" s="12" t="inlineStr">
        <is>
          <t>currency</t>
        </is>
      </c>
      <c r="C15" s="12" t="inlineStr">
        <is>
          <t>Invoice currency</t>
        </is>
      </c>
      <c r="D15" s="12" t="inlineStr">
        <is>
          <t>Code</t>
        </is>
      </c>
      <c r="E15" s="12" t="inlineStr">
        <is>
          <t>3</t>
        </is>
      </c>
      <c r="F15" s="12" t="inlineStr">
        <is>
          <t>Y</t>
        </is>
      </c>
      <c r="G15" s="12" t="inlineStr">
        <is>
          <t>ISO 4217</t>
        </is>
      </c>
      <c r="H15" s="12" t="inlineStr">
        <is>
          <t>Upper case</t>
        </is>
      </c>
      <c r="I15" s="12" t="inlineStr">
        <is>
          <t>PHP</t>
        </is>
      </c>
      <c r="J15" s="12" t="inlineStr">
        <is>
          <t>ops_invoice.currency</t>
        </is>
      </c>
      <c r="K15" s="12" t="inlineStr">
        <is>
          <t>Valid code</t>
        </is>
      </c>
      <c r="L15" s="12" t="inlineStr">
        <is>
          <t>EBIX</t>
        </is>
      </c>
    </row>
    <row r="16">
      <c r="A16" s="12" t="n">
        <v>12</v>
      </c>
      <c r="B16" s="12" t="inlineStr">
        <is>
          <t>booking_fx_rate</t>
        </is>
      </c>
      <c r="C16" s="12" t="inlineStr">
        <is>
          <t>Exchange rate used at booking (foreign currency)</t>
        </is>
      </c>
      <c r="D16" s="12" t="inlineStr">
        <is>
          <t>Decimal</t>
        </is>
      </c>
      <c r="E16" s="12" t="inlineStr">
        <is>
          <t>12,6</t>
        </is>
      </c>
      <c r="F16" s="12" t="inlineStr">
        <is>
          <t>C</t>
        </is>
      </c>
      <c r="G16" s="12" t="inlineStr">
        <is>
          <t>-</t>
        </is>
      </c>
      <c r="H16" s="12" t="inlineStr">
        <is>
          <t>Dot decimal</t>
        </is>
      </c>
      <c r="I16" s="12" t="inlineStr">
        <is>
          <t>56.125000</t>
        </is>
      </c>
      <c r="J16" s="12" t="inlineStr">
        <is>
          <t>Opening entry rate (DMQ35)</t>
        </is>
      </c>
      <c r="K16" s="12" t="inlineStr">
        <is>
          <t>Mandatory when currency is not PHP</t>
        </is>
      </c>
      <c r="L16" s="12" t="inlineStr">
        <is>
          <t>EBIX</t>
        </is>
      </c>
    </row>
    <row r="17">
      <c r="A17" s="12" t="n">
        <v>13</v>
      </c>
      <c r="B17" s="12" t="inlineStr">
        <is>
          <t>booking_date</t>
        </is>
      </c>
      <c r="C17" s="12" t="inlineStr">
        <is>
          <t>Legacy booking date</t>
        </is>
      </c>
      <c r="D17" s="12" t="inlineStr">
        <is>
          <t>Date</t>
        </is>
      </c>
      <c r="E17" s="12" t="inlineStr">
        <is>
          <t>10</t>
        </is>
      </c>
      <c r="F17" s="12" t="inlineStr">
        <is>
          <t>Y</t>
        </is>
      </c>
      <c r="G17" s="12" t="inlineStr">
        <is>
          <t>-</t>
        </is>
      </c>
      <c r="H17" s="12" t="inlineStr">
        <is>
          <t>yyyy-MM-dd</t>
        </is>
      </c>
      <c r="I17" s="12" t="inlineStr">
        <is>
          <t>2027-03-10</t>
        </is>
      </c>
      <c r="J17" s="12" t="inlineStr">
        <is>
          <t>ops_invoice.booking_date</t>
        </is>
      </c>
      <c r="K17" s="12" t="inlineStr">
        <is>
          <t>Before the cutover date</t>
        </is>
      </c>
      <c r="L17" s="12" t="inlineStr">
        <is>
          <t>EBIX</t>
        </is>
      </c>
    </row>
    <row r="18">
      <c r="A18" s="12" t="n">
        <v>14</v>
      </c>
      <c r="B18" s="12" t="inlineStr">
        <is>
          <t>invoice_date</t>
        </is>
      </c>
      <c r="C18" s="12" t="inlineStr">
        <is>
          <t>Invoice date</t>
        </is>
      </c>
      <c r="D18" s="12" t="inlineStr">
        <is>
          <t>Date</t>
        </is>
      </c>
      <c r="E18" s="12" t="inlineStr">
        <is>
          <t>10</t>
        </is>
      </c>
      <c r="F18" s="12" t="inlineStr">
        <is>
          <t>Y</t>
        </is>
      </c>
      <c r="G18" s="12" t="inlineStr">
        <is>
          <t>-</t>
        </is>
      </c>
      <c r="H18" s="12" t="inlineStr">
        <is>
          <t>yyyy-MM-dd</t>
        </is>
      </c>
      <c r="I18" s="12" t="inlineStr">
        <is>
          <t>2027-03-10</t>
        </is>
      </c>
      <c r="J18" s="12" t="inlineStr">
        <is>
          <t>Open item document date</t>
        </is>
      </c>
      <c r="K18" s="12" t="inlineStr">
        <is>
          <t>Before the cutover date</t>
        </is>
      </c>
      <c r="L18" s="12" t="inlineStr">
        <is>
          <t>EBIX</t>
        </is>
      </c>
    </row>
    <row r="19">
      <c r="A19" s="12" t="n">
        <v>15</v>
      </c>
      <c r="B19" s="12" t="inlineStr">
        <is>
          <t>due_date</t>
        </is>
      </c>
      <c r="C19" s="12" t="inlineStr">
        <is>
          <t>Due date</t>
        </is>
      </c>
      <c r="D19" s="12" t="inlineStr">
        <is>
          <t>Date</t>
        </is>
      </c>
      <c r="E19" s="12" t="inlineStr">
        <is>
          <t>10</t>
        </is>
      </c>
      <c r="F19" s="12" t="inlineStr">
        <is>
          <t>Y</t>
        </is>
      </c>
      <c r="G19" s="12" t="inlineStr">
        <is>
          <t>-</t>
        </is>
      </c>
      <c r="H19" s="12" t="inlineStr">
        <is>
          <t>yyyy-MM-dd</t>
        </is>
      </c>
      <c r="I19" s="12" t="inlineStr">
        <is>
          <t>2027-04-09</t>
        </is>
      </c>
      <c r="J19" s="12" t="inlineStr">
        <is>
          <t>Open item due date; Collections ageing</t>
        </is>
      </c>
      <c r="K19" s="12" t="inlineStr">
        <is>
          <t>Valid date</t>
        </is>
      </c>
      <c r="L19" s="12" t="inlineStr">
        <is>
          <t>EBIX</t>
        </is>
      </c>
    </row>
    <row r="20">
      <c r="A20" s="12" t="n">
        <v>16</v>
      </c>
      <c r="B20" s="12" t="inlineStr">
        <is>
          <t>inception_date</t>
        </is>
      </c>
      <c r="C20" s="12" t="inlineStr">
        <is>
          <t>Period from</t>
        </is>
      </c>
      <c r="D20" s="12" t="inlineStr">
        <is>
          <t>Date</t>
        </is>
      </c>
      <c r="E20" s="12" t="inlineStr">
        <is>
          <t>10</t>
        </is>
      </c>
      <c r="F20" s="12" t="inlineStr">
        <is>
          <t>Y</t>
        </is>
      </c>
      <c r="G20" s="12" t="inlineStr">
        <is>
          <t>-</t>
        </is>
      </c>
      <c r="H20" s="12" t="inlineStr">
        <is>
          <t>yyyy-MM-dd</t>
        </is>
      </c>
      <c r="I20" s="12" t="inlineStr">
        <is>
          <t>2027-03-15</t>
        </is>
      </c>
      <c r="J20" s="12" t="inlineStr">
        <is>
          <t>ops_invoice.inception_date</t>
        </is>
      </c>
      <c r="K20" s="12" t="inlineStr">
        <is>
          <t>Valid date</t>
        </is>
      </c>
      <c r="L20" s="12" t="inlineStr">
        <is>
          <t>EBIX</t>
        </is>
      </c>
    </row>
    <row r="21">
      <c r="A21" s="12" t="n">
        <v>17</v>
      </c>
      <c r="B21" s="12" t="inlineStr">
        <is>
          <t>expiry_date</t>
        </is>
      </c>
      <c r="C21" s="12" t="inlineStr">
        <is>
          <t>Period to</t>
        </is>
      </c>
      <c r="D21" s="12" t="inlineStr">
        <is>
          <t>Date</t>
        </is>
      </c>
      <c r="E21" s="12" t="inlineStr">
        <is>
          <t>10</t>
        </is>
      </c>
      <c r="F21" s="12" t="inlineStr">
        <is>
          <t>Y</t>
        </is>
      </c>
      <c r="G21" s="12" t="inlineStr">
        <is>
          <t>-</t>
        </is>
      </c>
      <c r="H21" s="12" t="inlineStr">
        <is>
          <t>yyyy-MM-dd</t>
        </is>
      </c>
      <c r="I21" s="12" t="inlineStr">
        <is>
          <t>2028-03-15</t>
        </is>
      </c>
      <c r="J21" s="12" t="inlineStr">
        <is>
          <t>ops_invoice.expiry_date</t>
        </is>
      </c>
      <c r="K21" s="12" t="inlineStr">
        <is>
          <t>On or after inception_date</t>
        </is>
      </c>
      <c r="L21" s="12" t="inlineStr">
        <is>
          <t>EBIX</t>
        </is>
      </c>
    </row>
    <row r="22">
      <c r="A22" s="12" t="n">
        <v>18</v>
      </c>
      <c r="B22" s="12" t="inlineStr">
        <is>
          <t>risk_code</t>
        </is>
      </c>
      <c r="C22" s="12" t="inlineStr">
        <is>
          <t>Product / risk code</t>
        </is>
      </c>
      <c r="D22" s="12" t="inlineStr">
        <is>
          <t>Code</t>
        </is>
      </c>
      <c r="E22" s="12" t="inlineStr">
        <is>
          <t>20</t>
        </is>
      </c>
      <c r="F22" s="12" t="inlineStr">
        <is>
          <t>Y</t>
        </is>
      </c>
      <c r="G22" s="12" t="inlineStr">
        <is>
          <t>Code map PRODUCT</t>
        </is>
      </c>
      <c r="H22" s="12" t="inlineStr">
        <is>
          <t>As stored in legacy</t>
        </is>
      </c>
      <c r="I22" s="12" t="inlineStr">
        <is>
          <t>MC-PC-COMP</t>
        </is>
      </c>
      <c r="J22" s="12" t="inlineStr">
        <is>
          <t>ops_invoice.risk_code</t>
        </is>
      </c>
      <c r="K22" s="12" t="inlineStr">
        <is>
          <t>Mapped</t>
        </is>
      </c>
      <c r="L22" s="12" t="inlineStr">
        <is>
          <t>EBIX</t>
        </is>
      </c>
    </row>
    <row r="23">
      <c r="A23" s="12" t="n">
        <v>19</v>
      </c>
      <c r="B23" s="12" t="inlineStr">
        <is>
          <t>line_code</t>
        </is>
      </c>
      <c r="C23" s="12" t="inlineStr">
        <is>
          <t>Line of business</t>
        </is>
      </c>
      <c r="D23" s="12" t="inlineStr">
        <is>
          <t>Code</t>
        </is>
      </c>
      <c r="E23" s="12" t="inlineStr">
        <is>
          <t>30</t>
        </is>
      </c>
      <c r="F23" s="12" t="inlineStr">
        <is>
          <t>Y</t>
        </is>
      </c>
      <c r="G23" s="12" t="inlineStr">
        <is>
          <t>Code map LINE</t>
        </is>
      </c>
      <c r="H23" s="12" t="inlineStr">
        <is>
          <t>As stored in legacy</t>
        </is>
      </c>
      <c r="I23" s="12" t="inlineStr">
        <is>
          <t>MOTOR</t>
        </is>
      </c>
      <c r="J23" s="12" t="inlineStr">
        <is>
          <t>ops_invoice.product_line</t>
        </is>
      </c>
      <c r="K23" s="12" t="inlineStr">
        <is>
          <t>Mapped</t>
        </is>
      </c>
      <c r="L23" s="12" t="inlineStr">
        <is>
          <t>EBIX</t>
        </is>
      </c>
    </row>
    <row r="24">
      <c r="A24" s="12" t="n">
        <v>20</v>
      </c>
      <c r="B24" s="12" t="inlineStr">
        <is>
          <t>market_segment</t>
        </is>
      </c>
      <c r="C24" s="12" t="inlineStr">
        <is>
          <t>Market segment</t>
        </is>
      </c>
      <c r="D24" s="12" t="inlineStr">
        <is>
          <t>Code</t>
        </is>
      </c>
      <c r="E24" s="12" t="inlineStr">
        <is>
          <t>40</t>
        </is>
      </c>
      <c r="F24" s="12" t="inlineStr">
        <is>
          <t>Y</t>
        </is>
      </c>
      <c r="G24" s="12" t="inlineStr">
        <is>
          <t>Code map LOV:MARKET_SEGMENT</t>
        </is>
      </c>
      <c r="H24" s="12" t="inlineStr">
        <is>
          <t>As stored in legacy</t>
        </is>
      </c>
      <c r="I24" s="12" t="inlineStr">
        <is>
          <t>CBG</t>
        </is>
      </c>
      <c r="J24" s="12" t="inlineStr">
        <is>
          <t>ops_invoice.segment</t>
        </is>
      </c>
      <c r="K24" s="12" t="inlineStr">
        <is>
          <t>Mapped</t>
        </is>
      </c>
      <c r="L24" s="12" t="inlineStr">
        <is>
          <t>EBIX</t>
        </is>
      </c>
    </row>
    <row r="25">
      <c r="A25" s="12" t="n">
        <v>21</v>
      </c>
      <c r="B25" s="12" t="inlineStr">
        <is>
          <t>ao_user_id</t>
        </is>
      </c>
      <c r="C25" s="12" t="inlineStr">
        <is>
          <t>Account officer</t>
        </is>
      </c>
      <c r="D25" s="12" t="inlineStr">
        <is>
          <t>Code</t>
        </is>
      </c>
      <c r="E25" s="12" t="inlineStr">
        <is>
          <t>50</t>
        </is>
      </c>
      <c r="F25" s="12" t="inlineStr">
        <is>
          <t>Y</t>
        </is>
      </c>
      <c r="G25" s="12" t="inlineStr">
        <is>
          <t>Code map USER</t>
        </is>
      </c>
      <c r="H25" s="12" t="inlineStr">
        <is>
          <t>As stored in legacy</t>
        </is>
      </c>
      <c r="I25" s="12" t="inlineStr">
        <is>
          <t>mreyes</t>
        </is>
      </c>
      <c r="J25" s="12" t="inlineStr">
        <is>
          <t>ops_invoice.ao_username</t>
        </is>
      </c>
      <c r="K25" s="12" t="inlineStr">
        <is>
          <t>Mapped in USER</t>
        </is>
      </c>
      <c r="L25" s="12" t="inlineStr">
        <is>
          <t>EBIX</t>
        </is>
      </c>
    </row>
    <row r="26">
      <c r="A26" s="12" t="n">
        <v>22</v>
      </c>
      <c r="B26" s="12" t="inlineStr">
        <is>
          <t>sales_unit_code</t>
        </is>
      </c>
      <c r="C26" s="12" t="inlineStr">
        <is>
          <t>Sales team</t>
        </is>
      </c>
      <c r="D26" s="12" t="inlineStr">
        <is>
          <t>Code</t>
        </is>
      </c>
      <c r="E26" s="12" t="inlineStr">
        <is>
          <t>20</t>
        </is>
      </c>
      <c r="F26" s="12" t="inlineStr">
        <is>
          <t>Y</t>
        </is>
      </c>
      <c r="G26" s="12" t="inlineStr">
        <is>
          <t>Code map SALES_UNIT</t>
        </is>
      </c>
      <c r="H26" s="12" t="inlineStr">
        <is>
          <t>As stored in legacy</t>
        </is>
      </c>
      <c r="I26" s="12" t="inlineStr">
        <is>
          <t>T-RET-07</t>
        </is>
      </c>
      <c r="J26" s="12" t="inlineStr">
        <is>
          <t>ops_invoice.sales_unit</t>
        </is>
      </c>
      <c r="K26" s="12" t="inlineStr">
        <is>
          <t>Mapped</t>
        </is>
      </c>
      <c r="L26" s="12" t="inlineStr">
        <is>
          <t>EBIX</t>
        </is>
      </c>
    </row>
    <row r="27">
      <c r="A27" s="12" t="n">
        <v>23</v>
      </c>
      <c r="B27" s="12" t="inlineStr">
        <is>
          <t>branch_code</t>
        </is>
      </c>
      <c r="C27" s="12" t="inlineStr">
        <is>
          <t>Invoicing branch</t>
        </is>
      </c>
      <c r="D27" s="12" t="inlineStr">
        <is>
          <t>Code</t>
        </is>
      </c>
      <c r="E27" s="12" t="inlineStr">
        <is>
          <t>20</t>
        </is>
      </c>
      <c r="F27" s="12" t="inlineStr">
        <is>
          <t>Y</t>
        </is>
      </c>
      <c r="G27" s="12" t="inlineStr">
        <is>
          <t>Code map BRANCH</t>
        </is>
      </c>
      <c r="H27" s="12" t="inlineStr">
        <is>
          <t>As stored in legacy</t>
        </is>
      </c>
      <c r="I27" s="12" t="inlineStr">
        <is>
          <t>MKT01</t>
        </is>
      </c>
      <c r="J27" s="12" t="inlineStr">
        <is>
          <t>ops_invoice.branch_id</t>
        </is>
      </c>
      <c r="K27" s="12" t="inlineStr">
        <is>
          <t>Mapped</t>
        </is>
      </c>
      <c r="L27" s="12" t="inlineStr">
        <is>
          <t>EBIX</t>
        </is>
      </c>
    </row>
    <row r="28">
      <c r="A28" s="12" t="n">
        <v>24</v>
      </c>
      <c r="B28" s="12" t="inlineStr">
        <is>
          <t>cost_center</t>
        </is>
      </c>
      <c r="C28" s="12" t="inlineStr">
        <is>
          <t>Cost centre</t>
        </is>
      </c>
      <c r="D28" s="12" t="inlineStr">
        <is>
          <t>Code</t>
        </is>
      </c>
      <c r="E28" s="12" t="inlineStr">
        <is>
          <t>20</t>
        </is>
      </c>
      <c r="F28" s="12" t="inlineStr">
        <is>
          <t>N</t>
        </is>
      </c>
      <c r="G28" s="12" t="inlineStr">
        <is>
          <t>Code map COST_CENTER</t>
        </is>
      </c>
      <c r="H28" s="12" t="inlineStr">
        <is>
          <t>As stored in legacy</t>
        </is>
      </c>
      <c r="I28" s="12" t="inlineStr">
        <is>
          <t>4100</t>
        </is>
      </c>
      <c r="J28" s="12" t="inlineStr">
        <is>
          <t>ops_invoice.cost_center</t>
        </is>
      </c>
      <c r="K28" s="12" t="inlineStr">
        <is>
          <t>Mapped</t>
        </is>
      </c>
      <c r="L28" s="12" t="inlineStr">
        <is>
          <t>EBIX</t>
        </is>
      </c>
    </row>
    <row r="29">
      <c r="A29" s="12" t="n">
        <v>25</v>
      </c>
      <c r="B29" s="12" t="inlineStr">
        <is>
          <t>pn_nos</t>
        </is>
      </c>
      <c r="C29" s="12" t="inlineStr">
        <is>
          <t>Loan PN numbers, separated by semicolons</t>
        </is>
      </c>
      <c r="D29" s="12" t="inlineStr">
        <is>
          <t>Text</t>
        </is>
      </c>
      <c r="E29" s="12" t="inlineStr">
        <is>
          <t>500</t>
        </is>
      </c>
      <c r="F29" s="12" t="inlineStr">
        <is>
          <t>N</t>
        </is>
      </c>
      <c r="G29" s="12" t="inlineStr">
        <is>
          <t>-</t>
        </is>
      </c>
      <c r="H29" s="12" t="inlineStr">
        <is>
          <t>PN;PN</t>
        </is>
      </c>
      <c r="I29" s="12" t="inlineStr">
        <is>
          <t>PN-2019-000123</t>
        </is>
      </c>
      <c r="J29" s="12" t="inlineStr">
        <is>
          <t>ops_invoice.pn_nos</t>
        </is>
      </c>
      <c r="K29" s="12" t="inlineStr">
        <is>
          <t>-</t>
        </is>
      </c>
      <c r="L29" s="12" t="inlineStr">
        <is>
          <t>EBIX</t>
        </is>
      </c>
    </row>
    <row r="30">
      <c r="A30" s="12" t="n">
        <v>26</v>
      </c>
      <c r="B30" s="12" t="inlineStr">
        <is>
          <t>gross_premium</t>
        </is>
      </c>
      <c r="C30" s="12" t="inlineStr">
        <is>
          <t>Gross premium of the invoice (sum of the six premium components)</t>
        </is>
      </c>
      <c r="D30" s="12" t="inlineStr">
        <is>
          <t>Amount</t>
        </is>
      </c>
      <c r="E30" s="12" t="inlineStr">
        <is>
          <t>19,2</t>
        </is>
      </c>
      <c r="F30" s="12" t="inlineStr">
        <is>
          <t>Y</t>
        </is>
      </c>
      <c r="G30" s="12" t="inlineStr">
        <is>
          <t>-</t>
        </is>
      </c>
      <c r="H30" s="12" t="inlineStr">
        <is>
          <t>Dot decimal, 2 decimals; minus for return invoices</t>
        </is>
      </c>
      <c r="I30" s="12" t="inlineStr">
        <is>
          <t>25946.25</t>
        </is>
      </c>
      <c r="J30" s="12" t="inlineStr">
        <is>
          <t>ops_invoice.gross_premium</t>
        </is>
      </c>
      <c r="K30" s="12">
        <f> sum of F01C booked for BASIC, DST, PREMIUM_TAX_VAT, LGT, FST, OTHER</f>
        <v/>
      </c>
      <c r="L30" s="12" t="inlineStr">
        <is>
          <t>EBIX</t>
        </is>
      </c>
    </row>
    <row r="31">
      <c r="A31" s="12" t="n">
        <v>27</v>
      </c>
      <c r="B31" s="12" t="inlineStr">
        <is>
          <t>commission</t>
        </is>
      </c>
      <c r="C31" s="12" t="inlineStr">
        <is>
          <t>Commission of the invoice</t>
        </is>
      </c>
      <c r="D31" s="12" t="inlineStr">
        <is>
          <t>Amount</t>
        </is>
      </c>
      <c r="E31" s="12" t="inlineStr">
        <is>
          <t>19,2</t>
        </is>
      </c>
      <c r="F31" s="12" t="inlineStr">
        <is>
          <t>Y</t>
        </is>
      </c>
      <c r="G31" s="12" t="inlineStr">
        <is>
          <t>-</t>
        </is>
      </c>
      <c r="H31" s="12" t="inlineStr">
        <is>
          <t>Dot decimal, 2 decimals</t>
        </is>
      </c>
      <c r="I31" s="12" t="inlineStr">
        <is>
          <t>4275.00</t>
        </is>
      </c>
      <c r="J31" s="12" t="inlineStr">
        <is>
          <t>ops_invoice.commission</t>
        </is>
      </c>
      <c r="K31" s="12">
        <f> F01C booked COMMISSION</f>
        <v/>
      </c>
      <c r="L31" s="12" t="inlineStr">
        <is>
          <t>EBIX</t>
        </is>
      </c>
    </row>
    <row r="32">
      <c r="A32" s="12" t="n">
        <v>28</v>
      </c>
      <c r="B32" s="12" t="inlineStr">
        <is>
          <t>vat_on_commission</t>
        </is>
      </c>
      <c r="C32" s="12" t="inlineStr">
        <is>
          <t>VAT on commission</t>
        </is>
      </c>
      <c r="D32" s="12" t="inlineStr">
        <is>
          <t>Amount</t>
        </is>
      </c>
      <c r="E32" s="12" t="inlineStr">
        <is>
          <t>19,2</t>
        </is>
      </c>
      <c r="F32" s="12" t="inlineStr">
        <is>
          <t>Y</t>
        </is>
      </c>
      <c r="G32" s="12" t="inlineStr">
        <is>
          <t>-</t>
        </is>
      </c>
      <c r="H32" s="12" t="inlineStr">
        <is>
          <t>Dot decimal, 2 decimals</t>
        </is>
      </c>
      <c r="I32" s="12" t="inlineStr">
        <is>
          <t>513.00</t>
        </is>
      </c>
      <c r="J32" s="12" t="inlineStr">
        <is>
          <t>ops_invoice.vat_on_commission</t>
        </is>
      </c>
      <c r="K32" s="12">
        <f> F01C booked COMMISSION_VAT</f>
        <v/>
      </c>
      <c r="L32" s="12" t="inlineStr">
        <is>
          <t>EBIX</t>
        </is>
      </c>
    </row>
    <row r="33">
      <c r="A33" s="12" t="n">
        <v>29</v>
      </c>
      <c r="B33" s="12" t="inlineStr">
        <is>
          <t>wtax_rate_pct</t>
        </is>
      </c>
      <c r="C33" s="12" t="inlineStr">
        <is>
          <t>Withholding tax rate on commission, in percent</t>
        </is>
      </c>
      <c r="D33" s="12" t="inlineStr">
        <is>
          <t>Decimal</t>
        </is>
      </c>
      <c r="E33" s="12" t="inlineStr">
        <is>
          <t>9,4</t>
        </is>
      </c>
      <c r="F33" s="12" t="inlineStr">
        <is>
          <t>Y</t>
        </is>
      </c>
      <c r="G33" s="12" t="inlineStr">
        <is>
          <t>-</t>
        </is>
      </c>
      <c r="H33" s="12" t="inlineStr">
        <is>
          <t>Dot decimal</t>
        </is>
      </c>
      <c r="I33" s="12" t="inlineStr">
        <is>
          <t>10.0000</t>
        </is>
      </c>
      <c r="J33" s="12" t="inlineStr">
        <is>
          <t>ops_invoice.wtax_rate</t>
        </is>
      </c>
      <c r="K33" s="12" t="inlineStr">
        <is>
          <t>0 to 100</t>
        </is>
      </c>
      <c r="L33" s="12" t="inlineStr">
        <is>
          <t>EBIX</t>
        </is>
      </c>
    </row>
    <row r="34">
      <c r="A34" s="12" t="n">
        <v>30</v>
      </c>
      <c r="B34" s="12" t="inlineStr">
        <is>
          <t>commission_realised</t>
        </is>
      </c>
      <c r="C34" s="12" t="inlineStr">
        <is>
          <t>Commission already realised (recognised as income) in legacy</t>
        </is>
      </c>
      <c r="D34" s="12" t="inlineStr">
        <is>
          <t>Amount</t>
        </is>
      </c>
      <c r="E34" s="12" t="inlineStr">
        <is>
          <t>19,2</t>
        </is>
      </c>
      <c r="F34" s="12" t="inlineStr">
        <is>
          <t>Y</t>
        </is>
      </c>
      <c r="G34" s="12" t="inlineStr">
        <is>
          <t>-</t>
        </is>
      </c>
      <c r="H34" s="12" t="inlineStr">
        <is>
          <t>Dot decimal, 2 decimals</t>
        </is>
      </c>
      <c r="I34" s="12" t="inlineStr">
        <is>
          <t>1710.00</t>
        </is>
      </c>
      <c r="J34" s="12" t="inlineStr">
        <is>
          <t>Opening entry unrealised commission (DMQ13)</t>
        </is>
      </c>
      <c r="K34" s="12" t="inlineStr">
        <is>
          <t>0 to commission</t>
        </is>
      </c>
      <c r="L34" s="12" t="inlineStr">
        <is>
          <t>EBIX GL sub-ledger</t>
        </is>
      </c>
    </row>
    <row r="35">
      <c r="A35" s="12" t="n">
        <v>31</v>
      </c>
      <c r="B35" s="12" t="inlineStr">
        <is>
          <t>deferred_vat_open</t>
        </is>
      </c>
      <c r="C35" s="12" t="inlineStr">
        <is>
          <t>Output VAT on commission still deferred</t>
        </is>
      </c>
      <c r="D35" s="12" t="inlineStr">
        <is>
          <t>Amount</t>
        </is>
      </c>
      <c r="E35" s="12" t="inlineStr">
        <is>
          <t>19,2</t>
        </is>
      </c>
      <c r="F35" s="12" t="inlineStr">
        <is>
          <t>N</t>
        </is>
      </c>
      <c r="G35" s="12" t="inlineStr">
        <is>
          <t>-</t>
        </is>
      </c>
      <c r="H35" s="12" t="inlineStr">
        <is>
          <t>Dot decimal, 2 decimals</t>
        </is>
      </c>
      <c r="I35" s="12" t="inlineStr">
        <is>
          <t>307.80</t>
        </is>
      </c>
      <c r="J35" s="12" t="inlineStr">
        <is>
          <t>Opening entry deferred VAT (DMQ13)</t>
        </is>
      </c>
      <c r="K35" s="12" t="inlineStr">
        <is>
          <t>0 to vat_on_commission</t>
        </is>
      </c>
      <c r="L35" s="12" t="inlineStr">
        <is>
          <t>EBIX GL sub-ledger</t>
        </is>
      </c>
    </row>
    <row r="36">
      <c r="A36" s="12" t="n">
        <v>32</v>
      </c>
      <c r="B36" s="12" t="inlineStr">
        <is>
          <t>dp_flag</t>
        </is>
      </c>
      <c r="C36" s="12" t="inlineStr">
        <is>
          <t>Direct-payment invoice (premium paid to the insurer)</t>
        </is>
      </c>
      <c r="D36" s="12" t="inlineStr">
        <is>
          <t>Flag</t>
        </is>
      </c>
      <c r="E36" s="12" t="inlineStr">
        <is>
          <t>1</t>
        </is>
      </c>
      <c r="F36" s="12" t="inlineStr">
        <is>
          <t>Y</t>
        </is>
      </c>
      <c r="G36" s="12" t="inlineStr">
        <is>
          <t>Y, N</t>
        </is>
      </c>
      <c r="H36" s="12" t="inlineStr">
        <is>
          <t>Y or N</t>
        </is>
      </c>
      <c r="I36" s="12" t="inlineStr">
        <is>
          <t>N</t>
        </is>
      </c>
      <c r="J36" s="12" t="inlineStr">
        <is>
          <t>ops_invoice.dp_flag</t>
        </is>
      </c>
      <c r="K36" s="12" t="inlineStr">
        <is>
          <t>Y or N</t>
        </is>
      </c>
      <c r="L36" s="12" t="inlineStr">
        <is>
          <t>EBIX</t>
        </is>
      </c>
    </row>
    <row r="37">
      <c r="A37" s="12" t="n">
        <v>33</v>
      </c>
      <c r="B37" s="12" t="inlineStr">
        <is>
          <t>cwt_flag</t>
        </is>
      </c>
      <c r="C37" s="12" t="inlineStr">
        <is>
          <t>Client withholds 2% (BIR 2307)</t>
        </is>
      </c>
      <c r="D37" s="12" t="inlineStr">
        <is>
          <t>Flag</t>
        </is>
      </c>
      <c r="E37" s="12" t="inlineStr">
        <is>
          <t>1</t>
        </is>
      </c>
      <c r="F37" s="12" t="inlineStr">
        <is>
          <t>Y</t>
        </is>
      </c>
      <c r="G37" s="12" t="inlineStr">
        <is>
          <t>Y, N</t>
        </is>
      </c>
      <c r="H37" s="12" t="inlineStr">
        <is>
          <t>Y or N</t>
        </is>
      </c>
      <c r="I37" s="12" t="inlineStr">
        <is>
          <t>N</t>
        </is>
      </c>
      <c r="J37" s="12" t="inlineStr">
        <is>
          <t>ops_invoice.cwt_flag</t>
        </is>
      </c>
      <c r="K37" s="12" t="inlineStr">
        <is>
          <t>Y or N</t>
        </is>
      </c>
      <c r="L37" s="12" t="inlineStr">
        <is>
          <t>EBIX</t>
        </is>
      </c>
    </row>
    <row r="38">
      <c r="A38" s="12" t="n">
        <v>34</v>
      </c>
      <c r="B38" s="12" t="inlineStr">
        <is>
          <t>incentive_eligible_flag</t>
        </is>
      </c>
      <c r="C38" s="12" t="inlineStr">
        <is>
          <t>Counts for incentive programmes</t>
        </is>
      </c>
      <c r="D38" s="12" t="inlineStr">
        <is>
          <t>Flag</t>
        </is>
      </c>
      <c r="E38" s="12" t="inlineStr">
        <is>
          <t>1</t>
        </is>
      </c>
      <c r="F38" s="12" t="inlineStr">
        <is>
          <t>N</t>
        </is>
      </c>
      <c r="G38" s="12" t="inlineStr">
        <is>
          <t>Y, N</t>
        </is>
      </c>
      <c r="H38" s="12" t="inlineStr">
        <is>
          <t>Y or N</t>
        </is>
      </c>
      <c r="I38" s="12" t="inlineStr">
        <is>
          <t>N</t>
        </is>
      </c>
      <c r="J38" s="12" t="inlineStr">
        <is>
          <t>ops_invoice.incentive_eligible</t>
        </is>
      </c>
      <c r="K38" s="12" t="inlineStr">
        <is>
          <t>Y or N</t>
        </is>
      </c>
      <c r="L38" s="12" t="inlineStr">
        <is>
          <t>EBIX</t>
        </is>
      </c>
    </row>
    <row r="39">
      <c r="A39" s="12" t="n">
        <v>35</v>
      </c>
      <c r="B39" s="12" t="inlineStr">
        <is>
          <t>hold_flag</t>
        </is>
      </c>
      <c r="C39" s="12" t="inlineStr">
        <is>
          <t>Remittance on hold in legacy</t>
        </is>
      </c>
      <c r="D39" s="12" t="inlineStr">
        <is>
          <t>Flag</t>
        </is>
      </c>
      <c r="E39" s="12" t="inlineStr">
        <is>
          <t>1</t>
        </is>
      </c>
      <c r="F39" s="12" t="inlineStr">
        <is>
          <t>N</t>
        </is>
      </c>
      <c r="G39" s="12" t="inlineStr">
        <is>
          <t>Y, N</t>
        </is>
      </c>
      <c r="H39" s="12" t="inlineStr">
        <is>
          <t>Y or N</t>
        </is>
      </c>
      <c r="I39" s="12" t="inlineStr">
        <is>
          <t>N</t>
        </is>
      </c>
      <c r="J39" s="12" t="inlineStr">
        <is>
          <t>ops_invoice.hold_flag</t>
        </is>
      </c>
      <c r="K39" s="12" t="inlineStr">
        <is>
          <t>Y or N</t>
        </is>
      </c>
      <c r="L39" s="12" t="inlineStr">
        <is>
          <t>EBIX</t>
        </is>
      </c>
    </row>
    <row r="40">
      <c r="A40" s="12" t="n">
        <v>36</v>
      </c>
      <c r="B40" s="12" t="inlineStr">
        <is>
          <t>legacy_service_invoice_no</t>
        </is>
      </c>
      <c r="C40" s="12" t="inlineStr">
        <is>
          <t>Legacy service invoice issued for the commission</t>
        </is>
      </c>
      <c r="D40" s="12" t="inlineStr">
        <is>
          <t>Text</t>
        </is>
      </c>
      <c r="E40" s="12" t="inlineStr">
        <is>
          <t>40</t>
        </is>
      </c>
      <c r="F40" s="12" t="inlineStr">
        <is>
          <t>N</t>
        </is>
      </c>
      <c r="G40" s="12" t="inlineStr">
        <is>
          <t>-</t>
        </is>
      </c>
      <c r="H40" s="12" t="inlineStr">
        <is>
          <t>As printed</t>
        </is>
      </c>
      <c r="I40" s="12" t="inlineStr">
        <is>
          <t>SI-000456789</t>
        </is>
      </c>
      <c r="J40" s="12" t="inlineStr">
        <is>
          <t>Frozen snapshot (credit notes of negative endorsements)</t>
        </is>
      </c>
      <c r="K40" s="12" t="inlineStr">
        <is>
          <t>-</t>
        </is>
      </c>
      <c r="L40" s="12" t="inlineStr">
        <is>
          <t>EBIX</t>
        </is>
      </c>
    </row>
    <row r="41">
      <c r="A41" s="12" t="n">
        <v>37</v>
      </c>
      <c r="B41" s="12" t="inlineStr">
        <is>
          <t>last_payment_date</t>
        </is>
      </c>
      <c r="C41" s="12" t="inlineStr">
        <is>
          <t>Date of the last payment applied in legacy</t>
        </is>
      </c>
      <c r="D41" s="12" t="inlineStr">
        <is>
          <t>Date</t>
        </is>
      </c>
      <c r="E41" s="12" t="inlineStr">
        <is>
          <t>10</t>
        </is>
      </c>
      <c r="F41" s="12" t="inlineStr">
        <is>
          <t>N</t>
        </is>
      </c>
      <c r="G41" s="12" t="inlineStr">
        <is>
          <t>-</t>
        </is>
      </c>
      <c r="H41" s="12" t="inlineStr">
        <is>
          <t>yyyy-MM-dd</t>
        </is>
      </c>
      <c r="I41" s="12" t="inlineStr">
        <is>
          <t>2027-05-02</t>
        </is>
      </c>
      <c r="J41" s="12" t="inlineStr">
        <is>
          <t>Invoice 360 legacy block</t>
        </is>
      </c>
      <c r="K41" s="12" t="inlineStr">
        <is>
          <t>Not after the freeze</t>
        </is>
      </c>
      <c r="L41" s="12" t="inlineStr">
        <is>
          <t>EBIX</t>
        </is>
      </c>
    </row>
    <row r="42">
      <c r="A42" s="12" t="n">
        <v>38</v>
      </c>
      <c r="B42" s="12" t="inlineStr">
        <is>
          <t>remarks</t>
        </is>
      </c>
      <c r="C42" s="12" t="inlineStr">
        <is>
          <t>Legacy remarks</t>
        </is>
      </c>
      <c r="D42" s="12" t="inlineStr">
        <is>
          <t>Text</t>
        </is>
      </c>
      <c r="E42" s="12" t="inlineStr">
        <is>
          <t>500</t>
        </is>
      </c>
      <c r="F42" s="12" t="inlineStr">
        <is>
          <t>N</t>
        </is>
      </c>
      <c r="G42" s="12" t="inlineStr">
        <is>
          <t>-</t>
        </is>
      </c>
      <c r="H42" s="12" t="inlineStr">
        <is>
          <t>Free text</t>
        </is>
      </c>
      <c r="I42" s="12" t="inlineStr">
        <is>
          <t>Balance under dispute</t>
        </is>
      </c>
      <c r="J42" s="12" t="inlineStr">
        <is>
          <t>Frozen snapshot</t>
        </is>
      </c>
      <c r="K42" s="12" t="inlineStr">
        <is>
          <t>-</t>
        </is>
      </c>
      <c r="L42" s="12" t="inlineStr">
        <is>
          <t>EBIX</t>
        </is>
      </c>
    </row>
  </sheetData>
  <autoFilter ref="A4:L42"/>
  <mergeCells count="1">
    <mergeCell ref="A2:L2"/>
  </mergeCells>
  <conditionalFormatting sqref="A5:L542">
    <cfRule type="expression" priority="1" dxfId="3">
      <formula>AND(MOD(ROW(),2)=0,$A5&lt;&gt;"")</formula>
    </cfRule>
  </conditionalFormatting>
  <dataValidations count="2">
    <dataValidation sqref="D5:D542" showDropDown="0" showInputMessage="0" showErrorMessage="1" allowBlank="1" errorTitle="Type" error="Choose a value from the list (Type)." type="list">
      <formula1>'_lists'!$AL$1:$AL$8</formula1>
    </dataValidation>
    <dataValidation sqref="F5:F542" showDropDown="0" showInputMessage="0" showErrorMessage="1" allowBlank="1" errorTitle="Mandatory" error="Choose a value from the list (Mandatory)." type="list">
      <formula1>'_lists'!$AM$1:$AM$3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F01S Invoice shares</t>
        </is>
      </c>
    </row>
    <row r="2">
      <c r="A2" s="24" t="inlineStr">
        <is>
          <t>Layout F01S of object F01; key: legacy_invoice_no, share_seq; template templates/F01S_template.csv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legacy_invoice_no</t>
        </is>
      </c>
      <c r="C5" s="12" t="inlineStr">
        <is>
          <t>Invoice number in the source system</t>
        </is>
      </c>
      <c r="D5" s="12" t="inlineStr">
        <is>
          <t>Code</t>
        </is>
      </c>
      <c r="E5" s="12" t="inlineStr">
        <is>
          <t>40</t>
        </is>
      </c>
      <c r="F5" s="12" t="inlineStr">
        <is>
          <t>Y</t>
        </is>
      </c>
      <c r="G5" s="12" t="inlineStr">
        <is>
          <t>legacy_invoice_no of F01</t>
        </is>
      </c>
      <c r="H5" s="12" t="inlineStr">
        <is>
          <t>As in F01</t>
        </is>
      </c>
      <c r="I5" s="12" t="inlineStr">
        <is>
          <t>I00123456</t>
        </is>
      </c>
      <c r="J5" s="12" t="inlineStr">
        <is>
          <t>ops_invoice_share.invoice_id</t>
        </is>
      </c>
      <c r="K5" s="12" t="inlineStr">
        <is>
          <t>Exists in F01</t>
        </is>
      </c>
      <c r="L5" s="12" t="inlineStr">
        <is>
          <t>EBIX</t>
        </is>
      </c>
    </row>
    <row r="6">
      <c r="A6" s="12" t="n">
        <v>2</v>
      </c>
      <c r="B6" s="12" t="inlineStr">
        <is>
          <t>share_seq</t>
        </is>
      </c>
      <c r="C6" s="12" t="inlineStr">
        <is>
          <t>Sequence of the insurer</t>
        </is>
      </c>
      <c r="D6" s="12" t="inlineStr">
        <is>
          <t>Integer</t>
        </is>
      </c>
      <c r="E6" s="12" t="inlineStr">
        <is>
          <t>2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Digits</t>
        </is>
      </c>
      <c r="I6" s="12" t="inlineStr">
        <is>
          <t>1</t>
        </is>
      </c>
      <c r="J6" s="12" t="inlineStr">
        <is>
          <t>ops_invoice_share.share_index</t>
        </is>
      </c>
      <c r="K6" s="12" t="inlineStr">
        <is>
          <t>Unique per invoice</t>
        </is>
      </c>
      <c r="L6" s="12" t="inlineStr">
        <is>
          <t>EBIX</t>
        </is>
      </c>
    </row>
    <row r="7">
      <c r="A7" s="12" t="n">
        <v>3</v>
      </c>
      <c r="B7" s="12" t="inlineStr">
        <is>
          <t>insurer_code</t>
        </is>
      </c>
      <c r="C7" s="12" t="inlineStr">
        <is>
          <t>Insurer</t>
        </is>
      </c>
      <c r="D7" s="12" t="inlineStr">
        <is>
          <t>Code</t>
        </is>
      </c>
      <c r="E7" s="12" t="inlineStr">
        <is>
          <t>30</t>
        </is>
      </c>
      <c r="F7" s="12" t="inlineStr">
        <is>
          <t>Y</t>
        </is>
      </c>
      <c r="G7" s="12" t="inlineStr">
        <is>
          <t>Code map INSURER</t>
        </is>
      </c>
      <c r="H7" s="12" t="inlineStr">
        <is>
          <t>As stored in legacy</t>
        </is>
      </c>
      <c r="I7" s="12" t="inlineStr">
        <is>
          <t>MAL</t>
        </is>
      </c>
      <c r="J7" s="12" t="inlineStr">
        <is>
          <t>ops_invoice_share.insurer_code; ops_invoice.insurer_code (lead)</t>
        </is>
      </c>
      <c r="K7" s="12" t="inlineStr">
        <is>
          <t>Mapped</t>
        </is>
      </c>
      <c r="L7" s="12" t="inlineStr">
        <is>
          <t>EBIX</t>
        </is>
      </c>
    </row>
    <row r="8">
      <c r="A8" s="12" t="n">
        <v>4</v>
      </c>
      <c r="B8" s="12" t="inlineStr">
        <is>
          <t>share_pct</t>
        </is>
      </c>
      <c r="C8" s="12" t="inlineStr">
        <is>
          <t>Share in percent</t>
        </is>
      </c>
      <c r="D8" s="12" t="inlineStr">
        <is>
          <t>Decimal</t>
        </is>
      </c>
      <c r="E8" s="12" t="inlineStr">
        <is>
          <t>9,4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Dot decimal</t>
        </is>
      </c>
      <c r="I8" s="12" t="inlineStr">
        <is>
          <t>100.0000</t>
        </is>
      </c>
      <c r="J8" s="12" t="inlineStr">
        <is>
          <t>ops_invoice_share.share_pct</t>
        </is>
      </c>
      <c r="K8" s="12" t="inlineStr">
        <is>
          <t>Above 0 and at most 100; shares of an invoice add to 100</t>
        </is>
      </c>
      <c r="L8" s="12" t="inlineStr">
        <is>
          <t>EBIX</t>
        </is>
      </c>
    </row>
    <row r="9">
      <c r="A9" s="12" t="n">
        <v>5</v>
      </c>
      <c r="B9" s="12" t="inlineStr">
        <is>
          <t>lead_flag</t>
        </is>
      </c>
      <c r="C9" s="12" t="inlineStr">
        <is>
          <t>Lead insurer</t>
        </is>
      </c>
      <c r="D9" s="12" t="inlineStr">
        <is>
          <t>Flag</t>
        </is>
      </c>
      <c r="E9" s="12" t="inlineStr">
        <is>
          <t>1</t>
        </is>
      </c>
      <c r="F9" s="12" t="inlineStr">
        <is>
          <t>Y</t>
        </is>
      </c>
      <c r="G9" s="12" t="inlineStr">
        <is>
          <t>Y, N</t>
        </is>
      </c>
      <c r="H9" s="12" t="inlineStr">
        <is>
          <t>Y or N</t>
        </is>
      </c>
      <c r="I9" s="12" t="inlineStr">
        <is>
          <t>Y</t>
        </is>
      </c>
      <c r="J9" s="12" t="inlineStr">
        <is>
          <t>ops_invoice_share.lead</t>
        </is>
      </c>
      <c r="K9" s="12" t="inlineStr">
        <is>
          <t>One lead per invoice</t>
        </is>
      </c>
      <c r="L9" s="12" t="inlineStr">
        <is>
          <t>EBIX</t>
        </is>
      </c>
    </row>
  </sheetData>
  <autoFilter ref="A4:L9"/>
  <mergeCells count="1">
    <mergeCell ref="A2:L2"/>
  </mergeCells>
  <conditionalFormatting sqref="A5:L509">
    <cfRule type="expression" priority="1" dxfId="3">
      <formula>AND(MOD(ROW(),2)=0,$A5&lt;&gt;"")</formula>
    </cfRule>
  </conditionalFormatting>
  <dataValidations count="2">
    <dataValidation sqref="D5:D509" showDropDown="0" showInputMessage="0" showErrorMessage="1" allowBlank="1" errorTitle="Type" error="Choose a value from the list (Type)." type="list">
      <formula1>'_lists'!$AN$1:$AN$8</formula1>
    </dataValidation>
    <dataValidation sqref="F5:F509" showDropDown="0" showInputMessage="0" showErrorMessage="1" allowBlank="1" errorTitle="Mandatory" error="Choose a value from the list (Mandatory)." type="list">
      <formula1>'_lists'!$AO$1:$AO$3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F01C Invoice components</t>
        </is>
      </c>
    </row>
    <row r="2">
      <c r="A2" s="24" t="inlineStr">
        <is>
          <t>Layout F01C of object F01; key: legacy_invoice_no, component; template templates/F01C_template.csv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legacy_invoice_no</t>
        </is>
      </c>
      <c r="C5" s="12" t="inlineStr">
        <is>
          <t>Invoice number in the source system</t>
        </is>
      </c>
      <c r="D5" s="12" t="inlineStr">
        <is>
          <t>Code</t>
        </is>
      </c>
      <c r="E5" s="12" t="inlineStr">
        <is>
          <t>40</t>
        </is>
      </c>
      <c r="F5" s="12" t="inlineStr">
        <is>
          <t>Y</t>
        </is>
      </c>
      <c r="G5" s="12" t="inlineStr">
        <is>
          <t>legacy_invoice_no of F01</t>
        </is>
      </c>
      <c r="H5" s="12" t="inlineStr">
        <is>
          <t>As in F01</t>
        </is>
      </c>
      <c r="I5" s="12" t="inlineStr">
        <is>
          <t>I00123456</t>
        </is>
      </c>
      <c r="J5" s="12" t="inlineStr">
        <is>
          <t>ops_invoice_component.invoice_id</t>
        </is>
      </c>
      <c r="K5" s="12" t="inlineStr">
        <is>
          <t>Exists in F01</t>
        </is>
      </c>
      <c r="L5" s="12" t="inlineStr">
        <is>
          <t>EBIX</t>
        </is>
      </c>
    </row>
    <row r="6">
      <c r="A6" s="12" t="n">
        <v>2</v>
      </c>
      <c r="B6" s="12" t="inlineStr">
        <is>
          <t>component</t>
        </is>
      </c>
      <c r="C6" s="12" t="inlineStr">
        <is>
          <t>Premium or settlement component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BASIC, DST, PREMIUM_TAX_VAT, LGT, FST, OTHER, DTIP, COMMISSION, COMMISSION_VAT, WTAX, PR2307</t>
        </is>
      </c>
      <c r="H6" s="12" t="inlineStr">
        <is>
          <t>Upper case</t>
        </is>
      </c>
      <c r="I6" s="12" t="inlineStr">
        <is>
          <t>BASIC</t>
        </is>
      </c>
      <c r="J6" s="12" t="inlineStr">
        <is>
          <t>ops_invoice_component.component (LedgerComponent)</t>
        </is>
      </c>
      <c r="K6" s="12" t="inlineStr">
        <is>
          <t>In the list; one row per component and invoice</t>
        </is>
      </c>
      <c r="L6" s="12" t="inlineStr">
        <is>
          <t>EBIX</t>
        </is>
      </c>
    </row>
    <row r="7">
      <c r="A7" s="12" t="n">
        <v>3</v>
      </c>
      <c r="B7" s="12" t="inlineStr">
        <is>
          <t>booked</t>
        </is>
      </c>
      <c r="C7" s="12" t="inlineStr">
        <is>
          <t>Amount booked in legacy</t>
        </is>
      </c>
      <c r="D7" s="12" t="inlineStr">
        <is>
          <t>Amount</t>
        </is>
      </c>
      <c r="E7" s="12" t="inlineStr">
        <is>
          <t>19,2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Dot decimal, 2 decimals; minus for return invoices</t>
        </is>
      </c>
      <c r="I7" s="12" t="inlineStr">
        <is>
          <t>21375.00</t>
        </is>
      </c>
      <c r="J7" s="12" t="inlineStr">
        <is>
          <t>BOOKED movement</t>
        </is>
      </c>
      <c r="K7" s="12" t="inlineStr">
        <is>
          <t>Same sign as the invoice</t>
        </is>
      </c>
      <c r="L7" s="12" t="inlineStr">
        <is>
          <t>EBIX</t>
        </is>
      </c>
    </row>
    <row r="8">
      <c r="A8" s="12" t="n">
        <v>4</v>
      </c>
      <c r="B8" s="12" t="inlineStr">
        <is>
          <t>adjusted</t>
        </is>
      </c>
      <c r="C8" s="12" t="inlineStr">
        <is>
          <t>Net legacy adjustments kept on the same invoice</t>
        </is>
      </c>
      <c r="D8" s="12" t="inlineStr">
        <is>
          <t>Amount</t>
        </is>
      </c>
      <c r="E8" s="12" t="inlineStr">
        <is>
          <t>19,2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Dot decimal, 2 decimals</t>
        </is>
      </c>
      <c r="I8" s="12" t="inlineStr">
        <is>
          <t>0.00</t>
        </is>
      </c>
      <c r="J8" s="12" t="inlineStr">
        <is>
          <t>LEGACY_ADJUSTED movement (new)</t>
        </is>
      </c>
      <c r="K8" s="12" t="inlineStr">
        <is>
          <t>-</t>
        </is>
      </c>
      <c r="L8" s="12" t="inlineStr">
        <is>
          <t>EBIX</t>
        </is>
      </c>
    </row>
    <row r="9">
      <c r="A9" s="12" t="n">
        <v>5</v>
      </c>
      <c r="B9" s="12" t="inlineStr">
        <is>
          <t>paid</t>
        </is>
      </c>
      <c r="C9" s="12" t="inlineStr">
        <is>
          <t>Paid by the client before cutover (premium components and PR2307)</t>
        </is>
      </c>
      <c r="D9" s="12" t="inlineStr">
        <is>
          <t>Amount</t>
        </is>
      </c>
      <c r="E9" s="12" t="inlineStr">
        <is>
          <t>19,2</t>
        </is>
      </c>
      <c r="F9" s="12" t="inlineStr">
        <is>
          <t>Y</t>
        </is>
      </c>
      <c r="G9" s="12" t="inlineStr">
        <is>
          <t>-</t>
        </is>
      </c>
      <c r="H9" s="12" t="inlineStr">
        <is>
          <t>Dot decimal, 2 decimals</t>
        </is>
      </c>
      <c r="I9" s="12" t="inlineStr">
        <is>
          <t>8550.00</t>
        </is>
      </c>
      <c r="J9" s="12" t="inlineStr">
        <is>
          <t>LEGACY_PAID movement to APPLIED (new)</t>
        </is>
      </c>
      <c r="K9" s="12" t="inlineStr">
        <is>
          <t>0 for DTIP, COMMISSION, COMMISSION_VAT, WTAX</t>
        </is>
      </c>
      <c r="L9" s="12" t="inlineStr">
        <is>
          <t>EBIX, CMS</t>
        </is>
      </c>
    </row>
    <row r="10">
      <c r="A10" s="12" t="n">
        <v>6</v>
      </c>
      <c r="B10" s="12" t="inlineStr">
        <is>
          <t>remitted</t>
        </is>
      </c>
      <c r="C10" s="12" t="inlineStr">
        <is>
          <t>Settled with the insurer before cutover (DTIP, commission, VAT on commission, WTAX)</t>
        </is>
      </c>
      <c r="D10" s="12" t="inlineStr">
        <is>
          <t>Amount</t>
        </is>
      </c>
      <c r="E10" s="12" t="inlineStr">
        <is>
          <t>19,2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Dot decimal, 2 decimals</t>
        </is>
      </c>
      <c r="I10" s="12" t="inlineStr">
        <is>
          <t>0.00</t>
        </is>
      </c>
      <c r="J10" s="12" t="inlineStr">
        <is>
          <t>LEGACY_REMITTED movement to REMITTED (new)</t>
        </is>
      </c>
      <c r="K10" s="12" t="inlineStr">
        <is>
          <t>0 for premium components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written_off</t>
        </is>
      </c>
      <c r="C11" s="12" t="inlineStr">
        <is>
          <t>Written off or DP-reversed before cutover</t>
        </is>
      </c>
      <c r="D11" s="12" t="inlineStr">
        <is>
          <t>Amount</t>
        </is>
      </c>
      <c r="E11" s="12" t="inlineStr">
        <is>
          <t>19,2</t>
        </is>
      </c>
      <c r="F11" s="12" t="inlineStr">
        <is>
          <t>Y</t>
        </is>
      </c>
      <c r="G11" s="12" t="inlineStr">
        <is>
          <t>-</t>
        </is>
      </c>
      <c r="H11" s="12" t="inlineStr">
        <is>
          <t>Dot decimal, 2 decimals</t>
        </is>
      </c>
      <c r="I11" s="12" t="inlineStr">
        <is>
          <t>0.00</t>
        </is>
      </c>
      <c r="J11" s="12" t="inlineStr">
        <is>
          <t>LEGACY_WRITTEN_OFF movement (new)</t>
        </is>
      </c>
      <c r="K11" s="12" t="inlineStr">
        <is>
          <t>-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open_balance</t>
        </is>
      </c>
      <c r="C12" s="12" t="inlineStr">
        <is>
          <t>Open balance at the freeze</t>
        </is>
      </c>
      <c r="D12" s="12" t="inlineStr">
        <is>
          <t>Amount</t>
        </is>
      </c>
      <c r="E12" s="12" t="inlineStr">
        <is>
          <t>19,2</t>
        </is>
      </c>
      <c r="F12" s="12" t="inlineStr">
        <is>
          <t>Y</t>
        </is>
      </c>
      <c r="G12" s="12" t="inlineStr">
        <is>
          <t>-</t>
        </is>
      </c>
      <c r="H12" s="12" t="inlineStr">
        <is>
          <t>Dot decimal, 2 decimals</t>
        </is>
      </c>
      <c r="I12" s="12" t="inlineStr">
        <is>
          <t>12825.00</t>
        </is>
      </c>
      <c r="J12" s="12" t="inlineStr">
        <is>
          <t>ops_invoice_component.balance; opening entry line</t>
        </is>
      </c>
      <c r="K12" s="12" t="inlineStr">
        <is>
          <t>Premium components and PR2307 = booked + adjusted - paid - written_off; DTIP, COMMISSION, COMMISSION_VAT, WTAX = booked + adjusted - remitted - written_off; within 0 and booked + adjusted</t>
        </is>
      </c>
      <c r="L12" s="12" t="inlineStr">
        <is>
          <t>EBIX</t>
        </is>
      </c>
    </row>
  </sheetData>
  <autoFilter ref="A4:L12"/>
  <mergeCells count="1">
    <mergeCell ref="A2:L2"/>
  </mergeCells>
  <conditionalFormatting sqref="A5:L512">
    <cfRule type="expression" priority="1" dxfId="3">
      <formula>AND(MOD(ROW(),2)=0,$A5&lt;&gt;"")</formula>
    </cfRule>
  </conditionalFormatting>
  <dataValidations count="2">
    <dataValidation sqref="D5:D512" showDropDown="0" showInputMessage="0" showErrorMessage="1" allowBlank="1" errorTitle="Type" error="Choose a value from the list (Type)." type="list">
      <formula1>'_lists'!$AP$1:$AP$8</formula1>
    </dataValidation>
    <dataValidation sqref="F5:F512" showDropDown="0" showInputMessage="0" showErrorMessage="1" allowBlank="1" errorTitle="Mandatory" error="Choose a value from the list (Mandatory)." type="list">
      <formula1>'_lists'!$AQ$1:$AQ$3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F02 UPP</t>
        </is>
      </c>
    </row>
    <row r="2">
      <c r="A2" s="24" t="inlineStr">
        <is>
          <t>Layout F02 of object F02; key: legacy_upp_ref; template templates/F02_template.csv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legacy_upp_ref</t>
        </is>
      </c>
      <c r="C5" s="12" t="inlineStr">
        <is>
          <t>UPP reference in the source system</t>
        </is>
      </c>
      <c r="D5" s="12" t="inlineStr">
        <is>
          <t>Code</t>
        </is>
      </c>
      <c r="E5" s="12" t="inlineStr">
        <is>
          <t>40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UPP-2026-004321</t>
        </is>
      </c>
      <c r="J5" s="12" t="inlineStr">
        <is>
          <t>csh_unapplied.source_ref (source_module MIGRATION)</t>
        </is>
      </c>
      <c r="K5" s="12" t="inlineStr">
        <is>
          <t>Unique</t>
        </is>
      </c>
      <c r="L5" s="12" t="inlineStr">
        <is>
          <t>EBIX unapplied list; CMS</t>
        </is>
      </c>
    </row>
    <row r="6">
      <c r="A6" s="12" t="n">
        <v>2</v>
      </c>
      <c r="B6" s="12" t="inlineStr">
        <is>
          <t>legacy_ar_no</t>
        </is>
      </c>
      <c r="C6" s="12" t="inlineStr">
        <is>
          <t>Acknowledgment receipt issued in legacy</t>
        </is>
      </c>
      <c r="D6" s="12" t="inlineStr">
        <is>
          <t>Text</t>
        </is>
      </c>
      <c r="E6" s="12" t="inlineStr">
        <is>
          <t>40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printed</t>
        </is>
      </c>
      <c r="I6" s="12" t="inlineStr">
        <is>
          <t>AR-MKT-131002</t>
        </is>
      </c>
      <c r="J6" s="12" t="inlineStr">
        <is>
          <t>csh_unapplied.legacy_ar_no (new)</t>
        </is>
      </c>
      <c r="K6" s="12" t="inlineStr">
        <is>
          <t>Not blank</t>
        </is>
      </c>
      <c r="L6" s="12" t="inlineStr">
        <is>
          <t>EBIX</t>
        </is>
      </c>
    </row>
    <row r="7">
      <c r="A7" s="12" t="n">
        <v>3</v>
      </c>
      <c r="B7" s="12" t="inlineStr">
        <is>
          <t>legacy_ar_date</t>
        </is>
      </c>
      <c r="C7" s="12" t="inlineStr">
        <is>
          <t>AR date</t>
        </is>
      </c>
      <c r="D7" s="12" t="inlineStr">
        <is>
          <t>Date</t>
        </is>
      </c>
      <c r="E7" s="12" t="inlineStr">
        <is>
          <t>10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yyyy-MM-dd</t>
        </is>
      </c>
      <c r="I7" s="12" t="inlineStr">
        <is>
          <t>2026-07-14</t>
        </is>
      </c>
      <c r="J7" s="12" t="inlineStr">
        <is>
          <t>csh_unapplied.legacy_ar_date (new)</t>
        </is>
      </c>
      <c r="K7" s="12" t="inlineStr">
        <is>
          <t>Before the cutover date</t>
        </is>
      </c>
      <c r="L7" s="12" t="inlineStr">
        <is>
          <t>EBIX</t>
        </is>
      </c>
    </row>
    <row r="8">
      <c r="A8" s="12" t="n">
        <v>4</v>
      </c>
      <c r="B8" s="12" t="inlineStr">
        <is>
          <t>value_date</t>
        </is>
      </c>
      <c r="C8" s="12" t="inlineStr">
        <is>
          <t>Value date of the cash</t>
        </is>
      </c>
      <c r="D8" s="12" t="inlineStr">
        <is>
          <t>Date</t>
        </is>
      </c>
      <c r="E8" s="12" t="inlineStr">
        <is>
          <t>10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yyyy-MM-dd</t>
        </is>
      </c>
      <c r="I8" s="12" t="inlineStr">
        <is>
          <t>2026-07-14</t>
        </is>
      </c>
      <c r="J8" s="12" t="inlineStr">
        <is>
          <t>UPP age</t>
        </is>
      </c>
      <c r="K8" s="12" t="inlineStr">
        <is>
          <t>Before the cutover date</t>
        </is>
      </c>
      <c r="L8" s="12" t="inlineStr">
        <is>
          <t>EBIX</t>
        </is>
      </c>
    </row>
    <row r="9">
      <c r="A9" s="12" t="n">
        <v>5</v>
      </c>
      <c r="B9" s="12" t="inlineStr">
        <is>
          <t>channel</t>
        </is>
      </c>
      <c r="C9" s="12" t="inlineStr">
        <is>
          <t>Channel of the payment</t>
        </is>
      </c>
      <c r="D9" s="12" t="inlineStr">
        <is>
          <t>Code</t>
        </is>
      </c>
      <c r="E9" s="12" t="inlineStr">
        <is>
          <t>20</t>
        </is>
      </c>
      <c r="F9" s="12" t="inlineStr">
        <is>
          <t>Y</t>
        </is>
      </c>
      <c r="G9" s="12" t="inlineStr">
        <is>
          <t>OTC, BILLS_PAYMENT, TRADE, CLPC, DIRECT_CREDIT, CHECK, OTHER</t>
        </is>
      </c>
      <c r="H9" s="12" t="inlineStr">
        <is>
          <t>Upper case</t>
        </is>
      </c>
      <c r="I9" s="12" t="inlineStr">
        <is>
          <t>DIRECT_CREDIT</t>
        </is>
      </c>
      <c r="J9" s="12" t="inlineStr">
        <is>
          <t>UPP channel (remarks)</t>
        </is>
      </c>
      <c r="K9" s="12" t="inlineStr">
        <is>
          <t>In the list</t>
        </is>
      </c>
      <c r="L9" s="12" t="inlineStr">
        <is>
          <t>EBIX, CMS</t>
        </is>
      </c>
    </row>
    <row r="10">
      <c r="A10" s="12" t="n">
        <v>6</v>
      </c>
      <c r="B10" s="12" t="inlineStr">
        <is>
          <t>payor_name</t>
        </is>
      </c>
      <c r="C10" s="12" t="inlineStr">
        <is>
          <t>Payor</t>
        </is>
      </c>
      <c r="D10" s="12" t="inlineStr">
        <is>
          <t>Text</t>
        </is>
      </c>
      <c r="E10" s="12" t="inlineStr">
        <is>
          <t>250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Free text</t>
        </is>
      </c>
      <c r="I10" s="12" t="inlineStr">
        <is>
          <t>Ana C. Reyes</t>
        </is>
      </c>
      <c r="J10" s="12" t="inlineStr">
        <is>
          <t>csh_unapplied.payor_name</t>
        </is>
      </c>
      <c r="K10" s="12" t="inlineStr">
        <is>
          <t>Not blank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legacy_client_no</t>
        </is>
      </c>
      <c r="C11" s="12" t="inlineStr">
        <is>
          <t>Client if identified</t>
        </is>
      </c>
      <c r="D11" s="12" t="inlineStr">
        <is>
          <t>Code</t>
        </is>
      </c>
      <c r="E11" s="12" t="inlineStr">
        <is>
          <t>30</t>
        </is>
      </c>
      <c r="F11" s="12" t="inlineStr">
        <is>
          <t>N</t>
        </is>
      </c>
      <c r="G11" s="12" t="inlineStr">
        <is>
          <t>legacy_client_no of C01</t>
        </is>
      </c>
      <c r="H11" s="12" t="inlineStr">
        <is>
          <t>As stored in legacy</t>
        </is>
      </c>
      <c r="I11" s="12" t="inlineStr">
        <is>
          <t>Q-0012345</t>
        </is>
      </c>
      <c r="J11" s="12" t="inlineStr">
        <is>
          <t>csh_unapplied.client_code (through xref)</t>
        </is>
      </c>
      <c r="K11" s="12" t="inlineStr">
        <is>
          <t>Client loaded when given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currency</t>
        </is>
      </c>
      <c r="C12" s="12" t="inlineStr">
        <is>
          <t>Currency</t>
        </is>
      </c>
      <c r="D12" s="12" t="inlineStr">
        <is>
          <t>Code</t>
        </is>
      </c>
      <c r="E12" s="12" t="inlineStr">
        <is>
          <t>3</t>
        </is>
      </c>
      <c r="F12" s="12" t="inlineStr">
        <is>
          <t>Y</t>
        </is>
      </c>
      <c r="G12" s="12" t="inlineStr">
        <is>
          <t>ISO 4217</t>
        </is>
      </c>
      <c r="H12" s="12" t="inlineStr">
        <is>
          <t>Upper case</t>
        </is>
      </c>
      <c r="I12" s="12" t="inlineStr">
        <is>
          <t>PHP</t>
        </is>
      </c>
      <c r="J12" s="12" t="inlineStr">
        <is>
          <t>csh_unapplied.currency</t>
        </is>
      </c>
      <c r="K12" s="12" t="inlineStr">
        <is>
          <t>Valid code</t>
        </is>
      </c>
      <c r="L12" s="12" t="inlineStr">
        <is>
          <t>EBIX</t>
        </is>
      </c>
    </row>
    <row r="13">
      <c r="A13" s="12" t="n">
        <v>9</v>
      </c>
      <c r="B13" s="12" t="inlineStr">
        <is>
          <t>amount</t>
        </is>
      </c>
      <c r="C13" s="12" t="inlineStr">
        <is>
          <t>Amount received</t>
        </is>
      </c>
      <c r="D13" s="12" t="inlineStr">
        <is>
          <t>Amount</t>
        </is>
      </c>
      <c r="E13" s="12" t="inlineStr">
        <is>
          <t>19,2</t>
        </is>
      </c>
      <c r="F13" s="12" t="inlineStr">
        <is>
          <t>Y</t>
        </is>
      </c>
      <c r="G13" s="12" t="inlineStr">
        <is>
          <t>-</t>
        </is>
      </c>
      <c r="H13" s="12" t="inlineStr">
        <is>
          <t>Dot decimal, 2 decimals</t>
        </is>
      </c>
      <c r="I13" s="12" t="inlineStr">
        <is>
          <t>5000.00</t>
        </is>
      </c>
      <c r="J13" s="12" t="inlineStr">
        <is>
          <t>csh_unapplied.amount</t>
        </is>
      </c>
      <c r="K13" s="12" t="inlineStr">
        <is>
          <t>Above 0</t>
        </is>
      </c>
      <c r="L13" s="12" t="inlineStr">
        <is>
          <t>EBIX</t>
        </is>
      </c>
    </row>
    <row r="14">
      <c r="A14" s="12" t="n">
        <v>10</v>
      </c>
      <c r="B14" s="12" t="inlineStr">
        <is>
          <t>balance</t>
        </is>
      </c>
      <c r="C14" s="12" t="inlineStr">
        <is>
          <t>Unapplied balance at the freeze</t>
        </is>
      </c>
      <c r="D14" s="12" t="inlineStr">
        <is>
          <t>Amount</t>
        </is>
      </c>
      <c r="E14" s="12" t="inlineStr">
        <is>
          <t>19,2</t>
        </is>
      </c>
      <c r="F14" s="12" t="inlineStr">
        <is>
          <t>Y</t>
        </is>
      </c>
      <c r="G14" s="12" t="inlineStr">
        <is>
          <t>-</t>
        </is>
      </c>
      <c r="H14" s="12" t="inlineStr">
        <is>
          <t>Dot decimal, 2 decimals</t>
        </is>
      </c>
      <c r="I14" s="12" t="inlineStr">
        <is>
          <t>5000.00</t>
        </is>
      </c>
      <c r="J14" s="12" t="inlineStr">
        <is>
          <t>csh_unapplied.balance; MIG_UPP_OPENING</t>
        </is>
      </c>
      <c r="K14" s="12" t="inlineStr">
        <is>
          <t>Above 0 and at most amount</t>
        </is>
      </c>
      <c r="L14" s="12" t="inlineStr">
        <is>
          <t>EBIX</t>
        </is>
      </c>
    </row>
    <row r="15">
      <c r="A15" s="12" t="n">
        <v>11</v>
      </c>
      <c r="B15" s="12" t="inlineStr">
        <is>
          <t>sales_unit_code</t>
        </is>
      </c>
      <c r="C15" s="12" t="inlineStr">
        <is>
          <t>Sales unit</t>
        </is>
      </c>
      <c r="D15" s="12" t="inlineStr">
        <is>
          <t>Code</t>
        </is>
      </c>
      <c r="E15" s="12" t="inlineStr">
        <is>
          <t>20</t>
        </is>
      </c>
      <c r="F15" s="12" t="inlineStr">
        <is>
          <t>N</t>
        </is>
      </c>
      <c r="G15" s="12" t="inlineStr">
        <is>
          <t>Code map SALES_UNIT</t>
        </is>
      </c>
      <c r="H15" s="12" t="inlineStr">
        <is>
          <t>As stored in legacy</t>
        </is>
      </c>
      <c r="I15" s="12" t="inlineStr">
        <is>
          <t>T-RET-07</t>
        </is>
      </c>
      <c r="J15" s="12" t="inlineStr">
        <is>
          <t>csh_unapplied.sales_unit</t>
        </is>
      </c>
      <c r="K15" s="12" t="inlineStr">
        <is>
          <t>Mapped</t>
        </is>
      </c>
      <c r="L15" s="12" t="inlineStr">
        <is>
          <t>EBIX</t>
        </is>
      </c>
    </row>
    <row r="16">
      <c r="A16" s="12" t="n">
        <v>12</v>
      </c>
      <c r="B16" s="12" t="inlineStr">
        <is>
          <t>branch_code</t>
        </is>
      </c>
      <c r="C16" s="12" t="inlineStr">
        <is>
          <t>Branch that received the cash</t>
        </is>
      </c>
      <c r="D16" s="12" t="inlineStr">
        <is>
          <t>Code</t>
        </is>
      </c>
      <c r="E16" s="12" t="inlineStr">
        <is>
          <t>20</t>
        </is>
      </c>
      <c r="F16" s="12" t="inlineStr">
        <is>
          <t>Y</t>
        </is>
      </c>
      <c r="G16" s="12" t="inlineStr">
        <is>
          <t>Code map BRANCH</t>
        </is>
      </c>
      <c r="H16" s="12" t="inlineStr">
        <is>
          <t>As stored in legacy</t>
        </is>
      </c>
      <c r="I16" s="12" t="inlineStr">
        <is>
          <t>MKT01</t>
        </is>
      </c>
      <c r="J16" s="12" t="inlineStr">
        <is>
          <t>csh_unapplied.branch_id</t>
        </is>
      </c>
      <c r="K16" s="12" t="inlineStr">
        <is>
          <t>Mapped</t>
        </is>
      </c>
      <c r="L16" s="12" t="inlineStr">
        <is>
          <t>EBIX</t>
        </is>
      </c>
    </row>
    <row r="17">
      <c r="A17" s="12" t="n">
        <v>13</v>
      </c>
      <c r="B17" s="12" t="inlineStr">
        <is>
          <t>ref_invoice_nos</t>
        </is>
      </c>
      <c r="C17" s="12" t="inlineStr">
        <is>
          <t>Invoice numbers the payor quoted, separated by semicolons</t>
        </is>
      </c>
      <c r="D17" s="12" t="inlineStr">
        <is>
          <t>Text</t>
        </is>
      </c>
      <c r="E17" s="12" t="inlineStr">
        <is>
          <t>400</t>
        </is>
      </c>
      <c r="F17" s="12" t="inlineStr">
        <is>
          <t>N</t>
        </is>
      </c>
      <c r="G17" s="12" t="inlineStr">
        <is>
          <t>-</t>
        </is>
      </c>
      <c r="H17" s="12" t="inlineStr">
        <is>
          <t>NO;NO</t>
        </is>
      </c>
      <c r="I17" s="12" t="inlineStr">
        <is>
          <t>I00123456</t>
        </is>
      </c>
      <c r="J17" s="12" t="inlineStr">
        <is>
          <t>csh_unapplied.match_refs (new)</t>
        </is>
      </c>
      <c r="K17" s="12" t="inlineStr">
        <is>
          <t>At least one ref_ field is recommended</t>
        </is>
      </c>
      <c r="L17" s="12" t="inlineStr">
        <is>
          <t>EBIX</t>
        </is>
      </c>
    </row>
    <row r="18">
      <c r="A18" s="12" t="n">
        <v>14</v>
      </c>
      <c r="B18" s="12" t="inlineStr">
        <is>
          <t>ref_cover_nos</t>
        </is>
      </c>
      <c r="C18" s="12" t="inlineStr">
        <is>
          <t>Cover or policy numbers quoted</t>
        </is>
      </c>
      <c r="D18" s="12" t="inlineStr">
        <is>
          <t>Text</t>
        </is>
      </c>
      <c r="E18" s="12" t="inlineStr">
        <is>
          <t>400</t>
        </is>
      </c>
      <c r="F18" s="12" t="inlineStr">
        <is>
          <t>N</t>
        </is>
      </c>
      <c r="G18" s="12" t="inlineStr">
        <is>
          <t>-</t>
        </is>
      </c>
      <c r="H18" s="12" t="inlineStr">
        <is>
          <t>NO;NO</t>
        </is>
      </c>
      <c r="I18" s="12" t="inlineStr">
        <is>
          <t>C-2026-004512</t>
        </is>
      </c>
      <c r="J18" s="12" t="inlineStr">
        <is>
          <t>csh_unapplied.match_refs (new)</t>
        </is>
      </c>
      <c r="K18" s="12" t="inlineStr">
        <is>
          <t>-</t>
        </is>
      </c>
      <c r="L18" s="12" t="inlineStr">
        <is>
          <t>EBIX</t>
        </is>
      </c>
    </row>
    <row r="19">
      <c r="A19" s="12" t="n">
        <v>15</v>
      </c>
      <c r="B19" s="12" t="inlineStr">
        <is>
          <t>ref_pn_nos</t>
        </is>
      </c>
      <c r="C19" s="12" t="inlineStr">
        <is>
          <t>PN numbers quoted</t>
        </is>
      </c>
      <c r="D19" s="12" t="inlineStr">
        <is>
          <t>Text</t>
        </is>
      </c>
      <c r="E19" s="12" t="inlineStr">
        <is>
          <t>400</t>
        </is>
      </c>
      <c r="F19" s="12" t="inlineStr">
        <is>
          <t>N</t>
        </is>
      </c>
      <c r="G19" s="12" t="inlineStr">
        <is>
          <t>-</t>
        </is>
      </c>
      <c r="H19" s="12" t="inlineStr">
        <is>
          <t>PN;PN</t>
        </is>
      </c>
      <c r="I19" s="12" t="inlineStr">
        <is>
          <t>PN-2019-000123</t>
        </is>
      </c>
      <c r="J19" s="12" t="inlineStr">
        <is>
          <t>csh_unapplied.match_refs (new)</t>
        </is>
      </c>
      <c r="K19" s="12" t="inlineStr">
        <is>
          <t>-</t>
        </is>
      </c>
      <c r="L19" s="12" t="inlineStr">
        <is>
          <t>EBIX</t>
        </is>
      </c>
    </row>
    <row r="20">
      <c r="A20" s="12" t="n">
        <v>16</v>
      </c>
      <c r="B20" s="12" t="inlineStr">
        <is>
          <t>ref_bank_reference</t>
        </is>
      </c>
      <c r="C20" s="12" t="inlineStr">
        <is>
          <t>Bank or payment file reference</t>
        </is>
      </c>
      <c r="D20" s="12" t="inlineStr">
        <is>
          <t>Text</t>
        </is>
      </c>
      <c r="E20" s="12" t="inlineStr">
        <is>
          <t>80</t>
        </is>
      </c>
      <c r="F20" s="12" t="inlineStr">
        <is>
          <t>N</t>
        </is>
      </c>
      <c r="G20" s="12" t="inlineStr">
        <is>
          <t>-</t>
        </is>
      </c>
      <c r="H20" s="12" t="inlineStr">
        <is>
          <t>As in the payment file</t>
        </is>
      </c>
      <c r="I20" s="12" t="inlineStr">
        <is>
          <t>DC20260714-000981</t>
        </is>
      </c>
      <c r="J20" s="12" t="inlineStr">
        <is>
          <t>csh_unapplied.match_refs (new)</t>
        </is>
      </c>
      <c r="K20" s="12" t="inlineStr">
        <is>
          <t>-</t>
        </is>
      </c>
      <c r="L20" s="12" t="inlineStr">
        <is>
          <t>EBIX, CMS</t>
        </is>
      </c>
    </row>
    <row r="21">
      <c r="A21" s="12" t="n">
        <v>17</v>
      </c>
      <c r="B21" s="12" t="inlineStr">
        <is>
          <t>legacy_status</t>
        </is>
      </c>
      <c r="C21" s="12" t="inlineStr">
        <is>
          <t>UPP status in legacy</t>
        </is>
      </c>
      <c r="D21" s="12" t="inlineStr">
        <is>
          <t>Code</t>
        </is>
      </c>
      <c r="E21" s="12" t="inlineStr">
        <is>
          <t>30</t>
        </is>
      </c>
      <c r="F21" s="12" t="inlineStr">
        <is>
          <t>Y</t>
        </is>
      </c>
      <c r="G21" s="12" t="inlineStr">
        <is>
          <t>Code map STATUS:UPP (to Unapplied, Monitoring, For Approval)</t>
        </is>
      </c>
      <c r="H21" s="12" t="inlineStr">
        <is>
          <t>As stored in legacy</t>
        </is>
      </c>
      <c r="I21" s="12" t="inlineStr">
        <is>
          <t>FOR_MONITORING</t>
        </is>
      </c>
      <c r="J21" s="12" t="inlineStr">
        <is>
          <t>csh_unapplied.stage</t>
        </is>
      </c>
      <c r="K21" s="12" t="inlineStr">
        <is>
          <t>Mapped</t>
        </is>
      </c>
      <c r="L21" s="12" t="inlineStr">
        <is>
          <t>EBIX</t>
        </is>
      </c>
    </row>
    <row r="22">
      <c r="A22" s="12" t="n">
        <v>18</v>
      </c>
      <c r="B22" s="12" t="inlineStr">
        <is>
          <t>disposition_type</t>
        </is>
      </c>
      <c r="C22" s="12" t="inlineStr">
        <is>
          <t>Disposition in progress in legacy</t>
        </is>
      </c>
      <c r="D22" s="12" t="inlineStr">
        <is>
          <t>Code</t>
        </is>
      </c>
      <c r="E22" s="12" t="inlineStr">
        <is>
          <t>40</t>
        </is>
      </c>
      <c r="F22" s="12" t="inlineStr">
        <is>
          <t>N</t>
        </is>
      </c>
      <c r="G22" s="12" t="inlineStr">
        <is>
          <t>Code map DISPOSITION_TYPE</t>
        </is>
      </c>
      <c r="H22" s="12" t="inlineStr">
        <is>
          <t>As stored in legacy</t>
        </is>
      </c>
      <c r="I22" s="12" t="inlineStr">
        <is>
          <t>REFUND</t>
        </is>
      </c>
      <c r="J22" s="12" t="inlineStr">
        <is>
          <t>Disposition of the item</t>
        </is>
      </c>
      <c r="K22" s="12" t="inlineStr">
        <is>
          <t>Mapped</t>
        </is>
      </c>
      <c r="L22" s="12" t="inlineStr">
        <is>
          <t>EBIX</t>
        </is>
      </c>
    </row>
    <row r="23">
      <c r="A23" s="12" t="n">
        <v>19</v>
      </c>
      <c r="B23" s="12" t="inlineStr">
        <is>
          <t>disposition_status</t>
        </is>
      </c>
      <c r="C23" s="12" t="inlineStr">
        <is>
          <t>Status of the disposition</t>
        </is>
      </c>
      <c r="D23" s="12" t="inlineStr">
        <is>
          <t>Code</t>
        </is>
      </c>
      <c r="E23" s="12" t="inlineStr">
        <is>
          <t>20</t>
        </is>
      </c>
      <c r="F23" s="12" t="inlineStr">
        <is>
          <t>C</t>
        </is>
      </c>
      <c r="G23" s="12" t="inlineStr">
        <is>
          <t>MONITORING, FOR_APPROVAL, IN_PROCESS</t>
        </is>
      </c>
      <c r="H23" s="12" t="inlineStr">
        <is>
          <t>Upper case</t>
        </is>
      </c>
      <c r="I23" s="12" t="inlineStr">
        <is>
          <t>FOR_APPROVAL</t>
        </is>
      </c>
      <c r="J23" s="12" t="inlineStr">
        <is>
          <t>Disposition status</t>
        </is>
      </c>
      <c r="K23" s="12" t="inlineStr">
        <is>
          <t>Mandatory when disposition_type is given</t>
        </is>
      </c>
      <c r="L23" s="12" t="inlineStr">
        <is>
          <t>EBIX</t>
        </is>
      </c>
    </row>
    <row r="24">
      <c r="A24" s="12" t="n">
        <v>20</v>
      </c>
      <c r="B24" s="12" t="inlineStr">
        <is>
          <t>disposition_details</t>
        </is>
      </c>
      <c r="C24" s="12" t="inlineStr">
        <is>
          <t>Details (target invoice, refund payee, amount)</t>
        </is>
      </c>
      <c r="D24" s="12" t="inlineStr">
        <is>
          <t>Text</t>
        </is>
      </c>
      <c r="E24" s="12" t="inlineStr">
        <is>
          <t>500</t>
        </is>
      </c>
      <c r="F24" s="12" t="inlineStr">
        <is>
          <t>N</t>
        </is>
      </c>
      <c r="G24" s="12" t="inlineStr">
        <is>
          <t>-</t>
        </is>
      </c>
      <c r="H24" s="12" t="inlineStr">
        <is>
          <t>Free text</t>
        </is>
      </c>
      <c r="I24" s="12" t="inlineStr">
        <is>
          <t>Refund to CTA 001234567890</t>
        </is>
      </c>
      <c r="J24" s="12" t="inlineStr">
        <is>
          <t>Disposition details</t>
        </is>
      </c>
      <c r="K24" s="12" t="inlineStr">
        <is>
          <t>-</t>
        </is>
      </c>
      <c r="L24" s="12" t="inlineStr">
        <is>
          <t>EBIX</t>
        </is>
      </c>
    </row>
    <row r="25">
      <c r="A25" s="12" t="n">
        <v>21</v>
      </c>
      <c r="B25" s="12" t="inlineStr">
        <is>
          <t>remarks</t>
        </is>
      </c>
      <c r="C25" s="12" t="inlineStr">
        <is>
          <t>Legacy remarks</t>
        </is>
      </c>
      <c r="D25" s="12" t="inlineStr">
        <is>
          <t>Text</t>
        </is>
      </c>
      <c r="E25" s="12" t="inlineStr">
        <is>
          <t>250</t>
        </is>
      </c>
      <c r="F25" s="12" t="inlineStr">
        <is>
          <t>N</t>
        </is>
      </c>
      <c r="G25" s="12" t="inlineStr">
        <is>
          <t>-</t>
        </is>
      </c>
      <c r="H25" s="12" t="inlineStr">
        <is>
          <t>Free text</t>
        </is>
      </c>
      <c r="I25" s="12" t="inlineStr">
        <is>
          <t>Client to confirm invoice</t>
        </is>
      </c>
      <c r="J25" s="12" t="inlineStr">
        <is>
          <t>csh_unapplied.remarks</t>
        </is>
      </c>
      <c r="K25" s="12" t="inlineStr">
        <is>
          <t>-</t>
        </is>
      </c>
      <c r="L25" s="12" t="inlineStr">
        <is>
          <t>EBIX</t>
        </is>
      </c>
    </row>
  </sheetData>
  <autoFilter ref="A4:L25"/>
  <mergeCells count="1">
    <mergeCell ref="A2:L2"/>
  </mergeCells>
  <conditionalFormatting sqref="A5:L525">
    <cfRule type="expression" priority="1" dxfId="3">
      <formula>AND(MOD(ROW(),2)=0,$A5&lt;&gt;"")</formula>
    </cfRule>
  </conditionalFormatting>
  <dataValidations count="2">
    <dataValidation sqref="D5:D525" showDropDown="0" showInputMessage="0" showErrorMessage="1" allowBlank="1" errorTitle="Type" error="Choose a value from the list (Type)." type="list">
      <formula1>'_lists'!$AR$1:$AR$8</formula1>
    </dataValidation>
    <dataValidation sqref="F5:F525" showDropDown="0" showInputMessage="0" showErrorMessage="1" allowBlank="1" errorTitle="Mandatory" error="Choose a value from the list (Mandatory)." type="list">
      <formula1>'_lists'!$AS$1:$AS$3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F03 Open collection state</t>
        </is>
      </c>
    </row>
    <row r="2">
      <c r="A2" s="24" t="inlineStr">
        <is>
          <t>Layout F03 of object F03; key: legacy_invoice_no, record_type, seq_no; template templates/F03_template.csv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legacy_invoice_no</t>
        </is>
      </c>
      <c r="C5" s="12" t="inlineStr">
        <is>
          <t>Invoice the follow-up belongs to</t>
        </is>
      </c>
      <c r="D5" s="12" t="inlineStr">
        <is>
          <t>Code</t>
        </is>
      </c>
      <c r="E5" s="12" t="inlineStr">
        <is>
          <t>40</t>
        </is>
      </c>
      <c r="F5" s="12" t="inlineStr">
        <is>
          <t>Y</t>
        </is>
      </c>
      <c r="G5" s="12" t="inlineStr">
        <is>
          <t>legacy_invoice_no of F01</t>
        </is>
      </c>
      <c r="H5" s="12" t="inlineStr">
        <is>
          <t>As in F01</t>
        </is>
      </c>
      <c r="I5" s="12" t="inlineStr">
        <is>
          <t>I00123456</t>
        </is>
      </c>
      <c r="J5" s="12" t="inlineStr">
        <is>
          <t>Collections item (through the ledger)</t>
        </is>
      </c>
      <c r="K5" s="12" t="inlineStr">
        <is>
          <t>Exists in F01</t>
        </is>
      </c>
      <c r="L5" s="12" t="inlineStr">
        <is>
          <t>CMS</t>
        </is>
      </c>
    </row>
    <row r="6">
      <c r="A6" s="12" t="n">
        <v>2</v>
      </c>
      <c r="B6" s="12" t="inlineStr">
        <is>
          <t>record_type</t>
        </is>
      </c>
      <c r="C6" s="12" t="inlineStr">
        <is>
          <t>Kind of row</t>
        </is>
      </c>
      <c r="D6" s="12" t="inlineStr">
        <is>
          <t>Code</t>
        </is>
      </c>
      <c r="E6" s="12" t="inlineStr">
        <is>
          <t>12</t>
        </is>
      </c>
      <c r="F6" s="12" t="inlineStr">
        <is>
          <t>Y</t>
        </is>
      </c>
      <c r="G6" s="12" t="inlineStr">
        <is>
          <t>DISPOSITION, PROMISE, INSTALLMENT, ASSIGNMENT</t>
        </is>
      </c>
      <c r="H6" s="12" t="inlineStr">
        <is>
          <t>Upper case</t>
        </is>
      </c>
      <c r="I6" s="12" t="inlineStr">
        <is>
          <t>PROMISE</t>
        </is>
      </c>
      <c r="J6" s="12" t="inlineStr">
        <is>
          <t>Collections legacy state (V1007)</t>
        </is>
      </c>
      <c r="K6" s="12" t="inlineStr">
        <is>
          <t>In the list</t>
        </is>
      </c>
      <c r="L6" s="12" t="inlineStr">
        <is>
          <t>CMS</t>
        </is>
      </c>
    </row>
    <row r="7">
      <c r="A7" s="12" t="n">
        <v>3</v>
      </c>
      <c r="B7" s="12" t="inlineStr">
        <is>
          <t>seq_no</t>
        </is>
      </c>
      <c r="C7" s="12" t="inlineStr">
        <is>
          <t>Sequence within the invoice and record type</t>
        </is>
      </c>
      <c r="D7" s="12" t="inlineStr">
        <is>
          <t>Integer</t>
        </is>
      </c>
      <c r="E7" s="12" t="inlineStr">
        <is>
          <t>3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Digits</t>
        </is>
      </c>
      <c r="I7" s="12" t="inlineStr">
        <is>
          <t>1</t>
        </is>
      </c>
      <c r="J7" s="12" t="inlineStr">
        <is>
          <t>-</t>
        </is>
      </c>
      <c r="K7" s="12" t="inlineStr">
        <is>
          <t>Unique per invoice and record type</t>
        </is>
      </c>
      <c r="L7" s="12" t="inlineStr">
        <is>
          <t>CMS</t>
        </is>
      </c>
    </row>
    <row r="8">
      <c r="A8" s="12" t="n">
        <v>4</v>
      </c>
      <c r="B8" s="12" t="inlineStr">
        <is>
          <t>disposition_code</t>
        </is>
      </c>
      <c r="C8" s="12" t="inlineStr">
        <is>
          <t>Latest disposition</t>
        </is>
      </c>
      <c r="D8" s="12" t="inlineStr">
        <is>
          <t>Code</t>
        </is>
      </c>
      <c r="E8" s="12" t="inlineStr">
        <is>
          <t>40</t>
        </is>
      </c>
      <c r="F8" s="12" t="inlineStr">
        <is>
          <t>C</t>
        </is>
      </c>
      <c r="G8" s="12" t="inlineStr">
        <is>
          <t>Code map DISPOSITION_CLX</t>
        </is>
      </c>
      <c r="H8" s="12" t="inlineStr">
        <is>
          <t>As stored in legacy</t>
        </is>
      </c>
      <c r="I8" s="12" t="inlineStr">
        <is>
          <t>PTP</t>
        </is>
      </c>
      <c r="J8" s="12" t="inlineStr">
        <is>
          <t>Item disposition</t>
        </is>
      </c>
      <c r="K8" s="12" t="inlineStr">
        <is>
          <t>Mandatory for DISPOSITION; mapped</t>
        </is>
      </c>
      <c r="L8" s="12" t="inlineStr">
        <is>
          <t>CMS</t>
        </is>
      </c>
    </row>
    <row r="9">
      <c r="A9" s="12" t="n">
        <v>5</v>
      </c>
      <c r="B9" s="12" t="inlineStr">
        <is>
          <t>disposition_date</t>
        </is>
      </c>
      <c r="C9" s="12" t="inlineStr">
        <is>
          <t>Date of the disposition</t>
        </is>
      </c>
      <c r="D9" s="12" t="inlineStr">
        <is>
          <t>Date</t>
        </is>
      </c>
      <c r="E9" s="12" t="inlineStr">
        <is>
          <t>10</t>
        </is>
      </c>
      <c r="F9" s="12" t="inlineStr">
        <is>
          <t>C</t>
        </is>
      </c>
      <c r="G9" s="12" t="inlineStr">
        <is>
          <t>-</t>
        </is>
      </c>
      <c r="H9" s="12" t="inlineStr">
        <is>
          <t>yyyy-MM-dd</t>
        </is>
      </c>
      <c r="I9" s="12" t="inlineStr">
        <is>
          <t>2027-12-20</t>
        </is>
      </c>
      <c r="J9" s="12" t="inlineStr">
        <is>
          <t>Item disposition date</t>
        </is>
      </c>
      <c r="K9" s="12" t="inlineStr">
        <is>
          <t>Mandatory for DISPOSITION</t>
        </is>
      </c>
      <c r="L9" s="12" t="inlineStr">
        <is>
          <t>CMS</t>
        </is>
      </c>
    </row>
    <row r="10">
      <c r="A10" s="12" t="n">
        <v>6</v>
      </c>
      <c r="B10" s="12" t="inlineStr">
        <is>
          <t>promise_date</t>
        </is>
      </c>
      <c r="C10" s="12" t="inlineStr">
        <is>
          <t>Promised payment date</t>
        </is>
      </c>
      <c r="D10" s="12" t="inlineStr">
        <is>
          <t>Date</t>
        </is>
      </c>
      <c r="E10" s="12" t="inlineStr">
        <is>
          <t>10</t>
        </is>
      </c>
      <c r="F10" s="12" t="inlineStr">
        <is>
          <t>C</t>
        </is>
      </c>
      <c r="G10" s="12" t="inlineStr">
        <is>
          <t>-</t>
        </is>
      </c>
      <c r="H10" s="12" t="inlineStr">
        <is>
          <t>yyyy-MM-dd</t>
        </is>
      </c>
      <c r="I10" s="12" t="inlineStr">
        <is>
          <t>2028-01-14</t>
        </is>
      </c>
      <c r="J10" s="12" t="inlineStr">
        <is>
          <t>Promise to pay</t>
        </is>
      </c>
      <c r="K10" s="12" t="inlineStr">
        <is>
          <t>Mandatory for PROMISE</t>
        </is>
      </c>
      <c r="L10" s="12" t="inlineStr">
        <is>
          <t>CMS</t>
        </is>
      </c>
    </row>
    <row r="11">
      <c r="A11" s="12" t="n">
        <v>7</v>
      </c>
      <c r="B11" s="12" t="inlineStr">
        <is>
          <t>promise_amount</t>
        </is>
      </c>
      <c r="C11" s="12" t="inlineStr">
        <is>
          <t>Promised amount</t>
        </is>
      </c>
      <c r="D11" s="12" t="inlineStr">
        <is>
          <t>Amount</t>
        </is>
      </c>
      <c r="E11" s="12" t="inlineStr">
        <is>
          <t>19,2</t>
        </is>
      </c>
      <c r="F11" s="12" t="inlineStr">
        <is>
          <t>C</t>
        </is>
      </c>
      <c r="G11" s="12" t="inlineStr">
        <is>
          <t>-</t>
        </is>
      </c>
      <c r="H11" s="12" t="inlineStr">
        <is>
          <t>Dot decimal, 2 decimals</t>
        </is>
      </c>
      <c r="I11" s="12" t="inlineStr">
        <is>
          <t>6000.00</t>
        </is>
      </c>
      <c r="J11" s="12" t="inlineStr">
        <is>
          <t>Promise to pay</t>
        </is>
      </c>
      <c r="K11" s="12" t="inlineStr">
        <is>
          <t>Mandatory for PROMISE; at most the open PR</t>
        </is>
      </c>
      <c r="L11" s="12" t="inlineStr">
        <is>
          <t>CMS</t>
        </is>
      </c>
    </row>
    <row r="12">
      <c r="A12" s="12" t="n">
        <v>8</v>
      </c>
      <c r="B12" s="12" t="inlineStr">
        <is>
          <t>installment_no</t>
        </is>
      </c>
      <c r="C12" s="12" t="inlineStr">
        <is>
          <t>Installment number</t>
        </is>
      </c>
      <c r="D12" s="12" t="inlineStr">
        <is>
          <t>Integer</t>
        </is>
      </c>
      <c r="E12" s="12" t="inlineStr">
        <is>
          <t>3</t>
        </is>
      </c>
      <c r="F12" s="12" t="inlineStr">
        <is>
          <t>C</t>
        </is>
      </c>
      <c r="G12" s="12" t="inlineStr">
        <is>
          <t>-</t>
        </is>
      </c>
      <c r="H12" s="12" t="inlineStr">
        <is>
          <t>Digits</t>
        </is>
      </c>
      <c r="I12" s="12" t="inlineStr">
        <is>
          <t>2</t>
        </is>
      </c>
      <c r="J12" s="12" t="inlineStr">
        <is>
          <t>Installment plan</t>
        </is>
      </c>
      <c r="K12" s="12" t="inlineStr">
        <is>
          <t>Mandatory for INSTALLMENT</t>
        </is>
      </c>
      <c r="L12" s="12" t="inlineStr">
        <is>
          <t>CMS</t>
        </is>
      </c>
    </row>
    <row r="13">
      <c r="A13" s="12" t="n">
        <v>9</v>
      </c>
      <c r="B13" s="12" t="inlineStr">
        <is>
          <t>installment_due</t>
        </is>
      </c>
      <c r="C13" s="12" t="inlineStr">
        <is>
          <t>Installment due date</t>
        </is>
      </c>
      <c r="D13" s="12" t="inlineStr">
        <is>
          <t>Date</t>
        </is>
      </c>
      <c r="E13" s="12" t="inlineStr">
        <is>
          <t>10</t>
        </is>
      </c>
      <c r="F13" s="12" t="inlineStr">
        <is>
          <t>C</t>
        </is>
      </c>
      <c r="G13" s="12" t="inlineStr">
        <is>
          <t>-</t>
        </is>
      </c>
      <c r="H13" s="12" t="inlineStr">
        <is>
          <t>yyyy-MM-dd</t>
        </is>
      </c>
      <c r="I13" s="12" t="inlineStr">
        <is>
          <t>2028-01-15</t>
        </is>
      </c>
      <c r="J13" s="12" t="inlineStr">
        <is>
          <t>Installment plan</t>
        </is>
      </c>
      <c r="K13" s="12" t="inlineStr">
        <is>
          <t>Mandatory for INSTALLMENT</t>
        </is>
      </c>
      <c r="L13" s="12" t="inlineStr">
        <is>
          <t>CMS</t>
        </is>
      </c>
    </row>
    <row r="14">
      <c r="A14" s="12" t="n">
        <v>10</v>
      </c>
      <c r="B14" s="12" t="inlineStr">
        <is>
          <t>installment_amount</t>
        </is>
      </c>
      <c r="C14" s="12" t="inlineStr">
        <is>
          <t>Installment amount</t>
        </is>
      </c>
      <c r="D14" s="12" t="inlineStr">
        <is>
          <t>Amount</t>
        </is>
      </c>
      <c r="E14" s="12" t="inlineStr">
        <is>
          <t>19,2</t>
        </is>
      </c>
      <c r="F14" s="12" t="inlineStr">
        <is>
          <t>C</t>
        </is>
      </c>
      <c r="G14" s="12" t="inlineStr">
        <is>
          <t>-</t>
        </is>
      </c>
      <c r="H14" s="12" t="inlineStr">
        <is>
          <t>Dot decimal, 2 decimals</t>
        </is>
      </c>
      <c r="I14" s="12" t="inlineStr">
        <is>
          <t>3000.00</t>
        </is>
      </c>
      <c r="J14" s="12" t="inlineStr">
        <is>
          <t>Installment plan</t>
        </is>
      </c>
      <c r="K14" s="12" t="inlineStr">
        <is>
          <t>Mandatory for INSTALLMENT</t>
        </is>
      </c>
      <c r="L14" s="12" t="inlineStr">
        <is>
          <t>CMS</t>
        </is>
      </c>
    </row>
    <row r="15">
      <c r="A15" s="12" t="n">
        <v>11</v>
      </c>
      <c r="B15" s="12" t="inlineStr">
        <is>
          <t>collector_user_id</t>
        </is>
      </c>
      <c r="C15" s="12" t="inlineStr">
        <is>
          <t>Assigned collector</t>
        </is>
      </c>
      <c r="D15" s="12" t="inlineStr">
        <is>
          <t>Code</t>
        </is>
      </c>
      <c r="E15" s="12" t="inlineStr">
        <is>
          <t>50</t>
        </is>
      </c>
      <c r="F15" s="12" t="inlineStr">
        <is>
          <t>C</t>
        </is>
      </c>
      <c r="G15" s="12" t="inlineStr">
        <is>
          <t>Code map USER</t>
        </is>
      </c>
      <c r="H15" s="12" t="inlineStr">
        <is>
          <t>As stored in legacy</t>
        </is>
      </c>
      <c r="I15" s="12" t="inlineStr">
        <is>
          <t>jgarcia</t>
        </is>
      </c>
      <c r="J15" s="12" t="inlineStr">
        <is>
          <t>Item assignment</t>
        </is>
      </c>
      <c r="K15" s="12" t="inlineStr">
        <is>
          <t>Mandatory for ASSIGNMENT; mapped</t>
        </is>
      </c>
      <c r="L15" s="12" t="inlineStr">
        <is>
          <t>CMS</t>
        </is>
      </c>
    </row>
    <row r="16">
      <c r="A16" s="12" t="n">
        <v>12</v>
      </c>
      <c r="B16" s="12" t="inlineStr">
        <is>
          <t>remarks</t>
        </is>
      </c>
      <c r="C16" s="12" t="inlineStr">
        <is>
          <t>Collector remarks</t>
        </is>
      </c>
      <c r="D16" s="12" t="inlineStr">
        <is>
          <t>Text</t>
        </is>
      </c>
      <c r="E16" s="12" t="inlineStr">
        <is>
          <t>500</t>
        </is>
      </c>
      <c r="F16" s="12" t="inlineStr">
        <is>
          <t>N</t>
        </is>
      </c>
      <c r="G16" s="12" t="inlineStr">
        <is>
          <t>-</t>
        </is>
      </c>
      <c r="H16" s="12" t="inlineStr">
        <is>
          <t>Free text</t>
        </is>
      </c>
      <c r="I16" s="12" t="inlineStr">
        <is>
          <t>Client will pay after salary</t>
        </is>
      </c>
      <c r="J16" s="12" t="inlineStr">
        <is>
          <t>Item remarks</t>
        </is>
      </c>
      <c r="K16" s="12" t="inlineStr">
        <is>
          <t>-</t>
        </is>
      </c>
      <c r="L16" s="12" t="inlineStr">
        <is>
          <t>CMS</t>
        </is>
      </c>
    </row>
  </sheetData>
  <autoFilter ref="A4:L16"/>
  <mergeCells count="1">
    <mergeCell ref="A2:L2"/>
  </mergeCells>
  <conditionalFormatting sqref="A5:L516">
    <cfRule type="expression" priority="1" dxfId="3">
      <formula>AND(MOD(ROW(),2)=0,$A5&lt;&gt;"")</formula>
    </cfRule>
  </conditionalFormatting>
  <dataValidations count="2">
    <dataValidation sqref="D5:D516" showDropDown="0" showInputMessage="0" showErrorMessage="1" allowBlank="1" errorTitle="Type" error="Choose a value from the list (Type)." type="list">
      <formula1>'_lists'!$AT$1:$AT$8</formula1>
    </dataValidation>
    <dataValidation sqref="F5:F516" showDropDown="0" showInputMessage="0" showErrorMessage="1" allowBlank="1" errorTitle="Mandatory" error="Choose a value from the list (Mandatory)." type="list">
      <formula1>'_lists'!$AU$1:$AU$3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F04 Remittance in flight</t>
        </is>
      </c>
    </row>
    <row r="2">
      <c r="A2" s="24" t="inlineStr">
        <is>
          <t>Layout F04 of object F04; key: legacy_batch_no, legacy_invoice_no; template templates/F04_template.csv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record_type</t>
        </is>
      </c>
      <c r="C5" s="12" t="inlineStr">
        <is>
          <t>Kind of row</t>
        </is>
      </c>
      <c r="D5" s="12" t="inlineStr">
        <is>
          <t>Code</t>
        </is>
      </c>
      <c r="E5" s="12" t="inlineStr">
        <is>
          <t>10</t>
        </is>
      </c>
      <c r="F5" s="12" t="inlineStr">
        <is>
          <t>Y</t>
        </is>
      </c>
      <c r="G5" s="12" t="inlineStr">
        <is>
          <t>HOLD, SPECIAL, BATCH</t>
        </is>
      </c>
      <c r="H5" s="12" t="inlineStr">
        <is>
          <t>Upper case</t>
        </is>
      </c>
      <c r="I5" s="12" t="inlineStr">
        <is>
          <t>HOLD</t>
        </is>
      </c>
      <c r="J5" s="12" t="inlineStr">
        <is>
          <t>rem_hold_request / rem_special_request</t>
        </is>
      </c>
      <c r="K5" s="12" t="inlineStr">
        <is>
          <t>In the list</t>
        </is>
      </c>
      <c r="L5" s="12" t="inlineStr">
        <is>
          <t>EBIX remittance</t>
        </is>
      </c>
    </row>
    <row r="6">
      <c r="A6" s="12" t="n">
        <v>2</v>
      </c>
      <c r="B6" s="12" t="inlineStr">
        <is>
          <t>legacy_batch_no</t>
        </is>
      </c>
      <c r="C6" s="12" t="inlineStr">
        <is>
          <t>Legacy remittance batch number (BATCH, SPECIAL)</t>
        </is>
      </c>
      <c r="D6" s="12" t="inlineStr">
        <is>
          <t>Text</t>
        </is>
      </c>
      <c r="E6" s="12" t="inlineStr">
        <is>
          <t>40</t>
        </is>
      </c>
      <c r="F6" s="12" t="inlineStr">
        <is>
          <t>C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RB-2026-0877</t>
        </is>
      </c>
      <c r="J6" s="12" t="inlineStr">
        <is>
          <t>Remittance reference</t>
        </is>
      </c>
      <c r="K6" s="12" t="inlineStr">
        <is>
          <t>Mandatory for BATCH and SPECIAL</t>
        </is>
      </c>
      <c r="L6" s="12" t="inlineStr">
        <is>
          <t>EBIX</t>
        </is>
      </c>
    </row>
    <row r="7">
      <c r="A7" s="12" t="n">
        <v>3</v>
      </c>
      <c r="B7" s="12" t="inlineStr">
        <is>
          <t>insurer_code</t>
        </is>
      </c>
      <c r="C7" s="12" t="inlineStr">
        <is>
          <t>Insurer</t>
        </is>
      </c>
      <c r="D7" s="12" t="inlineStr">
        <is>
          <t>Code</t>
        </is>
      </c>
      <c r="E7" s="12" t="inlineStr">
        <is>
          <t>30</t>
        </is>
      </c>
      <c r="F7" s="12" t="inlineStr">
        <is>
          <t>Y</t>
        </is>
      </c>
      <c r="G7" s="12" t="inlineStr">
        <is>
          <t>Code map INSURER</t>
        </is>
      </c>
      <c r="H7" s="12" t="inlineStr">
        <is>
          <t>As stored in legacy</t>
        </is>
      </c>
      <c r="I7" s="12" t="inlineStr">
        <is>
          <t>MAL</t>
        </is>
      </c>
      <c r="J7" s="12" t="inlineStr">
        <is>
          <t>Remittance insurer</t>
        </is>
      </c>
      <c r="K7" s="12" t="inlineStr">
        <is>
          <t>Mapped</t>
        </is>
      </c>
      <c r="L7" s="12" t="inlineStr">
        <is>
          <t>EBIX</t>
        </is>
      </c>
    </row>
    <row r="8">
      <c r="A8" s="12" t="n">
        <v>4</v>
      </c>
      <c r="B8" s="12" t="inlineStr">
        <is>
          <t>legacy_invoice_no</t>
        </is>
      </c>
      <c r="C8" s="12" t="inlineStr">
        <is>
          <t>Invoice of the line</t>
        </is>
      </c>
      <c r="D8" s="12" t="inlineStr">
        <is>
          <t>Code</t>
        </is>
      </c>
      <c r="E8" s="12" t="inlineStr">
        <is>
          <t>40</t>
        </is>
      </c>
      <c r="F8" s="12" t="inlineStr">
        <is>
          <t>Y</t>
        </is>
      </c>
      <c r="G8" s="12" t="inlineStr">
        <is>
          <t>legacy_invoice_no of F01</t>
        </is>
      </c>
      <c r="H8" s="12" t="inlineStr">
        <is>
          <t>As in F01</t>
        </is>
      </c>
      <c r="I8" s="12" t="inlineStr">
        <is>
          <t>I00123456</t>
        </is>
      </c>
      <c r="J8" s="12" t="inlineStr">
        <is>
          <t>Remittance line invoice</t>
        </is>
      </c>
      <c r="K8" s="12" t="inlineStr">
        <is>
          <t>Exists in F01</t>
        </is>
      </c>
      <c r="L8" s="12" t="inlineStr">
        <is>
          <t>EBIX</t>
        </is>
      </c>
    </row>
    <row r="9">
      <c r="A9" s="12" t="n">
        <v>5</v>
      </c>
      <c r="B9" s="12" t="inlineStr">
        <is>
          <t>currency</t>
        </is>
      </c>
      <c r="C9" s="12" t="inlineStr">
        <is>
          <t>Currency</t>
        </is>
      </c>
      <c r="D9" s="12" t="inlineStr">
        <is>
          <t>Code</t>
        </is>
      </c>
      <c r="E9" s="12" t="inlineStr">
        <is>
          <t>3</t>
        </is>
      </c>
      <c r="F9" s="12" t="inlineStr">
        <is>
          <t>Y</t>
        </is>
      </c>
      <c r="G9" s="12" t="inlineStr">
        <is>
          <t>ISO 4217</t>
        </is>
      </c>
      <c r="H9" s="12" t="inlineStr">
        <is>
          <t>Upper case</t>
        </is>
      </c>
      <c r="I9" s="12" t="inlineStr">
        <is>
          <t>PHP</t>
        </is>
      </c>
      <c r="J9" s="12" t="inlineStr">
        <is>
          <t>Remittance currency</t>
        </is>
      </c>
      <c r="K9" s="12" t="inlineStr">
        <is>
          <t>Valid code</t>
        </is>
      </c>
      <c r="L9" s="12" t="inlineStr">
        <is>
          <t>EBIX</t>
        </is>
      </c>
    </row>
    <row r="10">
      <c r="A10" s="12" t="n">
        <v>6</v>
      </c>
      <c r="B10" s="12" t="inlineStr">
        <is>
          <t>amount</t>
        </is>
      </c>
      <c r="C10" s="12" t="inlineStr">
        <is>
          <t>Amount held or to remit</t>
        </is>
      </c>
      <c r="D10" s="12" t="inlineStr">
        <is>
          <t>Amount</t>
        </is>
      </c>
      <c r="E10" s="12" t="inlineStr">
        <is>
          <t>19,2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Dot decimal, 2 decimals</t>
        </is>
      </c>
      <c r="I10" s="12" t="inlineStr">
        <is>
          <t>21671.25</t>
        </is>
      </c>
      <c r="J10" s="12" t="inlineStr">
        <is>
          <t>Hold or special amount</t>
        </is>
      </c>
      <c r="K10" s="12" t="inlineStr">
        <is>
          <t>At most the open DTIP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status</t>
        </is>
      </c>
      <c r="C11" s="12" t="inlineStr">
        <is>
          <t>Status in legacy</t>
        </is>
      </c>
      <c r="D11" s="12" t="inlineStr">
        <is>
          <t>Code</t>
        </is>
      </c>
      <c r="E11" s="12" t="inlineStr">
        <is>
          <t>30</t>
        </is>
      </c>
      <c r="F11" s="12" t="inlineStr">
        <is>
          <t>Y</t>
        </is>
      </c>
      <c r="G11" s="12" t="inlineStr">
        <is>
          <t>Code map STATUS:REMITTANCE</t>
        </is>
      </c>
      <c r="H11" s="12" t="inlineStr">
        <is>
          <t>As stored in legacy</t>
        </is>
      </c>
      <c r="I11" s="12" t="inlineStr">
        <is>
          <t>ON_HOLD</t>
        </is>
      </c>
      <c r="J11" s="12" t="inlineStr">
        <is>
          <t>Hold or special status</t>
        </is>
      </c>
      <c r="K11" s="12" t="inlineStr">
        <is>
          <t>Mapped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hold_reason</t>
        </is>
      </c>
      <c r="C12" s="12" t="inlineStr">
        <is>
          <t>Reason of the hold</t>
        </is>
      </c>
      <c r="D12" s="12" t="inlineStr">
        <is>
          <t>Text</t>
        </is>
      </c>
      <c r="E12" s="12" t="inlineStr">
        <is>
          <t>250</t>
        </is>
      </c>
      <c r="F12" s="12" t="inlineStr">
        <is>
          <t>C</t>
        </is>
      </c>
      <c r="G12" s="12" t="inlineStr">
        <is>
          <t>-</t>
        </is>
      </c>
      <c r="H12" s="12" t="inlineStr">
        <is>
          <t>Free text</t>
        </is>
      </c>
      <c r="I12" s="12" t="inlineStr">
        <is>
          <t>Pending negative endorsement</t>
        </is>
      </c>
      <c r="J12" s="12" t="inlineStr">
        <is>
          <t>rem_hold_request reason</t>
        </is>
      </c>
      <c r="K12" s="12" t="inlineStr">
        <is>
          <t>Mandatory for HOLD</t>
        </is>
      </c>
      <c r="L12" s="12" t="inlineStr">
        <is>
          <t>EBIX</t>
        </is>
      </c>
    </row>
    <row r="13">
      <c r="A13" s="12" t="n">
        <v>9</v>
      </c>
      <c r="B13" s="12" t="inlineStr">
        <is>
          <t>hold_until</t>
        </is>
      </c>
      <c r="C13" s="12" t="inlineStr">
        <is>
          <t>End of the hold</t>
        </is>
      </c>
      <c r="D13" s="12" t="inlineStr">
        <is>
          <t>Date</t>
        </is>
      </c>
      <c r="E13" s="12" t="inlineStr">
        <is>
          <t>10</t>
        </is>
      </c>
      <c r="F13" s="12" t="inlineStr">
        <is>
          <t>N</t>
        </is>
      </c>
      <c r="G13" s="12" t="inlineStr">
        <is>
          <t>-</t>
        </is>
      </c>
      <c r="H13" s="12" t="inlineStr">
        <is>
          <t>yyyy-MM-dd</t>
        </is>
      </c>
      <c r="I13" s="12" t="inlineStr">
        <is>
          <t>2028-01-31</t>
        </is>
      </c>
      <c r="J13" s="12" t="inlineStr">
        <is>
          <t>rem_hold_request end</t>
        </is>
      </c>
      <c r="K13" s="12" t="inlineStr">
        <is>
          <t>Valid date</t>
        </is>
      </c>
      <c r="L13" s="12" t="inlineStr">
        <is>
          <t>EBIX</t>
        </is>
      </c>
    </row>
    <row r="14">
      <c r="A14" s="12" t="n">
        <v>10</v>
      </c>
      <c r="B14" s="12" t="inlineStr">
        <is>
          <t>requested_by_user_id</t>
        </is>
      </c>
      <c r="C14" s="12" t="inlineStr">
        <is>
          <t>Requester</t>
        </is>
      </c>
      <c r="D14" s="12" t="inlineStr">
        <is>
          <t>Code</t>
        </is>
      </c>
      <c r="E14" s="12" t="inlineStr">
        <is>
          <t>50</t>
        </is>
      </c>
      <c r="F14" s="12" t="inlineStr">
        <is>
          <t>N</t>
        </is>
      </c>
      <c r="G14" s="12" t="inlineStr">
        <is>
          <t>Code map USER</t>
        </is>
      </c>
      <c r="H14" s="12" t="inlineStr">
        <is>
          <t>As stored in legacy</t>
        </is>
      </c>
      <c r="I14" s="12" t="inlineStr">
        <is>
          <t>rtan</t>
        </is>
      </c>
      <c r="J14" s="12" t="inlineStr">
        <is>
          <t>Request maker</t>
        </is>
      </c>
      <c r="K14" s="12" t="inlineStr">
        <is>
          <t>Mapped</t>
        </is>
      </c>
      <c r="L14" s="12" t="inlineStr">
        <is>
          <t>EBIX</t>
        </is>
      </c>
    </row>
  </sheetData>
  <autoFilter ref="A4:L14"/>
  <mergeCells count="1">
    <mergeCell ref="A2:L2"/>
  </mergeCells>
  <conditionalFormatting sqref="A5:L514">
    <cfRule type="expression" priority="1" dxfId="3">
      <formula>AND(MOD(ROW(),2)=0,$A5&lt;&gt;"")</formula>
    </cfRule>
  </conditionalFormatting>
  <dataValidations count="2">
    <dataValidation sqref="D5:D514" showDropDown="0" showInputMessage="0" showErrorMessage="1" allowBlank="1" errorTitle="Type" error="Choose a value from the list (Type)." type="list">
      <formula1>'_lists'!$AV$1:$AV$8</formula1>
    </dataValidation>
    <dataValidation sqref="F5:F514" showDropDown="0" showInputMessage="0" showErrorMessage="1" allowBlank="1" errorTitle="Mandatory" error="Choose a value from the list (Mandatory)." type="list">
      <formula1>'_lists'!$AW$1:$AW$3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F06 PDCs pick-ups refunds</t>
        </is>
      </c>
    </row>
    <row r="2">
      <c r="A2" s="24" t="inlineStr">
        <is>
          <t>Layout F06 of object F06; key: record_type, reference; template templates/F06_template.csv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record_type</t>
        </is>
      </c>
      <c r="C5" s="12" t="inlineStr">
        <is>
          <t>Kind of item</t>
        </is>
      </c>
      <c r="D5" s="12" t="inlineStr">
        <is>
          <t>Code</t>
        </is>
      </c>
      <c r="E5" s="12" t="inlineStr">
        <is>
          <t>10</t>
        </is>
      </c>
      <c r="F5" s="12" t="inlineStr">
        <is>
          <t>Y</t>
        </is>
      </c>
      <c r="G5" s="12" t="inlineStr">
        <is>
          <t>PDC, PICKUP, REFUND</t>
        </is>
      </c>
      <c r="H5" s="12" t="inlineStr">
        <is>
          <t>Upper case</t>
        </is>
      </c>
      <c r="I5" s="12" t="inlineStr">
        <is>
          <t>PDC</t>
        </is>
      </c>
      <c r="J5" s="12" t="inlineStr">
        <is>
          <t>csh_pdc_item / pick-up / refund service</t>
        </is>
      </c>
      <c r="K5" s="12" t="inlineStr">
        <is>
          <t>In the list</t>
        </is>
      </c>
      <c r="L5" s="12" t="inlineStr">
        <is>
          <t>EBIX cashiering</t>
        </is>
      </c>
    </row>
    <row r="6">
      <c r="A6" s="12" t="n">
        <v>2</v>
      </c>
      <c r="B6" s="12" t="inlineStr">
        <is>
          <t>reference</t>
        </is>
      </c>
      <c r="C6" s="12" t="inlineStr">
        <is>
          <t>Legacy reference of the item</t>
        </is>
      </c>
      <c r="D6" s="12" t="inlineStr">
        <is>
          <t>Text</t>
        </is>
      </c>
      <c r="E6" s="12" t="inlineStr">
        <is>
          <t>80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PDC-2026-000345</t>
        </is>
      </c>
      <c r="J6" s="12" t="inlineStr">
        <is>
          <t>csh_pdc_item.reference</t>
        </is>
      </c>
      <c r="K6" s="12" t="inlineStr">
        <is>
          <t>Unique per record type</t>
        </is>
      </c>
      <c r="L6" s="12" t="inlineStr">
        <is>
          <t>EBIX</t>
        </is>
      </c>
    </row>
    <row r="7">
      <c r="A7" s="12" t="n">
        <v>3</v>
      </c>
      <c r="B7" s="12" t="inlineStr">
        <is>
          <t>warehouse_no</t>
        </is>
      </c>
      <c r="C7" s="12" t="inlineStr">
        <is>
          <t>PDC warehouse number</t>
        </is>
      </c>
      <c r="D7" s="12" t="inlineStr">
        <is>
          <t>Text</t>
        </is>
      </c>
      <c r="E7" s="12" t="inlineStr">
        <is>
          <t>30</t>
        </is>
      </c>
      <c r="F7" s="12" t="inlineStr">
        <is>
          <t>C</t>
        </is>
      </c>
      <c r="G7" s="12" t="inlineStr">
        <is>
          <t>-</t>
        </is>
      </c>
      <c r="H7" s="12" t="inlineStr">
        <is>
          <t>As stored in legacy</t>
        </is>
      </c>
      <c r="I7" s="12" t="inlineStr">
        <is>
          <t>WH-02</t>
        </is>
      </c>
      <c r="J7" s="12" t="inlineStr">
        <is>
          <t>csh_pdc_item.warehouse_no</t>
        </is>
      </c>
      <c r="K7" s="12" t="inlineStr">
        <is>
          <t>Mandatory for PDC</t>
        </is>
      </c>
      <c r="L7" s="12" t="inlineStr">
        <is>
          <t>EBIX</t>
        </is>
      </c>
    </row>
    <row r="8">
      <c r="A8" s="12" t="n">
        <v>4</v>
      </c>
      <c r="B8" s="12" t="inlineStr">
        <is>
          <t>check_no</t>
        </is>
      </c>
      <c r="C8" s="12" t="inlineStr">
        <is>
          <t>Check number</t>
        </is>
      </c>
      <c r="D8" s="12" t="inlineStr">
        <is>
          <t>Text</t>
        </is>
      </c>
      <c r="E8" s="12" t="inlineStr">
        <is>
          <t>40</t>
        </is>
      </c>
      <c r="F8" s="12" t="inlineStr">
        <is>
          <t>C</t>
        </is>
      </c>
      <c r="G8" s="12" t="inlineStr">
        <is>
          <t>-</t>
        </is>
      </c>
      <c r="H8" s="12" t="inlineStr">
        <is>
          <t>Digits</t>
        </is>
      </c>
      <c r="I8" s="12" t="inlineStr">
        <is>
          <t>0004567</t>
        </is>
      </c>
      <c r="J8" s="12" t="inlineStr">
        <is>
          <t>csh_pdc_item.check_no</t>
        </is>
      </c>
      <c r="K8" s="12" t="inlineStr">
        <is>
          <t>Mandatory for PDC and PICKUP</t>
        </is>
      </c>
      <c r="L8" s="12" t="inlineStr">
        <is>
          <t>EBIX</t>
        </is>
      </c>
    </row>
    <row r="9">
      <c r="A9" s="12" t="n">
        <v>5</v>
      </c>
      <c r="B9" s="12" t="inlineStr">
        <is>
          <t>bank_code</t>
        </is>
      </c>
      <c r="C9" s="12" t="inlineStr">
        <is>
          <t>Drawee bank</t>
        </is>
      </c>
      <c r="D9" s="12" t="inlineStr">
        <is>
          <t>Code</t>
        </is>
      </c>
      <c r="E9" s="12" t="inlineStr">
        <is>
          <t>30</t>
        </is>
      </c>
      <c r="F9" s="12" t="inlineStr">
        <is>
          <t>C</t>
        </is>
      </c>
      <c r="G9" s="12" t="inlineStr">
        <is>
          <t>Code map BANK</t>
        </is>
      </c>
      <c r="H9" s="12" t="inlineStr">
        <is>
          <t>As stored in legacy</t>
        </is>
      </c>
      <c r="I9" s="12" t="inlineStr">
        <is>
          <t>BPI</t>
        </is>
      </c>
      <c r="J9" s="12" t="inlineStr">
        <is>
          <t>csh_pdc_item.bank_code</t>
        </is>
      </c>
      <c r="K9" s="12" t="inlineStr">
        <is>
          <t>Mandatory for PDC; mapped</t>
        </is>
      </c>
      <c r="L9" s="12" t="inlineStr">
        <is>
          <t>EBIX</t>
        </is>
      </c>
    </row>
    <row r="10">
      <c r="A10" s="12" t="n">
        <v>6</v>
      </c>
      <c r="B10" s="12" t="inlineStr">
        <is>
          <t>check_branch</t>
        </is>
      </c>
      <c r="C10" s="12" t="inlineStr">
        <is>
          <t>Drawee branch</t>
        </is>
      </c>
      <c r="D10" s="12" t="inlineStr">
        <is>
          <t>Text</t>
        </is>
      </c>
      <c r="E10" s="12" t="inlineStr">
        <is>
          <t>60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Free text</t>
        </is>
      </c>
      <c r="I10" s="12" t="inlineStr">
        <is>
          <t>BPI Ortigas</t>
        </is>
      </c>
      <c r="J10" s="12" t="inlineStr">
        <is>
          <t>csh_pdc_item.check_branch</t>
        </is>
      </c>
      <c r="K10" s="12" t="inlineStr">
        <is>
          <t>-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check_date</t>
        </is>
      </c>
      <c r="C11" s="12" t="inlineStr">
        <is>
          <t>Check date or maturity date</t>
        </is>
      </c>
      <c r="D11" s="12" t="inlineStr">
        <is>
          <t>Date</t>
        </is>
      </c>
      <c r="E11" s="12" t="inlineStr">
        <is>
          <t>10</t>
        </is>
      </c>
      <c r="F11" s="12" t="inlineStr">
        <is>
          <t>C</t>
        </is>
      </c>
      <c r="G11" s="12" t="inlineStr">
        <is>
          <t>-</t>
        </is>
      </c>
      <c r="H11" s="12" t="inlineStr">
        <is>
          <t>yyyy-MM-dd</t>
        </is>
      </c>
      <c r="I11" s="12" t="inlineStr">
        <is>
          <t>2028-01-15</t>
        </is>
      </c>
      <c r="J11" s="12" t="inlineStr">
        <is>
          <t>csh_pdc_item.maturity_date</t>
        </is>
      </c>
      <c r="K11" s="12" t="inlineStr">
        <is>
          <t>Mandatory for PDC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currency</t>
        </is>
      </c>
      <c r="C12" s="12" t="inlineStr">
        <is>
          <t>Currency</t>
        </is>
      </c>
      <c r="D12" s="12" t="inlineStr">
        <is>
          <t>Code</t>
        </is>
      </c>
      <c r="E12" s="12" t="inlineStr">
        <is>
          <t>3</t>
        </is>
      </c>
      <c r="F12" s="12" t="inlineStr">
        <is>
          <t>Y</t>
        </is>
      </c>
      <c r="G12" s="12" t="inlineStr">
        <is>
          <t>ISO 4217</t>
        </is>
      </c>
      <c r="H12" s="12" t="inlineStr">
        <is>
          <t>Upper case</t>
        </is>
      </c>
      <c r="I12" s="12" t="inlineStr">
        <is>
          <t>PHP</t>
        </is>
      </c>
      <c r="J12" s="12" t="inlineStr">
        <is>
          <t>csh_pdc_item.currency</t>
        </is>
      </c>
      <c r="K12" s="12" t="inlineStr">
        <is>
          <t>Valid code</t>
        </is>
      </c>
      <c r="L12" s="12" t="inlineStr">
        <is>
          <t>EBIX</t>
        </is>
      </c>
    </row>
    <row r="13">
      <c r="A13" s="12" t="n">
        <v>9</v>
      </c>
      <c r="B13" s="12" t="inlineStr">
        <is>
          <t>amount</t>
        </is>
      </c>
      <c r="C13" s="12" t="inlineStr">
        <is>
          <t>Amount</t>
        </is>
      </c>
      <c r="D13" s="12" t="inlineStr">
        <is>
          <t>Amount</t>
        </is>
      </c>
      <c r="E13" s="12" t="inlineStr">
        <is>
          <t>19,2</t>
        </is>
      </c>
      <c r="F13" s="12" t="inlineStr">
        <is>
          <t>Y</t>
        </is>
      </c>
      <c r="G13" s="12" t="inlineStr">
        <is>
          <t>-</t>
        </is>
      </c>
      <c r="H13" s="12" t="inlineStr">
        <is>
          <t>Dot decimal, 2 decimals</t>
        </is>
      </c>
      <c r="I13" s="12" t="inlineStr">
        <is>
          <t>6000.00</t>
        </is>
      </c>
      <c r="J13" s="12" t="inlineStr">
        <is>
          <t>csh_pdc_item.amount</t>
        </is>
      </c>
      <c r="K13" s="12" t="inlineStr">
        <is>
          <t>Above 0</t>
        </is>
      </c>
      <c r="L13" s="12" t="inlineStr">
        <is>
          <t>EBIX</t>
        </is>
      </c>
    </row>
    <row r="14">
      <c r="A14" s="12" t="n">
        <v>10</v>
      </c>
      <c r="B14" s="12" t="inlineStr">
        <is>
          <t>legacy_client_no</t>
        </is>
      </c>
      <c r="C14" s="12" t="inlineStr">
        <is>
          <t>Client</t>
        </is>
      </c>
      <c r="D14" s="12" t="inlineStr">
        <is>
          <t>Code</t>
        </is>
      </c>
      <c r="E14" s="12" t="inlineStr">
        <is>
          <t>30</t>
        </is>
      </c>
      <c r="F14" s="12" t="inlineStr">
        <is>
          <t>N</t>
        </is>
      </c>
      <c r="G14" s="12" t="inlineStr">
        <is>
          <t>legacy_client_no of C01</t>
        </is>
      </c>
      <c r="H14" s="12" t="inlineStr">
        <is>
          <t>As stored in legacy</t>
        </is>
      </c>
      <c r="I14" s="12" t="inlineStr">
        <is>
          <t>Q-0012345</t>
        </is>
      </c>
      <c r="J14" s="12" t="inlineStr">
        <is>
          <t>csh_pdc_item.client_code</t>
        </is>
      </c>
      <c r="K14" s="12" t="inlineStr">
        <is>
          <t>Client loaded when given</t>
        </is>
      </c>
      <c r="L14" s="12" t="inlineStr">
        <is>
          <t>EBIX</t>
        </is>
      </c>
    </row>
    <row r="15">
      <c r="A15" s="12" t="n">
        <v>11</v>
      </c>
      <c r="B15" s="12" t="inlineStr">
        <is>
          <t>payor_name</t>
        </is>
      </c>
      <c r="C15" s="12" t="inlineStr">
        <is>
          <t>Payor</t>
        </is>
      </c>
      <c r="D15" s="12" t="inlineStr">
        <is>
          <t>Text</t>
        </is>
      </c>
      <c r="E15" s="12" t="inlineStr">
        <is>
          <t>250</t>
        </is>
      </c>
      <c r="F15" s="12" t="inlineStr">
        <is>
          <t>Y</t>
        </is>
      </c>
      <c r="G15" s="12" t="inlineStr">
        <is>
          <t>-</t>
        </is>
      </c>
      <c r="H15" s="12" t="inlineStr">
        <is>
          <t>Free text</t>
        </is>
      </c>
      <c r="I15" s="12" t="inlineStr">
        <is>
          <t>Ana C. Reyes</t>
        </is>
      </c>
      <c r="J15" s="12" t="inlineStr">
        <is>
          <t>csh_pdc_item.payor_name</t>
        </is>
      </c>
      <c r="K15" s="12" t="inlineStr">
        <is>
          <t>Not blank</t>
        </is>
      </c>
      <c r="L15" s="12" t="inlineStr">
        <is>
          <t>EBIX</t>
        </is>
      </c>
    </row>
    <row r="16">
      <c r="A16" s="12" t="n">
        <v>12</v>
      </c>
      <c r="B16" s="12" t="inlineStr">
        <is>
          <t>legacy_invoice_no</t>
        </is>
      </c>
      <c r="C16" s="12" t="inlineStr">
        <is>
          <t>Invoice the item pays or refunds</t>
        </is>
      </c>
      <c r="D16" s="12" t="inlineStr">
        <is>
          <t>Code</t>
        </is>
      </c>
      <c r="E16" s="12" t="inlineStr">
        <is>
          <t>40</t>
        </is>
      </c>
      <c r="F16" s="12" t="inlineStr">
        <is>
          <t>N</t>
        </is>
      </c>
      <c r="G16" s="12" t="inlineStr">
        <is>
          <t>legacy_invoice_no of F01</t>
        </is>
      </c>
      <c r="H16" s="12" t="inlineStr">
        <is>
          <t>As in F01</t>
        </is>
      </c>
      <c r="I16" s="12" t="inlineStr">
        <is>
          <t>I00123456</t>
        </is>
      </c>
      <c r="J16" s="12" t="inlineStr">
        <is>
          <t>Payment reference</t>
        </is>
      </c>
      <c r="K16" s="12" t="inlineStr">
        <is>
          <t>Exists in F01 when given</t>
        </is>
      </c>
      <c r="L16" s="12" t="inlineStr">
        <is>
          <t>EBIX</t>
        </is>
      </c>
    </row>
    <row r="17">
      <c r="A17" s="12" t="n">
        <v>13</v>
      </c>
      <c r="B17" s="12" t="inlineStr">
        <is>
          <t>status</t>
        </is>
      </c>
      <c r="C17" s="12" t="inlineStr">
        <is>
          <t>Status in legacy</t>
        </is>
      </c>
      <c r="D17" s="12" t="inlineStr">
        <is>
          <t>Code</t>
        </is>
      </c>
      <c r="E17" s="12" t="inlineStr">
        <is>
          <t>20</t>
        </is>
      </c>
      <c r="F17" s="12" t="inlineStr">
        <is>
          <t>Y</t>
        </is>
      </c>
      <c r="G17" s="12" t="inlineStr">
        <is>
          <t>Code map STATUS:PDC</t>
        </is>
      </c>
      <c r="H17" s="12" t="inlineStr">
        <is>
          <t>As stored in legacy</t>
        </is>
      </c>
      <c r="I17" s="12" t="inlineStr">
        <is>
          <t>WAREHOUSED</t>
        </is>
      </c>
      <c r="J17" s="12" t="inlineStr">
        <is>
          <t>csh_pdc_item.status</t>
        </is>
      </c>
      <c r="K17" s="12" t="inlineStr">
        <is>
          <t>Mapped</t>
        </is>
      </c>
      <c r="L17" s="12" t="inlineStr">
        <is>
          <t>EBIX</t>
        </is>
      </c>
    </row>
    <row r="18">
      <c r="A18" s="12" t="n">
        <v>14</v>
      </c>
      <c r="B18" s="12" t="inlineStr">
        <is>
          <t>remarks</t>
        </is>
      </c>
      <c r="C18" s="12" t="inlineStr">
        <is>
          <t>Remarks</t>
        </is>
      </c>
      <c r="D18" s="12" t="inlineStr">
        <is>
          <t>Text</t>
        </is>
      </c>
      <c r="E18" s="12" t="inlineStr">
        <is>
          <t>250</t>
        </is>
      </c>
      <c r="F18" s="12" t="inlineStr">
        <is>
          <t>N</t>
        </is>
      </c>
      <c r="G18" s="12" t="inlineStr">
        <is>
          <t>-</t>
        </is>
      </c>
      <c r="H18" s="12" t="inlineStr">
        <is>
          <t>Free text</t>
        </is>
      </c>
      <c r="I18" s="12" t="inlineStr">
        <is>
          <t>Replacement check expected</t>
        </is>
      </c>
      <c r="J18" s="12" t="inlineStr">
        <is>
          <t>csh_pdc_item.status_reason</t>
        </is>
      </c>
      <c r="K18" s="12" t="inlineStr">
        <is>
          <t>-</t>
        </is>
      </c>
      <c r="L18" s="12" t="inlineStr">
        <is>
          <t>EBIX</t>
        </is>
      </c>
    </row>
  </sheetData>
  <autoFilter ref="A4:L18"/>
  <mergeCells count="1">
    <mergeCell ref="A2:L2"/>
  </mergeCells>
  <conditionalFormatting sqref="A5:L518">
    <cfRule type="expression" priority="1" dxfId="3">
      <formula>AND(MOD(ROW(),2)=0,$A5&lt;&gt;"")</formula>
    </cfRule>
  </conditionalFormatting>
  <dataValidations count="2">
    <dataValidation sqref="D5:D518" showDropDown="0" showInputMessage="0" showErrorMessage="1" allowBlank="1" errorTitle="Type" error="Choose a value from the list (Type)." type="list">
      <formula1>'_lists'!$AX$1:$AX$8</formula1>
    </dataValidation>
    <dataValidation sqref="F5:F518" showDropDown="0" showInputMessage="0" showErrorMessage="1" allowBlank="1" errorTitle="Mandatory" error="Choose a value from the list (Mandatory)." type="list">
      <formula1>'_lists'!$AY$1:$AY$3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G01 GL trial balance</t>
        </is>
      </c>
    </row>
    <row r="2">
      <c r="A2" s="24" t="inlineStr">
        <is>
          <t>Layout G01 of object G01; key: branch_code, currency, legacy_account_code, cost_center; template templates/G01_template.csv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tb_version</t>
        </is>
      </c>
      <c r="C5" s="12" t="inlineStr">
        <is>
          <t>Version of the trial balance - PROVISIONAL at cut-over (preliminary December TB), then TU1, TU2 ... and FINAL (audited) at the true-ups</t>
        </is>
      </c>
      <c r="D5" s="12" t="inlineStr">
        <is>
          <t>Code</t>
        </is>
      </c>
      <c r="E5" s="12" t="inlineStr">
        <is>
          <t>12</t>
        </is>
      </c>
      <c r="F5" s="12" t="inlineStr">
        <is>
          <t>Y</t>
        </is>
      </c>
      <c r="G5" s="12" t="inlineStr">
        <is>
          <t>PROVISIONAL, TU1, TU2, TU3, FINAL</t>
        </is>
      </c>
      <c r="H5" s="12" t="inlineStr">
        <is>
          <t>Upper case</t>
        </is>
      </c>
      <c r="I5" s="12" t="inlineStr">
        <is>
          <t>PROVISIONAL</t>
        </is>
      </c>
      <c r="J5" s="12" t="inlineStr">
        <is>
          <t>Journal reference MIG-TB-&lt;as-of&gt; (PROVISIONAL); true-up reconciliation input (others)</t>
        </is>
      </c>
      <c r="K5" s="12" t="inlineStr">
        <is>
          <t>In the list; one version per file</t>
        </is>
      </c>
      <c r="L5" s="12" t="inlineStr">
        <is>
          <t>Comptrollership</t>
        </is>
      </c>
    </row>
    <row r="6">
      <c r="A6" s="12" t="n">
        <v>2</v>
      </c>
      <c r="B6" s="12" t="inlineStr">
        <is>
          <t>as_of_date</t>
        </is>
      </c>
      <c r="C6" s="12" t="inlineStr">
        <is>
          <t>Trial balance date - 31-Dec-2027 for every version; the version says which adjustments it includes</t>
        </is>
      </c>
      <c r="D6" s="12" t="inlineStr">
        <is>
          <t>Date</t>
        </is>
      </c>
      <c r="E6" s="12" t="inlineStr">
        <is>
          <t>10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yyyy-MM-dd</t>
        </is>
      </c>
      <c r="I6" s="12" t="inlineStr">
        <is>
          <t>2027-12-31</t>
        </is>
      </c>
      <c r="J6" s="12" t="inlineStr">
        <is>
          <t>Journal reference MIG-TB-&lt;as-of&gt;</t>
        </is>
      </c>
      <c r="K6" s="12" t="inlineStr">
        <is>
          <t>One date in the file</t>
        </is>
      </c>
      <c r="L6" s="12" t="inlineStr">
        <is>
          <t>EBIX GL, ISYS GL</t>
        </is>
      </c>
    </row>
    <row r="7">
      <c r="A7" s="12" t="n">
        <v>3</v>
      </c>
      <c r="B7" s="12" t="inlineStr">
        <is>
          <t>branch_code</t>
        </is>
      </c>
      <c r="C7" s="12" t="inlineStr">
        <is>
          <t>Branch</t>
        </is>
      </c>
      <c r="D7" s="12" t="inlineStr">
        <is>
          <t>Code</t>
        </is>
      </c>
      <c r="E7" s="12" t="inlineStr">
        <is>
          <t>20</t>
        </is>
      </c>
      <c r="F7" s="12" t="inlineStr">
        <is>
          <t>Y</t>
        </is>
      </c>
      <c r="G7" s="12" t="inlineStr">
        <is>
          <t>Code map BRANCH</t>
        </is>
      </c>
      <c r="H7" s="12" t="inlineStr">
        <is>
          <t>As stored in legacy</t>
        </is>
      </c>
      <c r="I7" s="12" t="inlineStr">
        <is>
          <t>MKT01</t>
        </is>
      </c>
      <c r="J7" s="12" t="inlineStr">
        <is>
          <t>jnl_line branch</t>
        </is>
      </c>
      <c r="K7" s="12" t="inlineStr">
        <is>
          <t>Mapped</t>
        </is>
      </c>
      <c r="L7" s="12" t="inlineStr">
        <is>
          <t>EBIX GL</t>
        </is>
      </c>
    </row>
    <row r="8">
      <c r="A8" s="12" t="n">
        <v>4</v>
      </c>
      <c r="B8" s="12" t="inlineStr">
        <is>
          <t>currency</t>
        </is>
      </c>
      <c r="C8" s="12" t="inlineStr">
        <is>
          <t>Account currency</t>
        </is>
      </c>
      <c r="D8" s="12" t="inlineStr">
        <is>
          <t>Code</t>
        </is>
      </c>
      <c r="E8" s="12" t="inlineStr">
        <is>
          <t>3</t>
        </is>
      </c>
      <c r="F8" s="12" t="inlineStr">
        <is>
          <t>Y</t>
        </is>
      </c>
      <c r="G8" s="12" t="inlineStr">
        <is>
          <t>ISO 4217</t>
        </is>
      </c>
      <c r="H8" s="12" t="inlineStr">
        <is>
          <t>Upper case</t>
        </is>
      </c>
      <c r="I8" s="12" t="inlineStr">
        <is>
          <t>USD</t>
        </is>
      </c>
      <c r="J8" s="12" t="inlineStr">
        <is>
          <t>jnl_line currency</t>
        </is>
      </c>
      <c r="K8" s="12" t="inlineStr">
        <is>
          <t>Valid code</t>
        </is>
      </c>
      <c r="L8" s="12" t="inlineStr">
        <is>
          <t>EBIX GL</t>
        </is>
      </c>
    </row>
    <row r="9">
      <c r="A9" s="12" t="n">
        <v>5</v>
      </c>
      <c r="B9" s="12" t="inlineStr">
        <is>
          <t>legacy_account_code</t>
        </is>
      </c>
      <c r="C9" s="12" t="inlineStr">
        <is>
          <t>Legacy account</t>
        </is>
      </c>
      <c r="D9" s="12" t="inlineStr">
        <is>
          <t>Code</t>
        </is>
      </c>
      <c r="E9" s="12" t="inlineStr">
        <is>
          <t>30</t>
        </is>
      </c>
      <c r="F9" s="12" t="inlineStr">
        <is>
          <t>Y</t>
        </is>
      </c>
      <c r="G9" s="12" t="inlineStr">
        <is>
          <t>Code map GL_ACCOUNT</t>
        </is>
      </c>
      <c r="H9" s="12" t="inlineStr">
        <is>
          <t>As stored in legacy</t>
        </is>
      </c>
      <c r="I9" s="12" t="inlineStr">
        <is>
          <t>1101-02</t>
        </is>
      </c>
      <c r="J9" s="12" t="inlineStr">
        <is>
          <t>jnl_line account (through GL_ACCOUNT; control accounts to Migration Clearing)</t>
        </is>
      </c>
      <c r="K9" s="12" t="inlineStr">
        <is>
          <t>Mapped</t>
        </is>
      </c>
      <c r="L9" s="12" t="inlineStr">
        <is>
          <t>EBIX GL</t>
        </is>
      </c>
    </row>
    <row r="10">
      <c r="A10" s="12" t="n">
        <v>6</v>
      </c>
      <c r="B10" s="12" t="inlineStr">
        <is>
          <t>cost_center</t>
        </is>
      </c>
      <c r="C10" s="12" t="inlineStr">
        <is>
          <t>Cost centre</t>
        </is>
      </c>
      <c r="D10" s="12" t="inlineStr">
        <is>
          <t>Code</t>
        </is>
      </c>
      <c r="E10" s="12" t="inlineStr">
        <is>
          <t>20</t>
        </is>
      </c>
      <c r="F10" s="12" t="inlineStr">
        <is>
          <t>N</t>
        </is>
      </c>
      <c r="G10" s="12" t="inlineStr">
        <is>
          <t>Code map COST_CENTER</t>
        </is>
      </c>
      <c r="H10" s="12" t="inlineStr">
        <is>
          <t>As stored in legacy</t>
        </is>
      </c>
      <c r="I10" s="12" t="inlineStr">
        <is>
          <t>4100</t>
        </is>
      </c>
      <c r="J10" s="12" t="inlineStr">
        <is>
          <t>jnl_line cost centre</t>
        </is>
      </c>
      <c r="K10" s="12" t="inlineStr">
        <is>
          <t>Mapped</t>
        </is>
      </c>
      <c r="L10" s="12" t="inlineStr">
        <is>
          <t>EBIX GL</t>
        </is>
      </c>
    </row>
    <row r="11">
      <c r="A11" s="12" t="n">
        <v>7</v>
      </c>
      <c r="B11" s="12" t="inlineStr">
        <is>
          <t>debit_fc</t>
        </is>
      </c>
      <c r="C11" s="12" t="inlineStr">
        <is>
          <t>Debit balance in the account currency</t>
        </is>
      </c>
      <c r="D11" s="12" t="inlineStr">
        <is>
          <t>Amount</t>
        </is>
      </c>
      <c r="E11" s="12" t="inlineStr">
        <is>
          <t>19,2</t>
        </is>
      </c>
      <c r="F11" s="12" t="inlineStr">
        <is>
          <t>Y</t>
        </is>
      </c>
      <c r="G11" s="12" t="inlineStr">
        <is>
          <t>-</t>
        </is>
      </c>
      <c r="H11" s="12" t="inlineStr">
        <is>
          <t>Dot decimal, 2 decimals</t>
        </is>
      </c>
      <c r="I11" s="12" t="inlineStr">
        <is>
          <t>12500.00</t>
        </is>
      </c>
      <c r="J11" s="12" t="inlineStr">
        <is>
          <t>jnl_line debit (currency)</t>
        </is>
      </c>
      <c r="K11" s="12" t="inlineStr">
        <is>
          <t>0 or more; debit or credit, not both</t>
        </is>
      </c>
      <c r="L11" s="12" t="inlineStr">
        <is>
          <t>EBIX GL</t>
        </is>
      </c>
    </row>
    <row r="12">
      <c r="A12" s="12" t="n">
        <v>8</v>
      </c>
      <c r="B12" s="12" t="inlineStr">
        <is>
          <t>credit_fc</t>
        </is>
      </c>
      <c r="C12" s="12" t="inlineStr">
        <is>
          <t>Credit balance in the account currency</t>
        </is>
      </c>
      <c r="D12" s="12" t="inlineStr">
        <is>
          <t>Amount</t>
        </is>
      </c>
      <c r="E12" s="12" t="inlineStr">
        <is>
          <t>19,2</t>
        </is>
      </c>
      <c r="F12" s="12" t="inlineStr">
        <is>
          <t>Y</t>
        </is>
      </c>
      <c r="G12" s="12" t="inlineStr">
        <is>
          <t>-</t>
        </is>
      </c>
      <c r="H12" s="12" t="inlineStr">
        <is>
          <t>Dot decimal, 2 decimals</t>
        </is>
      </c>
      <c r="I12" s="12" t="inlineStr">
        <is>
          <t>0.00</t>
        </is>
      </c>
      <c r="J12" s="12" t="inlineStr">
        <is>
          <t>jnl_line credit (currency)</t>
        </is>
      </c>
      <c r="K12" s="12" t="inlineStr">
        <is>
          <t>0 or more</t>
        </is>
      </c>
      <c r="L12" s="12" t="inlineStr">
        <is>
          <t>EBIX GL</t>
        </is>
      </c>
    </row>
    <row r="13">
      <c r="A13" s="12" t="n">
        <v>9</v>
      </c>
      <c r="B13" s="12" t="inlineStr">
        <is>
          <t>debit_php</t>
        </is>
      </c>
      <c r="C13" s="12" t="inlineStr">
        <is>
          <t>Debit balance in PHP</t>
        </is>
      </c>
      <c r="D13" s="12" t="inlineStr">
        <is>
          <t>Amount</t>
        </is>
      </c>
      <c r="E13" s="12" t="inlineStr">
        <is>
          <t>19,2</t>
        </is>
      </c>
      <c r="F13" s="12" t="inlineStr">
        <is>
          <t>Y</t>
        </is>
      </c>
      <c r="G13" s="12" t="inlineStr">
        <is>
          <t>-</t>
        </is>
      </c>
      <c r="H13" s="12" t="inlineStr">
        <is>
          <t>Dot decimal, 2 decimals</t>
        </is>
      </c>
      <c r="I13" s="12" t="inlineStr">
        <is>
          <t>701562.50</t>
        </is>
      </c>
      <c r="J13" s="12" t="inlineStr">
        <is>
          <t>jnl_line debit (base)</t>
        </is>
      </c>
      <c r="K13" s="12" t="inlineStr">
        <is>
          <t>0 or more</t>
        </is>
      </c>
      <c r="L13" s="12" t="inlineStr">
        <is>
          <t>EBIX GL</t>
        </is>
      </c>
    </row>
    <row r="14">
      <c r="A14" s="12" t="n">
        <v>10</v>
      </c>
      <c r="B14" s="12" t="inlineStr">
        <is>
          <t>credit_php</t>
        </is>
      </c>
      <c r="C14" s="12" t="inlineStr">
        <is>
          <t>Credit balance in PHP</t>
        </is>
      </c>
      <c r="D14" s="12" t="inlineStr">
        <is>
          <t>Amount</t>
        </is>
      </c>
      <c r="E14" s="12" t="inlineStr">
        <is>
          <t>19,2</t>
        </is>
      </c>
      <c r="F14" s="12" t="inlineStr">
        <is>
          <t>Y</t>
        </is>
      </c>
      <c r="G14" s="12" t="inlineStr">
        <is>
          <t>-</t>
        </is>
      </c>
      <c r="H14" s="12" t="inlineStr">
        <is>
          <t>Dot decimal, 2 decimals</t>
        </is>
      </c>
      <c r="I14" s="12" t="inlineStr">
        <is>
          <t>0.00</t>
        </is>
      </c>
      <c r="J14" s="12" t="inlineStr">
        <is>
          <t>jnl_line credit (base)</t>
        </is>
      </c>
      <c r="K14" s="12" t="inlineStr">
        <is>
          <t>0 or more</t>
        </is>
      </c>
      <c r="L14" s="12" t="inlineStr">
        <is>
          <t>EBIX GL</t>
        </is>
      </c>
    </row>
    <row r="15">
      <c r="A15" s="12" t="n">
        <v>11</v>
      </c>
      <c r="B15" s="12" t="inlineStr">
        <is>
          <t>fx_rate</t>
        </is>
      </c>
      <c r="C15" s="12" t="inlineStr">
        <is>
          <t>Rate used for the PHP amount</t>
        </is>
      </c>
      <c r="D15" s="12" t="inlineStr">
        <is>
          <t>Decimal</t>
        </is>
      </c>
      <c r="E15" s="12" t="inlineStr">
        <is>
          <t>12,6</t>
        </is>
      </c>
      <c r="F15" s="12" t="inlineStr">
        <is>
          <t>C</t>
        </is>
      </c>
      <c r="G15" s="12" t="inlineStr">
        <is>
          <t>-</t>
        </is>
      </c>
      <c r="H15" s="12" t="inlineStr">
        <is>
          <t>Dot decimal</t>
        </is>
      </c>
      <c r="I15" s="12" t="inlineStr">
        <is>
          <t>56.125000</t>
        </is>
      </c>
      <c r="J15" s="12" t="inlineStr">
        <is>
          <t>BOOK rate check (DMQ35)</t>
        </is>
      </c>
      <c r="K15" s="12" t="inlineStr">
        <is>
          <t>Mandatory when currency is not PHP</t>
        </is>
      </c>
      <c r="L15" s="12" t="inlineStr">
        <is>
          <t>EBIX GL</t>
        </is>
      </c>
    </row>
  </sheetData>
  <autoFilter ref="A4:L15"/>
  <mergeCells count="1">
    <mergeCell ref="A2:L2"/>
  </mergeCells>
  <conditionalFormatting sqref="A5:L515">
    <cfRule type="expression" priority="1" dxfId="3">
      <formula>AND(MOD(ROW(),2)=0,$A5&lt;&gt;"")</formula>
    </cfRule>
  </conditionalFormatting>
  <dataValidations count="2">
    <dataValidation sqref="D5:D515" showDropDown="0" showInputMessage="0" showErrorMessage="1" allowBlank="1" errorTitle="Type" error="Choose a value from the list (Type)." type="list">
      <formula1>'_lists'!$AZ$1:$AZ$8</formula1>
    </dataValidation>
    <dataValidation sqref="F5:F515" showDropDown="0" showInputMessage="0" showErrorMessage="1" allowBlank="1" errorTitle="Mandatory" error="Choose a value from the list (Mandatory)." type="list">
      <formula1>'_lists'!$BA$1:$BA$3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G03 True-up journals</t>
        </is>
      </c>
    </row>
    <row r="2">
      <c r="A2" s="24" t="inlineStr">
        <is>
          <t>Layout G03 of object G03; key: legacy_journal_no, line_no; template templates/G03_template.csv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trueup_no</t>
        </is>
      </c>
      <c r="C5" s="12" t="inlineStr">
        <is>
          <t>True-up number - 1 after the legacy year-end close, 2 and 3 for interim true-ups, F for the final one after the audited FS</t>
        </is>
      </c>
      <c r="D5" s="12" t="inlineStr">
        <is>
          <t>Code</t>
        </is>
      </c>
      <c r="E5" s="12" t="inlineStr">
        <is>
          <t>2</t>
        </is>
      </c>
      <c r="F5" s="12" t="inlineStr">
        <is>
          <t>Y</t>
        </is>
      </c>
      <c r="G5" s="12" t="inlineStr">
        <is>
          <t>1, 2, 3, F</t>
        </is>
      </c>
      <c r="H5" s="12" t="inlineStr">
        <is>
          <t>As listed</t>
        </is>
      </c>
      <c r="I5" s="12" t="inlineStr">
        <is>
          <t>1</t>
        </is>
      </c>
      <c r="J5" s="12" t="inlineStr">
        <is>
          <t>mig_trueup; journal reference MIG-TU-&lt;n&gt;</t>
        </is>
      </c>
      <c r="K5" s="12" t="inlineStr">
        <is>
          <t>In the list; one true-up per file</t>
        </is>
      </c>
      <c r="L5" s="12" t="inlineStr">
        <is>
          <t>Comptrollership</t>
        </is>
      </c>
    </row>
    <row r="6">
      <c r="A6" s="12" t="n">
        <v>2</v>
      </c>
      <c r="B6" s="12" t="inlineStr">
        <is>
          <t>legacy_journal_no</t>
        </is>
      </c>
      <c r="C6" s="12" t="inlineStr">
        <is>
          <t>Legacy journal voucher number</t>
        </is>
      </c>
      <c r="D6" s="12" t="inlineStr">
        <is>
          <t>Code</t>
        </is>
      </c>
      <c r="E6" s="12" t="inlineStr">
        <is>
          <t>30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JV-2027-12-0457</t>
        </is>
      </c>
      <c r="J6" s="12" t="inlineStr">
        <is>
          <t>Journal line description</t>
        </is>
      </c>
      <c r="K6" s="12" t="inlineStr">
        <is>
          <t>In the FY2027 adjustment register (DQ-054)</t>
        </is>
      </c>
      <c r="L6" s="12" t="inlineStr">
        <is>
          <t>EBIX GL, ISYS GL</t>
        </is>
      </c>
    </row>
    <row r="7">
      <c r="A7" s="12" t="n">
        <v>3</v>
      </c>
      <c r="B7" s="12" t="inlineStr">
        <is>
          <t>line_no</t>
        </is>
      </c>
      <c r="C7" s="12" t="inlineStr">
        <is>
          <t>Line of the legacy journal</t>
        </is>
      </c>
      <c r="D7" s="12" t="inlineStr">
        <is>
          <t>Integer</t>
        </is>
      </c>
      <c r="E7" s="12" t="inlineStr">
        <is>
          <t>4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Digits</t>
        </is>
      </c>
      <c r="I7" s="12" t="inlineStr">
        <is>
          <t>1</t>
        </is>
      </c>
      <c r="J7" s="12" t="inlineStr">
        <is>
          <t>Journal line order</t>
        </is>
      </c>
      <c r="K7" s="12" t="inlineStr">
        <is>
          <t>Unique per journal</t>
        </is>
      </c>
      <c r="L7" s="12" t="inlineStr">
        <is>
          <t>EBIX GL</t>
        </is>
      </c>
    </row>
    <row r="8">
      <c r="A8" s="12" t="n">
        <v>4</v>
      </c>
      <c r="B8" s="12" t="inlineStr">
        <is>
          <t>legacy_journal_date</t>
        </is>
      </c>
      <c r="C8" s="12" t="inlineStr">
        <is>
          <t>Value date of the legacy journal</t>
        </is>
      </c>
      <c r="D8" s="12" t="inlineStr">
        <is>
          <t>Date</t>
        </is>
      </c>
      <c r="E8" s="12" t="inlineStr">
        <is>
          <t>10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yyyy-MM-dd</t>
        </is>
      </c>
      <c r="I8" s="12" t="inlineStr">
        <is>
          <t>2027-12-31</t>
        </is>
      </c>
      <c r="J8" s="12" t="inlineStr">
        <is>
          <t>Journal line description (the BIBS value date is 1-Jan-2028)</t>
        </is>
      </c>
      <c r="K8" s="12" t="inlineStr">
        <is>
          <t>From 1-Jan-2027 to 31-Dec-2027 (DQ-053)</t>
        </is>
      </c>
      <c r="L8" s="12" t="inlineStr">
        <is>
          <t>EBIX GL</t>
        </is>
      </c>
    </row>
    <row r="9">
      <c r="A9" s="12" t="n">
        <v>5</v>
      </c>
      <c r="B9" s="12" t="inlineStr">
        <is>
          <t>posted_at</t>
        </is>
      </c>
      <c r="C9" s="12" t="inlineStr">
        <is>
          <t>When the journal was posted in legacy</t>
        </is>
      </c>
      <c r="D9" s="12" t="inlineStr">
        <is>
          <t>Timestamp</t>
        </is>
      </c>
      <c r="E9" s="12" t="inlineStr">
        <is>
          <t>19</t>
        </is>
      </c>
      <c r="F9" s="12" t="inlineStr">
        <is>
          <t>Y</t>
        </is>
      </c>
      <c r="G9" s="12" t="inlineStr">
        <is>
          <t>-</t>
        </is>
      </c>
      <c r="H9" s="12" t="inlineStr">
        <is>
          <t>yyyy-MM-dd HH:mm:ss</t>
        </is>
      </c>
      <c r="I9" s="12" t="inlineStr">
        <is>
          <t>2028-01-14 10:22:05</t>
        </is>
      </c>
      <c r="J9" s="12" t="inlineStr">
        <is>
          <t>Cut-off evidence</t>
        </is>
      </c>
      <c r="K9" s="12" t="inlineStr">
        <is>
          <t>After the freeze (T-3 22:00) (DQ-053)</t>
        </is>
      </c>
      <c r="L9" s="12" t="inlineStr">
        <is>
          <t>EBIX GL audit trail</t>
        </is>
      </c>
    </row>
    <row r="10">
      <c r="A10" s="12" t="n">
        <v>6</v>
      </c>
      <c r="B10" s="12" t="inlineStr">
        <is>
          <t>adjustment_kind</t>
        </is>
      </c>
      <c r="C10" s="12" t="inlineStr">
        <is>
          <t>Year-end closing or audit adjustment</t>
        </is>
      </c>
      <c r="D10" s="12" t="inlineStr">
        <is>
          <t>Code</t>
        </is>
      </c>
      <c r="E10" s="12" t="inlineStr">
        <is>
          <t>8</t>
        </is>
      </c>
      <c r="F10" s="12" t="inlineStr">
        <is>
          <t>Y</t>
        </is>
      </c>
      <c r="G10" s="12" t="inlineStr">
        <is>
          <t>CLOSING, AUDIT</t>
        </is>
      </c>
      <c r="H10" s="12" t="inlineStr">
        <is>
          <t>Upper case</t>
        </is>
      </c>
      <c r="I10" s="12" t="inlineStr">
        <is>
          <t>CLOSING</t>
        </is>
      </c>
      <c r="J10" s="12" t="inlineStr">
        <is>
          <t>mig_trueup line kind</t>
        </is>
      </c>
      <c r="K10" s="12" t="inlineStr">
        <is>
          <t>In the list</t>
        </is>
      </c>
      <c r="L10" s="12" t="inlineStr">
        <is>
          <t>Adjustment register</t>
        </is>
      </c>
    </row>
    <row r="11">
      <c r="A11" s="12" t="n">
        <v>7</v>
      </c>
      <c r="B11" s="12" t="inlineStr">
        <is>
          <t>register_ref</t>
        </is>
      </c>
      <c r="C11" s="12" t="inlineStr">
        <is>
          <t>Reference of the journal in the FY2027 adjustment register</t>
        </is>
      </c>
      <c r="D11" s="12" t="inlineStr">
        <is>
          <t>Text</t>
        </is>
      </c>
      <c r="E11" s="12" t="inlineStr">
        <is>
          <t>20</t>
        </is>
      </c>
      <c r="F11" s="12" t="inlineStr">
        <is>
          <t>Y</t>
        </is>
      </c>
      <c r="G11" s="12" t="inlineStr">
        <is>
          <t>-</t>
        </is>
      </c>
      <c r="H11" s="12" t="inlineStr">
        <is>
          <t>As in the register</t>
        </is>
      </c>
      <c r="I11" s="12" t="inlineStr">
        <is>
          <t>ADJ-2027-014</t>
        </is>
      </c>
      <c r="J11" s="12" t="inlineStr">
        <is>
          <t>Cut-off evidence</t>
        </is>
      </c>
      <c r="K11" s="12" t="inlineStr">
        <is>
          <t>Exists in the register (DQ-054)</t>
        </is>
      </c>
      <c r="L11" s="12" t="inlineStr">
        <is>
          <t>Adjustment register</t>
        </is>
      </c>
    </row>
    <row r="12">
      <c r="A12" s="12" t="n">
        <v>8</v>
      </c>
      <c r="B12" s="12" t="inlineStr">
        <is>
          <t>branch_code</t>
        </is>
      </c>
      <c r="C12" s="12" t="inlineStr">
        <is>
          <t>Branch</t>
        </is>
      </c>
      <c r="D12" s="12" t="inlineStr">
        <is>
          <t>Code</t>
        </is>
      </c>
      <c r="E12" s="12" t="inlineStr">
        <is>
          <t>20</t>
        </is>
      </c>
      <c r="F12" s="12" t="inlineStr">
        <is>
          <t>Y</t>
        </is>
      </c>
      <c r="G12" s="12" t="inlineStr">
        <is>
          <t>Code map BRANCH</t>
        </is>
      </c>
      <c r="H12" s="12" t="inlineStr">
        <is>
          <t>As stored in legacy</t>
        </is>
      </c>
      <c r="I12" s="12" t="inlineStr">
        <is>
          <t>MKT01</t>
        </is>
      </c>
      <c r="J12" s="12" t="inlineStr">
        <is>
          <t>jnl_line branch</t>
        </is>
      </c>
      <c r="K12" s="12" t="inlineStr">
        <is>
          <t>Mapped</t>
        </is>
      </c>
      <c r="L12" s="12" t="inlineStr">
        <is>
          <t>EBIX GL</t>
        </is>
      </c>
    </row>
    <row r="13">
      <c r="A13" s="12" t="n">
        <v>9</v>
      </c>
      <c r="B13" s="12" t="inlineStr">
        <is>
          <t>currency</t>
        </is>
      </c>
      <c r="C13" s="12" t="inlineStr">
        <is>
          <t>Account currency</t>
        </is>
      </c>
      <c r="D13" s="12" t="inlineStr">
        <is>
          <t>Code</t>
        </is>
      </c>
      <c r="E13" s="12" t="inlineStr">
        <is>
          <t>3</t>
        </is>
      </c>
      <c r="F13" s="12" t="inlineStr">
        <is>
          <t>Y</t>
        </is>
      </c>
      <c r="G13" s="12" t="inlineStr">
        <is>
          <t>ISO 4217</t>
        </is>
      </c>
      <c r="H13" s="12" t="inlineStr">
        <is>
          <t>Upper case</t>
        </is>
      </c>
      <c r="I13" s="12" t="inlineStr">
        <is>
          <t>PHP</t>
        </is>
      </c>
      <c r="J13" s="12" t="inlineStr">
        <is>
          <t>jnl_line currency</t>
        </is>
      </c>
      <c r="K13" s="12" t="inlineStr">
        <is>
          <t>Valid code</t>
        </is>
      </c>
      <c r="L13" s="12" t="inlineStr">
        <is>
          <t>EBIX GL</t>
        </is>
      </c>
    </row>
    <row r="14">
      <c r="A14" s="12" t="n">
        <v>10</v>
      </c>
      <c r="B14" s="12" t="inlineStr">
        <is>
          <t>legacy_account_code</t>
        </is>
      </c>
      <c r="C14" s="12" t="inlineStr">
        <is>
          <t>Legacy account</t>
        </is>
      </c>
      <c r="D14" s="12" t="inlineStr">
        <is>
          <t>Code</t>
        </is>
      </c>
      <c r="E14" s="12" t="inlineStr">
        <is>
          <t>30</t>
        </is>
      </c>
      <c r="F14" s="12" t="inlineStr">
        <is>
          <t>Y</t>
        </is>
      </c>
      <c r="G14" s="12" t="inlineStr">
        <is>
          <t>Code map GL_ACCOUNT</t>
        </is>
      </c>
      <c r="H14" s="12" t="inlineStr">
        <is>
          <t>As stored in legacy</t>
        </is>
      </c>
      <c r="I14" s="12" t="inlineStr">
        <is>
          <t>5120-01</t>
        </is>
      </c>
      <c r="J14" s="12" t="inlineStr">
        <is>
          <t>jnl_line account (P&amp;L to retained earnings; legacy control accounts to Migration Clearing)</t>
        </is>
      </c>
      <c r="K14" s="12" t="inlineStr">
        <is>
          <t>Mapped; a legacy control account needs G03D detail (DQ-055)</t>
        </is>
      </c>
      <c r="L14" s="12" t="inlineStr">
        <is>
          <t>EBIX GL</t>
        </is>
      </c>
    </row>
    <row r="15">
      <c r="A15" s="12" t="n">
        <v>11</v>
      </c>
      <c r="B15" s="12" t="inlineStr">
        <is>
          <t>cost_center</t>
        </is>
      </c>
      <c r="C15" s="12" t="inlineStr">
        <is>
          <t>Cost centre</t>
        </is>
      </c>
      <c r="D15" s="12" t="inlineStr">
        <is>
          <t>Code</t>
        </is>
      </c>
      <c r="E15" s="12" t="inlineStr">
        <is>
          <t>20</t>
        </is>
      </c>
      <c r="F15" s="12" t="inlineStr">
        <is>
          <t>N</t>
        </is>
      </c>
      <c r="G15" s="12" t="inlineStr">
        <is>
          <t>Code map COST_CENTER</t>
        </is>
      </c>
      <c r="H15" s="12" t="inlineStr">
        <is>
          <t>As stored in legacy</t>
        </is>
      </c>
      <c r="I15" s="12" t="inlineStr">
        <is>
          <t>4100</t>
        </is>
      </c>
      <c r="J15" s="12" t="inlineStr">
        <is>
          <t>jnl_line cost centre</t>
        </is>
      </c>
      <c r="K15" s="12" t="inlineStr">
        <is>
          <t>Mapped</t>
        </is>
      </c>
      <c r="L15" s="12" t="inlineStr">
        <is>
          <t>EBIX GL</t>
        </is>
      </c>
    </row>
    <row r="16">
      <c r="A16" s="12" t="n">
        <v>12</v>
      </c>
      <c r="B16" s="12" t="inlineStr">
        <is>
          <t>debit_fc</t>
        </is>
      </c>
      <c r="C16" s="12" t="inlineStr">
        <is>
          <t>Debit in the account currency</t>
        </is>
      </c>
      <c r="D16" s="12" t="inlineStr">
        <is>
          <t>Amount</t>
        </is>
      </c>
      <c r="E16" s="12" t="inlineStr">
        <is>
          <t>19,2</t>
        </is>
      </c>
      <c r="F16" s="12" t="inlineStr">
        <is>
          <t>Y</t>
        </is>
      </c>
      <c r="G16" s="12" t="inlineStr">
        <is>
          <t>-</t>
        </is>
      </c>
      <c r="H16" s="12" t="inlineStr">
        <is>
          <t>Dot decimal, 2 decimals</t>
        </is>
      </c>
      <c r="I16" s="12" t="inlineStr">
        <is>
          <t>80000.00</t>
        </is>
      </c>
      <c r="J16" s="12" t="inlineStr">
        <is>
          <t>jnl_line debit (currency)</t>
        </is>
      </c>
      <c r="K16" s="12" t="inlineStr">
        <is>
          <t>0 or more; debit or credit, not both</t>
        </is>
      </c>
      <c r="L16" s="12" t="inlineStr">
        <is>
          <t>EBIX GL</t>
        </is>
      </c>
    </row>
    <row r="17">
      <c r="A17" s="12" t="n">
        <v>13</v>
      </c>
      <c r="B17" s="12" t="inlineStr">
        <is>
          <t>credit_fc</t>
        </is>
      </c>
      <c r="C17" s="12" t="inlineStr">
        <is>
          <t>Credit in the account currency</t>
        </is>
      </c>
      <c r="D17" s="12" t="inlineStr">
        <is>
          <t>Amount</t>
        </is>
      </c>
      <c r="E17" s="12" t="inlineStr">
        <is>
          <t>19,2</t>
        </is>
      </c>
      <c r="F17" s="12" t="inlineStr">
        <is>
          <t>Y</t>
        </is>
      </c>
      <c r="G17" s="12" t="inlineStr">
        <is>
          <t>-</t>
        </is>
      </c>
      <c r="H17" s="12" t="inlineStr">
        <is>
          <t>Dot decimal, 2 decimals</t>
        </is>
      </c>
      <c r="I17" s="12" t="inlineStr">
        <is>
          <t>0.00</t>
        </is>
      </c>
      <c r="J17" s="12" t="inlineStr">
        <is>
          <t>jnl_line credit (currency)</t>
        </is>
      </c>
      <c r="K17" s="12" t="inlineStr">
        <is>
          <t>0 or more</t>
        </is>
      </c>
      <c r="L17" s="12" t="inlineStr">
        <is>
          <t>EBIX GL</t>
        </is>
      </c>
    </row>
    <row r="18">
      <c r="A18" s="12" t="n">
        <v>14</v>
      </c>
      <c r="B18" s="12" t="inlineStr">
        <is>
          <t>debit_php</t>
        </is>
      </c>
      <c r="C18" s="12" t="inlineStr">
        <is>
          <t>Debit in PHP</t>
        </is>
      </c>
      <c r="D18" s="12" t="inlineStr">
        <is>
          <t>Amount</t>
        </is>
      </c>
      <c r="E18" s="12" t="inlineStr">
        <is>
          <t>19,2</t>
        </is>
      </c>
      <c r="F18" s="12" t="inlineStr">
        <is>
          <t>Y</t>
        </is>
      </c>
      <c r="G18" s="12" t="inlineStr">
        <is>
          <t>-</t>
        </is>
      </c>
      <c r="H18" s="12" t="inlineStr">
        <is>
          <t>Dot decimal, 2 decimals</t>
        </is>
      </c>
      <c r="I18" s="12" t="inlineStr">
        <is>
          <t>80000.00</t>
        </is>
      </c>
      <c r="J18" s="12" t="inlineStr">
        <is>
          <t>jnl_line debit (base)</t>
        </is>
      </c>
      <c r="K18" s="12" t="inlineStr">
        <is>
          <t>0 or more; each journal balances per branch and currency (DQ-052)</t>
        </is>
      </c>
      <c r="L18" s="12" t="inlineStr">
        <is>
          <t>EBIX GL</t>
        </is>
      </c>
    </row>
    <row r="19">
      <c r="A19" s="12" t="n">
        <v>15</v>
      </c>
      <c r="B19" s="12" t="inlineStr">
        <is>
          <t>credit_php</t>
        </is>
      </c>
      <c r="C19" s="12" t="inlineStr">
        <is>
          <t>Credit in PHP</t>
        </is>
      </c>
      <c r="D19" s="12" t="inlineStr">
        <is>
          <t>Amount</t>
        </is>
      </c>
      <c r="E19" s="12" t="inlineStr">
        <is>
          <t>19,2</t>
        </is>
      </c>
      <c r="F19" s="12" t="inlineStr">
        <is>
          <t>Y</t>
        </is>
      </c>
      <c r="G19" s="12" t="inlineStr">
        <is>
          <t>-</t>
        </is>
      </c>
      <c r="H19" s="12" t="inlineStr">
        <is>
          <t>Dot decimal, 2 decimals</t>
        </is>
      </c>
      <c r="I19" s="12" t="inlineStr">
        <is>
          <t>0.00</t>
        </is>
      </c>
      <c r="J19" s="12" t="inlineStr">
        <is>
          <t>jnl_line credit (base)</t>
        </is>
      </c>
      <c r="K19" s="12" t="inlineStr">
        <is>
          <t>0 or more</t>
        </is>
      </c>
      <c r="L19" s="12" t="inlineStr">
        <is>
          <t>EBIX GL</t>
        </is>
      </c>
    </row>
    <row r="20">
      <c r="A20" s="12" t="n">
        <v>16</v>
      </c>
      <c r="B20" s="12" t="inlineStr">
        <is>
          <t>fx_rate</t>
        </is>
      </c>
      <c r="C20" s="12" t="inlineStr">
        <is>
          <t>Rate used for the PHP amount</t>
        </is>
      </c>
      <c r="D20" s="12" t="inlineStr">
        <is>
          <t>Decimal</t>
        </is>
      </c>
      <c r="E20" s="12" t="inlineStr">
        <is>
          <t>12,6</t>
        </is>
      </c>
      <c r="F20" s="12" t="inlineStr">
        <is>
          <t>C</t>
        </is>
      </c>
      <c r="G20" s="12" t="inlineStr">
        <is>
          <t>-</t>
        </is>
      </c>
      <c r="H20" s="12" t="inlineStr">
        <is>
          <t>Dot decimal</t>
        </is>
      </c>
      <c r="I20" s="12" t="inlineStr">
        <is>
          <t>56.125000</t>
        </is>
      </c>
      <c r="J20" s="12" t="inlineStr">
        <is>
          <t>BOOK rate check (DMQ35)</t>
        </is>
      </c>
      <c r="K20" s="12" t="inlineStr">
        <is>
          <t>Mandatory when currency is not PHP</t>
        </is>
      </c>
      <c r="L20" s="12" t="inlineStr">
        <is>
          <t>EBIX GL</t>
        </is>
      </c>
    </row>
    <row r="21">
      <c r="A21" s="12" t="n">
        <v>17</v>
      </c>
      <c r="B21" s="12" t="inlineStr">
        <is>
          <t>description</t>
        </is>
      </c>
      <c r="C21" s="12" t="inlineStr">
        <is>
          <t>Journal line description</t>
        </is>
      </c>
      <c r="D21" s="12" t="inlineStr">
        <is>
          <t>Text</t>
        </is>
      </c>
      <c r="E21" s="12" t="inlineStr">
        <is>
          <t>250</t>
        </is>
      </c>
      <c r="F21" s="12" t="inlineStr">
        <is>
          <t>Y</t>
        </is>
      </c>
      <c r="G21" s="12" t="inlineStr">
        <is>
          <t>-</t>
        </is>
      </c>
      <c r="H21" s="12" t="inlineStr">
        <is>
          <t>Free text</t>
        </is>
      </c>
      <c r="I21" s="12" t="inlineStr">
        <is>
          <t>Accrual of December 2027 professional fees</t>
        </is>
      </c>
      <c r="J21" s="12" t="inlineStr">
        <is>
          <t>jnl_line description</t>
        </is>
      </c>
      <c r="K21" s="12" t="inlineStr">
        <is>
          <t>Not blank</t>
        </is>
      </c>
      <c r="L21" s="12" t="inlineStr">
        <is>
          <t>EBIX GL</t>
        </is>
      </c>
    </row>
    <row r="22">
      <c r="A22" s="12" t="n">
        <v>18</v>
      </c>
      <c r="B22" s="12" t="inlineStr">
        <is>
          <t>prepared_by</t>
        </is>
      </c>
      <c r="C22" s="12" t="inlineStr">
        <is>
          <t>Legacy user who prepared the journal</t>
        </is>
      </c>
      <c r="D22" s="12" t="inlineStr">
        <is>
          <t>Text</t>
        </is>
      </c>
      <c r="E22" s="12" t="inlineStr">
        <is>
          <t>50</t>
        </is>
      </c>
      <c r="F22" s="12" t="inlineStr">
        <is>
          <t>Y</t>
        </is>
      </c>
      <c r="G22" s="12" t="inlineStr">
        <is>
          <t>-</t>
        </is>
      </c>
      <c r="H22" s="12" t="inlineStr">
        <is>
          <t>As in legacy</t>
        </is>
      </c>
      <c r="I22" s="12" t="inlineStr">
        <is>
          <t>cmp.jdelacruz</t>
        </is>
      </c>
      <c r="J22" s="12" t="inlineStr">
        <is>
          <t>Cut-off evidence</t>
        </is>
      </c>
      <c r="K22" s="12" t="inlineStr">
        <is>
          <t>On the Comptrollership access list</t>
        </is>
      </c>
      <c r="L22" s="12" t="inlineStr">
        <is>
          <t>EBIX GL audit trail</t>
        </is>
      </c>
    </row>
    <row r="23">
      <c r="A23" s="12" t="n">
        <v>19</v>
      </c>
      <c r="B23" s="12" t="inlineStr">
        <is>
          <t>approved_by</t>
        </is>
      </c>
      <c r="C23" s="12" t="inlineStr">
        <is>
          <t>Legacy user who approved the journal</t>
        </is>
      </c>
      <c r="D23" s="12" t="inlineStr">
        <is>
          <t>Text</t>
        </is>
      </c>
      <c r="E23" s="12" t="inlineStr">
        <is>
          <t>50</t>
        </is>
      </c>
      <c r="F23" s="12" t="inlineStr">
        <is>
          <t>Y</t>
        </is>
      </c>
      <c r="G23" s="12" t="inlineStr">
        <is>
          <t>-</t>
        </is>
      </c>
      <c r="H23" s="12" t="inlineStr">
        <is>
          <t>As in legacy</t>
        </is>
      </c>
      <c r="I23" s="12" t="inlineStr">
        <is>
          <t>cmp.head</t>
        </is>
      </c>
      <c r="J23" s="12" t="inlineStr">
        <is>
          <t>Cut-off evidence</t>
        </is>
      </c>
      <c r="K23" s="12" t="inlineStr">
        <is>
          <t>On the access list; not the preparer (DQ-054)</t>
        </is>
      </c>
      <c r="L23" s="12" t="inlineStr">
        <is>
          <t>EBIX GL audit trail</t>
        </is>
      </c>
    </row>
  </sheetData>
  <autoFilter ref="A4:L23"/>
  <mergeCells count="1">
    <mergeCell ref="A2:L2"/>
  </mergeCells>
  <conditionalFormatting sqref="A5:L523">
    <cfRule type="expression" priority="1" dxfId="3">
      <formula>AND(MOD(ROW(),2)=0,$A5&lt;&gt;"")</formula>
    </cfRule>
  </conditionalFormatting>
  <dataValidations count="2">
    <dataValidation sqref="D5:D523" showDropDown="0" showInputMessage="0" showErrorMessage="1" allowBlank="1" errorTitle="Type" error="Choose a value from the list (Type)." type="list">
      <formula1>'_lists'!$BB$1:$BB$8</formula1>
    </dataValidation>
    <dataValidation sqref="F5:F523" showDropDown="0" showInputMessage="0" showErrorMessage="1" allowBlank="1" errorTitle="Mandatory" error="Choose a value from the list (Mandatory)." type="list">
      <formula1>'_lists'!$BC$1:$BC$3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G03D True-up item detail</t>
        </is>
      </c>
    </row>
    <row r="2">
      <c r="A2" s="24" t="inlineStr">
        <is>
          <t>Layout G03D of object G03; key: legacy_journal_no, line_no, item_ref, component; template templates/G03D_template.csv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trueup_no</t>
        </is>
      </c>
      <c r="C5" s="12" t="inlineStr">
        <is>
          <t>True-up number, as in G03</t>
        </is>
      </c>
      <c r="D5" s="12" t="inlineStr">
        <is>
          <t>Code</t>
        </is>
      </c>
      <c r="E5" s="12" t="inlineStr">
        <is>
          <t>2</t>
        </is>
      </c>
      <c r="F5" s="12" t="inlineStr">
        <is>
          <t>Y</t>
        </is>
      </c>
      <c r="G5" s="12" t="inlineStr">
        <is>
          <t>1, 2, 3, F</t>
        </is>
      </c>
      <c r="H5" s="12" t="inlineStr">
        <is>
          <t>As listed</t>
        </is>
      </c>
      <c r="I5" s="12" t="inlineStr">
        <is>
          <t>1</t>
        </is>
      </c>
      <c r="J5" s="12" t="inlineStr">
        <is>
          <t>mig_trueup</t>
        </is>
      </c>
      <c r="K5" s="12" t="inlineStr">
        <is>
          <t>Equals the G03 file</t>
        </is>
      </c>
      <c r="L5" s="12" t="inlineStr">
        <is>
          <t>Comptrollership</t>
        </is>
      </c>
    </row>
    <row r="6">
      <c r="A6" s="12" t="n">
        <v>2</v>
      </c>
      <c r="B6" s="12" t="inlineStr">
        <is>
          <t>legacy_journal_no</t>
        </is>
      </c>
      <c r="C6" s="12" t="inlineStr">
        <is>
          <t>Legacy journal of the line</t>
        </is>
      </c>
      <c r="D6" s="12" t="inlineStr">
        <is>
          <t>Code</t>
        </is>
      </c>
      <c r="E6" s="12" t="inlineStr">
        <is>
          <t>30</t>
        </is>
      </c>
      <c r="F6" s="12" t="inlineStr">
        <is>
          <t>Y</t>
        </is>
      </c>
      <c r="G6" s="12" t="inlineStr">
        <is>
          <t>legacy_journal_no of G03</t>
        </is>
      </c>
      <c r="H6" s="12" t="inlineStr">
        <is>
          <t>As in G03</t>
        </is>
      </c>
      <c r="I6" s="12" t="inlineStr">
        <is>
          <t>JV-2028-AUD-0003</t>
        </is>
      </c>
      <c r="J6" s="12" t="inlineStr">
        <is>
          <t>Detail link</t>
        </is>
      </c>
      <c r="K6" s="12" t="inlineStr">
        <is>
          <t>Exists in G03</t>
        </is>
      </c>
      <c r="L6" s="12" t="inlineStr">
        <is>
          <t>Comptrollership</t>
        </is>
      </c>
    </row>
    <row r="7">
      <c r="A7" s="12" t="n">
        <v>3</v>
      </c>
      <c r="B7" s="12" t="inlineStr">
        <is>
          <t>line_no</t>
        </is>
      </c>
      <c r="C7" s="12" t="inlineStr">
        <is>
          <t>Line of the legacy journal on the legacy control account</t>
        </is>
      </c>
      <c r="D7" s="12" t="inlineStr">
        <is>
          <t>Integer</t>
        </is>
      </c>
      <c r="E7" s="12" t="inlineStr">
        <is>
          <t>4</t>
        </is>
      </c>
      <c r="F7" s="12" t="inlineStr">
        <is>
          <t>Y</t>
        </is>
      </c>
      <c r="G7" s="12" t="inlineStr">
        <is>
          <t>line_no of G03</t>
        </is>
      </c>
      <c r="H7" s="12" t="inlineStr">
        <is>
          <t>Digits</t>
        </is>
      </c>
      <c r="I7" s="12" t="inlineStr">
        <is>
          <t>2</t>
        </is>
      </c>
      <c r="J7" s="12" t="inlineStr">
        <is>
          <t>Detail link</t>
        </is>
      </c>
      <c r="K7" s="12" t="inlineStr">
        <is>
          <t>Exists in G03; the line is on a legacy control account</t>
        </is>
      </c>
      <c r="L7" s="12" t="inlineStr">
        <is>
          <t>Comptrollership</t>
        </is>
      </c>
    </row>
    <row r="8">
      <c r="A8" s="12" t="n">
        <v>4</v>
      </c>
      <c r="B8" s="12" t="inlineStr">
        <is>
          <t>item_kind</t>
        </is>
      </c>
      <c r="C8" s="12" t="inlineStr">
        <is>
          <t>Legacy invoice or legacy UPP</t>
        </is>
      </c>
      <c r="D8" s="12" t="inlineStr">
        <is>
          <t>Code</t>
        </is>
      </c>
      <c r="E8" s="12" t="inlineStr">
        <is>
          <t>8</t>
        </is>
      </c>
      <c r="F8" s="12" t="inlineStr">
        <is>
          <t>Y</t>
        </is>
      </c>
      <c r="G8" s="12" t="inlineStr">
        <is>
          <t>INVOICE, UPP</t>
        </is>
      </c>
      <c r="H8" s="12" t="inlineStr">
        <is>
          <t>Upper case</t>
        </is>
      </c>
      <c r="I8" s="12" t="inlineStr">
        <is>
          <t>INVOICE</t>
        </is>
      </c>
      <c r="J8" s="12" t="inlineStr">
        <is>
          <t>Target of the adjustment</t>
        </is>
      </c>
      <c r="K8" s="12" t="inlineStr">
        <is>
          <t>In the list</t>
        </is>
      </c>
      <c r="L8" s="12" t="inlineStr">
        <is>
          <t>Comptrollership</t>
        </is>
      </c>
    </row>
    <row r="9">
      <c r="A9" s="12" t="n">
        <v>5</v>
      </c>
      <c r="B9" s="12" t="inlineStr">
        <is>
          <t>item_ref</t>
        </is>
      </c>
      <c r="C9" s="12" t="inlineStr">
        <is>
          <t>Legacy invoice number (F01) or UPP reference (F02)</t>
        </is>
      </c>
      <c r="D9" s="12" t="inlineStr">
        <is>
          <t>Code</t>
        </is>
      </c>
      <c r="E9" s="12" t="inlineStr">
        <is>
          <t>40</t>
        </is>
      </c>
      <c r="F9" s="12" t="inlineStr">
        <is>
          <t>Y</t>
        </is>
      </c>
      <c r="G9" s="12" t="inlineStr">
        <is>
          <t>legacy_invoice_no of F01 or upp_ref of F02</t>
        </is>
      </c>
      <c r="H9" s="12" t="inlineStr">
        <is>
          <t>As in F01 or F02</t>
        </is>
      </c>
      <c r="I9" s="12" t="inlineStr">
        <is>
          <t>I00300002</t>
        </is>
      </c>
      <c r="J9" s="12" t="inlineStr">
        <is>
          <t>ops_invoice or csh_unapplied through the cross-reference</t>
        </is>
      </c>
      <c r="K9" s="12" t="inlineStr">
        <is>
          <t>Item loaded (DQ-056)</t>
        </is>
      </c>
      <c r="L9" s="12" t="inlineStr">
        <is>
          <t>Comptrollership</t>
        </is>
      </c>
    </row>
    <row r="10">
      <c r="A10" s="12" t="n">
        <v>6</v>
      </c>
      <c r="B10" s="12" t="inlineStr">
        <is>
          <t>component</t>
        </is>
      </c>
      <c r="C10" s="12" t="inlineStr">
        <is>
          <t>Component adjusted (UPP for an unapplied item)</t>
        </is>
      </c>
      <c r="D10" s="12" t="inlineStr">
        <is>
          <t>Code</t>
        </is>
      </c>
      <c r="E10" s="12" t="inlineStr">
        <is>
          <t>20</t>
        </is>
      </c>
      <c r="F10" s="12" t="inlineStr">
        <is>
          <t>Y</t>
        </is>
      </c>
      <c r="G10" s="12" t="inlineStr">
        <is>
          <t>BASIC, DST, PREMIUM_TAX_VAT, LGT, FST, OTHER, DTIP, COMMISSION, COMMISSION_VAT, WTAX, PR2307, UNREALIZED, DEFERRED_VAT, UPP</t>
        </is>
      </c>
      <c r="H10" s="12" t="inlineStr">
        <is>
          <t>Upper case</t>
        </is>
      </c>
      <c r="I10" s="12" t="inlineStr">
        <is>
          <t>BASIC</t>
        </is>
      </c>
      <c r="J10" s="12" t="inlineStr">
        <is>
          <t>ops_invoice_component (LedgerComponent) or UPP balance</t>
        </is>
      </c>
      <c r="K10" s="12" t="inlineStr">
        <is>
          <t>In the list</t>
        </is>
      </c>
      <c r="L10" s="12" t="inlineStr">
        <is>
          <t>Comptrollership</t>
        </is>
      </c>
    </row>
    <row r="11">
      <c r="A11" s="12" t="n">
        <v>7</v>
      </c>
      <c r="B11" s="12" t="inlineStr">
        <is>
          <t>movement</t>
        </is>
      </c>
      <c r="C11" s="12" t="inlineStr">
        <is>
          <t>Effect on the open item</t>
        </is>
      </c>
      <c r="D11" s="12" t="inlineStr">
        <is>
          <t>Code</t>
        </is>
      </c>
      <c r="E11" s="12" t="inlineStr">
        <is>
          <t>12</t>
        </is>
      </c>
      <c r="F11" s="12" t="inlineStr">
        <is>
          <t>Y</t>
        </is>
      </c>
      <c r="G11" s="12" t="inlineStr">
        <is>
          <t>ADJUSTED, WRITTEN_OFF</t>
        </is>
      </c>
      <c r="H11" s="12" t="inlineStr">
        <is>
          <t>Upper case</t>
        </is>
      </c>
      <c r="I11" s="12" t="inlineStr">
        <is>
          <t>WRITTEN_OFF</t>
        </is>
      </c>
      <c r="J11" s="12" t="inlineStr">
        <is>
          <t>Movement LEGACY_ADJUSTED or LEGACY_WRITTEN_OFF; event MIG_LEGACY_POSITION_TRUEUP</t>
        </is>
      </c>
      <c r="K11" s="12" t="inlineStr">
        <is>
          <t>In the list</t>
        </is>
      </c>
      <c r="L11" s="12" t="inlineStr">
        <is>
          <t>Comptrollership</t>
        </is>
      </c>
    </row>
    <row r="12">
      <c r="A12" s="12" t="n">
        <v>8</v>
      </c>
      <c r="B12" s="12" t="inlineStr">
        <is>
          <t>currency</t>
        </is>
      </c>
      <c r="C12" s="12" t="inlineStr">
        <is>
          <t>Currency of the item</t>
        </is>
      </c>
      <c r="D12" s="12" t="inlineStr">
        <is>
          <t>Code</t>
        </is>
      </c>
      <c r="E12" s="12" t="inlineStr">
        <is>
          <t>3</t>
        </is>
      </c>
      <c r="F12" s="12" t="inlineStr">
        <is>
          <t>Y</t>
        </is>
      </c>
      <c r="G12" s="12" t="inlineStr">
        <is>
          <t>ISO 4217</t>
        </is>
      </c>
      <c r="H12" s="12" t="inlineStr">
        <is>
          <t>Upper case</t>
        </is>
      </c>
      <c r="I12" s="12" t="inlineStr">
        <is>
          <t>PHP</t>
        </is>
      </c>
      <c r="J12" s="12" t="inlineStr">
        <is>
          <t>Movement currency</t>
        </is>
      </c>
      <c r="K12" s="12" t="inlineStr">
        <is>
          <t>Equals the item currency</t>
        </is>
      </c>
      <c r="L12" s="12" t="inlineStr">
        <is>
          <t>Comptrollership</t>
        </is>
      </c>
    </row>
    <row r="13">
      <c r="A13" s="12" t="n">
        <v>9</v>
      </c>
      <c r="B13" s="12" t="inlineStr">
        <is>
          <t>amount</t>
        </is>
      </c>
      <c r="C13" s="12" t="inlineStr">
        <is>
          <t>Change of the open balance - positive raises it, negative lowers it</t>
        </is>
      </c>
      <c r="D13" s="12" t="inlineStr">
        <is>
          <t>Amount</t>
        </is>
      </c>
      <c r="E13" s="12" t="inlineStr">
        <is>
          <t>19,2</t>
        </is>
      </c>
      <c r="F13" s="12" t="inlineStr">
        <is>
          <t>Y</t>
        </is>
      </c>
      <c r="G13" s="12" t="inlineStr">
        <is>
          <t>-</t>
        </is>
      </c>
      <c r="H13" s="12" t="inlineStr">
        <is>
          <t>Dot decimal, 2 decimals</t>
        </is>
      </c>
      <c r="I13" s="12" t="inlineStr">
        <is>
          <t>-3000.00</t>
        </is>
      </c>
      <c r="J13" s="12" t="inlineStr">
        <is>
          <t>Movement amount</t>
        </is>
      </c>
      <c r="K13" s="12" t="inlineStr">
        <is>
          <t>Open balance stays within 0 and booked + adjusted (DQ-056); detail per account equals the G03 line (DQ-055)</t>
        </is>
      </c>
      <c r="L13" s="12" t="inlineStr">
        <is>
          <t>Comptrollership</t>
        </is>
      </c>
    </row>
    <row r="14">
      <c r="A14" s="12" t="n">
        <v>10</v>
      </c>
      <c r="B14" s="12" t="inlineStr">
        <is>
          <t>reason</t>
        </is>
      </c>
      <c r="C14" s="12" t="inlineStr">
        <is>
          <t>Reason or audit finding</t>
        </is>
      </c>
      <c r="D14" s="12" t="inlineStr">
        <is>
          <t>Text</t>
        </is>
      </c>
      <c r="E14" s="12" t="inlineStr">
        <is>
          <t>250</t>
        </is>
      </c>
      <c r="F14" s="12" t="inlineStr">
        <is>
          <t>Y</t>
        </is>
      </c>
      <c r="G14" s="12" t="inlineStr">
        <is>
          <t>-</t>
        </is>
      </c>
      <c r="H14" s="12" t="inlineStr">
        <is>
          <t>Free text</t>
        </is>
      </c>
      <c r="I14" s="12" t="inlineStr">
        <is>
          <t>Audit finding 7 - uncollectible premium written off</t>
        </is>
      </c>
      <c r="J14" s="12" t="inlineStr">
        <is>
          <t>Movement remarks</t>
        </is>
      </c>
      <c r="K14" s="12" t="inlineStr">
        <is>
          <t>Not blank</t>
        </is>
      </c>
      <c r="L14" s="12" t="inlineStr">
        <is>
          <t>Adjustment register</t>
        </is>
      </c>
    </row>
  </sheetData>
  <autoFilter ref="A4:L14"/>
  <mergeCells count="1">
    <mergeCell ref="A2:L2"/>
  </mergeCells>
  <conditionalFormatting sqref="A5:L514">
    <cfRule type="expression" priority="1" dxfId="3">
      <formula>AND(MOD(ROW(),2)=0,$A5&lt;&gt;"")</formula>
    </cfRule>
  </conditionalFormatting>
  <dataValidations count="2">
    <dataValidation sqref="D5:D514" showDropDown="0" showInputMessage="0" showErrorMessage="1" allowBlank="1" errorTitle="Type" error="Choose a value from the list (Type)." type="list">
      <formula1>'_lists'!$BD$1:$BD$8</formula1>
    </dataValidation>
    <dataValidation sqref="F5:F514" showDropDown="0" showInputMessage="0" showErrorMessage="1" allowBlank="1" errorTitle="Mandatory" error="Choose a value from the list (Mandatory)." type="list">
      <formula1>'_lists'!$BE$1:$BE$3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H01 Archive records</t>
        </is>
      </c>
    </row>
    <row r="2">
      <c r="A2" s="24" t="inlineStr">
        <is>
          <t>Layout H01 of object H01; key: record_type, legacy_key; template templates/H01_template.csv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record_type</t>
        </is>
      </c>
      <c r="C5" s="12" t="inlineStr">
        <is>
          <t>Kind of record</t>
        </is>
      </c>
      <c r="D5" s="12" t="inlineStr">
        <is>
          <t>Code</t>
        </is>
      </c>
      <c r="E5" s="12" t="inlineStr">
        <is>
          <t>20</t>
        </is>
      </c>
      <c r="F5" s="12" t="inlineStr">
        <is>
          <t>Y</t>
        </is>
      </c>
      <c r="G5" s="12" t="inlineStr">
        <is>
          <t>CLIENT, POLICY, INVOICE, RECEIPT, REMITTANCE, ENDORSEMENT, CLAIM, GL_JOURNAL, RENEWAL_ADVICE, LETTER, OTHER</t>
        </is>
      </c>
      <c r="H5" s="12" t="inlineStr">
        <is>
          <t>Upper case</t>
        </is>
      </c>
      <c r="I5" s="12" t="inlineStr">
        <is>
          <t>INVOICE</t>
        </is>
      </c>
      <c r="J5" s="12" t="inlineStr">
        <is>
          <t>mig_archive_record.record_type</t>
        </is>
      </c>
      <c r="K5" s="12" t="inlineStr">
        <is>
          <t>In the list</t>
        </is>
      </c>
      <c r="L5" s="12" t="inlineStr">
        <is>
          <t>EBIX, QPS, ISYS</t>
        </is>
      </c>
    </row>
    <row r="6">
      <c r="A6" s="12" t="n">
        <v>2</v>
      </c>
      <c r="B6" s="12" t="inlineStr">
        <is>
          <t>legacy_key</t>
        </is>
      </c>
      <c r="C6" s="12" t="inlineStr">
        <is>
          <t>Unique key of the record in the source</t>
        </is>
      </c>
      <c r="D6" s="12" t="inlineStr">
        <is>
          <t>Code</t>
        </is>
      </c>
      <c r="E6" s="12" t="inlineStr">
        <is>
          <t>80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I00098765</t>
        </is>
      </c>
      <c r="J6" s="12" t="inlineStr">
        <is>
          <t>mig_archive_record.legacy_key</t>
        </is>
      </c>
      <c r="K6" s="12" t="inlineStr">
        <is>
          <t>Unique per record type</t>
        </is>
      </c>
      <c r="L6" s="12" t="inlineStr">
        <is>
          <t>EBIX, QPS, ISYS</t>
        </is>
      </c>
    </row>
    <row r="7">
      <c r="A7" s="12" t="n">
        <v>3</v>
      </c>
      <c r="B7" s="12" t="inlineStr">
        <is>
          <t>legacy_client_no</t>
        </is>
      </c>
      <c r="C7" s="12" t="inlineStr">
        <is>
          <t>Client number</t>
        </is>
      </c>
      <c r="D7" s="12" t="inlineStr">
        <is>
          <t>Code</t>
        </is>
      </c>
      <c r="E7" s="12" t="inlineStr">
        <is>
          <t>30</t>
        </is>
      </c>
      <c r="F7" s="12" t="inlineStr">
        <is>
          <t>N</t>
        </is>
      </c>
      <c r="G7" s="12" t="inlineStr">
        <is>
          <t>-</t>
        </is>
      </c>
      <c r="H7" s="12" t="inlineStr">
        <is>
          <t>As stored in legacy</t>
        </is>
      </c>
      <c r="I7" s="12" t="inlineStr">
        <is>
          <t>Q-0012345</t>
        </is>
      </c>
      <c r="J7" s="12" t="inlineStr">
        <is>
          <t>mig_archive_record client key</t>
        </is>
      </c>
      <c r="K7" s="12" t="inlineStr">
        <is>
          <t>-</t>
        </is>
      </c>
      <c r="L7" s="12" t="inlineStr">
        <is>
          <t>EBIX, QPS</t>
        </is>
      </c>
    </row>
    <row r="8">
      <c r="A8" s="12" t="n">
        <v>4</v>
      </c>
      <c r="B8" s="12" t="inlineStr">
        <is>
          <t>client_name</t>
        </is>
      </c>
      <c r="C8" s="12" t="inlineStr">
        <is>
          <t>Client name</t>
        </is>
      </c>
      <c r="D8" s="12" t="inlineStr">
        <is>
          <t>Text</t>
        </is>
      </c>
      <c r="E8" s="12" t="inlineStr">
        <is>
          <t>250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Free text</t>
        </is>
      </c>
      <c r="I8" s="12" t="inlineStr">
        <is>
          <t>Ana C. Reyes</t>
        </is>
      </c>
      <c r="J8" s="12" t="inlineStr">
        <is>
          <t>mig_archive_record client name</t>
        </is>
      </c>
      <c r="K8" s="12" t="inlineStr">
        <is>
          <t>-</t>
        </is>
      </c>
      <c r="L8" s="12" t="inlineStr">
        <is>
          <t>EBIX, QPS</t>
        </is>
      </c>
    </row>
    <row r="9">
      <c r="A9" s="12" t="n">
        <v>5</v>
      </c>
      <c r="B9" s="12" t="inlineStr">
        <is>
          <t>policy_no</t>
        </is>
      </c>
      <c r="C9" s="12" t="inlineStr">
        <is>
          <t>Policy or cover number</t>
        </is>
      </c>
      <c r="D9" s="12" t="inlineStr">
        <is>
          <t>Text</t>
        </is>
      </c>
      <c r="E9" s="12" t="inlineStr">
        <is>
          <t>60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As stored in legacy</t>
        </is>
      </c>
      <c r="I9" s="12" t="inlineStr">
        <is>
          <t>MC-PC-22-0004567</t>
        </is>
      </c>
      <c r="J9" s="12" t="inlineStr">
        <is>
          <t>mig_archive_record policy no.</t>
        </is>
      </c>
      <c r="K9" s="12" t="inlineStr">
        <is>
          <t>-</t>
        </is>
      </c>
      <c r="L9" s="12" t="inlineStr">
        <is>
          <t>EBIX, QPS</t>
        </is>
      </c>
    </row>
    <row r="10">
      <c r="A10" s="12" t="n">
        <v>6</v>
      </c>
      <c r="B10" s="12" t="inlineStr">
        <is>
          <t>invoice_no</t>
        </is>
      </c>
      <c r="C10" s="12" t="inlineStr">
        <is>
          <t>Invoice number</t>
        </is>
      </c>
      <c r="D10" s="12" t="inlineStr">
        <is>
          <t>Text</t>
        </is>
      </c>
      <c r="E10" s="12" t="inlineStr">
        <is>
          <t>40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As stored in legacy</t>
        </is>
      </c>
      <c r="I10" s="12" t="inlineStr">
        <is>
          <t>I00098765</t>
        </is>
      </c>
      <c r="J10" s="12" t="inlineStr">
        <is>
          <t>mig_archive_record invoice no.</t>
        </is>
      </c>
      <c r="K10" s="12" t="inlineStr">
        <is>
          <t>-</t>
        </is>
      </c>
      <c r="L10" s="12" t="inlineStr">
        <is>
          <t>EBIX</t>
        </is>
      </c>
    </row>
    <row r="11">
      <c r="A11" s="12" t="n">
        <v>7</v>
      </c>
      <c r="B11" s="12" t="inlineStr">
        <is>
          <t>receipt_no</t>
        </is>
      </c>
      <c r="C11" s="12" t="inlineStr">
        <is>
          <t>AR or OR number</t>
        </is>
      </c>
      <c r="D11" s="12" t="inlineStr">
        <is>
          <t>Text</t>
        </is>
      </c>
      <c r="E11" s="12" t="inlineStr">
        <is>
          <t>40</t>
        </is>
      </c>
      <c r="F11" s="12" t="inlineStr">
        <is>
          <t>N</t>
        </is>
      </c>
      <c r="G11" s="12" t="inlineStr">
        <is>
          <t>-</t>
        </is>
      </c>
      <c r="H11" s="12" t="inlineStr">
        <is>
          <t>As printed</t>
        </is>
      </c>
      <c r="I11" s="12" t="inlineStr">
        <is>
          <t>AR-MKT-098001</t>
        </is>
      </c>
      <c r="J11" s="12" t="inlineStr">
        <is>
          <t>mig_archive_record receipt no.</t>
        </is>
      </c>
      <c r="K11" s="12" t="inlineStr">
        <is>
          <t>-</t>
        </is>
      </c>
      <c r="L11" s="12" t="inlineStr">
        <is>
          <t>EBIX</t>
        </is>
      </c>
    </row>
    <row r="12">
      <c r="A12" s="12" t="n">
        <v>8</v>
      </c>
      <c r="B12" s="12" t="inlineStr">
        <is>
          <t>claim_no</t>
        </is>
      </c>
      <c r="C12" s="12" t="inlineStr">
        <is>
          <t>Claim number</t>
        </is>
      </c>
      <c r="D12" s="12" t="inlineStr">
        <is>
          <t>Text</t>
        </is>
      </c>
      <c r="E12" s="12" t="inlineStr">
        <is>
          <t>40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As stored in legacy</t>
        </is>
      </c>
      <c r="I12" s="12" t="inlineStr">
        <is>
          <t>CL-2023-000456</t>
        </is>
      </c>
      <c r="J12" s="12" t="inlineStr">
        <is>
          <t>mig_archive_record claim no.</t>
        </is>
      </c>
      <c r="K12" s="12" t="inlineStr">
        <is>
          <t>-</t>
        </is>
      </c>
      <c r="L12" s="12" t="inlineStr">
        <is>
          <t>EBIX, ISYS</t>
        </is>
      </c>
    </row>
    <row r="13">
      <c r="A13" s="12" t="n">
        <v>9</v>
      </c>
      <c r="B13" s="12" t="inlineStr">
        <is>
          <t>document_date</t>
        </is>
      </c>
      <c r="C13" s="12" t="inlineStr">
        <is>
          <t>Date of the record</t>
        </is>
      </c>
      <c r="D13" s="12" t="inlineStr">
        <is>
          <t>Date</t>
        </is>
      </c>
      <c r="E13" s="12" t="inlineStr">
        <is>
          <t>10</t>
        </is>
      </c>
      <c r="F13" s="12" t="inlineStr">
        <is>
          <t>Y</t>
        </is>
      </c>
      <c r="G13" s="12" t="inlineStr">
        <is>
          <t>-</t>
        </is>
      </c>
      <c r="H13" s="12" t="inlineStr">
        <is>
          <t>yyyy-MM-dd</t>
        </is>
      </c>
      <c r="I13" s="12" t="inlineStr">
        <is>
          <t>2022-05-10</t>
        </is>
      </c>
      <c r="J13" s="12" t="inlineStr">
        <is>
          <t>mig_archive_record document date</t>
        </is>
      </c>
      <c r="K13" s="12" t="inlineStr">
        <is>
          <t>Valid date</t>
        </is>
      </c>
      <c r="L13" s="12" t="inlineStr">
        <is>
          <t>EBIX, QPS, ISYS</t>
        </is>
      </c>
    </row>
    <row r="14">
      <c r="A14" s="12" t="n">
        <v>10</v>
      </c>
      <c r="B14" s="12" t="inlineStr">
        <is>
          <t>period_from</t>
        </is>
      </c>
      <c r="C14" s="12" t="inlineStr">
        <is>
          <t>Period from</t>
        </is>
      </c>
      <c r="D14" s="12" t="inlineStr">
        <is>
          <t>Date</t>
        </is>
      </c>
      <c r="E14" s="12" t="inlineStr">
        <is>
          <t>10</t>
        </is>
      </c>
      <c r="F14" s="12" t="inlineStr">
        <is>
          <t>N</t>
        </is>
      </c>
      <c r="G14" s="12" t="inlineStr">
        <is>
          <t>-</t>
        </is>
      </c>
      <c r="H14" s="12" t="inlineStr">
        <is>
          <t>yyyy-MM-dd</t>
        </is>
      </c>
      <c r="I14" s="12" t="inlineStr">
        <is>
          <t>2022-05-15</t>
        </is>
      </c>
      <c r="J14" s="12" t="inlineStr">
        <is>
          <t>mig_archive_record period</t>
        </is>
      </c>
      <c r="K14" s="12" t="inlineStr">
        <is>
          <t>Valid date</t>
        </is>
      </c>
      <c r="L14" s="12" t="inlineStr">
        <is>
          <t>EBIX, QPS</t>
        </is>
      </c>
    </row>
    <row r="15">
      <c r="A15" s="12" t="n">
        <v>11</v>
      </c>
      <c r="B15" s="12" t="inlineStr">
        <is>
          <t>period_to</t>
        </is>
      </c>
      <c r="C15" s="12" t="inlineStr">
        <is>
          <t>Period to</t>
        </is>
      </c>
      <c r="D15" s="12" t="inlineStr">
        <is>
          <t>Date</t>
        </is>
      </c>
      <c r="E15" s="12" t="inlineStr">
        <is>
          <t>10</t>
        </is>
      </c>
      <c r="F15" s="12" t="inlineStr">
        <is>
          <t>N</t>
        </is>
      </c>
      <c r="G15" s="12" t="inlineStr">
        <is>
          <t>-</t>
        </is>
      </c>
      <c r="H15" s="12" t="inlineStr">
        <is>
          <t>yyyy-MM-dd</t>
        </is>
      </c>
      <c r="I15" s="12" t="inlineStr">
        <is>
          <t>2023-05-15</t>
        </is>
      </c>
      <c r="J15" s="12" t="inlineStr">
        <is>
          <t>mig_archive_record period</t>
        </is>
      </c>
      <c r="K15" s="12" t="inlineStr">
        <is>
          <t>Not before period_from</t>
        </is>
      </c>
      <c r="L15" s="12" t="inlineStr">
        <is>
          <t>EBIX, QPS</t>
        </is>
      </c>
    </row>
    <row r="16">
      <c r="A16" s="12" t="n">
        <v>12</v>
      </c>
      <c r="B16" s="12" t="inlineStr">
        <is>
          <t>currency</t>
        </is>
      </c>
      <c r="C16" s="12" t="inlineStr">
        <is>
          <t>Currency</t>
        </is>
      </c>
      <c r="D16" s="12" t="inlineStr">
        <is>
          <t>Code</t>
        </is>
      </c>
      <c r="E16" s="12" t="inlineStr">
        <is>
          <t>3</t>
        </is>
      </c>
      <c r="F16" s="12" t="inlineStr">
        <is>
          <t>N</t>
        </is>
      </c>
      <c r="G16" s="12" t="inlineStr">
        <is>
          <t>ISO 4217</t>
        </is>
      </c>
      <c r="H16" s="12" t="inlineStr">
        <is>
          <t>Upper case</t>
        </is>
      </c>
      <c r="I16" s="12" t="inlineStr">
        <is>
          <t>PHP</t>
        </is>
      </c>
      <c r="J16" s="12" t="inlineStr">
        <is>
          <t>mig_archive_record currency</t>
        </is>
      </c>
      <c r="K16" s="12" t="inlineStr">
        <is>
          <t>Valid code</t>
        </is>
      </c>
      <c r="L16" s="12" t="inlineStr">
        <is>
          <t>EBIX</t>
        </is>
      </c>
    </row>
    <row r="17">
      <c r="A17" s="12" t="n">
        <v>13</v>
      </c>
      <c r="B17" s="12" t="inlineStr">
        <is>
          <t>amount</t>
        </is>
      </c>
      <c r="C17" s="12" t="inlineStr">
        <is>
          <t>Main amount of the record</t>
        </is>
      </c>
      <c r="D17" s="12" t="inlineStr">
        <is>
          <t>Amount</t>
        </is>
      </c>
      <c r="E17" s="12" t="inlineStr">
        <is>
          <t>19,2</t>
        </is>
      </c>
      <c r="F17" s="12" t="inlineStr">
        <is>
          <t>N</t>
        </is>
      </c>
      <c r="G17" s="12" t="inlineStr">
        <is>
          <t>-</t>
        </is>
      </c>
      <c r="H17" s="12" t="inlineStr">
        <is>
          <t>Dot decimal, 2 decimals</t>
        </is>
      </c>
      <c r="I17" s="12" t="inlineStr">
        <is>
          <t>18450.00</t>
        </is>
      </c>
      <c r="J17" s="12" t="inlineStr">
        <is>
          <t>mig_archive_record amount</t>
        </is>
      </c>
      <c r="K17" s="12" t="inlineStr">
        <is>
          <t>-</t>
        </is>
      </c>
      <c r="L17" s="12" t="inlineStr">
        <is>
          <t>EBIX</t>
        </is>
      </c>
    </row>
    <row r="18">
      <c r="A18" s="12" t="n">
        <v>14</v>
      </c>
      <c r="B18" s="12" t="inlineStr">
        <is>
          <t>status</t>
        </is>
      </c>
      <c r="C18" s="12" t="inlineStr">
        <is>
          <t>Status in legacy</t>
        </is>
      </c>
      <c r="D18" s="12" t="inlineStr">
        <is>
          <t>Text</t>
        </is>
      </c>
      <c r="E18" s="12" t="inlineStr">
        <is>
          <t>40</t>
        </is>
      </c>
      <c r="F18" s="12" t="inlineStr">
        <is>
          <t>N</t>
        </is>
      </c>
      <c r="G18" s="12" t="inlineStr">
        <is>
          <t>-</t>
        </is>
      </c>
      <c r="H18" s="12" t="inlineStr">
        <is>
          <t>As stored in legacy</t>
        </is>
      </c>
      <c r="I18" s="12" t="inlineStr">
        <is>
          <t>PAID_REMITTED</t>
        </is>
      </c>
      <c r="J18" s="12" t="inlineStr">
        <is>
          <t>mig_archive_record status</t>
        </is>
      </c>
      <c r="K18" s="12" t="inlineStr">
        <is>
          <t>-</t>
        </is>
      </c>
      <c r="L18" s="12" t="inlineStr">
        <is>
          <t>EBIX, QPS, ISYS</t>
        </is>
      </c>
    </row>
    <row r="19">
      <c r="A19" s="12" t="n">
        <v>15</v>
      </c>
      <c r="B19" s="12" t="inlineStr">
        <is>
          <t>detail_json</t>
        </is>
      </c>
      <c r="C19" s="12" t="inlineStr">
        <is>
          <t>All other legacy columns as a JSON object of label and value</t>
        </is>
      </c>
      <c r="D19" s="12" t="inlineStr">
        <is>
          <t>Text</t>
        </is>
      </c>
      <c r="E19" s="12" t="inlineStr">
        <is>
          <t>20000</t>
        </is>
      </c>
      <c r="F19" s="12" t="inlineStr">
        <is>
          <t>N</t>
        </is>
      </c>
      <c r="G19" s="12" t="inlineStr">
        <is>
          <t>-</t>
        </is>
      </c>
      <c r="H19" s="12" t="inlineStr">
        <is>
          <t>JSON object</t>
        </is>
      </c>
      <c r="I19" s="12" t="inlineStr">
        <is>
          <t>{"Insurer":"MAL","Remitted on":"2022-07-01"}</t>
        </is>
      </c>
      <c r="J19" s="12" t="inlineStr">
        <is>
          <t>mig_archive_record summary (JSONB)</t>
        </is>
      </c>
      <c r="K19" s="12" t="inlineStr">
        <is>
          <t>Valid JSON</t>
        </is>
      </c>
      <c r="L19" s="12" t="inlineStr">
        <is>
          <t>EBIX, QPS, ISYS</t>
        </is>
      </c>
    </row>
  </sheetData>
  <autoFilter ref="A4:L19"/>
  <mergeCells count="1">
    <mergeCell ref="A2:L2"/>
  </mergeCells>
  <conditionalFormatting sqref="A5:L519">
    <cfRule type="expression" priority="1" dxfId="3">
      <formula>AND(MOD(ROW(),2)=0,$A5&lt;&gt;"")</formula>
    </cfRule>
  </conditionalFormatting>
  <dataValidations count="2">
    <dataValidation sqref="D5:D519" showDropDown="0" showInputMessage="0" showErrorMessage="1" allowBlank="1" errorTitle="Type" error="Choose a value from the list (Type)." type="list">
      <formula1>'_lists'!$BF$1:$BF$8</formula1>
    </dataValidation>
    <dataValidation sqref="F5:F519" showDropDown="0" showInputMessage="0" showErrorMessage="1" allowBlank="1" errorTitle="Mandatory" error="Choose a value from the list (Mandatory)." type="list">
      <formula1>'_lists'!$BG$1:$BG$3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H02 Archive documents</t>
        </is>
      </c>
    </row>
    <row r="2">
      <c r="A2" s="24" t="inlineStr">
        <is>
          <t>Layout H02 of object H02; key: record_type, legacy_key, file_name; template templates/H02_template.csv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record_type</t>
        </is>
      </c>
      <c r="C5" s="12" t="inlineStr">
        <is>
          <t>Kind of the archive record the document belongs to</t>
        </is>
      </c>
      <c r="D5" s="12" t="inlineStr">
        <is>
          <t>Code</t>
        </is>
      </c>
      <c r="E5" s="12" t="inlineStr">
        <is>
          <t>20</t>
        </is>
      </c>
      <c r="F5" s="12" t="inlineStr">
        <is>
          <t>Y</t>
        </is>
      </c>
      <c r="G5" s="12" t="inlineStr">
        <is>
          <t>Same list as H01 record_type</t>
        </is>
      </c>
      <c r="H5" s="12" t="inlineStr">
        <is>
          <t>Upper case</t>
        </is>
      </c>
      <c r="I5" s="12" t="inlineStr">
        <is>
          <t>CLIENT</t>
        </is>
      </c>
      <c r="J5" s="12" t="inlineStr">
        <is>
          <t>Archive record (link)</t>
        </is>
      </c>
      <c r="K5" s="12" t="inlineStr">
        <is>
          <t>In the list</t>
        </is>
      </c>
      <c r="L5" s="12" t="inlineStr">
        <is>
          <t>File shares, EBIX</t>
        </is>
      </c>
    </row>
    <row r="6">
      <c r="A6" s="12" t="n">
        <v>2</v>
      </c>
      <c r="B6" s="12" t="inlineStr">
        <is>
          <t>legacy_key</t>
        </is>
      </c>
      <c r="C6" s="12" t="inlineStr">
        <is>
          <t>Key of the archive record (or legacy_client_no for KYC documents)</t>
        </is>
      </c>
      <c r="D6" s="12" t="inlineStr">
        <is>
          <t>Code</t>
        </is>
      </c>
      <c r="E6" s="12" t="inlineStr">
        <is>
          <t>80</t>
        </is>
      </c>
      <c r="F6" s="12" t="inlineStr">
        <is>
          <t>Y</t>
        </is>
      </c>
      <c r="G6" s="12" t="inlineStr">
        <is>
          <t>legacy_key of H01</t>
        </is>
      </c>
      <c r="H6" s="12" t="inlineStr">
        <is>
          <t>As in H01</t>
        </is>
      </c>
      <c r="I6" s="12" t="inlineStr">
        <is>
          <t>Q-0012345</t>
        </is>
      </c>
      <c r="J6" s="12" t="inlineStr">
        <is>
          <t>Archive record (link)</t>
        </is>
      </c>
      <c r="K6" s="12" t="inlineStr">
        <is>
          <t>Record exists in H01 or C01</t>
        </is>
      </c>
      <c r="L6" s="12" t="inlineStr">
        <is>
          <t>File shares, EBIX</t>
        </is>
      </c>
    </row>
    <row r="7">
      <c r="A7" s="12" t="n">
        <v>3</v>
      </c>
      <c r="B7" s="12" t="inlineStr">
        <is>
          <t>document_type</t>
        </is>
      </c>
      <c r="C7" s="12" t="inlineStr">
        <is>
          <t>Kind of document</t>
        </is>
      </c>
      <c r="D7" s="12" t="inlineStr">
        <is>
          <t>Code</t>
        </is>
      </c>
      <c r="E7" s="12" t="inlineStr">
        <is>
          <t>40</t>
        </is>
      </c>
      <c r="F7" s="12" t="inlineStr">
        <is>
          <t>Y</t>
        </is>
      </c>
      <c r="G7" s="12" t="inlineStr">
        <is>
          <t>Code map DOCUMENT_TYPE</t>
        </is>
      </c>
      <c r="H7" s="12" t="inlineStr">
        <is>
          <t>As stored in legacy</t>
        </is>
      </c>
      <c r="I7" s="12" t="inlineStr">
        <is>
          <t>KYC_ID</t>
        </is>
      </c>
      <c r="J7" s="12" t="inlineStr">
        <is>
          <t>attachment document type LEGACY_DOCUMENT and sub-type</t>
        </is>
      </c>
      <c r="K7" s="12" t="inlineStr">
        <is>
          <t>Mapped</t>
        </is>
      </c>
      <c r="L7" s="12" t="inlineStr">
        <is>
          <t>File shares</t>
        </is>
      </c>
    </row>
    <row r="8">
      <c r="A8" s="12" t="n">
        <v>4</v>
      </c>
      <c r="B8" s="12" t="inlineStr">
        <is>
          <t>document_no</t>
        </is>
      </c>
      <c r="C8" s="12" t="inlineStr">
        <is>
          <t>Document number (ID number, policy number)</t>
        </is>
      </c>
      <c r="D8" s="12" t="inlineStr">
        <is>
          <t>Text</t>
        </is>
      </c>
      <c r="E8" s="12" t="inlineStr">
        <is>
          <t>60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As printed</t>
        </is>
      </c>
      <c r="I8" s="12" t="inlineStr">
        <is>
          <t>P1234567A</t>
        </is>
      </c>
      <c r="J8" s="12" t="inlineStr">
        <is>
          <t>Attachment description</t>
        </is>
      </c>
      <c r="K8" s="12" t="inlineStr">
        <is>
          <t>-</t>
        </is>
      </c>
      <c r="L8" s="12" t="inlineStr">
        <is>
          <t>File shares</t>
        </is>
      </c>
    </row>
    <row r="9">
      <c r="A9" s="12" t="n">
        <v>5</v>
      </c>
      <c r="B9" s="12" t="inlineStr">
        <is>
          <t>document_date</t>
        </is>
      </c>
      <c r="C9" s="12" t="inlineStr">
        <is>
          <t>Date of the document</t>
        </is>
      </c>
      <c r="D9" s="12" t="inlineStr">
        <is>
          <t>Date</t>
        </is>
      </c>
      <c r="E9" s="12" t="inlineStr">
        <is>
          <t>10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yyyy-MM-dd</t>
        </is>
      </c>
      <c r="I9" s="12" t="inlineStr">
        <is>
          <t>2021-07-02</t>
        </is>
      </c>
      <c r="J9" s="12" t="inlineStr">
        <is>
          <t>Attachment date</t>
        </is>
      </c>
      <c r="K9" s="12" t="inlineStr">
        <is>
          <t>Valid date</t>
        </is>
      </c>
      <c r="L9" s="12" t="inlineStr">
        <is>
          <t>File shares</t>
        </is>
      </c>
    </row>
    <row r="10">
      <c r="A10" s="12" t="n">
        <v>6</v>
      </c>
      <c r="B10" s="12" t="inlineStr">
        <is>
          <t>file_name</t>
        </is>
      </c>
      <c r="C10" s="12" t="inlineStr">
        <is>
          <t>File name in the transfer folder</t>
        </is>
      </c>
      <c r="D10" s="12" t="inlineStr">
        <is>
          <t>Text</t>
        </is>
      </c>
      <c r="E10" s="12" t="inlineStr">
        <is>
          <t>255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name.ext</t>
        </is>
      </c>
      <c r="I10" s="12" t="inlineStr">
        <is>
          <t>Q-0012345_KYC_ID_1.pdf</t>
        </is>
      </c>
      <c r="J10" s="12" t="inlineStr">
        <is>
          <t>attachment file name</t>
        </is>
      </c>
      <c r="K10" s="12" t="inlineStr">
        <is>
          <t>File present in the transfer</t>
        </is>
      </c>
      <c r="L10" s="12" t="inlineStr">
        <is>
          <t>File shares</t>
        </is>
      </c>
    </row>
    <row r="11">
      <c r="A11" s="12" t="n">
        <v>7</v>
      </c>
      <c r="B11" s="12" t="inlineStr">
        <is>
          <t>file_size_bytes</t>
        </is>
      </c>
      <c r="C11" s="12" t="inlineStr">
        <is>
          <t>File size</t>
        </is>
      </c>
      <c r="D11" s="12" t="inlineStr">
        <is>
          <t>Integer</t>
        </is>
      </c>
      <c r="E11" s="12" t="inlineStr">
        <is>
          <t>12</t>
        </is>
      </c>
      <c r="F11" s="12" t="inlineStr">
        <is>
          <t>Y</t>
        </is>
      </c>
      <c r="G11" s="12" t="inlineStr">
        <is>
          <t>-</t>
        </is>
      </c>
      <c r="H11" s="12" t="inlineStr">
        <is>
          <t>Digits</t>
        </is>
      </c>
      <c r="I11" s="12" t="inlineStr">
        <is>
          <t>245760</t>
        </is>
      </c>
      <c r="J11" s="12" t="inlineStr">
        <is>
          <t>attachment size</t>
        </is>
      </c>
      <c r="K11" s="12">
        <f> size of the received file</f>
        <v/>
      </c>
      <c r="L11" s="12" t="inlineStr">
        <is>
          <t>File shares</t>
        </is>
      </c>
    </row>
    <row r="12">
      <c r="A12" s="12" t="n">
        <v>8</v>
      </c>
      <c r="B12" s="12" t="inlineStr">
        <is>
          <t>sha256</t>
        </is>
      </c>
      <c r="C12" s="12" t="inlineStr">
        <is>
          <t>SHA-256 of the file, 64 hexadecimal characters</t>
        </is>
      </c>
      <c r="D12" s="12" t="inlineStr">
        <is>
          <t>Text</t>
        </is>
      </c>
      <c r="E12" s="12" t="inlineStr">
        <is>
          <t>64</t>
        </is>
      </c>
      <c r="F12" s="12" t="inlineStr">
        <is>
          <t>Y</t>
        </is>
      </c>
      <c r="G12" s="12" t="inlineStr">
        <is>
          <t>-</t>
        </is>
      </c>
      <c r="H12" s="12" t="inlineStr">
        <is>
          <t>Lower-case hex</t>
        </is>
      </c>
      <c r="I12" s="12" t="inlineStr">
        <is>
          <t>9f86d081884c7d659a2feaa0c55ad015a3bf4f1b2b0b822cd15d6c15b0f00a08</t>
        </is>
      </c>
      <c r="J12" s="12" t="inlineStr">
        <is>
          <t>attachment checksum</t>
        </is>
      </c>
      <c r="K12" s="12">
        <f> checksum computed at intake</f>
        <v/>
      </c>
      <c r="L12" s="12" t="inlineStr">
        <is>
          <t>File shares</t>
        </is>
      </c>
    </row>
  </sheetData>
  <autoFilter ref="A4:L12"/>
  <mergeCells count="1">
    <mergeCell ref="A2:L2"/>
  </mergeCells>
  <conditionalFormatting sqref="A5:L512">
    <cfRule type="expression" priority="1" dxfId="3">
      <formula>AND(MOD(ROW(),2)=0,$A5&lt;&gt;"")</formula>
    </cfRule>
  </conditionalFormatting>
  <dataValidations count="2">
    <dataValidation sqref="D5:D512" showDropDown="0" showInputMessage="0" showErrorMessage="1" allowBlank="1" errorTitle="Type" error="Choose a value from the list (Type)." type="list">
      <formula1>'_lists'!$BH$1:$BH$8</formula1>
    </dataValidation>
    <dataValidation sqref="F5:F512" showDropDown="0" showInputMessage="0" showErrorMessage="1" allowBlank="1" errorTitle="Mandatory" error="Choose a value from the list (Mandatory)." type="list">
      <formula1>'_lists'!$BI$1:$BI$3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2" customWidth="1" min="10" max="10"/>
    <col width="36" customWidth="1" min="11" max="11"/>
    <col width="24" customWidth="1" min="12" max="12"/>
  </cols>
  <sheetData>
    <row r="1" ht="24" customHeight="1">
      <c r="A1" s="21" t="inlineStr">
        <is>
          <t>Control File</t>
        </is>
      </c>
    </row>
    <row r="2">
      <c r="A2" s="24" t="inlineStr">
        <is>
          <t>Layout of the control file sent with every data file (one row per measure)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BIBS target field</t>
        </is>
      </c>
      <c r="K4" s="26" t="inlineStr">
        <is>
          <t>Validation rule</t>
        </is>
      </c>
      <c r="L4" s="26" t="inlineStr">
        <is>
          <t>Source system hint</t>
        </is>
      </c>
    </row>
    <row r="5">
      <c r="A5" s="12" t="n">
        <v>1</v>
      </c>
      <c r="B5" s="12" t="inlineStr">
        <is>
          <t>object</t>
        </is>
      </c>
      <c r="C5" s="12" t="inlineStr">
        <is>
          <t>Object code of the data file</t>
        </is>
      </c>
      <c r="D5" s="12" t="inlineStr">
        <is>
          <t>Code</t>
        </is>
      </c>
      <c r="E5" s="12" t="inlineStr">
        <is>
          <t>5</t>
        </is>
      </c>
      <c r="F5" s="12" t="inlineStr">
        <is>
          <t>Y</t>
        </is>
      </c>
      <c r="G5" s="12" t="inlineStr">
        <is>
          <t>Register object codes</t>
        </is>
      </c>
      <c r="H5" s="12" t="inlineStr">
        <is>
          <t>Upper case</t>
        </is>
      </c>
      <c r="I5" s="12" t="inlineStr">
        <is>
          <t>F01</t>
        </is>
      </c>
      <c r="J5" s="12" t="inlineStr">
        <is>
          <t>mig_extract.object</t>
        </is>
      </c>
      <c r="K5" s="12" t="inlineStr">
        <is>
          <t>Matches the file name</t>
        </is>
      </c>
      <c r="L5" s="12" t="inlineStr">
        <is>
          <t>Extract job</t>
        </is>
      </c>
    </row>
    <row r="6">
      <c r="A6" s="12" t="n">
        <v>2</v>
      </c>
      <c r="B6" s="12" t="inlineStr">
        <is>
          <t>layout</t>
        </is>
      </c>
      <c r="C6" s="12" t="inlineStr">
        <is>
          <t>Layout (template) code</t>
        </is>
      </c>
      <c r="D6" s="12" t="inlineStr">
        <is>
          <t>Code</t>
        </is>
      </c>
      <c r="E6" s="12" t="inlineStr">
        <is>
          <t>5</t>
        </is>
      </c>
      <c r="F6" s="12" t="inlineStr">
        <is>
          <t>Y</t>
        </is>
      </c>
      <c r="G6" s="12" t="inlineStr">
        <is>
          <t>Layout codes of this workbook</t>
        </is>
      </c>
      <c r="H6" s="12" t="inlineStr">
        <is>
          <t>Upper case</t>
        </is>
      </c>
      <c r="I6" s="12" t="inlineStr">
        <is>
          <t>F01C</t>
        </is>
      </c>
      <c r="J6" s="12" t="inlineStr">
        <is>
          <t>mig_extract layout</t>
        </is>
      </c>
      <c r="K6" s="12" t="inlineStr">
        <is>
          <t>Matches the header row</t>
        </is>
      </c>
      <c r="L6" s="12" t="inlineStr">
        <is>
          <t>Extract job</t>
        </is>
      </c>
    </row>
    <row r="7">
      <c r="A7" s="12" t="n">
        <v>3</v>
      </c>
      <c r="B7" s="12" t="inlineStr">
        <is>
          <t>source_system</t>
        </is>
      </c>
      <c r="C7" s="12" t="inlineStr">
        <is>
          <t>Source system</t>
        </is>
      </c>
      <c r="D7" s="12" t="inlineStr">
        <is>
          <t>Code</t>
        </is>
      </c>
      <c r="E7" s="12" t="inlineStr">
        <is>
          <t>10</t>
        </is>
      </c>
      <c r="F7" s="12" t="inlineStr">
        <is>
          <t>Y</t>
        </is>
      </c>
      <c r="G7" s="12" t="inlineStr">
        <is>
          <t>EBIX, QPS, ISYS, CMS, EXCEL</t>
        </is>
      </c>
      <c r="H7" s="12" t="inlineStr">
        <is>
          <t>Upper case</t>
        </is>
      </c>
      <c r="I7" s="12" t="inlineStr">
        <is>
          <t>EBIX</t>
        </is>
      </c>
      <c r="J7" s="12" t="inlineStr">
        <is>
          <t>mig_extract.source_system</t>
        </is>
      </c>
      <c r="K7" s="12" t="inlineStr">
        <is>
          <t>Matches the file name</t>
        </is>
      </c>
      <c r="L7" s="12" t="inlineStr">
        <is>
          <t>Extract job</t>
        </is>
      </c>
    </row>
    <row r="8">
      <c r="A8" s="12" t="n">
        <v>4</v>
      </c>
      <c r="B8" s="12" t="inlineStr">
        <is>
          <t>data_file</t>
        </is>
      </c>
      <c r="C8" s="12" t="inlineStr">
        <is>
          <t>Name of the data file</t>
        </is>
      </c>
      <c r="D8" s="12" t="inlineStr">
        <is>
          <t>Text</t>
        </is>
      </c>
      <c r="E8" s="12" t="inlineStr">
        <is>
          <t>120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&lt;LAYOUT&gt;_&lt;SOURCE&gt;_&lt;yyyyMMdd&gt;_&lt;nn&gt;.csv</t>
        </is>
      </c>
      <c r="I8" s="12" t="inlineStr">
        <is>
          <t>F01C_EBIX_20271231_01.csv</t>
        </is>
      </c>
      <c r="J8" s="12" t="inlineStr">
        <is>
          <t>mig_extract file name</t>
        </is>
      </c>
      <c r="K8" s="12" t="inlineStr">
        <is>
          <t>File received</t>
        </is>
      </c>
      <c r="L8" s="12" t="inlineStr">
        <is>
          <t>Extract job</t>
        </is>
      </c>
    </row>
    <row r="9">
      <c r="A9" s="12" t="n">
        <v>5</v>
      </c>
      <c r="B9" s="12" t="inlineStr">
        <is>
          <t>as_of</t>
        </is>
      </c>
      <c r="C9" s="12" t="inlineStr">
        <is>
          <t>Date and time the data represents</t>
        </is>
      </c>
      <c r="D9" s="12" t="inlineStr">
        <is>
          <t>Timestamp</t>
        </is>
      </c>
      <c r="E9" s="12" t="inlineStr">
        <is>
          <t>19</t>
        </is>
      </c>
      <c r="F9" s="12" t="inlineStr">
        <is>
          <t>Y</t>
        </is>
      </c>
      <c r="G9" s="12" t="inlineStr">
        <is>
          <t>-</t>
        </is>
      </c>
      <c r="H9" s="12" t="inlineStr">
        <is>
          <t>yyyy-MM-dd HH:mm:ss</t>
        </is>
      </c>
      <c r="I9" s="12" t="inlineStr">
        <is>
          <t>2027-12-31 22:00:00</t>
        </is>
      </c>
      <c r="J9" s="12" t="inlineStr">
        <is>
          <t>mig_extract as-of</t>
        </is>
      </c>
      <c r="K9" s="12" t="inlineStr">
        <is>
          <t>Not earlier than the previous extract of the layout</t>
        </is>
      </c>
      <c r="L9" s="12" t="inlineStr">
        <is>
          <t>Extract job</t>
        </is>
      </c>
    </row>
    <row r="10">
      <c r="A10" s="12" t="n">
        <v>6</v>
      </c>
      <c r="B10" s="12" t="inlineStr">
        <is>
          <t>extracted_at</t>
        </is>
      </c>
      <c r="C10" s="12" t="inlineStr">
        <is>
          <t>When the extract ran</t>
        </is>
      </c>
      <c r="D10" s="12" t="inlineStr">
        <is>
          <t>Timestamp</t>
        </is>
      </c>
      <c r="E10" s="12" t="inlineStr">
        <is>
          <t>19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yyyy-MM-dd HH:mm:ss</t>
        </is>
      </c>
      <c r="I10" s="12" t="inlineStr">
        <is>
          <t>2028-01-01 00:40:12</t>
        </is>
      </c>
      <c r="J10" s="12" t="inlineStr">
        <is>
          <t>mig_extract extraction time</t>
        </is>
      </c>
      <c r="K10" s="12" t="inlineStr">
        <is>
          <t>After as_of</t>
        </is>
      </c>
      <c r="L10" s="12" t="inlineStr">
        <is>
          <t>Extract job</t>
        </is>
      </c>
    </row>
    <row r="11">
      <c r="A11" s="12" t="n">
        <v>7</v>
      </c>
      <c r="B11" s="12" t="inlineStr">
        <is>
          <t>extracted_by</t>
        </is>
      </c>
      <c r="C11" s="12" t="inlineStr">
        <is>
          <t>BDOI IT user who ran the extract</t>
        </is>
      </c>
      <c r="D11" s="12" t="inlineStr">
        <is>
          <t>Text</t>
        </is>
      </c>
      <c r="E11" s="12" t="inlineStr">
        <is>
          <t>50</t>
        </is>
      </c>
      <c r="F11" s="12" t="inlineStr">
        <is>
          <t>Y</t>
        </is>
      </c>
      <c r="G11" s="12" t="inlineStr">
        <is>
          <t>-</t>
        </is>
      </c>
      <c r="H11" s="12" t="inlineStr">
        <is>
          <t>Free text</t>
        </is>
      </c>
      <c r="I11" s="12" t="inlineStr">
        <is>
          <t>bdoi.it.jramos</t>
        </is>
      </c>
      <c r="J11" s="12" t="inlineStr">
        <is>
          <t>mig_extract extracted by</t>
        </is>
      </c>
      <c r="K11" s="12" t="inlineStr">
        <is>
          <t>Not blank</t>
        </is>
      </c>
      <c r="L11" s="12" t="inlineStr">
        <is>
          <t>Extract job</t>
        </is>
      </c>
    </row>
    <row r="12">
      <c r="A12" s="12" t="n">
        <v>8</v>
      </c>
      <c r="B12" s="12" t="inlineStr">
        <is>
          <t>measure</t>
        </is>
      </c>
      <c r="C12" s="12" t="inlineStr">
        <is>
          <t>Kind of control</t>
        </is>
      </c>
      <c r="D12" s="12" t="inlineStr">
        <is>
          <t>Code</t>
        </is>
      </c>
      <c r="E12" s="12" t="inlineStr">
        <is>
          <t>12</t>
        </is>
      </c>
      <c r="F12" s="12" t="inlineStr">
        <is>
          <t>Y</t>
        </is>
      </c>
      <c r="G12" s="12" t="inlineStr">
        <is>
          <t>ROW_COUNT, AMOUNT_TOTAL, HASH_TOTAL, SHA256</t>
        </is>
      </c>
      <c r="H12" s="12" t="inlineStr">
        <is>
          <t>Upper case</t>
        </is>
      </c>
      <c r="I12" s="12" t="inlineStr">
        <is>
          <t>AMOUNT_TOTAL</t>
        </is>
      </c>
      <c r="J12" s="12" t="inlineStr">
        <is>
          <t>mig_extract control totals</t>
        </is>
      </c>
      <c r="K12" s="12" t="inlineStr">
        <is>
          <t>In the list</t>
        </is>
      </c>
      <c r="L12" s="12" t="inlineStr">
        <is>
          <t>Extract job</t>
        </is>
      </c>
    </row>
    <row r="13">
      <c r="A13" s="12" t="n">
        <v>9</v>
      </c>
      <c r="B13" s="12" t="inlineStr">
        <is>
          <t>column_name</t>
        </is>
      </c>
      <c r="C13" s="12" t="inlineStr">
        <is>
          <t>Column the measure applies to (AMOUNT_TOTAL, HASH_TOTAL)</t>
        </is>
      </c>
      <c r="D13" s="12" t="inlineStr">
        <is>
          <t>Text</t>
        </is>
      </c>
      <c r="E13" s="12" t="inlineStr">
        <is>
          <t>40</t>
        </is>
      </c>
      <c r="F13" s="12" t="inlineStr">
        <is>
          <t>C</t>
        </is>
      </c>
      <c r="G13" s="12" t="inlineStr">
        <is>
          <t>Columns of the layout</t>
        </is>
      </c>
      <c r="H13" s="12" t="inlineStr">
        <is>
          <t>As in the header</t>
        </is>
      </c>
      <c r="I13" s="12" t="inlineStr">
        <is>
          <t>open_balance</t>
        </is>
      </c>
      <c r="J13" s="12" t="inlineStr">
        <is>
          <t>Control total column</t>
        </is>
      </c>
      <c r="K13" s="12" t="inlineStr">
        <is>
          <t>Mandatory for AMOUNT_TOTAL and HASH_TOTAL</t>
        </is>
      </c>
      <c r="L13" s="12" t="inlineStr">
        <is>
          <t>Extract job</t>
        </is>
      </c>
    </row>
    <row r="14">
      <c r="A14" s="12" t="n">
        <v>10</v>
      </c>
      <c r="B14" s="12" t="inlineStr">
        <is>
          <t>currency</t>
        </is>
      </c>
      <c r="C14" s="12" t="inlineStr">
        <is>
          <t>Currency of an AMOUNT_TOTAL</t>
        </is>
      </c>
      <c r="D14" s="12" t="inlineStr">
        <is>
          <t>Code</t>
        </is>
      </c>
      <c r="E14" s="12" t="inlineStr">
        <is>
          <t>3</t>
        </is>
      </c>
      <c r="F14" s="12" t="inlineStr">
        <is>
          <t>C</t>
        </is>
      </c>
      <c r="G14" s="12" t="inlineStr">
        <is>
          <t>ISO 4217</t>
        </is>
      </c>
      <c r="H14" s="12" t="inlineStr">
        <is>
          <t>Upper case</t>
        </is>
      </c>
      <c r="I14" s="12" t="inlineStr">
        <is>
          <t>PHP</t>
        </is>
      </c>
      <c r="J14" s="12" t="inlineStr">
        <is>
          <t>Control total currency</t>
        </is>
      </c>
      <c r="K14" s="12" t="inlineStr">
        <is>
          <t>Mandatory for AMOUNT_TOTAL</t>
        </is>
      </c>
      <c r="L14" s="12" t="inlineStr">
        <is>
          <t>Extract job</t>
        </is>
      </c>
    </row>
    <row r="15">
      <c r="A15" s="12" t="n">
        <v>11</v>
      </c>
      <c r="B15" s="12" t="inlineStr">
        <is>
          <t>filter</t>
        </is>
      </c>
      <c r="C15" s="12" t="inlineStr">
        <is>
          <t>Optional filter of the measure (for example component=BASIC)</t>
        </is>
      </c>
      <c r="D15" s="12" t="inlineStr">
        <is>
          <t>Text</t>
        </is>
      </c>
      <c r="E15" s="12" t="inlineStr">
        <is>
          <t>80</t>
        </is>
      </c>
      <c r="F15" s="12" t="inlineStr">
        <is>
          <t>N</t>
        </is>
      </c>
      <c r="G15" s="12" t="inlineStr">
        <is>
          <t>-</t>
        </is>
      </c>
      <c r="H15" s="12" t="inlineStr">
        <is>
          <t>column=value</t>
        </is>
      </c>
      <c r="I15" s="12" t="inlineStr">
        <is>
          <t>component=BASIC</t>
        </is>
      </c>
      <c r="J15" s="12" t="inlineStr">
        <is>
          <t>Control total filter</t>
        </is>
      </c>
      <c r="K15" s="12" t="inlineStr">
        <is>
          <t>Column exists</t>
        </is>
      </c>
      <c r="L15" s="12" t="inlineStr">
        <is>
          <t>Extract job</t>
        </is>
      </c>
    </row>
    <row r="16">
      <c r="A16" s="12" t="n">
        <v>12</v>
      </c>
      <c r="B16" s="12" t="inlineStr">
        <is>
          <t>value</t>
        </is>
      </c>
      <c r="C16" s="12" t="inlineStr">
        <is>
          <t>Value of the measure</t>
        </is>
      </c>
      <c r="D16" s="12" t="inlineStr">
        <is>
          <t>Text</t>
        </is>
      </c>
      <c r="E16" s="12" t="inlineStr">
        <is>
          <t>80</t>
        </is>
      </c>
      <c r="F16" s="12" t="inlineStr">
        <is>
          <t>Y</t>
        </is>
      </c>
      <c r="G16" s="12" t="inlineStr">
        <is>
          <t>-</t>
        </is>
      </c>
      <c r="H16" s="12" t="inlineStr">
        <is>
          <t>Digits; dot decimal for amounts; hex for SHA256</t>
        </is>
      </c>
      <c r="I16" s="12" t="inlineStr">
        <is>
          <t>1284533.75</t>
        </is>
      </c>
      <c r="J16" s="12" t="inlineStr">
        <is>
          <t>Compared at intake (FR-DM-010)</t>
        </is>
      </c>
      <c r="K16" s="12" t="inlineStr">
        <is>
          <t>Numeric or 64-character hex</t>
        </is>
      </c>
      <c r="L16" s="12" t="inlineStr">
        <is>
          <t>Extract job</t>
        </is>
      </c>
    </row>
  </sheetData>
  <autoFilter ref="A4:L16"/>
  <mergeCells count="1">
    <mergeCell ref="A2:L2"/>
  </mergeCells>
  <conditionalFormatting sqref="A5:L516">
    <cfRule type="expression" priority="1" dxfId="3">
      <formula>AND(MOD(ROW(),2)=0,$A5&lt;&gt;"")</formula>
    </cfRule>
  </conditionalFormatting>
  <dataValidations count="2">
    <dataValidation sqref="D5:D516" showDropDown="0" showInputMessage="0" showErrorMessage="1" allowBlank="1" errorTitle="Type" error="Choose a value from the list (Type)." type="list">
      <formula1>'_lists'!$BJ$1:$BJ$8</formula1>
    </dataValidation>
    <dataValidation sqref="F5:F516" showDropDown="0" showInputMessage="0" showErrorMessage="1" allowBlank="1" errorTitle="Mandatory" error="Choose a value from the list (Mandatory)." type="list">
      <formula1>'_lists'!$BK$1:$BK$3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30" customWidth="1" min="4" max="4"/>
    <col width="19" customWidth="1" min="5" max="5"/>
    <col width="19" customWidth="1" min="6" max="6"/>
    <col width="16" customWidth="1" min="7" max="7"/>
    <col width="14" customWidth="1" min="8" max="8"/>
    <col width="18" customWidth="1" min="9" max="9"/>
    <col width="9" customWidth="1" min="10" max="10"/>
    <col width="18" customWidth="1" min="11" max="11"/>
    <col width="30" customWidth="1" min="12" max="12"/>
  </cols>
  <sheetData>
    <row r="1" ht="24" customHeight="1">
      <c r="A1" s="21" t="inlineStr">
        <is>
          <t>Control Example</t>
        </is>
      </c>
    </row>
    <row r="2">
      <c r="A2" s="24" t="inlineStr">
        <is>
          <t>Example control file of F01C (made-up values)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object</t>
        </is>
      </c>
      <c r="B4" s="26" t="inlineStr">
        <is>
          <t>layout</t>
        </is>
      </c>
      <c r="C4" s="26" t="inlineStr">
        <is>
          <t>source_system</t>
        </is>
      </c>
      <c r="D4" s="26" t="inlineStr">
        <is>
          <t>data_file</t>
        </is>
      </c>
      <c r="E4" s="26" t="inlineStr">
        <is>
          <t>as_of</t>
        </is>
      </c>
      <c r="F4" s="26" t="inlineStr">
        <is>
          <t>extracted_at</t>
        </is>
      </c>
      <c r="G4" s="26" t="inlineStr">
        <is>
          <t>extracted_by</t>
        </is>
      </c>
      <c r="H4" s="26" t="inlineStr">
        <is>
          <t>measure</t>
        </is>
      </c>
      <c r="I4" s="26" t="inlineStr">
        <is>
          <t>column_name</t>
        </is>
      </c>
      <c r="J4" s="26" t="inlineStr">
        <is>
          <t>currency</t>
        </is>
      </c>
      <c r="K4" s="26" t="inlineStr">
        <is>
          <t>filter</t>
        </is>
      </c>
      <c r="L4" s="26" t="inlineStr">
        <is>
          <t>value</t>
        </is>
      </c>
    </row>
    <row r="5">
      <c r="A5" s="12" t="inlineStr">
        <is>
          <t>F01C</t>
        </is>
      </c>
      <c r="B5" s="12" t="inlineStr">
        <is>
          <t>F01C</t>
        </is>
      </c>
      <c r="C5" s="12" t="inlineStr">
        <is>
          <t>EBIX</t>
        </is>
      </c>
      <c r="D5" s="12" t="inlineStr">
        <is>
          <t>F01C_EBIX_20271231_01.csv</t>
        </is>
      </c>
      <c r="E5" s="12" t="inlineStr">
        <is>
          <t>2027-12-31 22:00:00</t>
        </is>
      </c>
      <c r="F5" s="12" t="inlineStr">
        <is>
          <t>2028-01-01 00:40:12</t>
        </is>
      </c>
      <c r="G5" s="12" t="inlineStr">
        <is>
          <t>bdoi.it.jramos</t>
        </is>
      </c>
      <c r="H5" s="12" t="inlineStr">
        <is>
          <t>ROW_COUNT</t>
        </is>
      </c>
      <c r="I5" s="12" t="inlineStr"/>
      <c r="J5" s="12" t="inlineStr"/>
      <c r="K5" s="12" t="inlineStr"/>
      <c r="L5" s="12" t="inlineStr">
        <is>
          <t>184220</t>
        </is>
      </c>
    </row>
    <row r="6">
      <c r="A6" s="12" t="inlineStr">
        <is>
          <t>F01C</t>
        </is>
      </c>
      <c r="B6" s="12" t="inlineStr">
        <is>
          <t>F01C</t>
        </is>
      </c>
      <c r="C6" s="12" t="inlineStr">
        <is>
          <t>EBIX</t>
        </is>
      </c>
      <c r="D6" s="12" t="inlineStr">
        <is>
          <t>F01C_EBIX_20271231_01.csv</t>
        </is>
      </c>
      <c r="E6" s="12" t="inlineStr">
        <is>
          <t>2027-12-31 22:00:00</t>
        </is>
      </c>
      <c r="F6" s="12" t="inlineStr">
        <is>
          <t>2028-01-01 00:40:12</t>
        </is>
      </c>
      <c r="G6" s="12" t="inlineStr">
        <is>
          <t>bdoi.it.jramos</t>
        </is>
      </c>
      <c r="H6" s="12" t="inlineStr">
        <is>
          <t>HASH_TOTAL</t>
        </is>
      </c>
      <c r="I6" s="12" t="inlineStr">
        <is>
          <t>legacy_invoice_no</t>
        </is>
      </c>
      <c r="J6" s="12" t="inlineStr"/>
      <c r="K6" s="12" t="inlineStr"/>
      <c r="L6" s="12" t="inlineStr">
        <is>
          <t>31207</t>
        </is>
      </c>
    </row>
    <row r="7">
      <c r="A7" s="12" t="inlineStr">
        <is>
          <t>F01C</t>
        </is>
      </c>
      <c r="B7" s="12" t="inlineStr">
        <is>
          <t>F01C</t>
        </is>
      </c>
      <c r="C7" s="12" t="inlineStr">
        <is>
          <t>EBIX</t>
        </is>
      </c>
      <c r="D7" s="12" t="inlineStr">
        <is>
          <t>F01C_EBIX_20271231_01.csv</t>
        </is>
      </c>
      <c r="E7" s="12" t="inlineStr">
        <is>
          <t>2027-12-31 22:00:00</t>
        </is>
      </c>
      <c r="F7" s="12" t="inlineStr">
        <is>
          <t>2028-01-01 00:40:12</t>
        </is>
      </c>
      <c r="G7" s="12" t="inlineStr">
        <is>
          <t>bdoi.it.jramos</t>
        </is>
      </c>
      <c r="H7" s="12" t="inlineStr">
        <is>
          <t>AMOUNT_TOTAL</t>
        </is>
      </c>
      <c r="I7" s="12" t="inlineStr">
        <is>
          <t>open_balance</t>
        </is>
      </c>
      <c r="J7" s="12" t="inlineStr">
        <is>
          <t>PHP</t>
        </is>
      </c>
      <c r="K7" s="12" t="inlineStr">
        <is>
          <t>component=BASIC</t>
        </is>
      </c>
      <c r="L7" s="12" t="inlineStr">
        <is>
          <t>98450221.40</t>
        </is>
      </c>
    </row>
    <row r="8">
      <c r="A8" s="12" t="inlineStr">
        <is>
          <t>F01C</t>
        </is>
      </c>
      <c r="B8" s="12" t="inlineStr">
        <is>
          <t>F01C</t>
        </is>
      </c>
      <c r="C8" s="12" t="inlineStr">
        <is>
          <t>EBIX</t>
        </is>
      </c>
      <c r="D8" s="12" t="inlineStr">
        <is>
          <t>F01C_EBIX_20271231_01.csv</t>
        </is>
      </c>
      <c r="E8" s="12" t="inlineStr">
        <is>
          <t>2027-12-31 22:00:00</t>
        </is>
      </c>
      <c r="F8" s="12" t="inlineStr">
        <is>
          <t>2028-01-01 00:40:12</t>
        </is>
      </c>
      <c r="G8" s="12" t="inlineStr">
        <is>
          <t>bdoi.it.jramos</t>
        </is>
      </c>
      <c r="H8" s="12" t="inlineStr">
        <is>
          <t>AMOUNT_TOTAL</t>
        </is>
      </c>
      <c r="I8" s="12" t="inlineStr">
        <is>
          <t>open_balance</t>
        </is>
      </c>
      <c r="J8" s="12" t="inlineStr">
        <is>
          <t>PHP</t>
        </is>
      </c>
      <c r="K8" s="12" t="inlineStr">
        <is>
          <t>component=DTIP</t>
        </is>
      </c>
      <c r="L8" s="12" t="inlineStr">
        <is>
          <t>-84120775.15</t>
        </is>
      </c>
    </row>
    <row r="9">
      <c r="A9" s="12" t="inlineStr">
        <is>
          <t>F01C</t>
        </is>
      </c>
      <c r="B9" s="12" t="inlineStr">
        <is>
          <t>F01C</t>
        </is>
      </c>
      <c r="C9" s="12" t="inlineStr">
        <is>
          <t>EBIX</t>
        </is>
      </c>
      <c r="D9" s="12" t="inlineStr">
        <is>
          <t>F01C_EBIX_20271231_01.csv</t>
        </is>
      </c>
      <c r="E9" s="12" t="inlineStr">
        <is>
          <t>2027-12-31 22:00:00</t>
        </is>
      </c>
      <c r="F9" s="12" t="inlineStr">
        <is>
          <t>2028-01-01 00:40:12</t>
        </is>
      </c>
      <c r="G9" s="12" t="inlineStr">
        <is>
          <t>bdoi.it.jramos</t>
        </is>
      </c>
      <c r="H9" s="12" t="inlineStr">
        <is>
          <t>AMOUNT_TOTAL</t>
        </is>
      </c>
      <c r="I9" s="12" t="inlineStr">
        <is>
          <t>open_balance</t>
        </is>
      </c>
      <c r="J9" s="12" t="inlineStr">
        <is>
          <t>USD</t>
        </is>
      </c>
      <c r="K9" s="12" t="inlineStr">
        <is>
          <t>component=BASIC</t>
        </is>
      </c>
      <c r="L9" s="12" t="inlineStr">
        <is>
          <t>412330.00</t>
        </is>
      </c>
    </row>
    <row r="10">
      <c r="A10" s="12" t="inlineStr">
        <is>
          <t>F01C</t>
        </is>
      </c>
      <c r="B10" s="12" t="inlineStr">
        <is>
          <t>F01C</t>
        </is>
      </c>
      <c r="C10" s="12" t="inlineStr">
        <is>
          <t>EBIX</t>
        </is>
      </c>
      <c r="D10" s="12" t="inlineStr">
        <is>
          <t>F01C_EBIX_20271231_01.csv</t>
        </is>
      </c>
      <c r="E10" s="12" t="inlineStr">
        <is>
          <t>2027-12-31 22:00:00</t>
        </is>
      </c>
      <c r="F10" s="12" t="inlineStr">
        <is>
          <t>2028-01-01 00:40:12</t>
        </is>
      </c>
      <c r="G10" s="12" t="inlineStr">
        <is>
          <t>bdoi.it.jramos</t>
        </is>
      </c>
      <c r="H10" s="12" t="inlineStr">
        <is>
          <t>AMOUNT_TOTAL</t>
        </is>
      </c>
      <c r="I10" s="12" t="inlineStr">
        <is>
          <t>booked</t>
        </is>
      </c>
      <c r="J10" s="12" t="inlineStr">
        <is>
          <t>PHP</t>
        </is>
      </c>
      <c r="K10" s="12" t="inlineStr"/>
      <c r="L10" s="12" t="inlineStr">
        <is>
          <t>1284533.75</t>
        </is>
      </c>
    </row>
    <row r="11">
      <c r="A11" s="12" t="inlineStr">
        <is>
          <t>F01C</t>
        </is>
      </c>
      <c r="B11" s="12" t="inlineStr">
        <is>
          <t>F01C</t>
        </is>
      </c>
      <c r="C11" s="12" t="inlineStr">
        <is>
          <t>EBIX</t>
        </is>
      </c>
      <c r="D11" s="12" t="inlineStr">
        <is>
          <t>F01C_EBIX_20271231_01.csv</t>
        </is>
      </c>
      <c r="E11" s="12" t="inlineStr">
        <is>
          <t>2027-12-31 22:00:00</t>
        </is>
      </c>
      <c r="F11" s="12" t="inlineStr">
        <is>
          <t>2028-01-01 00:40:12</t>
        </is>
      </c>
      <c r="G11" s="12" t="inlineStr">
        <is>
          <t>bdoi.it.jramos</t>
        </is>
      </c>
      <c r="H11" s="12" t="inlineStr">
        <is>
          <t>SHA256</t>
        </is>
      </c>
      <c r="I11" s="12" t="inlineStr"/>
      <c r="J11" s="12" t="inlineStr"/>
      <c r="K11" s="12" t="inlineStr"/>
      <c r="L11" s="12" t="inlineStr">
        <is>
          <t>3a7bd3e2360a3d29eea436fcfb7e44c735d117c42d1c1835420b6b9942dd4f1b</t>
        </is>
      </c>
    </row>
  </sheetData>
  <autoFilter ref="A4:L11"/>
  <mergeCells count="1">
    <mergeCell ref="A2:L2"/>
  </mergeCells>
  <conditionalFormatting sqref="A5:L511">
    <cfRule type="expression" priority="1" dxfId="3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J12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26" customWidth="1" min="4" max="4"/>
    <col width="13" customWidth="1" min="5" max="5"/>
    <col width="44" customWidth="1" min="6" max="6"/>
    <col width="18" customWidth="1" min="7" max="7"/>
    <col width="16" customWidth="1" min="8" max="8"/>
    <col width="12" customWidth="1" min="9" max="9"/>
    <col width="12" customWidth="1" min="10" max="10"/>
  </cols>
  <sheetData>
    <row r="1" ht="24" customHeight="1">
      <c r="A1" s="21" t="inlineStr">
        <is>
          <t>Control Totals</t>
        </is>
      </c>
    </row>
    <row r="2">
      <c r="A2" s="24" t="inlineStr">
        <is>
          <t>Control totals required per layout; also the tie-out template of the reconciliation (L1-L3)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 ht="30" customHeight="1">
      <c r="A4" s="26" t="inlineStr">
        <is>
          <t>Layout</t>
        </is>
      </c>
      <c r="B4" s="26" t="inlineStr">
        <is>
          <t>Object</t>
        </is>
      </c>
      <c r="C4" s="26" t="inlineStr">
        <is>
          <t>Measure</t>
        </is>
      </c>
      <c r="D4" s="26" t="inlineStr">
        <is>
          <t>Column</t>
        </is>
      </c>
      <c r="E4" s="26" t="inlineStr">
        <is>
          <t>Currency</t>
        </is>
      </c>
      <c r="F4" s="26" t="inlineStr">
        <is>
          <t>How it is computed</t>
        </is>
      </c>
      <c r="G4" s="26" t="inlineStr">
        <is>
          <t>Value from BDOI (control file)</t>
        </is>
      </c>
      <c r="H4" s="26" t="inlineStr">
        <is>
          <t>Value in BIBS</t>
        </is>
      </c>
      <c r="I4" s="26" t="inlineStr">
        <is>
          <t>Difference</t>
        </is>
      </c>
      <c r="J4" s="26" t="inlineStr">
        <is>
          <t>Status</t>
        </is>
      </c>
    </row>
    <row r="5">
      <c r="A5" s="12" t="inlineStr">
        <is>
          <t>R01</t>
        </is>
      </c>
      <c r="B5" s="12" t="inlineStr">
        <is>
          <t>R01</t>
        </is>
      </c>
      <c r="C5" s="12" t="inlineStr">
        <is>
          <t>ROW_COUNT</t>
        </is>
      </c>
      <c r="D5" s="12" t="inlineStr">
        <is>
          <t>-</t>
        </is>
      </c>
      <c r="E5" s="12" t="inlineStr">
        <is>
          <t>-</t>
        </is>
      </c>
      <c r="F5" s="12" t="inlineStr">
        <is>
          <t>Rows in the data file, header excluded</t>
        </is>
      </c>
      <c r="G5" s="12" t="n"/>
      <c r="H5" s="12" t="n"/>
      <c r="I5" s="12" t="n"/>
      <c r="J5" s="12" t="n"/>
    </row>
    <row r="6">
      <c r="A6" s="12" t="inlineStr">
        <is>
          <t>R01</t>
        </is>
      </c>
      <c r="B6" s="12" t="inlineStr">
        <is>
          <t>R01</t>
        </is>
      </c>
      <c r="C6" s="12" t="inlineStr">
        <is>
          <t>HASH_TOTAL</t>
        </is>
      </c>
      <c r="D6" s="12" t="inlineStr">
        <is>
          <t>list_type, code</t>
        </is>
      </c>
      <c r="E6" s="12" t="inlineStr">
        <is>
          <t>-</t>
        </is>
      </c>
      <c r="F6" s="12" t="inlineStr">
        <is>
          <t>Count of distinct (list_type, code)</t>
        </is>
      </c>
      <c r="G6" s="12" t="n"/>
      <c r="H6" s="12" t="n"/>
      <c r="I6" s="12" t="n"/>
      <c r="J6" s="12" t="n"/>
    </row>
    <row r="7">
      <c r="A7" s="12" t="inlineStr">
        <is>
          <t>R01</t>
        </is>
      </c>
      <c r="B7" s="12" t="inlineStr">
        <is>
          <t>R01</t>
        </is>
      </c>
      <c r="C7" s="12" t="inlineStr">
        <is>
          <t>SHA256</t>
        </is>
      </c>
      <c r="D7" s="12" t="inlineStr">
        <is>
          <t>-</t>
        </is>
      </c>
      <c r="E7" s="12" t="inlineStr">
        <is>
          <t>-</t>
        </is>
      </c>
      <c r="F7" s="12" t="inlineStr">
        <is>
          <t>SHA-256 of the data file as sent</t>
        </is>
      </c>
      <c r="G7" s="12" t="n"/>
      <c r="H7" s="12" t="n"/>
      <c r="I7" s="12" t="n"/>
      <c r="J7" s="12" t="n"/>
    </row>
    <row r="8">
      <c r="A8" s="12" t="inlineStr">
        <is>
          <t>R02</t>
        </is>
      </c>
      <c r="B8" s="12" t="inlineStr">
        <is>
          <t>R02</t>
        </is>
      </c>
      <c r="C8" s="12" t="inlineStr">
        <is>
          <t>ROW_COUNT</t>
        </is>
      </c>
      <c r="D8" s="12" t="inlineStr">
        <is>
          <t>-</t>
        </is>
      </c>
      <c r="E8" s="12" t="inlineStr">
        <is>
          <t>-</t>
        </is>
      </c>
      <c r="F8" s="12" t="inlineStr">
        <is>
          <t>Rows in the data file, header excluded</t>
        </is>
      </c>
      <c r="G8" s="12" t="n"/>
      <c r="H8" s="12" t="n"/>
      <c r="I8" s="12" t="n"/>
      <c r="J8" s="12" t="n"/>
    </row>
    <row r="9">
      <c r="A9" s="12" t="inlineStr">
        <is>
          <t>R02</t>
        </is>
      </c>
      <c r="B9" s="12" t="inlineStr">
        <is>
          <t>R02</t>
        </is>
      </c>
      <c r="C9" s="12" t="inlineStr">
        <is>
          <t>HASH_TOTAL</t>
        </is>
      </c>
      <c r="D9" s="12" t="inlineStr">
        <is>
          <t>branch_code</t>
        </is>
      </c>
      <c r="E9" s="12" t="inlineStr">
        <is>
          <t>-</t>
        </is>
      </c>
      <c r="F9" s="12" t="inlineStr">
        <is>
          <t>Count of distinct branch_code</t>
        </is>
      </c>
      <c r="G9" s="12" t="n"/>
      <c r="H9" s="12" t="n"/>
      <c r="I9" s="12" t="n"/>
      <c r="J9" s="12" t="n"/>
    </row>
    <row r="10">
      <c r="A10" s="12" t="inlineStr">
        <is>
          <t>R02</t>
        </is>
      </c>
      <c r="B10" s="12" t="inlineStr">
        <is>
          <t>R02</t>
        </is>
      </c>
      <c r="C10" s="12" t="inlineStr">
        <is>
          <t>SHA256</t>
        </is>
      </c>
      <c r="D10" s="12" t="inlineStr">
        <is>
          <t>-</t>
        </is>
      </c>
      <c r="E10" s="12" t="inlineStr">
        <is>
          <t>-</t>
        </is>
      </c>
      <c r="F10" s="12" t="inlineStr">
        <is>
          <t>SHA-256 of the data file as sent</t>
        </is>
      </c>
      <c r="G10" s="12" t="n"/>
      <c r="H10" s="12" t="n"/>
      <c r="I10" s="12" t="n"/>
      <c r="J10" s="12" t="n"/>
    </row>
    <row r="11">
      <c r="A11" s="12" t="inlineStr">
        <is>
          <t>R03</t>
        </is>
      </c>
      <c r="B11" s="12" t="inlineStr">
        <is>
          <t>R03</t>
        </is>
      </c>
      <c r="C11" s="12" t="inlineStr">
        <is>
          <t>ROW_COUNT</t>
        </is>
      </c>
      <c r="D11" s="12" t="inlineStr">
        <is>
          <t>-</t>
        </is>
      </c>
      <c r="E11" s="12" t="inlineStr">
        <is>
          <t>-</t>
        </is>
      </c>
      <c r="F11" s="12" t="inlineStr">
        <is>
          <t>Rows in the data file, header excluded</t>
        </is>
      </c>
      <c r="G11" s="12" t="n"/>
      <c r="H11" s="12" t="n"/>
      <c r="I11" s="12" t="n"/>
      <c r="J11" s="12" t="n"/>
    </row>
    <row r="12">
      <c r="A12" s="12" t="inlineStr">
        <is>
          <t>R03</t>
        </is>
      </c>
      <c r="B12" s="12" t="inlineStr">
        <is>
          <t>R03</t>
        </is>
      </c>
      <c r="C12" s="12" t="inlineStr">
        <is>
          <t>HASH_TOTAL</t>
        </is>
      </c>
      <c r="D12" s="12" t="inlineStr">
        <is>
          <t>record_type, unit_code, ao_user_id</t>
        </is>
      </c>
      <c r="E12" s="12" t="inlineStr">
        <is>
          <t>-</t>
        </is>
      </c>
      <c r="F12" s="12" t="inlineStr">
        <is>
          <t>Count of rows per record_type</t>
        </is>
      </c>
      <c r="G12" s="12" t="n"/>
      <c r="H12" s="12" t="n"/>
      <c r="I12" s="12" t="n"/>
      <c r="J12" s="12" t="n"/>
    </row>
    <row r="13">
      <c r="A13" s="12" t="inlineStr">
        <is>
          <t>R03</t>
        </is>
      </c>
      <c r="B13" s="12" t="inlineStr">
        <is>
          <t>R03</t>
        </is>
      </c>
      <c r="C13" s="12" t="inlineStr">
        <is>
          <t>SHA256</t>
        </is>
      </c>
      <c r="D13" s="12" t="inlineStr">
        <is>
          <t>-</t>
        </is>
      </c>
      <c r="E13" s="12" t="inlineStr">
        <is>
          <t>-</t>
        </is>
      </c>
      <c r="F13" s="12" t="inlineStr">
        <is>
          <t>SHA-256 of the data file as sent</t>
        </is>
      </c>
      <c r="G13" s="12" t="n"/>
      <c r="H13" s="12" t="n"/>
      <c r="I13" s="12" t="n"/>
      <c r="J13" s="12" t="n"/>
    </row>
    <row r="14">
      <c r="A14" s="12" t="inlineStr">
        <is>
          <t>R04</t>
        </is>
      </c>
      <c r="B14" s="12" t="inlineStr">
        <is>
          <t>R04</t>
        </is>
      </c>
      <c r="C14" s="12" t="inlineStr">
        <is>
          <t>ROW_COUNT</t>
        </is>
      </c>
      <c r="D14" s="12" t="inlineStr">
        <is>
          <t>-</t>
        </is>
      </c>
      <c r="E14" s="12" t="inlineStr">
        <is>
          <t>-</t>
        </is>
      </c>
      <c r="F14" s="12" t="inlineStr">
        <is>
          <t>Rows in the data file, header excluded</t>
        </is>
      </c>
      <c r="G14" s="12" t="n"/>
      <c r="H14" s="12" t="n"/>
      <c r="I14" s="12" t="n"/>
      <c r="J14" s="12" t="n"/>
    </row>
    <row r="15">
      <c r="A15" s="12" t="inlineStr">
        <is>
          <t>R04</t>
        </is>
      </c>
      <c r="B15" s="12" t="inlineStr">
        <is>
          <t>R04</t>
        </is>
      </c>
      <c r="C15" s="12" t="inlineStr">
        <is>
          <t>HASH_TOTAL</t>
        </is>
      </c>
      <c r="D15" s="12" t="inlineStr">
        <is>
          <t>insurer_code</t>
        </is>
      </c>
      <c r="E15" s="12" t="inlineStr">
        <is>
          <t>-</t>
        </is>
      </c>
      <c r="F15" s="12" t="inlineStr">
        <is>
          <t>Count of distinct insurer_code</t>
        </is>
      </c>
      <c r="G15" s="12" t="n"/>
      <c r="H15" s="12" t="n"/>
      <c r="I15" s="12" t="n"/>
      <c r="J15" s="12" t="n"/>
    </row>
    <row r="16">
      <c r="A16" s="12" t="inlineStr">
        <is>
          <t>R04</t>
        </is>
      </c>
      <c r="B16" s="12" t="inlineStr">
        <is>
          <t>R04</t>
        </is>
      </c>
      <c r="C16" s="12" t="inlineStr">
        <is>
          <t>SHA256</t>
        </is>
      </c>
      <c r="D16" s="12" t="inlineStr">
        <is>
          <t>-</t>
        </is>
      </c>
      <c r="E16" s="12" t="inlineStr">
        <is>
          <t>-</t>
        </is>
      </c>
      <c r="F16" s="12" t="inlineStr">
        <is>
          <t>SHA-256 of the data file as sent</t>
        </is>
      </c>
      <c r="G16" s="12" t="n"/>
      <c r="H16" s="12" t="n"/>
      <c r="I16" s="12" t="n"/>
      <c r="J16" s="12" t="n"/>
    </row>
    <row r="17">
      <c r="A17" s="12" t="inlineStr">
        <is>
          <t>R04B</t>
        </is>
      </c>
      <c r="B17" s="12" t="inlineStr">
        <is>
          <t>R04</t>
        </is>
      </c>
      <c r="C17" s="12" t="inlineStr">
        <is>
          <t>ROW_COUNT</t>
        </is>
      </c>
      <c r="D17" s="12" t="inlineStr">
        <is>
          <t>-</t>
        </is>
      </c>
      <c r="E17" s="12" t="inlineStr">
        <is>
          <t>-</t>
        </is>
      </c>
      <c r="F17" s="12" t="inlineStr">
        <is>
          <t>Rows in the data file, header excluded</t>
        </is>
      </c>
      <c r="G17" s="12" t="n"/>
      <c r="H17" s="12" t="n"/>
      <c r="I17" s="12" t="n"/>
      <c r="J17" s="12" t="n"/>
    </row>
    <row r="18">
      <c r="A18" s="12" t="inlineStr">
        <is>
          <t>R04B</t>
        </is>
      </c>
      <c r="B18" s="12" t="inlineStr">
        <is>
          <t>R04</t>
        </is>
      </c>
      <c r="C18" s="12" t="inlineStr">
        <is>
          <t>HASH_TOTAL</t>
        </is>
      </c>
      <c r="D18" s="12" t="inlineStr">
        <is>
          <t>insurer_code, branch_code</t>
        </is>
      </c>
      <c r="E18" s="12" t="inlineStr">
        <is>
          <t>-</t>
        </is>
      </c>
      <c r="F18" s="12" t="inlineStr">
        <is>
          <t>Count of distinct (insurer_code, branch_code)</t>
        </is>
      </c>
      <c r="G18" s="12" t="n"/>
      <c r="H18" s="12" t="n"/>
      <c r="I18" s="12" t="n"/>
      <c r="J18" s="12" t="n"/>
    </row>
    <row r="19">
      <c r="A19" s="12" t="inlineStr">
        <is>
          <t>R04B</t>
        </is>
      </c>
      <c r="B19" s="12" t="inlineStr">
        <is>
          <t>R04</t>
        </is>
      </c>
      <c r="C19" s="12" t="inlineStr">
        <is>
          <t>SHA256</t>
        </is>
      </c>
      <c r="D19" s="12" t="inlineStr">
        <is>
          <t>-</t>
        </is>
      </c>
      <c r="E19" s="12" t="inlineStr">
        <is>
          <t>-</t>
        </is>
      </c>
      <c r="F19" s="12" t="inlineStr">
        <is>
          <t>SHA-256 of the data file as sent</t>
        </is>
      </c>
      <c r="G19" s="12" t="n"/>
      <c r="H19" s="12" t="n"/>
      <c r="I19" s="12" t="n"/>
      <c r="J19" s="12" t="n"/>
    </row>
    <row r="20">
      <c r="A20" s="12" t="inlineStr">
        <is>
          <t>R05</t>
        </is>
      </c>
      <c r="B20" s="12" t="inlineStr">
        <is>
          <t>R05</t>
        </is>
      </c>
      <c r="C20" s="12" t="inlineStr">
        <is>
          <t>ROW_COUNT</t>
        </is>
      </c>
      <c r="D20" s="12" t="inlineStr">
        <is>
          <t>-</t>
        </is>
      </c>
      <c r="E20" s="12" t="inlineStr">
        <is>
          <t>-</t>
        </is>
      </c>
      <c r="F20" s="12" t="inlineStr">
        <is>
          <t>Rows in the data file, header excluded</t>
        </is>
      </c>
      <c r="G20" s="12" t="n"/>
      <c r="H20" s="12" t="n"/>
      <c r="I20" s="12" t="n"/>
      <c r="J20" s="12" t="n"/>
    </row>
    <row r="21">
      <c r="A21" s="12" t="inlineStr">
        <is>
          <t>R05</t>
        </is>
      </c>
      <c r="B21" s="12" t="inlineStr">
        <is>
          <t>R05</t>
        </is>
      </c>
      <c r="C21" s="12" t="inlineStr">
        <is>
          <t>HASH_TOTAL</t>
        </is>
      </c>
      <c r="D21" s="12" t="inlineStr">
        <is>
          <t>risk_code</t>
        </is>
      </c>
      <c r="E21" s="12" t="inlineStr">
        <is>
          <t>-</t>
        </is>
      </c>
      <c r="F21" s="12" t="inlineStr">
        <is>
          <t>Count of distinct risk_code</t>
        </is>
      </c>
      <c r="G21" s="12" t="n"/>
      <c r="H21" s="12" t="n"/>
      <c r="I21" s="12" t="n"/>
      <c r="J21" s="12" t="n"/>
    </row>
    <row r="22">
      <c r="A22" s="12" t="inlineStr">
        <is>
          <t>R05</t>
        </is>
      </c>
      <c r="B22" s="12" t="inlineStr">
        <is>
          <t>R05</t>
        </is>
      </c>
      <c r="C22" s="12" t="inlineStr">
        <is>
          <t>SHA256</t>
        </is>
      </c>
      <c r="D22" s="12" t="inlineStr">
        <is>
          <t>-</t>
        </is>
      </c>
      <c r="E22" s="12" t="inlineStr">
        <is>
          <t>-</t>
        </is>
      </c>
      <c r="F22" s="12" t="inlineStr">
        <is>
          <t>SHA-256 of the data file as sent</t>
        </is>
      </c>
      <c r="G22" s="12" t="n"/>
      <c r="H22" s="12" t="n"/>
      <c r="I22" s="12" t="n"/>
      <c r="J22" s="12" t="n"/>
    </row>
    <row r="23">
      <c r="A23" s="12" t="inlineStr">
        <is>
          <t>R06</t>
        </is>
      </c>
      <c r="B23" s="12" t="inlineStr">
        <is>
          <t>R06</t>
        </is>
      </c>
      <c r="C23" s="12" t="inlineStr">
        <is>
          <t>ROW_COUNT</t>
        </is>
      </c>
      <c r="D23" s="12" t="inlineStr">
        <is>
          <t>-</t>
        </is>
      </c>
      <c r="E23" s="12" t="inlineStr">
        <is>
          <t>-</t>
        </is>
      </c>
      <c r="F23" s="12" t="inlineStr">
        <is>
          <t>Rows in the data file, header excluded</t>
        </is>
      </c>
      <c r="G23" s="12" t="n"/>
      <c r="H23" s="12" t="n"/>
      <c r="I23" s="12" t="n"/>
      <c r="J23" s="12" t="n"/>
    </row>
    <row r="24">
      <c r="A24" s="12" t="inlineStr">
        <is>
          <t>R06</t>
        </is>
      </c>
      <c r="B24" s="12" t="inlineStr">
        <is>
          <t>R06</t>
        </is>
      </c>
      <c r="C24" s="12" t="inlineStr">
        <is>
          <t>HASH_TOTAL</t>
        </is>
      </c>
      <c r="D24" s="12" t="inlineStr">
        <is>
          <t>legacy_package_code, legacy_package_version, qualifier, qualifier_value</t>
        </is>
      </c>
      <c r="E24" s="12" t="inlineStr">
        <is>
          <t>-</t>
        </is>
      </c>
      <c r="F24" s="12" t="inlineStr">
        <is>
          <t>Count of distinct (legacy_package_code, legacy_package_version)</t>
        </is>
      </c>
      <c r="G24" s="12" t="n"/>
      <c r="H24" s="12" t="n"/>
      <c r="I24" s="12" t="n"/>
      <c r="J24" s="12" t="n"/>
    </row>
    <row r="25">
      <c r="A25" s="12" t="inlineStr">
        <is>
          <t>R06</t>
        </is>
      </c>
      <c r="B25" s="12" t="inlineStr">
        <is>
          <t>R06</t>
        </is>
      </c>
      <c r="C25" s="12" t="inlineStr">
        <is>
          <t>SHA256</t>
        </is>
      </c>
      <c r="D25" s="12" t="inlineStr">
        <is>
          <t>-</t>
        </is>
      </c>
      <c r="E25" s="12" t="inlineStr">
        <is>
          <t>-</t>
        </is>
      </c>
      <c r="F25" s="12" t="inlineStr">
        <is>
          <t>SHA-256 of the data file as sent</t>
        </is>
      </c>
      <c r="G25" s="12" t="n"/>
      <c r="H25" s="12" t="n"/>
      <c r="I25" s="12" t="n"/>
      <c r="J25" s="12" t="n"/>
    </row>
    <row r="26">
      <c r="A26" s="12" t="inlineStr">
        <is>
          <t>R07</t>
        </is>
      </c>
      <c r="B26" s="12" t="inlineStr">
        <is>
          <t>R07</t>
        </is>
      </c>
      <c r="C26" s="12" t="inlineStr">
        <is>
          <t>ROW_COUNT</t>
        </is>
      </c>
      <c r="D26" s="12" t="inlineStr">
        <is>
          <t>-</t>
        </is>
      </c>
      <c r="E26" s="12" t="inlineStr">
        <is>
          <t>-</t>
        </is>
      </c>
      <c r="F26" s="12" t="inlineStr">
        <is>
          <t>Rows in the data file, header excluded</t>
        </is>
      </c>
      <c r="G26" s="12" t="n"/>
      <c r="H26" s="12" t="n"/>
      <c r="I26" s="12" t="n"/>
      <c r="J26" s="12" t="n"/>
    </row>
    <row r="27">
      <c r="A27" s="12" t="inlineStr">
        <is>
          <t>R07</t>
        </is>
      </c>
      <c r="B27" s="12" t="inlineStr">
        <is>
          <t>R07</t>
        </is>
      </c>
      <c r="C27" s="12" t="inlineStr">
        <is>
          <t>HASH_TOTAL</t>
        </is>
      </c>
      <c r="D27" s="12" t="inlineStr">
        <is>
          <t>insurer_code, risk_code, effective_from</t>
        </is>
      </c>
      <c r="E27" s="12" t="inlineStr">
        <is>
          <t>-</t>
        </is>
      </c>
      <c r="F27" s="12" t="inlineStr">
        <is>
          <t>Count of rows</t>
        </is>
      </c>
      <c r="G27" s="12" t="n"/>
      <c r="H27" s="12" t="n"/>
      <c r="I27" s="12" t="n"/>
      <c r="J27" s="12" t="n"/>
    </row>
    <row r="28">
      <c r="A28" s="12" t="inlineStr">
        <is>
          <t>R07</t>
        </is>
      </c>
      <c r="B28" s="12" t="inlineStr">
        <is>
          <t>R07</t>
        </is>
      </c>
      <c r="C28" s="12" t="inlineStr">
        <is>
          <t>SHA256</t>
        </is>
      </c>
      <c r="D28" s="12" t="inlineStr">
        <is>
          <t>-</t>
        </is>
      </c>
      <c r="E28" s="12" t="inlineStr">
        <is>
          <t>-</t>
        </is>
      </c>
      <c r="F28" s="12" t="inlineStr">
        <is>
          <t>SHA-256 of the data file as sent</t>
        </is>
      </c>
      <c r="G28" s="12" t="n"/>
      <c r="H28" s="12" t="n"/>
      <c r="I28" s="12" t="n"/>
      <c r="J28" s="12" t="n"/>
    </row>
    <row r="29">
      <c r="A29" s="12" t="inlineStr">
        <is>
          <t>R08</t>
        </is>
      </c>
      <c r="B29" s="12" t="inlineStr">
        <is>
          <t>R08</t>
        </is>
      </c>
      <c r="C29" s="12" t="inlineStr">
        <is>
          <t>ROW_COUNT</t>
        </is>
      </c>
      <c r="D29" s="12" t="inlineStr">
        <is>
          <t>-</t>
        </is>
      </c>
      <c r="E29" s="12" t="inlineStr">
        <is>
          <t>-</t>
        </is>
      </c>
      <c r="F29" s="12" t="inlineStr">
        <is>
          <t>Rows in the data file, header excluded</t>
        </is>
      </c>
      <c r="G29" s="12" t="n"/>
      <c r="H29" s="12" t="n"/>
      <c r="I29" s="12" t="n"/>
      <c r="J29" s="12" t="n"/>
    </row>
    <row r="30">
      <c r="A30" s="12" t="inlineStr">
        <is>
          <t>R08</t>
        </is>
      </c>
      <c r="B30" s="12" t="inlineStr">
        <is>
          <t>R08</t>
        </is>
      </c>
      <c r="C30" s="12" t="inlineStr">
        <is>
          <t>HASH_TOTAL</t>
        </is>
      </c>
      <c r="D30" s="12" t="inlineStr">
        <is>
          <t>legacy_account_code</t>
        </is>
      </c>
      <c r="E30" s="12" t="inlineStr">
        <is>
          <t>-</t>
        </is>
      </c>
      <c r="F30" s="12" t="inlineStr">
        <is>
          <t>Count of distinct legacy_account_code</t>
        </is>
      </c>
      <c r="G30" s="12" t="n"/>
      <c r="H30" s="12" t="n"/>
      <c r="I30" s="12" t="n"/>
      <c r="J30" s="12" t="n"/>
    </row>
    <row r="31">
      <c r="A31" s="12" t="inlineStr">
        <is>
          <t>R08</t>
        </is>
      </c>
      <c r="B31" s="12" t="inlineStr">
        <is>
          <t>R08</t>
        </is>
      </c>
      <c r="C31" s="12" t="inlineStr">
        <is>
          <t>SHA256</t>
        </is>
      </c>
      <c r="D31" s="12" t="inlineStr">
        <is>
          <t>-</t>
        </is>
      </c>
      <c r="E31" s="12" t="inlineStr">
        <is>
          <t>-</t>
        </is>
      </c>
      <c r="F31" s="12" t="inlineStr">
        <is>
          <t>SHA-256 of the data file as sent</t>
        </is>
      </c>
      <c r="G31" s="12" t="n"/>
      <c r="H31" s="12" t="n"/>
      <c r="I31" s="12" t="n"/>
      <c r="J31" s="12" t="n"/>
    </row>
    <row r="32">
      <c r="A32" s="12" t="inlineStr">
        <is>
          <t>R09</t>
        </is>
      </c>
      <c r="B32" s="12" t="inlineStr">
        <is>
          <t>R09</t>
        </is>
      </c>
      <c r="C32" s="12" t="inlineStr">
        <is>
          <t>ROW_COUNT</t>
        </is>
      </c>
      <c r="D32" s="12" t="inlineStr">
        <is>
          <t>-</t>
        </is>
      </c>
      <c r="E32" s="12" t="inlineStr">
        <is>
          <t>-</t>
        </is>
      </c>
      <c r="F32" s="12" t="inlineStr">
        <is>
          <t>Rows in the data file, header excluded</t>
        </is>
      </c>
      <c r="G32" s="12" t="n"/>
      <c r="H32" s="12" t="n"/>
      <c r="I32" s="12" t="n"/>
      <c r="J32" s="12" t="n"/>
    </row>
    <row r="33">
      <c r="A33" s="12" t="inlineStr">
        <is>
          <t>R09</t>
        </is>
      </c>
      <c r="B33" s="12" t="inlineStr">
        <is>
          <t>R09</t>
        </is>
      </c>
      <c r="C33" s="12" t="inlineStr">
        <is>
          <t>HASH_TOTAL</t>
        </is>
      </c>
      <c r="D33" s="12" t="inlineStr">
        <is>
          <t>payee_code</t>
        </is>
      </c>
      <c r="E33" s="12" t="inlineStr">
        <is>
          <t>-</t>
        </is>
      </c>
      <c r="F33" s="12" t="inlineStr">
        <is>
          <t>Count of distinct payee_code</t>
        </is>
      </c>
      <c r="G33" s="12" t="n"/>
      <c r="H33" s="12" t="n"/>
      <c r="I33" s="12" t="n"/>
      <c r="J33" s="12" t="n"/>
    </row>
    <row r="34">
      <c r="A34" s="12" t="inlineStr">
        <is>
          <t>R09</t>
        </is>
      </c>
      <c r="B34" s="12" t="inlineStr">
        <is>
          <t>R09</t>
        </is>
      </c>
      <c r="C34" s="12" t="inlineStr">
        <is>
          <t>SHA256</t>
        </is>
      </c>
      <c r="D34" s="12" t="inlineStr">
        <is>
          <t>-</t>
        </is>
      </c>
      <c r="E34" s="12" t="inlineStr">
        <is>
          <t>-</t>
        </is>
      </c>
      <c r="F34" s="12" t="inlineStr">
        <is>
          <t>SHA-256 of the data file as sent</t>
        </is>
      </c>
      <c r="G34" s="12" t="n"/>
      <c r="H34" s="12" t="n"/>
      <c r="I34" s="12" t="n"/>
      <c r="J34" s="12" t="n"/>
    </row>
    <row r="35">
      <c r="A35" s="12" t="inlineStr">
        <is>
          <t>R11</t>
        </is>
      </c>
      <c r="B35" s="12" t="inlineStr">
        <is>
          <t>R11</t>
        </is>
      </c>
      <c r="C35" s="12" t="inlineStr">
        <is>
          <t>ROW_COUNT</t>
        </is>
      </c>
      <c r="D35" s="12" t="inlineStr">
        <is>
          <t>-</t>
        </is>
      </c>
      <c r="E35" s="12" t="inlineStr">
        <is>
          <t>-</t>
        </is>
      </c>
      <c r="F35" s="12" t="inlineStr">
        <is>
          <t>Rows in the data file, header excluded</t>
        </is>
      </c>
      <c r="G35" s="12" t="n"/>
      <c r="H35" s="12" t="n"/>
      <c r="I35" s="12" t="n"/>
      <c r="J35" s="12" t="n"/>
    </row>
    <row r="36">
      <c r="A36" s="12" t="inlineStr">
        <is>
          <t>R11</t>
        </is>
      </c>
      <c r="B36" s="12" t="inlineStr">
        <is>
          <t>R11</t>
        </is>
      </c>
      <c r="C36" s="12" t="inlineStr">
        <is>
          <t>HASH_TOTAL</t>
        </is>
      </c>
      <c r="D36" s="12" t="inlineStr">
        <is>
          <t>branch_code, kind, prefix</t>
        </is>
      </c>
      <c r="E36" s="12" t="inlineStr">
        <is>
          <t>-</t>
        </is>
      </c>
      <c r="F36" s="12" t="inlineStr">
        <is>
          <t>Count of rows</t>
        </is>
      </c>
      <c r="G36" s="12" t="n"/>
      <c r="H36" s="12" t="n"/>
      <c r="I36" s="12" t="n"/>
      <c r="J36" s="12" t="n"/>
    </row>
    <row r="37">
      <c r="A37" s="12" t="inlineStr">
        <is>
          <t>R11</t>
        </is>
      </c>
      <c r="B37" s="12" t="inlineStr">
        <is>
          <t>R11</t>
        </is>
      </c>
      <c r="C37" s="12" t="inlineStr">
        <is>
          <t>SHA256</t>
        </is>
      </c>
      <c r="D37" s="12" t="inlineStr">
        <is>
          <t>-</t>
        </is>
      </c>
      <c r="E37" s="12" t="inlineStr">
        <is>
          <t>-</t>
        </is>
      </c>
      <c r="F37" s="12" t="inlineStr">
        <is>
          <t>SHA-256 of the data file as sent</t>
        </is>
      </c>
      <c r="G37" s="12" t="n"/>
      <c r="H37" s="12" t="n"/>
      <c r="I37" s="12" t="n"/>
      <c r="J37" s="12" t="n"/>
    </row>
    <row r="38">
      <c r="A38" s="12" t="inlineStr">
        <is>
          <t>C01</t>
        </is>
      </c>
      <c r="B38" s="12" t="inlineStr">
        <is>
          <t>C01</t>
        </is>
      </c>
      <c r="C38" s="12" t="inlineStr">
        <is>
          <t>ROW_COUNT</t>
        </is>
      </c>
      <c r="D38" s="12" t="inlineStr">
        <is>
          <t>-</t>
        </is>
      </c>
      <c r="E38" s="12" t="inlineStr">
        <is>
          <t>-</t>
        </is>
      </c>
      <c r="F38" s="12" t="inlineStr">
        <is>
          <t>Rows in the data file, header excluded</t>
        </is>
      </c>
      <c r="G38" s="12" t="n"/>
      <c r="H38" s="12" t="n"/>
      <c r="I38" s="12" t="n"/>
      <c r="J38" s="12" t="n"/>
    </row>
    <row r="39">
      <c r="A39" s="12" t="inlineStr">
        <is>
          <t>C01</t>
        </is>
      </c>
      <c r="B39" s="12" t="inlineStr">
        <is>
          <t>C01</t>
        </is>
      </c>
      <c r="C39" s="12" t="inlineStr">
        <is>
          <t>HASH_TOTAL</t>
        </is>
      </c>
      <c r="D39" s="12" t="inlineStr">
        <is>
          <t>legacy_client_no</t>
        </is>
      </c>
      <c r="E39" s="12" t="inlineStr">
        <is>
          <t>-</t>
        </is>
      </c>
      <c r="F39" s="12" t="inlineStr">
        <is>
          <t>Count of distinct legacy_client_no</t>
        </is>
      </c>
      <c r="G39" s="12" t="n"/>
      <c r="H39" s="12" t="n"/>
      <c r="I39" s="12" t="n"/>
      <c r="J39" s="12" t="n"/>
    </row>
    <row r="40">
      <c r="A40" s="12" t="inlineStr">
        <is>
          <t>C01</t>
        </is>
      </c>
      <c r="B40" s="12" t="inlineStr">
        <is>
          <t>C01</t>
        </is>
      </c>
      <c r="C40" s="12" t="inlineStr">
        <is>
          <t>SHA256</t>
        </is>
      </c>
      <c r="D40" s="12" t="inlineStr">
        <is>
          <t>-</t>
        </is>
      </c>
      <c r="E40" s="12" t="inlineStr">
        <is>
          <t>-</t>
        </is>
      </c>
      <c r="F40" s="12" t="inlineStr">
        <is>
          <t>SHA-256 of the data file as sent</t>
        </is>
      </c>
      <c r="G40" s="12" t="n"/>
      <c r="H40" s="12" t="n"/>
      <c r="I40" s="12" t="n"/>
      <c r="J40" s="12" t="n"/>
    </row>
    <row r="41">
      <c r="A41" s="12" t="inlineStr">
        <is>
          <t>C02</t>
        </is>
      </c>
      <c r="B41" s="12" t="inlineStr">
        <is>
          <t>C01</t>
        </is>
      </c>
      <c r="C41" s="12" t="inlineStr">
        <is>
          <t>ROW_COUNT</t>
        </is>
      </c>
      <c r="D41" s="12" t="inlineStr">
        <is>
          <t>-</t>
        </is>
      </c>
      <c r="E41" s="12" t="inlineStr">
        <is>
          <t>-</t>
        </is>
      </c>
      <c r="F41" s="12" t="inlineStr">
        <is>
          <t>Rows in the data file, header excluded</t>
        </is>
      </c>
      <c r="G41" s="12" t="n"/>
      <c r="H41" s="12" t="n"/>
      <c r="I41" s="12" t="n"/>
      <c r="J41" s="12" t="n"/>
    </row>
    <row r="42">
      <c r="A42" s="12" t="inlineStr">
        <is>
          <t>C02</t>
        </is>
      </c>
      <c r="B42" s="12" t="inlineStr">
        <is>
          <t>C01</t>
        </is>
      </c>
      <c r="C42" s="12" t="inlineStr">
        <is>
          <t>HASH_TOTAL</t>
        </is>
      </c>
      <c r="D42" s="12" t="inlineStr">
        <is>
          <t>legacy_client_no, record_type, seq_no</t>
        </is>
      </c>
      <c r="E42" s="12" t="inlineStr">
        <is>
          <t>-</t>
        </is>
      </c>
      <c r="F42" s="12" t="inlineStr">
        <is>
          <t>Count of rows</t>
        </is>
      </c>
      <c r="G42" s="12" t="n"/>
      <c r="H42" s="12" t="n"/>
      <c r="I42" s="12" t="n"/>
      <c r="J42" s="12" t="n"/>
    </row>
    <row r="43">
      <c r="A43" s="12" t="inlineStr">
        <is>
          <t>C02</t>
        </is>
      </c>
      <c r="B43" s="12" t="inlineStr">
        <is>
          <t>C01</t>
        </is>
      </c>
      <c r="C43" s="12" t="inlineStr">
        <is>
          <t>SHA256</t>
        </is>
      </c>
      <c r="D43" s="12" t="inlineStr">
        <is>
          <t>-</t>
        </is>
      </c>
      <c r="E43" s="12" t="inlineStr">
        <is>
          <t>-</t>
        </is>
      </c>
      <c r="F43" s="12" t="inlineStr">
        <is>
          <t>SHA-256 of the data file as sent</t>
        </is>
      </c>
      <c r="G43" s="12" t="n"/>
      <c r="H43" s="12" t="n"/>
      <c r="I43" s="12" t="n"/>
      <c r="J43" s="12" t="n"/>
    </row>
    <row r="44">
      <c r="A44" s="12" t="inlineStr">
        <is>
          <t>C03</t>
        </is>
      </c>
      <c r="B44" s="12" t="inlineStr">
        <is>
          <t>C03</t>
        </is>
      </c>
      <c r="C44" s="12" t="inlineStr">
        <is>
          <t>ROW_COUNT</t>
        </is>
      </c>
      <c r="D44" s="12" t="inlineStr">
        <is>
          <t>-</t>
        </is>
      </c>
      <c r="E44" s="12" t="inlineStr">
        <is>
          <t>-</t>
        </is>
      </c>
      <c r="F44" s="12" t="inlineStr">
        <is>
          <t>Rows in the data file, header excluded</t>
        </is>
      </c>
      <c r="G44" s="12" t="n"/>
      <c r="H44" s="12" t="n"/>
      <c r="I44" s="12" t="n"/>
      <c r="J44" s="12" t="n"/>
    </row>
    <row r="45">
      <c r="A45" s="12" t="inlineStr">
        <is>
          <t>C03</t>
        </is>
      </c>
      <c r="B45" s="12" t="inlineStr">
        <is>
          <t>C03</t>
        </is>
      </c>
      <c r="C45" s="12" t="inlineStr">
        <is>
          <t>HASH_TOTAL</t>
        </is>
      </c>
      <c r="D45" s="12" t="inlineStr">
        <is>
          <t>legacy_client_no, account_no</t>
        </is>
      </c>
      <c r="E45" s="12" t="inlineStr">
        <is>
          <t>-</t>
        </is>
      </c>
      <c r="F45" s="12" t="inlineStr">
        <is>
          <t>Count of rows</t>
        </is>
      </c>
      <c r="G45" s="12" t="n"/>
      <c r="H45" s="12" t="n"/>
      <c r="I45" s="12" t="n"/>
      <c r="J45" s="12" t="n"/>
    </row>
    <row r="46">
      <c r="A46" s="12" t="inlineStr">
        <is>
          <t>C03</t>
        </is>
      </c>
      <c r="B46" s="12" t="inlineStr">
        <is>
          <t>C03</t>
        </is>
      </c>
      <c r="C46" s="12" t="inlineStr">
        <is>
          <t>SHA256</t>
        </is>
      </c>
      <c r="D46" s="12" t="inlineStr">
        <is>
          <t>-</t>
        </is>
      </c>
      <c r="E46" s="12" t="inlineStr">
        <is>
          <t>-</t>
        </is>
      </c>
      <c r="F46" s="12" t="inlineStr">
        <is>
          <t>SHA-256 of the data file as sent</t>
        </is>
      </c>
      <c r="G46" s="12" t="n"/>
      <c r="H46" s="12" t="n"/>
      <c r="I46" s="12" t="n"/>
      <c r="J46" s="12" t="n"/>
    </row>
    <row r="47">
      <c r="A47" s="12" t="inlineStr">
        <is>
          <t>P01</t>
        </is>
      </c>
      <c r="B47" s="12" t="inlineStr">
        <is>
          <t>P01</t>
        </is>
      </c>
      <c r="C47" s="12" t="inlineStr">
        <is>
          <t>ROW_COUNT</t>
        </is>
      </c>
      <c r="D47" s="12" t="inlineStr">
        <is>
          <t>-</t>
        </is>
      </c>
      <c r="E47" s="12" t="inlineStr">
        <is>
          <t>-</t>
        </is>
      </c>
      <c r="F47" s="12" t="inlineStr">
        <is>
          <t>Rows in the data file, header excluded</t>
        </is>
      </c>
      <c r="G47" s="12" t="n"/>
      <c r="H47" s="12" t="n"/>
      <c r="I47" s="12" t="n"/>
      <c r="J47" s="12" t="n"/>
    </row>
    <row r="48">
      <c r="A48" s="12" t="inlineStr">
        <is>
          <t>P01</t>
        </is>
      </c>
      <c r="B48" s="12" t="inlineStr">
        <is>
          <t>P01</t>
        </is>
      </c>
      <c r="C48" s="12" t="inlineStr">
        <is>
          <t>HASH_TOTAL</t>
        </is>
      </c>
      <c r="D48" s="12" t="inlineStr">
        <is>
          <t>legacy_policy_ref</t>
        </is>
      </c>
      <c r="E48" s="12" t="inlineStr">
        <is>
          <t>-</t>
        </is>
      </c>
      <c r="F48" s="12" t="inlineStr">
        <is>
          <t>Count of distinct legacy_policy_ref</t>
        </is>
      </c>
      <c r="G48" s="12" t="n"/>
      <c r="H48" s="12" t="n"/>
      <c r="I48" s="12" t="n"/>
      <c r="J48" s="12" t="n"/>
    </row>
    <row r="49">
      <c r="A49" s="12" t="inlineStr">
        <is>
          <t>P01</t>
        </is>
      </c>
      <c r="B49" s="12" t="inlineStr">
        <is>
          <t>P01</t>
        </is>
      </c>
      <c r="C49" s="12" t="inlineStr">
        <is>
          <t>AMOUNT_TOTAL</t>
        </is>
      </c>
      <c r="D49" s="12" t="inlineStr">
        <is>
          <t>sum_insured</t>
        </is>
      </c>
      <c r="E49" s="12" t="inlineStr">
        <is>
          <t>Each currency</t>
        </is>
      </c>
      <c r="F49" s="12" t="inlineStr">
        <is>
          <t>Sum per currency</t>
        </is>
      </c>
      <c r="G49" s="12" t="n"/>
      <c r="H49" s="12" t="n"/>
      <c r="I49" s="12" t="n"/>
      <c r="J49" s="12" t="n"/>
    </row>
    <row r="50">
      <c r="A50" s="12" t="inlineStr">
        <is>
          <t>P01</t>
        </is>
      </c>
      <c r="B50" s="12" t="inlineStr">
        <is>
          <t>P01</t>
        </is>
      </c>
      <c r="C50" s="12" t="inlineStr">
        <is>
          <t>AMOUNT_TOTAL</t>
        </is>
      </c>
      <c r="D50" s="12" t="inlineStr">
        <is>
          <t>gross_premium</t>
        </is>
      </c>
      <c r="E50" s="12" t="inlineStr">
        <is>
          <t>Each currency</t>
        </is>
      </c>
      <c r="F50" s="12" t="inlineStr">
        <is>
          <t>Sum per currency</t>
        </is>
      </c>
      <c r="G50" s="12" t="n"/>
      <c r="H50" s="12" t="n"/>
      <c r="I50" s="12" t="n"/>
      <c r="J50" s="12" t="n"/>
    </row>
    <row r="51">
      <c r="A51" s="12" t="inlineStr">
        <is>
          <t>P01</t>
        </is>
      </c>
      <c r="B51" s="12" t="inlineStr">
        <is>
          <t>P01</t>
        </is>
      </c>
      <c r="C51" s="12" t="inlineStr">
        <is>
          <t>AMOUNT_TOTAL</t>
        </is>
      </c>
      <c r="D51" s="12" t="inlineStr">
        <is>
          <t>net_premium</t>
        </is>
      </c>
      <c r="E51" s="12" t="inlineStr">
        <is>
          <t>Each currency</t>
        </is>
      </c>
      <c r="F51" s="12" t="inlineStr">
        <is>
          <t>Sum per currency</t>
        </is>
      </c>
      <c r="G51" s="12" t="n"/>
      <c r="H51" s="12" t="n"/>
      <c r="I51" s="12" t="n"/>
      <c r="J51" s="12" t="n"/>
    </row>
    <row r="52">
      <c r="A52" s="12" t="inlineStr">
        <is>
          <t>P01</t>
        </is>
      </c>
      <c r="B52" s="12" t="inlineStr">
        <is>
          <t>P01</t>
        </is>
      </c>
      <c r="C52" s="12" t="inlineStr">
        <is>
          <t>SHA256</t>
        </is>
      </c>
      <c r="D52" s="12" t="inlineStr">
        <is>
          <t>-</t>
        </is>
      </c>
      <c r="E52" s="12" t="inlineStr">
        <is>
          <t>-</t>
        </is>
      </c>
      <c r="F52" s="12" t="inlineStr">
        <is>
          <t>SHA-256 of the data file as sent</t>
        </is>
      </c>
      <c r="G52" s="12" t="n"/>
      <c r="H52" s="12" t="n"/>
      <c r="I52" s="12" t="n"/>
      <c r="J52" s="12" t="n"/>
    </row>
    <row r="53">
      <c r="A53" s="12" t="inlineStr">
        <is>
          <t>P01S</t>
        </is>
      </c>
      <c r="B53" s="12" t="inlineStr">
        <is>
          <t>P01</t>
        </is>
      </c>
      <c r="C53" s="12" t="inlineStr">
        <is>
          <t>ROW_COUNT</t>
        </is>
      </c>
      <c r="D53" s="12" t="inlineStr">
        <is>
          <t>-</t>
        </is>
      </c>
      <c r="E53" s="12" t="inlineStr">
        <is>
          <t>-</t>
        </is>
      </c>
      <c r="F53" s="12" t="inlineStr">
        <is>
          <t>Rows in the data file, header excluded</t>
        </is>
      </c>
      <c r="G53" s="12" t="n"/>
      <c r="H53" s="12" t="n"/>
      <c r="I53" s="12" t="n"/>
      <c r="J53" s="12" t="n"/>
    </row>
    <row r="54">
      <c r="A54" s="12" t="inlineStr">
        <is>
          <t>P01S</t>
        </is>
      </c>
      <c r="B54" s="12" t="inlineStr">
        <is>
          <t>P01</t>
        </is>
      </c>
      <c r="C54" s="12" t="inlineStr">
        <is>
          <t>HASH_TOTAL</t>
        </is>
      </c>
      <c r="D54" s="12" t="inlineStr">
        <is>
          <t>legacy_policy_ref, share_seq</t>
        </is>
      </c>
      <c r="E54" s="12" t="inlineStr">
        <is>
          <t>-</t>
        </is>
      </c>
      <c r="F54" s="12" t="inlineStr">
        <is>
          <t>Count of rows</t>
        </is>
      </c>
      <c r="G54" s="12" t="n"/>
      <c r="H54" s="12" t="n"/>
      <c r="I54" s="12" t="n"/>
      <c r="J54" s="12" t="n"/>
    </row>
    <row r="55">
      <c r="A55" s="12" t="inlineStr">
        <is>
          <t>P01S</t>
        </is>
      </c>
      <c r="B55" s="12" t="inlineStr">
        <is>
          <t>P01</t>
        </is>
      </c>
      <c r="C55" s="12" t="inlineStr">
        <is>
          <t>SHA256</t>
        </is>
      </c>
      <c r="D55" s="12" t="inlineStr">
        <is>
          <t>-</t>
        </is>
      </c>
      <c r="E55" s="12" t="inlineStr">
        <is>
          <t>-</t>
        </is>
      </c>
      <c r="F55" s="12" t="inlineStr">
        <is>
          <t>SHA-256 of the data file as sent</t>
        </is>
      </c>
      <c r="G55" s="12" t="n"/>
      <c r="H55" s="12" t="n"/>
      <c r="I55" s="12" t="n"/>
      <c r="J55" s="12" t="n"/>
    </row>
    <row r="56">
      <c r="A56" s="12" t="inlineStr">
        <is>
          <t>P03</t>
        </is>
      </c>
      <c r="B56" s="12" t="inlineStr">
        <is>
          <t>P03</t>
        </is>
      </c>
      <c r="C56" s="12" t="inlineStr">
        <is>
          <t>ROW_COUNT</t>
        </is>
      </c>
      <c r="D56" s="12" t="inlineStr">
        <is>
          <t>-</t>
        </is>
      </c>
      <c r="E56" s="12" t="inlineStr">
        <is>
          <t>-</t>
        </is>
      </c>
      <c r="F56" s="12" t="inlineStr">
        <is>
          <t>Rows in the data file, header excluded</t>
        </is>
      </c>
      <c r="G56" s="12" t="n"/>
      <c r="H56" s="12" t="n"/>
      <c r="I56" s="12" t="n"/>
      <c r="J56" s="12" t="n"/>
    </row>
    <row r="57">
      <c r="A57" s="12" t="inlineStr">
        <is>
          <t>P03</t>
        </is>
      </c>
      <c r="B57" s="12" t="inlineStr">
        <is>
          <t>P03</t>
        </is>
      </c>
      <c r="C57" s="12" t="inlineStr">
        <is>
          <t>HASH_TOTAL</t>
        </is>
      </c>
      <c r="D57" s="12" t="inlineStr">
        <is>
          <t>legacy_policy_ref</t>
        </is>
      </c>
      <c r="E57" s="12" t="inlineStr">
        <is>
          <t>-</t>
        </is>
      </c>
      <c r="F57" s="12" t="inlineStr">
        <is>
          <t>Count of distinct legacy_policy_ref</t>
        </is>
      </c>
      <c r="G57" s="12" t="n"/>
      <c r="H57" s="12" t="n"/>
      <c r="I57" s="12" t="n"/>
      <c r="J57" s="12" t="n"/>
    </row>
    <row r="58">
      <c r="A58" s="12" t="inlineStr">
        <is>
          <t>P03</t>
        </is>
      </c>
      <c r="B58" s="12" t="inlineStr">
        <is>
          <t>P03</t>
        </is>
      </c>
      <c r="C58" s="12" t="inlineStr">
        <is>
          <t>AMOUNT_TOTAL</t>
        </is>
      </c>
      <c r="D58" s="12" t="inlineStr">
        <is>
          <t>proposed_premium</t>
        </is>
      </c>
      <c r="E58" s="12" t="inlineStr">
        <is>
          <t>Each currency</t>
        </is>
      </c>
      <c r="F58" s="12" t="inlineStr">
        <is>
          <t>Sum per currency</t>
        </is>
      </c>
      <c r="G58" s="12" t="n"/>
      <c r="H58" s="12" t="n"/>
      <c r="I58" s="12" t="n"/>
      <c r="J58" s="12" t="n"/>
    </row>
    <row r="59">
      <c r="A59" s="12" t="inlineStr">
        <is>
          <t>P03</t>
        </is>
      </c>
      <c r="B59" s="12" t="inlineStr">
        <is>
          <t>P03</t>
        </is>
      </c>
      <c r="C59" s="12" t="inlineStr">
        <is>
          <t>SHA256</t>
        </is>
      </c>
      <c r="D59" s="12" t="inlineStr">
        <is>
          <t>-</t>
        </is>
      </c>
      <c r="E59" s="12" t="inlineStr">
        <is>
          <t>-</t>
        </is>
      </c>
      <c r="F59" s="12" t="inlineStr">
        <is>
          <t>SHA-256 of the data file as sent</t>
        </is>
      </c>
      <c r="G59" s="12" t="n"/>
      <c r="H59" s="12" t="n"/>
      <c r="I59" s="12" t="n"/>
      <c r="J59" s="12" t="n"/>
    </row>
    <row r="60">
      <c r="A60" s="12" t="inlineStr">
        <is>
          <t>F01</t>
        </is>
      </c>
      <c r="B60" s="12" t="inlineStr">
        <is>
          <t>F01</t>
        </is>
      </c>
      <c r="C60" s="12" t="inlineStr">
        <is>
          <t>ROW_COUNT</t>
        </is>
      </c>
      <c r="D60" s="12" t="inlineStr">
        <is>
          <t>-</t>
        </is>
      </c>
      <c r="E60" s="12" t="inlineStr">
        <is>
          <t>-</t>
        </is>
      </c>
      <c r="F60" s="12" t="inlineStr">
        <is>
          <t>Rows in the data file, header excluded</t>
        </is>
      </c>
      <c r="G60" s="12" t="n"/>
      <c r="H60" s="12" t="n"/>
      <c r="I60" s="12" t="n"/>
      <c r="J60" s="12" t="n"/>
    </row>
    <row r="61">
      <c r="A61" s="12" t="inlineStr">
        <is>
          <t>F01</t>
        </is>
      </c>
      <c r="B61" s="12" t="inlineStr">
        <is>
          <t>F01</t>
        </is>
      </c>
      <c r="C61" s="12" t="inlineStr">
        <is>
          <t>HASH_TOTAL</t>
        </is>
      </c>
      <c r="D61" s="12" t="inlineStr">
        <is>
          <t>legacy_invoice_no</t>
        </is>
      </c>
      <c r="E61" s="12" t="inlineStr">
        <is>
          <t>-</t>
        </is>
      </c>
      <c r="F61" s="12" t="inlineStr">
        <is>
          <t>Count of distinct legacy_invoice_no</t>
        </is>
      </c>
      <c r="G61" s="12" t="n"/>
      <c r="H61" s="12" t="n"/>
      <c r="I61" s="12" t="n"/>
      <c r="J61" s="12" t="n"/>
    </row>
    <row r="62">
      <c r="A62" s="12" t="inlineStr">
        <is>
          <t>F01</t>
        </is>
      </c>
      <c r="B62" s="12" t="inlineStr">
        <is>
          <t>F01</t>
        </is>
      </c>
      <c r="C62" s="12" t="inlineStr">
        <is>
          <t>AMOUNT_TOTAL</t>
        </is>
      </c>
      <c r="D62" s="12" t="inlineStr">
        <is>
          <t>gross_premium</t>
        </is>
      </c>
      <c r="E62" s="12" t="inlineStr">
        <is>
          <t>Each currency</t>
        </is>
      </c>
      <c r="F62" s="12" t="inlineStr">
        <is>
          <t>Sum per currency</t>
        </is>
      </c>
      <c r="G62" s="12" t="n"/>
      <c r="H62" s="12" t="n"/>
      <c r="I62" s="12" t="n"/>
      <c r="J62" s="12" t="n"/>
    </row>
    <row r="63">
      <c r="A63" s="12" t="inlineStr">
        <is>
          <t>F01</t>
        </is>
      </c>
      <c r="B63" s="12" t="inlineStr">
        <is>
          <t>F01</t>
        </is>
      </c>
      <c r="C63" s="12" t="inlineStr">
        <is>
          <t>AMOUNT_TOTAL</t>
        </is>
      </c>
      <c r="D63" s="12" t="inlineStr">
        <is>
          <t>commission</t>
        </is>
      </c>
      <c r="E63" s="12" t="inlineStr">
        <is>
          <t>Each currency</t>
        </is>
      </c>
      <c r="F63" s="12" t="inlineStr">
        <is>
          <t>Sum per currency</t>
        </is>
      </c>
      <c r="G63" s="12" t="n"/>
      <c r="H63" s="12" t="n"/>
      <c r="I63" s="12" t="n"/>
      <c r="J63" s="12" t="n"/>
    </row>
    <row r="64">
      <c r="A64" s="12" t="inlineStr">
        <is>
          <t>F01</t>
        </is>
      </c>
      <c r="B64" s="12" t="inlineStr">
        <is>
          <t>F01</t>
        </is>
      </c>
      <c r="C64" s="12" t="inlineStr">
        <is>
          <t>AMOUNT_TOTAL</t>
        </is>
      </c>
      <c r="D64" s="12" t="inlineStr">
        <is>
          <t>vat_on_commission</t>
        </is>
      </c>
      <c r="E64" s="12" t="inlineStr">
        <is>
          <t>Each currency</t>
        </is>
      </c>
      <c r="F64" s="12" t="inlineStr">
        <is>
          <t>Sum per currency</t>
        </is>
      </c>
      <c r="G64" s="12" t="n"/>
      <c r="H64" s="12" t="n"/>
      <c r="I64" s="12" t="n"/>
      <c r="J64" s="12" t="n"/>
    </row>
    <row r="65">
      <c r="A65" s="12" t="inlineStr">
        <is>
          <t>F01</t>
        </is>
      </c>
      <c r="B65" s="12" t="inlineStr">
        <is>
          <t>F01</t>
        </is>
      </c>
      <c r="C65" s="12" t="inlineStr">
        <is>
          <t>SHA256</t>
        </is>
      </c>
      <c r="D65" s="12" t="inlineStr">
        <is>
          <t>-</t>
        </is>
      </c>
      <c r="E65" s="12" t="inlineStr">
        <is>
          <t>-</t>
        </is>
      </c>
      <c r="F65" s="12" t="inlineStr">
        <is>
          <t>SHA-256 of the data file as sent</t>
        </is>
      </c>
      <c r="G65" s="12" t="n"/>
      <c r="H65" s="12" t="n"/>
      <c r="I65" s="12" t="n"/>
      <c r="J65" s="12" t="n"/>
    </row>
    <row r="66">
      <c r="A66" s="12" t="inlineStr">
        <is>
          <t>F01S</t>
        </is>
      </c>
      <c r="B66" s="12" t="inlineStr">
        <is>
          <t>F01</t>
        </is>
      </c>
      <c r="C66" s="12" t="inlineStr">
        <is>
          <t>ROW_COUNT</t>
        </is>
      </c>
      <c r="D66" s="12" t="inlineStr">
        <is>
          <t>-</t>
        </is>
      </c>
      <c r="E66" s="12" t="inlineStr">
        <is>
          <t>-</t>
        </is>
      </c>
      <c r="F66" s="12" t="inlineStr">
        <is>
          <t>Rows in the data file, header excluded</t>
        </is>
      </c>
      <c r="G66" s="12" t="n"/>
      <c r="H66" s="12" t="n"/>
      <c r="I66" s="12" t="n"/>
      <c r="J66" s="12" t="n"/>
    </row>
    <row r="67">
      <c r="A67" s="12" t="inlineStr">
        <is>
          <t>F01S</t>
        </is>
      </c>
      <c r="B67" s="12" t="inlineStr">
        <is>
          <t>F01</t>
        </is>
      </c>
      <c r="C67" s="12" t="inlineStr">
        <is>
          <t>HASH_TOTAL</t>
        </is>
      </c>
      <c r="D67" s="12" t="inlineStr">
        <is>
          <t>legacy_invoice_no, share_seq</t>
        </is>
      </c>
      <c r="E67" s="12" t="inlineStr">
        <is>
          <t>-</t>
        </is>
      </c>
      <c r="F67" s="12" t="inlineStr">
        <is>
          <t>Count of rows</t>
        </is>
      </c>
      <c r="G67" s="12" t="n"/>
      <c r="H67" s="12" t="n"/>
      <c r="I67" s="12" t="n"/>
      <c r="J67" s="12" t="n"/>
    </row>
    <row r="68">
      <c r="A68" s="12" t="inlineStr">
        <is>
          <t>F01S</t>
        </is>
      </c>
      <c r="B68" s="12" t="inlineStr">
        <is>
          <t>F01</t>
        </is>
      </c>
      <c r="C68" s="12" t="inlineStr">
        <is>
          <t>SHA256</t>
        </is>
      </c>
      <c r="D68" s="12" t="inlineStr">
        <is>
          <t>-</t>
        </is>
      </c>
      <c r="E68" s="12" t="inlineStr">
        <is>
          <t>-</t>
        </is>
      </c>
      <c r="F68" s="12" t="inlineStr">
        <is>
          <t>SHA-256 of the data file as sent</t>
        </is>
      </c>
      <c r="G68" s="12" t="n"/>
      <c r="H68" s="12" t="n"/>
      <c r="I68" s="12" t="n"/>
      <c r="J68" s="12" t="n"/>
    </row>
    <row r="69">
      <c r="A69" s="12" t="inlineStr">
        <is>
          <t>F01C</t>
        </is>
      </c>
      <c r="B69" s="12" t="inlineStr">
        <is>
          <t>F01</t>
        </is>
      </c>
      <c r="C69" s="12" t="inlineStr">
        <is>
          <t>ROW_COUNT</t>
        </is>
      </c>
      <c r="D69" s="12" t="inlineStr">
        <is>
          <t>-</t>
        </is>
      </c>
      <c r="E69" s="12" t="inlineStr">
        <is>
          <t>-</t>
        </is>
      </c>
      <c r="F69" s="12" t="inlineStr">
        <is>
          <t>Rows in the data file, header excluded</t>
        </is>
      </c>
      <c r="G69" s="12" t="n"/>
      <c r="H69" s="12" t="n"/>
      <c r="I69" s="12" t="n"/>
      <c r="J69" s="12" t="n"/>
    </row>
    <row r="70">
      <c r="A70" s="12" t="inlineStr">
        <is>
          <t>F01C</t>
        </is>
      </c>
      <c r="B70" s="12" t="inlineStr">
        <is>
          <t>F01</t>
        </is>
      </c>
      <c r="C70" s="12" t="inlineStr">
        <is>
          <t>HASH_TOTAL</t>
        </is>
      </c>
      <c r="D70" s="12" t="inlineStr">
        <is>
          <t>legacy_invoice_no, component</t>
        </is>
      </c>
      <c r="E70" s="12" t="inlineStr">
        <is>
          <t>-</t>
        </is>
      </c>
      <c r="F70" s="12" t="inlineStr">
        <is>
          <t>Count of rows</t>
        </is>
      </c>
      <c r="G70" s="12" t="n"/>
      <c r="H70" s="12" t="n"/>
      <c r="I70" s="12" t="n"/>
      <c r="J70" s="12" t="n"/>
    </row>
    <row r="71">
      <c r="A71" s="12" t="inlineStr">
        <is>
          <t>F01C</t>
        </is>
      </c>
      <c r="B71" s="12" t="inlineStr">
        <is>
          <t>F01</t>
        </is>
      </c>
      <c r="C71" s="12" t="inlineStr">
        <is>
          <t>AMOUNT_TOTAL</t>
        </is>
      </c>
      <c r="D71" s="12" t="inlineStr">
        <is>
          <t>booked</t>
        </is>
      </c>
      <c r="E71" s="12" t="inlineStr">
        <is>
          <t>Each currency</t>
        </is>
      </c>
      <c r="F71" s="12" t="inlineStr">
        <is>
          <t>Sum per currency and per component (filter component=&lt;value&gt;)</t>
        </is>
      </c>
      <c r="G71" s="12" t="n"/>
      <c r="H71" s="12" t="n"/>
      <c r="I71" s="12" t="n"/>
      <c r="J71" s="12" t="n"/>
    </row>
    <row r="72">
      <c r="A72" s="12" t="inlineStr">
        <is>
          <t>F01C</t>
        </is>
      </c>
      <c r="B72" s="12" t="inlineStr">
        <is>
          <t>F01</t>
        </is>
      </c>
      <c r="C72" s="12" t="inlineStr">
        <is>
          <t>AMOUNT_TOTAL</t>
        </is>
      </c>
      <c r="D72" s="12" t="inlineStr">
        <is>
          <t>adjusted</t>
        </is>
      </c>
      <c r="E72" s="12" t="inlineStr">
        <is>
          <t>Each currency</t>
        </is>
      </c>
      <c r="F72" s="12" t="inlineStr">
        <is>
          <t>Sum per currency and per component (filter component=&lt;value&gt;)</t>
        </is>
      </c>
      <c r="G72" s="12" t="n"/>
      <c r="H72" s="12" t="n"/>
      <c r="I72" s="12" t="n"/>
      <c r="J72" s="12" t="n"/>
    </row>
    <row r="73">
      <c r="A73" s="12" t="inlineStr">
        <is>
          <t>F01C</t>
        </is>
      </c>
      <c r="B73" s="12" t="inlineStr">
        <is>
          <t>F01</t>
        </is>
      </c>
      <c r="C73" s="12" t="inlineStr">
        <is>
          <t>AMOUNT_TOTAL</t>
        </is>
      </c>
      <c r="D73" s="12" t="inlineStr">
        <is>
          <t>paid</t>
        </is>
      </c>
      <c r="E73" s="12" t="inlineStr">
        <is>
          <t>Each currency</t>
        </is>
      </c>
      <c r="F73" s="12" t="inlineStr">
        <is>
          <t>Sum per currency and per component (filter component=&lt;value&gt;)</t>
        </is>
      </c>
      <c r="G73" s="12" t="n"/>
      <c r="H73" s="12" t="n"/>
      <c r="I73" s="12" t="n"/>
      <c r="J73" s="12" t="n"/>
    </row>
    <row r="74">
      <c r="A74" s="12" t="inlineStr">
        <is>
          <t>F01C</t>
        </is>
      </c>
      <c r="B74" s="12" t="inlineStr">
        <is>
          <t>F01</t>
        </is>
      </c>
      <c r="C74" s="12" t="inlineStr">
        <is>
          <t>AMOUNT_TOTAL</t>
        </is>
      </c>
      <c r="D74" s="12" t="inlineStr">
        <is>
          <t>remitted</t>
        </is>
      </c>
      <c r="E74" s="12" t="inlineStr">
        <is>
          <t>Each currency</t>
        </is>
      </c>
      <c r="F74" s="12" t="inlineStr">
        <is>
          <t>Sum per currency and per component (filter component=&lt;value&gt;)</t>
        </is>
      </c>
      <c r="G74" s="12" t="n"/>
      <c r="H74" s="12" t="n"/>
      <c r="I74" s="12" t="n"/>
      <c r="J74" s="12" t="n"/>
    </row>
    <row r="75">
      <c r="A75" s="12" t="inlineStr">
        <is>
          <t>F01C</t>
        </is>
      </c>
      <c r="B75" s="12" t="inlineStr">
        <is>
          <t>F01</t>
        </is>
      </c>
      <c r="C75" s="12" t="inlineStr">
        <is>
          <t>AMOUNT_TOTAL</t>
        </is>
      </c>
      <c r="D75" s="12" t="inlineStr">
        <is>
          <t>written_off</t>
        </is>
      </c>
      <c r="E75" s="12" t="inlineStr">
        <is>
          <t>Each currency</t>
        </is>
      </c>
      <c r="F75" s="12" t="inlineStr">
        <is>
          <t>Sum per currency and per component (filter component=&lt;value&gt;)</t>
        </is>
      </c>
      <c r="G75" s="12" t="n"/>
      <c r="H75" s="12" t="n"/>
      <c r="I75" s="12" t="n"/>
      <c r="J75" s="12" t="n"/>
    </row>
    <row r="76">
      <c r="A76" s="12" t="inlineStr">
        <is>
          <t>F01C</t>
        </is>
      </c>
      <c r="B76" s="12" t="inlineStr">
        <is>
          <t>F01</t>
        </is>
      </c>
      <c r="C76" s="12" t="inlineStr">
        <is>
          <t>AMOUNT_TOTAL</t>
        </is>
      </c>
      <c r="D76" s="12" t="inlineStr">
        <is>
          <t>open_balance</t>
        </is>
      </c>
      <c r="E76" s="12" t="inlineStr">
        <is>
          <t>Each currency</t>
        </is>
      </c>
      <c r="F76" s="12" t="inlineStr">
        <is>
          <t>Sum per currency and per component (filter component=&lt;value&gt;)</t>
        </is>
      </c>
      <c r="G76" s="12" t="n"/>
      <c r="H76" s="12" t="n"/>
      <c r="I76" s="12" t="n"/>
      <c r="J76" s="12" t="n"/>
    </row>
    <row r="77">
      <c r="A77" s="12" t="inlineStr">
        <is>
          <t>F01C</t>
        </is>
      </c>
      <c r="B77" s="12" t="inlineStr">
        <is>
          <t>F01</t>
        </is>
      </c>
      <c r="C77" s="12" t="inlineStr">
        <is>
          <t>SHA256</t>
        </is>
      </c>
      <c r="D77" s="12" t="inlineStr">
        <is>
          <t>-</t>
        </is>
      </c>
      <c r="E77" s="12" t="inlineStr">
        <is>
          <t>-</t>
        </is>
      </c>
      <c r="F77" s="12" t="inlineStr">
        <is>
          <t>SHA-256 of the data file as sent</t>
        </is>
      </c>
      <c r="G77" s="12" t="n"/>
      <c r="H77" s="12" t="n"/>
      <c r="I77" s="12" t="n"/>
      <c r="J77" s="12" t="n"/>
    </row>
    <row r="78">
      <c r="A78" s="12" t="inlineStr">
        <is>
          <t>F02</t>
        </is>
      </c>
      <c r="B78" s="12" t="inlineStr">
        <is>
          <t>F02</t>
        </is>
      </c>
      <c r="C78" s="12" t="inlineStr">
        <is>
          <t>ROW_COUNT</t>
        </is>
      </c>
      <c r="D78" s="12" t="inlineStr">
        <is>
          <t>-</t>
        </is>
      </c>
      <c r="E78" s="12" t="inlineStr">
        <is>
          <t>-</t>
        </is>
      </c>
      <c r="F78" s="12" t="inlineStr">
        <is>
          <t>Rows in the data file, header excluded</t>
        </is>
      </c>
      <c r="G78" s="12" t="n"/>
      <c r="H78" s="12" t="n"/>
      <c r="I78" s="12" t="n"/>
      <c r="J78" s="12" t="n"/>
    </row>
    <row r="79">
      <c r="A79" s="12" t="inlineStr">
        <is>
          <t>F02</t>
        </is>
      </c>
      <c r="B79" s="12" t="inlineStr">
        <is>
          <t>F02</t>
        </is>
      </c>
      <c r="C79" s="12" t="inlineStr">
        <is>
          <t>HASH_TOTAL</t>
        </is>
      </c>
      <c r="D79" s="12" t="inlineStr">
        <is>
          <t>legacy_upp_ref</t>
        </is>
      </c>
      <c r="E79" s="12" t="inlineStr">
        <is>
          <t>-</t>
        </is>
      </c>
      <c r="F79" s="12" t="inlineStr">
        <is>
          <t>Count of distinct legacy_upp_ref</t>
        </is>
      </c>
      <c r="G79" s="12" t="n"/>
      <c r="H79" s="12" t="n"/>
      <c r="I79" s="12" t="n"/>
      <c r="J79" s="12" t="n"/>
    </row>
    <row r="80">
      <c r="A80" s="12" t="inlineStr">
        <is>
          <t>F02</t>
        </is>
      </c>
      <c r="B80" s="12" t="inlineStr">
        <is>
          <t>F02</t>
        </is>
      </c>
      <c r="C80" s="12" t="inlineStr">
        <is>
          <t>AMOUNT_TOTAL</t>
        </is>
      </c>
      <c r="D80" s="12" t="inlineStr">
        <is>
          <t>amount</t>
        </is>
      </c>
      <c r="E80" s="12" t="inlineStr">
        <is>
          <t>Each currency</t>
        </is>
      </c>
      <c r="F80" s="12" t="inlineStr">
        <is>
          <t>Sum per currency</t>
        </is>
      </c>
      <c r="G80" s="12" t="n"/>
      <c r="H80" s="12" t="n"/>
      <c r="I80" s="12" t="n"/>
      <c r="J80" s="12" t="n"/>
    </row>
    <row r="81">
      <c r="A81" s="12" t="inlineStr">
        <is>
          <t>F02</t>
        </is>
      </c>
      <c r="B81" s="12" t="inlineStr">
        <is>
          <t>F02</t>
        </is>
      </c>
      <c r="C81" s="12" t="inlineStr">
        <is>
          <t>AMOUNT_TOTAL</t>
        </is>
      </c>
      <c r="D81" s="12" t="inlineStr">
        <is>
          <t>balance</t>
        </is>
      </c>
      <c r="E81" s="12" t="inlineStr">
        <is>
          <t>Each currency</t>
        </is>
      </c>
      <c r="F81" s="12" t="inlineStr">
        <is>
          <t>Sum per currency</t>
        </is>
      </c>
      <c r="G81" s="12" t="n"/>
      <c r="H81" s="12" t="n"/>
      <c r="I81" s="12" t="n"/>
      <c r="J81" s="12" t="n"/>
    </row>
    <row r="82">
      <c r="A82" s="12" t="inlineStr">
        <is>
          <t>F02</t>
        </is>
      </c>
      <c r="B82" s="12" t="inlineStr">
        <is>
          <t>F02</t>
        </is>
      </c>
      <c r="C82" s="12" t="inlineStr">
        <is>
          <t>SHA256</t>
        </is>
      </c>
      <c r="D82" s="12" t="inlineStr">
        <is>
          <t>-</t>
        </is>
      </c>
      <c r="E82" s="12" t="inlineStr">
        <is>
          <t>-</t>
        </is>
      </c>
      <c r="F82" s="12" t="inlineStr">
        <is>
          <t>SHA-256 of the data file as sent</t>
        </is>
      </c>
      <c r="G82" s="12" t="n"/>
      <c r="H82" s="12" t="n"/>
      <c r="I82" s="12" t="n"/>
      <c r="J82" s="12" t="n"/>
    </row>
    <row r="83">
      <c r="A83" s="12" t="inlineStr">
        <is>
          <t>F03</t>
        </is>
      </c>
      <c r="B83" s="12" t="inlineStr">
        <is>
          <t>F03</t>
        </is>
      </c>
      <c r="C83" s="12" t="inlineStr">
        <is>
          <t>ROW_COUNT</t>
        </is>
      </c>
      <c r="D83" s="12" t="inlineStr">
        <is>
          <t>-</t>
        </is>
      </c>
      <c r="E83" s="12" t="inlineStr">
        <is>
          <t>-</t>
        </is>
      </c>
      <c r="F83" s="12" t="inlineStr">
        <is>
          <t>Rows in the data file, header excluded</t>
        </is>
      </c>
      <c r="G83" s="12" t="n"/>
      <c r="H83" s="12" t="n"/>
      <c r="I83" s="12" t="n"/>
      <c r="J83" s="12" t="n"/>
    </row>
    <row r="84">
      <c r="A84" s="12" t="inlineStr">
        <is>
          <t>F03</t>
        </is>
      </c>
      <c r="B84" s="12" t="inlineStr">
        <is>
          <t>F03</t>
        </is>
      </c>
      <c r="C84" s="12" t="inlineStr">
        <is>
          <t>HASH_TOTAL</t>
        </is>
      </c>
      <c r="D84" s="12" t="inlineStr">
        <is>
          <t>legacy_invoice_no, record_type, seq_no</t>
        </is>
      </c>
      <c r="E84" s="12" t="inlineStr">
        <is>
          <t>-</t>
        </is>
      </c>
      <c r="F84" s="12" t="inlineStr">
        <is>
          <t>Count of rows</t>
        </is>
      </c>
      <c r="G84" s="12" t="n"/>
      <c r="H84" s="12" t="n"/>
      <c r="I84" s="12" t="n"/>
      <c r="J84" s="12" t="n"/>
    </row>
    <row r="85">
      <c r="A85" s="12" t="inlineStr">
        <is>
          <t>F03</t>
        </is>
      </c>
      <c r="B85" s="12" t="inlineStr">
        <is>
          <t>F03</t>
        </is>
      </c>
      <c r="C85" s="12" t="inlineStr">
        <is>
          <t>AMOUNT_TOTAL</t>
        </is>
      </c>
      <c r="D85" s="12" t="inlineStr">
        <is>
          <t>promise_amount</t>
        </is>
      </c>
      <c r="E85" s="12" t="inlineStr">
        <is>
          <t>Each currency</t>
        </is>
      </c>
      <c r="F85" s="12" t="inlineStr">
        <is>
          <t>Sum per currency</t>
        </is>
      </c>
      <c r="G85" s="12" t="n"/>
      <c r="H85" s="12" t="n"/>
      <c r="I85" s="12" t="n"/>
      <c r="J85" s="12" t="n"/>
    </row>
    <row r="86">
      <c r="A86" s="12" t="inlineStr">
        <is>
          <t>F03</t>
        </is>
      </c>
      <c r="B86" s="12" t="inlineStr">
        <is>
          <t>F03</t>
        </is>
      </c>
      <c r="C86" s="12" t="inlineStr">
        <is>
          <t>AMOUNT_TOTAL</t>
        </is>
      </c>
      <c r="D86" s="12" t="inlineStr">
        <is>
          <t>installment_amount</t>
        </is>
      </c>
      <c r="E86" s="12" t="inlineStr">
        <is>
          <t>Each currency</t>
        </is>
      </c>
      <c r="F86" s="12" t="inlineStr">
        <is>
          <t>Sum per currency</t>
        </is>
      </c>
      <c r="G86" s="12" t="n"/>
      <c r="H86" s="12" t="n"/>
      <c r="I86" s="12" t="n"/>
      <c r="J86" s="12" t="n"/>
    </row>
    <row r="87">
      <c r="A87" s="12" t="inlineStr">
        <is>
          <t>F03</t>
        </is>
      </c>
      <c r="B87" s="12" t="inlineStr">
        <is>
          <t>F03</t>
        </is>
      </c>
      <c r="C87" s="12" t="inlineStr">
        <is>
          <t>SHA256</t>
        </is>
      </c>
      <c r="D87" s="12" t="inlineStr">
        <is>
          <t>-</t>
        </is>
      </c>
      <c r="E87" s="12" t="inlineStr">
        <is>
          <t>-</t>
        </is>
      </c>
      <c r="F87" s="12" t="inlineStr">
        <is>
          <t>SHA-256 of the data file as sent</t>
        </is>
      </c>
      <c r="G87" s="12" t="n"/>
      <c r="H87" s="12" t="n"/>
      <c r="I87" s="12" t="n"/>
      <c r="J87" s="12" t="n"/>
    </row>
    <row r="88">
      <c r="A88" s="12" t="inlineStr">
        <is>
          <t>F04</t>
        </is>
      </c>
      <c r="B88" s="12" t="inlineStr">
        <is>
          <t>F04</t>
        </is>
      </c>
      <c r="C88" s="12" t="inlineStr">
        <is>
          <t>ROW_COUNT</t>
        </is>
      </c>
      <c r="D88" s="12" t="inlineStr">
        <is>
          <t>-</t>
        </is>
      </c>
      <c r="E88" s="12" t="inlineStr">
        <is>
          <t>-</t>
        </is>
      </c>
      <c r="F88" s="12" t="inlineStr">
        <is>
          <t>Rows in the data file, header excluded</t>
        </is>
      </c>
      <c r="G88" s="12" t="n"/>
      <c r="H88" s="12" t="n"/>
      <c r="I88" s="12" t="n"/>
      <c r="J88" s="12" t="n"/>
    </row>
    <row r="89">
      <c r="A89" s="12" t="inlineStr">
        <is>
          <t>F04</t>
        </is>
      </c>
      <c r="B89" s="12" t="inlineStr">
        <is>
          <t>F04</t>
        </is>
      </c>
      <c r="C89" s="12" t="inlineStr">
        <is>
          <t>HASH_TOTAL</t>
        </is>
      </c>
      <c r="D89" s="12" t="inlineStr">
        <is>
          <t>legacy_batch_no, legacy_invoice_no</t>
        </is>
      </c>
      <c r="E89" s="12" t="inlineStr">
        <is>
          <t>-</t>
        </is>
      </c>
      <c r="F89" s="12" t="inlineStr">
        <is>
          <t>Count of rows</t>
        </is>
      </c>
      <c r="G89" s="12" t="n"/>
      <c r="H89" s="12" t="n"/>
      <c r="I89" s="12" t="n"/>
      <c r="J89" s="12" t="n"/>
    </row>
    <row r="90">
      <c r="A90" s="12" t="inlineStr">
        <is>
          <t>F04</t>
        </is>
      </c>
      <c r="B90" s="12" t="inlineStr">
        <is>
          <t>F04</t>
        </is>
      </c>
      <c r="C90" s="12" t="inlineStr">
        <is>
          <t>AMOUNT_TOTAL</t>
        </is>
      </c>
      <c r="D90" s="12" t="inlineStr">
        <is>
          <t>amount</t>
        </is>
      </c>
      <c r="E90" s="12" t="inlineStr">
        <is>
          <t>Each currency</t>
        </is>
      </c>
      <c r="F90" s="12" t="inlineStr">
        <is>
          <t>Sum per currency</t>
        </is>
      </c>
      <c r="G90" s="12" t="n"/>
      <c r="H90" s="12" t="n"/>
      <c r="I90" s="12" t="n"/>
      <c r="J90" s="12" t="n"/>
    </row>
    <row r="91">
      <c r="A91" s="12" t="inlineStr">
        <is>
          <t>F04</t>
        </is>
      </c>
      <c r="B91" s="12" t="inlineStr">
        <is>
          <t>F04</t>
        </is>
      </c>
      <c r="C91" s="12" t="inlineStr">
        <is>
          <t>SHA256</t>
        </is>
      </c>
      <c r="D91" s="12" t="inlineStr">
        <is>
          <t>-</t>
        </is>
      </c>
      <c r="E91" s="12" t="inlineStr">
        <is>
          <t>-</t>
        </is>
      </c>
      <c r="F91" s="12" t="inlineStr">
        <is>
          <t>SHA-256 of the data file as sent</t>
        </is>
      </c>
      <c r="G91" s="12" t="n"/>
      <c r="H91" s="12" t="n"/>
      <c r="I91" s="12" t="n"/>
      <c r="J91" s="12" t="n"/>
    </row>
    <row r="92">
      <c r="A92" s="12" t="inlineStr">
        <is>
          <t>F06</t>
        </is>
      </c>
      <c r="B92" s="12" t="inlineStr">
        <is>
          <t>F06</t>
        </is>
      </c>
      <c r="C92" s="12" t="inlineStr">
        <is>
          <t>ROW_COUNT</t>
        </is>
      </c>
      <c r="D92" s="12" t="inlineStr">
        <is>
          <t>-</t>
        </is>
      </c>
      <c r="E92" s="12" t="inlineStr">
        <is>
          <t>-</t>
        </is>
      </c>
      <c r="F92" s="12" t="inlineStr">
        <is>
          <t>Rows in the data file, header excluded</t>
        </is>
      </c>
      <c r="G92" s="12" t="n"/>
      <c r="H92" s="12" t="n"/>
      <c r="I92" s="12" t="n"/>
      <c r="J92" s="12" t="n"/>
    </row>
    <row r="93">
      <c r="A93" s="12" t="inlineStr">
        <is>
          <t>F06</t>
        </is>
      </c>
      <c r="B93" s="12" t="inlineStr">
        <is>
          <t>F06</t>
        </is>
      </c>
      <c r="C93" s="12" t="inlineStr">
        <is>
          <t>HASH_TOTAL</t>
        </is>
      </c>
      <c r="D93" s="12" t="inlineStr">
        <is>
          <t>record_type, reference</t>
        </is>
      </c>
      <c r="E93" s="12" t="inlineStr">
        <is>
          <t>-</t>
        </is>
      </c>
      <c r="F93" s="12" t="inlineStr">
        <is>
          <t>Count of rows per record_type</t>
        </is>
      </c>
      <c r="G93" s="12" t="n"/>
      <c r="H93" s="12" t="n"/>
      <c r="I93" s="12" t="n"/>
      <c r="J93" s="12" t="n"/>
    </row>
    <row r="94">
      <c r="A94" s="12" t="inlineStr">
        <is>
          <t>F06</t>
        </is>
      </c>
      <c r="B94" s="12" t="inlineStr">
        <is>
          <t>F06</t>
        </is>
      </c>
      <c r="C94" s="12" t="inlineStr">
        <is>
          <t>AMOUNT_TOTAL</t>
        </is>
      </c>
      <c r="D94" s="12" t="inlineStr">
        <is>
          <t>amount</t>
        </is>
      </c>
      <c r="E94" s="12" t="inlineStr">
        <is>
          <t>Each currency</t>
        </is>
      </c>
      <c r="F94" s="12" t="inlineStr">
        <is>
          <t>Sum per currency</t>
        </is>
      </c>
      <c r="G94" s="12" t="n"/>
      <c r="H94" s="12" t="n"/>
      <c r="I94" s="12" t="n"/>
      <c r="J94" s="12" t="n"/>
    </row>
    <row r="95">
      <c r="A95" s="12" t="inlineStr">
        <is>
          <t>F06</t>
        </is>
      </c>
      <c r="B95" s="12" t="inlineStr">
        <is>
          <t>F06</t>
        </is>
      </c>
      <c r="C95" s="12" t="inlineStr">
        <is>
          <t>SHA256</t>
        </is>
      </c>
      <c r="D95" s="12" t="inlineStr">
        <is>
          <t>-</t>
        </is>
      </c>
      <c r="E95" s="12" t="inlineStr">
        <is>
          <t>-</t>
        </is>
      </c>
      <c r="F95" s="12" t="inlineStr">
        <is>
          <t>SHA-256 of the data file as sent</t>
        </is>
      </c>
      <c r="G95" s="12" t="n"/>
      <c r="H95" s="12" t="n"/>
      <c r="I95" s="12" t="n"/>
      <c r="J95" s="12" t="n"/>
    </row>
    <row r="96">
      <c r="A96" s="12" t="inlineStr">
        <is>
          <t>G01</t>
        </is>
      </c>
      <c r="B96" s="12" t="inlineStr">
        <is>
          <t>G01</t>
        </is>
      </c>
      <c r="C96" s="12" t="inlineStr">
        <is>
          <t>ROW_COUNT</t>
        </is>
      </c>
      <c r="D96" s="12" t="inlineStr">
        <is>
          <t>-</t>
        </is>
      </c>
      <c r="E96" s="12" t="inlineStr">
        <is>
          <t>-</t>
        </is>
      </c>
      <c r="F96" s="12" t="inlineStr">
        <is>
          <t>Rows in the data file, header excluded</t>
        </is>
      </c>
      <c r="G96" s="12" t="n"/>
      <c r="H96" s="12" t="n"/>
      <c r="I96" s="12" t="n"/>
      <c r="J96" s="12" t="n"/>
    </row>
    <row r="97">
      <c r="A97" s="12" t="inlineStr">
        <is>
          <t>G01</t>
        </is>
      </c>
      <c r="B97" s="12" t="inlineStr">
        <is>
          <t>G01</t>
        </is>
      </c>
      <c r="C97" s="12" t="inlineStr">
        <is>
          <t>HASH_TOTAL</t>
        </is>
      </c>
      <c r="D97" s="12" t="inlineStr">
        <is>
          <t>branch_code, currency, legacy_account_code, cost_center</t>
        </is>
      </c>
      <c r="E97" s="12" t="inlineStr">
        <is>
          <t>-</t>
        </is>
      </c>
      <c r="F97" s="12" t="inlineStr">
        <is>
          <t>Count of rows</t>
        </is>
      </c>
      <c r="G97" s="12" t="n"/>
      <c r="H97" s="12" t="n"/>
      <c r="I97" s="12" t="n"/>
      <c r="J97" s="12" t="n"/>
    </row>
    <row r="98">
      <c r="A98" s="12" t="inlineStr">
        <is>
          <t>G01</t>
        </is>
      </c>
      <c r="B98" s="12" t="inlineStr">
        <is>
          <t>G01</t>
        </is>
      </c>
      <c r="C98" s="12" t="inlineStr">
        <is>
          <t>AMOUNT_TOTAL</t>
        </is>
      </c>
      <c r="D98" s="12" t="inlineStr">
        <is>
          <t>debit_fc</t>
        </is>
      </c>
      <c r="E98" s="12" t="inlineStr">
        <is>
          <t>Each currency</t>
        </is>
      </c>
      <c r="F98" s="12" t="inlineStr">
        <is>
          <t>Sum per currency</t>
        </is>
      </c>
      <c r="G98" s="12" t="n"/>
      <c r="H98" s="12" t="n"/>
      <c r="I98" s="12" t="n"/>
      <c r="J98" s="12" t="n"/>
    </row>
    <row r="99">
      <c r="A99" s="12" t="inlineStr">
        <is>
          <t>G01</t>
        </is>
      </c>
      <c r="B99" s="12" t="inlineStr">
        <is>
          <t>G01</t>
        </is>
      </c>
      <c r="C99" s="12" t="inlineStr">
        <is>
          <t>AMOUNT_TOTAL</t>
        </is>
      </c>
      <c r="D99" s="12" t="inlineStr">
        <is>
          <t>credit_fc</t>
        </is>
      </c>
      <c r="E99" s="12" t="inlineStr">
        <is>
          <t>Each currency</t>
        </is>
      </c>
      <c r="F99" s="12" t="inlineStr">
        <is>
          <t>Sum per currency</t>
        </is>
      </c>
      <c r="G99" s="12" t="n"/>
      <c r="H99" s="12" t="n"/>
      <c r="I99" s="12" t="n"/>
      <c r="J99" s="12" t="n"/>
    </row>
    <row r="100">
      <c r="A100" s="12" t="inlineStr">
        <is>
          <t>G01</t>
        </is>
      </c>
      <c r="B100" s="12" t="inlineStr">
        <is>
          <t>G01</t>
        </is>
      </c>
      <c r="C100" s="12" t="inlineStr">
        <is>
          <t>AMOUNT_TOTAL</t>
        </is>
      </c>
      <c r="D100" s="12" t="inlineStr">
        <is>
          <t>debit_php</t>
        </is>
      </c>
      <c r="E100" s="12" t="inlineStr">
        <is>
          <t>Each currency</t>
        </is>
      </c>
      <c r="F100" s="12" t="inlineStr">
        <is>
          <t>Sum per currency</t>
        </is>
      </c>
      <c r="G100" s="12" t="n"/>
      <c r="H100" s="12" t="n"/>
      <c r="I100" s="12" t="n"/>
      <c r="J100" s="12" t="n"/>
    </row>
    <row r="101">
      <c r="A101" s="12" t="inlineStr">
        <is>
          <t>G01</t>
        </is>
      </c>
      <c r="B101" s="12" t="inlineStr">
        <is>
          <t>G01</t>
        </is>
      </c>
      <c r="C101" s="12" t="inlineStr">
        <is>
          <t>AMOUNT_TOTAL</t>
        </is>
      </c>
      <c r="D101" s="12" t="inlineStr">
        <is>
          <t>credit_php</t>
        </is>
      </c>
      <c r="E101" s="12" t="inlineStr">
        <is>
          <t>Each currency</t>
        </is>
      </c>
      <c r="F101" s="12" t="inlineStr">
        <is>
          <t>Sum per currency</t>
        </is>
      </c>
      <c r="G101" s="12" t="n"/>
      <c r="H101" s="12" t="n"/>
      <c r="I101" s="12" t="n"/>
      <c r="J101" s="12" t="n"/>
    </row>
    <row r="102">
      <c r="A102" s="12" t="inlineStr">
        <is>
          <t>G01</t>
        </is>
      </c>
      <c r="B102" s="12" t="inlineStr">
        <is>
          <t>G01</t>
        </is>
      </c>
      <c r="C102" s="12" t="inlineStr">
        <is>
          <t>SHA256</t>
        </is>
      </c>
      <c r="D102" s="12" t="inlineStr">
        <is>
          <t>-</t>
        </is>
      </c>
      <c r="E102" s="12" t="inlineStr">
        <is>
          <t>-</t>
        </is>
      </c>
      <c r="F102" s="12" t="inlineStr">
        <is>
          <t>SHA-256 of the data file as sent</t>
        </is>
      </c>
      <c r="G102" s="12" t="n"/>
      <c r="H102" s="12" t="n"/>
      <c r="I102" s="12" t="n"/>
      <c r="J102" s="12" t="n"/>
    </row>
    <row r="103">
      <c r="A103" s="12" t="inlineStr">
        <is>
          <t>G03</t>
        </is>
      </c>
      <c r="B103" s="12" t="inlineStr">
        <is>
          <t>G03</t>
        </is>
      </c>
      <c r="C103" s="12" t="inlineStr">
        <is>
          <t>ROW_COUNT</t>
        </is>
      </c>
      <c r="D103" s="12" t="inlineStr">
        <is>
          <t>-</t>
        </is>
      </c>
      <c r="E103" s="12" t="inlineStr">
        <is>
          <t>-</t>
        </is>
      </c>
      <c r="F103" s="12" t="inlineStr">
        <is>
          <t>Rows in the data file, header excluded</t>
        </is>
      </c>
      <c r="G103" s="12" t="n"/>
      <c r="H103" s="12" t="n"/>
      <c r="I103" s="12" t="n"/>
      <c r="J103" s="12" t="n"/>
    </row>
    <row r="104">
      <c r="A104" s="12" t="inlineStr">
        <is>
          <t>G03</t>
        </is>
      </c>
      <c r="B104" s="12" t="inlineStr">
        <is>
          <t>G03</t>
        </is>
      </c>
      <c r="C104" s="12" t="inlineStr">
        <is>
          <t>HASH_TOTAL</t>
        </is>
      </c>
      <c r="D104" s="12" t="inlineStr">
        <is>
          <t>legacy_journal_no, line_no</t>
        </is>
      </c>
      <c r="E104" s="12" t="inlineStr">
        <is>
          <t>-</t>
        </is>
      </c>
      <c r="F104" s="12" t="inlineStr">
        <is>
          <t>Count of distinct legacy_journal_no</t>
        </is>
      </c>
      <c r="G104" s="12" t="n"/>
      <c r="H104" s="12" t="n"/>
      <c r="I104" s="12" t="n"/>
      <c r="J104" s="12" t="n"/>
    </row>
    <row r="105">
      <c r="A105" s="12" t="inlineStr">
        <is>
          <t>G03</t>
        </is>
      </c>
      <c r="B105" s="12" t="inlineStr">
        <is>
          <t>G03</t>
        </is>
      </c>
      <c r="C105" s="12" t="inlineStr">
        <is>
          <t>AMOUNT_TOTAL</t>
        </is>
      </c>
      <c r="D105" s="12" t="inlineStr">
        <is>
          <t>debit_fc</t>
        </is>
      </c>
      <c r="E105" s="12" t="inlineStr">
        <is>
          <t>Each currency</t>
        </is>
      </c>
      <c r="F105" s="12" t="inlineStr">
        <is>
          <t>Sum per currency</t>
        </is>
      </c>
      <c r="G105" s="12" t="n"/>
      <c r="H105" s="12" t="n"/>
      <c r="I105" s="12" t="n"/>
      <c r="J105" s="12" t="n"/>
    </row>
    <row r="106">
      <c r="A106" s="12" t="inlineStr">
        <is>
          <t>G03</t>
        </is>
      </c>
      <c r="B106" s="12" t="inlineStr">
        <is>
          <t>G03</t>
        </is>
      </c>
      <c r="C106" s="12" t="inlineStr">
        <is>
          <t>AMOUNT_TOTAL</t>
        </is>
      </c>
      <c r="D106" s="12" t="inlineStr">
        <is>
          <t>credit_fc</t>
        </is>
      </c>
      <c r="E106" s="12" t="inlineStr">
        <is>
          <t>Each currency</t>
        </is>
      </c>
      <c r="F106" s="12" t="inlineStr">
        <is>
          <t>Sum per currency</t>
        </is>
      </c>
      <c r="G106" s="12" t="n"/>
      <c r="H106" s="12" t="n"/>
      <c r="I106" s="12" t="n"/>
      <c r="J106" s="12" t="n"/>
    </row>
    <row r="107">
      <c r="A107" s="12" t="inlineStr">
        <is>
          <t>G03</t>
        </is>
      </c>
      <c r="B107" s="12" t="inlineStr">
        <is>
          <t>G03</t>
        </is>
      </c>
      <c r="C107" s="12" t="inlineStr">
        <is>
          <t>AMOUNT_TOTAL</t>
        </is>
      </c>
      <c r="D107" s="12" t="inlineStr">
        <is>
          <t>debit_php</t>
        </is>
      </c>
      <c r="E107" s="12" t="inlineStr">
        <is>
          <t>Each currency</t>
        </is>
      </c>
      <c r="F107" s="12" t="inlineStr">
        <is>
          <t>Sum per currency</t>
        </is>
      </c>
      <c r="G107" s="12" t="n"/>
      <c r="H107" s="12" t="n"/>
      <c r="I107" s="12" t="n"/>
      <c r="J107" s="12" t="n"/>
    </row>
    <row r="108">
      <c r="A108" s="12" t="inlineStr">
        <is>
          <t>G03</t>
        </is>
      </c>
      <c r="B108" s="12" t="inlineStr">
        <is>
          <t>G03</t>
        </is>
      </c>
      <c r="C108" s="12" t="inlineStr">
        <is>
          <t>AMOUNT_TOTAL</t>
        </is>
      </c>
      <c r="D108" s="12" t="inlineStr">
        <is>
          <t>credit_php</t>
        </is>
      </c>
      <c r="E108" s="12" t="inlineStr">
        <is>
          <t>Each currency</t>
        </is>
      </c>
      <c r="F108" s="12" t="inlineStr">
        <is>
          <t>Sum per currency</t>
        </is>
      </c>
      <c r="G108" s="12" t="n"/>
      <c r="H108" s="12" t="n"/>
      <c r="I108" s="12" t="n"/>
      <c r="J108" s="12" t="n"/>
    </row>
    <row r="109">
      <c r="A109" s="12" t="inlineStr">
        <is>
          <t>G03</t>
        </is>
      </c>
      <c r="B109" s="12" t="inlineStr">
        <is>
          <t>G03</t>
        </is>
      </c>
      <c r="C109" s="12" t="inlineStr">
        <is>
          <t>SHA256</t>
        </is>
      </c>
      <c r="D109" s="12" t="inlineStr">
        <is>
          <t>-</t>
        </is>
      </c>
      <c r="E109" s="12" t="inlineStr">
        <is>
          <t>-</t>
        </is>
      </c>
      <c r="F109" s="12" t="inlineStr">
        <is>
          <t>SHA-256 of the data file as sent</t>
        </is>
      </c>
      <c r="G109" s="12" t="n"/>
      <c r="H109" s="12" t="n"/>
      <c r="I109" s="12" t="n"/>
      <c r="J109" s="12" t="n"/>
    </row>
    <row r="110">
      <c r="A110" s="12" t="inlineStr">
        <is>
          <t>G03D</t>
        </is>
      </c>
      <c r="B110" s="12" t="inlineStr">
        <is>
          <t>G03</t>
        </is>
      </c>
      <c r="C110" s="12" t="inlineStr">
        <is>
          <t>ROW_COUNT</t>
        </is>
      </c>
      <c r="D110" s="12" t="inlineStr">
        <is>
          <t>-</t>
        </is>
      </c>
      <c r="E110" s="12" t="inlineStr">
        <is>
          <t>-</t>
        </is>
      </c>
      <c r="F110" s="12" t="inlineStr">
        <is>
          <t>Rows in the data file, header excluded</t>
        </is>
      </c>
      <c r="G110" s="12" t="n"/>
      <c r="H110" s="12" t="n"/>
      <c r="I110" s="12" t="n"/>
      <c r="J110" s="12" t="n"/>
    </row>
    <row r="111">
      <c r="A111" s="12" t="inlineStr">
        <is>
          <t>G03D</t>
        </is>
      </c>
      <c r="B111" s="12" t="inlineStr">
        <is>
          <t>G03</t>
        </is>
      </c>
      <c r="C111" s="12" t="inlineStr">
        <is>
          <t>HASH_TOTAL</t>
        </is>
      </c>
      <c r="D111" s="12" t="inlineStr">
        <is>
          <t>legacy_journal_no, line_no, item_ref, component</t>
        </is>
      </c>
      <c r="E111" s="12" t="inlineStr">
        <is>
          <t>-</t>
        </is>
      </c>
      <c r="F111" s="12" t="inlineStr">
        <is>
          <t>Count of rows</t>
        </is>
      </c>
      <c r="G111" s="12" t="n"/>
      <c r="H111" s="12" t="n"/>
      <c r="I111" s="12" t="n"/>
      <c r="J111" s="12" t="n"/>
    </row>
    <row r="112">
      <c r="A112" s="12" t="inlineStr">
        <is>
          <t>G03D</t>
        </is>
      </c>
      <c r="B112" s="12" t="inlineStr">
        <is>
          <t>G03</t>
        </is>
      </c>
      <c r="C112" s="12" t="inlineStr">
        <is>
          <t>AMOUNT_TOTAL</t>
        </is>
      </c>
      <c r="D112" s="12" t="inlineStr">
        <is>
          <t>amount</t>
        </is>
      </c>
      <c r="E112" s="12" t="inlineStr">
        <is>
          <t>Each currency</t>
        </is>
      </c>
      <c r="F112" s="12" t="inlineStr">
        <is>
          <t>Sum per currency</t>
        </is>
      </c>
      <c r="G112" s="12" t="n"/>
      <c r="H112" s="12" t="n"/>
      <c r="I112" s="12" t="n"/>
      <c r="J112" s="12" t="n"/>
    </row>
    <row r="113">
      <c r="A113" s="12" t="inlineStr">
        <is>
          <t>G03D</t>
        </is>
      </c>
      <c r="B113" s="12" t="inlineStr">
        <is>
          <t>G03</t>
        </is>
      </c>
      <c r="C113" s="12" t="inlineStr">
        <is>
          <t>SHA256</t>
        </is>
      </c>
      <c r="D113" s="12" t="inlineStr">
        <is>
          <t>-</t>
        </is>
      </c>
      <c r="E113" s="12" t="inlineStr">
        <is>
          <t>-</t>
        </is>
      </c>
      <c r="F113" s="12" t="inlineStr">
        <is>
          <t>SHA-256 of the data file as sent</t>
        </is>
      </c>
      <c r="G113" s="12" t="n"/>
      <c r="H113" s="12" t="n"/>
      <c r="I113" s="12" t="n"/>
      <c r="J113" s="12" t="n"/>
    </row>
    <row r="114">
      <c r="A114" s="12" t="inlineStr">
        <is>
          <t>H01</t>
        </is>
      </c>
      <c r="B114" s="12" t="inlineStr">
        <is>
          <t>H01</t>
        </is>
      </c>
      <c r="C114" s="12" t="inlineStr">
        <is>
          <t>ROW_COUNT</t>
        </is>
      </c>
      <c r="D114" s="12" t="inlineStr">
        <is>
          <t>-</t>
        </is>
      </c>
      <c r="E114" s="12" t="inlineStr">
        <is>
          <t>-</t>
        </is>
      </c>
      <c r="F114" s="12" t="inlineStr">
        <is>
          <t>Rows in the data file, header excluded</t>
        </is>
      </c>
      <c r="G114" s="12" t="n"/>
      <c r="H114" s="12" t="n"/>
      <c r="I114" s="12" t="n"/>
      <c r="J114" s="12" t="n"/>
    </row>
    <row r="115">
      <c r="A115" s="12" t="inlineStr">
        <is>
          <t>H01</t>
        </is>
      </c>
      <c r="B115" s="12" t="inlineStr">
        <is>
          <t>H01</t>
        </is>
      </c>
      <c r="C115" s="12" t="inlineStr">
        <is>
          <t>HASH_TOTAL</t>
        </is>
      </c>
      <c r="D115" s="12" t="inlineStr">
        <is>
          <t>record_type, legacy_key</t>
        </is>
      </c>
      <c r="E115" s="12" t="inlineStr">
        <is>
          <t>-</t>
        </is>
      </c>
      <c r="F115" s="12" t="inlineStr">
        <is>
          <t>Count of distinct (record_type, legacy_key)</t>
        </is>
      </c>
      <c r="G115" s="12" t="n"/>
      <c r="H115" s="12" t="n"/>
      <c r="I115" s="12" t="n"/>
      <c r="J115" s="12" t="n"/>
    </row>
    <row r="116">
      <c r="A116" s="12" t="inlineStr">
        <is>
          <t>H01</t>
        </is>
      </c>
      <c r="B116" s="12" t="inlineStr">
        <is>
          <t>H01</t>
        </is>
      </c>
      <c r="C116" s="12" t="inlineStr">
        <is>
          <t>AMOUNT_TOTAL</t>
        </is>
      </c>
      <c r="D116" s="12" t="inlineStr">
        <is>
          <t>amount</t>
        </is>
      </c>
      <c r="E116" s="12" t="inlineStr">
        <is>
          <t>Each currency</t>
        </is>
      </c>
      <c r="F116" s="12" t="inlineStr">
        <is>
          <t>Sum per currency</t>
        </is>
      </c>
      <c r="G116" s="12" t="n"/>
      <c r="H116" s="12" t="n"/>
      <c r="I116" s="12" t="n"/>
      <c r="J116" s="12" t="n"/>
    </row>
    <row r="117">
      <c r="A117" s="12" t="inlineStr">
        <is>
          <t>H01</t>
        </is>
      </c>
      <c r="B117" s="12" t="inlineStr">
        <is>
          <t>H01</t>
        </is>
      </c>
      <c r="C117" s="12" t="inlineStr">
        <is>
          <t>SHA256</t>
        </is>
      </c>
      <c r="D117" s="12" t="inlineStr">
        <is>
          <t>-</t>
        </is>
      </c>
      <c r="E117" s="12" t="inlineStr">
        <is>
          <t>-</t>
        </is>
      </c>
      <c r="F117" s="12" t="inlineStr">
        <is>
          <t>SHA-256 of the data file as sent</t>
        </is>
      </c>
      <c r="G117" s="12" t="n"/>
      <c r="H117" s="12" t="n"/>
      <c r="I117" s="12" t="n"/>
      <c r="J117" s="12" t="n"/>
    </row>
    <row r="118">
      <c r="A118" s="12" t="inlineStr">
        <is>
          <t>H02</t>
        </is>
      </c>
      <c r="B118" s="12" t="inlineStr">
        <is>
          <t>H02</t>
        </is>
      </c>
      <c r="C118" s="12" t="inlineStr">
        <is>
          <t>ROW_COUNT</t>
        </is>
      </c>
      <c r="D118" s="12" t="inlineStr">
        <is>
          <t>-</t>
        </is>
      </c>
      <c r="E118" s="12" t="inlineStr">
        <is>
          <t>-</t>
        </is>
      </c>
      <c r="F118" s="12" t="inlineStr">
        <is>
          <t>Rows in the data file, header excluded</t>
        </is>
      </c>
      <c r="G118" s="12" t="n"/>
      <c r="H118" s="12" t="n"/>
      <c r="I118" s="12" t="n"/>
      <c r="J118" s="12" t="n"/>
    </row>
    <row r="119">
      <c r="A119" s="12" t="inlineStr">
        <is>
          <t>H02</t>
        </is>
      </c>
      <c r="B119" s="12" t="inlineStr">
        <is>
          <t>H02</t>
        </is>
      </c>
      <c r="C119" s="12" t="inlineStr">
        <is>
          <t>HASH_TOTAL</t>
        </is>
      </c>
      <c r="D119" s="12" t="inlineStr">
        <is>
          <t>record_type, legacy_key, file_name</t>
        </is>
      </c>
      <c r="E119" s="12" t="inlineStr">
        <is>
          <t>-</t>
        </is>
      </c>
      <c r="F119" s="12" t="inlineStr">
        <is>
          <t>Count of rows; SHA-256 per file</t>
        </is>
      </c>
      <c r="G119" s="12" t="n"/>
      <c r="H119" s="12" t="n"/>
      <c r="I119" s="12" t="n"/>
      <c r="J119" s="12" t="n"/>
    </row>
    <row r="120">
      <c r="A120" s="12" t="inlineStr">
        <is>
          <t>H02</t>
        </is>
      </c>
      <c r="B120" s="12" t="inlineStr">
        <is>
          <t>H02</t>
        </is>
      </c>
      <c r="C120" s="12" t="inlineStr">
        <is>
          <t>SHA256</t>
        </is>
      </c>
      <c r="D120" s="12" t="inlineStr">
        <is>
          <t>-</t>
        </is>
      </c>
      <c r="E120" s="12" t="inlineStr">
        <is>
          <t>-</t>
        </is>
      </c>
      <c r="F120" s="12" t="inlineStr">
        <is>
          <t>SHA-256 of the data file as sent</t>
        </is>
      </c>
      <c r="G120" s="12" t="n"/>
      <c r="H120" s="12" t="n"/>
      <c r="I120" s="12" t="n"/>
      <c r="J120" s="12" t="n"/>
    </row>
  </sheetData>
  <autoFilter ref="A4:J120"/>
  <mergeCells count="1">
    <mergeCell ref="A2:J2"/>
  </mergeCells>
  <conditionalFormatting sqref="A5:J620">
    <cfRule type="expression" priority="1" dxfId="3">
      <formula>AND(MOD(ROW(),2)=0,$A5&lt;&gt;"")</formula>
    </cfRule>
  </conditionalFormatting>
  <dataValidations count="2">
    <dataValidation sqref="C5:C620" showDropDown="0" showInputMessage="0" showErrorMessage="1" allowBlank="1" errorTitle="Measure" error="Choose a value from the list (Measure)." type="list">
      <formula1>'_lists'!$BL$1:$BL$4</formula1>
    </dataValidation>
    <dataValidation sqref="J5:J620" showDropDown="0" showInputMessage="0" showErrorMessage="1" allowBlank="1" errorTitle="Status" error="Choose a value from the list (Status)." type="list">
      <formula1>'_lists'!$BM$1:$BM$3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6" customWidth="1" min="2" max="2"/>
    <col width="26" customWidth="1" min="3" max="3"/>
    <col width="26" customWidth="1" min="4" max="4"/>
    <col width="24" customWidth="1" min="5" max="5"/>
    <col width="26" customWidth="1" min="6" max="6"/>
    <col width="22" customWidth="1" min="7" max="7"/>
  </cols>
  <sheetData>
    <row r="1" ht="24" customHeight="1">
      <c r="A1" s="21" t="inlineStr">
        <is>
          <t>Code Map Sets</t>
        </is>
      </c>
    </row>
    <row r="2">
      <c r="A2" s="24" t="inlineStr">
        <is>
          <t>Code map sets (BRID 3.1): one per domain, versioned and approved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</row>
    <row r="4" ht="30" customHeight="1">
      <c r="A4" s="26" t="inlineStr">
        <is>
          <t>Map set</t>
        </is>
      </c>
      <c r="B4" s="26" t="inlineStr">
        <is>
          <t>What is mapped</t>
        </is>
      </c>
      <c r="C4" s="26" t="inlineStr">
        <is>
          <t>BIBS master</t>
        </is>
      </c>
      <c r="D4" s="26" t="inlineStr">
        <is>
          <t>Business owner (approves)</t>
        </is>
      </c>
      <c r="E4" s="26" t="inlineStr">
        <is>
          <t>Data steward (prepares)</t>
        </is>
      </c>
      <c r="F4" s="26" t="inlineStr">
        <is>
          <t>Used by layouts</t>
        </is>
      </c>
      <c r="G4" s="26" t="inlineStr">
        <is>
          <t>Approved version due</t>
        </is>
      </c>
    </row>
    <row r="5">
      <c r="A5" s="12" t="inlineStr">
        <is>
          <t>LOV:&lt;list&gt;</t>
        </is>
      </c>
      <c r="B5" s="12" t="inlineStr">
        <is>
          <t>One set per legacy list (market segment, ID type, nationality, source of funds, KYC risk rating, account type, ...)</t>
        </is>
      </c>
      <c r="C5" s="12" t="inlineStr">
        <is>
          <t>lov_value</t>
        </is>
      </c>
      <c r="D5" s="12" t="inlineStr">
        <is>
          <t>Product Owner, MBS</t>
        </is>
      </c>
      <c r="E5" s="12" t="inlineStr">
        <is>
          <t>MBS data steward</t>
        </is>
      </c>
      <c r="F5" s="12" t="inlineStr">
        <is>
          <t>R01, C01, P01, F01</t>
        </is>
      </c>
      <c r="G5" s="12" t="inlineStr">
        <is>
          <t>M5 (18 Jun 2027)</t>
        </is>
      </c>
    </row>
    <row r="6">
      <c r="A6" s="12" t="inlineStr">
        <is>
          <t>MIS:&lt;field&gt;</t>
        </is>
      </c>
      <c r="B6" s="12" t="inlineStr">
        <is>
          <t>One set per MIS field (market segment, department, unit head, AO, region, area, branch, business origin, customer segment; umbrella p.40)</t>
        </is>
      </c>
      <c r="C6" s="12" t="inlineStr">
        <is>
          <t>MIS field catalogue (CR-W1)</t>
        </is>
      </c>
      <c r="D6" s="12" t="inlineStr">
        <is>
          <t>Product Owner, MBS</t>
        </is>
      </c>
      <c r="E6" s="12" t="inlineStr">
        <is>
          <t>MBS data steward</t>
        </is>
      </c>
      <c r="F6" s="12" t="inlineStr">
        <is>
          <t>R01, C01, P01</t>
        </is>
      </c>
      <c r="G6" s="12" t="inlineStr">
        <is>
          <t>M5 (18 Jun 2027)</t>
        </is>
      </c>
    </row>
    <row r="7">
      <c r="A7" s="12" t="inlineStr">
        <is>
          <t>INSURER</t>
        </is>
      </c>
      <c r="B7" s="12" t="inlineStr">
        <is>
          <t>Legacy insurer code to BIBS insurer</t>
        </is>
      </c>
      <c r="C7" s="12" t="inlineStr">
        <is>
          <t>cat_insurer</t>
        </is>
      </c>
      <c r="D7" s="12" t="inlineStr">
        <is>
          <t>Head, Operations</t>
        </is>
      </c>
      <c r="E7" s="12" t="inlineStr">
        <is>
          <t>Operations data steward</t>
        </is>
      </c>
      <c r="F7" s="12" t="inlineStr">
        <is>
          <t>R04, R06, R07, P01S, P03, F01S, F04</t>
        </is>
      </c>
      <c r="G7" s="12" t="inlineStr">
        <is>
          <t>M5 (18 Jun 2027)</t>
        </is>
      </c>
    </row>
    <row r="8">
      <c r="A8" s="12" t="inlineStr">
        <is>
          <t>INSURER_BRANCH</t>
        </is>
      </c>
      <c r="B8" s="12" t="inlineStr">
        <is>
          <t>Legacy insurer branch to BIBS insurer branch</t>
        </is>
      </c>
      <c r="C8" s="12" t="inlineStr">
        <is>
          <t>cat_insurer_branch</t>
        </is>
      </c>
      <c r="D8" s="12" t="inlineStr">
        <is>
          <t>Head, Operations</t>
        </is>
      </c>
      <c r="E8" s="12" t="inlineStr">
        <is>
          <t>Operations data steward</t>
        </is>
      </c>
      <c r="F8" s="12" t="inlineStr">
        <is>
          <t>R04B, P01S</t>
        </is>
      </c>
      <c r="G8" s="12" t="inlineStr">
        <is>
          <t>M5 (18 Jun 2027)</t>
        </is>
      </c>
    </row>
    <row r="9">
      <c r="A9" s="12" t="inlineStr">
        <is>
          <t>LINE</t>
        </is>
      </c>
      <c r="B9" s="12" t="inlineStr">
        <is>
          <t>Legacy line of business to BIBS product line</t>
        </is>
      </c>
      <c r="C9" s="12" t="inlineStr">
        <is>
          <t>cat_product_line</t>
        </is>
      </c>
      <c r="D9" s="12" t="inlineStr">
        <is>
          <t>Product Owner, MBS</t>
        </is>
      </c>
      <c r="E9" s="12" t="inlineStr">
        <is>
          <t>MBS data steward</t>
        </is>
      </c>
      <c r="F9" s="12" t="inlineStr">
        <is>
          <t>R05, P01, F01</t>
        </is>
      </c>
      <c r="G9" s="12" t="inlineStr">
        <is>
          <t>M5 (18 Jun 2027)</t>
        </is>
      </c>
    </row>
    <row r="10">
      <c r="A10" s="12" t="inlineStr">
        <is>
          <t>COVER_TYPE</t>
        </is>
      </c>
      <c r="B10" s="12" t="inlineStr">
        <is>
          <t>Legacy cover type to BIBS cover type</t>
        </is>
      </c>
      <c r="C10" s="12" t="inlineStr">
        <is>
          <t>cat_cover_type</t>
        </is>
      </c>
      <c r="D10" s="12" t="inlineStr">
        <is>
          <t>Product Owner, MBS</t>
        </is>
      </c>
      <c r="E10" s="12" t="inlineStr">
        <is>
          <t>MBS data steward</t>
        </is>
      </c>
      <c r="F10" s="12" t="inlineStr">
        <is>
          <t>R05, P01</t>
        </is>
      </c>
      <c r="G10" s="12" t="inlineStr">
        <is>
          <t>M5 (18 Jun 2027)</t>
        </is>
      </c>
    </row>
    <row r="11">
      <c r="A11" s="12" t="inlineStr">
        <is>
          <t>PRODUCT</t>
        </is>
      </c>
      <c r="B11" s="12" t="inlineStr">
        <is>
          <t>Legacy product / risk code to BIBS product code</t>
        </is>
      </c>
      <c r="C11" s="12" t="inlineStr">
        <is>
          <t>cat_product</t>
        </is>
      </c>
      <c r="D11" s="12" t="inlineStr">
        <is>
          <t>Product Owner, MBS</t>
        </is>
      </c>
      <c r="E11" s="12" t="inlineStr">
        <is>
          <t>MBS data steward</t>
        </is>
      </c>
      <c r="F11" s="12" t="inlineStr">
        <is>
          <t>R05, R06, R07, P01, F01</t>
        </is>
      </c>
      <c r="G11" s="12" t="inlineStr">
        <is>
          <t>M5 (18 Jun 2027)</t>
        </is>
      </c>
    </row>
    <row r="12">
      <c r="A12" s="12" t="inlineStr">
        <is>
          <t>PACKAGE</t>
        </is>
      </c>
      <c r="B12" s="12" t="inlineStr">
        <is>
          <t>Legacy package and version to the BIBS package version maintained by TSU; conditional entries (risk code, insurer, sum-insured band) where one legacy package splits. Loaded as reference data (R06) for the Renewal sanitation check PACKAGE_REMAP; not applied at intake (DMQ36)</t>
        </is>
      </c>
      <c r="C12" s="12" t="inlineStr">
        <is>
          <t>Renewal package map (cat_product_version)</t>
        </is>
      </c>
      <c r="D12" s="12" t="inlineStr">
        <is>
          <t>Product Owner, MBS (approves)</t>
        </is>
      </c>
      <c r="E12" s="12" t="inlineStr">
        <is>
          <t>TSU (prepares)</t>
        </is>
      </c>
      <c r="F12" s="12" t="inlineStr">
        <is>
          <t>R06</t>
        </is>
      </c>
      <c r="G12" s="12" t="inlineStr">
        <is>
          <t>M5 (18 Jun 2027)</t>
        </is>
      </c>
    </row>
    <row r="13">
      <c r="A13" s="12" t="inlineStr">
        <is>
          <t>BRANCH</t>
        </is>
      </c>
      <c r="B13" s="12" t="inlineStr">
        <is>
          <t>Legacy branch to BIBS branch</t>
        </is>
      </c>
      <c r="C13" s="12" t="inlineStr">
        <is>
          <t>org_branch</t>
        </is>
      </c>
      <c r="D13" s="12" t="inlineStr">
        <is>
          <t>Head, Comptrollership</t>
        </is>
      </c>
      <c r="E13" s="12" t="inlineStr">
        <is>
          <t>Comptrollership data steward</t>
        </is>
      </c>
      <c r="F13" s="12" t="inlineStr">
        <is>
          <t>R02, R03, R11, C01, P01, F01, F02, G01, G03</t>
        </is>
      </c>
      <c r="G13" s="12" t="inlineStr">
        <is>
          <t>M5 (18 Jun 2027)</t>
        </is>
      </c>
    </row>
    <row r="14">
      <c r="A14" s="12" t="inlineStr">
        <is>
          <t>SALES_UNIT</t>
        </is>
      </c>
      <c r="B14" s="12" t="inlineStr">
        <is>
          <t>Legacy region, department and team to BIBS sales unit</t>
        </is>
      </c>
      <c r="C14" s="12" t="inlineStr">
        <is>
          <t>cat_sales_unit</t>
        </is>
      </c>
      <c r="D14" s="12" t="inlineStr">
        <is>
          <t>Heads, Retail and Corporate Marketing</t>
        </is>
      </c>
      <c r="E14" s="12" t="inlineStr">
        <is>
          <t>Marketing data steward</t>
        </is>
      </c>
      <c r="F14" s="12" t="inlineStr">
        <is>
          <t>R03, C01, P01, F01, F02</t>
        </is>
      </c>
      <c r="G14" s="12" t="inlineStr">
        <is>
          <t>M5 (18 Jun 2027)</t>
        </is>
      </c>
    </row>
    <row r="15">
      <c r="A15" s="12" t="inlineStr">
        <is>
          <t>AO</t>
        </is>
      </c>
      <c r="B15" s="12" t="inlineStr">
        <is>
          <t>Legacy AO code to BIBS account officer</t>
        </is>
      </c>
      <c r="C15" s="12" t="inlineStr">
        <is>
          <t>cat_sales_officer</t>
        </is>
      </c>
      <c r="D15" s="12" t="inlineStr">
        <is>
          <t>Heads, Retail and Corporate Marketing</t>
        </is>
      </c>
      <c r="E15" s="12" t="inlineStr">
        <is>
          <t>Marketing data steward</t>
        </is>
      </c>
      <c r="F15" s="12" t="inlineStr">
        <is>
          <t>R03</t>
        </is>
      </c>
      <c r="G15" s="12" t="inlineStr">
        <is>
          <t>M5 (18 Jun 2027)</t>
        </is>
      </c>
    </row>
    <row r="16">
      <c r="A16" s="12" t="inlineStr">
        <is>
          <t>USER</t>
        </is>
      </c>
      <c r="B16" s="12" t="inlineStr">
        <is>
          <t>Legacy user ID to BIBS username (AO, handler, collector, requester)</t>
        </is>
      </c>
      <c r="C16" s="12" t="inlineStr">
        <is>
          <t>BIBS users (User Access)</t>
        </is>
      </c>
      <c r="D16" s="12" t="inlineStr">
        <is>
          <t>Unit Head, Analytics and Risk Management</t>
        </is>
      </c>
      <c r="E16" s="12" t="inlineStr">
        <is>
          <t>IT security administrator</t>
        </is>
      </c>
      <c r="F16" s="12" t="inlineStr">
        <is>
          <t>R03, C01, P01, P03, F01, F03, F04</t>
        </is>
      </c>
      <c r="G16" s="12" t="inlineStr">
        <is>
          <t>M5 (18 Jun 2027)</t>
        </is>
      </c>
    </row>
    <row r="17">
      <c r="A17" s="12" t="inlineStr">
        <is>
          <t>COST_CENTER</t>
        </is>
      </c>
      <c r="B17" s="12" t="inlineStr">
        <is>
          <t>Legacy cost centre to BIBS cost centre</t>
        </is>
      </c>
      <c r="C17" s="12" t="inlineStr">
        <is>
          <t>Cost centre master</t>
        </is>
      </c>
      <c r="D17" s="12" t="inlineStr">
        <is>
          <t>Head, Comptrollership</t>
        </is>
      </c>
      <c r="E17" s="12" t="inlineStr">
        <is>
          <t>Comptrollership data steward</t>
        </is>
      </c>
      <c r="F17" s="12" t="inlineStr">
        <is>
          <t>R03, F01, G01, G03</t>
        </is>
      </c>
      <c r="G17" s="12" t="inlineStr">
        <is>
          <t>M5 (18 Jun 2027)</t>
        </is>
      </c>
    </row>
    <row r="18">
      <c r="A18" s="12" t="inlineStr">
        <is>
          <t>GL_ACCOUNT</t>
        </is>
      </c>
      <c r="B18" s="12" t="inlineStr">
        <is>
          <t>Legacy GL account to BIBS account (legacy control accounts to Migration Clearing; lines on P&amp;L accounts post to retained earnings in the opening and the true-ups)</t>
        </is>
      </c>
      <c r="C18" s="12" t="inlineStr">
        <is>
          <t>coa_account</t>
        </is>
      </c>
      <c r="D18" s="12" t="inlineStr">
        <is>
          <t>Head, Comptrollership</t>
        </is>
      </c>
      <c r="E18" s="12" t="inlineStr">
        <is>
          <t>Comptrollership data steward</t>
        </is>
      </c>
      <c r="F18" s="12" t="inlineStr">
        <is>
          <t>R08, G01, G03</t>
        </is>
      </c>
      <c r="G18" s="12" t="inlineStr">
        <is>
          <t>M5 (18 Jun 2027)</t>
        </is>
      </c>
    </row>
    <row r="19">
      <c r="A19" s="12" t="inlineStr">
        <is>
          <t>BANK</t>
        </is>
      </c>
      <c r="B19" s="12" t="inlineStr">
        <is>
          <t>Legacy bank code to BIBS bank list</t>
        </is>
      </c>
      <c r="C19" s="12" t="inlineStr">
        <is>
          <t>Bank list (LOV)</t>
        </is>
      </c>
      <c r="D19" s="12" t="inlineStr">
        <is>
          <t>Product Owner, Comptrollership - Disbursement</t>
        </is>
      </c>
      <c r="E19" s="12" t="inlineStr">
        <is>
          <t>Disbursement data steward</t>
        </is>
      </c>
      <c r="F19" s="12" t="inlineStr">
        <is>
          <t>R09, C03, P01, F06</t>
        </is>
      </c>
      <c r="G19" s="12" t="inlineStr">
        <is>
          <t>M5 (18 Jun 2027)</t>
        </is>
      </c>
    </row>
    <row r="20">
      <c r="A20" s="12" t="inlineStr">
        <is>
          <t>CURRENCY</t>
        </is>
      </c>
      <c r="B20" s="12" t="inlineStr">
        <is>
          <t>Legacy currency code to ISO 4217</t>
        </is>
      </c>
      <c r="C20" s="12" t="inlineStr">
        <is>
          <t>Currency master</t>
        </is>
      </c>
      <c r="D20" s="12" t="inlineStr">
        <is>
          <t>Head, Comptrollership</t>
        </is>
      </c>
      <c r="E20" s="12" t="inlineStr">
        <is>
          <t>Comptrollership data steward</t>
        </is>
      </c>
      <c r="F20" s="12" t="inlineStr">
        <is>
          <t>All amount layouts</t>
        </is>
      </c>
      <c r="G20" s="12" t="inlineStr">
        <is>
          <t>M5 (18 Jun 2027)</t>
        </is>
      </c>
    </row>
    <row r="21">
      <c r="A21" s="12" t="inlineStr">
        <is>
          <t>STATUS:&lt;object&gt;</t>
        </is>
      </c>
      <c r="B21" s="12" t="inlineStr">
        <is>
          <t>Legacy statuses per object to BIBS statuses (CLIENT, KYC, INSURER, PRODUCT, POLICY, UPP, REMITTANCE, PDC)</t>
        </is>
      </c>
      <c r="C21" s="12" t="inlineStr">
        <is>
          <t>Status of the target record</t>
        </is>
      </c>
      <c r="D21" s="12" t="inlineStr">
        <is>
          <t>Owner of the object</t>
        </is>
      </c>
      <c r="E21" s="12" t="inlineStr">
        <is>
          <t>Steward of the object</t>
        </is>
      </c>
      <c r="F21" s="12" t="inlineStr">
        <is>
          <t>C01, R04, R05, P01, F02, F04, F06</t>
        </is>
      </c>
      <c r="G21" s="12" t="inlineStr">
        <is>
          <t>M5 (18 Jun 2027)</t>
        </is>
      </c>
    </row>
    <row r="22">
      <c r="A22" s="12" t="inlineStr">
        <is>
          <t>DISPOSITION_TYPE</t>
        </is>
      </c>
      <c r="B22" s="12" t="inlineStr">
        <is>
          <t>Legacy UPP disposition types to BIBS disposition types</t>
        </is>
      </c>
      <c r="C22" s="12" t="inlineStr">
        <is>
          <t>csh_disposition_type_rule</t>
        </is>
      </c>
      <c r="D22" s="12" t="inlineStr">
        <is>
          <t>Operations - Financial Transactions</t>
        </is>
      </c>
      <c r="E22" s="12" t="inlineStr">
        <is>
          <t>Cashiering data steward</t>
        </is>
      </c>
      <c r="F22" s="12" t="inlineStr">
        <is>
          <t>F02</t>
        </is>
      </c>
      <c r="G22" s="12" t="inlineStr">
        <is>
          <t>M5 (18 Jun 2027)</t>
        </is>
      </c>
    </row>
    <row r="23">
      <c r="A23" s="12" t="inlineStr">
        <is>
          <t>DISPOSITION_CLX</t>
        </is>
      </c>
      <c r="B23" s="12" t="inlineStr">
        <is>
          <t>Legacy collection dispositions to BIBS collection dispositions</t>
        </is>
      </c>
      <c r="C23" s="12" t="inlineStr">
        <is>
          <t>Collections disposition list</t>
        </is>
      </c>
      <c r="D23" s="12" t="inlineStr">
        <is>
          <t>Head, Operations (Collections)</t>
        </is>
      </c>
      <c r="E23" s="12" t="inlineStr">
        <is>
          <t>Collections data steward</t>
        </is>
      </c>
      <c r="F23" s="12" t="inlineStr">
        <is>
          <t>F03</t>
        </is>
      </c>
      <c r="G23" s="12" t="inlineStr">
        <is>
          <t>M5 (18 Jun 2027)</t>
        </is>
      </c>
    </row>
    <row r="24">
      <c r="A24" s="12" t="inlineStr">
        <is>
          <t>DOCUMENT_TYPE</t>
        </is>
      </c>
      <c r="B24" s="12" t="inlineStr">
        <is>
          <t>Legacy document types to archive document types</t>
        </is>
      </c>
      <c r="C24" s="12" t="inlineStr">
        <is>
          <t>attachment document types</t>
        </is>
      </c>
      <c r="D24" s="12" t="inlineStr">
        <is>
          <t>Compliance</t>
        </is>
      </c>
      <c r="E24" s="12" t="inlineStr">
        <is>
          <t>Compliance data steward</t>
        </is>
      </c>
      <c r="F24" s="12" t="inlineStr">
        <is>
          <t>H02</t>
        </is>
      </c>
      <c r="G24" s="12" t="inlineStr">
        <is>
          <t>Before archive load</t>
        </is>
      </c>
    </row>
  </sheetData>
  <autoFilter ref="A4:G24"/>
  <mergeCells count="1">
    <mergeCell ref="A2:G2"/>
  </mergeCells>
  <conditionalFormatting sqref="A5:G524">
    <cfRule type="expression" priority="1" dxfId="3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8" customWidth="1" min="4" max="4"/>
    <col width="11" customWidth="1" min="5" max="5"/>
    <col width="10" customWidth="1" min="6" max="6"/>
    <col width="16" customWidth="1" min="7" max="7"/>
    <col width="28" customWidth="1" min="8" max="8"/>
    <col width="30" customWidth="1" min="9" max="9"/>
    <col width="14" customWidth="1" min="10" max="10"/>
    <col width="14" customWidth="1" min="11" max="11"/>
  </cols>
  <sheetData>
    <row r="1" ht="24" customHeight="1">
      <c r="A1" s="21" t="inlineStr">
        <is>
          <t>Code Map Template</t>
        </is>
      </c>
    </row>
    <row r="2">
      <c r="A2" s="24" t="inlineStr">
        <is>
          <t>Template of a code map version (examples in the first rows; one file per set, imported into the Migration Console as a DRAFT version)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Map set</t>
        </is>
      </c>
      <c r="B4" s="26" t="inlineStr">
        <is>
          <t>Source system</t>
        </is>
      </c>
      <c r="C4" s="26" t="inlineStr">
        <is>
          <t>Legacy code</t>
        </is>
      </c>
      <c r="D4" s="26" t="inlineStr">
        <is>
          <t>Legacy description</t>
        </is>
      </c>
      <c r="E4" s="26" t="inlineStr">
        <is>
          <t>Rows using it</t>
        </is>
      </c>
      <c r="F4" s="26" t="inlineStr">
        <is>
          <t>Action</t>
        </is>
      </c>
      <c r="G4" s="26" t="inlineStr">
        <is>
          <t>BIBS code</t>
        </is>
      </c>
      <c r="H4" s="26" t="inlineStr">
        <is>
          <t>BIBS description</t>
        </is>
      </c>
      <c r="I4" s="26" t="inlineStr">
        <is>
          <t>Remarks</t>
        </is>
      </c>
      <c r="J4" s="26" t="inlineStr">
        <is>
          <t>Prepared by</t>
        </is>
      </c>
      <c r="K4" s="26" t="inlineStr">
        <is>
          <t>Approved by</t>
        </is>
      </c>
    </row>
    <row r="5">
      <c r="A5" s="12" t="inlineStr">
        <is>
          <t>INSURER</t>
        </is>
      </c>
      <c r="B5" s="12" t="inlineStr">
        <is>
          <t>EBIX</t>
        </is>
      </c>
      <c r="C5" s="12" t="inlineStr">
        <is>
          <t>MAL</t>
        </is>
      </c>
      <c r="D5" s="12" t="inlineStr">
        <is>
          <t>Malayan Insurance Co., Inc.</t>
        </is>
      </c>
      <c r="E5" s="12" t="inlineStr">
        <is>
          <t>1,240</t>
        </is>
      </c>
      <c r="F5" s="12" t="inlineStr">
        <is>
          <t>MAP</t>
        </is>
      </c>
      <c r="G5" s="12" t="inlineStr">
        <is>
          <t>INS-MAL</t>
        </is>
      </c>
      <c r="H5" s="12" t="inlineStr">
        <is>
          <t>Malayan Insurance Co., Inc.</t>
        </is>
      </c>
      <c r="I5" s="12" t="inlineStr"/>
      <c r="J5" s="12" t="n"/>
      <c r="K5" s="12" t="n"/>
    </row>
    <row r="6">
      <c r="A6" s="12" t="inlineStr">
        <is>
          <t>INSURER</t>
        </is>
      </c>
      <c r="B6" s="12" t="inlineStr">
        <is>
          <t>QPS</t>
        </is>
      </c>
      <c r="C6" s="12" t="n">
        <v>10</v>
      </c>
      <c r="D6" s="12" t="inlineStr">
        <is>
          <t>Malayan Insurance</t>
        </is>
      </c>
      <c r="E6" s="12" t="inlineStr">
        <is>
          <t>310</t>
        </is>
      </c>
      <c r="F6" s="12" t="inlineStr">
        <is>
          <t>MAP</t>
        </is>
      </c>
      <c r="G6" s="12" t="inlineStr">
        <is>
          <t>INS-MAL</t>
        </is>
      </c>
      <c r="H6" s="12" t="inlineStr">
        <is>
          <t>Malayan Insurance Co., Inc.</t>
        </is>
      </c>
      <c r="I6" s="12" t="inlineStr">
        <is>
          <t>QPS numeric code of the same insurer</t>
        </is>
      </c>
      <c r="J6" s="12" t="n"/>
      <c r="K6" s="12" t="n"/>
    </row>
    <row r="7">
      <c r="A7" s="12" t="inlineStr">
        <is>
          <t>LOV:MARKET_SEGMENT</t>
        </is>
      </c>
      <c r="B7" s="12" t="inlineStr">
        <is>
          <t>QPS</t>
        </is>
      </c>
      <c r="C7" s="12" t="inlineStr">
        <is>
          <t>CBG</t>
        </is>
      </c>
      <c r="D7" s="12" t="inlineStr">
        <is>
          <t>Consumer Banking Group</t>
        </is>
      </c>
      <c r="E7" s="12" t="inlineStr">
        <is>
          <t>88,410</t>
        </is>
      </c>
      <c r="F7" s="12" t="inlineStr">
        <is>
          <t>MAP</t>
        </is>
      </c>
      <c r="G7" s="12" t="inlineStr">
        <is>
          <t>CBG</t>
        </is>
      </c>
      <c r="H7" s="12" t="inlineStr">
        <is>
          <t>Consumer Banking Group</t>
        </is>
      </c>
      <c r="I7" s="12" t="inlineStr"/>
      <c r="J7" s="12" t="n"/>
      <c r="K7" s="12" t="n"/>
    </row>
    <row r="8">
      <c r="A8" s="12" t="inlineStr">
        <is>
          <t>LOV:MARKET_SEGMENT</t>
        </is>
      </c>
      <c r="B8" s="12" t="inlineStr">
        <is>
          <t>QPS</t>
        </is>
      </c>
      <c r="C8" s="12" t="inlineStr">
        <is>
          <t>OLD-RET</t>
        </is>
      </c>
      <c r="D8" s="12" t="inlineStr">
        <is>
          <t>Retail (discontinued 2019)</t>
        </is>
      </c>
      <c r="E8" s="12" t="inlineStr">
        <is>
          <t>12</t>
        </is>
      </c>
      <c r="F8" s="12" t="inlineStr">
        <is>
          <t>DEFAULT</t>
        </is>
      </c>
      <c r="G8" s="12" t="inlineStr">
        <is>
          <t>RETAIL</t>
        </is>
      </c>
      <c r="H8" s="12" t="inlineStr">
        <is>
          <t>Retail</t>
        </is>
      </c>
      <c r="I8" s="12" t="inlineStr">
        <is>
          <t>Set default</t>
        </is>
      </c>
      <c r="J8" s="12" t="n"/>
      <c r="K8" s="12" t="n"/>
    </row>
    <row r="9">
      <c r="A9" s="12" t="inlineStr">
        <is>
          <t>PRODUCT</t>
        </is>
      </c>
      <c r="B9" s="12" t="inlineStr">
        <is>
          <t>EBIX</t>
        </is>
      </c>
      <c r="C9" s="12" t="inlineStr">
        <is>
          <t>MC-PC-COMP</t>
        </is>
      </c>
      <c r="D9" s="12" t="inlineStr">
        <is>
          <t>Private Car Own Damage and Theft</t>
        </is>
      </c>
      <c r="E9" s="12" t="inlineStr">
        <is>
          <t>41,002</t>
        </is>
      </c>
      <c r="F9" s="12" t="inlineStr">
        <is>
          <t>MAP</t>
        </is>
      </c>
      <c r="G9" s="12" t="inlineStr">
        <is>
          <t>MCPC01</t>
        </is>
      </c>
      <c r="H9" s="12" t="inlineStr">
        <is>
          <t>Private Car - Own Damage and Theft</t>
        </is>
      </c>
      <c r="I9" s="12" t="inlineStr"/>
      <c r="J9" s="12" t="n"/>
      <c r="K9" s="12" t="n"/>
    </row>
    <row r="10">
      <c r="A10" s="12" t="inlineStr">
        <is>
          <t>STATUS:UPP</t>
        </is>
      </c>
      <c r="B10" s="12" t="inlineStr">
        <is>
          <t>EBIX</t>
        </is>
      </c>
      <c r="C10" s="12" t="inlineStr">
        <is>
          <t>FOR_MONITORING</t>
        </is>
      </c>
      <c r="D10" s="12" t="inlineStr">
        <is>
          <t>For monitoring</t>
        </is>
      </c>
      <c r="E10" s="12" t="inlineStr">
        <is>
          <t>815</t>
        </is>
      </c>
      <c r="F10" s="12" t="inlineStr">
        <is>
          <t>MAP</t>
        </is>
      </c>
      <c r="G10" s="12" t="inlineStr">
        <is>
          <t>MONITORING</t>
        </is>
      </c>
      <c r="H10" s="12" t="inlineStr">
        <is>
          <t>Monitoring tab</t>
        </is>
      </c>
      <c r="I10" s="12" t="inlineStr"/>
      <c r="J10" s="12" t="n"/>
      <c r="K10" s="12" t="n"/>
    </row>
    <row r="11">
      <c r="A11" s="12" t="inlineStr">
        <is>
          <t>USER</t>
        </is>
      </c>
      <c r="B11" s="12" t="inlineStr">
        <is>
          <t>QPS</t>
        </is>
      </c>
      <c r="C11" s="12" t="inlineStr">
        <is>
          <t>mreyes</t>
        </is>
      </c>
      <c r="D11" s="12" t="inlineStr">
        <is>
          <t>Maria Reyes</t>
        </is>
      </c>
      <c r="E11" s="12" t="inlineStr">
        <is>
          <t>3,112</t>
        </is>
      </c>
      <c r="F11" s="12" t="inlineStr">
        <is>
          <t>MAP</t>
        </is>
      </c>
      <c r="G11" s="12" t="inlineStr">
        <is>
          <t>maria.reyes</t>
        </is>
      </c>
      <c r="H11" s="12" t="inlineStr">
        <is>
          <t>Maria Reyes</t>
        </is>
      </c>
      <c r="I11" s="12" t="inlineStr">
        <is>
          <t>BIBS user created through User Access</t>
        </is>
      </c>
      <c r="J11" s="12" t="n"/>
      <c r="K11" s="12" t="n"/>
    </row>
    <row r="12">
      <c r="A12" s="12" t="inlineStr">
        <is>
          <t>MIS:BUSINESS_ORIGIN</t>
        </is>
      </c>
      <c r="B12" s="12" t="inlineStr">
        <is>
          <t>QPS</t>
        </is>
      </c>
      <c r="C12" s="12" t="inlineStr">
        <is>
          <t>WALKIN</t>
        </is>
      </c>
      <c r="D12" s="12" t="inlineStr">
        <is>
          <t>Walk-in</t>
        </is>
      </c>
      <c r="E12" s="12" t="inlineStr">
        <is>
          <t>57</t>
        </is>
      </c>
      <c r="F12" s="12" t="inlineStr">
        <is>
          <t>CREATE</t>
        </is>
      </c>
      <c r="G12" s="12" t="inlineStr">
        <is>
          <t>WALK_IN</t>
        </is>
      </c>
      <c r="H12" s="12" t="inlineStr">
        <is>
          <t>Walk-in</t>
        </is>
      </c>
      <c r="I12" s="12" t="inlineStr">
        <is>
          <t>New MIS value; authorised in the LOV master</t>
        </is>
      </c>
      <c r="J12" s="12" t="n"/>
      <c r="K12" s="12" t="n"/>
    </row>
    <row r="13">
      <c r="A13" s="12" t="inlineStr">
        <is>
          <t>PACKAGE</t>
        </is>
      </c>
      <c r="B13" s="12" t="inlineStr">
        <is>
          <t>QPS</t>
        </is>
      </c>
      <c r="C13" s="12" t="inlineStr">
        <is>
          <t>PKG-MC-PRIV v3</t>
        </is>
      </c>
      <c r="D13" s="12" t="inlineStr">
        <is>
          <t>Private Car Package 2027</t>
        </is>
      </c>
      <c r="E13" s="12" t="inlineStr">
        <is>
          <t>18,240</t>
        </is>
      </c>
      <c r="F13" s="12" t="inlineStr">
        <is>
          <t>MAP</t>
        </is>
      </c>
      <c r="G13" s="12" t="inlineStr">
        <is>
          <t>MC-PRIVATE-STD v1</t>
        </is>
      </c>
      <c r="H13" s="12" t="inlineStr">
        <is>
          <t>Private Car Standard</t>
        </is>
      </c>
      <c r="I13" s="12" t="inlineStr">
        <is>
          <t>Conditional entry - sum insured up to 2,000,000.00 (DMQ36)</t>
        </is>
      </c>
      <c r="J13" s="12" t="n"/>
      <c r="K13" s="12" t="n"/>
    </row>
    <row r="14">
      <c r="A14" s="12" t="inlineStr">
        <is>
          <t>PACKAGE</t>
        </is>
      </c>
      <c r="B14" s="12" t="inlineStr">
        <is>
          <t>QPS</t>
        </is>
      </c>
      <c r="C14" s="12" t="inlineStr">
        <is>
          <t>PKG-MC-PRIV v3</t>
        </is>
      </c>
      <c r="D14" s="12" t="inlineStr">
        <is>
          <t>Private Car Package 2027</t>
        </is>
      </c>
      <c r="E14" s="12" t="inlineStr">
        <is>
          <t>1,115</t>
        </is>
      </c>
      <c r="F14" s="12" t="inlineStr">
        <is>
          <t>MAP</t>
        </is>
      </c>
      <c r="G14" s="12" t="inlineStr">
        <is>
          <t>MC-PRIVATE-HV v1</t>
        </is>
      </c>
      <c r="H14" s="12" t="inlineStr">
        <is>
          <t>Private Car High Value</t>
        </is>
      </c>
      <c r="I14" s="12" t="inlineStr">
        <is>
          <t>Conditional entry - sum insured above 2,000,000.00 (DMQ36)</t>
        </is>
      </c>
      <c r="J14" s="12" t="n"/>
      <c r="K14" s="12" t="n"/>
    </row>
    <row r="15">
      <c r="A15" s="12" t="inlineStr">
        <is>
          <t>PACKAGE</t>
        </is>
      </c>
      <c r="B15" s="12" t="inlineStr">
        <is>
          <t>QPS</t>
        </is>
      </c>
      <c r="C15" s="12" t="inlineStr">
        <is>
          <t>PKG-HOME-01 v2</t>
        </is>
      </c>
      <c r="D15" s="12" t="inlineStr">
        <is>
          <t>Home Protect (withdrawn)</t>
        </is>
      </c>
      <c r="E15" s="12" t="inlineStr">
        <is>
          <t>96</t>
        </is>
      </c>
      <c r="F15" s="12" t="inlineStr">
        <is>
          <t>REJECT</t>
        </is>
      </c>
      <c r="G15" s="12" t="inlineStr"/>
      <c r="H15" s="12" t="inlineStr"/>
      <c r="I15" s="12" t="inlineStr">
        <is>
          <t>No BIBS package; at renewal the candidate goes to the Exception bucket (Renewal processing team)</t>
        </is>
      </c>
      <c r="J15" s="12" t="n"/>
      <c r="K15" s="12" t="n"/>
    </row>
  </sheetData>
  <autoFilter ref="A4:K15"/>
  <mergeCells count="1">
    <mergeCell ref="A2:K2"/>
  </mergeCells>
  <conditionalFormatting sqref="A5:K515">
    <cfRule type="expression" priority="1" dxfId="3">
      <formula>AND(MOD(ROW(),2)=0,$A5&lt;&gt;"")</formula>
    </cfRule>
  </conditionalFormatting>
  <dataValidations count="2">
    <dataValidation sqref="B5:B515" showDropDown="0" showInputMessage="0" showErrorMessage="1" allowBlank="1" errorTitle="Source system" error="Choose a value from the list (Source system)." type="list">
      <formula1>'_lists'!$BN$1:$BN$5</formula1>
    </dataValidation>
    <dataValidation sqref="F5:F515" showDropDown="0" showInputMessage="0" showErrorMessage="1" allowBlank="1" errorTitle="Action" error="Choose a value from the list (Action)." type="list">
      <formula1>'_lists'!$BO$1:$BO$4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H5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15" customWidth="1" min="4" max="4"/>
    <col width="50" customWidth="1" min="5" max="5"/>
    <col width="14" customWidth="1" min="6" max="6"/>
    <col width="36" customWidth="1" min="7" max="7"/>
    <col width="24" customWidth="1" min="8" max="8"/>
  </cols>
  <sheetData>
    <row r="1" ht="24" customHeight="1">
      <c r="A1" s="21" t="inlineStr">
        <is>
          <t>DQ Rules</t>
        </is>
      </c>
    </row>
    <row r="2">
      <c r="A2" s="24" t="inlineStr">
        <is>
          <t>Data-quality rules applied in staging (FR-DM-013); thresholds - master data 0.5 % rejected or waived, financial objects 0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</row>
    <row r="4" ht="30" customHeight="1">
      <c r="A4" s="26" t="inlineStr">
        <is>
          <t>Rule</t>
        </is>
      </c>
      <c r="B4" s="26" t="inlineStr">
        <is>
          <t>Layout</t>
        </is>
      </c>
      <c r="C4" s="26" t="inlineStr">
        <is>
          <t>Columns</t>
        </is>
      </c>
      <c r="D4" s="26" t="inlineStr">
        <is>
          <t>Kind</t>
        </is>
      </c>
      <c r="E4" s="26" t="inlineStr">
        <is>
          <t>Rule</t>
        </is>
      </c>
      <c r="F4" s="26" t="inlineStr">
        <is>
          <t>Severity</t>
        </is>
      </c>
      <c r="G4" s="26" t="inlineStr">
        <is>
          <t>Message shown in BIBS</t>
        </is>
      </c>
      <c r="H4" s="26" t="inlineStr">
        <is>
          <t>Fixed by</t>
        </is>
      </c>
    </row>
    <row r="5">
      <c r="A5" s="12" t="inlineStr">
        <is>
          <t>DQ-001</t>
        </is>
      </c>
      <c r="B5" s="12" t="inlineStr">
        <is>
          <t>All</t>
        </is>
      </c>
      <c r="C5" s="12" t="inlineStr">
        <is>
          <t>Mandatory columns</t>
        </is>
      </c>
      <c r="D5" s="12" t="inlineStr">
        <is>
          <t>MANDATORY</t>
        </is>
      </c>
      <c r="E5" s="12" t="inlineStr">
        <is>
          <t>A column marked Y in the layout has a value; a column marked C has a value when its condition holds</t>
        </is>
      </c>
      <c r="F5" s="12" t="inlineStr">
        <is>
          <t>ERROR</t>
        </is>
      </c>
      <c r="G5" s="12" t="inlineStr">
        <is>
          <t>{field} is mandatory</t>
        </is>
      </c>
      <c r="H5" s="12" t="inlineStr">
        <is>
          <t>BDOI data steward (fix at source)</t>
        </is>
      </c>
    </row>
    <row r="6">
      <c r="A6" s="12" t="inlineStr">
        <is>
          <t>DQ-002</t>
        </is>
      </c>
      <c r="B6" s="12" t="inlineStr">
        <is>
          <t>All</t>
        </is>
      </c>
      <c r="C6" s="12" t="inlineStr">
        <is>
          <t>Date and amount columns</t>
        </is>
      </c>
      <c r="D6" s="12" t="inlineStr">
        <is>
          <t>FORMAT</t>
        </is>
      </c>
      <c r="E6" s="12" t="inlineStr">
        <is>
          <t>Dates are yyyy-MM-dd; timestamps yyyy-MM-dd HH:mm:ss; amounts have a dot decimal, 2 decimals and no thousands separator</t>
        </is>
      </c>
      <c r="F6" s="12" t="inlineStr">
        <is>
          <t>ERROR</t>
        </is>
      </c>
      <c r="G6" s="12" t="inlineStr">
        <is>
          <t>{field} {value} is not a valid {type}</t>
        </is>
      </c>
      <c r="H6" s="12" t="inlineStr">
        <is>
          <t>BDOI IT (extract)</t>
        </is>
      </c>
    </row>
    <row r="7">
      <c r="A7" s="12" t="inlineStr">
        <is>
          <t>DQ-003</t>
        </is>
      </c>
      <c r="B7" s="12" t="inlineStr">
        <is>
          <t>All</t>
        </is>
      </c>
      <c r="C7" s="12" t="inlineStr">
        <is>
          <t>Coded columns</t>
        </is>
      </c>
      <c r="D7" s="12" t="inlineStr">
        <is>
          <t>LOOKUP</t>
        </is>
      </c>
      <c r="E7" s="12" t="inlineStr">
        <is>
          <t>Every coded column has an entry in the APPROVED version of its code map set</t>
        </is>
      </c>
      <c r="F7" s="12" t="inlineStr">
        <is>
          <t>ERROR (mandatory column) / WARNING (optional column)</t>
        </is>
      </c>
      <c r="G7" s="12" t="inlineStr">
        <is>
          <t>Code {code} of {set} is not mapped</t>
        </is>
      </c>
      <c r="H7" s="12" t="inlineStr">
        <is>
          <t>Data Steward (code map)</t>
        </is>
      </c>
    </row>
    <row r="8">
      <c r="A8" s="12" t="inlineStr">
        <is>
          <t>DQ-004</t>
        </is>
      </c>
      <c r="B8" s="12" t="inlineStr">
        <is>
          <t>All</t>
        </is>
      </c>
      <c r="C8" s="12" t="inlineStr">
        <is>
          <t>Key columns</t>
        </is>
      </c>
      <c r="D8" s="12" t="inlineStr">
        <is>
          <t>UNIQUE</t>
        </is>
      </c>
      <c r="E8" s="12" t="inlineStr">
        <is>
          <t>The legacy key of the layout is unique in the file</t>
        </is>
      </c>
      <c r="F8" s="12" t="inlineStr">
        <is>
          <t>ERROR</t>
        </is>
      </c>
      <c r="G8" s="12" t="inlineStr">
        <is>
          <t>{key} appears twice</t>
        </is>
      </c>
      <c r="H8" s="12" t="inlineStr">
        <is>
          <t>BDOI IT (extract)</t>
        </is>
      </c>
    </row>
    <row r="9">
      <c r="A9" s="12" t="inlineStr">
        <is>
          <t>DQ-005</t>
        </is>
      </c>
      <c r="B9" s="12" t="inlineStr">
        <is>
          <t>All</t>
        </is>
      </c>
      <c r="C9" s="12" t="inlineStr">
        <is>
          <t>Length</t>
        </is>
      </c>
      <c r="D9" s="12" t="inlineStr">
        <is>
          <t>FORMAT</t>
        </is>
      </c>
      <c r="E9" s="12" t="inlineStr">
        <is>
          <t>No value is longer than the length of the layout</t>
        </is>
      </c>
      <c r="F9" s="12" t="inlineStr">
        <is>
          <t>ERROR</t>
        </is>
      </c>
      <c r="G9" s="12" t="inlineStr">
        <is>
          <t>{field} is longer than {n} characters</t>
        </is>
      </c>
      <c r="H9" s="12" t="inlineStr">
        <is>
          <t>BDOI data steward</t>
        </is>
      </c>
    </row>
    <row r="10">
      <c r="A10" s="12" t="inlineStr">
        <is>
          <t>DQ-006</t>
        </is>
      </c>
      <c r="B10" s="12" t="inlineStr">
        <is>
          <t>C01</t>
        </is>
      </c>
      <c r="C10" s="12" t="inlineStr">
        <is>
          <t>tin</t>
        </is>
      </c>
      <c r="D10" s="12" t="inlineStr">
        <is>
          <t>FORMAT</t>
        </is>
      </c>
      <c r="E10" s="12" t="inlineStr">
        <is>
          <t>TIN has 9 to 12 digits after removing separators</t>
        </is>
      </c>
      <c r="F10" s="12" t="inlineStr">
        <is>
          <t>ERROR</t>
        </is>
      </c>
      <c r="G10" s="12" t="inlineStr">
        <is>
          <t>TIN {value} is not valid</t>
        </is>
      </c>
      <c r="H10" s="12" t="inlineStr">
        <is>
          <t>BDOI data steward</t>
        </is>
      </c>
    </row>
    <row r="11">
      <c r="A11" s="12" t="inlineStr">
        <is>
          <t>DQ-007</t>
        </is>
      </c>
      <c r="B11" s="12" t="inlineStr">
        <is>
          <t>C01</t>
        </is>
      </c>
      <c r="C11" s="12" t="inlineStr">
        <is>
          <t>email, mobile</t>
        </is>
      </c>
      <c r="D11" s="12" t="inlineStr">
        <is>
          <t>FORMAT</t>
        </is>
      </c>
      <c r="E11" s="12" t="inlineStr">
        <is>
          <t>E-mail and PH mobile follow the crm formats (09xxxxxxxxx or +639xxxxxxxxx)</t>
        </is>
      </c>
      <c r="F11" s="12" t="inlineStr">
        <is>
          <t>WARNING</t>
        </is>
      </c>
      <c r="G11" s="12" t="inlineStr">
        <is>
          <t>{field} {value} is not valid; it is loaded blank</t>
        </is>
      </c>
      <c r="H11" s="12" t="inlineStr">
        <is>
          <t>BDOI data steward</t>
        </is>
      </c>
    </row>
    <row r="12">
      <c r="A12" s="12" t="inlineStr">
        <is>
          <t>DQ-008</t>
        </is>
      </c>
      <c r="B12" s="12" t="inlineStr">
        <is>
          <t>C01</t>
        </is>
      </c>
      <c r="C12" s="12" t="inlineStr">
        <is>
          <t>birth_date</t>
        </is>
      </c>
      <c r="D12" s="12" t="inlineStr">
        <is>
          <t>PLAUSIBILITY</t>
        </is>
      </c>
      <c r="E12" s="12" t="inlineStr">
        <is>
          <t>Birth date not in the future and age at most 120 years</t>
        </is>
      </c>
      <c r="F12" s="12" t="inlineStr">
        <is>
          <t>ERROR</t>
        </is>
      </c>
      <c r="G12" s="12" t="inlineStr">
        <is>
          <t>Birth date {value} is not plausible</t>
        </is>
      </c>
      <c r="H12" s="12" t="inlineStr">
        <is>
          <t>BDOI data steward</t>
        </is>
      </c>
    </row>
    <row r="13">
      <c r="A13" s="12" t="inlineStr">
        <is>
          <t>DQ-009</t>
        </is>
      </c>
      <c r="B13" s="12" t="inlineStr">
        <is>
          <t>C01</t>
        </is>
      </c>
      <c r="C13" s="12" t="inlineStr">
        <is>
          <t>client_type, names</t>
        </is>
      </c>
      <c r="D13" s="12" t="inlineStr">
        <is>
          <t>CROSS_FIELD</t>
        </is>
      </c>
      <c r="E13" s="12" t="inlineStr">
        <is>
          <t>Individual has last and first name; corporate has corporate name</t>
        </is>
      </c>
      <c r="F13" s="12" t="inlineStr">
        <is>
          <t>ERROR</t>
        </is>
      </c>
      <c r="G13" s="12" t="inlineStr">
        <is>
          <t>{field} is mandatory for client type {type}</t>
        </is>
      </c>
      <c r="H13" s="12" t="inlineStr">
        <is>
          <t>BDOI data steward</t>
        </is>
      </c>
    </row>
    <row r="14">
      <c r="A14" s="12" t="inlineStr">
        <is>
          <t>DQ-010</t>
        </is>
      </c>
      <c r="B14" s="12" t="inlineStr">
        <is>
          <t>C01</t>
        </is>
      </c>
      <c r="C14" s="12" t="inlineStr">
        <is>
          <t>All identity keys</t>
        </is>
      </c>
      <c r="D14" s="12" t="inlineStr">
        <is>
          <t>DUPLICATE_CLIENT</t>
        </is>
      </c>
      <c r="E14" s="12" t="inlineStr">
        <is>
          <t>Pairs scoring 90 or more merge automatically; 60 to 89 go to the review queue (R3 section 9)</t>
        </is>
      </c>
      <c r="F14" s="12" t="inlineStr">
        <is>
          <t>WARNING (review)</t>
        </is>
      </c>
      <c r="G14" s="12" t="inlineStr">
        <is>
          <t>{n} client pairs are waiting for review</t>
        </is>
      </c>
      <c r="H14" s="12" t="inlineStr">
        <is>
          <t>Data Steward (review queue)</t>
        </is>
      </c>
    </row>
    <row r="15">
      <c r="A15" s="12" t="inlineStr">
        <is>
          <t>DQ-011</t>
        </is>
      </c>
      <c r="B15" s="12" t="inlineStr">
        <is>
          <t>C01</t>
        </is>
      </c>
      <c r="C15" s="12" t="inlineStr">
        <is>
          <t>created_date</t>
        </is>
      </c>
      <c r="D15" s="12" t="inlineStr">
        <is>
          <t>PLAUSIBILITY</t>
        </is>
      </c>
      <c r="E15" s="12" t="inlineStr">
        <is>
          <t>Client in scope per DMQ05 (created from 2020, or with an in-force policy or open item)</t>
        </is>
      </c>
      <c r="F15" s="12" t="inlineStr">
        <is>
          <t>WARNING</t>
        </is>
      </c>
      <c r="G15" s="12" t="inlineStr">
        <is>
          <t>Client {no} is outside the migration scope</t>
        </is>
      </c>
      <c r="H15" s="12" t="inlineStr">
        <is>
          <t>Data owner (decision)</t>
        </is>
      </c>
    </row>
    <row r="16">
      <c r="A16" s="12" t="inlineStr">
        <is>
          <t>DQ-012</t>
        </is>
      </c>
      <c r="B16" s="12" t="inlineStr">
        <is>
          <t>C02</t>
        </is>
      </c>
      <c r="C16" s="12" t="inlineStr">
        <is>
          <t>legacy_client_no</t>
        </is>
      </c>
      <c r="D16" s="12" t="inlineStr">
        <is>
          <t>REFERENTIAL</t>
        </is>
      </c>
      <c r="E16" s="12" t="inlineStr">
        <is>
          <t>The client exists in C01 of the same source</t>
        </is>
      </c>
      <c r="F16" s="12" t="inlineStr">
        <is>
          <t>ERROR</t>
        </is>
      </c>
      <c r="G16" s="12" t="inlineStr">
        <is>
          <t>{parent} {key} is not loaded</t>
        </is>
      </c>
      <c r="H16" s="12" t="inlineStr">
        <is>
          <t>BDOI IT (extract)</t>
        </is>
      </c>
    </row>
    <row r="17">
      <c r="A17" s="12" t="inlineStr">
        <is>
          <t>DQ-013</t>
        </is>
      </c>
      <c r="B17" s="12" t="inlineStr">
        <is>
          <t>C02</t>
        </is>
      </c>
      <c r="C17" s="12" t="inlineStr">
        <is>
          <t>primary_flag</t>
        </is>
      </c>
      <c r="D17" s="12" t="inlineStr">
        <is>
          <t>CROSS_FIELD</t>
        </is>
      </c>
      <c r="E17" s="12" t="inlineStr">
        <is>
          <t>One primary ADDRESS per client</t>
        </is>
      </c>
      <c r="F17" s="12" t="inlineStr">
        <is>
          <t>WARNING</t>
        </is>
      </c>
      <c r="G17" s="12" t="inlineStr">
        <is>
          <t>Client {no} has {n} primary addresses; the latest is kept</t>
        </is>
      </c>
      <c r="H17" s="12" t="inlineStr">
        <is>
          <t>BDOI data steward</t>
        </is>
      </c>
    </row>
    <row r="18">
      <c r="A18" s="12" t="inlineStr">
        <is>
          <t>DQ-014</t>
        </is>
      </c>
      <c r="B18" s="12" t="inlineStr">
        <is>
          <t>P01</t>
        </is>
      </c>
      <c r="C18" s="12" t="inlineStr">
        <is>
          <t>inception_date, expiry_date</t>
        </is>
      </c>
      <c r="D18" s="12" t="inlineStr">
        <is>
          <t>CROSS_FIELD</t>
        </is>
      </c>
      <c r="E18" s="12" t="inlineStr">
        <is>
          <t>Expiry after inception and on or after the cutover date</t>
        </is>
      </c>
      <c r="F18" s="12" t="inlineStr">
        <is>
          <t>ERROR</t>
        </is>
      </c>
      <c r="G18" s="12" t="inlineStr">
        <is>
          <t>The expiry date is before the inception date</t>
        </is>
      </c>
      <c r="H18" s="12" t="inlineStr">
        <is>
          <t>BDOI data steward</t>
        </is>
      </c>
    </row>
    <row r="19">
      <c r="A19" s="12" t="inlineStr">
        <is>
          <t>DQ-015</t>
        </is>
      </c>
      <c r="B19" s="12" t="inlineStr">
        <is>
          <t>P01S</t>
        </is>
      </c>
      <c r="C19" s="12" t="inlineStr">
        <is>
          <t>share_pct</t>
        </is>
      </c>
      <c r="D19" s="12" t="inlineStr">
        <is>
          <t>CROSS_FIELD</t>
        </is>
      </c>
      <c r="E19" s="12" t="inlineStr">
        <is>
          <t>Shares of a policy add up to 100 and exactly one lead</t>
        </is>
      </c>
      <c r="F19" s="12" t="inlineStr">
        <is>
          <t>ERROR</t>
        </is>
      </c>
      <c r="G19" s="12" t="inlineStr">
        <is>
          <t>Insurer shares add up to {x} percent</t>
        </is>
      </c>
      <c r="H19" s="12" t="inlineStr">
        <is>
          <t>BDOI data steward</t>
        </is>
      </c>
    </row>
    <row r="20">
      <c r="A20" s="12" t="inlineStr">
        <is>
          <t>DQ-016</t>
        </is>
      </c>
      <c r="B20" s="12" t="inlineStr">
        <is>
          <t>P01</t>
        </is>
      </c>
      <c r="C20" s="12" t="inlineStr">
        <is>
          <t>legacy_client_no</t>
        </is>
      </c>
      <c r="D20" s="12" t="inlineStr">
        <is>
          <t>REFERENTIAL</t>
        </is>
      </c>
      <c r="E20" s="12" t="inlineStr">
        <is>
          <t>The client is loaded (xref) or in the same load</t>
        </is>
      </c>
      <c r="F20" s="12" t="inlineStr">
        <is>
          <t>ERROR</t>
        </is>
      </c>
      <c r="G20" s="12" t="inlineStr">
        <is>
          <t>{parent} {key} is not loaded</t>
        </is>
      </c>
      <c r="H20" s="12" t="inlineStr">
        <is>
          <t>iorta (load order) / BDOI (extract)</t>
        </is>
      </c>
    </row>
    <row r="21">
      <c r="A21" s="12" t="inlineStr">
        <is>
          <t>DQ-017</t>
        </is>
      </c>
      <c r="B21" s="12" t="inlineStr">
        <is>
          <t>P01</t>
        </is>
      </c>
      <c r="C21" s="12" t="inlineStr">
        <is>
          <t>risk_code, line_code</t>
        </is>
      </c>
      <c r="D21" s="12" t="inlineStr">
        <is>
          <t>CROSS_FIELD</t>
        </is>
      </c>
      <c r="E21" s="12" t="inlineStr">
        <is>
          <t>The product belongs to the line (cat_product.line_code)</t>
        </is>
      </c>
      <c r="F21" s="12" t="inlineStr">
        <is>
          <t>ERROR</t>
        </is>
      </c>
      <c r="G21" s="12" t="inlineStr">
        <is>
          <t>Product {code} is not in line {line}</t>
        </is>
      </c>
      <c r="H21" s="12" t="inlineStr">
        <is>
          <t>Data Steward (code map)</t>
        </is>
      </c>
    </row>
    <row r="22">
      <c r="A22" s="12" t="inlineStr">
        <is>
          <t>DQ-018</t>
        </is>
      </c>
      <c r="B22" s="12" t="inlineStr">
        <is>
          <t>P03</t>
        </is>
      </c>
      <c r="C22" s="12" t="inlineStr">
        <is>
          <t>legacy_policy_ref</t>
        </is>
      </c>
      <c r="D22" s="12" t="inlineStr">
        <is>
          <t>REFERENTIAL</t>
        </is>
      </c>
      <c r="E22" s="12" t="inlineStr">
        <is>
          <t>The expiring policy header exists in P01 of the same load</t>
        </is>
      </c>
      <c r="F22" s="12" t="inlineStr">
        <is>
          <t>ERROR</t>
        </is>
      </c>
      <c r="G22" s="12" t="inlineStr">
        <is>
          <t>Cover {no} has no migrated header</t>
        </is>
      </c>
      <c r="H22" s="12" t="inlineStr">
        <is>
          <t>Renewal processing team (maker)</t>
        </is>
      </c>
    </row>
    <row r="23">
      <c r="A23" s="12" t="inlineStr">
        <is>
          <t>DQ-019</t>
        </is>
      </c>
      <c r="B23" s="12" t="inlineStr">
        <is>
          <t>P03</t>
        </is>
      </c>
      <c r="C23" s="12" t="inlineStr">
        <is>
          <t>expiry_date</t>
        </is>
      </c>
      <c r="D23" s="12" t="inlineStr">
        <is>
          <t>CROSS_FIELD</t>
        </is>
      </c>
      <c r="E23" s="12" t="inlineStr">
        <is>
          <t>Expiry equals the P01 expiry and falls from the cutover date T to 31-May-2028 (MIG_GOLIVE_RENEWAL_TO)</t>
        </is>
      </c>
      <c r="F23" s="12" t="inlineStr">
        <is>
          <t>ERROR</t>
        </is>
      </c>
      <c r="G23" s="12" t="inlineStr">
        <is>
          <t>Expiry {date} is outside the go-live renewal window or differs from the header</t>
        </is>
      </c>
      <c r="H23" s="12" t="inlineStr">
        <is>
          <t>Renewal processing team (maker)</t>
        </is>
      </c>
    </row>
    <row r="24">
      <c r="A24" s="12" t="inlineStr">
        <is>
          <t>DQ-020</t>
        </is>
      </c>
      <c r="B24" s="12" t="inlineStr">
        <is>
          <t>F01</t>
        </is>
      </c>
      <c r="C24" s="12" t="inlineStr">
        <is>
          <t>legacy_invoice_no</t>
        </is>
      </c>
      <c r="D24" s="12" t="inlineStr">
        <is>
          <t>UNIQUE</t>
        </is>
      </c>
      <c r="E24" s="12" t="inlineStr">
        <is>
          <t>Invoice number unique across EBIX and QPS; a collision is prefixed with the source system (DMQ11)</t>
        </is>
      </c>
      <c r="F24" s="12" t="inlineStr">
        <is>
          <t>WARNING</t>
        </is>
      </c>
      <c r="G24" s="12" t="inlineStr">
        <is>
          <t>Invoice {no} exists in two source systems; loaded as {source}-{no}</t>
        </is>
      </c>
      <c r="H24" s="12" t="inlineStr">
        <is>
          <t>iorta (loader)</t>
        </is>
      </c>
    </row>
    <row r="25">
      <c r="A25" s="12" t="inlineStr">
        <is>
          <t>DQ-021</t>
        </is>
      </c>
      <c r="B25" s="12" t="inlineStr">
        <is>
          <t>F01</t>
        </is>
      </c>
      <c r="C25" s="12" t="inlineStr">
        <is>
          <t>gross_premium</t>
        </is>
      </c>
      <c r="D25" s="12" t="inlineStr">
        <is>
          <t>CROSS_FIELD</t>
        </is>
      </c>
      <c r="E25" s="12" t="inlineStr">
        <is>
          <t>Gross premium = sum of the booked amounts of the six premium components in F01C</t>
        </is>
      </c>
      <c r="F25" s="12" t="inlineStr">
        <is>
          <t>ERROR</t>
        </is>
      </c>
      <c r="G25" s="12" t="inlineStr">
        <is>
          <t>The premium components add up to {x}; the gross premium is {y}</t>
        </is>
      </c>
      <c r="H25" s="12" t="inlineStr">
        <is>
          <t>BDOI IT (extract)</t>
        </is>
      </c>
    </row>
    <row r="26">
      <c r="A26" s="12" t="inlineStr">
        <is>
          <t>DQ-022</t>
        </is>
      </c>
      <c r="B26" s="12" t="inlineStr">
        <is>
          <t>F01C</t>
        </is>
      </c>
      <c r="C26" s="12" t="inlineStr">
        <is>
          <t>open_balance</t>
        </is>
      </c>
      <c r="D26" s="12" t="inlineStr">
        <is>
          <t>BALANCE</t>
        </is>
      </c>
      <c r="E26" s="12" t="inlineStr">
        <is>
          <t>Premium components and PR2307 - open = booked + adjusted - paid - written_off; DTIP, commission, VAT on commission, WTAX - open = booked + adjusted - remitted - written_off</t>
        </is>
      </c>
      <c r="F26" s="12" t="inlineStr">
        <is>
          <t>ERROR</t>
        </is>
      </c>
      <c r="G26" s="12" t="inlineStr">
        <is>
          <t>The open balance of {component} does not equal booked + adjusted - paid / remitted - written off</t>
        </is>
      </c>
      <c r="H26" s="12" t="inlineStr">
        <is>
          <t>BDOI IT (extract)</t>
        </is>
      </c>
    </row>
    <row r="27">
      <c r="A27" s="12" t="inlineStr">
        <is>
          <t>DQ-023</t>
        </is>
      </c>
      <c r="B27" s="12" t="inlineStr">
        <is>
          <t>F01C</t>
        </is>
      </c>
      <c r="C27" s="12" t="inlineStr">
        <is>
          <t>open_balance</t>
        </is>
      </c>
      <c r="D27" s="12" t="inlineStr">
        <is>
          <t>BALANCE</t>
        </is>
      </c>
      <c r="E27" s="12" t="inlineStr">
        <is>
          <t>Open balance within 0 and booked + adjusted (same sign as the invoice)</t>
        </is>
      </c>
      <c r="F27" s="12" t="inlineStr">
        <is>
          <t>ERROR</t>
        </is>
      </c>
      <c r="G27" s="12" t="inlineStr">
        <is>
          <t>The open balance of {component} is outside the booked amount</t>
        </is>
      </c>
      <c r="H27" s="12" t="inlineStr">
        <is>
          <t>BDOI data steward</t>
        </is>
      </c>
    </row>
    <row r="28">
      <c r="A28" s="12" t="inlineStr">
        <is>
          <t>DQ-024</t>
        </is>
      </c>
      <c r="B28" s="12" t="inlineStr">
        <is>
          <t>F01</t>
        </is>
      </c>
      <c r="C28" s="12" t="inlineStr">
        <is>
          <t>every row</t>
        </is>
      </c>
      <c r="D28" s="12" t="inlineStr">
        <is>
          <t>CROSS_FIELD</t>
        </is>
      </c>
      <c r="E28" s="12" t="inlineStr">
        <is>
          <t>At least one component has an open balance (else the invoice is not carried forward, DMQ10)</t>
        </is>
      </c>
      <c r="F28" s="12" t="inlineStr">
        <is>
          <t>WARNING</t>
        </is>
      </c>
      <c r="G28" s="12" t="inlineStr">
        <is>
          <t>Invoice {no} has no open balance</t>
        </is>
      </c>
      <c r="H28" s="12" t="inlineStr">
        <is>
          <t>Data owner (decision)</t>
        </is>
      </c>
    </row>
    <row r="29">
      <c r="A29" s="12" t="inlineStr">
        <is>
          <t>DQ-025</t>
        </is>
      </c>
      <c r="B29" s="12" t="inlineStr">
        <is>
          <t>F01S</t>
        </is>
      </c>
      <c r="C29" s="12" t="inlineStr">
        <is>
          <t>share_pct</t>
        </is>
      </c>
      <c r="D29" s="12" t="inlineStr">
        <is>
          <t>CROSS_FIELD</t>
        </is>
      </c>
      <c r="E29" s="12" t="inlineStr">
        <is>
          <t>Shares of an invoice add up to 100 and exactly one lead</t>
        </is>
      </c>
      <c r="F29" s="12" t="inlineStr">
        <is>
          <t>ERROR</t>
        </is>
      </c>
      <c r="G29" s="12" t="inlineStr">
        <is>
          <t>Insurer shares add up to {x} percent</t>
        </is>
      </c>
      <c r="H29" s="12" t="inlineStr">
        <is>
          <t>BDOI data steward</t>
        </is>
      </c>
    </row>
    <row r="30">
      <c r="A30" s="12" t="inlineStr">
        <is>
          <t>DQ-026</t>
        </is>
      </c>
      <c r="B30" s="12" t="inlineStr">
        <is>
          <t>F01</t>
        </is>
      </c>
      <c r="C30" s="12" t="inlineStr">
        <is>
          <t>parent_invoice_no</t>
        </is>
      </c>
      <c r="D30" s="12" t="inlineStr">
        <is>
          <t>REFERENTIAL</t>
        </is>
      </c>
      <c r="E30" s="12" t="inlineStr">
        <is>
          <t>The parent invoice of an endorsement invoice is in the file or loaded</t>
        </is>
      </c>
      <c r="F30" s="12" t="inlineStr">
        <is>
          <t>ERROR</t>
        </is>
      </c>
      <c r="G30" s="12" t="inlineStr">
        <is>
          <t>{parent} {key} is not loaded</t>
        </is>
      </c>
      <c r="H30" s="12" t="inlineStr">
        <is>
          <t>BDOI IT (extract)</t>
        </is>
      </c>
    </row>
    <row r="31">
      <c r="A31" s="12" t="inlineStr">
        <is>
          <t>DQ-027</t>
        </is>
      </c>
      <c r="B31" s="12" t="inlineStr">
        <is>
          <t>F01</t>
        </is>
      </c>
      <c r="C31" s="12" t="inlineStr">
        <is>
          <t>commission_realised, deferred_vat_open</t>
        </is>
      </c>
      <c r="D31" s="12" t="inlineStr">
        <is>
          <t>BALANCE</t>
        </is>
      </c>
      <c r="E31" s="12" t="inlineStr">
        <is>
          <t>Realised commission within 0 and commission; deferred VAT within 0 and VAT on commission</t>
        </is>
      </c>
      <c r="F31" s="12" t="inlineStr">
        <is>
          <t>ERROR</t>
        </is>
      </c>
      <c r="G31" s="12" t="inlineStr">
        <is>
          <t>{field} is outside 0 and {limit}</t>
        </is>
      </c>
      <c r="H31" s="12" t="inlineStr">
        <is>
          <t>BDOI (Comptrollership)</t>
        </is>
      </c>
    </row>
    <row r="32">
      <c r="A32" s="12" t="inlineStr">
        <is>
          <t>DQ-028</t>
        </is>
      </c>
      <c r="B32" s="12" t="inlineStr">
        <is>
          <t>F01</t>
        </is>
      </c>
      <c r="C32" s="12" t="inlineStr">
        <is>
          <t>due_date</t>
        </is>
      </c>
      <c r="D32" s="12" t="inlineStr">
        <is>
          <t>PLAUSIBILITY</t>
        </is>
      </c>
      <c r="E32" s="12" t="inlineStr">
        <is>
          <t>Invoice open more than 5 years</t>
        </is>
      </c>
      <c r="F32" s="12" t="inlineStr">
        <is>
          <t>WARNING</t>
        </is>
      </c>
      <c r="G32" s="12" t="inlineStr">
        <is>
          <t>Invoice {no} has been open since {date}</t>
        </is>
      </c>
      <c r="H32" s="12" t="inlineStr">
        <is>
          <t>Data owner (review)</t>
        </is>
      </c>
    </row>
    <row r="33">
      <c r="A33" s="12" t="inlineStr">
        <is>
          <t>DQ-029</t>
        </is>
      </c>
      <c r="B33" s="12" t="inlineStr">
        <is>
          <t>F01</t>
        </is>
      </c>
      <c r="C33" s="12" t="inlineStr">
        <is>
          <t>currency, booking_fx_rate</t>
        </is>
      </c>
      <c r="D33" s="12" t="inlineStr">
        <is>
          <t>CROSS_FIELD</t>
        </is>
      </c>
      <c r="E33" s="12" t="inlineStr">
        <is>
          <t>Foreign-currency invoice has a booking rate</t>
        </is>
      </c>
      <c r="F33" s="12" t="inlineStr">
        <is>
          <t>ERROR</t>
        </is>
      </c>
      <c r="G33" s="12" t="inlineStr">
        <is>
          <t>booking_fx_rate is mandatory for currency {currency}</t>
        </is>
      </c>
      <c r="H33" s="12" t="inlineStr">
        <is>
          <t>BDOI IT (extract)</t>
        </is>
      </c>
    </row>
    <row r="34">
      <c r="A34" s="12" t="inlineStr">
        <is>
          <t>DQ-030</t>
        </is>
      </c>
      <c r="B34" s="12" t="inlineStr">
        <is>
          <t>F02</t>
        </is>
      </c>
      <c r="C34" s="12" t="inlineStr">
        <is>
          <t>balance, amount</t>
        </is>
      </c>
      <c r="D34" s="12" t="inlineStr">
        <is>
          <t>BALANCE</t>
        </is>
      </c>
      <c r="E34" s="12" t="inlineStr">
        <is>
          <t>Balance above 0 and at most amount</t>
        </is>
      </c>
      <c r="F34" s="12" t="inlineStr">
        <is>
          <t>ERROR</t>
        </is>
      </c>
      <c r="G34" s="12" t="inlineStr">
        <is>
          <t>The balance is more than the amount received</t>
        </is>
      </c>
      <c r="H34" s="12" t="inlineStr">
        <is>
          <t>BDOI data steward</t>
        </is>
      </c>
    </row>
    <row r="35">
      <c r="A35" s="12" t="inlineStr">
        <is>
          <t>DQ-031</t>
        </is>
      </c>
      <c r="B35" s="12" t="inlineStr">
        <is>
          <t>F02</t>
        </is>
      </c>
      <c r="C35" s="12" t="inlineStr">
        <is>
          <t>ref_ columns</t>
        </is>
      </c>
      <c r="D35" s="12" t="inlineStr">
        <is>
          <t>PLAUSIBILITY</t>
        </is>
      </c>
      <c r="E35" s="12" t="inlineStr">
        <is>
          <t>At least one match reference is given</t>
        </is>
      </c>
      <c r="F35" s="12" t="inlineStr">
        <is>
          <t>WARNING</t>
        </is>
      </c>
      <c r="G35" s="12" t="inlineStr">
        <is>
          <t>UPP {ref} has no reference to match; it stays for manual disposition</t>
        </is>
      </c>
      <c r="H35" s="12" t="inlineStr">
        <is>
          <t>BDOI data steward</t>
        </is>
      </c>
    </row>
    <row r="36">
      <c r="A36" s="12" t="inlineStr">
        <is>
          <t>DQ-032</t>
        </is>
      </c>
      <c r="B36" s="12" t="inlineStr">
        <is>
          <t>F02</t>
        </is>
      </c>
      <c r="C36" s="12" t="inlineStr">
        <is>
          <t>value_date</t>
        </is>
      </c>
      <c r="D36" s="12" t="inlineStr">
        <is>
          <t>PLAUSIBILITY</t>
        </is>
      </c>
      <c r="E36" s="12" t="inlineStr">
        <is>
          <t>UPP older than 2 years</t>
        </is>
      </c>
      <c r="F36" s="12" t="inlineStr">
        <is>
          <t>WARNING</t>
        </is>
      </c>
      <c r="G36" s="12" t="inlineStr">
        <is>
          <t>UPP {ref} is older than 2 years</t>
        </is>
      </c>
      <c r="H36" s="12" t="inlineStr">
        <is>
          <t>Data owner (review; candidate for income reclassification)</t>
        </is>
      </c>
    </row>
    <row r="37">
      <c r="A37" s="12" t="inlineStr">
        <is>
          <t>DQ-033</t>
        </is>
      </c>
      <c r="B37" s="12" t="inlineStr">
        <is>
          <t>F03</t>
        </is>
      </c>
      <c r="C37" s="12" t="inlineStr">
        <is>
          <t>legacy_invoice_no</t>
        </is>
      </c>
      <c r="D37" s="12" t="inlineStr">
        <is>
          <t>REFERENTIAL</t>
        </is>
      </c>
      <c r="E37" s="12" t="inlineStr">
        <is>
          <t>The invoice is in F01</t>
        </is>
      </c>
      <c r="F37" s="12" t="inlineStr">
        <is>
          <t>ERROR</t>
        </is>
      </c>
      <c r="G37" s="12" t="inlineStr">
        <is>
          <t>{parent} {key} is not loaded</t>
        </is>
      </c>
      <c r="H37" s="12" t="inlineStr">
        <is>
          <t>BDOI IT (extract)</t>
        </is>
      </c>
    </row>
    <row r="38">
      <c r="A38" s="12" t="inlineStr">
        <is>
          <t>DQ-034</t>
        </is>
      </c>
      <c r="B38" s="12" t="inlineStr">
        <is>
          <t>F03</t>
        </is>
      </c>
      <c r="C38" s="12" t="inlineStr">
        <is>
          <t>promise_amount</t>
        </is>
      </c>
      <c r="D38" s="12" t="inlineStr">
        <is>
          <t>BALANCE</t>
        </is>
      </c>
      <c r="E38" s="12" t="inlineStr">
        <is>
          <t>Promise at most the open premium receivable of the invoice</t>
        </is>
      </c>
      <c r="F38" s="12" t="inlineStr">
        <is>
          <t>WARNING</t>
        </is>
      </c>
      <c r="G38" s="12" t="inlineStr">
        <is>
          <t>Promise {amount} is above the open balance {balance}</t>
        </is>
      </c>
      <c r="H38" s="12" t="inlineStr">
        <is>
          <t>BDOI data steward</t>
        </is>
      </c>
    </row>
    <row r="39">
      <c r="A39" s="12" t="inlineStr">
        <is>
          <t>DQ-035</t>
        </is>
      </c>
      <c r="B39" s="12" t="inlineStr">
        <is>
          <t>F04</t>
        </is>
      </c>
      <c r="C39" s="12" t="inlineStr">
        <is>
          <t>amount</t>
        </is>
      </c>
      <c r="D39" s="12" t="inlineStr">
        <is>
          <t>BALANCE</t>
        </is>
      </c>
      <c r="E39" s="12" t="inlineStr">
        <is>
          <t>Hold or special amount at most the open DTIP of the invoice</t>
        </is>
      </c>
      <c r="F39" s="12" t="inlineStr">
        <is>
          <t>ERROR</t>
        </is>
      </c>
      <c r="G39" s="12" t="inlineStr">
        <is>
          <t>Amount {x} is above the open DTIP {y}</t>
        </is>
      </c>
      <c r="H39" s="12" t="inlineStr">
        <is>
          <t>BDOI data steward</t>
        </is>
      </c>
    </row>
    <row r="40">
      <c r="A40" s="12" t="inlineStr">
        <is>
          <t>DQ-036</t>
        </is>
      </c>
      <c r="B40" s="12" t="inlineStr">
        <is>
          <t>F06</t>
        </is>
      </c>
      <c r="C40" s="12" t="inlineStr">
        <is>
          <t>check_no, bank_code</t>
        </is>
      </c>
      <c r="D40" s="12" t="inlineStr">
        <is>
          <t>UNIQUE</t>
        </is>
      </c>
      <c r="E40" s="12" t="inlineStr">
        <is>
          <t>Check number and bank unique among PDCs (uq_csh_pdc_check)</t>
        </is>
      </c>
      <c r="F40" s="12" t="inlineStr">
        <is>
          <t>ERROR</t>
        </is>
      </c>
      <c r="G40" s="12" t="inlineStr">
        <is>
          <t>Check {no} of {bank} appears twice</t>
        </is>
      </c>
      <c r="H40" s="12" t="inlineStr">
        <is>
          <t>BDOI data steward</t>
        </is>
      </c>
    </row>
    <row r="41">
      <c r="A41" s="12" t="inlineStr">
        <is>
          <t>DQ-037</t>
        </is>
      </c>
      <c r="B41" s="12" t="inlineStr">
        <is>
          <t>G01</t>
        </is>
      </c>
      <c r="C41" s="12" t="inlineStr">
        <is>
          <t>debit_php, credit_php</t>
        </is>
      </c>
      <c r="D41" s="12" t="inlineStr">
        <is>
          <t>BALANCE</t>
        </is>
      </c>
      <c r="E41" s="12" t="inlineStr">
        <is>
          <t>Total debit = total credit per branch and currency</t>
        </is>
      </c>
      <c r="F41" s="12" t="inlineStr">
        <is>
          <t>ERROR</t>
        </is>
      </c>
      <c r="G41" s="12" t="inlineStr">
        <is>
          <t>The trial balance of {branch} {currency} is out of balance by {x}</t>
        </is>
      </c>
      <c r="H41" s="12" t="inlineStr">
        <is>
          <t>BDOI (Comptrollership)</t>
        </is>
      </c>
    </row>
    <row r="42">
      <c r="A42" s="12" t="inlineStr">
        <is>
          <t>DQ-038</t>
        </is>
      </c>
      <c r="B42" s="12" t="inlineStr">
        <is>
          <t>G01</t>
        </is>
      </c>
      <c r="C42" s="12" t="inlineStr">
        <is>
          <t>debit_fc, credit_fc</t>
        </is>
      </c>
      <c r="D42" s="12" t="inlineStr">
        <is>
          <t>CROSS_FIELD</t>
        </is>
      </c>
      <c r="E42" s="12" t="inlineStr">
        <is>
          <t>A line is debit or credit and not both</t>
        </is>
      </c>
      <c r="F42" s="12" t="inlineStr">
        <is>
          <t>ERROR</t>
        </is>
      </c>
      <c r="G42" s="12" t="inlineStr">
        <is>
          <t>Line {account} has a debit and a credit</t>
        </is>
      </c>
      <c r="H42" s="12" t="inlineStr">
        <is>
          <t>BDOI IT (extract)</t>
        </is>
      </c>
    </row>
    <row r="43">
      <c r="A43" s="12" t="inlineStr">
        <is>
          <t>DQ-039</t>
        </is>
      </c>
      <c r="B43" s="12" t="inlineStr">
        <is>
          <t>G01</t>
        </is>
      </c>
      <c r="C43" s="12" t="inlineStr">
        <is>
          <t>legacy_account_code</t>
        </is>
      </c>
      <c r="D43" s="12" t="inlineStr">
        <is>
          <t>LOOKUP</t>
        </is>
      </c>
      <c r="E43" s="12" t="inlineStr">
        <is>
          <t>Every account maps to a BIBS account or to Migration Clearing (legacy control accounts)</t>
        </is>
      </c>
      <c r="F43" s="12" t="inlineStr">
        <is>
          <t>ERROR</t>
        </is>
      </c>
      <c r="G43" s="12" t="inlineStr">
        <is>
          <t>Account {code} is not mapped</t>
        </is>
      </c>
      <c r="H43" s="12" t="inlineStr">
        <is>
          <t>BDOI (Comptrollership)</t>
        </is>
      </c>
    </row>
    <row r="44">
      <c r="A44" s="12" t="inlineStr">
        <is>
          <t>DQ-040</t>
        </is>
      </c>
      <c r="B44" s="12" t="inlineStr">
        <is>
          <t>G01 with F01 and F02</t>
        </is>
      </c>
      <c r="C44" s="12" t="inlineStr">
        <is>
          <t>control accounts</t>
        </is>
      </c>
      <c r="D44" s="12" t="inlineStr">
        <is>
          <t>BALANCE</t>
        </is>
      </c>
      <c r="E44" s="12" t="inlineStr">
        <is>
          <t>Per branch and currency, the TB lines of each legacy control account equal the F01 / F02 opening detail (Migration Clearing nets to 0.00)</t>
        </is>
      </c>
      <c r="F44" s="12" t="inlineStr">
        <is>
          <t>ERROR</t>
        </is>
      </c>
      <c r="G44" s="12" t="inlineStr">
        <is>
          <t>Migration Clearing is {amount} in {branch} {currency}; it must be zero</t>
        </is>
      </c>
      <c r="H44" s="12" t="inlineStr">
        <is>
          <t>BDOI (Comptrollership) with iorta</t>
        </is>
      </c>
    </row>
    <row r="45">
      <c r="A45" s="12" t="inlineStr">
        <is>
          <t>DQ-041</t>
        </is>
      </c>
      <c r="B45" s="12" t="inlineStr">
        <is>
          <t>R11</t>
        </is>
      </c>
      <c r="C45" s="12" t="inlineStr">
        <is>
          <t>next_no</t>
        </is>
      </c>
      <c r="D45" s="12" t="inlineStr">
        <is>
          <t>CROSS_FIELD</t>
        </is>
      </c>
      <c r="E45" s="12" t="inlineStr">
        <is>
          <t>next_no = last_used_no + 1 and within from_no and to_no</t>
        </is>
      </c>
      <c r="F45" s="12" t="inlineStr">
        <is>
          <t>ERROR</t>
        </is>
      </c>
      <c r="G45" s="12" t="inlineStr">
        <is>
          <t>Next number {n} is outside the series</t>
        </is>
      </c>
      <c r="H45" s="12" t="inlineStr">
        <is>
          <t>BDOI data steward</t>
        </is>
      </c>
    </row>
    <row r="46">
      <c r="A46" s="12" t="inlineStr">
        <is>
          <t>DQ-042</t>
        </is>
      </c>
      <c r="B46" s="12" t="inlineStr">
        <is>
          <t>R06</t>
        </is>
      </c>
      <c r="C46" s="12" t="inlineStr">
        <is>
          <t>share_pct</t>
        </is>
      </c>
      <c r="D46" s="12" t="inlineStr">
        <is>
          <t>CROSS_FIELD</t>
        </is>
      </c>
      <c r="E46" s="12" t="inlineStr">
        <is>
          <t>Shares of a package version add up to 100</t>
        </is>
      </c>
      <c r="F46" s="12" t="inlineStr">
        <is>
          <t>ERROR</t>
        </is>
      </c>
      <c r="G46" s="12" t="inlineStr">
        <is>
          <t>Insurer shares add up to {x} percent</t>
        </is>
      </c>
      <c r="H46" s="12" t="inlineStr">
        <is>
          <t>BDOI data steward</t>
        </is>
      </c>
    </row>
    <row r="47">
      <c r="A47" s="12" t="inlineStr">
        <is>
          <t>DQ-043</t>
        </is>
      </c>
      <c r="B47" s="12" t="inlineStr">
        <is>
          <t>R07</t>
        </is>
      </c>
      <c r="C47" s="12" t="inlineStr">
        <is>
          <t>effective_from, effective_to</t>
        </is>
      </c>
      <c r="D47" s="12" t="inlineStr">
        <is>
          <t>CROSS_FIELD</t>
        </is>
      </c>
      <c r="E47" s="12" t="inlineStr">
        <is>
          <t>No two rates overlap for the same insurer and product</t>
        </is>
      </c>
      <c r="F47" s="12" t="inlineStr">
        <is>
          <t>ERROR</t>
        </is>
      </c>
      <c r="G47" s="12" t="inlineStr">
        <is>
          <t>Rates of {insurer} {product} overlap</t>
        </is>
      </c>
      <c r="H47" s="12" t="inlineStr">
        <is>
          <t>BDOI data steward</t>
        </is>
      </c>
    </row>
    <row r="48">
      <c r="A48" s="12" t="inlineStr">
        <is>
          <t>DQ-044</t>
        </is>
      </c>
      <c r="B48" s="12" t="inlineStr">
        <is>
          <t>H01</t>
        </is>
      </c>
      <c r="C48" s="12" t="inlineStr">
        <is>
          <t>record_type, legacy_key</t>
        </is>
      </c>
      <c r="D48" s="12" t="inlineStr">
        <is>
          <t>UNIQUE</t>
        </is>
      </c>
      <c r="E48" s="12" t="inlineStr">
        <is>
          <t>Key unique per record type</t>
        </is>
      </c>
      <c r="F48" s="12" t="inlineStr">
        <is>
          <t>ERROR</t>
        </is>
      </c>
      <c r="G48" s="12" t="inlineStr">
        <is>
          <t>{key} appears twice</t>
        </is>
      </c>
      <c r="H48" s="12" t="inlineStr">
        <is>
          <t>BDOI IT (extract)</t>
        </is>
      </c>
    </row>
    <row r="49">
      <c r="A49" s="12" t="inlineStr">
        <is>
          <t>DQ-045</t>
        </is>
      </c>
      <c r="B49" s="12" t="inlineStr">
        <is>
          <t>H02</t>
        </is>
      </c>
      <c r="C49" s="12" t="inlineStr">
        <is>
          <t>sha256, file_size_bytes</t>
        </is>
      </c>
      <c r="D49" s="12" t="inlineStr">
        <is>
          <t>FORMAT</t>
        </is>
      </c>
      <c r="E49" s="12" t="inlineStr">
        <is>
          <t>Checksum and size equal the received file</t>
        </is>
      </c>
      <c r="F49" s="12" t="inlineStr">
        <is>
          <t>ERROR</t>
        </is>
      </c>
      <c r="G49" s="12" t="inlineStr">
        <is>
          <t>File {name} does not match its checksum</t>
        </is>
      </c>
      <c r="H49" s="12" t="inlineStr">
        <is>
          <t>BDOI IT (transfer)</t>
        </is>
      </c>
    </row>
    <row r="50">
      <c r="A50" s="12" t="inlineStr">
        <is>
          <t>DQ-046</t>
        </is>
      </c>
      <c r="B50" s="12" t="inlineStr">
        <is>
          <t>All</t>
        </is>
      </c>
      <c r="C50" s="12" t="inlineStr">
        <is>
          <t>as_of (control file)</t>
        </is>
      </c>
      <c r="D50" s="12" t="inlineStr">
        <is>
          <t>FORMAT</t>
        </is>
      </c>
      <c r="E50" s="12" t="inlineStr">
        <is>
          <t>The data file agrees with its control file - SHA-256, row count, amount totals, hash total (FR-DM-010)</t>
        </is>
      </c>
      <c r="F50" s="12" t="inlineStr">
        <is>
          <t>ERROR (extract rejected)</t>
        </is>
      </c>
      <c r="G50" s="12" t="inlineStr">
        <is>
          <t>The file has {n} rows; the control file says {m}</t>
        </is>
      </c>
      <c r="H50" s="12" t="inlineStr">
        <is>
          <t>BDOI IT (extract)</t>
        </is>
      </c>
    </row>
    <row r="51">
      <c r="A51" s="12" t="inlineStr">
        <is>
          <t>DQ-047</t>
        </is>
      </c>
      <c r="B51" s="12" t="inlineStr">
        <is>
          <t>P03</t>
        </is>
      </c>
      <c r="C51" s="12" t="inlineStr">
        <is>
          <t>ra_sent_date</t>
        </is>
      </c>
      <c r="D51" s="12" t="inlineStr">
        <is>
          <t>CROSS_FIELD</t>
        </is>
      </c>
      <c r="E51" s="12" t="inlineStr">
        <is>
          <t>The RA date is not after the last legacy business day (T-5)</t>
        </is>
      </c>
      <c r="F51" s="12" t="inlineStr">
        <is>
          <t>ERROR</t>
        </is>
      </c>
      <c r="G51" s="12" t="inlineStr">
        <is>
          <t>RA date {date} is after the last legacy business day</t>
        </is>
      </c>
      <c r="H51" s="12" t="inlineStr">
        <is>
          <t>Renewal processing team (maker)</t>
        </is>
      </c>
    </row>
    <row r="52">
      <c r="A52" s="12" t="inlineStr">
        <is>
          <t>DQ-048</t>
        </is>
      </c>
      <c r="B52" s="12" t="inlineStr">
        <is>
          <t>P03</t>
        </is>
      </c>
      <c r="C52" s="12" t="inlineStr">
        <is>
          <t>ra_sent_date, expiry_date</t>
        </is>
      </c>
      <c r="D52" s="12" t="inlineStr">
        <is>
          <t>PLAUSIBILITY</t>
        </is>
      </c>
      <c r="E52" s="12" t="inlineStr">
        <is>
          <t>The RA date is not more than 140 days before the expiry</t>
        </is>
      </c>
      <c r="F52" s="12" t="inlineStr">
        <is>
          <t>WARNING</t>
        </is>
      </c>
      <c r="G52" s="12" t="inlineStr">
        <is>
          <t>RA date {date} is more than 140 days before expiry {expiry}; check the tracker</t>
        </is>
      </c>
      <c r="H52" s="12" t="inlineStr">
        <is>
          <t>Renewal processing team (checker)</t>
        </is>
      </c>
    </row>
    <row r="53">
      <c r="A53" s="12" t="inlineStr">
        <is>
          <t>DQ-049</t>
        </is>
      </c>
      <c r="B53" s="12" t="inlineStr">
        <is>
          <t>P03 with P01</t>
        </is>
      </c>
      <c r="C53" s="12" t="inlineStr">
        <is>
          <t>legacy_policy_ref, expiry_date</t>
        </is>
      </c>
      <c r="D53" s="12" t="inlineStr">
        <is>
          <t>REFERENTIAL</t>
        </is>
      </c>
      <c r="E53" s="12" t="inlineStr">
        <is>
          <t>Not renewed in legacy already - no P01 term of the same cover starts on this expiry</t>
        </is>
      </c>
      <c r="F53" s="12" t="inlineStr">
        <is>
          <t>ERROR</t>
        </is>
      </c>
      <c r="G53" s="12" t="inlineStr">
        <is>
          <t>Cover {no} was already renewed in legacy as {ref}; remove the row</t>
        </is>
      </c>
      <c r="H53" s="12" t="inlineStr">
        <is>
          <t>Renewal processing team (maker)</t>
        </is>
      </c>
    </row>
    <row r="54">
      <c r="A54" s="12" t="inlineStr">
        <is>
          <t>DQ-052</t>
        </is>
      </c>
      <c r="B54" s="12" t="inlineStr">
        <is>
          <t>G03</t>
        </is>
      </c>
      <c r="C54" s="12" t="inlineStr">
        <is>
          <t>debit_php, credit_php, debit_fc, credit_fc</t>
        </is>
      </c>
      <c r="D54" s="12" t="inlineStr">
        <is>
          <t>BALANCE</t>
        </is>
      </c>
      <c r="E54" s="12" t="inlineStr">
        <is>
          <t>Each legacy journal balances per branch and currency</t>
        </is>
      </c>
      <c r="F54" s="12" t="inlineStr">
        <is>
          <t>ERROR</t>
        </is>
      </c>
      <c r="G54" s="12" t="inlineStr">
        <is>
          <t>Journal {no} is out of balance by {amount} in {branch} {currency}</t>
        </is>
      </c>
      <c r="H54" s="12" t="inlineStr">
        <is>
          <t>BDOI (Comptrollership)</t>
        </is>
      </c>
    </row>
    <row r="55">
      <c r="A55" s="12" t="inlineStr">
        <is>
          <t>DQ-053</t>
        </is>
      </c>
      <c r="B55" s="12" t="inlineStr">
        <is>
          <t>G03</t>
        </is>
      </c>
      <c r="C55" s="12" t="inlineStr">
        <is>
          <t>legacy_journal_date, posted_at</t>
        </is>
      </c>
      <c r="D55" s="12" t="inlineStr">
        <is>
          <t>CROSS_FIELD</t>
        </is>
      </c>
      <c r="E55" s="12" t="inlineStr">
        <is>
          <t>Journal dated in FY2027 (1-Jan to 31-Dec-2027) and posted in legacy after the freeze (T-3 22:00)</t>
        </is>
      </c>
      <c r="F55" s="12" t="inlineStr">
        <is>
          <t>ERROR</t>
        </is>
      </c>
      <c r="G55" s="12" t="inlineStr">
        <is>
          <t>Journal {no} is dated {date}, outside FY2027</t>
        </is>
      </c>
      <c r="H55" s="12" t="inlineStr">
        <is>
          <t>BDOI (Comptrollership)</t>
        </is>
      </c>
    </row>
    <row r="56">
      <c r="A56" s="12" t="inlineStr">
        <is>
          <t>DQ-054</t>
        </is>
      </c>
      <c r="B56" s="12" t="inlineStr">
        <is>
          <t>G03</t>
        </is>
      </c>
      <c r="C56" s="12" t="inlineStr">
        <is>
          <t>register_ref, prepared_by, approved_by</t>
        </is>
      </c>
      <c r="D56" s="12" t="inlineStr">
        <is>
          <t>REFERENTIAL</t>
        </is>
      </c>
      <c r="E56" s="12" t="inlineStr">
        <is>
          <t>The journal is in the FY2027 adjustment register; preparer and approver are on the Comptrollership access list and are different users</t>
        </is>
      </c>
      <c r="F56" s="12" t="inlineStr">
        <is>
          <t>ERROR</t>
        </is>
      </c>
      <c r="G56" s="12" t="inlineStr">
        <is>
          <t>Journal {no} is not in the FY2027 adjustment register</t>
        </is>
      </c>
      <c r="H56" s="12" t="inlineStr">
        <is>
          <t>BDOI (Comptrollership)</t>
        </is>
      </c>
    </row>
    <row r="57">
      <c r="A57" s="12" t="inlineStr">
        <is>
          <t>DQ-055</t>
        </is>
      </c>
      <c r="B57" s="12" t="inlineStr">
        <is>
          <t>G03 with G03D</t>
        </is>
      </c>
      <c r="C57" s="12" t="inlineStr">
        <is>
          <t>legacy_account_code, amount</t>
        </is>
      </c>
      <c r="D57" s="12" t="inlineStr">
        <is>
          <t>BALANCE</t>
        </is>
      </c>
      <c r="E57" s="12" t="inlineStr">
        <is>
          <t>Per legacy journal line on a legacy control account, the G03D detail adds up to the line (branch and currency)</t>
        </is>
      </c>
      <c r="F57" s="12" t="inlineStr">
        <is>
          <t>ERROR</t>
        </is>
      </c>
      <c r="G57" s="12" t="inlineStr">
        <is>
          <t>{account} adjustment of {amount} has no matching open-item detail</t>
        </is>
      </c>
      <c r="H57" s="12" t="inlineStr">
        <is>
          <t>BDOI (Comptrollership)</t>
        </is>
      </c>
    </row>
    <row r="58">
      <c r="A58" s="12" t="inlineStr">
        <is>
          <t>DQ-056</t>
        </is>
      </c>
      <c r="B58" s="12" t="inlineStr">
        <is>
          <t>G03D</t>
        </is>
      </c>
      <c r="C58" s="12" t="inlineStr">
        <is>
          <t>item_ref, component, amount</t>
        </is>
      </c>
      <c r="D58" s="12" t="inlineStr">
        <is>
          <t>REFERENTIAL</t>
        </is>
      </c>
      <c r="E58" s="12" t="inlineStr">
        <is>
          <t>The item is loaded (F01 or F02) and the adjustment keeps its open balance within 0 and booked + adjusted</t>
        </is>
      </c>
      <c r="F58" s="12" t="inlineStr">
        <is>
          <t>ERROR</t>
        </is>
      </c>
      <c r="G58" s="12" t="inlineStr">
        <is>
          <t>Adjustment of {component} on {item} makes the open balance {amount}</t>
        </is>
      </c>
      <c r="H58" s="12" t="inlineStr">
        <is>
          <t>BDOI (Comptrollership)</t>
        </is>
      </c>
    </row>
  </sheetData>
  <autoFilter ref="A4:H58"/>
  <mergeCells count="1">
    <mergeCell ref="A2:H2"/>
  </mergeCells>
  <conditionalFormatting sqref="A5:H558">
    <cfRule type="expression" priority="1" dxfId="3">
      <formula>AND(MOD(ROW(),2)=0,$A5&lt;&gt;"")</formula>
    </cfRule>
  </conditionalFormatting>
  <dataValidations count="1">
    <dataValidation sqref="D5:D558" showDropDown="0" showInputMessage="0" showErrorMessage="1" allowBlank="1" errorTitle="Kind" error="Choose a value from the list (Kind)." type="list">
      <formula1>'_lists'!$BP$1:$BP$9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I4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60" customWidth="1" min="4" max="4"/>
    <col width="28" customWidth="1" min="5" max="5"/>
    <col width="20" customWidth="1" min="6" max="6"/>
    <col width="22" customWidth="1" min="7" max="7"/>
    <col width="13" customWidth="1" min="8" max="8"/>
    <col width="40" customWidth="1" min="9" max="9"/>
  </cols>
  <sheetData>
    <row r="1" ht="24" customHeight="1">
      <c r="A1" s="21" t="inlineStr">
        <is>
          <t>Open Decisions</t>
        </is>
      </c>
    </row>
    <row r="2">
      <c r="A2" s="24" t="inlineStr">
        <is>
          <t>Decisions that block the migration, with the date each is needed by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</row>
    <row r="4" ht="30" customHeight="1">
      <c r="A4" s="26" t="inlineStr">
        <is>
          <t>ID</t>
        </is>
      </c>
      <c r="B4" s="26" t="inlineStr">
        <is>
          <t>Register</t>
        </is>
      </c>
      <c r="C4" s="26" t="inlineStr">
        <is>
          <t>Topic</t>
        </is>
      </c>
      <c r="D4" s="26" t="inlineStr">
        <is>
          <t>Decision needed</t>
        </is>
      </c>
      <c r="E4" s="26" t="inlineStr">
        <is>
          <t>Blocks</t>
        </is>
      </c>
      <c r="F4" s="26" t="inlineStr">
        <is>
          <t>Needed by</t>
        </is>
      </c>
      <c r="G4" s="26" t="inlineStr">
        <is>
          <t>BDOI owner</t>
        </is>
      </c>
      <c r="H4" s="26" t="inlineStr">
        <is>
          <t>Status</t>
        </is>
      </c>
      <c r="I4" s="26" t="inlineStr">
        <is>
          <t>Answer</t>
        </is>
      </c>
    </row>
    <row r="5">
      <c r="A5" s="12" t="inlineStr">
        <is>
          <t>DCR-189</t>
        </is>
      </c>
      <c r="B5" s="12" t="inlineStr">
        <is>
          <t>DCR-189</t>
        </is>
      </c>
      <c r="C5" s="12" t="inlineStr">
        <is>
          <t>BRD sign-off</t>
        </is>
      </c>
      <c r="D5" s="12" t="inlineStr">
        <is>
          <t>The Data Migration BRD is a draft v0.01 without signatures (p.2, p.15-16); when is it walked through and signed, and by whom</t>
        </is>
      </c>
      <c r="E5" s="12" t="inlineStr">
        <is>
          <t>Baseline of this document set; FRS re-issue</t>
        </is>
      </c>
      <c r="F5" s="12" t="inlineStr">
        <is>
          <t>M2 (30 Oct 2026)</t>
        </is>
      </c>
      <c r="G5" s="12" t="inlineStr">
        <is>
          <t>Program Manager</t>
        </is>
      </c>
      <c r="H5" s="27" t="inlineStr">
        <is>
          <t>OPEN</t>
        </is>
      </c>
      <c r="I5" s="12" t="inlineStr"/>
    </row>
    <row r="6">
      <c r="A6" s="12" t="inlineStr">
        <is>
          <t>DCR-173</t>
        </is>
      </c>
      <c r="B6" s="12" t="inlineStr">
        <is>
          <t>DCR-173</t>
        </is>
      </c>
      <c r="C6" s="12" t="inlineStr">
        <is>
          <t>Client migration period and daily client batches</t>
        </is>
      </c>
      <c r="D6" s="12" t="inlineStr">
        <is>
          <t>Umbrella BRD p.43 asks for a one-time client migration 'from Broker and source, 2020 to present' and daily midday / EOD client batches with a modification report. Confirm the period and filter (DMQ05), the source systems, and that the daily batches run only until the freeze (proposal) and not as a feed after go-live</t>
        </is>
      </c>
      <c r="E6" s="12" t="inlineStr">
        <is>
          <t>C01 scope and delta design; build wave DM1-C</t>
        </is>
      </c>
      <c r="F6" s="12" t="inlineStr">
        <is>
          <t>M1 (16 Oct 2026)</t>
        </is>
      </c>
      <c r="G6" s="12" t="inlineStr">
        <is>
          <t>Product Owner, MBS</t>
        </is>
      </c>
      <c r="H6" s="27" t="inlineStr">
        <is>
          <t>OPEN</t>
        </is>
      </c>
      <c r="I6" s="12" t="inlineStr"/>
    </row>
    <row r="7">
      <c r="A7" s="12" t="inlineStr">
        <is>
          <t>DMQ01</t>
        </is>
      </c>
      <c r="B7" s="12" t="inlineStr">
        <is>
          <t>DCR-195</t>
        </is>
      </c>
      <c r="C7" s="12" t="inlineStr">
        <is>
          <t>Data object inventory</t>
        </is>
      </c>
      <c r="D7" s="12" t="inlineStr">
        <is>
          <t>Confirm the objects, classes and source systems of the register; name the business owner and data steward per object</t>
        </is>
      </c>
      <c r="E7" s="12" t="inlineStr">
        <is>
          <t>All objects; gate G1</t>
        </is>
      </c>
      <c r="F7" s="12" t="inlineStr">
        <is>
          <t>M2 (30 Oct 2026)</t>
        </is>
      </c>
      <c r="G7" s="12" t="inlineStr">
        <is>
          <t>Program Manager</t>
        </is>
      </c>
      <c r="H7" s="27" t="inlineStr">
        <is>
          <t>OPEN</t>
        </is>
      </c>
      <c r="I7" s="12" t="inlineStr"/>
    </row>
    <row r="8">
      <c r="A8" s="12" t="inlineStr">
        <is>
          <t>DMQ02</t>
        </is>
      </c>
      <c r="B8" s="12" t="inlineStr">
        <is>
          <t>DCR-192</t>
        </is>
      </c>
      <c r="C8" s="12" t="inlineStr">
        <is>
          <t>Decision rule</t>
        </is>
      </c>
      <c r="D8" s="12" t="inlineStr">
        <is>
          <t>Confirm who rates the four criteria, who approves, and the rule that turns ratings into a class (proposal in the Strategy section 3.1)</t>
        </is>
      </c>
      <c r="E8" s="12" t="inlineStr">
        <is>
          <t>Gate G1</t>
        </is>
      </c>
      <c r="F8" s="12" t="inlineStr">
        <is>
          <t>M2 (30 Oct 2026)</t>
        </is>
      </c>
      <c r="G8" s="12" t="inlineStr">
        <is>
          <t>Program Manager</t>
        </is>
      </c>
      <c r="H8" s="27" t="inlineStr">
        <is>
          <t>OPEN</t>
        </is>
      </c>
      <c r="I8" s="12" t="inlineStr"/>
    </row>
    <row r="9">
      <c r="A9" s="12" t="inlineStr">
        <is>
          <t>DMQ03</t>
        </is>
      </c>
      <c r="B9" s="12" t="inlineStr">
        <is>
          <t>DCR-195</t>
        </is>
      </c>
      <c r="C9" s="12" t="inlineStr">
        <is>
          <t>Source systems</t>
        </is>
      </c>
      <c r="D9" s="12" t="inlineStr">
        <is>
          <t>Confirm the systems in scope (EBIX, QPS, ISYS, CMS, Excel) and the system of record per object where two hold it</t>
        </is>
      </c>
      <c r="E9" s="12" t="inlineStr">
        <is>
          <t>All layouts</t>
        </is>
      </c>
      <c r="F9" s="12" t="inlineStr">
        <is>
          <t>M1 (16 Oct 2026)</t>
        </is>
      </c>
      <c r="G9" s="12" t="inlineStr">
        <is>
          <t>BDOI IT</t>
        </is>
      </c>
      <c r="H9" s="27" t="inlineStr">
        <is>
          <t>OPEN</t>
        </is>
      </c>
      <c r="I9" s="12" t="inlineStr"/>
    </row>
    <row r="10">
      <c r="A10" s="12" t="inlineStr">
        <is>
          <t>DMQ04</t>
        </is>
      </c>
      <c r="B10" s="12" t="inlineStr">
        <is>
          <t>-</t>
        </is>
      </c>
      <c r="C10" s="12" t="inlineStr">
        <is>
          <t>Client dedupe keys</t>
        </is>
      </c>
      <c r="D10" s="12" t="inlineStr">
        <is>
          <t>Agreed keys (is the bank CIF a key?), survivorship per field, who reviews doubtful matches and within what time</t>
        </is>
      </c>
      <c r="E10" s="12" t="inlineStr">
        <is>
          <t>C01 matching; DM1-C</t>
        </is>
      </c>
      <c r="F10" s="12" t="inlineStr">
        <is>
          <t>M2 (30 Oct 2026)</t>
        </is>
      </c>
      <c r="G10" s="12" t="inlineStr">
        <is>
          <t>Product Owner, MBS</t>
        </is>
      </c>
      <c r="H10" s="27" t="inlineStr">
        <is>
          <t>OPEN</t>
        </is>
      </c>
      <c r="I10" s="12" t="inlineStr"/>
    </row>
    <row r="11">
      <c r="A11" s="12" t="inlineStr">
        <is>
          <t>DMQ05</t>
        </is>
      </c>
      <c r="B11" s="12" t="inlineStr">
        <is>
          <t>-</t>
        </is>
      </c>
      <c r="C11" s="12" t="inlineStr">
        <is>
          <t>Client scope</t>
        </is>
      </c>
      <c r="D11" s="12" t="inlineStr">
        <is>
          <t>All clients since 2020, or only those with an in-force policy, open item or activity since a date; prospects; corporate contacts</t>
        </is>
      </c>
      <c r="E11" s="12" t="inlineStr">
        <is>
          <t>C01 volumes; filter</t>
        </is>
      </c>
      <c r="F11" s="12" t="inlineStr">
        <is>
          <t>M2 (30 Oct 2026)</t>
        </is>
      </c>
      <c r="G11" s="12" t="inlineStr">
        <is>
          <t>Product Owner, MBS</t>
        </is>
      </c>
      <c r="H11" s="27" t="inlineStr">
        <is>
          <t>PARTIAL</t>
        </is>
      </c>
      <c r="I11" s="12" t="inlineStr"/>
    </row>
    <row r="12">
      <c r="A12" s="12" t="inlineStr">
        <is>
          <t>DMQ06</t>
        </is>
      </c>
      <c r="B12" s="12" t="inlineStr">
        <is>
          <t>DCR-208</t>
        </is>
      </c>
      <c r="C12" s="12" t="inlineStr">
        <is>
          <t>Screening of migrated clients</t>
        </is>
      </c>
      <c r="D12" s="12" t="inlineStr">
        <is>
          <t>One full screening run after the load instead of per client; legacy results archived</t>
        </is>
      </c>
      <c r="E12" s="12" t="inlineStr">
        <is>
          <t>C01 load; cutover task CT-050</t>
        </is>
      </c>
      <c r="F12" s="12" t="inlineStr">
        <is>
          <t>M2 (30 Oct 2026)</t>
        </is>
      </c>
      <c r="G12" s="12" t="inlineStr">
        <is>
          <t>Compliance</t>
        </is>
      </c>
      <c r="H12" s="27" t="inlineStr">
        <is>
          <t>OPEN</t>
        </is>
      </c>
      <c r="I12" s="12" t="inlineStr"/>
    </row>
    <row r="13">
      <c r="A13" s="12" t="inlineStr">
        <is>
          <t>DMQ07</t>
        </is>
      </c>
      <c r="B13" s="12" t="inlineStr">
        <is>
          <t>-</t>
        </is>
      </c>
      <c r="C13" s="12" t="inlineStr">
        <is>
          <t>KYC documents</t>
        </is>
      </c>
      <c r="D13" s="12" t="inlineStr">
        <is>
          <t>Migrate as attachments or archive; KYC status and review dates</t>
        </is>
      </c>
      <c r="E13" s="12" t="inlineStr">
        <is>
          <t>C04, H02</t>
        </is>
      </c>
      <c r="F13" s="12" t="inlineStr">
        <is>
          <t>M2 (30 Oct 2026)</t>
        </is>
      </c>
      <c r="G13" s="12" t="inlineStr">
        <is>
          <t>Compliance</t>
        </is>
      </c>
      <c r="H13" s="27" t="inlineStr">
        <is>
          <t>OPEN</t>
        </is>
      </c>
      <c r="I13" s="12" t="inlineStr"/>
    </row>
    <row r="14">
      <c r="A14" s="12" t="inlineStr">
        <is>
          <t>DMQ08</t>
        </is>
      </c>
      <c r="B14" s="12" t="inlineStr">
        <is>
          <t>-</t>
        </is>
      </c>
      <c r="C14" s="12" t="inlineStr">
        <is>
          <t>Code map owners</t>
        </is>
      </c>
      <c r="D14" s="12" t="inlineStr">
        <is>
          <t>Owner and signer per map set; MIS fields required</t>
        </is>
      </c>
      <c r="E14" s="12" t="inlineStr">
        <is>
          <t>Gate G2; all map sets</t>
        </is>
      </c>
      <c r="F14" s="12" t="inlineStr">
        <is>
          <t>M2 (30 Oct 2026)</t>
        </is>
      </c>
      <c r="G14" s="12" t="inlineStr">
        <is>
          <t>Product Owner, MBS</t>
        </is>
      </c>
      <c r="H14" s="27" t="inlineStr">
        <is>
          <t>OPEN</t>
        </is>
      </c>
      <c r="I14" s="12" t="inlineStr"/>
    </row>
    <row r="15">
      <c r="A15" s="12" t="inlineStr">
        <is>
          <t>DMQ09</t>
        </is>
      </c>
      <c r="B15" s="12" t="inlineStr">
        <is>
          <t>DCR-194</t>
        </is>
      </c>
      <c r="C15" s="12" t="inlineStr">
        <is>
          <t>In-force header condition</t>
        </is>
      </c>
      <c r="D15" s="12" t="inlineStr">
        <is>
          <t>All in-force policies, or only those with open legacy invoices or that may be endorsed or claimed; the header fields</t>
        </is>
      </c>
      <c r="E15" s="12" t="inlineStr">
        <is>
          <t>P01, P01S; endorsements BRID 9; DM1-C</t>
        </is>
      </c>
      <c r="F15" s="12" t="inlineStr">
        <is>
          <t>M1 (16 Oct 2026)</t>
        </is>
      </c>
      <c r="G15" s="12" t="inlineStr">
        <is>
          <t>Head, Operations</t>
        </is>
      </c>
      <c r="H15" s="27" t="inlineStr">
        <is>
          <t>OPEN</t>
        </is>
      </c>
      <c r="I15" s="12" t="inlineStr"/>
    </row>
    <row r="16">
      <c r="A16" s="12" t="inlineStr">
        <is>
          <t>DMQ10</t>
        </is>
      </c>
      <c r="B16" s="12" t="inlineStr">
        <is>
          <t>-</t>
        </is>
      </c>
      <c r="C16" s="12" t="inlineStr">
        <is>
          <t>Legacy invoice scope</t>
        </is>
      </c>
      <c r="D16" s="12" t="inlineStr">
        <is>
          <t>Which invoices carry forward (open PR, paid not remitted, open commission, open PR2307); zero-balance invoices of in-force policies for endorsement; history depth</t>
        </is>
      </c>
      <c r="E16" s="12" t="inlineStr">
        <is>
          <t>F01; DM1-A</t>
        </is>
      </c>
      <c r="F16" s="12" t="inlineStr">
        <is>
          <t>M1 (16 Oct 2026)</t>
        </is>
      </c>
      <c r="G16" s="12" t="inlineStr">
        <is>
          <t>Operations - Financial Transactions</t>
        </is>
      </c>
      <c r="H16" s="27" t="inlineStr">
        <is>
          <t>OPEN</t>
        </is>
      </c>
      <c r="I16" s="12" t="inlineStr"/>
    </row>
    <row r="17">
      <c r="A17" s="12" t="inlineStr">
        <is>
          <t>DMQ11</t>
        </is>
      </c>
      <c r="B17" s="12" t="inlineStr">
        <is>
          <t>DCR-207</t>
        </is>
      </c>
      <c r="C17" s="12" t="inlineStr">
        <is>
          <t>Invoice numbers</t>
        </is>
      </c>
      <c r="D17" s="12" t="inlineStr">
        <is>
          <t>Are EBIX and QPS invoice numbers unique across both systems; QPS invoice format</t>
        </is>
      </c>
      <c r="E17" s="12" t="inlineStr">
        <is>
          <t>F01 keys; payment matching</t>
        </is>
      </c>
      <c r="F17" s="12" t="inlineStr">
        <is>
          <t>M1 (16 Oct 2026)</t>
        </is>
      </c>
      <c r="G17" s="12" t="inlineStr">
        <is>
          <t>BDOI IT</t>
        </is>
      </c>
      <c r="H17" s="27" t="inlineStr">
        <is>
          <t>OPEN</t>
        </is>
      </c>
      <c r="I17" s="12" t="inlineStr"/>
    </row>
    <row r="18">
      <c r="A18" s="12" t="inlineStr">
        <is>
          <t>DMQ12</t>
        </is>
      </c>
      <c r="B18" s="12" t="inlineStr">
        <is>
          <t>DCR-207</t>
        </is>
      </c>
      <c r="C18" s="12" t="inlineStr">
        <is>
          <t>Components and shares</t>
        </is>
      </c>
      <c r="D18" s="12" t="inlineStr">
        <is>
          <t>Can legacy give open balances per component and per insurer share; if not which split rule</t>
        </is>
      </c>
      <c r="E18" s="12" t="inlineStr">
        <is>
          <t>F01C; DM1-A</t>
        </is>
      </c>
      <c r="F18" s="12" t="inlineStr">
        <is>
          <t>M1 (16 Oct 2026)</t>
        </is>
      </c>
      <c r="G18" s="12" t="inlineStr">
        <is>
          <t>BDOI IT; Comptrollership</t>
        </is>
      </c>
      <c r="H18" s="27" t="inlineStr">
        <is>
          <t>OPEN</t>
        </is>
      </c>
      <c r="I18" s="12" t="inlineStr"/>
    </row>
    <row r="19">
      <c r="A19" s="12" t="inlineStr">
        <is>
          <t>DMQ13</t>
        </is>
      </c>
      <c r="B19" s="12" t="inlineStr">
        <is>
          <t>-</t>
        </is>
      </c>
      <c r="C19" s="12" t="inlineStr">
        <is>
          <t>Commission state</t>
        </is>
      </c>
      <c r="D19" s="12" t="inlineStr">
        <is>
          <t>Realised / unrealised commission, deferred output VAT, commission collected by remittance, per invoice</t>
        </is>
      </c>
      <c r="E19" s="12" t="inlineStr">
        <is>
          <t>F01 opening entry</t>
        </is>
      </c>
      <c r="F19" s="12" t="inlineStr">
        <is>
          <t>M1 (16 Oct 2026)</t>
        </is>
      </c>
      <c r="G19" s="12" t="inlineStr">
        <is>
          <t>Head, Comptrollership</t>
        </is>
      </c>
      <c r="H19" s="27" t="inlineStr">
        <is>
          <t>OPEN</t>
        </is>
      </c>
      <c r="I19" s="12" t="inlineStr"/>
    </row>
    <row r="20">
      <c r="A20" s="12" t="inlineStr">
        <is>
          <t>DMQ14</t>
        </is>
      </c>
      <c r="B20" s="12" t="inlineStr">
        <is>
          <t>DCR-204</t>
        </is>
      </c>
      <c r="C20" s="12" t="inlineStr">
        <is>
          <t>UPP receipt and statuses</t>
        </is>
      </c>
      <c r="D20" s="12" t="inlineStr">
        <is>
          <t>New BIBS AR, reprint of the legacy AR, or none for a migrated UPP; legacy UPP statuses and dispositions in progress</t>
        </is>
      </c>
      <c r="E20" s="12" t="inlineStr">
        <is>
          <t>F02; DM1-B</t>
        </is>
      </c>
      <c r="F20" s="12" t="inlineStr">
        <is>
          <t>M1 (16 Oct 2026)</t>
        </is>
      </c>
      <c r="G20" s="12" t="inlineStr">
        <is>
          <t>Operations - Financial Transactions</t>
        </is>
      </c>
      <c r="H20" s="27" t="inlineStr">
        <is>
          <t>OPEN</t>
        </is>
      </c>
      <c r="I20" s="12" t="inlineStr"/>
    </row>
    <row r="21">
      <c r="A21" s="12" t="inlineStr">
        <is>
          <t>DMQ15</t>
        </is>
      </c>
      <c r="B21" s="12" t="inlineStr">
        <is>
          <t>-</t>
        </is>
      </c>
      <c r="C21" s="12" t="inlineStr">
        <is>
          <t>UPP matching references</t>
        </is>
      </c>
      <c r="D21" s="12" t="inlineStr">
        <is>
          <t>References held per UPP; automatch rerun frequency after cutover</t>
        </is>
      </c>
      <c r="E21" s="12" t="inlineStr">
        <is>
          <t>F02 ref_ columns</t>
        </is>
      </c>
      <c r="F21" s="12" t="inlineStr">
        <is>
          <t>M2 (30 Oct 2026)</t>
        </is>
      </c>
      <c r="G21" s="12" t="inlineStr">
        <is>
          <t>Operations - Financial Transactions</t>
        </is>
      </c>
      <c r="H21" s="27" t="inlineStr">
        <is>
          <t>OPEN</t>
        </is>
      </c>
      <c r="I21" s="12" t="inlineStr"/>
    </row>
    <row r="22">
      <c r="A22" s="12" t="inlineStr">
        <is>
          <t>DMQ16</t>
        </is>
      </c>
      <c r="B22" s="12" t="inlineStr">
        <is>
          <t>DCR-198, DCR-205</t>
        </is>
      </c>
      <c r="C22" s="12" t="inlineStr">
        <is>
          <t>Reclassification to income</t>
        </is>
      </c>
      <c r="D22" s="12" t="inlineStr">
        <is>
          <t>Who is top management; criteria, frequency, GL account, customer notice, reversal</t>
        </is>
      </c>
      <c r="E22" s="12" t="inlineStr">
        <is>
          <t>FR-DM-055 configuration</t>
        </is>
      </c>
      <c r="F22" s="12" t="inlineStr">
        <is>
          <t>M2 (30 Oct 2026)</t>
        </is>
      </c>
      <c r="G22" s="12" t="inlineStr">
        <is>
          <t>Head, Comptrollership</t>
        </is>
      </c>
      <c r="H22" s="27" t="inlineStr">
        <is>
          <t>OPEN</t>
        </is>
      </c>
      <c r="I22" s="12" t="inlineStr"/>
    </row>
    <row r="23">
      <c r="A23" s="12" t="inlineStr">
        <is>
          <t>DMQ17</t>
        </is>
      </c>
      <c r="B23" s="12" t="inlineStr">
        <is>
          <t>-</t>
        </is>
      </c>
      <c r="C23" s="12" t="inlineStr">
        <is>
          <t>Legacy UPP refunds</t>
        </is>
      </c>
      <c r="D23" s="12" t="inlineStr">
        <is>
          <t>Same approvers and Disbursement flow as new UPP refunds</t>
        </is>
      </c>
      <c r="E23" s="12" t="inlineStr">
        <is>
          <t>FR-DM-054 configuration</t>
        </is>
      </c>
      <c r="F23" s="12" t="inlineStr">
        <is>
          <t>M2 (30 Oct 2026)</t>
        </is>
      </c>
      <c r="G23" s="12" t="inlineStr">
        <is>
          <t>Operations - Financial Transactions</t>
        </is>
      </c>
      <c r="H23" s="27" t="inlineStr">
        <is>
          <t>OPEN</t>
        </is>
      </c>
      <c r="I23" s="12" t="inlineStr"/>
    </row>
    <row r="24">
      <c r="A24" s="12" t="inlineStr">
        <is>
          <t>DMQ18</t>
        </is>
      </c>
      <c r="B24" s="12" t="inlineStr">
        <is>
          <t>DCR-197</t>
        </is>
      </c>
      <c r="C24" s="12" t="inlineStr">
        <is>
          <t>Legacy sub-ledgers and GL</t>
        </is>
      </c>
      <c r="D24" s="12" t="inlineStr">
        <is>
          <t>Separate legacy control accounts and Migration Clearing; end state after run-off; whole opening TB per branch and currency; GL ageing of legacy PR</t>
        </is>
      </c>
      <c r="E24" s="12" t="inlineStr">
        <is>
          <t>R08, G01; DM1-A; accounting rules</t>
        </is>
      </c>
      <c r="F24" s="12" t="inlineStr">
        <is>
          <t>M1 (16 Oct 2026)</t>
        </is>
      </c>
      <c r="G24" s="12" t="inlineStr">
        <is>
          <t>Head, Comptrollership</t>
        </is>
      </c>
      <c r="H24" s="27" t="inlineStr">
        <is>
          <t>OPEN</t>
        </is>
      </c>
      <c r="I24" s="12" t="inlineStr"/>
    </row>
    <row r="25">
      <c r="A25" s="12" t="inlineStr">
        <is>
          <t>DMQ19</t>
        </is>
      </c>
      <c r="B25" s="12" t="inlineStr">
        <is>
          <t>DCR-198, DCR-206</t>
        </is>
      </c>
      <c r="C25" s="12" t="inlineStr">
        <is>
          <t>DPPR</t>
        </is>
      </c>
      <c r="D25" s="12" t="inlineStr">
        <is>
          <t>Definition, entries including Commission Receivable, source of the approved list, approver</t>
        </is>
      </c>
      <c r="E25" s="12" t="inlineStr">
        <is>
          <t>FR-DM-070 rules</t>
        </is>
      </c>
      <c r="F25" s="12" t="inlineStr">
        <is>
          <t>M2 (30 Oct 2026)</t>
        </is>
      </c>
      <c r="G25" s="12" t="inlineStr">
        <is>
          <t>Head, Comptrollership</t>
        </is>
      </c>
      <c r="H25" s="27" t="inlineStr">
        <is>
          <t>OPEN</t>
        </is>
      </c>
      <c r="I25" s="12" t="inlineStr"/>
    </row>
    <row r="26">
      <c r="A26" s="12" t="inlineStr">
        <is>
          <t>DMQ20</t>
        </is>
      </c>
      <c r="B26" s="12" t="inlineStr">
        <is>
          <t>-</t>
        </is>
      </c>
      <c r="C26" s="12" t="inlineStr">
        <is>
          <t>PR2307 reversal</t>
        </is>
      </c>
      <c r="D26" s="12" t="inlineStr">
        <is>
          <t>Entries, evidence, approver</t>
        </is>
      </c>
      <c r="E26" s="12" t="inlineStr">
        <is>
          <t>FR-DM-071 rules</t>
        </is>
      </c>
      <c r="F26" s="12" t="inlineStr">
        <is>
          <t>M2 (30 Oct 2026)</t>
        </is>
      </c>
      <c r="G26" s="12" t="inlineStr">
        <is>
          <t>Head, Comptrollership</t>
        </is>
      </c>
      <c r="H26" s="27" t="inlineStr">
        <is>
          <t>OPEN</t>
        </is>
      </c>
      <c r="I26" s="12" t="inlineStr"/>
    </row>
    <row r="27">
      <c r="A27" s="12" t="inlineStr">
        <is>
          <t>DMQ21</t>
        </is>
      </c>
      <c r="B27" s="12" t="inlineStr">
        <is>
          <t>-</t>
        </is>
      </c>
      <c r="C27" s="12" t="inlineStr">
        <is>
          <t>Remittance positions</t>
        </is>
      </c>
      <c r="D27" s="12" t="inlineStr">
        <is>
          <t>Batches in process, holds and special remittances at cutover - completed in legacy or carried; insurer ORs outstanding</t>
        </is>
      </c>
      <c r="E27" s="12" t="inlineStr">
        <is>
          <t>F04 decision</t>
        </is>
      </c>
      <c r="F27" s="12" t="inlineStr">
        <is>
          <t>M2 (30 Oct 2026)</t>
        </is>
      </c>
      <c r="G27" s="12" t="inlineStr">
        <is>
          <t>Operations - Remittance</t>
        </is>
      </c>
      <c r="H27" s="27" t="inlineStr">
        <is>
          <t>OPEN</t>
        </is>
      </c>
      <c r="I27" s="12" t="inlineStr"/>
    </row>
    <row r="28">
      <c r="A28" s="12" t="inlineStr">
        <is>
          <t>DMQ22</t>
        </is>
      </c>
      <c r="B28" s="12" t="inlineStr">
        <is>
          <t>DCR-194</t>
        </is>
      </c>
      <c r="C28" s="12" t="inlineStr">
        <is>
          <t>Endorsement coexistence</t>
        </is>
      </c>
      <c r="D28" s="12" t="inlineStr">
        <is>
          <t>Confirm legacy invoices are endorsed in BIBS from cutover; types; service invoice numbering; renewal uses BIBS values</t>
        </is>
      </c>
      <c r="E28" s="12" t="inlineStr">
        <is>
          <t>P01 condition; DM2-A</t>
        </is>
      </c>
      <c r="F28" s="12" t="inlineStr">
        <is>
          <t>M1 (16 Oct 2026)</t>
        </is>
      </c>
      <c r="G28" s="12" t="inlineStr">
        <is>
          <t>Head, Operations</t>
        </is>
      </c>
      <c r="H28" s="27" t="inlineStr">
        <is>
          <t>OPEN</t>
        </is>
      </c>
      <c r="I28" s="12" t="inlineStr"/>
    </row>
    <row r="29">
      <c r="A29" s="12" t="inlineStr">
        <is>
          <t>DMQ23</t>
        </is>
      </c>
      <c r="B29" s="12" t="inlineStr">
        <is>
          <t>-</t>
        </is>
      </c>
      <c r="C29" s="12" t="inlineStr">
        <is>
          <t>Legacy change report</t>
        </is>
      </c>
      <c r="D29" s="12" t="inlineStr">
        <is>
          <t>Which changes count; fields, period, frequency, recipients</t>
        </is>
      </c>
      <c r="E29" s="12" t="inlineStr">
        <is>
          <t>FR-DM-100 report</t>
        </is>
      </c>
      <c r="F29" s="12" t="inlineStr">
        <is>
          <t>M2 (30 Oct 2026)</t>
        </is>
      </c>
      <c r="G29" s="12" t="inlineStr">
        <is>
          <t>Operations - Prod Recon</t>
        </is>
      </c>
      <c r="H29" s="27" t="inlineStr">
        <is>
          <t>OPEN</t>
        </is>
      </c>
      <c r="I29" s="12" t="inlineStr"/>
    </row>
    <row r="30">
      <c r="A30" s="12" t="inlineStr">
        <is>
          <t>DMQ24</t>
        </is>
      </c>
      <c r="B30" s="12" t="inlineStr">
        <is>
          <t>DCR-209</t>
        </is>
      </c>
      <c r="C30" s="12" t="inlineStr">
        <is>
          <t>Read-only legacy or archive</t>
        </is>
      </c>
      <c r="D30" s="12" t="inlineStr">
        <is>
          <t>Per legacy system - read-only (how long, who hosts, access logging) or archived in BIBS before decommissioning; record types, search keys, retention</t>
        </is>
      </c>
      <c r="E30" s="12" t="inlineStr">
        <is>
          <t>H01, H02, C04; DM2-B</t>
        </is>
      </c>
      <c r="F30" s="12" t="inlineStr">
        <is>
          <t>M2 (30 Oct 2026)</t>
        </is>
      </c>
      <c r="G30" s="12" t="inlineStr">
        <is>
          <t>Audit / Compliance; BDOI IT</t>
        </is>
      </c>
      <c r="H30" s="27" t="inlineStr">
        <is>
          <t>OPEN</t>
        </is>
      </c>
      <c r="I30" s="12" t="inlineStr"/>
    </row>
    <row r="31">
      <c r="A31" s="12" t="inlineStr">
        <is>
          <t>DMQ25</t>
        </is>
      </c>
      <c r="B31" s="12" t="inlineStr">
        <is>
          <t>DCR-200, DCR-242</t>
        </is>
      </c>
      <c r="C31" s="12" t="inlineStr">
        <is>
          <t>Cutover date and window</t>
        </is>
      </c>
      <c r="D31" s="12" t="inlineStr">
        <is>
          <t>Go-live month (M1) and exact date (M6); freeze length; last legacy EOD; month-end alignment; blackout dates</t>
        </is>
      </c>
      <c r="E31" s="12" t="inlineStr">
        <is>
          <t>Whole calendar; runbook</t>
        </is>
      </c>
      <c r="F31" s="12" t="inlineStr">
        <is>
          <t>M1 (16 Oct 2026) (month), M6 (1 Oct 2027) (date)</t>
        </is>
      </c>
      <c r="G31" s="12" t="inlineStr">
        <is>
          <t>Program Manager</t>
        </is>
      </c>
      <c r="H31" s="27" t="inlineStr">
        <is>
          <t>PARTIAL</t>
        </is>
      </c>
      <c r="I31" s="12" t="inlineStr">
        <is>
          <t>Month answered by the BDOI timeline (26-Sep-2026) - January 2028; full migration and cut-over Nov 2027-Jan 2028. Date 3 January 2028 at the year-end boundary recommended with DMQ39; confirmed by Comptrollership at M6</t>
        </is>
      </c>
    </row>
    <row r="32">
      <c r="A32" s="12" t="inlineStr">
        <is>
          <t>DMQ26</t>
        </is>
      </c>
      <c r="B32" s="12" t="inlineStr">
        <is>
          <t>DCR-199, DCR-240</t>
        </is>
      </c>
      <c r="C32" s="12" t="inlineStr">
        <is>
          <t>RMEL transition</t>
        </is>
      </c>
      <c r="D32" s="12" t="inlineStr">
        <is>
          <t>Cohorts already extracted in legacy carried into BIBS or finished in legacy; first cohort extracted by BIBS; path of legacy renewals</t>
        </is>
      </c>
      <c r="E32" s="12" t="inlineStr">
        <is>
          <t>P01 scope; Renewal build</t>
        </is>
      </c>
      <c r="F32" s="12" t="inlineStr">
        <is>
          <t>M1 (16 Oct 2026)</t>
        </is>
      </c>
      <c r="G32" s="12" t="inlineStr">
        <is>
          <t>Heads, Retail and Corporate Marketing</t>
        </is>
      </c>
      <c r="H32" s="27" t="inlineStr">
        <is>
          <t>ANSWERED</t>
        </is>
      </c>
      <c r="I32" s="12" t="inlineStr">
        <is>
          <t>Answered by DMQ37 (26-Sep-2026) - no cohort is carried; the expiries from T to 31-May-2028 are extracted by BIBS at go-live from the migrated headers; the daily extraction then starts at the expiry of 1-Jun-2028 (extracted 13-Jan-2028)</t>
        </is>
      </c>
    </row>
    <row r="33">
      <c r="A33" s="12" t="inlineStr">
        <is>
          <t>DMQ27</t>
        </is>
      </c>
      <c r="B33" s="12" t="inlineStr">
        <is>
          <t>-</t>
        </is>
      </c>
      <c r="C33" s="12" t="inlineStr">
        <is>
          <t>Decommissioning criteria</t>
        </is>
      </c>
      <c r="D33" s="12" t="inlineStr">
        <is>
          <t>Criteria and owner per legacy system; retention of the legacy database</t>
        </is>
      </c>
      <c r="E33" s="12" t="inlineStr">
        <is>
          <t>Decommissioning checklists</t>
        </is>
      </c>
      <c r="F33" s="12" t="inlineStr">
        <is>
          <t>M6 (1 Oct 2027)</t>
        </is>
      </c>
      <c r="G33" s="12" t="inlineStr">
        <is>
          <t>Program Manager; BDOI IT</t>
        </is>
      </c>
      <c r="H33" s="27" t="inlineStr">
        <is>
          <t>OPEN</t>
        </is>
      </c>
      <c r="I33" s="12" t="inlineStr"/>
    </row>
    <row r="34">
      <c r="A34" s="12" t="inlineStr">
        <is>
          <t>DMQ28</t>
        </is>
      </c>
      <c r="B34" s="12" t="inlineStr">
        <is>
          <t>DCR-193</t>
        </is>
      </c>
      <c r="C34" s="12" t="inlineStr">
        <is>
          <t>Volumes and quality</t>
        </is>
      </c>
      <c r="D34" s="12" t="inlineStr">
        <is>
          <t>Row counts per object and source, growth to go-live, known quality issues, history depth, extract owner and delta frequency</t>
        </is>
      </c>
      <c r="E34" s="12" t="inlineStr">
        <is>
          <t>Register volumes; performance test</t>
        </is>
      </c>
      <c r="F34" s="12" t="inlineStr">
        <is>
          <t>M3 (29 Jan 2027)</t>
        </is>
      </c>
      <c r="G34" s="12" t="inlineStr">
        <is>
          <t>BDOI IT</t>
        </is>
      </c>
      <c r="H34" s="27" t="inlineStr">
        <is>
          <t>OPEN</t>
        </is>
      </c>
      <c r="I34" s="12" t="inlineStr"/>
    </row>
    <row r="35">
      <c r="A35" s="12" t="inlineStr">
        <is>
          <t>DMQ29</t>
        </is>
      </c>
      <c r="B35" s="12" t="inlineStr">
        <is>
          <t>DCR-193</t>
        </is>
      </c>
      <c r="C35" s="12" t="inlineStr">
        <is>
          <t>Consolidated NFR</t>
        </is>
      </c>
      <c r="D35" s="12" t="inlineStr">
        <is>
          <t>Name, version and owner of the consolidated NFR; cutover window, load time, retention of migration evidence</t>
        </is>
      </c>
      <c r="E35" s="12" t="inlineStr">
        <is>
          <t>NFR targets</t>
        </is>
      </c>
      <c r="F35" s="12" t="inlineStr">
        <is>
          <t>M2 (30 Oct 2026)</t>
        </is>
      </c>
      <c r="G35" s="12" t="inlineStr">
        <is>
          <t>Program Manager</t>
        </is>
      </c>
      <c r="H35" s="27" t="inlineStr">
        <is>
          <t>OPEN</t>
        </is>
      </c>
      <c r="I35" s="12" t="inlineStr"/>
    </row>
    <row r="36">
      <c r="A36" s="12" t="inlineStr">
        <is>
          <t>DMQ30</t>
        </is>
      </c>
      <c r="B36" s="12" t="inlineStr">
        <is>
          <t>DCR-196</t>
        </is>
      </c>
      <c r="C36" s="12" t="inlineStr">
        <is>
          <t>Objects not in the BRD</t>
        </is>
      </c>
      <c r="D36" s="12" t="inlineStr">
        <is>
          <t>Open claims, EB programmes, submitted-policy masterlists, payees, open disbursements, PDCs, users - in scope?</t>
        </is>
      </c>
      <c r="E36" s="12" t="inlineStr">
        <is>
          <t>R09, P04, P05, F06, F07</t>
        </is>
      </c>
      <c r="F36" s="12" t="inlineStr">
        <is>
          <t>M1 (16 Oct 2026)</t>
        </is>
      </c>
      <c r="G36" s="12" t="inlineStr">
        <is>
          <t>Program Manager</t>
        </is>
      </c>
      <c r="H36" s="27" t="inlineStr">
        <is>
          <t>OPEN</t>
        </is>
      </c>
      <c r="I36" s="12" t="inlineStr"/>
    </row>
    <row r="37">
      <c r="A37" s="12" t="inlineStr">
        <is>
          <t>DMQ31</t>
        </is>
      </c>
      <c r="B37" s="12" t="inlineStr">
        <is>
          <t>DCR-200</t>
        </is>
      </c>
      <c r="C37" s="12" t="inlineStr">
        <is>
          <t>Rehearsals and test data</t>
        </is>
      </c>
      <c r="D37" s="12" t="inlineStr">
        <is>
          <t>Number of trial migrations and the dress rehearsal; masked production extracts in SIT / UAT; who masks and approves</t>
        </is>
      </c>
      <c r="E37" s="12" t="inlineStr">
        <is>
          <t>Migration cycles</t>
        </is>
      </c>
      <c r="F37" s="12" t="inlineStr">
        <is>
          <t>M2 (30 Oct 2026)</t>
        </is>
      </c>
      <c r="G37" s="12" t="inlineStr">
        <is>
          <t>Program Manager; Compliance</t>
        </is>
      </c>
      <c r="H37" s="27" t="inlineStr">
        <is>
          <t>OPEN</t>
        </is>
      </c>
      <c r="I37" s="12" t="inlineStr"/>
    </row>
    <row r="38">
      <c r="A38" s="12" t="inlineStr">
        <is>
          <t>DMQ32</t>
        </is>
      </c>
      <c r="B38" s="12" t="inlineStr">
        <is>
          <t>DCR-200</t>
        </is>
      </c>
      <c r="C38" s="12" t="inlineStr">
        <is>
          <t>Fallback</t>
        </is>
      </c>
      <c r="D38" s="12" t="inlineStr">
        <is>
          <t>Point of no return; fallback to legacy after go-live; who decides</t>
        </is>
      </c>
      <c r="E38" s="12" t="inlineStr">
        <is>
          <t>Runbook rollback</t>
        </is>
      </c>
      <c r="F38" s="12" t="inlineStr">
        <is>
          <t>M6 (1 Oct 2027)</t>
        </is>
      </c>
      <c r="G38" s="12" t="inlineStr">
        <is>
          <t>Program Manager</t>
        </is>
      </c>
      <c r="H38" s="27" t="inlineStr">
        <is>
          <t>OPEN</t>
        </is>
      </c>
      <c r="I38" s="12" t="inlineStr"/>
    </row>
    <row r="39">
      <c r="A39" s="12" t="inlineStr">
        <is>
          <t>DMQ33</t>
        </is>
      </c>
      <c r="B39" s="12" t="inlineStr">
        <is>
          <t>DCR-200</t>
        </is>
      </c>
      <c r="C39" s="12" t="inlineStr">
        <is>
          <t>In-flight items at the freeze</t>
        </is>
      </c>
      <c r="D39" s="12" t="inlineStr">
        <is>
          <t>Pending endorsements, un-booked accounts, placements, PDCs, pick-ups and refunds - completed before the freeze, carried or re-keyed</t>
        </is>
      </c>
      <c r="E39" s="12" t="inlineStr">
        <is>
          <t>F06; freeze plan</t>
        </is>
      </c>
      <c r="F39" s="12" t="inlineStr">
        <is>
          <t>M2 (30 Oct 2026)</t>
        </is>
      </c>
      <c r="G39" s="12" t="inlineStr">
        <is>
          <t>Head, Operations</t>
        </is>
      </c>
      <c r="H39" s="27" t="inlineStr">
        <is>
          <t>OPEN</t>
        </is>
      </c>
      <c r="I39" s="12" t="inlineStr"/>
    </row>
    <row r="40">
      <c r="A40" s="12" t="inlineStr">
        <is>
          <t>DMQ34</t>
        </is>
      </c>
      <c r="B40" s="12" t="inlineStr">
        <is>
          <t>DCR-203</t>
        </is>
      </c>
      <c r="C40" s="12" t="inlineStr">
        <is>
          <t>Collection history</t>
        </is>
      </c>
      <c r="D40" s="12" t="inlineStr">
        <is>
          <t>Carry open dispositions, promises, installment plans and collector assignments</t>
        </is>
      </c>
      <c r="E40" s="12" t="inlineStr">
        <is>
          <t>F03</t>
        </is>
      </c>
      <c r="F40" s="12" t="inlineStr">
        <is>
          <t>M2 (30 Oct 2026)</t>
        </is>
      </c>
      <c r="G40" s="12" t="inlineStr">
        <is>
          <t>Head, Operations (Collections)</t>
        </is>
      </c>
      <c r="H40" s="27" t="inlineStr">
        <is>
          <t>OPEN</t>
        </is>
      </c>
      <c r="I40" s="12" t="inlineStr"/>
    </row>
    <row r="41">
      <c r="A41" s="12" t="inlineStr">
        <is>
          <t>DCR-202</t>
        </is>
      </c>
      <c r="B41" s="12" t="inlineStr">
        <is>
          <t>DCR-202</t>
        </is>
      </c>
      <c r="C41" s="12" t="inlineStr">
        <is>
          <t>Write-back to legacy</t>
        </is>
      </c>
      <c r="D41" s="12" t="inlineStr">
        <is>
          <t>Confirm that no contact or client update is written back to QPS / EBIX after the freeze (legacy read-only; proposal)</t>
        </is>
      </c>
      <c r="E41" s="12" t="inlineStr">
        <is>
          <t>C01 deltas; CSF ContactSyncGateway</t>
        </is>
      </c>
      <c r="F41" s="12" t="inlineStr">
        <is>
          <t>M1 (16 Oct 2026)</t>
        </is>
      </c>
      <c r="G41" s="12" t="inlineStr">
        <is>
          <t>Product Owner, MBS</t>
        </is>
      </c>
      <c r="H41" s="27" t="inlineStr">
        <is>
          <t>OPEN</t>
        </is>
      </c>
      <c r="I41" s="12" t="inlineStr"/>
    </row>
    <row r="42">
      <c r="A42" s="12" t="inlineStr">
        <is>
          <t>DMQ35</t>
        </is>
      </c>
      <c r="B42" s="12" t="inlineStr">
        <is>
          <t>-</t>
        </is>
      </c>
      <c r="C42" s="12" t="inlineStr">
        <is>
          <t>Foreign currency</t>
        </is>
      </c>
      <c r="D42" s="12" t="inlineStr">
        <is>
          <t>Rate for the openings of USD invoices and UPP (legacy booking rate or cutover BOOK rate); FX difference at collection</t>
        </is>
      </c>
      <c r="E42" s="12" t="inlineStr">
        <is>
          <t>F01, F02, G01</t>
        </is>
      </c>
      <c r="F42" s="12" t="inlineStr">
        <is>
          <t>M2 (30 Oct 2026)</t>
        </is>
      </c>
      <c r="G42" s="12" t="inlineStr">
        <is>
          <t>Head, Comptrollership</t>
        </is>
      </c>
      <c r="H42" s="27" t="inlineStr">
        <is>
          <t>OPEN</t>
        </is>
      </c>
      <c r="I42" s="12" t="inlineStr"/>
    </row>
    <row r="43">
      <c r="A43" s="12" t="inlineStr">
        <is>
          <t>DMQ36</t>
        </is>
      </c>
      <c r="B43" s="12" t="inlineStr">
        <is>
          <t>DCR-241</t>
        </is>
      </c>
      <c r="C43" s="12" t="inlineStr">
        <is>
          <t>Package remapping</t>
        </is>
      </c>
      <c r="D43" s="12" t="inlineStr">
        <is>
          <t>At upload (migration intake) or during Renewal sanitation; owner of the decision and of the map; legacy packages that split and on which attributes</t>
        </is>
      </c>
      <c r="E43" s="12" t="inlineStr">
        <is>
          <t>R06, P01; PACKAGE map; Renewal check PACKAGE_REMAP; DM1-C</t>
        </is>
      </c>
      <c r="F43" s="12" t="inlineStr">
        <is>
          <t>M1 (16 Oct 2026)</t>
        </is>
      </c>
      <c r="G43" s="12" t="inlineStr">
        <is>
          <t>Product Owner, MBS; TSU</t>
        </is>
      </c>
      <c r="H43" s="27" t="inlineStr">
        <is>
          <t>ANSWERED</t>
        </is>
      </c>
      <c r="I43" s="12" t="inlineStr">
        <is>
          <t>BDOI 26-Sep-2026 - at sanitation in Renewal, not at migration intake. The migration loads the PACKAGE code map as reference data only (R06); P01 keeps the legacy package; the Renewal check PACKAGE_REMAP sends unmapped packages to the Exception bucket, worked by the Renewal processing team</t>
        </is>
      </c>
    </row>
    <row r="44">
      <c r="A44" s="12" t="inlineStr">
        <is>
          <t>DMQ37</t>
        </is>
      </c>
      <c r="B44" s="12" t="inlineStr">
        <is>
          <t>DCR-199, DCR-240</t>
        </is>
      </c>
      <c r="C44" s="12" t="inlineStr">
        <is>
          <t>January-May 2028 renewals</t>
        </is>
      </c>
      <c r="D44" s="12" t="inlineStr">
        <is>
          <t>Prepared in legacy and carried at the freeze, or processed in BIBS after go-live</t>
        </is>
      </c>
      <c r="E44" s="12" t="inlineStr">
        <is>
          <t>P01 scope; P03; Renewal go-live extraction</t>
        </is>
      </c>
      <c r="F44" s="12" t="inlineStr">
        <is>
          <t>M1 (16 Oct 2026)</t>
        </is>
      </c>
      <c r="G44" s="12" t="inlineStr">
        <is>
          <t>Heads, Retail and Corporate Marketing</t>
        </is>
      </c>
      <c r="H44" s="27" t="inlineStr">
        <is>
          <t>ANSWERED</t>
        </is>
      </c>
      <c r="I44" s="12" t="inlineStr">
        <is>
          <t>BDOI 26-Sep-2026 - processed in BIBS after go-live; no carried candidates. Go-live extraction of every expiry from T to 31-May-2028 from the migrated headers (P01), prioritised by expiry date, January expiries flagged urgent; RAs already sent by hand loaded as a small reference file (P03) and not re-sent</t>
        </is>
      </c>
    </row>
    <row r="45">
      <c r="A45" s="12" t="inlineStr">
        <is>
          <t>DMQ38</t>
        </is>
      </c>
      <c r="B45" s="12" t="inlineStr">
        <is>
          <t>DCR-243</t>
        </is>
      </c>
      <c r="C45" s="12" t="inlineStr">
        <is>
          <t>RMEL and disposition sources</t>
        </is>
      </c>
      <c r="D45" s="12" t="inlineStr">
        <is>
          <t>Where the RMEL, dispositions and RAs are kept; who reviews rejected rows</t>
        </is>
      </c>
      <c r="E45" s="12" t="inlineStr">
        <is>
          <t>P03 template and review</t>
        </is>
      </c>
      <c r="F45" s="12" t="inlineStr">
        <is>
          <t>M2 (30 Oct 2026)</t>
        </is>
      </c>
      <c r="G45" s="12" t="inlineStr">
        <is>
          <t>Head of the Renewal processing team</t>
        </is>
      </c>
      <c r="H45" s="27" t="inlineStr">
        <is>
          <t>ANSWERED</t>
        </is>
      </c>
      <c r="I45" s="12" t="inlineStr">
        <is>
          <t>BDOI 26-Sep-2026 - RMEL and dispositions are kept in Excel; rejected rows are reviewed by the Renewal processing team, maker and checker. Only the RAs already sent are taken from the trackers (XLSX template, rejection report with correction columns, maker-checker resubmission)</t>
        </is>
      </c>
    </row>
    <row r="46">
      <c r="A46" s="12" t="inlineStr">
        <is>
          <t>DMQ39</t>
        </is>
      </c>
      <c r="B46" s="12" t="inlineStr">
        <is>
          <t>DCR-242</t>
        </is>
      </c>
      <c r="C46" s="12" t="inlineStr">
        <is>
          <t>Year-end cut-over</t>
        </is>
      </c>
      <c r="D46" s="12" t="inlineStr">
        <is>
          <t>Go-live at the year-end boundary; last business day; year-end close; late 2027 and audit adjustments after go-live</t>
        </is>
      </c>
      <c r="E46" s="12" t="inlineStr">
        <is>
          <t>Runbook calendar; G01, G03; true-up build (DM1-A)</t>
        </is>
      </c>
      <c r="F46" s="12" t="inlineStr">
        <is>
          <t>M6 (1 Oct 2027)</t>
        </is>
      </c>
      <c r="G46" s="12" t="inlineStr">
        <is>
          <t>Program Manager; Head of Comptrollership</t>
        </is>
      </c>
      <c r="H46" s="27" t="inlineStr">
        <is>
          <t>RECOMMENDED</t>
        </is>
      </c>
      <c r="I46" s="12" t="inlineStr">
        <is>
          <t>BDOI 26-Sep-2026, recommendation awaiting Comptrollership confirmation - option A - go-live Mon 3-Jan-2028; legacy closes FY2027; provisional opening TB (balance sheet only) from the preliminary December TB; legacy GL open only for FY2027 closing and audit adjustments; true-ups as opening-balance adjustment journals after the legacy close (about mid-late January 2028) and after the audited FS (about March-April 2028); December soft close by about 20-Dec-2027. Options B (April 2028, YTD P&amp;L) and C (two books in Q1 2028) not recommended</t>
        </is>
      </c>
    </row>
  </sheetData>
  <autoFilter ref="A4:I46"/>
  <mergeCells count="1">
    <mergeCell ref="A2:I2"/>
  </mergeCells>
  <conditionalFormatting sqref="H5:H546">
    <cfRule type="cellIs" priority="1" operator="equal" dxfId="0" stopIfTrue="1">
      <formula>"OPEN"</formula>
    </cfRule>
    <cfRule type="cellIs" priority="2" operator="equal" dxfId="0" stopIfTrue="1">
      <formula>"PARTIAL"</formula>
    </cfRule>
    <cfRule type="cellIs" priority="3" operator="equal" dxfId="1" stopIfTrue="1">
      <formula>"ANSWERED"</formula>
    </cfRule>
    <cfRule type="cellIs" priority="4" operator="equal" dxfId="4" stopIfTrue="1">
      <formula>"RECOMMENDED"</formula>
    </cfRule>
  </conditionalFormatting>
  <conditionalFormatting sqref="A5:I546">
    <cfRule type="expression" priority="5" dxfId="3">
      <formula>AND(MOD(ROW(),2)=0,$A5&lt;&gt;"")</formula>
    </cfRule>
  </conditionalFormatting>
  <dataValidations count="1">
    <dataValidation sqref="H5:H546" showDropDown="0" showInputMessage="0" showErrorMessage="1" allowBlank="1" errorTitle="Status" error="Choose a value from the list (Status)." type="list">
      <formula1>'_lists'!$BQ$1:$BQ$4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</cols>
  <sheetData>
    <row r="1" ht="24" customHeight="1">
      <c r="A1" s="21" t="inlineStr">
        <is>
          <t>Milestones</t>
        </is>
      </c>
    </row>
    <row r="2">
      <c r="A2" s="24" t="inlineStr">
        <is>
          <t>Milestones used in the Due and Needed-by columns</t>
        </is>
      </c>
    </row>
    <row r="3" ht="6" customHeight="1">
      <c r="A3" s="25" t="n"/>
      <c r="B3" s="25" t="n"/>
      <c r="C3" s="25" t="n"/>
    </row>
    <row r="4" ht="30" customHeight="1">
      <c r="A4" s="26" t="inlineStr">
        <is>
          <t>Milestone</t>
        </is>
      </c>
      <c r="B4" s="26" t="inlineStr">
        <is>
          <t>What is due</t>
        </is>
      </c>
      <c r="C4" s="26" t="inlineStr">
        <is>
          <t>When</t>
        </is>
      </c>
    </row>
    <row r="5">
      <c r="A5" s="12" t="inlineStr">
        <is>
          <t>M0</t>
        </is>
      </c>
      <c r="B5" s="12" t="inlineStr">
        <is>
          <t>Pack issued to BDOI (v1.2 with the BDOI answers to DMQ36-DMQ39)</t>
        </is>
      </c>
      <c r="C5" s="12" t="inlineStr">
        <is>
          <t>26 Sep 2026</t>
        </is>
      </c>
    </row>
    <row r="6">
      <c r="A6" s="12" t="inlineStr">
        <is>
          <t>M1</t>
        </is>
      </c>
      <c r="B6" s="12" t="inlineStr">
        <is>
          <t>Build-shaping decisions (answers that change what is built)</t>
        </is>
      </c>
      <c r="C6" s="12" t="inlineStr">
        <is>
          <t>16 Oct 2026</t>
        </is>
      </c>
    </row>
    <row r="7">
      <c r="A7" s="12" t="inlineStr">
        <is>
          <t>M2</t>
        </is>
      </c>
      <c r="B7" s="12" t="inlineStr">
        <is>
          <t>Owners, stewards, keys and remaining business rules; object decisions signed (gate G1); layouts frozen, version 1 (G2 part 1) - end of requirements and mapping</t>
        </is>
      </c>
      <c r="C7" s="12" t="inlineStr">
        <is>
          <t>30 Oct 2026</t>
        </is>
      </c>
    </row>
    <row r="8">
      <c r="A8" s="12" t="inlineStr">
        <is>
          <t>M3</t>
        </is>
      </c>
      <c r="B8" s="12" t="inlineStr">
        <is>
          <t>First full extracts in the templates, with control files and volumes (profiling, performance sizing)</t>
        </is>
      </c>
      <c r="C8" s="12" t="inlineStr">
        <is>
          <t>29 Jan 2027</t>
        </is>
      </c>
    </row>
    <row r="9">
      <c r="A9" s="12" t="inlineStr">
        <is>
          <t>M4</t>
        </is>
      </c>
      <c r="B9" s="12" t="inlineStr">
        <is>
          <t>Extracts for Trial migration 1 (SIT migration starts); reference data and clients first</t>
        </is>
      </c>
      <c r="C9" s="12" t="inlineStr">
        <is>
          <t>9 Apr 2027</t>
        </is>
      </c>
    </row>
    <row r="10">
      <c r="A10" s="12" t="inlineStr">
        <is>
          <t>M5</t>
        </is>
      </c>
      <c r="B10" s="12" t="inlineStr">
        <is>
          <t>Code maps approved for Trial migration 2 (G2), including the PACKAGE map</t>
        </is>
      </c>
      <c r="C10" s="12" t="inlineStr">
        <is>
          <t>18 Jun 2027</t>
        </is>
      </c>
    </row>
    <row r="11">
      <c r="A11" s="12" t="inlineStr">
        <is>
          <t>M6</t>
        </is>
      </c>
      <c r="B11" s="12" t="inlineStr">
        <is>
          <t>Cut-over date and window, fallback and decommissioning criteria agreed; Comptrollership confirms the year-end option A (DMQ39)</t>
        </is>
      </c>
      <c r="C11" s="12" t="inlineStr">
        <is>
          <t>1 Oct 2027</t>
        </is>
      </c>
    </row>
  </sheetData>
  <autoFilter ref="A4:C11"/>
  <mergeCells count="1">
    <mergeCell ref="A2:C2"/>
  </mergeCells>
  <conditionalFormatting sqref="A5:C511">
    <cfRule type="expression" priority="1" dxfId="3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MIGRATE</t>
        </is>
      </c>
      <c r="C1" t="inlineStr">
        <is>
          <t>OPEN</t>
        </is>
      </c>
      <c r="D1" t="inlineStr">
        <is>
          <t>Amount</t>
        </is>
      </c>
      <c r="E1" t="inlineStr">
        <is>
          <t>Y</t>
        </is>
      </c>
      <c r="F1" t="inlineStr">
        <is>
          <t>Amount</t>
        </is>
      </c>
      <c r="G1" t="inlineStr">
        <is>
          <t>Y</t>
        </is>
      </c>
      <c r="H1" t="inlineStr">
        <is>
          <t>Amount</t>
        </is>
      </c>
      <c r="I1" t="inlineStr">
        <is>
          <t>Y</t>
        </is>
      </c>
      <c r="J1" t="inlineStr">
        <is>
          <t>Amount</t>
        </is>
      </c>
      <c r="K1" t="inlineStr">
        <is>
          <t>Y</t>
        </is>
      </c>
      <c r="L1" t="inlineStr">
        <is>
          <t>Amount</t>
        </is>
      </c>
      <c r="M1" t="inlineStr">
        <is>
          <t>Y</t>
        </is>
      </c>
      <c r="N1" t="inlineStr">
        <is>
          <t>Amount</t>
        </is>
      </c>
      <c r="O1" t="inlineStr">
        <is>
          <t>Y</t>
        </is>
      </c>
      <c r="P1" t="inlineStr">
        <is>
          <t>Amount</t>
        </is>
      </c>
      <c r="Q1" t="inlineStr">
        <is>
          <t>Y</t>
        </is>
      </c>
      <c r="R1" t="inlineStr">
        <is>
          <t>Amount</t>
        </is>
      </c>
      <c r="S1" t="inlineStr">
        <is>
          <t>Y</t>
        </is>
      </c>
      <c r="T1" t="inlineStr">
        <is>
          <t>Amount</t>
        </is>
      </c>
      <c r="U1" t="inlineStr">
        <is>
          <t>Y</t>
        </is>
      </c>
      <c r="V1" t="inlineStr">
        <is>
          <t>Amount</t>
        </is>
      </c>
      <c r="W1" t="inlineStr">
        <is>
          <t>Y</t>
        </is>
      </c>
      <c r="X1" t="inlineStr">
        <is>
          <t>Amount</t>
        </is>
      </c>
      <c r="Y1" t="inlineStr">
        <is>
          <t>Y</t>
        </is>
      </c>
      <c r="Z1" t="inlineStr">
        <is>
          <t>Amount</t>
        </is>
      </c>
      <c r="AA1" t="inlineStr">
        <is>
          <t>Y</t>
        </is>
      </c>
      <c r="AB1" t="inlineStr">
        <is>
          <t>Amount</t>
        </is>
      </c>
      <c r="AC1" t="inlineStr">
        <is>
          <t>Y</t>
        </is>
      </c>
      <c r="AD1" t="inlineStr">
        <is>
          <t>Amount</t>
        </is>
      </c>
      <c r="AE1" t="inlineStr">
        <is>
          <t>Y</t>
        </is>
      </c>
      <c r="AF1" t="inlineStr">
        <is>
          <t>Amount</t>
        </is>
      </c>
      <c r="AG1" t="inlineStr">
        <is>
          <t>Y</t>
        </is>
      </c>
      <c r="AH1" t="inlineStr">
        <is>
          <t>Amount</t>
        </is>
      </c>
      <c r="AI1" t="inlineStr">
        <is>
          <t>Y</t>
        </is>
      </c>
      <c r="AJ1" t="inlineStr">
        <is>
          <t>Amount</t>
        </is>
      </c>
      <c r="AK1" t="inlineStr">
        <is>
          <t>Y</t>
        </is>
      </c>
      <c r="AL1" t="inlineStr">
        <is>
          <t>Amount</t>
        </is>
      </c>
      <c r="AM1" t="inlineStr">
        <is>
          <t>Y</t>
        </is>
      </c>
      <c r="AN1" t="inlineStr">
        <is>
          <t>Amount</t>
        </is>
      </c>
      <c r="AO1" t="inlineStr">
        <is>
          <t>Y</t>
        </is>
      </c>
      <c r="AP1" t="inlineStr">
        <is>
          <t>Amount</t>
        </is>
      </c>
      <c r="AQ1" t="inlineStr">
        <is>
          <t>Y</t>
        </is>
      </c>
      <c r="AR1" t="inlineStr">
        <is>
          <t>Amount</t>
        </is>
      </c>
      <c r="AS1" t="inlineStr">
        <is>
          <t>Y</t>
        </is>
      </c>
      <c r="AT1" t="inlineStr">
        <is>
          <t>Amount</t>
        </is>
      </c>
      <c r="AU1" t="inlineStr">
        <is>
          <t>Y</t>
        </is>
      </c>
      <c r="AV1" t="inlineStr">
        <is>
          <t>Amount</t>
        </is>
      </c>
      <c r="AW1" t="inlineStr">
        <is>
          <t>Y</t>
        </is>
      </c>
      <c r="AX1" t="inlineStr">
        <is>
          <t>Amount</t>
        </is>
      </c>
      <c r="AY1" t="inlineStr">
        <is>
          <t>Y</t>
        </is>
      </c>
      <c r="AZ1" t="inlineStr">
        <is>
          <t>Amount</t>
        </is>
      </c>
      <c r="BA1" t="inlineStr">
        <is>
          <t>Y</t>
        </is>
      </c>
      <c r="BB1" t="inlineStr">
        <is>
          <t>Amount</t>
        </is>
      </c>
      <c r="BC1" t="inlineStr">
        <is>
          <t>Y</t>
        </is>
      </c>
      <c r="BD1" t="inlineStr">
        <is>
          <t>Amount</t>
        </is>
      </c>
      <c r="BE1" t="inlineStr">
        <is>
          <t>Y</t>
        </is>
      </c>
      <c r="BF1" t="inlineStr">
        <is>
          <t>Amount</t>
        </is>
      </c>
      <c r="BG1" t="inlineStr">
        <is>
          <t>Y</t>
        </is>
      </c>
      <c r="BH1" t="inlineStr">
        <is>
          <t>Amount</t>
        </is>
      </c>
      <c r="BI1" t="inlineStr">
        <is>
          <t>Y</t>
        </is>
      </c>
      <c r="BJ1" t="inlineStr">
        <is>
          <t>Amount</t>
        </is>
      </c>
      <c r="BK1" t="inlineStr">
        <is>
          <t>Y</t>
        </is>
      </c>
      <c r="BL1" t="inlineStr">
        <is>
          <t>ROW_COUNT</t>
        </is>
      </c>
      <c r="BM1" t="inlineStr">
        <is>
          <t>MATCHED</t>
        </is>
      </c>
      <c r="BN1" t="inlineStr">
        <is>
          <t>EBIX</t>
        </is>
      </c>
      <c r="BO1" t="inlineStr">
        <is>
          <t>MAP</t>
        </is>
      </c>
      <c r="BP1" t="inlineStr">
        <is>
          <t>MANDATORY</t>
        </is>
      </c>
      <c r="BQ1" t="inlineStr">
        <is>
          <t>OPEN</t>
        </is>
      </c>
    </row>
    <row r="2">
      <c r="A2" t="inlineStr">
        <is>
          <t>Client</t>
        </is>
      </c>
      <c r="B2" t="inlineStr">
        <is>
          <t>CARRY_FORWARD</t>
        </is>
      </c>
      <c r="C2" t="inlineStr">
        <is>
          <t>IN PROGRESS</t>
        </is>
      </c>
      <c r="D2" t="inlineStr">
        <is>
          <t>Code</t>
        </is>
      </c>
      <c r="E2" t="inlineStr">
        <is>
          <t>N</t>
        </is>
      </c>
      <c r="F2" t="inlineStr">
        <is>
          <t>Code</t>
        </is>
      </c>
      <c r="G2" t="inlineStr">
        <is>
          <t>N</t>
        </is>
      </c>
      <c r="H2" t="inlineStr">
        <is>
          <t>Code</t>
        </is>
      </c>
      <c r="I2" t="inlineStr">
        <is>
          <t>N</t>
        </is>
      </c>
      <c r="J2" t="inlineStr">
        <is>
          <t>Code</t>
        </is>
      </c>
      <c r="K2" t="inlineStr">
        <is>
          <t>N</t>
        </is>
      </c>
      <c r="L2" t="inlineStr">
        <is>
          <t>Code</t>
        </is>
      </c>
      <c r="M2" t="inlineStr">
        <is>
          <t>N</t>
        </is>
      </c>
      <c r="N2" t="inlineStr">
        <is>
          <t>Code</t>
        </is>
      </c>
      <c r="O2" t="inlineStr">
        <is>
          <t>N</t>
        </is>
      </c>
      <c r="P2" t="inlineStr">
        <is>
          <t>Code</t>
        </is>
      </c>
      <c r="Q2" t="inlineStr">
        <is>
          <t>N</t>
        </is>
      </c>
      <c r="R2" t="inlineStr">
        <is>
          <t>Code</t>
        </is>
      </c>
      <c r="S2" t="inlineStr">
        <is>
          <t>N</t>
        </is>
      </c>
      <c r="T2" t="inlineStr">
        <is>
          <t>Code</t>
        </is>
      </c>
      <c r="U2" t="inlineStr">
        <is>
          <t>N</t>
        </is>
      </c>
      <c r="V2" t="inlineStr">
        <is>
          <t>Code</t>
        </is>
      </c>
      <c r="W2" t="inlineStr">
        <is>
          <t>N</t>
        </is>
      </c>
      <c r="X2" t="inlineStr">
        <is>
          <t>Code</t>
        </is>
      </c>
      <c r="Y2" t="inlineStr">
        <is>
          <t>N</t>
        </is>
      </c>
      <c r="Z2" t="inlineStr">
        <is>
          <t>Code</t>
        </is>
      </c>
      <c r="AA2" t="inlineStr">
        <is>
          <t>N</t>
        </is>
      </c>
      <c r="AB2" t="inlineStr">
        <is>
          <t>Code</t>
        </is>
      </c>
      <c r="AC2" t="inlineStr">
        <is>
          <t>N</t>
        </is>
      </c>
      <c r="AD2" t="inlineStr">
        <is>
          <t>Code</t>
        </is>
      </c>
      <c r="AE2" t="inlineStr">
        <is>
          <t>N</t>
        </is>
      </c>
      <c r="AF2" t="inlineStr">
        <is>
          <t>Code</t>
        </is>
      </c>
      <c r="AG2" t="inlineStr">
        <is>
          <t>N</t>
        </is>
      </c>
      <c r="AH2" t="inlineStr">
        <is>
          <t>Code</t>
        </is>
      </c>
      <c r="AI2" t="inlineStr">
        <is>
          <t>N</t>
        </is>
      </c>
      <c r="AJ2" t="inlineStr">
        <is>
          <t>Code</t>
        </is>
      </c>
      <c r="AK2" t="inlineStr">
        <is>
          <t>N</t>
        </is>
      </c>
      <c r="AL2" t="inlineStr">
        <is>
          <t>Code</t>
        </is>
      </c>
      <c r="AM2" t="inlineStr">
        <is>
          <t>N</t>
        </is>
      </c>
      <c r="AN2" t="inlineStr">
        <is>
          <t>Code</t>
        </is>
      </c>
      <c r="AO2" t="inlineStr">
        <is>
          <t>N</t>
        </is>
      </c>
      <c r="AP2" t="inlineStr">
        <is>
          <t>Code</t>
        </is>
      </c>
      <c r="AQ2" t="inlineStr">
        <is>
          <t>N</t>
        </is>
      </c>
      <c r="AR2" t="inlineStr">
        <is>
          <t>Code</t>
        </is>
      </c>
      <c r="AS2" t="inlineStr">
        <is>
          <t>N</t>
        </is>
      </c>
      <c r="AT2" t="inlineStr">
        <is>
          <t>Code</t>
        </is>
      </c>
      <c r="AU2" t="inlineStr">
        <is>
          <t>N</t>
        </is>
      </c>
      <c r="AV2" t="inlineStr">
        <is>
          <t>Code</t>
        </is>
      </c>
      <c r="AW2" t="inlineStr">
        <is>
          <t>N</t>
        </is>
      </c>
      <c r="AX2" t="inlineStr">
        <is>
          <t>Code</t>
        </is>
      </c>
      <c r="AY2" t="inlineStr">
        <is>
          <t>N</t>
        </is>
      </c>
      <c r="AZ2" t="inlineStr">
        <is>
          <t>Code</t>
        </is>
      </c>
      <c r="BA2" t="inlineStr">
        <is>
          <t>N</t>
        </is>
      </c>
      <c r="BB2" t="inlineStr">
        <is>
          <t>Code</t>
        </is>
      </c>
      <c r="BC2" t="inlineStr">
        <is>
          <t>N</t>
        </is>
      </c>
      <c r="BD2" t="inlineStr">
        <is>
          <t>Code</t>
        </is>
      </c>
      <c r="BE2" t="inlineStr">
        <is>
          <t>N</t>
        </is>
      </c>
      <c r="BF2" t="inlineStr">
        <is>
          <t>Code</t>
        </is>
      </c>
      <c r="BG2" t="inlineStr">
        <is>
          <t>N</t>
        </is>
      </c>
      <c r="BH2" t="inlineStr">
        <is>
          <t>Code</t>
        </is>
      </c>
      <c r="BI2" t="inlineStr">
        <is>
          <t>N</t>
        </is>
      </c>
      <c r="BJ2" t="inlineStr">
        <is>
          <t>Code</t>
        </is>
      </c>
      <c r="BK2" t="inlineStr">
        <is>
          <t>N</t>
        </is>
      </c>
      <c r="BL2" t="inlineStr">
        <is>
          <t>HASH_TOTAL</t>
        </is>
      </c>
      <c r="BM2" t="inlineStr">
        <is>
          <t>BREAK</t>
        </is>
      </c>
      <c r="BN2" t="inlineStr">
        <is>
          <t>QPS</t>
        </is>
      </c>
      <c r="BO2" t="inlineStr">
        <is>
          <t>DEFAULT</t>
        </is>
      </c>
      <c r="BP2" t="inlineStr">
        <is>
          <t>FORMAT</t>
        </is>
      </c>
      <c r="BQ2" t="inlineStr">
        <is>
          <t>PARTIAL</t>
        </is>
      </c>
    </row>
    <row r="3">
      <c r="A3" t="inlineStr">
        <is>
          <t>Policy</t>
        </is>
      </c>
      <c r="B3" t="inlineStr">
        <is>
          <t>CONDITIONAL</t>
        </is>
      </c>
      <c r="C3" t="inlineStr">
        <is>
          <t>DONE</t>
        </is>
      </c>
      <c r="D3" t="inlineStr">
        <is>
          <t>Date</t>
        </is>
      </c>
      <c r="E3" t="inlineStr">
        <is>
          <t>C</t>
        </is>
      </c>
      <c r="F3" t="inlineStr">
        <is>
          <t>Date</t>
        </is>
      </c>
      <c r="G3" t="inlineStr">
        <is>
          <t>C</t>
        </is>
      </c>
      <c r="H3" t="inlineStr">
        <is>
          <t>Date</t>
        </is>
      </c>
      <c r="I3" t="inlineStr">
        <is>
          <t>C</t>
        </is>
      </c>
      <c r="J3" t="inlineStr">
        <is>
          <t>Date</t>
        </is>
      </c>
      <c r="K3" t="inlineStr">
        <is>
          <t>C</t>
        </is>
      </c>
      <c r="L3" t="inlineStr">
        <is>
          <t>Date</t>
        </is>
      </c>
      <c r="M3" t="inlineStr">
        <is>
          <t>C</t>
        </is>
      </c>
      <c r="N3" t="inlineStr">
        <is>
          <t>Date</t>
        </is>
      </c>
      <c r="O3" t="inlineStr">
        <is>
          <t>C</t>
        </is>
      </c>
      <c r="P3" t="inlineStr">
        <is>
          <t>Date</t>
        </is>
      </c>
      <c r="Q3" t="inlineStr">
        <is>
          <t>C</t>
        </is>
      </c>
      <c r="R3" t="inlineStr">
        <is>
          <t>Date</t>
        </is>
      </c>
      <c r="S3" t="inlineStr">
        <is>
          <t>C</t>
        </is>
      </c>
      <c r="T3" t="inlineStr">
        <is>
          <t>Date</t>
        </is>
      </c>
      <c r="U3" t="inlineStr">
        <is>
          <t>C</t>
        </is>
      </c>
      <c r="V3" t="inlineStr">
        <is>
          <t>Date</t>
        </is>
      </c>
      <c r="W3" t="inlineStr">
        <is>
          <t>C</t>
        </is>
      </c>
      <c r="X3" t="inlineStr">
        <is>
          <t>Date</t>
        </is>
      </c>
      <c r="Y3" t="inlineStr">
        <is>
          <t>C</t>
        </is>
      </c>
      <c r="Z3" t="inlineStr">
        <is>
          <t>Date</t>
        </is>
      </c>
      <c r="AA3" t="inlineStr">
        <is>
          <t>C</t>
        </is>
      </c>
      <c r="AB3" t="inlineStr">
        <is>
          <t>Date</t>
        </is>
      </c>
      <c r="AC3" t="inlineStr">
        <is>
          <t>C</t>
        </is>
      </c>
      <c r="AD3" t="inlineStr">
        <is>
          <t>Date</t>
        </is>
      </c>
      <c r="AE3" t="inlineStr">
        <is>
          <t>C</t>
        </is>
      </c>
      <c r="AF3" t="inlineStr">
        <is>
          <t>Date</t>
        </is>
      </c>
      <c r="AG3" t="inlineStr">
        <is>
          <t>C</t>
        </is>
      </c>
      <c r="AH3" t="inlineStr">
        <is>
          <t>Date</t>
        </is>
      </c>
      <c r="AI3" t="inlineStr">
        <is>
          <t>C</t>
        </is>
      </c>
      <c r="AJ3" t="inlineStr">
        <is>
          <t>Date</t>
        </is>
      </c>
      <c r="AK3" t="inlineStr">
        <is>
          <t>C</t>
        </is>
      </c>
      <c r="AL3" t="inlineStr">
        <is>
          <t>Date</t>
        </is>
      </c>
      <c r="AM3" t="inlineStr">
        <is>
          <t>C</t>
        </is>
      </c>
      <c r="AN3" t="inlineStr">
        <is>
          <t>Date</t>
        </is>
      </c>
      <c r="AO3" t="inlineStr">
        <is>
          <t>C</t>
        </is>
      </c>
      <c r="AP3" t="inlineStr">
        <is>
          <t>Date</t>
        </is>
      </c>
      <c r="AQ3" t="inlineStr">
        <is>
          <t>C</t>
        </is>
      </c>
      <c r="AR3" t="inlineStr">
        <is>
          <t>Date</t>
        </is>
      </c>
      <c r="AS3" t="inlineStr">
        <is>
          <t>C</t>
        </is>
      </c>
      <c r="AT3" t="inlineStr">
        <is>
          <t>Date</t>
        </is>
      </c>
      <c r="AU3" t="inlineStr">
        <is>
          <t>C</t>
        </is>
      </c>
      <c r="AV3" t="inlineStr">
        <is>
          <t>Date</t>
        </is>
      </c>
      <c r="AW3" t="inlineStr">
        <is>
          <t>C</t>
        </is>
      </c>
      <c r="AX3" t="inlineStr">
        <is>
          <t>Date</t>
        </is>
      </c>
      <c r="AY3" t="inlineStr">
        <is>
          <t>C</t>
        </is>
      </c>
      <c r="AZ3" t="inlineStr">
        <is>
          <t>Date</t>
        </is>
      </c>
      <c r="BA3" t="inlineStr">
        <is>
          <t>C</t>
        </is>
      </c>
      <c r="BB3" t="inlineStr">
        <is>
          <t>Date</t>
        </is>
      </c>
      <c r="BC3" t="inlineStr">
        <is>
          <t>C</t>
        </is>
      </c>
      <c r="BD3" t="inlineStr">
        <is>
          <t>Date</t>
        </is>
      </c>
      <c r="BE3" t="inlineStr">
        <is>
          <t>C</t>
        </is>
      </c>
      <c r="BF3" t="inlineStr">
        <is>
          <t>Date</t>
        </is>
      </c>
      <c r="BG3" t="inlineStr">
        <is>
          <t>C</t>
        </is>
      </c>
      <c r="BH3" t="inlineStr">
        <is>
          <t>Date</t>
        </is>
      </c>
      <c r="BI3" t="inlineStr">
        <is>
          <t>C</t>
        </is>
      </c>
      <c r="BJ3" t="inlineStr">
        <is>
          <t>Date</t>
        </is>
      </c>
      <c r="BK3" t="inlineStr">
        <is>
          <t>C</t>
        </is>
      </c>
      <c r="BL3" t="inlineStr">
        <is>
          <t>AMOUNT_TOTAL</t>
        </is>
      </c>
      <c r="BM3" t="inlineStr">
        <is>
          <t>EXPLAINED</t>
        </is>
      </c>
      <c r="BN3" t="inlineStr">
        <is>
          <t>ISYS</t>
        </is>
      </c>
      <c r="BO3" t="inlineStr">
        <is>
          <t>REJECT</t>
        </is>
      </c>
      <c r="BP3" t="inlineStr">
        <is>
          <t>LOOKUP</t>
        </is>
      </c>
      <c r="BQ3" t="inlineStr">
        <is>
          <t>ANSWERED</t>
        </is>
      </c>
    </row>
    <row r="4">
      <c r="A4" t="inlineStr">
        <is>
          <t>Open item</t>
        </is>
      </c>
      <c r="B4" t="inlineStr">
        <is>
          <t>ARCHIVE</t>
        </is>
      </c>
      <c r="C4" t="inlineStr">
        <is>
          <t>N/A</t>
        </is>
      </c>
      <c r="D4" t="inlineStr">
        <is>
          <t>Decimal</t>
        </is>
      </c>
      <c r="F4" t="inlineStr">
        <is>
          <t>Decimal</t>
        </is>
      </c>
      <c r="H4" t="inlineStr">
        <is>
          <t>Decimal</t>
        </is>
      </c>
      <c r="J4" t="inlineStr">
        <is>
          <t>Decimal</t>
        </is>
      </c>
      <c r="L4" t="inlineStr">
        <is>
          <t>Decimal</t>
        </is>
      </c>
      <c r="N4" t="inlineStr">
        <is>
          <t>Decimal</t>
        </is>
      </c>
      <c r="P4" t="inlineStr">
        <is>
          <t>Decimal</t>
        </is>
      </c>
      <c r="R4" t="inlineStr">
        <is>
          <t>Decimal</t>
        </is>
      </c>
      <c r="T4" t="inlineStr">
        <is>
          <t>Decimal</t>
        </is>
      </c>
      <c r="V4" t="inlineStr">
        <is>
          <t>Decimal</t>
        </is>
      </c>
      <c r="X4" t="inlineStr">
        <is>
          <t>Decimal</t>
        </is>
      </c>
      <c r="Z4" t="inlineStr">
        <is>
          <t>Decimal</t>
        </is>
      </c>
      <c r="AB4" t="inlineStr">
        <is>
          <t>Decimal</t>
        </is>
      </c>
      <c r="AD4" t="inlineStr">
        <is>
          <t>Decimal</t>
        </is>
      </c>
      <c r="AF4" t="inlineStr">
        <is>
          <t>Decimal</t>
        </is>
      </c>
      <c r="AH4" t="inlineStr">
        <is>
          <t>Decimal</t>
        </is>
      </c>
      <c r="AJ4" t="inlineStr">
        <is>
          <t>Decimal</t>
        </is>
      </c>
      <c r="AL4" t="inlineStr">
        <is>
          <t>Decimal</t>
        </is>
      </c>
      <c r="AN4" t="inlineStr">
        <is>
          <t>Decimal</t>
        </is>
      </c>
      <c r="AP4" t="inlineStr">
        <is>
          <t>Decimal</t>
        </is>
      </c>
      <c r="AR4" t="inlineStr">
        <is>
          <t>Decimal</t>
        </is>
      </c>
      <c r="AT4" t="inlineStr">
        <is>
          <t>Decimal</t>
        </is>
      </c>
      <c r="AV4" t="inlineStr">
        <is>
          <t>Decimal</t>
        </is>
      </c>
      <c r="AX4" t="inlineStr">
        <is>
          <t>Decimal</t>
        </is>
      </c>
      <c r="AZ4" t="inlineStr">
        <is>
          <t>Decimal</t>
        </is>
      </c>
      <c r="BB4" t="inlineStr">
        <is>
          <t>Decimal</t>
        </is>
      </c>
      <c r="BD4" t="inlineStr">
        <is>
          <t>Decimal</t>
        </is>
      </c>
      <c r="BF4" t="inlineStr">
        <is>
          <t>Decimal</t>
        </is>
      </c>
      <c r="BH4" t="inlineStr">
        <is>
          <t>Decimal</t>
        </is>
      </c>
      <c r="BJ4" t="inlineStr">
        <is>
          <t>Decimal</t>
        </is>
      </c>
      <c r="BL4" t="inlineStr">
        <is>
          <t>SHA256</t>
        </is>
      </c>
      <c r="BN4" t="inlineStr">
        <is>
          <t>CMS</t>
        </is>
      </c>
      <c r="BO4" t="inlineStr">
        <is>
          <t>CREATE</t>
        </is>
      </c>
      <c r="BP4" t="inlineStr">
        <is>
          <t>UNIQUE</t>
        </is>
      </c>
      <c r="BQ4" t="inlineStr">
        <is>
          <t>RECOMMENDED</t>
        </is>
      </c>
    </row>
    <row r="5">
      <c r="A5" t="inlineStr">
        <is>
          <t>GL</t>
        </is>
      </c>
      <c r="B5" t="inlineStr">
        <is>
          <t>EXCLUDED</t>
        </is>
      </c>
      <c r="D5" t="inlineStr">
        <is>
          <t>Flag</t>
        </is>
      </c>
      <c r="F5" t="inlineStr">
        <is>
          <t>Flag</t>
        </is>
      </c>
      <c r="H5" t="inlineStr">
        <is>
          <t>Flag</t>
        </is>
      </c>
      <c r="J5" t="inlineStr">
        <is>
          <t>Flag</t>
        </is>
      </c>
      <c r="L5" t="inlineStr">
        <is>
          <t>Flag</t>
        </is>
      </c>
      <c r="N5" t="inlineStr">
        <is>
          <t>Flag</t>
        </is>
      </c>
      <c r="P5" t="inlineStr">
        <is>
          <t>Flag</t>
        </is>
      </c>
      <c r="R5" t="inlineStr">
        <is>
          <t>Flag</t>
        </is>
      </c>
      <c r="T5" t="inlineStr">
        <is>
          <t>Flag</t>
        </is>
      </c>
      <c r="V5" t="inlineStr">
        <is>
          <t>Flag</t>
        </is>
      </c>
      <c r="X5" t="inlineStr">
        <is>
          <t>Flag</t>
        </is>
      </c>
      <c r="Z5" t="inlineStr">
        <is>
          <t>Flag</t>
        </is>
      </c>
      <c r="AB5" t="inlineStr">
        <is>
          <t>Flag</t>
        </is>
      </c>
      <c r="AD5" t="inlineStr">
        <is>
          <t>Flag</t>
        </is>
      </c>
      <c r="AF5" t="inlineStr">
        <is>
          <t>Flag</t>
        </is>
      </c>
      <c r="AH5" t="inlineStr">
        <is>
          <t>Flag</t>
        </is>
      </c>
      <c r="AJ5" t="inlineStr">
        <is>
          <t>Flag</t>
        </is>
      </c>
      <c r="AL5" t="inlineStr">
        <is>
          <t>Flag</t>
        </is>
      </c>
      <c r="AN5" t="inlineStr">
        <is>
          <t>Flag</t>
        </is>
      </c>
      <c r="AP5" t="inlineStr">
        <is>
          <t>Flag</t>
        </is>
      </c>
      <c r="AR5" t="inlineStr">
        <is>
          <t>Flag</t>
        </is>
      </c>
      <c r="AT5" t="inlineStr">
        <is>
          <t>Flag</t>
        </is>
      </c>
      <c r="AV5" t="inlineStr">
        <is>
          <t>Flag</t>
        </is>
      </c>
      <c r="AX5" t="inlineStr">
        <is>
          <t>Flag</t>
        </is>
      </c>
      <c r="AZ5" t="inlineStr">
        <is>
          <t>Flag</t>
        </is>
      </c>
      <c r="BB5" t="inlineStr">
        <is>
          <t>Flag</t>
        </is>
      </c>
      <c r="BD5" t="inlineStr">
        <is>
          <t>Flag</t>
        </is>
      </c>
      <c r="BF5" t="inlineStr">
        <is>
          <t>Flag</t>
        </is>
      </c>
      <c r="BH5" t="inlineStr">
        <is>
          <t>Flag</t>
        </is>
      </c>
      <c r="BJ5" t="inlineStr">
        <is>
          <t>Flag</t>
        </is>
      </c>
      <c r="BN5" t="inlineStr">
        <is>
          <t>EXCEL</t>
        </is>
      </c>
      <c r="BP5" t="inlineStr">
        <is>
          <t>REFERENTIAL</t>
        </is>
      </c>
    </row>
    <row r="6">
      <c r="A6" t="inlineStr">
        <is>
          <t>History</t>
        </is>
      </c>
      <c r="D6" t="inlineStr">
        <is>
          <t>Integer</t>
        </is>
      </c>
      <c r="F6" t="inlineStr">
        <is>
          <t>Integer</t>
        </is>
      </c>
      <c r="H6" t="inlineStr">
        <is>
          <t>Integer</t>
        </is>
      </c>
      <c r="J6" t="inlineStr">
        <is>
          <t>Integer</t>
        </is>
      </c>
      <c r="L6" t="inlineStr">
        <is>
          <t>Integer</t>
        </is>
      </c>
      <c r="N6" t="inlineStr">
        <is>
          <t>Integer</t>
        </is>
      </c>
      <c r="P6" t="inlineStr">
        <is>
          <t>Integer</t>
        </is>
      </c>
      <c r="R6" t="inlineStr">
        <is>
          <t>Integer</t>
        </is>
      </c>
      <c r="T6" t="inlineStr">
        <is>
          <t>Integer</t>
        </is>
      </c>
      <c r="V6" t="inlineStr">
        <is>
          <t>Integer</t>
        </is>
      </c>
      <c r="X6" t="inlineStr">
        <is>
          <t>Integer</t>
        </is>
      </c>
      <c r="Z6" t="inlineStr">
        <is>
          <t>Integer</t>
        </is>
      </c>
      <c r="AB6" t="inlineStr">
        <is>
          <t>Integer</t>
        </is>
      </c>
      <c r="AD6" t="inlineStr">
        <is>
          <t>Integer</t>
        </is>
      </c>
      <c r="AF6" t="inlineStr">
        <is>
          <t>Integer</t>
        </is>
      </c>
      <c r="AH6" t="inlineStr">
        <is>
          <t>Integer</t>
        </is>
      </c>
      <c r="AJ6" t="inlineStr">
        <is>
          <t>Integer</t>
        </is>
      </c>
      <c r="AL6" t="inlineStr">
        <is>
          <t>Integer</t>
        </is>
      </c>
      <c r="AN6" t="inlineStr">
        <is>
          <t>Integer</t>
        </is>
      </c>
      <c r="AP6" t="inlineStr">
        <is>
          <t>Integer</t>
        </is>
      </c>
      <c r="AR6" t="inlineStr">
        <is>
          <t>Integer</t>
        </is>
      </c>
      <c r="AT6" t="inlineStr">
        <is>
          <t>Integer</t>
        </is>
      </c>
      <c r="AV6" t="inlineStr">
        <is>
          <t>Integer</t>
        </is>
      </c>
      <c r="AX6" t="inlineStr">
        <is>
          <t>Integer</t>
        </is>
      </c>
      <c r="AZ6" t="inlineStr">
        <is>
          <t>Integer</t>
        </is>
      </c>
      <c r="BB6" t="inlineStr">
        <is>
          <t>Integer</t>
        </is>
      </c>
      <c r="BD6" t="inlineStr">
        <is>
          <t>Integer</t>
        </is>
      </c>
      <c r="BF6" t="inlineStr">
        <is>
          <t>Integer</t>
        </is>
      </c>
      <c r="BH6" t="inlineStr">
        <is>
          <t>Integer</t>
        </is>
      </c>
      <c r="BJ6" t="inlineStr">
        <is>
          <t>Integer</t>
        </is>
      </c>
      <c r="BP6" t="inlineStr">
        <is>
          <t>CROSS_FIELD</t>
        </is>
      </c>
    </row>
    <row r="7">
      <c r="D7" t="inlineStr">
        <is>
          <t>Text</t>
        </is>
      </c>
      <c r="F7" t="inlineStr">
        <is>
          <t>Text</t>
        </is>
      </c>
      <c r="H7" t="inlineStr">
        <is>
          <t>Text</t>
        </is>
      </c>
      <c r="J7" t="inlineStr">
        <is>
          <t>Text</t>
        </is>
      </c>
      <c r="L7" t="inlineStr">
        <is>
          <t>Text</t>
        </is>
      </c>
      <c r="N7" t="inlineStr">
        <is>
          <t>Text</t>
        </is>
      </c>
      <c r="P7" t="inlineStr">
        <is>
          <t>Text</t>
        </is>
      </c>
      <c r="R7" t="inlineStr">
        <is>
          <t>Text</t>
        </is>
      </c>
      <c r="T7" t="inlineStr">
        <is>
          <t>Text</t>
        </is>
      </c>
      <c r="V7" t="inlineStr">
        <is>
          <t>Text</t>
        </is>
      </c>
      <c r="X7" t="inlineStr">
        <is>
          <t>Text</t>
        </is>
      </c>
      <c r="Z7" t="inlineStr">
        <is>
          <t>Text</t>
        </is>
      </c>
      <c r="AB7" t="inlineStr">
        <is>
          <t>Text</t>
        </is>
      </c>
      <c r="AD7" t="inlineStr">
        <is>
          <t>Text</t>
        </is>
      </c>
      <c r="AF7" t="inlineStr">
        <is>
          <t>Text</t>
        </is>
      </c>
      <c r="AH7" t="inlineStr">
        <is>
          <t>Text</t>
        </is>
      </c>
      <c r="AJ7" t="inlineStr">
        <is>
          <t>Text</t>
        </is>
      </c>
      <c r="AL7" t="inlineStr">
        <is>
          <t>Text</t>
        </is>
      </c>
      <c r="AN7" t="inlineStr">
        <is>
          <t>Text</t>
        </is>
      </c>
      <c r="AP7" t="inlineStr">
        <is>
          <t>Text</t>
        </is>
      </c>
      <c r="AR7" t="inlineStr">
        <is>
          <t>Text</t>
        </is>
      </c>
      <c r="AT7" t="inlineStr">
        <is>
          <t>Text</t>
        </is>
      </c>
      <c r="AV7" t="inlineStr">
        <is>
          <t>Text</t>
        </is>
      </c>
      <c r="AX7" t="inlineStr">
        <is>
          <t>Text</t>
        </is>
      </c>
      <c r="AZ7" t="inlineStr">
        <is>
          <t>Text</t>
        </is>
      </c>
      <c r="BB7" t="inlineStr">
        <is>
          <t>Text</t>
        </is>
      </c>
      <c r="BD7" t="inlineStr">
        <is>
          <t>Text</t>
        </is>
      </c>
      <c r="BF7" t="inlineStr">
        <is>
          <t>Text</t>
        </is>
      </c>
      <c r="BH7" t="inlineStr">
        <is>
          <t>Text</t>
        </is>
      </c>
      <c r="BJ7" t="inlineStr">
        <is>
          <t>Text</t>
        </is>
      </c>
      <c r="BP7" t="inlineStr">
        <is>
          <t>BALANCE</t>
        </is>
      </c>
    </row>
    <row r="8">
      <c r="D8" t="inlineStr">
        <is>
          <t>Timestamp</t>
        </is>
      </c>
      <c r="F8" t="inlineStr">
        <is>
          <t>Timestamp</t>
        </is>
      </c>
      <c r="H8" t="inlineStr">
        <is>
          <t>Timestamp</t>
        </is>
      </c>
      <c r="J8" t="inlineStr">
        <is>
          <t>Timestamp</t>
        </is>
      </c>
      <c r="L8" t="inlineStr">
        <is>
          <t>Timestamp</t>
        </is>
      </c>
      <c r="N8" t="inlineStr">
        <is>
          <t>Timestamp</t>
        </is>
      </c>
      <c r="P8" t="inlineStr">
        <is>
          <t>Timestamp</t>
        </is>
      </c>
      <c r="R8" t="inlineStr">
        <is>
          <t>Timestamp</t>
        </is>
      </c>
      <c r="T8" t="inlineStr">
        <is>
          <t>Timestamp</t>
        </is>
      </c>
      <c r="V8" t="inlineStr">
        <is>
          <t>Timestamp</t>
        </is>
      </c>
      <c r="X8" t="inlineStr">
        <is>
          <t>Timestamp</t>
        </is>
      </c>
      <c r="Z8" t="inlineStr">
        <is>
          <t>Timestamp</t>
        </is>
      </c>
      <c r="AB8" t="inlineStr">
        <is>
          <t>Timestamp</t>
        </is>
      </c>
      <c r="AD8" t="inlineStr">
        <is>
          <t>Timestamp</t>
        </is>
      </c>
      <c r="AF8" t="inlineStr">
        <is>
          <t>Timestamp</t>
        </is>
      </c>
      <c r="AH8" t="inlineStr">
        <is>
          <t>Timestamp</t>
        </is>
      </c>
      <c r="AJ8" t="inlineStr">
        <is>
          <t>Timestamp</t>
        </is>
      </c>
      <c r="AL8" t="inlineStr">
        <is>
          <t>Timestamp</t>
        </is>
      </c>
      <c r="AN8" t="inlineStr">
        <is>
          <t>Timestamp</t>
        </is>
      </c>
      <c r="AP8" t="inlineStr">
        <is>
          <t>Timestamp</t>
        </is>
      </c>
      <c r="AR8" t="inlineStr">
        <is>
          <t>Timestamp</t>
        </is>
      </c>
      <c r="AT8" t="inlineStr">
        <is>
          <t>Timestamp</t>
        </is>
      </c>
      <c r="AV8" t="inlineStr">
        <is>
          <t>Timestamp</t>
        </is>
      </c>
      <c r="AX8" t="inlineStr">
        <is>
          <t>Timestamp</t>
        </is>
      </c>
      <c r="AZ8" t="inlineStr">
        <is>
          <t>Timestamp</t>
        </is>
      </c>
      <c r="BB8" t="inlineStr">
        <is>
          <t>Timestamp</t>
        </is>
      </c>
      <c r="BD8" t="inlineStr">
        <is>
          <t>Timestamp</t>
        </is>
      </c>
      <c r="BF8" t="inlineStr">
        <is>
          <t>Timestamp</t>
        </is>
      </c>
      <c r="BH8" t="inlineStr">
        <is>
          <t>Timestamp</t>
        </is>
      </c>
      <c r="BJ8" t="inlineStr">
        <is>
          <t>Timestamp</t>
        </is>
      </c>
      <c r="BP8" t="inlineStr">
        <is>
          <t>PLAUSIBILITY</t>
        </is>
      </c>
    </row>
    <row r="9">
      <c r="BP9" t="inlineStr">
        <is>
          <t>DUPLICATE_CLIENT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BDOI Data Requirements Workbook</dc:title>
  <dc:subject xmlns:dc="http://purl.org/dc/elements/1.1/">BIBS – BDOI Broker System</dc:subject>
  <dcterms:created xmlns:dcterms="http://purl.org/dc/terms/" xmlns:xsi="http://www.w3.org/2001/XMLSchema-instance" xsi:type="dcterms:W3CDTF">2026-09-26T11:55:03Z</dcterms:created>
  <dcterms:modified xmlns:dcterms="http://purl.org/dc/terms/" xmlns:xsi="http://www.w3.org/2001/XMLSchema-instance" xsi:type="dcterms:W3CDTF">2026-09-26T11:55:04Z</dcterms:modified>
  <cp:keywords>Data migration requirements, BRD-13, BIBS, BDOI</cp:keywords>
</cp:coreProperties>
</file>