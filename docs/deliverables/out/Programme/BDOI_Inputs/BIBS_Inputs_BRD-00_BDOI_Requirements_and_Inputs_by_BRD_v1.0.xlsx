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Instructions" sheetId="2" state="visible" r:id="rId2"/>
    <sheet xmlns:r="http://schemas.openxmlformats.org/officeDocument/2006/relationships" name="Summary" sheetId="3" state="visible" r:id="rId3"/>
    <sheet xmlns:r="http://schemas.openxmlformats.org/officeDocument/2006/relationships" name="BRD-00 Cross-cutting" sheetId="4" state="visible" r:id="rId4"/>
    <sheet xmlns:r="http://schemas.openxmlformats.org/officeDocument/2006/relationships" name="BRD-01 New Business" sheetId="5" state="visible" r:id="rId5"/>
    <sheet xmlns:r="http://schemas.openxmlformats.org/officeDocument/2006/relationships" name="BRD-02 Operations" sheetId="6" state="visible" r:id="rId6"/>
    <sheet xmlns:r="http://schemas.openxmlformats.org/officeDocument/2006/relationships" name="BRD-03 Product Maintenance" sheetId="7" state="visible" r:id="rId7"/>
    <sheet xmlns:r="http://schemas.openxmlformats.org/officeDocument/2006/relationships" name="BRD-04 Collections" sheetId="8" state="visible" r:id="rId8"/>
    <sheet xmlns:r="http://schemas.openxmlformats.org/officeDocument/2006/relationships" name="BRD-05 Accounting and ACSL" sheetId="9" state="visible" r:id="rId9"/>
    <sheet xmlns:r="http://schemas.openxmlformats.org/officeDocument/2006/relationships" name="BRD-06 Renewal" sheetId="10" state="visible" r:id="rId10"/>
    <sheet xmlns:r="http://schemas.openxmlformats.org/officeDocument/2006/relationships" name="BRD-07 Claims" sheetId="11" state="visible" r:id="rId11"/>
    <sheet xmlns:r="http://schemas.openxmlformats.org/officeDocument/2006/relationships" name="BRD-08 Employee Benefits" sheetId="12" state="visible" r:id="rId12"/>
    <sheet xmlns:r="http://schemas.openxmlformats.org/officeDocument/2006/relationships" name="BRD-09 Customer Servicing" sheetId="13" state="visible" r:id="rId13"/>
    <sheet xmlns:r="http://schemas.openxmlformats.org/officeDocument/2006/relationships" name="BRD-10 Sanction Screening" sheetId="14" state="visible" r:id="rId14"/>
    <sheet xmlns:r="http://schemas.openxmlformats.org/officeDocument/2006/relationships" name="BRD-11 User Access" sheetId="15" state="visible" r:id="rId15"/>
    <sheet xmlns:r="http://schemas.openxmlformats.org/officeDocument/2006/relationships" name="BRD-12 Submitted Policies" sheetId="16" state="visible" r:id="rId16"/>
    <sheet xmlns:r="http://schemas.openxmlformats.org/officeDocument/2006/relationships" name="BRD-13 Data Migration" sheetId="17" state="visible" r:id="rId17"/>
    <sheet xmlns:r="http://schemas.openxmlformats.org/officeDocument/2006/relationships" name="RI Reinsurance (phase 2)" sheetId="18" state="visible" r:id="rId18"/>
    <sheet xmlns:r="http://schemas.openxmlformats.org/officeDocument/2006/relationships" name="README" sheetId="19" state="visible" r:id="rId19"/>
    <sheet xmlns:r="http://schemas.openxmlformats.org/officeDocument/2006/relationships" name="_lists" sheetId="20" state="hidden" r:id="rId20"/>
  </sheets>
  <definedNames>
    <definedName name="_xlnm._FilterDatabase" localSheetId="3" hidden="1">'BRD-00 Cross-cutting'!$A$4:$M$148</definedName>
    <definedName name="_xlnm.Print_Titles" localSheetId="3">'BRD-00 Cross-cutting'!$4:$4</definedName>
    <definedName name="_xlnm._FilterDatabase" localSheetId="4" hidden="1">'BRD-01 New Business'!$A$4:$M$80</definedName>
    <definedName name="_xlnm.Print_Titles" localSheetId="4">'BRD-01 New Business'!$4:$4</definedName>
    <definedName name="_xlnm._FilterDatabase" localSheetId="5" hidden="1">'BRD-02 Operations'!$A$4:$M$93</definedName>
    <definedName name="_xlnm.Print_Titles" localSheetId="5">'BRD-02 Operations'!$4:$4</definedName>
    <definedName name="_xlnm._FilterDatabase" localSheetId="6" hidden="1">'BRD-03 Product Maintenance'!$A$4:$M$83</definedName>
    <definedName name="_xlnm.Print_Titles" localSheetId="6">'BRD-03 Product Maintenance'!$4:$4</definedName>
    <definedName name="_xlnm._FilterDatabase" localSheetId="7" hidden="1">'BRD-04 Collections'!$A$4:$M$62</definedName>
    <definedName name="_xlnm.Print_Titles" localSheetId="7">'BRD-04 Collections'!$4:$4</definedName>
    <definedName name="_xlnm._FilterDatabase" localSheetId="8" hidden="1">'BRD-05 Accounting and ACSL'!$A$4:$M$89</definedName>
    <definedName name="_xlnm.Print_Titles" localSheetId="8">'BRD-05 Accounting and ACSL'!$4:$4</definedName>
    <definedName name="_xlnm._FilterDatabase" localSheetId="9" hidden="1">'BRD-06 Renewal'!$A$4:$M$68</definedName>
    <definedName name="_xlnm.Print_Titles" localSheetId="9">'BRD-06 Renewal'!$4:$4</definedName>
    <definedName name="_xlnm._FilterDatabase" localSheetId="10" hidden="1">'BRD-07 Claims'!$A$4:$M$42</definedName>
    <definedName name="_xlnm.Print_Titles" localSheetId="10">'BRD-07 Claims'!$4:$4</definedName>
    <definedName name="_xlnm._FilterDatabase" localSheetId="11" hidden="1">'BRD-08 Employee Benefits'!$A$4:$M$38</definedName>
    <definedName name="_xlnm.Print_Titles" localSheetId="11">'BRD-08 Employee Benefits'!$4:$4</definedName>
    <definedName name="_xlnm._FilterDatabase" localSheetId="12" hidden="1">'BRD-09 Customer Servicing'!$A$4:$M$30</definedName>
    <definedName name="_xlnm.Print_Titles" localSheetId="12">'BRD-09 Customer Servicing'!$4:$4</definedName>
    <definedName name="_xlnm._FilterDatabase" localSheetId="13" hidden="1">'BRD-10 Sanction Screening'!$A$4:$M$29</definedName>
    <definedName name="_xlnm.Print_Titles" localSheetId="13">'BRD-10 Sanction Screening'!$4:$4</definedName>
    <definedName name="_xlnm._FilterDatabase" localSheetId="14" hidden="1">'BRD-11 User Access'!$A$4:$M$80</definedName>
    <definedName name="_xlnm.Print_Titles" localSheetId="14">'BRD-11 User Access'!$4:$4</definedName>
    <definedName name="_xlnm._FilterDatabase" localSheetId="15" hidden="1">'BRD-12 Submitted Policies'!$A$4:$M$41</definedName>
    <definedName name="_xlnm.Print_Titles" localSheetId="15">'BRD-12 Submitted Policies'!$4:$4</definedName>
    <definedName name="_xlnm._FilterDatabase" localSheetId="16" hidden="1">'BRD-13 Data Migration'!$A$4:$M$77</definedName>
    <definedName name="_xlnm.Print_Titles" localSheetId="16">'BRD-13 Data Migration'!$4:$4</definedName>
    <definedName name="_xlnm._FilterDatabase" localSheetId="17" hidden="1">'RI Reinsurance (phase 2)'!$A$4:$M$9</definedName>
    <definedName name="_xlnm.Print_Titles" localSheetId="17">'RI Reinsurance (phase 2)'!$4:$4</definedName>
    <definedName name="_xlnm._FilterDatabase" localSheetId="18" hidden="1">'README'!$A$4:$D$199</definedName>
    <definedName name="_xlnm.Print_Titles" localSheetId="18">'README'!$4:$4</definedName>
  </definedNames>
  <calcPr calcId="124519" fullCalcOnLoad="1"/>
</workbook>
</file>

<file path=xl/styles.xml><?xml version="1.0" encoding="utf-8"?>
<styleSheet xmlns="http://schemas.openxmlformats.org/spreadsheetml/2006/main">
  <numFmts count="2">
    <numFmt numFmtId="164" formatCode="yyyy-mm-dd"/>
    <numFmt numFmtId="165" formatCode="dd-mmm-yyyy"/>
  </numFmts>
  <fonts count="22">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4EA8"/>
      <sz val="15"/>
    </font>
    <font>
      <name val="Arial"/>
      <b val="1"/>
      <color rgb="00004EA8"/>
      <sz val="10"/>
    </font>
    <font>
      <name val="Arial"/>
      <b val="1"/>
      <color rgb="00004EA8"/>
      <sz val="12"/>
    </font>
    <font>
      <name val="Arial"/>
      <b val="1"/>
      <color rgb="00FFFFFF"/>
      <sz val="9"/>
    </font>
    <font>
      <name val="Arial"/>
      <b val="1"/>
      <color rgb="004B4B4B"/>
      <sz val="9"/>
    </font>
    <font>
      <name val="Arial"/>
      <b val="1"/>
      <color rgb="000072D8"/>
      <sz val="9"/>
      <u val="single"/>
    </font>
    <font>
      <name val="Arial"/>
      <color rgb="004B4B4B"/>
      <sz val="9"/>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8A5A00"/>
      <sz val="10"/>
    </font>
    <font>
      <name val="Arial"/>
      <b val="1"/>
      <color rgb="002E7D32"/>
      <sz val="10"/>
    </font>
  </fonts>
  <fills count="7">
    <fill>
      <patternFill/>
    </fill>
    <fill>
      <patternFill patternType="gray125"/>
    </fill>
    <fill>
      <patternFill patternType="solid">
        <fgColor rgb="00004EA8"/>
      </patternFill>
    </fill>
    <fill>
      <patternFill patternType="solid">
        <fgColor rgb="00E5F5FF"/>
      </patternFill>
    </fill>
    <fill>
      <patternFill patternType="solid">
        <fgColor rgb="00FFF4D6"/>
      </patternFill>
    </fill>
    <fill>
      <patternFill patternType="solid">
        <fgColor rgb="00FFFFFF"/>
      </patternFill>
    </fill>
    <fill>
      <patternFill patternType="solid">
        <fgColor rgb="00E8F5E9"/>
      </patternFill>
    </fill>
  </fills>
  <borders count="9">
    <border>
      <left/>
      <right/>
      <top/>
      <bottom/>
      <diagonal/>
    </border>
    <border>
      <bottom style="thin">
        <color rgb="00FDB913"/>
      </bottom>
    </border>
    <border>
      <left style="thin">
        <color rgb="00C2C2C1"/>
      </left>
      <right style="thin">
        <color rgb="00C2C2C1"/>
      </right>
      <top style="thin">
        <color rgb="00C2C2C1"/>
      </top>
      <bottom style="thin">
        <color rgb="00C2C2C1"/>
      </bottom>
    </border>
    <border>
      <left/>
      <right/>
      <top style="thin">
        <color rgb="00C2C2C1"/>
      </top>
      <bottom/>
      <diagonal/>
    </border>
    <border>
      <left/>
      <right style="thin">
        <color rgb="00C2C2C1"/>
      </right>
      <top style="thin">
        <color rgb="00C2C2C1"/>
      </top>
      <bottom/>
      <diagonal/>
    </border>
    <border>
      <left/>
      <right style="thin">
        <color rgb="00C2C2C1"/>
      </right>
      <top style="thin">
        <color rgb="00C2C2C1"/>
      </top>
      <bottom style="thin">
        <color rgb="00C2C2C1"/>
      </bottom>
      <diagonal/>
    </border>
    <border>
      <left/>
      <right/>
      <top style="thin">
        <color rgb="00C2C2C1"/>
      </top>
      <bottom style="thin">
        <color rgb="00C2C2C1"/>
      </bottom>
      <diagonal/>
    </border>
    <border>
      <bottom style="medium">
        <color rgb="00FDB913"/>
      </bottom>
    </border>
    <border>
      <bottom style="thin">
        <color rgb="00E4E4E4"/>
      </bottom>
    </border>
  </borders>
  <cellStyleXfs count="1">
    <xf numFmtId="0" fontId="0" fillId="0" borderId="0"/>
  </cellStyleXfs>
  <cellXfs count="40">
    <xf numFmtId="0" fontId="0" fillId="0" borderId="0" pivotButton="0" quotePrefix="0" xfId="0"/>
    <xf numFmtId="0" fontId="0" fillId="0" borderId="7" pivotButton="0" quotePrefix="0" xfId="0"/>
    <xf numFmtId="0" fontId="13"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7" fillId="0" borderId="8" pivotButton="0" quotePrefix="0" xfId="0"/>
    <xf numFmtId="0" fontId="18" fillId="0" borderId="8" pivotButton="0" quotePrefix="0" xfId="0"/>
    <xf numFmtId="0" fontId="19" fillId="0" borderId="8" pivotButton="0" quotePrefix="0" xfId="0"/>
    <xf numFmtId="0" fontId="8" fillId="0" borderId="0" pivotButton="0" quotePrefix="0" xfId="0"/>
    <xf numFmtId="0" fontId="3" fillId="2" borderId="2" pivotButton="0" quotePrefix="0" xfId="0"/>
    <xf numFmtId="0" fontId="13" fillId="0" borderId="2" applyAlignment="1" pivotButton="0" quotePrefix="0" xfId="0">
      <alignment vertical="top" wrapText="1"/>
    </xf>
    <xf numFmtId="0" fontId="4" fillId="0" borderId="2" applyAlignment="1" pivotButton="0" quotePrefix="0" xfId="0">
      <alignment vertical="top" wrapText="1"/>
    </xf>
    <xf numFmtId="0" fontId="13" fillId="3" borderId="2" applyAlignment="1" pivotButton="0" quotePrefix="0" xfId="0">
      <alignment vertical="top" wrapText="1"/>
    </xf>
    <xf numFmtId="0" fontId="4" fillId="3" borderId="2" applyAlignment="1" pivotButton="0" quotePrefix="0" xfId="0">
      <alignment vertical="top" wrapText="1"/>
    </xf>
    <xf numFmtId="0" fontId="20" fillId="4" borderId="2" applyAlignment="1" pivotButton="0" quotePrefix="0" xfId="0">
      <alignment horizontal="center"/>
    </xf>
    <xf numFmtId="0" fontId="4" fillId="0" borderId="2" applyAlignment="1" pivotButton="0" quotePrefix="0" xfId="0">
      <alignment wrapText="1"/>
    </xf>
    <xf numFmtId="0" fontId="5" fillId="5" borderId="2" applyAlignment="1" pivotButton="0" quotePrefix="0" xfId="0">
      <alignment horizontal="center"/>
    </xf>
    <xf numFmtId="0" fontId="21" fillId="6" borderId="2" applyAlignment="1" pivotButton="0" quotePrefix="0" xfId="0">
      <alignment horizontal="center"/>
    </xf>
    <xf numFmtId="0" fontId="2" fillId="0" borderId="0" pivotButton="0" quotePrefix="0" xfId="0"/>
    <xf numFmtId="0" fontId="6" fillId="0" borderId="0" applyAlignment="1" pivotButton="0" quotePrefix="0" xfId="0">
      <alignment vertical="top"/>
    </xf>
    <xf numFmtId="0" fontId="2" fillId="0" borderId="0" applyAlignment="1" pivotButton="0" quotePrefix="0" xfId="0">
      <alignment vertical="top"/>
    </xf>
    <xf numFmtId="0" fontId="7" fillId="3" borderId="2" applyAlignment="1" pivotButton="0" quotePrefix="0" xfId="0">
      <alignment vertical="top" wrapText="1"/>
    </xf>
    <xf numFmtId="0" fontId="0" fillId="0" borderId="5" pivotButton="0" quotePrefix="0" xfId="0"/>
    <xf numFmtId="0" fontId="8" fillId="0" borderId="0" applyAlignment="1" pivotButton="0" quotePrefix="0" xfId="0">
      <alignment vertical="top"/>
    </xf>
    <xf numFmtId="0" fontId="3" fillId="2" borderId="2" applyAlignment="1" pivotButton="0" quotePrefix="0" xfId="0">
      <alignment vertical="top" wrapText="1"/>
    </xf>
    <xf numFmtId="0" fontId="5" fillId="0" borderId="2" applyAlignment="1" pivotButton="0" quotePrefix="0" xfId="0">
      <alignment vertical="top" wrapText="1"/>
    </xf>
    <xf numFmtId="0" fontId="9" fillId="2" borderId="2" applyAlignment="1" pivotButton="0" quotePrefix="0" xfId="0">
      <alignment vertical="top" wrapText="1"/>
    </xf>
    <xf numFmtId="0" fontId="11" fillId="0" borderId="2" applyAlignment="1" pivotButton="0" quotePrefix="0" xfId="0">
      <alignment vertical="top" wrapText="1"/>
    </xf>
    <xf numFmtId="0" fontId="12" fillId="0" borderId="2" applyAlignment="1" pivotButton="0" quotePrefix="0" xfId="0">
      <alignment vertical="top" wrapText="1"/>
    </xf>
    <xf numFmtId="165" fontId="12" fillId="0" borderId="2" applyAlignment="1" pivotButton="0" quotePrefix="0" xfId="0">
      <alignment vertical="top" wrapText="1"/>
    </xf>
    <xf numFmtId="0" fontId="10" fillId="3" borderId="2" applyAlignment="1" pivotButton="0" quotePrefix="0" xfId="0">
      <alignment vertical="top" wrapText="1"/>
    </xf>
    <xf numFmtId="165" fontId="10" fillId="3" borderId="2" applyAlignment="1" pivotButton="0" quotePrefix="0" xfId="0">
      <alignment vertical="top" wrapText="1"/>
    </xf>
    <xf numFmtId="0" fontId="0" fillId="0" borderId="6" pivotButton="0" quotePrefix="0" xfId="0"/>
    <xf numFmtId="0" fontId="1" fillId="0" borderId="0" pivotButton="0" quotePrefix="0" xfId="0"/>
    <xf numFmtId="0" fontId="0" fillId="0" borderId="1" pivotButton="0" quotePrefix="0" xfId="0"/>
    <xf numFmtId="0" fontId="3" fillId="2" borderId="2" applyAlignment="1" pivotButton="0" quotePrefix="0" xfId="0">
      <alignment vertical="center" wrapText="1"/>
    </xf>
    <xf numFmtId="165" fontId="4" fillId="0" borderId="2" applyAlignment="1" pivotButton="0" quotePrefix="0" xfId="0">
      <alignment vertical="top" wrapText="1"/>
    </xf>
    <xf numFmtId="0" fontId="5" fillId="0" borderId="2" applyAlignment="1" pivotButton="0" quotePrefix="0" xfId="0">
      <alignment horizontal="center" vertical="top" wrapText="1"/>
    </xf>
    <xf numFmtId="0" fontId="5" fillId="3" borderId="2" applyAlignment="1" pivotButton="0" quotePrefix="0" xfId="0">
      <alignment vertical="top" wrapText="1"/>
    </xf>
  </cellXfs>
  <cellStyles count="1">
    <cellStyle name="Normal" xfId="0" builtinId="0" hidden="0"/>
  </cellStyles>
  <dxfs count="4">
    <dxf>
      <font>
        <b val="1"/>
        <color rgb="008A5A00"/>
      </font>
      <fill>
        <patternFill patternType="solid">
          <fgColor rgb="00FFF4D6"/>
          <bgColor rgb="00FFF4D6"/>
        </patternFill>
      </fill>
    </dxf>
    <dxf>
      <font>
        <b val="1"/>
        <color rgb="002E7D32"/>
      </font>
      <fill>
        <patternFill patternType="solid">
          <fgColor rgb="00E8F5E9"/>
          <bgColor rgb="00E8F5E9"/>
        </patternFill>
      </fill>
    </dxf>
    <dxf>
      <fill>
        <patternFill patternType="solid">
          <fgColor rgb="00E5F5FF"/>
          <bgColor rgb="00E5F5FF"/>
        </patternFill>
      </fill>
    </dxf>
    <dxf>
      <font>
        <b val="1"/>
        <color rgb="00004EA8"/>
      </font>
      <fill>
        <patternFill patternType="solid">
          <fgColor rgb="00E5F5FF"/>
          <bgColor rgb="00E5F5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44</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Instructions'!A1" TargetMode="External" Id="rId2"/><Relationship Type="http://schemas.openxmlformats.org/officeDocument/2006/relationships/hyperlink" Target="#'Summary'!A1" TargetMode="External" Id="rId3"/><Relationship Type="http://schemas.openxmlformats.org/officeDocument/2006/relationships/hyperlink" Target="#'BRD-00 Cross-cutting'!A1" TargetMode="External" Id="rId4"/><Relationship Type="http://schemas.openxmlformats.org/officeDocument/2006/relationships/hyperlink" Target="#'BRD-01 New Business'!A1" TargetMode="External" Id="rId5"/><Relationship Type="http://schemas.openxmlformats.org/officeDocument/2006/relationships/hyperlink" Target="#'BRD-02 Operations'!A1" TargetMode="External" Id="rId6"/><Relationship Type="http://schemas.openxmlformats.org/officeDocument/2006/relationships/hyperlink" Target="#'BRD-03 Product Maintenance'!A1" TargetMode="External" Id="rId7"/><Relationship Type="http://schemas.openxmlformats.org/officeDocument/2006/relationships/hyperlink" Target="#'BRD-04 Collections'!A1" TargetMode="External" Id="rId8"/><Relationship Type="http://schemas.openxmlformats.org/officeDocument/2006/relationships/hyperlink" Target="#'BRD-05 Accounting and ACSL'!A1" TargetMode="External" Id="rId9"/><Relationship Type="http://schemas.openxmlformats.org/officeDocument/2006/relationships/hyperlink" Target="#'BRD-06 Renewal'!A1" TargetMode="External" Id="rId10"/><Relationship Type="http://schemas.openxmlformats.org/officeDocument/2006/relationships/hyperlink" Target="#'BRD-07 Claims'!A1" TargetMode="External" Id="rId11"/><Relationship Type="http://schemas.openxmlformats.org/officeDocument/2006/relationships/hyperlink" Target="#'BRD-08 Employee Benefits'!A1" TargetMode="External" Id="rId12"/><Relationship Type="http://schemas.openxmlformats.org/officeDocument/2006/relationships/hyperlink" Target="#'BRD-09 Customer Servicing'!A1" TargetMode="External" Id="rId13"/><Relationship Type="http://schemas.openxmlformats.org/officeDocument/2006/relationships/hyperlink" Target="#'BRD-10 Sanction Screening'!A1" TargetMode="External" Id="rId14"/><Relationship Type="http://schemas.openxmlformats.org/officeDocument/2006/relationships/hyperlink" Target="#'BRD-11 User Access'!A1" TargetMode="External" Id="rId15"/><Relationship Type="http://schemas.openxmlformats.org/officeDocument/2006/relationships/hyperlink" Target="#'BRD-12 Submitted Policies'!A1" TargetMode="External" Id="rId16"/><Relationship Type="http://schemas.openxmlformats.org/officeDocument/2006/relationships/hyperlink" Target="#'BRD-13 Data Migration'!A1" TargetMode="External" Id="rId17"/><Relationship Type="http://schemas.openxmlformats.org/officeDocument/2006/relationships/hyperlink" Target="#'RI Reinsurance (phase 2)'!A1" TargetMode="External" Id="rId18"/><Relationship Type="http://schemas.openxmlformats.org/officeDocument/2006/relationships/drawing" Target="/xl/drawings/drawing1.xml" Id="rId19"/></Relationships>
</file>

<file path=xl/worksheets/_rels/sheet3.xml.rels><Relationships xmlns="http://schemas.openxmlformats.org/package/2006/relationships"><Relationship Type="http://schemas.openxmlformats.org/officeDocument/2006/relationships/hyperlink" Target="#'BRD-00 Cross-cutting'!A1" TargetMode="External" Id="rId1"/><Relationship Type="http://schemas.openxmlformats.org/officeDocument/2006/relationships/hyperlink" Target="#'BRD-01 New Business'!A1" TargetMode="External" Id="rId2"/><Relationship Type="http://schemas.openxmlformats.org/officeDocument/2006/relationships/hyperlink" Target="#'BRD-02 Operations'!A1" TargetMode="External" Id="rId3"/><Relationship Type="http://schemas.openxmlformats.org/officeDocument/2006/relationships/hyperlink" Target="#'BRD-03 Product Maintenance'!A1" TargetMode="External" Id="rId4"/><Relationship Type="http://schemas.openxmlformats.org/officeDocument/2006/relationships/hyperlink" Target="#'BRD-04 Collections'!A1" TargetMode="External" Id="rId5"/><Relationship Type="http://schemas.openxmlformats.org/officeDocument/2006/relationships/hyperlink" Target="#'BRD-05 Accounting and ACSL'!A1" TargetMode="External" Id="rId6"/><Relationship Type="http://schemas.openxmlformats.org/officeDocument/2006/relationships/hyperlink" Target="#'BRD-06 Renewal'!A1" TargetMode="External" Id="rId7"/><Relationship Type="http://schemas.openxmlformats.org/officeDocument/2006/relationships/hyperlink" Target="#'BRD-07 Claims'!A1" TargetMode="External" Id="rId8"/><Relationship Type="http://schemas.openxmlformats.org/officeDocument/2006/relationships/hyperlink" Target="#'BRD-08 Employee Benefits'!A1" TargetMode="External" Id="rId9"/><Relationship Type="http://schemas.openxmlformats.org/officeDocument/2006/relationships/hyperlink" Target="#'BRD-09 Customer Servicing'!A1" TargetMode="External" Id="rId10"/><Relationship Type="http://schemas.openxmlformats.org/officeDocument/2006/relationships/hyperlink" Target="#'BRD-10 Sanction Screening'!A1" TargetMode="External" Id="rId11"/><Relationship Type="http://schemas.openxmlformats.org/officeDocument/2006/relationships/hyperlink" Target="#'BRD-11 User Access'!A1" TargetMode="External" Id="rId12"/><Relationship Type="http://schemas.openxmlformats.org/officeDocument/2006/relationships/hyperlink" Target="#'BRD-12 Submitted Policies'!A1" TargetMode="External" Id="rId13"/><Relationship Type="http://schemas.openxmlformats.org/officeDocument/2006/relationships/hyperlink" Target="#'BRD-13 Data Migration'!A1" TargetMode="External" Id="rId14"/><Relationship Type="http://schemas.openxmlformats.org/officeDocument/2006/relationships/hyperlink" Target="#'RI Reinsurance (phase 2)'!A1" TargetMode="External" Id="rId15"/></Relationships>
</file>

<file path=xl/worksheets/sheet1.xml><?xml version="1.0" encoding="utf-8"?>
<worksheet xmlns="http://schemas.openxmlformats.org/spreadsheetml/2006/main">
  <sheetPr>
    <outlinePr summaryBelow="1" summaryRight="1"/>
    <pageSetUpPr fitToPage="1"/>
  </sheetPr>
  <dimension ref="B4:E45"/>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BDOI INPUTS WORKBOOK</t>
        </is>
      </c>
    </row>
    <row r="7" ht="32" customHeight="1">
      <c r="B7" s="3" t="inlineStr">
        <is>
          <t>BDOI Requirements and Inputs by BRD</t>
        </is>
      </c>
    </row>
    <row r="8">
      <c r="B8" s="4" t="inlineStr">
        <is>
          <t>What the project needs from the BDOI business users, BRD by BRD</t>
        </is>
      </c>
    </row>
    <row r="9">
      <c r="B9" s="5" t="inlineStr">
        <is>
          <t>BIBS – BDOI Broker System</t>
        </is>
      </c>
    </row>
    <row r="11">
      <c r="B11" s="6" t="inlineStr">
        <is>
          <t>Client</t>
        </is>
      </c>
      <c r="C11" s="7" t="inlineStr">
        <is>
          <t>BDO Insurance and Reinsurance Brokers, Inc.</t>
        </is>
      </c>
    </row>
    <row r="12">
      <c r="B12" s="6" t="inlineStr">
        <is>
          <t>BRD</t>
        </is>
      </c>
      <c r="C12" s="7" t="inlineStr">
        <is>
          <t>BRD-00 (all BRDs)</t>
        </is>
      </c>
    </row>
    <row r="13">
      <c r="B13" s="6" t="inlineStr">
        <is>
          <t>Version</t>
        </is>
      </c>
      <c r="C13" s="7" t="inlineStr">
        <is>
          <t>1.0</t>
        </is>
      </c>
    </row>
    <row r="14">
      <c r="B14" s="6" t="inlineStr">
        <is>
          <t>Date</t>
        </is>
      </c>
      <c r="C14" s="7" t="inlineStr">
        <is>
          <t>8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Instructions</t>
        </is>
      </c>
      <c r="C21" s="14" t="inlineStr">
        <is>
          <t>How to read and answer this workbook</t>
        </is>
      </c>
      <c r="D21" s="14" t="n">
        <v>0</v>
      </c>
    </row>
    <row r="22">
      <c r="B22" s="11" t="inlineStr">
        <is>
          <t>Summary</t>
        </is>
      </c>
      <c r="C22" s="12" t="inlineStr">
        <is>
          <t>Counts per BRD and type, status, owners and due dates</t>
        </is>
      </c>
      <c r="D22" s="12" t="n">
        <v>0</v>
      </c>
    </row>
    <row r="23">
      <c r="B23" s="13" t="inlineStr">
        <is>
          <t>BRD-00 Cross-cutting</t>
        </is>
      </c>
      <c r="C23" s="14" t="inlineStr">
        <is>
          <t>BRD-00 Core Replacement and cross-cutting points: what BDOI provides; owner BIBS Product Owner with the Program Manager, Business Project Services</t>
        </is>
      </c>
      <c r="D23" s="14" t="n">
        <v>144</v>
      </c>
    </row>
    <row r="24">
      <c r="B24" s="11" t="inlineStr">
        <is>
          <t>BRD-01 New Business</t>
        </is>
      </c>
      <c r="C24" s="12" t="inlineStr">
        <is>
          <t>BRD-01 New Business: what BDOI provides; owner Product Owner, New Business</t>
        </is>
      </c>
      <c r="D24" s="12" t="n">
        <v>76</v>
      </c>
    </row>
    <row r="25">
      <c r="B25" s="13" t="inlineStr">
        <is>
          <t>BRD-02 Operations</t>
        </is>
      </c>
      <c r="C25" s="14" t="inlineStr">
        <is>
          <t>BRD-02 Operations: what BDOI provides; owner Head, Operations Services</t>
        </is>
      </c>
      <c r="D25" s="14" t="n">
        <v>89</v>
      </c>
    </row>
    <row r="26">
      <c r="B26" s="11" t="inlineStr">
        <is>
          <t>BRD-03 Product Maintenance</t>
        </is>
      </c>
      <c r="C26" s="12" t="inlineStr">
        <is>
          <t>BRD-03 Product Maintenance: what BDOI provides; owner Product Owner, Marketing Business System (MBS)</t>
        </is>
      </c>
      <c r="D26" s="12" t="n">
        <v>79</v>
      </c>
    </row>
    <row r="27">
      <c r="B27" s="13" t="inlineStr">
        <is>
          <t>BRD-04 Collections</t>
        </is>
      </c>
      <c r="C27" s="14" t="inlineStr">
        <is>
          <t>BRD-04 Collections: what BDOI provides; owner VP and Head, BDOI Operations (Collections)</t>
        </is>
      </c>
      <c r="D27" s="14" t="n">
        <v>58</v>
      </c>
    </row>
    <row r="28">
      <c r="B28" s="11" t="inlineStr">
        <is>
          <t>BRD-05 Accounting and ACSL</t>
        </is>
      </c>
      <c r="C28" s="12" t="inlineStr">
        <is>
          <t>BRD-05 Accounting, Disbursement and ACSL: what BDOI provides; owner Head, Comptrollership</t>
        </is>
      </c>
      <c r="D28" s="12" t="n">
        <v>85</v>
      </c>
    </row>
    <row r="29">
      <c r="B29" s="13" t="inlineStr">
        <is>
          <t>BRD-06 Renewal</t>
        </is>
      </c>
      <c r="C29" s="14" t="inlineStr">
        <is>
          <t>BRD-06 Renewal: what BDOI provides; owner Product Owner, Renewal</t>
        </is>
      </c>
      <c r="D29" s="14" t="n">
        <v>64</v>
      </c>
    </row>
    <row r="30">
      <c r="B30" s="11" t="inlineStr">
        <is>
          <t>BRD-07 Claims</t>
        </is>
      </c>
      <c r="C30" s="12" t="inlineStr">
        <is>
          <t>BRD-07 Claims: what BDOI provides; owner Product Owner, Claims</t>
        </is>
      </c>
      <c r="D30" s="12" t="n">
        <v>38</v>
      </c>
    </row>
    <row r="31">
      <c r="B31" s="13" t="inlineStr">
        <is>
          <t>BRD-08 Employee Benefits</t>
        </is>
      </c>
      <c r="C31" s="14" t="inlineStr">
        <is>
          <t>BRD-08 Employee Benefits: what BDOI provides; owner Product Owner, Employee Benefits</t>
        </is>
      </c>
      <c r="D31" s="14" t="n">
        <v>34</v>
      </c>
    </row>
    <row r="32">
      <c r="B32" s="11" t="inlineStr">
        <is>
          <t>BRD-09 Customer Servicing</t>
        </is>
      </c>
      <c r="C32" s="12" t="inlineStr">
        <is>
          <t>BRD-09 Customer Servicing Facility: what BDOI provides; owner Product Owner, Customer Servicing Facility</t>
        </is>
      </c>
      <c r="D32" s="12" t="n">
        <v>26</v>
      </c>
    </row>
    <row r="33">
      <c r="B33" s="13" t="inlineStr">
        <is>
          <t>BRD-10 Sanction Screening</t>
        </is>
      </c>
      <c r="C33" s="14" t="inlineStr">
        <is>
          <t>BRD-10 Sanction Screening and Risk Profiling: what BDOI provides; owner Chief Compliance Officer (Compliance)</t>
        </is>
      </c>
      <c r="D33" s="14" t="n">
        <v>25</v>
      </c>
    </row>
    <row r="34">
      <c r="B34" s="11" t="inlineStr">
        <is>
          <t>BRD-11 User Access</t>
        </is>
      </c>
      <c r="C34" s="12" t="inlineStr">
        <is>
          <t>BRD-11 User Access Maintenance: what BDOI provides; owner Product Owner, MBS, with Business Administration (User Access)</t>
        </is>
      </c>
      <c r="D34" s="12" t="n">
        <v>76</v>
      </c>
    </row>
    <row r="35">
      <c r="B35" s="13" t="inlineStr">
        <is>
          <t>BRD-12 Submitted Policies</t>
        </is>
      </c>
      <c r="C35" s="14" t="inlineStr">
        <is>
          <t>BRD-12 Submitted Policies: what BDOI provides; owner Product Owner, Submitted Policies</t>
        </is>
      </c>
      <c r="D35" s="14" t="n">
        <v>37</v>
      </c>
    </row>
    <row r="36">
      <c r="B36" s="11" t="inlineStr">
        <is>
          <t>BRD-13 Data Migration</t>
        </is>
      </c>
      <c r="C36" s="12" t="inlineStr">
        <is>
          <t>BRD-13 Data Migration: what BDOI provides; owner Program Manager, Business Project Services (Data Migration)</t>
        </is>
      </c>
      <c r="D36" s="12" t="n">
        <v>73</v>
      </c>
    </row>
    <row r="37">
      <c r="B37" s="13" t="inlineStr">
        <is>
          <t>RI Reinsurance (phase 2)</t>
        </is>
      </c>
      <c r="C37" s="14" t="inlineStr">
        <is>
          <t>Phase 2 ReInsurance (phase 2): what BDOI provides; owner BIBS Product Owner with the Head, Operations (Remittance)</t>
        </is>
      </c>
      <c r="D37" s="14" t="n">
        <v>5</v>
      </c>
    </row>
    <row r="39">
      <c r="B39" s="9" t="inlineStr">
        <is>
          <t>Legend</t>
        </is>
      </c>
    </row>
    <row r="40">
      <c r="B40" s="15" t="inlineStr">
        <is>
          <t>Open</t>
        </is>
      </c>
      <c r="C40" s="16" t="inlineStr">
        <is>
          <t>Waiting for the BDOI answer</t>
        </is>
      </c>
    </row>
    <row r="41">
      <c r="B41" s="17" t="inlineStr">
        <is>
          <t>Partly answered</t>
        </is>
      </c>
      <c r="C41" s="16" t="inlineStr">
        <is>
          <t>BDOI has answered in part; the rest of the point is open</t>
        </is>
      </c>
    </row>
    <row r="42">
      <c r="B42" s="18" t="inlineStr">
        <is>
          <t>Answered</t>
        </is>
      </c>
      <c r="C42" s="16" t="inlineStr">
        <is>
          <t>BDOI has answered; the answer is applied and BDOI confirms it</t>
        </is>
      </c>
    </row>
    <row r="45" ht="26" customHeight="1">
      <c r="B45" s="19"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 xmlns:r="http://schemas.openxmlformats.org/officeDocument/2006/relationships" ref="B29" r:id="rId10"/>
    <hyperlink xmlns:r="http://schemas.openxmlformats.org/officeDocument/2006/relationships" ref="B30" r:id="rId11"/>
    <hyperlink xmlns:r="http://schemas.openxmlformats.org/officeDocument/2006/relationships" ref="B31" r:id="rId12"/>
    <hyperlink xmlns:r="http://schemas.openxmlformats.org/officeDocument/2006/relationships" ref="B32" r:id="rId13"/>
    <hyperlink xmlns:r="http://schemas.openxmlformats.org/officeDocument/2006/relationships" ref="B33" r:id="rId14"/>
    <hyperlink xmlns:r="http://schemas.openxmlformats.org/officeDocument/2006/relationships" ref="B34" r:id="rId15"/>
    <hyperlink xmlns:r="http://schemas.openxmlformats.org/officeDocument/2006/relationships" ref="B35" r:id="rId16"/>
    <hyperlink xmlns:r="http://schemas.openxmlformats.org/officeDocument/2006/relationships" ref="B36" r:id="rId17"/>
    <hyperlink xmlns:r="http://schemas.openxmlformats.org/officeDocument/2006/relationships" ref="B37" r:id="rId18"/>
  </hyperlinks>
  <printOptions horizontalCentered="1"/>
  <pageMargins left="0.4" right="0.4" top="0.6" bottom="0.6" header="0.5" footer="0.5"/>
  <pageSetup orientation="portrait" paperSize="1" fitToHeight="0" fitToWidth="1"/>
  <headerFooter>
    <oddHeader>&amp;L&amp;8 &amp;K004EA8BDOI Requirements and Inputs by BRD&amp;R&amp;8 &amp;K656565BDO Insure | BIBS – BDOI Broker System</oddHeader>
    <oddFooter>&amp;L&amp;8 &amp;K656565Confidential – BDOI&amp;C&amp;8 &amp;K656565Page &amp;P of &amp;N&amp;R&amp;8 &amp;K656565Version 1.0</oddFooter>
    <evenHeader/>
    <evenFooter/>
    <firstHeader/>
    <firstFooter/>
  </headerFooter>
  <drawing xmlns:r="http://schemas.openxmlformats.org/officeDocument/2006/relationships" r:id="rId19"/>
</worksheet>
</file>

<file path=xl/worksheets/sheet2.xml><?xml version="1.0" encoding="utf-8"?>
<worksheet xmlns="http://schemas.openxmlformats.org/spreadsheetml/2006/main">
  <sheetPr>
    <outlinePr summaryBelow="1" summaryRight="1"/>
    <pageSetUpPr fitToPage="1"/>
  </sheetPr>
  <dimension ref="A1:C24"/>
  <sheetViews>
    <sheetView showGridLines="0" workbookViewId="0">
      <selection activeCell="A1" sqref="A1"/>
    </sheetView>
  </sheetViews>
  <sheetFormatPr baseColWidth="8" defaultRowHeight="15"/>
  <cols>
    <col width="28" customWidth="1" min="1" max="1"/>
    <col width="70" customWidth="1" min="2" max="2"/>
    <col width="40" customWidth="1" min="3" max="3"/>
  </cols>
  <sheetData>
    <row r="1">
      <c r="A1" s="20" t="inlineStr">
        <is>
          <t>Instructions</t>
        </is>
      </c>
    </row>
    <row r="2">
      <c r="A2" s="21" t="inlineStr">
        <is>
          <t>BDOI Requirements and Inputs by BRD, version 1.0, 8 October 2026</t>
        </is>
      </c>
    </row>
    <row r="4" ht="75" customHeight="1">
      <c r="A4" s="22" t="inlineStr">
        <is>
          <t>Purpose</t>
        </is>
      </c>
      <c r="B4" s="12" t="inlineStr">
        <is>
          <t>This workbook lists, BRD by BRD, everything the project needs from the BDOI business users to complete the requirements, set BIBS up and test it: decisions, clarifications, confirmations of the proposed rules, configuration values, master data, sample documents, report layouts, integration details, test data and sign-offs. It answers the request of the BDOI product owner of 8 October 2026 for the BRD-specific requirements from the BDOI users.</t>
        </is>
      </c>
      <c r="C4" s="23" t="n"/>
    </row>
    <row r="5" ht="75" customHeight="1">
      <c r="A5" s="22" t="inlineStr">
        <is>
          <t>Where the rows come from</t>
        </is>
      </c>
      <c r="B5" s="12" t="inlineStr">
        <is>
          <t>The rows bring together the proposed business rules and clarifications (CLR) and the open questions of every FRS and of the Data Migration set, the discrepancy and clarification register, the earlier Drop 0 requirements list, the Drop 0 configuration register, the NFR targets and the dependencies, sign-offs and test windows of the project plan. A point raised in several documents is listed once; the Source column gives every ID under which it was raised, so an answer given against any of them is found here.</t>
        </is>
      </c>
      <c r="C5" s="23" t="n"/>
    </row>
    <row r="6" ht="45" customHeight="1">
      <c r="A6" s="22" t="inlineStr">
        <is>
          <t>One tab per BRD</t>
        </is>
      </c>
      <c r="B6" s="12" t="inlineStr">
        <is>
          <t>BRD-00 holds the cross-cutting points (several BRDs, programme, NFR targets, infrastructure and integrations). BRD-01 to BRD-13 hold the points of each BRD. The last tab holds the few points of ReInsurance, which is phase 2.</t>
        </is>
      </c>
      <c r="C6" s="23" t="n"/>
    </row>
    <row r="7" ht="60" customHeight="1">
      <c r="A7" s="22" t="inlineStr">
        <is>
          <t>How to answer</t>
        </is>
      </c>
      <c r="B7" s="12" t="inlineStr">
        <is>
          <t>Write the answer in BDOI response, set Status to Answered (or Partly answered) and send the workbook back to the iorta TechNXT project team. Where a proposal is given, an answer of 'Agree' is enough; otherwise give the decision, the value or attach the document and name it in the response. Do not change the Ref, so that the answer is traced back to the FRS, the register and the templates.</t>
        </is>
      </c>
      <c r="C7" s="23" t="n"/>
    </row>
    <row r="8" ht="75" customHeight="1">
      <c r="A8" s="22" t="inlineStr">
        <is>
          <t>Needed by and priority</t>
        </is>
      </c>
      <c r="B8" s="12" t="inlineStr">
        <is>
          <t>Needed by is the date of the project plan of 8 October 2026 by which the input is needed: the sign-off of the FRS or sign-off set of the BRD for decisions and clarifications, the configuration milestones (D1 to D7) for values and master data, the integration specifications for interface details and the UAT preparation for test data. High blocks a sign-off, the set-up or a test window; Medium is needed before UAT; Low can follow.</t>
        </is>
      </c>
      <c r="C8" s="23" t="n"/>
    </row>
    <row r="9" ht="45" customHeight="1">
      <c r="A9" s="22" t="inlineStr">
        <is>
          <t>Status</t>
        </is>
      </c>
      <c r="B9" s="12" t="inlineStr">
        <is>
          <t>The status is taken from the latest sources: Answered where BDOI has answered (the answer is in Remarks and BDOI confirms it), Partly answered where part of the point is answered, Open otherwise. Answered points stay in the list so that every answer is visible.</t>
        </is>
      </c>
      <c r="C9" s="23" t="n"/>
    </row>
    <row r="10" ht="45" customHeight="1">
      <c r="A10" s="22" t="inlineStr">
        <is>
          <t>Master data and configuration</t>
        </is>
      </c>
      <c r="B10" s="12" t="inlineStr">
        <is>
          <t>The rows of type Master data and Configuration value name the template to fill in. The templates are in the companion workbook BIBS_Templates_BRD-00_Master_Data_and_Configuration_Upload_Templates_v1.0, with its guide; fill the data there, not in this workbook.</t>
        </is>
      </c>
      <c r="C10" s="23" t="n"/>
    </row>
    <row r="11" ht="30" customHeight="1">
      <c r="A11" s="22" t="inlineStr">
        <is>
          <t>Proposals</t>
        </is>
      </c>
      <c r="B11" s="12" t="inlineStr">
        <is>
          <t>Until BDOI answers, the proposal of a row is the working assumption of the project team; the screens, tests and set-up follow it, and a different answer is applied by the change control of the programme.</t>
        </is>
      </c>
      <c r="C11" s="23" t="n"/>
    </row>
    <row r="13">
      <c r="A13" s="24" t="inlineStr">
        <is>
          <t>Types of input</t>
        </is>
      </c>
    </row>
    <row r="14">
      <c r="A14" s="25" t="inlineStr">
        <is>
          <t>Type</t>
        </is>
      </c>
      <c r="B14" s="25" t="inlineStr">
        <is>
          <t>What BDOI provides</t>
        </is>
      </c>
    </row>
    <row r="15">
      <c r="A15" s="26" t="inlineStr">
        <is>
          <t>Decision</t>
        </is>
      </c>
      <c r="B15" s="12" t="inlineStr">
        <is>
          <t>BDOI chooses between options or sets the scope; the choice changes what is delivered.</t>
        </is>
      </c>
    </row>
    <row r="16">
      <c r="A16" s="26" t="inlineStr">
        <is>
          <t>Clarification</t>
        </is>
      </c>
      <c r="B16" s="12" t="inlineStr">
        <is>
          <t>The BRD text is unclear, incomplete or contradictory; BDOI explains what is meant.</t>
        </is>
      </c>
    </row>
    <row r="17">
      <c r="A17" s="26" t="inlineStr">
        <is>
          <t>Business rule confirmation</t>
        </is>
      </c>
      <c r="B17" s="12" t="inlineStr">
        <is>
          <t>The project team proposes a rule; BDOI confirms it or gives its own.</t>
        </is>
      </c>
    </row>
    <row r="18">
      <c r="A18" s="26" t="inlineStr">
        <is>
          <t>Configuration value</t>
        </is>
      </c>
      <c r="B18" s="12" t="inlineStr">
        <is>
          <t>A value BIBS is set up with: limits, days, rates, lists, numbering, parameters.</t>
        </is>
      </c>
    </row>
    <row r="19">
      <c r="A19" s="26" t="inlineStr">
        <is>
          <t>Master data</t>
        </is>
      </c>
      <c r="B19" s="12" t="inlineStr">
        <is>
          <t>Records BIBS needs before go-live: organisation, users, products, insurers, accounts, clients.</t>
        </is>
      </c>
    </row>
    <row r="20">
      <c r="A20" s="26" t="inlineStr">
        <is>
          <t>Sample document or template</t>
        </is>
      </c>
      <c r="B20" s="12" t="inlineStr">
        <is>
          <t>A letter, form, advice, slip or e-mail in the BDOI layout and wording.</t>
        </is>
      </c>
    </row>
    <row r="21">
      <c r="A21" s="26" t="inlineStr">
        <is>
          <t>Report layout</t>
        </is>
      </c>
      <c r="B21" s="12" t="inlineStr">
        <is>
          <t>The columns, totals and filters of a report or an extract.</t>
        </is>
      </c>
    </row>
    <row r="22">
      <c r="A22" s="26" t="inlineStr">
        <is>
          <t>Integration detail</t>
        </is>
      </c>
      <c r="B22" s="12" t="inlineStr">
        <is>
          <t>A file layout, interface, transport or contact of another system.</t>
        </is>
      </c>
    </row>
    <row r="23">
      <c r="A23" s="26" t="inlineStr">
        <is>
          <t>Test data</t>
        </is>
      </c>
      <c r="B23" s="12" t="inlineStr">
        <is>
          <t>Testers, cases and business data for SIT and UAT.</t>
        </is>
      </c>
    </row>
    <row r="24">
      <c r="A24" s="26" t="inlineStr">
        <is>
          <t>Sign-off</t>
        </is>
      </c>
      <c r="B24" s="12" t="inlineStr">
        <is>
          <t>A document or test result BDOI signs.</t>
        </is>
      </c>
    </row>
  </sheetData>
  <mergeCells count="8">
    <mergeCell ref="B6:C6"/>
    <mergeCell ref="B7:C7"/>
    <mergeCell ref="B11:C11"/>
    <mergeCell ref="B5:C5"/>
    <mergeCell ref="B10:C10"/>
    <mergeCell ref="B9:C9"/>
    <mergeCell ref="B8:C8"/>
    <mergeCell ref="B4:C4"/>
  </mergeCells>
  <printOptions horizontalCentered="1"/>
  <pageMargins left="0.4" right="0.4" top="0.6" bottom="0.6" header="0.5" footer="0.5"/>
  <pageSetup orientation="landscape" paperSize="1" fitToHeight="0" fitToWidth="1"/>
  <headerFooter>
    <oddHeader>&amp;L&amp;8 &amp;K004EA8BDOI Requirements and Inputs by BRD&amp;R&amp;8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T86"/>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9" customWidth="1" min="1" max="1"/>
    <col width="26" customWidth="1" min="2" max="2"/>
    <col width="9" customWidth="1" min="3" max="3"/>
    <col width="30" customWidth="1" min="4" max="4"/>
    <col width="7"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9" customWidth="1" min="16" max="16"/>
    <col width="9" customWidth="1" min="17" max="17"/>
    <col width="9" customWidth="1" min="18" max="18"/>
    <col width="12" customWidth="1" min="19" max="19"/>
    <col width="12" customWidth="1" min="20" max="20"/>
  </cols>
  <sheetData>
    <row r="1">
      <c r="A1" s="20" t="inlineStr">
        <is>
          <t>Summary</t>
        </is>
      </c>
    </row>
    <row r="2">
      <c r="A2" s="21" t="inlineStr">
        <is>
          <t>Counts per BRD, type and status follow the tabs as they are answered (formulas); owners and dates as issued.</t>
        </is>
      </c>
    </row>
    <row r="4">
      <c r="A4" s="24" t="inlineStr">
        <is>
          <t>Items per BRD and type</t>
        </is>
      </c>
    </row>
    <row r="5" ht="42" customHeight="1">
      <c r="A5" s="27" t="inlineStr">
        <is>
          <t>BRD</t>
        </is>
      </c>
      <c r="B5" s="27" t="inlineStr">
        <is>
          <t>Name</t>
        </is>
      </c>
      <c r="C5" s="27" t="inlineStr">
        <is>
          <t>Drop</t>
        </is>
      </c>
      <c r="D5" s="27" t="inlineStr">
        <is>
          <t>BDOI owner (role)</t>
        </is>
      </c>
      <c r="E5" s="27" t="inlineStr">
        <is>
          <t>Items</t>
        </is>
      </c>
      <c r="F5" s="27" t="inlineStr">
        <is>
          <t>Decision</t>
        </is>
      </c>
      <c r="G5" s="27" t="inlineStr">
        <is>
          <t>Clarification</t>
        </is>
      </c>
      <c r="H5" s="27" t="inlineStr">
        <is>
          <t>Business rule confirmation</t>
        </is>
      </c>
      <c r="I5" s="27" t="inlineStr">
        <is>
          <t>Configuration value</t>
        </is>
      </c>
      <c r="J5" s="27" t="inlineStr">
        <is>
          <t>Master data</t>
        </is>
      </c>
      <c r="K5" s="27" t="inlineStr">
        <is>
          <t>Sample document or template</t>
        </is>
      </c>
      <c r="L5" s="27" t="inlineStr">
        <is>
          <t>Report layout</t>
        </is>
      </c>
      <c r="M5" s="27" t="inlineStr">
        <is>
          <t>Integration detail</t>
        </is>
      </c>
      <c r="N5" s="27" t="inlineStr">
        <is>
          <t>Test data</t>
        </is>
      </c>
      <c r="O5" s="27" t="inlineStr">
        <is>
          <t>Sign-off</t>
        </is>
      </c>
      <c r="P5" s="27" t="inlineStr">
        <is>
          <t>Open</t>
        </is>
      </c>
      <c r="Q5" s="27" t="inlineStr">
        <is>
          <t>Partly answered</t>
        </is>
      </c>
      <c r="R5" s="27" t="inlineStr">
        <is>
          <t>Answered</t>
        </is>
      </c>
      <c r="S5" s="27" t="inlineStr">
        <is>
          <t>First needed by</t>
        </is>
      </c>
      <c r="T5" s="27" t="inlineStr">
        <is>
          <t>Last needed by</t>
        </is>
      </c>
    </row>
    <row r="6">
      <c r="A6" s="28" t="inlineStr">
        <is>
          <t>BRD-00</t>
        </is>
      </c>
      <c r="B6" s="29" t="inlineStr">
        <is>
          <t>Core Replacement and cross-cutting points</t>
        </is>
      </c>
      <c r="C6" s="29" t="inlineStr">
        <is>
          <t>Programme</t>
        </is>
      </c>
      <c r="D6" s="29" t="inlineStr">
        <is>
          <t>BIBS Product Owner with the Program Manager, Business Project Services</t>
        </is>
      </c>
      <c r="E6" s="29">
        <f>COUNTA('BRD-00 Cross-cutting'!A5:A649)</f>
        <v/>
      </c>
      <c r="F6" s="29">
        <f>COUNTIF('BRD-00 Cross-cutting'!C5:C649,"Decision")</f>
        <v/>
      </c>
      <c r="G6" s="29">
        <f>COUNTIF('BRD-00 Cross-cutting'!C5:C649,"Clarification")</f>
        <v/>
      </c>
      <c r="H6" s="29">
        <f>COUNTIF('BRD-00 Cross-cutting'!C5:C649,"Business rule confirmation")</f>
        <v/>
      </c>
      <c r="I6" s="29">
        <f>COUNTIF('BRD-00 Cross-cutting'!C5:C649,"Configuration value")</f>
        <v/>
      </c>
      <c r="J6" s="29">
        <f>COUNTIF('BRD-00 Cross-cutting'!C5:C649,"Master data")</f>
        <v/>
      </c>
      <c r="K6" s="29">
        <f>COUNTIF('BRD-00 Cross-cutting'!C5:C649,"Sample document or template")</f>
        <v/>
      </c>
      <c r="L6" s="29">
        <f>COUNTIF('BRD-00 Cross-cutting'!C5:C649,"Report layout")</f>
        <v/>
      </c>
      <c r="M6" s="29">
        <f>COUNTIF('BRD-00 Cross-cutting'!C5:C649,"Integration detail")</f>
        <v/>
      </c>
      <c r="N6" s="29">
        <f>COUNTIF('BRD-00 Cross-cutting'!C5:C649,"Test data")</f>
        <v/>
      </c>
      <c r="O6" s="29">
        <f>COUNTIF('BRD-00 Cross-cutting'!C5:C649,"Sign-off")</f>
        <v/>
      </c>
      <c r="P6" s="29">
        <f>COUNTIF('BRD-00 Cross-cutting'!K5:K649,"Open")</f>
        <v/>
      </c>
      <c r="Q6" s="29">
        <f>COUNTIF('BRD-00 Cross-cutting'!K5:K649,"Partly answered")</f>
        <v/>
      </c>
      <c r="R6" s="29">
        <f>COUNTIF('BRD-00 Cross-cutting'!K5:K649,"Answered")</f>
        <v/>
      </c>
      <c r="S6" s="30">
        <f>MIN('BRD-00 Cross-cutting'!I5:I649)</f>
        <v/>
      </c>
      <c r="T6" s="30">
        <f>MAX('BRD-00 Cross-cutting'!I5:I649)</f>
        <v/>
      </c>
    </row>
    <row r="7">
      <c r="A7" s="28" t="inlineStr">
        <is>
          <t>BRD-01</t>
        </is>
      </c>
      <c r="B7" s="29" t="inlineStr">
        <is>
          <t>New Business</t>
        </is>
      </c>
      <c r="C7" s="29" t="inlineStr">
        <is>
          <t>Drop 1</t>
        </is>
      </c>
      <c r="D7" s="29" t="inlineStr">
        <is>
          <t>Product Owner, New Business</t>
        </is>
      </c>
      <c r="E7" s="29">
        <f>COUNTA('BRD-01 New Business'!A5:A581)</f>
        <v/>
      </c>
      <c r="F7" s="29">
        <f>COUNTIF('BRD-01 New Business'!C5:C581,"Decision")</f>
        <v/>
      </c>
      <c r="G7" s="29">
        <f>COUNTIF('BRD-01 New Business'!C5:C581,"Clarification")</f>
        <v/>
      </c>
      <c r="H7" s="29">
        <f>COUNTIF('BRD-01 New Business'!C5:C581,"Business rule confirmation")</f>
        <v/>
      </c>
      <c r="I7" s="29">
        <f>COUNTIF('BRD-01 New Business'!C5:C581,"Configuration value")</f>
        <v/>
      </c>
      <c r="J7" s="29">
        <f>COUNTIF('BRD-01 New Business'!C5:C581,"Master data")</f>
        <v/>
      </c>
      <c r="K7" s="29">
        <f>COUNTIF('BRD-01 New Business'!C5:C581,"Sample document or template")</f>
        <v/>
      </c>
      <c r="L7" s="29">
        <f>COUNTIF('BRD-01 New Business'!C5:C581,"Report layout")</f>
        <v/>
      </c>
      <c r="M7" s="29">
        <f>COUNTIF('BRD-01 New Business'!C5:C581,"Integration detail")</f>
        <v/>
      </c>
      <c r="N7" s="29">
        <f>COUNTIF('BRD-01 New Business'!C5:C581,"Test data")</f>
        <v/>
      </c>
      <c r="O7" s="29">
        <f>COUNTIF('BRD-01 New Business'!C5:C581,"Sign-off")</f>
        <v/>
      </c>
      <c r="P7" s="29">
        <f>COUNTIF('BRD-01 New Business'!K5:K581,"Open")</f>
        <v/>
      </c>
      <c r="Q7" s="29">
        <f>COUNTIF('BRD-01 New Business'!K5:K581,"Partly answered")</f>
        <v/>
      </c>
      <c r="R7" s="29">
        <f>COUNTIF('BRD-01 New Business'!K5:K581,"Answered")</f>
        <v/>
      </c>
      <c r="S7" s="30">
        <f>MIN('BRD-01 New Business'!I5:I581)</f>
        <v/>
      </c>
      <c r="T7" s="30">
        <f>MAX('BRD-01 New Business'!I5:I581)</f>
        <v/>
      </c>
    </row>
    <row r="8">
      <c r="A8" s="28" t="inlineStr">
        <is>
          <t>BRD-02</t>
        </is>
      </c>
      <c r="B8" s="29" t="inlineStr">
        <is>
          <t>Operations</t>
        </is>
      </c>
      <c r="C8" s="29" t="inlineStr">
        <is>
          <t>Drop 1</t>
        </is>
      </c>
      <c r="D8" s="29" t="inlineStr">
        <is>
          <t>Head, Operations Services</t>
        </is>
      </c>
      <c r="E8" s="29">
        <f>COUNTA('BRD-02 Operations'!A5:A594)</f>
        <v/>
      </c>
      <c r="F8" s="29">
        <f>COUNTIF('BRD-02 Operations'!C5:C594,"Decision")</f>
        <v/>
      </c>
      <c r="G8" s="29">
        <f>COUNTIF('BRD-02 Operations'!C5:C594,"Clarification")</f>
        <v/>
      </c>
      <c r="H8" s="29">
        <f>COUNTIF('BRD-02 Operations'!C5:C594,"Business rule confirmation")</f>
        <v/>
      </c>
      <c r="I8" s="29">
        <f>COUNTIF('BRD-02 Operations'!C5:C594,"Configuration value")</f>
        <v/>
      </c>
      <c r="J8" s="29">
        <f>COUNTIF('BRD-02 Operations'!C5:C594,"Master data")</f>
        <v/>
      </c>
      <c r="K8" s="29">
        <f>COUNTIF('BRD-02 Operations'!C5:C594,"Sample document or template")</f>
        <v/>
      </c>
      <c r="L8" s="29">
        <f>COUNTIF('BRD-02 Operations'!C5:C594,"Report layout")</f>
        <v/>
      </c>
      <c r="M8" s="29">
        <f>COUNTIF('BRD-02 Operations'!C5:C594,"Integration detail")</f>
        <v/>
      </c>
      <c r="N8" s="29">
        <f>COUNTIF('BRD-02 Operations'!C5:C594,"Test data")</f>
        <v/>
      </c>
      <c r="O8" s="29">
        <f>COUNTIF('BRD-02 Operations'!C5:C594,"Sign-off")</f>
        <v/>
      </c>
      <c r="P8" s="29">
        <f>COUNTIF('BRD-02 Operations'!K5:K594,"Open")</f>
        <v/>
      </c>
      <c r="Q8" s="29">
        <f>COUNTIF('BRD-02 Operations'!K5:K594,"Partly answered")</f>
        <v/>
      </c>
      <c r="R8" s="29">
        <f>COUNTIF('BRD-02 Operations'!K5:K594,"Answered")</f>
        <v/>
      </c>
      <c r="S8" s="30">
        <f>MIN('BRD-02 Operations'!I5:I594)</f>
        <v/>
      </c>
      <c r="T8" s="30">
        <f>MAX('BRD-02 Operations'!I5:I594)</f>
        <v/>
      </c>
    </row>
    <row r="9">
      <c r="A9" s="28" t="inlineStr">
        <is>
          <t>BRD-03</t>
        </is>
      </c>
      <c r="B9" s="29" t="inlineStr">
        <is>
          <t>Product Maintenance</t>
        </is>
      </c>
      <c r="C9" s="29" t="inlineStr">
        <is>
          <t>Drop 0</t>
        </is>
      </c>
      <c r="D9" s="29" t="inlineStr">
        <is>
          <t>Product Owner, Marketing Business System (MBS)</t>
        </is>
      </c>
      <c r="E9" s="29">
        <f>COUNTA('BRD-03 Product Maintenance'!A5:A584)</f>
        <v/>
      </c>
      <c r="F9" s="29">
        <f>COUNTIF('BRD-03 Product Maintenance'!C5:C584,"Decision")</f>
        <v/>
      </c>
      <c r="G9" s="29">
        <f>COUNTIF('BRD-03 Product Maintenance'!C5:C584,"Clarification")</f>
        <v/>
      </c>
      <c r="H9" s="29">
        <f>COUNTIF('BRD-03 Product Maintenance'!C5:C584,"Business rule confirmation")</f>
        <v/>
      </c>
      <c r="I9" s="29">
        <f>COUNTIF('BRD-03 Product Maintenance'!C5:C584,"Configuration value")</f>
        <v/>
      </c>
      <c r="J9" s="29">
        <f>COUNTIF('BRD-03 Product Maintenance'!C5:C584,"Master data")</f>
        <v/>
      </c>
      <c r="K9" s="29">
        <f>COUNTIF('BRD-03 Product Maintenance'!C5:C584,"Sample document or template")</f>
        <v/>
      </c>
      <c r="L9" s="29">
        <f>COUNTIF('BRD-03 Product Maintenance'!C5:C584,"Report layout")</f>
        <v/>
      </c>
      <c r="M9" s="29">
        <f>COUNTIF('BRD-03 Product Maintenance'!C5:C584,"Integration detail")</f>
        <v/>
      </c>
      <c r="N9" s="29">
        <f>COUNTIF('BRD-03 Product Maintenance'!C5:C584,"Test data")</f>
        <v/>
      </c>
      <c r="O9" s="29">
        <f>COUNTIF('BRD-03 Product Maintenance'!C5:C584,"Sign-off")</f>
        <v/>
      </c>
      <c r="P9" s="29">
        <f>COUNTIF('BRD-03 Product Maintenance'!K5:K584,"Open")</f>
        <v/>
      </c>
      <c r="Q9" s="29">
        <f>COUNTIF('BRD-03 Product Maintenance'!K5:K584,"Partly answered")</f>
        <v/>
      </c>
      <c r="R9" s="29">
        <f>COUNTIF('BRD-03 Product Maintenance'!K5:K584,"Answered")</f>
        <v/>
      </c>
      <c r="S9" s="30">
        <f>MIN('BRD-03 Product Maintenance'!I5:I584)</f>
        <v/>
      </c>
      <c r="T9" s="30">
        <f>MAX('BRD-03 Product Maintenance'!I5:I584)</f>
        <v/>
      </c>
    </row>
    <row r="10">
      <c r="A10" s="28" t="inlineStr">
        <is>
          <t>BRD-04</t>
        </is>
      </c>
      <c r="B10" s="29" t="inlineStr">
        <is>
          <t>Collections</t>
        </is>
      </c>
      <c r="C10" s="29" t="inlineStr">
        <is>
          <t>Drop 1</t>
        </is>
      </c>
      <c r="D10" s="29" t="inlineStr">
        <is>
          <t>VP and Head, BDOI Operations (Collections)</t>
        </is>
      </c>
      <c r="E10" s="29">
        <f>COUNTA('BRD-04 Collections'!A5:A563)</f>
        <v/>
      </c>
      <c r="F10" s="29">
        <f>COUNTIF('BRD-04 Collections'!C5:C563,"Decision")</f>
        <v/>
      </c>
      <c r="G10" s="29">
        <f>COUNTIF('BRD-04 Collections'!C5:C563,"Clarification")</f>
        <v/>
      </c>
      <c r="H10" s="29">
        <f>COUNTIF('BRD-04 Collections'!C5:C563,"Business rule confirmation")</f>
        <v/>
      </c>
      <c r="I10" s="29">
        <f>COUNTIF('BRD-04 Collections'!C5:C563,"Configuration value")</f>
        <v/>
      </c>
      <c r="J10" s="29">
        <f>COUNTIF('BRD-04 Collections'!C5:C563,"Master data")</f>
        <v/>
      </c>
      <c r="K10" s="29">
        <f>COUNTIF('BRD-04 Collections'!C5:C563,"Sample document or template")</f>
        <v/>
      </c>
      <c r="L10" s="29">
        <f>COUNTIF('BRD-04 Collections'!C5:C563,"Report layout")</f>
        <v/>
      </c>
      <c r="M10" s="29">
        <f>COUNTIF('BRD-04 Collections'!C5:C563,"Integration detail")</f>
        <v/>
      </c>
      <c r="N10" s="29">
        <f>COUNTIF('BRD-04 Collections'!C5:C563,"Test data")</f>
        <v/>
      </c>
      <c r="O10" s="29">
        <f>COUNTIF('BRD-04 Collections'!C5:C563,"Sign-off")</f>
        <v/>
      </c>
      <c r="P10" s="29">
        <f>COUNTIF('BRD-04 Collections'!K5:K563,"Open")</f>
        <v/>
      </c>
      <c r="Q10" s="29">
        <f>COUNTIF('BRD-04 Collections'!K5:K563,"Partly answered")</f>
        <v/>
      </c>
      <c r="R10" s="29">
        <f>COUNTIF('BRD-04 Collections'!K5:K563,"Answered")</f>
        <v/>
      </c>
      <c r="S10" s="30">
        <f>MIN('BRD-04 Collections'!I5:I563)</f>
        <v/>
      </c>
      <c r="T10" s="30">
        <f>MAX('BRD-04 Collections'!I5:I563)</f>
        <v/>
      </c>
    </row>
    <row r="11">
      <c r="A11" s="28" t="inlineStr">
        <is>
          <t>BRD-05</t>
        </is>
      </c>
      <c r="B11" s="29" t="inlineStr">
        <is>
          <t>Accounting, Disbursement and ACSL</t>
        </is>
      </c>
      <c r="C11" s="29" t="inlineStr">
        <is>
          <t>Drop 1</t>
        </is>
      </c>
      <c r="D11" s="29" t="inlineStr">
        <is>
          <t>Head, Comptrollership</t>
        </is>
      </c>
      <c r="E11" s="29">
        <f>COUNTA('BRD-05 Accounting and ACSL'!A5:A590)</f>
        <v/>
      </c>
      <c r="F11" s="29">
        <f>COUNTIF('BRD-05 Accounting and ACSL'!C5:C590,"Decision")</f>
        <v/>
      </c>
      <c r="G11" s="29">
        <f>COUNTIF('BRD-05 Accounting and ACSL'!C5:C590,"Clarification")</f>
        <v/>
      </c>
      <c r="H11" s="29">
        <f>COUNTIF('BRD-05 Accounting and ACSL'!C5:C590,"Business rule confirmation")</f>
        <v/>
      </c>
      <c r="I11" s="29">
        <f>COUNTIF('BRD-05 Accounting and ACSL'!C5:C590,"Configuration value")</f>
        <v/>
      </c>
      <c r="J11" s="29">
        <f>COUNTIF('BRD-05 Accounting and ACSL'!C5:C590,"Master data")</f>
        <v/>
      </c>
      <c r="K11" s="29">
        <f>COUNTIF('BRD-05 Accounting and ACSL'!C5:C590,"Sample document or template")</f>
        <v/>
      </c>
      <c r="L11" s="29">
        <f>COUNTIF('BRD-05 Accounting and ACSL'!C5:C590,"Report layout")</f>
        <v/>
      </c>
      <c r="M11" s="29">
        <f>COUNTIF('BRD-05 Accounting and ACSL'!C5:C590,"Integration detail")</f>
        <v/>
      </c>
      <c r="N11" s="29">
        <f>COUNTIF('BRD-05 Accounting and ACSL'!C5:C590,"Test data")</f>
        <v/>
      </c>
      <c r="O11" s="29">
        <f>COUNTIF('BRD-05 Accounting and ACSL'!C5:C590,"Sign-off")</f>
        <v/>
      </c>
      <c r="P11" s="29">
        <f>COUNTIF('BRD-05 Accounting and ACSL'!K5:K590,"Open")</f>
        <v/>
      </c>
      <c r="Q11" s="29">
        <f>COUNTIF('BRD-05 Accounting and ACSL'!K5:K590,"Partly answered")</f>
        <v/>
      </c>
      <c r="R11" s="29">
        <f>COUNTIF('BRD-05 Accounting and ACSL'!K5:K590,"Answered")</f>
        <v/>
      </c>
      <c r="S11" s="30">
        <f>MIN('BRD-05 Accounting and ACSL'!I5:I590)</f>
        <v/>
      </c>
      <c r="T11" s="30">
        <f>MAX('BRD-05 Accounting and ACSL'!I5:I590)</f>
        <v/>
      </c>
    </row>
    <row r="12">
      <c r="A12" s="28" t="inlineStr">
        <is>
          <t>BRD-06</t>
        </is>
      </c>
      <c r="B12" s="29" t="inlineStr">
        <is>
          <t>Renewal</t>
        </is>
      </c>
      <c r="C12" s="29" t="inlineStr">
        <is>
          <t>Drop 1</t>
        </is>
      </c>
      <c r="D12" s="29" t="inlineStr">
        <is>
          <t>Product Owner, Renewal</t>
        </is>
      </c>
      <c r="E12" s="29">
        <f>COUNTA('BRD-06 Renewal'!A5:A569)</f>
        <v/>
      </c>
      <c r="F12" s="29">
        <f>COUNTIF('BRD-06 Renewal'!C5:C569,"Decision")</f>
        <v/>
      </c>
      <c r="G12" s="29">
        <f>COUNTIF('BRD-06 Renewal'!C5:C569,"Clarification")</f>
        <v/>
      </c>
      <c r="H12" s="29">
        <f>COUNTIF('BRD-06 Renewal'!C5:C569,"Business rule confirmation")</f>
        <v/>
      </c>
      <c r="I12" s="29">
        <f>COUNTIF('BRD-06 Renewal'!C5:C569,"Configuration value")</f>
        <v/>
      </c>
      <c r="J12" s="29">
        <f>COUNTIF('BRD-06 Renewal'!C5:C569,"Master data")</f>
        <v/>
      </c>
      <c r="K12" s="29">
        <f>COUNTIF('BRD-06 Renewal'!C5:C569,"Sample document or template")</f>
        <v/>
      </c>
      <c r="L12" s="29">
        <f>COUNTIF('BRD-06 Renewal'!C5:C569,"Report layout")</f>
        <v/>
      </c>
      <c r="M12" s="29">
        <f>COUNTIF('BRD-06 Renewal'!C5:C569,"Integration detail")</f>
        <v/>
      </c>
      <c r="N12" s="29">
        <f>COUNTIF('BRD-06 Renewal'!C5:C569,"Test data")</f>
        <v/>
      </c>
      <c r="O12" s="29">
        <f>COUNTIF('BRD-06 Renewal'!C5:C569,"Sign-off")</f>
        <v/>
      </c>
      <c r="P12" s="29">
        <f>COUNTIF('BRD-06 Renewal'!K5:K569,"Open")</f>
        <v/>
      </c>
      <c r="Q12" s="29">
        <f>COUNTIF('BRD-06 Renewal'!K5:K569,"Partly answered")</f>
        <v/>
      </c>
      <c r="R12" s="29">
        <f>COUNTIF('BRD-06 Renewal'!K5:K569,"Answered")</f>
        <v/>
      </c>
      <c r="S12" s="30">
        <f>MIN('BRD-06 Renewal'!I5:I569)</f>
        <v/>
      </c>
      <c r="T12" s="30">
        <f>MAX('BRD-06 Renewal'!I5:I569)</f>
        <v/>
      </c>
    </row>
    <row r="13">
      <c r="A13" s="28" t="inlineStr">
        <is>
          <t>BRD-07</t>
        </is>
      </c>
      <c r="B13" s="29" t="inlineStr">
        <is>
          <t>Claims</t>
        </is>
      </c>
      <c r="C13" s="29" t="inlineStr">
        <is>
          <t>Drop 2</t>
        </is>
      </c>
      <c r="D13" s="29" t="inlineStr">
        <is>
          <t>Product Owner, Claims</t>
        </is>
      </c>
      <c r="E13" s="29">
        <f>COUNTA('BRD-07 Claims'!A5:A543)</f>
        <v/>
      </c>
      <c r="F13" s="29">
        <f>COUNTIF('BRD-07 Claims'!C5:C543,"Decision")</f>
        <v/>
      </c>
      <c r="G13" s="29">
        <f>COUNTIF('BRD-07 Claims'!C5:C543,"Clarification")</f>
        <v/>
      </c>
      <c r="H13" s="29">
        <f>COUNTIF('BRD-07 Claims'!C5:C543,"Business rule confirmation")</f>
        <v/>
      </c>
      <c r="I13" s="29">
        <f>COUNTIF('BRD-07 Claims'!C5:C543,"Configuration value")</f>
        <v/>
      </c>
      <c r="J13" s="29">
        <f>COUNTIF('BRD-07 Claims'!C5:C543,"Master data")</f>
        <v/>
      </c>
      <c r="K13" s="29">
        <f>COUNTIF('BRD-07 Claims'!C5:C543,"Sample document or template")</f>
        <v/>
      </c>
      <c r="L13" s="29">
        <f>COUNTIF('BRD-07 Claims'!C5:C543,"Report layout")</f>
        <v/>
      </c>
      <c r="M13" s="29">
        <f>COUNTIF('BRD-07 Claims'!C5:C543,"Integration detail")</f>
        <v/>
      </c>
      <c r="N13" s="29">
        <f>COUNTIF('BRD-07 Claims'!C5:C543,"Test data")</f>
        <v/>
      </c>
      <c r="O13" s="29">
        <f>COUNTIF('BRD-07 Claims'!C5:C543,"Sign-off")</f>
        <v/>
      </c>
      <c r="P13" s="29">
        <f>COUNTIF('BRD-07 Claims'!K5:K543,"Open")</f>
        <v/>
      </c>
      <c r="Q13" s="29">
        <f>COUNTIF('BRD-07 Claims'!K5:K543,"Partly answered")</f>
        <v/>
      </c>
      <c r="R13" s="29">
        <f>COUNTIF('BRD-07 Claims'!K5:K543,"Answered")</f>
        <v/>
      </c>
      <c r="S13" s="30">
        <f>MIN('BRD-07 Claims'!I5:I543)</f>
        <v/>
      </c>
      <c r="T13" s="30">
        <f>MAX('BRD-07 Claims'!I5:I543)</f>
        <v/>
      </c>
    </row>
    <row r="14">
      <c r="A14" s="28" t="inlineStr">
        <is>
          <t>BRD-08</t>
        </is>
      </c>
      <c r="B14" s="29" t="inlineStr">
        <is>
          <t>Employee Benefits</t>
        </is>
      </c>
      <c r="C14" s="29" t="inlineStr">
        <is>
          <t>Drop 2</t>
        </is>
      </c>
      <c r="D14" s="29" t="inlineStr">
        <is>
          <t>Product Owner, Employee Benefits</t>
        </is>
      </c>
      <c r="E14" s="29">
        <f>COUNTA('BRD-08 Employee Benefits'!A5:A539)</f>
        <v/>
      </c>
      <c r="F14" s="29">
        <f>COUNTIF('BRD-08 Employee Benefits'!C5:C539,"Decision")</f>
        <v/>
      </c>
      <c r="G14" s="29">
        <f>COUNTIF('BRD-08 Employee Benefits'!C5:C539,"Clarification")</f>
        <v/>
      </c>
      <c r="H14" s="29">
        <f>COUNTIF('BRD-08 Employee Benefits'!C5:C539,"Business rule confirmation")</f>
        <v/>
      </c>
      <c r="I14" s="29">
        <f>COUNTIF('BRD-08 Employee Benefits'!C5:C539,"Configuration value")</f>
        <v/>
      </c>
      <c r="J14" s="29">
        <f>COUNTIF('BRD-08 Employee Benefits'!C5:C539,"Master data")</f>
        <v/>
      </c>
      <c r="K14" s="29">
        <f>COUNTIF('BRD-08 Employee Benefits'!C5:C539,"Sample document or template")</f>
        <v/>
      </c>
      <c r="L14" s="29">
        <f>COUNTIF('BRD-08 Employee Benefits'!C5:C539,"Report layout")</f>
        <v/>
      </c>
      <c r="M14" s="29">
        <f>COUNTIF('BRD-08 Employee Benefits'!C5:C539,"Integration detail")</f>
        <v/>
      </c>
      <c r="N14" s="29">
        <f>COUNTIF('BRD-08 Employee Benefits'!C5:C539,"Test data")</f>
        <v/>
      </c>
      <c r="O14" s="29">
        <f>COUNTIF('BRD-08 Employee Benefits'!C5:C539,"Sign-off")</f>
        <v/>
      </c>
      <c r="P14" s="29">
        <f>COUNTIF('BRD-08 Employee Benefits'!K5:K539,"Open")</f>
        <v/>
      </c>
      <c r="Q14" s="29">
        <f>COUNTIF('BRD-08 Employee Benefits'!K5:K539,"Partly answered")</f>
        <v/>
      </c>
      <c r="R14" s="29">
        <f>COUNTIF('BRD-08 Employee Benefits'!K5:K539,"Answered")</f>
        <v/>
      </c>
      <c r="S14" s="30">
        <f>MIN('BRD-08 Employee Benefits'!I5:I539)</f>
        <v/>
      </c>
      <c r="T14" s="30">
        <f>MAX('BRD-08 Employee Benefits'!I5:I539)</f>
        <v/>
      </c>
    </row>
    <row r="15">
      <c r="A15" s="28" t="inlineStr">
        <is>
          <t>BRD-09</t>
        </is>
      </c>
      <c r="B15" s="29" t="inlineStr">
        <is>
          <t>Customer Servicing Facility</t>
        </is>
      </c>
      <c r="C15" s="29" t="inlineStr">
        <is>
          <t>Drop 1</t>
        </is>
      </c>
      <c r="D15" s="29" t="inlineStr">
        <is>
          <t>Product Owner, Customer Servicing Facility</t>
        </is>
      </c>
      <c r="E15" s="29">
        <f>COUNTA('BRD-09 Customer Servicing'!A5:A531)</f>
        <v/>
      </c>
      <c r="F15" s="29">
        <f>COUNTIF('BRD-09 Customer Servicing'!C5:C531,"Decision")</f>
        <v/>
      </c>
      <c r="G15" s="29">
        <f>COUNTIF('BRD-09 Customer Servicing'!C5:C531,"Clarification")</f>
        <v/>
      </c>
      <c r="H15" s="29">
        <f>COUNTIF('BRD-09 Customer Servicing'!C5:C531,"Business rule confirmation")</f>
        <v/>
      </c>
      <c r="I15" s="29">
        <f>COUNTIF('BRD-09 Customer Servicing'!C5:C531,"Configuration value")</f>
        <v/>
      </c>
      <c r="J15" s="29">
        <f>COUNTIF('BRD-09 Customer Servicing'!C5:C531,"Master data")</f>
        <v/>
      </c>
      <c r="K15" s="29">
        <f>COUNTIF('BRD-09 Customer Servicing'!C5:C531,"Sample document or template")</f>
        <v/>
      </c>
      <c r="L15" s="29">
        <f>COUNTIF('BRD-09 Customer Servicing'!C5:C531,"Report layout")</f>
        <v/>
      </c>
      <c r="M15" s="29">
        <f>COUNTIF('BRD-09 Customer Servicing'!C5:C531,"Integration detail")</f>
        <v/>
      </c>
      <c r="N15" s="29">
        <f>COUNTIF('BRD-09 Customer Servicing'!C5:C531,"Test data")</f>
        <v/>
      </c>
      <c r="O15" s="29">
        <f>COUNTIF('BRD-09 Customer Servicing'!C5:C531,"Sign-off")</f>
        <v/>
      </c>
      <c r="P15" s="29">
        <f>COUNTIF('BRD-09 Customer Servicing'!K5:K531,"Open")</f>
        <v/>
      </c>
      <c r="Q15" s="29">
        <f>COUNTIF('BRD-09 Customer Servicing'!K5:K531,"Partly answered")</f>
        <v/>
      </c>
      <c r="R15" s="29">
        <f>COUNTIF('BRD-09 Customer Servicing'!K5:K531,"Answered")</f>
        <v/>
      </c>
      <c r="S15" s="30">
        <f>MIN('BRD-09 Customer Servicing'!I5:I531)</f>
        <v/>
      </c>
      <c r="T15" s="30">
        <f>MAX('BRD-09 Customer Servicing'!I5:I531)</f>
        <v/>
      </c>
    </row>
    <row r="16">
      <c r="A16" s="28" t="inlineStr">
        <is>
          <t>BRD-10</t>
        </is>
      </c>
      <c r="B16" s="29" t="inlineStr">
        <is>
          <t>Sanction Screening and Risk Profiling</t>
        </is>
      </c>
      <c r="C16" s="29" t="inlineStr">
        <is>
          <t>Drop 1</t>
        </is>
      </c>
      <c r="D16" s="29" t="inlineStr">
        <is>
          <t>Chief Compliance Officer (Compliance)</t>
        </is>
      </c>
      <c r="E16" s="29">
        <f>COUNTA('BRD-10 Sanction Screening'!A5:A530)</f>
        <v/>
      </c>
      <c r="F16" s="29">
        <f>COUNTIF('BRD-10 Sanction Screening'!C5:C530,"Decision")</f>
        <v/>
      </c>
      <c r="G16" s="29">
        <f>COUNTIF('BRD-10 Sanction Screening'!C5:C530,"Clarification")</f>
        <v/>
      </c>
      <c r="H16" s="29">
        <f>COUNTIF('BRD-10 Sanction Screening'!C5:C530,"Business rule confirmation")</f>
        <v/>
      </c>
      <c r="I16" s="29">
        <f>COUNTIF('BRD-10 Sanction Screening'!C5:C530,"Configuration value")</f>
        <v/>
      </c>
      <c r="J16" s="29">
        <f>COUNTIF('BRD-10 Sanction Screening'!C5:C530,"Master data")</f>
        <v/>
      </c>
      <c r="K16" s="29">
        <f>COUNTIF('BRD-10 Sanction Screening'!C5:C530,"Sample document or template")</f>
        <v/>
      </c>
      <c r="L16" s="29">
        <f>COUNTIF('BRD-10 Sanction Screening'!C5:C530,"Report layout")</f>
        <v/>
      </c>
      <c r="M16" s="29">
        <f>COUNTIF('BRD-10 Sanction Screening'!C5:C530,"Integration detail")</f>
        <v/>
      </c>
      <c r="N16" s="29">
        <f>COUNTIF('BRD-10 Sanction Screening'!C5:C530,"Test data")</f>
        <v/>
      </c>
      <c r="O16" s="29">
        <f>COUNTIF('BRD-10 Sanction Screening'!C5:C530,"Sign-off")</f>
        <v/>
      </c>
      <c r="P16" s="29">
        <f>COUNTIF('BRD-10 Sanction Screening'!K5:K530,"Open")</f>
        <v/>
      </c>
      <c r="Q16" s="29">
        <f>COUNTIF('BRD-10 Sanction Screening'!K5:K530,"Partly answered")</f>
        <v/>
      </c>
      <c r="R16" s="29">
        <f>COUNTIF('BRD-10 Sanction Screening'!K5:K530,"Answered")</f>
        <v/>
      </c>
      <c r="S16" s="30">
        <f>MIN('BRD-10 Sanction Screening'!I5:I530)</f>
        <v/>
      </c>
      <c r="T16" s="30">
        <f>MAX('BRD-10 Sanction Screening'!I5:I530)</f>
        <v/>
      </c>
    </row>
    <row r="17">
      <c r="A17" s="28" t="inlineStr">
        <is>
          <t>BRD-11</t>
        </is>
      </c>
      <c r="B17" s="29" t="inlineStr">
        <is>
          <t>User Access Maintenance</t>
        </is>
      </c>
      <c r="C17" s="29" t="inlineStr">
        <is>
          <t>Drop 0</t>
        </is>
      </c>
      <c r="D17" s="29" t="inlineStr">
        <is>
          <t>Product Owner, MBS, with Business Administration (User Access)</t>
        </is>
      </c>
      <c r="E17" s="29">
        <f>COUNTA('BRD-11 User Access'!A5:A581)</f>
        <v/>
      </c>
      <c r="F17" s="29">
        <f>COUNTIF('BRD-11 User Access'!C5:C581,"Decision")</f>
        <v/>
      </c>
      <c r="G17" s="29">
        <f>COUNTIF('BRD-11 User Access'!C5:C581,"Clarification")</f>
        <v/>
      </c>
      <c r="H17" s="29">
        <f>COUNTIF('BRD-11 User Access'!C5:C581,"Business rule confirmation")</f>
        <v/>
      </c>
      <c r="I17" s="29">
        <f>COUNTIF('BRD-11 User Access'!C5:C581,"Configuration value")</f>
        <v/>
      </c>
      <c r="J17" s="29">
        <f>COUNTIF('BRD-11 User Access'!C5:C581,"Master data")</f>
        <v/>
      </c>
      <c r="K17" s="29">
        <f>COUNTIF('BRD-11 User Access'!C5:C581,"Sample document or template")</f>
        <v/>
      </c>
      <c r="L17" s="29">
        <f>COUNTIF('BRD-11 User Access'!C5:C581,"Report layout")</f>
        <v/>
      </c>
      <c r="M17" s="29">
        <f>COUNTIF('BRD-11 User Access'!C5:C581,"Integration detail")</f>
        <v/>
      </c>
      <c r="N17" s="29">
        <f>COUNTIF('BRD-11 User Access'!C5:C581,"Test data")</f>
        <v/>
      </c>
      <c r="O17" s="29">
        <f>COUNTIF('BRD-11 User Access'!C5:C581,"Sign-off")</f>
        <v/>
      </c>
      <c r="P17" s="29">
        <f>COUNTIF('BRD-11 User Access'!K5:K581,"Open")</f>
        <v/>
      </c>
      <c r="Q17" s="29">
        <f>COUNTIF('BRD-11 User Access'!K5:K581,"Partly answered")</f>
        <v/>
      </c>
      <c r="R17" s="29">
        <f>COUNTIF('BRD-11 User Access'!K5:K581,"Answered")</f>
        <v/>
      </c>
      <c r="S17" s="30">
        <f>MIN('BRD-11 User Access'!I5:I581)</f>
        <v/>
      </c>
      <c r="T17" s="30">
        <f>MAX('BRD-11 User Access'!I5:I581)</f>
        <v/>
      </c>
    </row>
    <row r="18">
      <c r="A18" s="28" t="inlineStr">
        <is>
          <t>BRD-12</t>
        </is>
      </c>
      <c r="B18" s="29" t="inlineStr">
        <is>
          <t>Submitted Policies</t>
        </is>
      </c>
      <c r="C18" s="29" t="inlineStr">
        <is>
          <t>Drop 1</t>
        </is>
      </c>
      <c r="D18" s="29" t="inlineStr">
        <is>
          <t>Product Owner, Submitted Policies</t>
        </is>
      </c>
      <c r="E18" s="29">
        <f>COUNTA('BRD-12 Submitted Policies'!A5:A542)</f>
        <v/>
      </c>
      <c r="F18" s="29">
        <f>COUNTIF('BRD-12 Submitted Policies'!C5:C542,"Decision")</f>
        <v/>
      </c>
      <c r="G18" s="29">
        <f>COUNTIF('BRD-12 Submitted Policies'!C5:C542,"Clarification")</f>
        <v/>
      </c>
      <c r="H18" s="29">
        <f>COUNTIF('BRD-12 Submitted Policies'!C5:C542,"Business rule confirmation")</f>
        <v/>
      </c>
      <c r="I18" s="29">
        <f>COUNTIF('BRD-12 Submitted Policies'!C5:C542,"Configuration value")</f>
        <v/>
      </c>
      <c r="J18" s="29">
        <f>COUNTIF('BRD-12 Submitted Policies'!C5:C542,"Master data")</f>
        <v/>
      </c>
      <c r="K18" s="29">
        <f>COUNTIF('BRD-12 Submitted Policies'!C5:C542,"Sample document or template")</f>
        <v/>
      </c>
      <c r="L18" s="29">
        <f>COUNTIF('BRD-12 Submitted Policies'!C5:C542,"Report layout")</f>
        <v/>
      </c>
      <c r="M18" s="29">
        <f>COUNTIF('BRD-12 Submitted Policies'!C5:C542,"Integration detail")</f>
        <v/>
      </c>
      <c r="N18" s="29">
        <f>COUNTIF('BRD-12 Submitted Policies'!C5:C542,"Test data")</f>
        <v/>
      </c>
      <c r="O18" s="29">
        <f>COUNTIF('BRD-12 Submitted Policies'!C5:C542,"Sign-off")</f>
        <v/>
      </c>
      <c r="P18" s="29">
        <f>COUNTIF('BRD-12 Submitted Policies'!K5:K542,"Open")</f>
        <v/>
      </c>
      <c r="Q18" s="29">
        <f>COUNTIF('BRD-12 Submitted Policies'!K5:K542,"Partly answered")</f>
        <v/>
      </c>
      <c r="R18" s="29">
        <f>COUNTIF('BRD-12 Submitted Policies'!K5:K542,"Answered")</f>
        <v/>
      </c>
      <c r="S18" s="30">
        <f>MIN('BRD-12 Submitted Policies'!I5:I542)</f>
        <v/>
      </c>
      <c r="T18" s="30">
        <f>MAX('BRD-12 Submitted Policies'!I5:I542)</f>
        <v/>
      </c>
    </row>
    <row r="19">
      <c r="A19" s="28" t="inlineStr">
        <is>
          <t>BRD-13</t>
        </is>
      </c>
      <c r="B19" s="29" t="inlineStr">
        <is>
          <t>Data Migration</t>
        </is>
      </c>
      <c r="C19" s="29" t="inlineStr">
        <is>
          <t>Drop 0</t>
        </is>
      </c>
      <c r="D19" s="29" t="inlineStr">
        <is>
          <t>Program Manager, Business Project Services (Data Migration)</t>
        </is>
      </c>
      <c r="E19" s="29">
        <f>COUNTA('BRD-13 Data Migration'!A5:A578)</f>
        <v/>
      </c>
      <c r="F19" s="29">
        <f>COUNTIF('BRD-13 Data Migration'!C5:C578,"Decision")</f>
        <v/>
      </c>
      <c r="G19" s="29">
        <f>COUNTIF('BRD-13 Data Migration'!C5:C578,"Clarification")</f>
        <v/>
      </c>
      <c r="H19" s="29">
        <f>COUNTIF('BRD-13 Data Migration'!C5:C578,"Business rule confirmation")</f>
        <v/>
      </c>
      <c r="I19" s="29">
        <f>COUNTIF('BRD-13 Data Migration'!C5:C578,"Configuration value")</f>
        <v/>
      </c>
      <c r="J19" s="29">
        <f>COUNTIF('BRD-13 Data Migration'!C5:C578,"Master data")</f>
        <v/>
      </c>
      <c r="K19" s="29">
        <f>COUNTIF('BRD-13 Data Migration'!C5:C578,"Sample document or template")</f>
        <v/>
      </c>
      <c r="L19" s="29">
        <f>COUNTIF('BRD-13 Data Migration'!C5:C578,"Report layout")</f>
        <v/>
      </c>
      <c r="M19" s="29">
        <f>COUNTIF('BRD-13 Data Migration'!C5:C578,"Integration detail")</f>
        <v/>
      </c>
      <c r="N19" s="29">
        <f>COUNTIF('BRD-13 Data Migration'!C5:C578,"Test data")</f>
        <v/>
      </c>
      <c r="O19" s="29">
        <f>COUNTIF('BRD-13 Data Migration'!C5:C578,"Sign-off")</f>
        <v/>
      </c>
      <c r="P19" s="29">
        <f>COUNTIF('BRD-13 Data Migration'!K5:K578,"Open")</f>
        <v/>
      </c>
      <c r="Q19" s="29">
        <f>COUNTIF('BRD-13 Data Migration'!K5:K578,"Partly answered")</f>
        <v/>
      </c>
      <c r="R19" s="29">
        <f>COUNTIF('BRD-13 Data Migration'!K5:K578,"Answered")</f>
        <v/>
      </c>
      <c r="S19" s="30">
        <f>MIN('BRD-13 Data Migration'!I5:I578)</f>
        <v/>
      </c>
      <c r="T19" s="30">
        <f>MAX('BRD-13 Data Migration'!I5:I578)</f>
        <v/>
      </c>
    </row>
    <row r="20">
      <c r="A20" s="28" t="inlineStr">
        <is>
          <t>Phase 2</t>
        </is>
      </c>
      <c r="B20" s="29" t="inlineStr">
        <is>
          <t>ReInsurance (phase 2)</t>
        </is>
      </c>
      <c r="C20" s="29" t="inlineStr">
        <is>
          <t>Phase 2</t>
        </is>
      </c>
      <c r="D20" s="29" t="inlineStr">
        <is>
          <t>BIBS Product Owner with the Head, Operations (Remittance)</t>
        </is>
      </c>
      <c r="E20" s="29">
        <f>COUNTA('RI Reinsurance (phase 2)'!A5:A510)</f>
        <v/>
      </c>
      <c r="F20" s="29">
        <f>COUNTIF('RI Reinsurance (phase 2)'!C5:C510,"Decision")</f>
        <v/>
      </c>
      <c r="G20" s="29">
        <f>COUNTIF('RI Reinsurance (phase 2)'!C5:C510,"Clarification")</f>
        <v/>
      </c>
      <c r="H20" s="29">
        <f>COUNTIF('RI Reinsurance (phase 2)'!C5:C510,"Business rule confirmation")</f>
        <v/>
      </c>
      <c r="I20" s="29">
        <f>COUNTIF('RI Reinsurance (phase 2)'!C5:C510,"Configuration value")</f>
        <v/>
      </c>
      <c r="J20" s="29">
        <f>COUNTIF('RI Reinsurance (phase 2)'!C5:C510,"Master data")</f>
        <v/>
      </c>
      <c r="K20" s="29">
        <f>COUNTIF('RI Reinsurance (phase 2)'!C5:C510,"Sample document or template")</f>
        <v/>
      </c>
      <c r="L20" s="29">
        <f>COUNTIF('RI Reinsurance (phase 2)'!C5:C510,"Report layout")</f>
        <v/>
      </c>
      <c r="M20" s="29">
        <f>COUNTIF('RI Reinsurance (phase 2)'!C5:C510,"Integration detail")</f>
        <v/>
      </c>
      <c r="N20" s="29">
        <f>COUNTIF('RI Reinsurance (phase 2)'!C5:C510,"Test data")</f>
        <v/>
      </c>
      <c r="O20" s="29">
        <f>COUNTIF('RI Reinsurance (phase 2)'!C5:C510,"Sign-off")</f>
        <v/>
      </c>
      <c r="P20" s="29">
        <f>COUNTIF('RI Reinsurance (phase 2)'!K5:K510,"Open")</f>
        <v/>
      </c>
      <c r="Q20" s="29">
        <f>COUNTIF('RI Reinsurance (phase 2)'!K5:K510,"Partly answered")</f>
        <v/>
      </c>
      <c r="R20" s="29">
        <f>COUNTIF('RI Reinsurance (phase 2)'!K5:K510,"Answered")</f>
        <v/>
      </c>
      <c r="S20" s="30">
        <f>MIN('RI Reinsurance (phase 2)'!I5:I510)</f>
        <v/>
      </c>
      <c r="T20" s="30">
        <f>MAX('RI Reinsurance (phase 2)'!I5:I510)</f>
        <v/>
      </c>
    </row>
    <row r="21">
      <c r="A21" s="31" t="inlineStr">
        <is>
          <t>Total</t>
        </is>
      </c>
      <c r="B21" s="14" t="n"/>
      <c r="C21" s="14" t="n"/>
      <c r="D21" s="14" t="n"/>
      <c r="E21" s="31">
        <f>SUM(E6:E20)</f>
        <v/>
      </c>
      <c r="F21" s="31">
        <f>SUM(F6:F20)</f>
        <v/>
      </c>
      <c r="G21" s="31">
        <f>SUM(G6:G20)</f>
        <v/>
      </c>
      <c r="H21" s="31">
        <f>SUM(H6:H20)</f>
        <v/>
      </c>
      <c r="I21" s="31">
        <f>SUM(I6:I20)</f>
        <v/>
      </c>
      <c r="J21" s="31">
        <f>SUM(J6:J20)</f>
        <v/>
      </c>
      <c r="K21" s="31">
        <f>SUM(K6:K20)</f>
        <v/>
      </c>
      <c r="L21" s="31">
        <f>SUM(L6:L20)</f>
        <v/>
      </c>
      <c r="M21" s="31">
        <f>SUM(M6:M20)</f>
        <v/>
      </c>
      <c r="N21" s="31">
        <f>SUM(N6:N20)</f>
        <v/>
      </c>
      <c r="O21" s="31">
        <f>SUM(O6:O20)</f>
        <v/>
      </c>
      <c r="P21" s="31">
        <f>SUM(P6:P20)</f>
        <v/>
      </c>
      <c r="Q21" s="31">
        <f>SUM(Q6:Q20)</f>
        <v/>
      </c>
      <c r="R21" s="31">
        <f>SUM(R6:R20)</f>
        <v/>
      </c>
      <c r="S21" s="32">
        <f>MIN(S6:S20)</f>
        <v/>
      </c>
      <c r="T21" s="32">
        <f>MAX(T6:T20)</f>
        <v/>
      </c>
    </row>
    <row r="23">
      <c r="A23" s="24" t="inlineStr">
        <is>
          <t>Items per BDOI owner (role), as issued (owners with five items or more)</t>
        </is>
      </c>
    </row>
    <row r="24">
      <c r="A24" s="27" t="inlineStr">
        <is>
          <t>Owner (role)</t>
        </is>
      </c>
      <c r="B24" s="33" t="n"/>
      <c r="C24" s="33" t="n"/>
      <c r="D24" s="23" t="n"/>
      <c r="E24" s="27" t="inlineStr">
        <is>
          <t>Items</t>
        </is>
      </c>
      <c r="F24" s="27" t="inlineStr">
        <is>
          <t>Open</t>
        </is>
      </c>
      <c r="G24" s="27" t="inlineStr">
        <is>
          <t>Partly answered</t>
        </is>
      </c>
      <c r="H24" s="27" t="inlineStr">
        <is>
          <t>Answered</t>
        </is>
      </c>
      <c r="I24" s="27" t="inlineStr">
        <is>
          <t>First needed by</t>
        </is>
      </c>
      <c r="J24" s="27" t="inlineStr">
        <is>
          <t>BRDs</t>
        </is>
      </c>
    </row>
    <row r="25">
      <c r="A25" s="29" t="inlineStr">
        <is>
          <t>Head, Comptrollership</t>
        </is>
      </c>
      <c r="B25" s="33" t="n"/>
      <c r="C25" s="33" t="n"/>
      <c r="D25" s="23" t="n"/>
      <c r="E25" s="29" t="n">
        <v>69</v>
      </c>
      <c r="F25" s="29" t="n">
        <v>67</v>
      </c>
      <c r="G25" s="29" t="n">
        <v>2</v>
      </c>
      <c r="H25" s="29" t="n">
        <v>0</v>
      </c>
      <c r="I25" s="30" t="n">
        <v>46311</v>
      </c>
      <c r="J25" s="29" t="inlineStr">
        <is>
          <t>BRD-00, BRD-05, BRD-11, BRD-13</t>
        </is>
      </c>
      <c r="K25" s="33" t="n"/>
      <c r="L25" s="33" t="n"/>
      <c r="M25" s="33" t="n"/>
      <c r="N25" s="23" t="n"/>
    </row>
    <row r="26">
      <c r="A26" s="29" t="inlineStr">
        <is>
          <t>Head, Operations Services</t>
        </is>
      </c>
      <c r="B26" s="33" t="n"/>
      <c r="C26" s="33" t="n"/>
      <c r="D26" s="23" t="n"/>
      <c r="E26" s="29" t="n">
        <v>69</v>
      </c>
      <c r="F26" s="29" t="n">
        <v>58</v>
      </c>
      <c r="G26" s="29" t="n">
        <v>9</v>
      </c>
      <c r="H26" s="29" t="n">
        <v>2</v>
      </c>
      <c r="I26" s="30" t="n">
        <v>46356</v>
      </c>
      <c r="J26" s="29" t="inlineStr">
        <is>
          <t>BRD-02</t>
        </is>
      </c>
      <c r="K26" s="33" t="n"/>
      <c r="L26" s="33" t="n"/>
      <c r="M26" s="33" t="n"/>
      <c r="N26" s="23" t="n"/>
    </row>
    <row r="27">
      <c r="A27" s="29" t="inlineStr">
        <is>
          <t>Product Owner, New Business</t>
        </is>
      </c>
      <c r="B27" s="33" t="n"/>
      <c r="C27" s="33" t="n"/>
      <c r="D27" s="23" t="n"/>
      <c r="E27" s="29" t="n">
        <v>50</v>
      </c>
      <c r="F27" s="29" t="n">
        <v>39</v>
      </c>
      <c r="G27" s="29" t="n">
        <v>11</v>
      </c>
      <c r="H27" s="29" t="n">
        <v>0</v>
      </c>
      <c r="I27" s="30" t="n">
        <v>46356</v>
      </c>
      <c r="J27" s="29" t="inlineStr">
        <is>
          <t>BRD-01</t>
        </is>
      </c>
      <c r="K27" s="33" t="n"/>
      <c r="L27" s="33" t="n"/>
      <c r="M27" s="33" t="n"/>
      <c r="N27" s="23" t="n"/>
    </row>
    <row r="28">
      <c r="A28" s="29" t="inlineStr">
        <is>
          <t>Product Owner, Renewal</t>
        </is>
      </c>
      <c r="B28" s="33" t="n"/>
      <c r="C28" s="33" t="n"/>
      <c r="D28" s="23" t="n"/>
      <c r="E28" s="29" t="n">
        <v>45</v>
      </c>
      <c r="F28" s="29" t="n">
        <v>39</v>
      </c>
      <c r="G28" s="29" t="n">
        <v>5</v>
      </c>
      <c r="H28" s="29" t="n">
        <v>1</v>
      </c>
      <c r="I28" s="30" t="n">
        <v>46356</v>
      </c>
      <c r="J28" s="29" t="inlineStr">
        <is>
          <t>BRD-06</t>
        </is>
      </c>
      <c r="K28" s="33" t="n"/>
      <c r="L28" s="33" t="n"/>
      <c r="M28" s="33" t="n"/>
      <c r="N28" s="23" t="n"/>
    </row>
    <row r="29">
      <c r="A29" s="29" t="inlineStr">
        <is>
          <t>VP and Head, BDOI Operations (Collections)</t>
        </is>
      </c>
      <c r="B29" s="33" t="n"/>
      <c r="C29" s="33" t="n"/>
      <c r="D29" s="23" t="n"/>
      <c r="E29" s="29" t="n">
        <v>43</v>
      </c>
      <c r="F29" s="29" t="n">
        <v>36</v>
      </c>
      <c r="G29" s="29" t="n">
        <v>6</v>
      </c>
      <c r="H29" s="29" t="n">
        <v>1</v>
      </c>
      <c r="I29" s="30" t="n">
        <v>46356</v>
      </c>
      <c r="J29" s="29" t="inlineStr">
        <is>
          <t>BRD-04</t>
        </is>
      </c>
      <c r="K29" s="33" t="n"/>
      <c r="L29" s="33" t="n"/>
      <c r="M29" s="33" t="n"/>
      <c r="N29" s="23" t="n"/>
    </row>
    <row r="30">
      <c r="A30" s="29" t="inlineStr">
        <is>
          <t>Product Owner, Claims</t>
        </is>
      </c>
      <c r="B30" s="33" t="n"/>
      <c r="C30" s="33" t="n"/>
      <c r="D30" s="23" t="n"/>
      <c r="E30" s="29" t="n">
        <v>29</v>
      </c>
      <c r="F30" s="29" t="n">
        <v>24</v>
      </c>
      <c r="G30" s="29" t="n">
        <v>4</v>
      </c>
      <c r="H30" s="29" t="n">
        <v>1</v>
      </c>
      <c r="I30" s="30" t="n">
        <v>46444</v>
      </c>
      <c r="J30" s="29" t="inlineStr">
        <is>
          <t>BRD-07</t>
        </is>
      </c>
      <c r="K30" s="33" t="n"/>
      <c r="L30" s="33" t="n"/>
      <c r="M30" s="33" t="n"/>
      <c r="N30" s="23" t="n"/>
    </row>
    <row r="31">
      <c r="A31" s="29" t="inlineStr">
        <is>
          <t>Program Manager, Business Project Services (Data Migration)</t>
        </is>
      </c>
      <c r="B31" s="33" t="n"/>
      <c r="C31" s="33" t="n"/>
      <c r="D31" s="23" t="n"/>
      <c r="E31" s="29" t="n">
        <v>26</v>
      </c>
      <c r="F31" s="29" t="n">
        <v>25</v>
      </c>
      <c r="G31" s="29" t="n">
        <v>1</v>
      </c>
      <c r="H31" s="29" t="n">
        <v>0</v>
      </c>
      <c r="I31" s="30" t="n">
        <v>46311</v>
      </c>
      <c r="J31" s="29" t="inlineStr">
        <is>
          <t>BRD-13</t>
        </is>
      </c>
      <c r="K31" s="33" t="n"/>
      <c r="L31" s="33" t="n"/>
      <c r="M31" s="33" t="n"/>
      <c r="N31" s="23" t="n"/>
    </row>
    <row r="32">
      <c r="A32" s="29" t="inlineStr">
        <is>
          <t>Product Owner, Submitted Policies</t>
        </is>
      </c>
      <c r="B32" s="33" t="n"/>
      <c r="C32" s="33" t="n"/>
      <c r="D32" s="23" t="n"/>
      <c r="E32" s="29" t="n">
        <v>24</v>
      </c>
      <c r="F32" s="29" t="n">
        <v>23</v>
      </c>
      <c r="G32" s="29" t="n">
        <v>0</v>
      </c>
      <c r="H32" s="29" t="n">
        <v>1</v>
      </c>
      <c r="I32" s="30" t="n">
        <v>46356</v>
      </c>
      <c r="J32" s="29" t="inlineStr">
        <is>
          <t>BRD-12</t>
        </is>
      </c>
      <c r="K32" s="33" t="n"/>
      <c r="L32" s="33" t="n"/>
      <c r="M32" s="33" t="n"/>
      <c r="N32" s="23" t="n"/>
    </row>
    <row r="33">
      <c r="A33" s="29" t="inlineStr">
        <is>
          <t>BDOI IT</t>
        </is>
      </c>
      <c r="B33" s="33" t="n"/>
      <c r="C33" s="33" t="n"/>
      <c r="D33" s="23" t="n"/>
      <c r="E33" s="29" t="n">
        <v>20</v>
      </c>
      <c r="F33" s="29" t="n">
        <v>20</v>
      </c>
      <c r="G33" s="29" t="n">
        <v>0</v>
      </c>
      <c r="H33" s="29" t="n">
        <v>0</v>
      </c>
      <c r="I33" s="30" t="n">
        <v>46311</v>
      </c>
      <c r="J33" s="29" t="inlineStr">
        <is>
          <t>BRD-00, BRD-03, BRD-13</t>
        </is>
      </c>
      <c r="K33" s="33" t="n"/>
      <c r="L33" s="33" t="n"/>
      <c r="M33" s="33" t="n"/>
      <c r="N33" s="23" t="n"/>
    </row>
    <row r="34">
      <c r="A34" s="29" t="inlineStr">
        <is>
          <t>Marketing and Processing - Renewal (RMEL)</t>
        </is>
      </c>
      <c r="B34" s="33" t="n"/>
      <c r="C34" s="33" t="n"/>
      <c r="D34" s="23" t="n"/>
      <c r="E34" s="29" t="n">
        <v>20</v>
      </c>
      <c r="F34" s="29" t="n">
        <v>16</v>
      </c>
      <c r="G34" s="29" t="n">
        <v>3</v>
      </c>
      <c r="H34" s="29" t="n">
        <v>1</v>
      </c>
      <c r="I34" s="30" t="n">
        <v>46356</v>
      </c>
      <c r="J34" s="29" t="inlineStr">
        <is>
          <t>BRD-00, BRD-04, BRD-06</t>
        </is>
      </c>
      <c r="K34" s="33" t="n"/>
      <c r="L34" s="33" t="n"/>
      <c r="M34" s="33" t="n"/>
      <c r="N34" s="23" t="n"/>
    </row>
    <row r="35">
      <c r="A35" s="29" t="inlineStr">
        <is>
          <t>Head, BDOI Information Security</t>
        </is>
      </c>
      <c r="B35" s="33" t="n"/>
      <c r="C35" s="33" t="n"/>
      <c r="D35" s="23" t="n"/>
      <c r="E35" s="29" t="n">
        <v>17</v>
      </c>
      <c r="F35" s="29" t="n">
        <v>16</v>
      </c>
      <c r="G35" s="29" t="n">
        <v>1</v>
      </c>
      <c r="H35" s="29" t="n">
        <v>0</v>
      </c>
      <c r="I35" s="30" t="n">
        <v>46357</v>
      </c>
      <c r="J35" s="29" t="inlineStr">
        <is>
          <t>BRD-11</t>
        </is>
      </c>
      <c r="K35" s="33" t="n"/>
      <c r="L35" s="33" t="n"/>
      <c r="M35" s="33" t="n"/>
      <c r="N35" s="23" t="n"/>
    </row>
    <row r="36">
      <c r="A36" s="29" t="inlineStr">
        <is>
          <t>Process Owner, User Access Maintenance (Business Administration)</t>
        </is>
      </c>
      <c r="B36" s="33" t="n"/>
      <c r="C36" s="33" t="n"/>
      <c r="D36" s="23" t="n"/>
      <c r="E36" s="29" t="n">
        <v>17</v>
      </c>
      <c r="F36" s="29" t="n">
        <v>17</v>
      </c>
      <c r="G36" s="29" t="n">
        <v>0</v>
      </c>
      <c r="H36" s="29" t="n">
        <v>0</v>
      </c>
      <c r="I36" s="30" t="n">
        <v>46357</v>
      </c>
      <c r="J36" s="29" t="inlineStr">
        <is>
          <t>BRD-11</t>
        </is>
      </c>
      <c r="K36" s="33" t="n"/>
      <c r="L36" s="33" t="n"/>
      <c r="M36" s="33" t="n"/>
      <c r="N36" s="23" t="n"/>
    </row>
    <row r="37">
      <c r="A37" s="29" t="inlineStr">
        <is>
          <t>Product Owner, Employee Benefits</t>
        </is>
      </c>
      <c r="B37" s="33" t="n"/>
      <c r="C37" s="33" t="n"/>
      <c r="D37" s="23" t="n"/>
      <c r="E37" s="29" t="n">
        <v>17</v>
      </c>
      <c r="F37" s="29" t="n">
        <v>16</v>
      </c>
      <c r="G37" s="29" t="n">
        <v>0</v>
      </c>
      <c r="H37" s="29" t="n">
        <v>1</v>
      </c>
      <c r="I37" s="30" t="n">
        <v>46444</v>
      </c>
      <c r="J37" s="29" t="inlineStr">
        <is>
          <t>BRD-08</t>
        </is>
      </c>
      <c r="K37" s="33" t="n"/>
      <c r="L37" s="33" t="n"/>
      <c r="M37" s="33" t="n"/>
      <c r="N37" s="23" t="n"/>
    </row>
    <row r="38">
      <c r="A38" s="29" t="inlineStr">
        <is>
          <t>Operations - Financial Transactions and Processing</t>
        </is>
      </c>
      <c r="B38" s="33" t="n"/>
      <c r="C38" s="33" t="n"/>
      <c r="D38" s="23" t="n"/>
      <c r="E38" s="29" t="n">
        <v>16</v>
      </c>
      <c r="F38" s="29" t="n">
        <v>10</v>
      </c>
      <c r="G38" s="29" t="n">
        <v>5</v>
      </c>
      <c r="H38" s="29" t="n">
        <v>1</v>
      </c>
      <c r="I38" s="30" t="n">
        <v>46356</v>
      </c>
      <c r="J38" s="29" t="inlineStr">
        <is>
          <t>BRD-00, BRD-02</t>
        </is>
      </c>
      <c r="K38" s="33" t="n"/>
      <c r="L38" s="33" t="n"/>
      <c r="M38" s="33" t="n"/>
      <c r="N38" s="23" t="n"/>
    </row>
    <row r="39">
      <c r="A39" s="29" t="inlineStr">
        <is>
          <t>BIBS Product Owner</t>
        </is>
      </c>
      <c r="B39" s="33" t="n"/>
      <c r="C39" s="33" t="n"/>
      <c r="D39" s="23" t="n"/>
      <c r="E39" s="29" t="n">
        <v>15</v>
      </c>
      <c r="F39" s="29" t="n">
        <v>13</v>
      </c>
      <c r="G39" s="29" t="n">
        <v>2</v>
      </c>
      <c r="H39" s="29" t="n">
        <v>0</v>
      </c>
      <c r="I39" s="30" t="n">
        <v>46356</v>
      </c>
      <c r="J39" s="29" t="inlineStr">
        <is>
          <t>BRD-00, RI</t>
        </is>
      </c>
      <c r="K39" s="33" t="n"/>
      <c r="L39" s="33" t="n"/>
      <c r="M39" s="33" t="n"/>
      <c r="N39" s="23" t="n"/>
    </row>
    <row r="40">
      <c r="A40" s="29" t="inlineStr">
        <is>
          <t>BIBS Product Owner with the Program Manager, Business Project Services</t>
        </is>
      </c>
      <c r="B40" s="33" t="n"/>
      <c r="C40" s="33" t="n"/>
      <c r="D40" s="23" t="n"/>
      <c r="E40" s="29" t="n">
        <v>15</v>
      </c>
      <c r="F40" s="29" t="n">
        <v>15</v>
      </c>
      <c r="G40" s="29" t="n">
        <v>0</v>
      </c>
      <c r="H40" s="29" t="n">
        <v>0</v>
      </c>
      <c r="I40" s="30" t="n">
        <v>46356</v>
      </c>
      <c r="J40" s="29" t="inlineStr">
        <is>
          <t>BRD-00</t>
        </is>
      </c>
      <c r="K40" s="33" t="n"/>
      <c r="L40" s="33" t="n"/>
      <c r="M40" s="33" t="n"/>
      <c r="N40" s="23" t="n"/>
    </row>
    <row r="41">
      <c r="A41" s="29" t="inlineStr">
        <is>
          <t>BIBS Product Owner, with the owners of the BRDs involved</t>
        </is>
      </c>
      <c r="B41" s="33" t="n"/>
      <c r="C41" s="33" t="n"/>
      <c r="D41" s="23" t="n"/>
      <c r="E41" s="29" t="n">
        <v>15</v>
      </c>
      <c r="F41" s="29" t="n">
        <v>10</v>
      </c>
      <c r="G41" s="29" t="n">
        <v>4</v>
      </c>
      <c r="H41" s="29" t="n">
        <v>1</v>
      </c>
      <c r="I41" s="30" t="n">
        <v>46356</v>
      </c>
      <c r="J41" s="29" t="inlineStr">
        <is>
          <t>BRD-00, BRD-01, BRD-08, BRD-12</t>
        </is>
      </c>
      <c r="K41" s="33" t="n"/>
      <c r="L41" s="33" t="n"/>
      <c r="M41" s="33" t="n"/>
      <c r="N41" s="23" t="n"/>
    </row>
    <row r="42">
      <c r="A42" s="29" t="inlineStr">
        <is>
          <t>Head, BDOI IT</t>
        </is>
      </c>
      <c r="B42" s="33" t="n"/>
      <c r="C42" s="33" t="n"/>
      <c r="D42" s="23" t="n"/>
      <c r="E42" s="29" t="n">
        <v>15</v>
      </c>
      <c r="F42" s="29" t="n">
        <v>15</v>
      </c>
      <c r="G42" s="29" t="n">
        <v>0</v>
      </c>
      <c r="H42" s="29" t="n">
        <v>0</v>
      </c>
      <c r="I42" s="30" t="n">
        <v>46356</v>
      </c>
      <c r="J42" s="29" t="inlineStr">
        <is>
          <t>BRD-00</t>
        </is>
      </c>
      <c r="K42" s="33" t="n"/>
      <c r="L42" s="33" t="n"/>
      <c r="M42" s="33" t="n"/>
      <c r="N42" s="23" t="n"/>
    </row>
    <row r="43">
      <c r="A43" s="29" t="inlineStr">
        <is>
          <t>Product Owner, Customer Servicing Facility</t>
        </is>
      </c>
      <c r="B43" s="33" t="n"/>
      <c r="C43" s="33" t="n"/>
      <c r="D43" s="23" t="n"/>
      <c r="E43" s="29" t="n">
        <v>15</v>
      </c>
      <c r="F43" s="29" t="n">
        <v>14</v>
      </c>
      <c r="G43" s="29" t="n">
        <v>1</v>
      </c>
      <c r="H43" s="29" t="n">
        <v>0</v>
      </c>
      <c r="I43" s="30" t="n">
        <v>46356</v>
      </c>
      <c r="J43" s="29" t="inlineStr">
        <is>
          <t>BRD-09</t>
        </is>
      </c>
      <c r="K43" s="33" t="n"/>
      <c r="L43" s="33" t="n"/>
      <c r="M43" s="33" t="n"/>
      <c r="N43" s="23" t="n"/>
    </row>
    <row r="44">
      <c r="A44" s="29" t="inlineStr">
        <is>
          <t>Comptrollership - FRBS, Disbursement and ACSL</t>
        </is>
      </c>
      <c r="B44" s="33" t="n"/>
      <c r="C44" s="33" t="n"/>
      <c r="D44" s="23" t="n"/>
      <c r="E44" s="29" t="n">
        <v>12</v>
      </c>
      <c r="F44" s="29" t="n">
        <v>9</v>
      </c>
      <c r="G44" s="29" t="n">
        <v>3</v>
      </c>
      <c r="H44" s="29" t="n">
        <v>0</v>
      </c>
      <c r="I44" s="30" t="n">
        <v>46356</v>
      </c>
      <c r="J44" s="29" t="inlineStr">
        <is>
          <t>BRD-00, BRD-05</t>
        </is>
      </c>
      <c r="K44" s="33" t="n"/>
      <c r="L44" s="33" t="n"/>
      <c r="M44" s="33" t="n"/>
      <c r="N44" s="23" t="n"/>
    </row>
    <row r="45">
      <c r="A45" s="29" t="inlineStr">
        <is>
          <t>Head, BDOI IT (identity and access team)</t>
        </is>
      </c>
      <c r="B45" s="33" t="n"/>
      <c r="C45" s="33" t="n"/>
      <c r="D45" s="23" t="n"/>
      <c r="E45" s="29" t="n">
        <v>12</v>
      </c>
      <c r="F45" s="29" t="n">
        <v>12</v>
      </c>
      <c r="G45" s="29" t="n">
        <v>0</v>
      </c>
      <c r="H45" s="29" t="n">
        <v>0</v>
      </c>
      <c r="I45" s="30" t="n">
        <v>46357</v>
      </c>
      <c r="J45" s="29" t="inlineStr">
        <is>
          <t>BRD-11</t>
        </is>
      </c>
      <c r="K45" s="33" t="n"/>
      <c r="L45" s="33" t="n"/>
      <c r="M45" s="33" t="n"/>
      <c r="N45" s="23" t="n"/>
    </row>
    <row r="46">
      <c r="A46" s="29" t="inlineStr">
        <is>
          <t>Product Owner, Marketing Business System</t>
        </is>
      </c>
      <c r="B46" s="33" t="n"/>
      <c r="C46" s="33" t="n"/>
      <c r="D46" s="23" t="n"/>
      <c r="E46" s="29" t="n">
        <v>12</v>
      </c>
      <c r="F46" s="29" t="n">
        <v>9</v>
      </c>
      <c r="G46" s="29" t="n">
        <v>3</v>
      </c>
      <c r="H46" s="29" t="n">
        <v>0</v>
      </c>
      <c r="I46" s="30" t="n">
        <v>46325</v>
      </c>
      <c r="J46" s="29" t="inlineStr">
        <is>
          <t>BRD-03, BRD-11, BRD-13</t>
        </is>
      </c>
      <c r="K46" s="33" t="n"/>
      <c r="L46" s="33" t="n"/>
      <c r="M46" s="33" t="n"/>
      <c r="N46" s="23" t="n"/>
    </row>
    <row r="47">
      <c r="A47" s="29" t="inlineStr">
        <is>
          <t>Product Owner, Marketing Business System (MBS)</t>
        </is>
      </c>
      <c r="B47" s="33" t="n"/>
      <c r="C47" s="33" t="n"/>
      <c r="D47" s="23" t="n"/>
      <c r="E47" s="29" t="n">
        <v>12</v>
      </c>
      <c r="F47" s="29" t="n">
        <v>11</v>
      </c>
      <c r="G47" s="29" t="n">
        <v>1</v>
      </c>
      <c r="H47" s="29" t="n">
        <v>0</v>
      </c>
      <c r="I47" s="30" t="n">
        <v>46356</v>
      </c>
      <c r="J47" s="29" t="inlineStr">
        <is>
          <t>BRD-03</t>
        </is>
      </c>
      <c r="K47" s="33" t="n"/>
      <c r="L47" s="33" t="n"/>
      <c r="M47" s="33" t="n"/>
      <c r="N47" s="23" t="n"/>
    </row>
    <row r="48">
      <c r="A48" s="29" t="inlineStr">
        <is>
          <t>BDOI IT with the BIBS Product Owner with the Program Manager, Business Project Services</t>
        </is>
      </c>
      <c r="B48" s="33" t="n"/>
      <c r="C48" s="33" t="n"/>
      <c r="D48" s="23" t="n"/>
      <c r="E48" s="29" t="n">
        <v>11</v>
      </c>
      <c r="F48" s="29" t="n">
        <v>11</v>
      </c>
      <c r="G48" s="29" t="n">
        <v>0</v>
      </c>
      <c r="H48" s="29" t="n">
        <v>0</v>
      </c>
      <c r="I48" s="30" t="n">
        <v>46418</v>
      </c>
      <c r="J48" s="29" t="inlineStr">
        <is>
          <t>BRD-00</t>
        </is>
      </c>
      <c r="K48" s="33" t="n"/>
      <c r="L48" s="33" t="n"/>
      <c r="M48" s="33" t="n"/>
      <c r="N48" s="23" t="n"/>
    </row>
    <row r="49">
      <c r="A49" s="29" t="inlineStr">
        <is>
          <t>Chief Compliance Officer (Compliance)</t>
        </is>
      </c>
      <c r="B49" s="33" t="n"/>
      <c r="C49" s="33" t="n"/>
      <c r="D49" s="23" t="n"/>
      <c r="E49" s="29" t="n">
        <v>11</v>
      </c>
      <c r="F49" s="29" t="n">
        <v>11</v>
      </c>
      <c r="G49" s="29" t="n">
        <v>0</v>
      </c>
      <c r="H49" s="29" t="n">
        <v>0</v>
      </c>
      <c r="I49" s="30" t="n">
        <v>46356</v>
      </c>
      <c r="J49" s="29" t="inlineStr">
        <is>
          <t>BRD-10</t>
        </is>
      </c>
      <c r="K49" s="33" t="n"/>
      <c r="L49" s="33" t="n"/>
      <c r="M49" s="33" t="n"/>
      <c r="N49" s="23" t="n"/>
    </row>
    <row r="50">
      <c r="A50" s="29" t="inlineStr">
        <is>
          <t>BDOI Information Security</t>
        </is>
      </c>
      <c r="B50" s="33" t="n"/>
      <c r="C50" s="33" t="n"/>
      <c r="D50" s="23" t="n"/>
      <c r="E50" s="29" t="n">
        <v>10</v>
      </c>
      <c r="F50" s="29" t="n">
        <v>9</v>
      </c>
      <c r="G50" s="29" t="n">
        <v>1</v>
      </c>
      <c r="H50" s="29" t="n">
        <v>0</v>
      </c>
      <c r="I50" s="30" t="n">
        <v>46356</v>
      </c>
      <c r="J50" s="29" t="inlineStr">
        <is>
          <t>BRD-00, BRD-11</t>
        </is>
      </c>
      <c r="K50" s="33" t="n"/>
      <c r="L50" s="33" t="n"/>
      <c r="M50" s="33" t="n"/>
      <c r="N50" s="23" t="n"/>
    </row>
    <row r="51">
      <c r="A51" s="29" t="inlineStr">
        <is>
          <t>Employee Benefits - Marketing, Processing and Collection</t>
        </is>
      </c>
      <c r="B51" s="33" t="n"/>
      <c r="C51" s="33" t="n"/>
      <c r="D51" s="23" t="n"/>
      <c r="E51" s="29" t="n">
        <v>10</v>
      </c>
      <c r="F51" s="29" t="n">
        <v>8</v>
      </c>
      <c r="G51" s="29" t="n">
        <v>2</v>
      </c>
      <c r="H51" s="29" t="n">
        <v>0</v>
      </c>
      <c r="I51" s="30" t="n">
        <v>46356</v>
      </c>
      <c r="J51" s="29" t="inlineStr">
        <is>
          <t>BRD-00, BRD-01, BRD-08</t>
        </is>
      </c>
      <c r="K51" s="33" t="n"/>
      <c r="L51" s="33" t="n"/>
      <c r="M51" s="33" t="n"/>
      <c r="N51" s="23" t="n"/>
    </row>
    <row r="52">
      <c r="A52" s="29" t="inlineStr">
        <is>
          <t>Marketing and Processing - New Business (Product Owner)</t>
        </is>
      </c>
      <c r="B52" s="33" t="n"/>
      <c r="C52" s="33" t="n"/>
      <c r="D52" s="23" t="n"/>
      <c r="E52" s="29" t="n">
        <v>10</v>
      </c>
      <c r="F52" s="29" t="n">
        <v>7</v>
      </c>
      <c r="G52" s="29" t="n">
        <v>3</v>
      </c>
      <c r="H52" s="29" t="n">
        <v>0</v>
      </c>
      <c r="I52" s="30" t="n">
        <v>46356</v>
      </c>
      <c r="J52" s="29" t="inlineStr">
        <is>
          <t>BRD-00, BRD-01</t>
        </is>
      </c>
      <c r="K52" s="33" t="n"/>
      <c r="L52" s="33" t="n"/>
      <c r="M52" s="33" t="n"/>
      <c r="N52" s="23" t="n"/>
    </row>
    <row r="53">
      <c r="A53" s="29" t="inlineStr">
        <is>
          <t>Operations - Collections (Head of BDOI Operations)</t>
        </is>
      </c>
      <c r="B53" s="33" t="n"/>
      <c r="C53" s="33" t="n"/>
      <c r="D53" s="23" t="n"/>
      <c r="E53" s="29" t="n">
        <v>10</v>
      </c>
      <c r="F53" s="29" t="n">
        <v>7</v>
      </c>
      <c r="G53" s="29" t="n">
        <v>3</v>
      </c>
      <c r="H53" s="29" t="n">
        <v>0</v>
      </c>
      <c r="I53" s="30" t="n">
        <v>46356</v>
      </c>
      <c r="J53" s="29" t="inlineStr">
        <is>
          <t>BRD-00, BRD-04</t>
        </is>
      </c>
      <c r="K53" s="33" t="n"/>
      <c r="L53" s="33" t="n"/>
      <c r="M53" s="33" t="n"/>
      <c r="N53" s="23" t="n"/>
    </row>
    <row r="54">
      <c r="A54" s="29" t="inlineStr">
        <is>
          <t>Claims and Risk Management</t>
        </is>
      </c>
      <c r="B54" s="33" t="n"/>
      <c r="C54" s="33" t="n"/>
      <c r="D54" s="23" t="n"/>
      <c r="E54" s="29" t="n">
        <v>9</v>
      </c>
      <c r="F54" s="29" t="n">
        <v>6</v>
      </c>
      <c r="G54" s="29" t="n">
        <v>3</v>
      </c>
      <c r="H54" s="29" t="n">
        <v>0</v>
      </c>
      <c r="I54" s="30" t="n">
        <v>46356</v>
      </c>
      <c r="J54" s="29" t="inlineStr">
        <is>
          <t>BRD-00, BRD-02, BRD-07</t>
        </is>
      </c>
      <c r="K54" s="33" t="n"/>
      <c r="L54" s="33" t="n"/>
      <c r="M54" s="33" t="n"/>
      <c r="N54" s="23" t="n"/>
    </row>
    <row r="55">
      <c r="A55" s="29" t="inlineStr">
        <is>
          <t>Contact Center Management / Alternative Distribution</t>
        </is>
      </c>
      <c r="B55" s="33" t="n"/>
      <c r="C55" s="33" t="n"/>
      <c r="D55" s="23" t="n"/>
      <c r="E55" s="29" t="n">
        <v>9</v>
      </c>
      <c r="F55" s="29" t="n">
        <v>6</v>
      </c>
      <c r="G55" s="29" t="n">
        <v>3</v>
      </c>
      <c r="H55" s="29" t="n">
        <v>0</v>
      </c>
      <c r="I55" s="30" t="n">
        <v>46356</v>
      </c>
      <c r="J55" s="29" t="inlineStr">
        <is>
          <t>BRD-00, BRD-09</t>
        </is>
      </c>
      <c r="K55" s="33" t="n"/>
      <c r="L55" s="33" t="n"/>
      <c r="M55" s="33" t="n"/>
      <c r="N55" s="23" t="n"/>
    </row>
    <row r="56">
      <c r="A56" s="29" t="inlineStr">
        <is>
          <t>Head, Technical Support Unit; Product Owner, Marketing Business System</t>
        </is>
      </c>
      <c r="B56" s="33" t="n"/>
      <c r="C56" s="33" t="n"/>
      <c r="D56" s="23" t="n"/>
      <c r="E56" s="29" t="n">
        <v>9</v>
      </c>
      <c r="F56" s="29" t="n">
        <v>8</v>
      </c>
      <c r="G56" s="29" t="n">
        <v>1</v>
      </c>
      <c r="H56" s="29" t="n">
        <v>0</v>
      </c>
      <c r="I56" s="30" t="n">
        <v>46349</v>
      </c>
      <c r="J56" s="29" t="inlineStr">
        <is>
          <t>BRD-03</t>
        </is>
      </c>
      <c r="K56" s="33" t="n"/>
      <c r="L56" s="33" t="n"/>
      <c r="M56" s="33" t="n"/>
      <c r="N56" s="23" t="n"/>
    </row>
    <row r="57">
      <c r="A57" s="29" t="inlineStr">
        <is>
          <t>Product Owner, MBS, with Business Administration (User Access)</t>
        </is>
      </c>
      <c r="B57" s="33" t="n"/>
      <c r="C57" s="33" t="n"/>
      <c r="D57" s="23" t="n"/>
      <c r="E57" s="29" t="n">
        <v>8</v>
      </c>
      <c r="F57" s="29" t="n">
        <v>8</v>
      </c>
      <c r="G57" s="29" t="n">
        <v>0</v>
      </c>
      <c r="H57" s="29" t="n">
        <v>0</v>
      </c>
      <c r="I57" s="30" t="n">
        <v>46357</v>
      </c>
      <c r="J57" s="29" t="inlineStr">
        <is>
          <t>BRD-11</t>
        </is>
      </c>
      <c r="K57" s="33" t="n"/>
      <c r="L57" s="33" t="n"/>
      <c r="M57" s="33" t="n"/>
      <c r="N57" s="23" t="n"/>
    </row>
    <row r="58">
      <c r="A58" s="29" t="inlineStr">
        <is>
          <t>Business Project Services (BRD owner) with the BIBS Product Owner</t>
        </is>
      </c>
      <c r="B58" s="33" t="n"/>
      <c r="C58" s="33" t="n"/>
      <c r="D58" s="23" t="n"/>
      <c r="E58" s="29" t="n">
        <v>7</v>
      </c>
      <c r="F58" s="29" t="n">
        <v>7</v>
      </c>
      <c r="G58" s="29" t="n">
        <v>0</v>
      </c>
      <c r="H58" s="29" t="n">
        <v>0</v>
      </c>
      <c r="I58" s="30" t="n">
        <v>46356</v>
      </c>
      <c r="J58" s="29" t="inlineStr">
        <is>
          <t>BRD-00</t>
        </is>
      </c>
      <c r="K58" s="33" t="n"/>
      <c r="L58" s="33" t="n"/>
      <c r="M58" s="33" t="n"/>
      <c r="N58" s="23" t="n"/>
    </row>
    <row r="59">
      <c r="A59" s="29" t="inlineStr">
        <is>
          <t>CBG and Non-CBG Marketing - Submitted Policies</t>
        </is>
      </c>
      <c r="B59" s="33" t="n"/>
      <c r="C59" s="33" t="n"/>
      <c r="D59" s="23" t="n"/>
      <c r="E59" s="29" t="n">
        <v>7</v>
      </c>
      <c r="F59" s="29" t="n">
        <v>6</v>
      </c>
      <c r="G59" s="29" t="n">
        <v>1</v>
      </c>
      <c r="H59" s="29" t="n">
        <v>0</v>
      </c>
      <c r="I59" s="30" t="n">
        <v>46356</v>
      </c>
      <c r="J59" s="29" t="inlineStr">
        <is>
          <t>BRD-12</t>
        </is>
      </c>
      <c r="K59" s="33" t="n"/>
      <c r="L59" s="33" t="n"/>
      <c r="M59" s="33" t="n"/>
      <c r="N59" s="23" t="n"/>
    </row>
    <row r="60">
      <c r="A60" s="29" t="inlineStr">
        <is>
          <t>Compliance (Chief Compliance Officer)</t>
        </is>
      </c>
      <c r="B60" s="33" t="n"/>
      <c r="C60" s="33" t="n"/>
      <c r="D60" s="23" t="n"/>
      <c r="E60" s="29" t="n">
        <v>7</v>
      </c>
      <c r="F60" s="29" t="n">
        <v>6</v>
      </c>
      <c r="G60" s="29" t="n">
        <v>1</v>
      </c>
      <c r="H60" s="29" t="n">
        <v>0</v>
      </c>
      <c r="I60" s="30" t="n">
        <v>46356</v>
      </c>
      <c r="J60" s="29" t="inlineStr">
        <is>
          <t>BRD-01, BRD-10</t>
        </is>
      </c>
      <c r="K60" s="33" t="n"/>
      <c r="L60" s="33" t="n"/>
      <c r="M60" s="33" t="n"/>
      <c r="N60" s="23" t="n"/>
    </row>
    <row r="61">
      <c r="A61" s="29" t="inlineStr">
        <is>
          <t>Head, Technical Support Unit</t>
        </is>
      </c>
      <c r="B61" s="33" t="n"/>
      <c r="C61" s="33" t="n"/>
      <c r="D61" s="23" t="n"/>
      <c r="E61" s="29" t="n">
        <v>7</v>
      </c>
      <c r="F61" s="29" t="n">
        <v>7</v>
      </c>
      <c r="G61" s="29" t="n">
        <v>0</v>
      </c>
      <c r="H61" s="29" t="n">
        <v>0</v>
      </c>
      <c r="I61" s="30" t="n">
        <v>46356</v>
      </c>
      <c r="J61" s="29" t="inlineStr">
        <is>
          <t>BRD-03</t>
        </is>
      </c>
      <c r="K61" s="33" t="n"/>
      <c r="L61" s="33" t="n"/>
      <c r="M61" s="33" t="n"/>
      <c r="N61" s="23" t="n"/>
    </row>
    <row r="62">
      <c r="A62" s="29" t="inlineStr">
        <is>
          <t>Compliance</t>
        </is>
      </c>
      <c r="B62" s="33" t="n"/>
      <c r="C62" s="33" t="n"/>
      <c r="D62" s="23" t="n"/>
      <c r="E62" s="29" t="n">
        <v>6</v>
      </c>
      <c r="F62" s="29" t="n">
        <v>6</v>
      </c>
      <c r="G62" s="29" t="n">
        <v>0</v>
      </c>
      <c r="H62" s="29" t="n">
        <v>0</v>
      </c>
      <c r="I62" s="30" t="n">
        <v>46325</v>
      </c>
      <c r="J62" s="29" t="inlineStr">
        <is>
          <t>BRD-10, BRD-13</t>
        </is>
      </c>
      <c r="K62" s="33" t="n"/>
      <c r="L62" s="33" t="n"/>
      <c r="M62" s="33" t="n"/>
      <c r="N62" s="23" t="n"/>
    </row>
    <row r="63">
      <c r="A63" s="29" t="inlineStr">
        <is>
          <t>Product Owner, BDOI (New Business)</t>
        </is>
      </c>
      <c r="B63" s="33" t="n"/>
      <c r="C63" s="33" t="n"/>
      <c r="D63" s="23" t="n"/>
      <c r="E63" s="29" t="n">
        <v>6</v>
      </c>
      <c r="F63" s="29" t="n">
        <v>6</v>
      </c>
      <c r="G63" s="29" t="n">
        <v>0</v>
      </c>
      <c r="H63" s="29" t="n">
        <v>0</v>
      </c>
      <c r="I63" s="30" t="n">
        <v>46486</v>
      </c>
      <c r="J63" s="29" t="inlineStr">
        <is>
          <t>BRD-01</t>
        </is>
      </c>
      <c r="K63" s="33" t="n"/>
      <c r="L63" s="33" t="n"/>
      <c r="M63" s="33" t="n"/>
      <c r="N63" s="23" t="n"/>
    </row>
    <row r="64">
      <c r="A64" s="29" t="inlineStr">
        <is>
          <t>BDOI IT with the Product Owner, Employee Benefits</t>
        </is>
      </c>
      <c r="B64" s="33" t="n"/>
      <c r="C64" s="33" t="n"/>
      <c r="D64" s="23" t="n"/>
      <c r="E64" s="29" t="n">
        <v>5</v>
      </c>
      <c r="F64" s="29" t="n">
        <v>5</v>
      </c>
      <c r="G64" s="29" t="n">
        <v>0</v>
      </c>
      <c r="H64" s="29" t="n">
        <v>0</v>
      </c>
      <c r="I64" s="30" t="n">
        <v>46444</v>
      </c>
      <c r="J64" s="29" t="inlineStr">
        <is>
          <t>BRD-08</t>
        </is>
      </c>
      <c r="K64" s="33" t="n"/>
      <c r="L64" s="33" t="n"/>
      <c r="M64" s="33" t="n"/>
      <c r="N64" s="23" t="n"/>
    </row>
    <row r="65">
      <c r="A65" s="29" t="inlineStr">
        <is>
          <t>Product Owner, Marketing Business System; Head, Technical Support Unit</t>
        </is>
      </c>
      <c r="B65" s="33" t="n"/>
      <c r="C65" s="33" t="n"/>
      <c r="D65" s="23" t="n"/>
      <c r="E65" s="29" t="n">
        <v>5</v>
      </c>
      <c r="F65" s="29" t="n">
        <v>4</v>
      </c>
      <c r="G65" s="29" t="n">
        <v>0</v>
      </c>
      <c r="H65" s="29" t="n">
        <v>1</v>
      </c>
      <c r="I65" s="30" t="n">
        <v>46325</v>
      </c>
      <c r="J65" s="29" t="inlineStr">
        <is>
          <t>BRD-03</t>
        </is>
      </c>
      <c r="K65" s="33" t="n"/>
      <c r="L65" s="33" t="n"/>
      <c r="M65" s="33" t="n"/>
      <c r="N65" s="23" t="n"/>
    </row>
    <row r="66">
      <c r="A66" s="29" t="inlineStr">
        <is>
          <t>Program Manager</t>
        </is>
      </c>
      <c r="B66" s="33" t="n"/>
      <c r="C66" s="33" t="n"/>
      <c r="D66" s="23" t="n"/>
      <c r="E66" s="29" t="n">
        <v>5</v>
      </c>
      <c r="F66" s="29" t="n">
        <v>3</v>
      </c>
      <c r="G66" s="29" t="n">
        <v>2</v>
      </c>
      <c r="H66" s="29" t="n">
        <v>0</v>
      </c>
      <c r="I66" s="30" t="n">
        <v>46311</v>
      </c>
      <c r="J66" s="29" t="inlineStr">
        <is>
          <t>BRD-13</t>
        </is>
      </c>
      <c r="K66" s="33" t="n"/>
      <c r="L66" s="33" t="n"/>
      <c r="M66" s="33" t="n"/>
      <c r="N66" s="23" t="n"/>
    </row>
    <row r="67">
      <c r="A67" s="29" t="inlineStr">
        <is>
          <t>Report SMEs named in the Report List</t>
        </is>
      </c>
      <c r="B67" s="33" t="n"/>
      <c r="C67" s="33" t="n"/>
      <c r="D67" s="23" t="n"/>
      <c r="E67" s="29" t="n">
        <v>5</v>
      </c>
      <c r="F67" s="29" t="n">
        <v>2</v>
      </c>
      <c r="G67" s="29" t="n">
        <v>2</v>
      </c>
      <c r="H67" s="29" t="n">
        <v>1</v>
      </c>
      <c r="I67" s="30" t="n">
        <v>46356</v>
      </c>
      <c r="J67" s="29" t="inlineStr">
        <is>
          <t>BRD-00, BRD-01, BRD-04, RI</t>
        </is>
      </c>
      <c r="K67" s="33" t="n"/>
      <c r="L67" s="33" t="n"/>
      <c r="M67" s="33" t="n"/>
      <c r="N67" s="23" t="n"/>
    </row>
    <row r="68">
      <c r="A68" s="29" t="inlineStr">
        <is>
          <t>Other owners (138 roles with fewer than 5 items each)</t>
        </is>
      </c>
      <c r="B68" s="33" t="n"/>
      <c r="C68" s="33" t="n"/>
      <c r="D68" s="23" t="n"/>
      <c r="E68" s="29" t="n">
        <v>167</v>
      </c>
      <c r="F68" s="29" t="n">
        <v>150</v>
      </c>
      <c r="G68" s="29" t="n">
        <v>15</v>
      </c>
      <c r="H68" s="29" t="n">
        <v>2</v>
      </c>
      <c r="I68" s="30" t="n">
        <v>46311</v>
      </c>
      <c r="J68" s="29" t="inlineStr">
        <is>
          <t>BRD-00, BRD-01, BRD-02, BRD-03, BRD-04, BRD-05, BRD-06, BRD-07, BRD-08, BRD-09, BRD-10, BRD-11, BRD-12, BRD-13, RI</t>
        </is>
      </c>
      <c r="K68" s="33" t="n"/>
      <c r="L68" s="33" t="n"/>
      <c r="M68" s="33" t="n"/>
      <c r="N68" s="23" t="n"/>
    </row>
    <row r="70">
      <c r="A70" s="24" t="inlineStr">
        <is>
          <t>Items by month needed, as issued</t>
        </is>
      </c>
    </row>
    <row r="71">
      <c r="A71" s="27" t="inlineStr">
        <is>
          <t>Month</t>
        </is>
      </c>
      <c r="B71" s="23" t="n"/>
      <c r="C71" s="27" t="inlineStr">
        <is>
          <t>Items</t>
        </is>
      </c>
      <c r="D71" s="27" t="inlineStr">
        <is>
          <t>High</t>
        </is>
      </c>
      <c r="E71" s="27" t="inlineStr">
        <is>
          <t>Medium</t>
        </is>
      </c>
      <c r="F71" s="27" t="inlineStr">
        <is>
          <t>Low</t>
        </is>
      </c>
    </row>
    <row r="72">
      <c r="A72" s="29" t="inlineStr">
        <is>
          <t>Oct 2026</t>
        </is>
      </c>
      <c r="B72" s="23" t="n"/>
      <c r="C72" s="29" t="n">
        <v>59</v>
      </c>
      <c r="D72" s="29" t="n">
        <v>25</v>
      </c>
      <c r="E72" s="29" t="n">
        <v>33</v>
      </c>
      <c r="F72" s="29" t="n">
        <v>1</v>
      </c>
    </row>
    <row r="73">
      <c r="A73" s="29" t="inlineStr">
        <is>
          <t>Nov 2026</t>
        </is>
      </c>
      <c r="B73" s="23" t="n"/>
      <c r="C73" s="29" t="n">
        <v>523</v>
      </c>
      <c r="D73" s="29" t="n">
        <v>84</v>
      </c>
      <c r="E73" s="29" t="n">
        <v>410</v>
      </c>
      <c r="F73" s="29" t="n">
        <v>29</v>
      </c>
    </row>
    <row r="74">
      <c r="A74" s="29" t="inlineStr">
        <is>
          <t>Dec 2026</t>
        </is>
      </c>
      <c r="B74" s="23" t="n"/>
      <c r="C74" s="29" t="n">
        <v>62</v>
      </c>
      <c r="D74" s="29" t="n">
        <v>30</v>
      </c>
      <c r="E74" s="29" t="n">
        <v>26</v>
      </c>
      <c r="F74" s="29" t="n">
        <v>6</v>
      </c>
    </row>
    <row r="75">
      <c r="A75" s="29" t="inlineStr">
        <is>
          <t>Jan 2027</t>
        </is>
      </c>
      <c r="B75" s="23" t="n"/>
      <c r="C75" s="29" t="n">
        <v>52</v>
      </c>
      <c r="D75" s="29" t="n">
        <v>22</v>
      </c>
      <c r="E75" s="29" t="n">
        <v>30</v>
      </c>
      <c r="F75" s="29" t="n">
        <v>0</v>
      </c>
    </row>
    <row r="76">
      <c r="A76" s="29" t="inlineStr">
        <is>
          <t>Feb 2027</t>
        </is>
      </c>
      <c r="B76" s="23" t="n"/>
      <c r="C76" s="29" t="n">
        <v>63</v>
      </c>
      <c r="D76" s="29" t="n">
        <v>6</v>
      </c>
      <c r="E76" s="29" t="n">
        <v>55</v>
      </c>
      <c r="F76" s="29" t="n">
        <v>2</v>
      </c>
    </row>
    <row r="77">
      <c r="A77" s="29" t="inlineStr">
        <is>
          <t>Mar 2027</t>
        </is>
      </c>
      <c r="B77" s="23" t="n"/>
      <c r="C77" s="29" t="n">
        <v>2</v>
      </c>
      <c r="D77" s="29" t="n">
        <v>2</v>
      </c>
      <c r="E77" s="29" t="n">
        <v>0</v>
      </c>
      <c r="F77" s="29" t="n">
        <v>0</v>
      </c>
    </row>
    <row r="78">
      <c r="A78" s="29" t="inlineStr">
        <is>
          <t>Apr 2027</t>
        </is>
      </c>
      <c r="B78" s="23" t="n"/>
      <c r="C78" s="29" t="n">
        <v>15</v>
      </c>
      <c r="D78" s="29" t="n">
        <v>13</v>
      </c>
      <c r="E78" s="29" t="n">
        <v>2</v>
      </c>
      <c r="F78" s="29" t="n">
        <v>0</v>
      </c>
    </row>
    <row r="79">
      <c r="A79" s="29" t="inlineStr">
        <is>
          <t>May 2027</t>
        </is>
      </c>
      <c r="B79" s="23" t="n"/>
      <c r="C79" s="29" t="n">
        <v>2</v>
      </c>
      <c r="D79" s="29" t="n">
        <v>2</v>
      </c>
      <c r="E79" s="29" t="n">
        <v>0</v>
      </c>
      <c r="F79" s="29" t="n">
        <v>0</v>
      </c>
    </row>
    <row r="80">
      <c r="A80" s="29" t="inlineStr">
        <is>
          <t>Jun 2027</t>
        </is>
      </c>
      <c r="B80" s="23" t="n"/>
      <c r="C80" s="29" t="n">
        <v>8</v>
      </c>
      <c r="D80" s="29" t="n">
        <v>3</v>
      </c>
      <c r="E80" s="29" t="n">
        <v>5</v>
      </c>
      <c r="F80" s="29" t="n">
        <v>0</v>
      </c>
    </row>
    <row r="81">
      <c r="A81" s="29" t="inlineStr">
        <is>
          <t>Jul 2027</t>
        </is>
      </c>
      <c r="B81" s="23" t="n"/>
      <c r="C81" s="29" t="n">
        <v>90</v>
      </c>
      <c r="D81" s="29" t="n">
        <v>20</v>
      </c>
      <c r="E81" s="29" t="n">
        <v>70</v>
      </c>
      <c r="F81" s="29" t="n">
        <v>0</v>
      </c>
    </row>
    <row r="82">
      <c r="A82" s="29" t="inlineStr">
        <is>
          <t>Oct 2027</t>
        </is>
      </c>
      <c r="B82" s="23" t="n"/>
      <c r="C82" s="29" t="n">
        <v>5</v>
      </c>
      <c r="D82" s="29" t="n">
        <v>3</v>
      </c>
      <c r="E82" s="29" t="n">
        <v>2</v>
      </c>
      <c r="F82" s="29" t="n">
        <v>0</v>
      </c>
    </row>
    <row r="83">
      <c r="A83" s="29" t="inlineStr">
        <is>
          <t>Nov 2027</t>
        </is>
      </c>
      <c r="B83" s="23" t="n"/>
      <c r="C83" s="29" t="n">
        <v>12</v>
      </c>
      <c r="D83" s="29" t="n">
        <v>6</v>
      </c>
      <c r="E83" s="29" t="n">
        <v>6</v>
      </c>
      <c r="F83" s="29" t="n">
        <v>0</v>
      </c>
    </row>
    <row r="84">
      <c r="A84" s="29" t="inlineStr">
        <is>
          <t>Dec 2027</t>
        </is>
      </c>
      <c r="B84" s="23" t="n"/>
      <c r="C84" s="29" t="n">
        <v>13</v>
      </c>
      <c r="D84" s="29" t="n">
        <v>12</v>
      </c>
      <c r="E84" s="29" t="n">
        <v>1</v>
      </c>
      <c r="F84" s="29" t="n">
        <v>0</v>
      </c>
    </row>
    <row r="85">
      <c r="A85" s="29" t="inlineStr">
        <is>
          <t>Jan 2028</t>
        </is>
      </c>
      <c r="B85" s="23" t="n"/>
      <c r="C85" s="29" t="n">
        <v>2</v>
      </c>
      <c r="D85" s="29" t="n">
        <v>2</v>
      </c>
      <c r="E85" s="29" t="n">
        <v>0</v>
      </c>
      <c r="F85" s="29" t="n">
        <v>0</v>
      </c>
    </row>
    <row r="86">
      <c r="A86" s="29" t="inlineStr">
        <is>
          <t>Feb 2028</t>
        </is>
      </c>
      <c r="B86" s="23" t="n"/>
      <c r="C86" s="29" t="n">
        <v>1</v>
      </c>
      <c r="D86" s="29" t="n">
        <v>1</v>
      </c>
      <c r="E86" s="29" t="n">
        <v>0</v>
      </c>
      <c r="F86" s="29" t="n">
        <v>0</v>
      </c>
    </row>
  </sheetData>
  <mergeCells count="105">
    <mergeCell ref="J64:N64"/>
    <mergeCell ref="A73:B73"/>
    <mergeCell ref="A29:D29"/>
    <mergeCell ref="J57:N57"/>
    <mergeCell ref="A44:D44"/>
    <mergeCell ref="A31:D31"/>
    <mergeCell ref="A58:D58"/>
    <mergeCell ref="A64:D64"/>
    <mergeCell ref="A24:D24"/>
    <mergeCell ref="A74:B74"/>
    <mergeCell ref="J49:N49"/>
    <mergeCell ref="A51:D51"/>
    <mergeCell ref="J27:N27"/>
    <mergeCell ref="A60:D60"/>
    <mergeCell ref="J35:N35"/>
    <mergeCell ref="A76:B76"/>
    <mergeCell ref="J25:N25"/>
    <mergeCell ref="A85:B85"/>
    <mergeCell ref="A54:D54"/>
    <mergeCell ref="A41:D41"/>
    <mergeCell ref="J66:N66"/>
    <mergeCell ref="J50:N50"/>
    <mergeCell ref="A27:D27"/>
    <mergeCell ref="A56:D56"/>
    <mergeCell ref="J46:N46"/>
    <mergeCell ref="A33:D33"/>
    <mergeCell ref="J52:N52"/>
    <mergeCell ref="A42:D42"/>
    <mergeCell ref="J61:N61"/>
    <mergeCell ref="J39:N39"/>
    <mergeCell ref="J48:N48"/>
    <mergeCell ref="A53:D53"/>
    <mergeCell ref="J29:N29"/>
    <mergeCell ref="A35:D35"/>
    <mergeCell ref="A62:D62"/>
    <mergeCell ref="J38:N38"/>
    <mergeCell ref="A79:B79"/>
    <mergeCell ref="A28:D28"/>
    <mergeCell ref="J40:N40"/>
    <mergeCell ref="A48:D48"/>
    <mergeCell ref="A30:D30"/>
    <mergeCell ref="A59:D59"/>
    <mergeCell ref="J65:N65"/>
    <mergeCell ref="J26:N26"/>
    <mergeCell ref="A61:D61"/>
    <mergeCell ref="A71:B71"/>
    <mergeCell ref="J63:N63"/>
    <mergeCell ref="A46:D46"/>
    <mergeCell ref="A26:D26"/>
    <mergeCell ref="J42:N42"/>
    <mergeCell ref="A77:B77"/>
    <mergeCell ref="A83:B83"/>
    <mergeCell ref="J44:N44"/>
    <mergeCell ref="J67:N67"/>
    <mergeCell ref="A52:D52"/>
    <mergeCell ref="J28:N28"/>
    <mergeCell ref="J37:N37"/>
    <mergeCell ref="A63:D63"/>
    <mergeCell ref="A68:D68"/>
    <mergeCell ref="A78:B78"/>
    <mergeCell ref="J30:N30"/>
    <mergeCell ref="A34:D34"/>
    <mergeCell ref="J53:N53"/>
    <mergeCell ref="A39:D39"/>
    <mergeCell ref="A75:B75"/>
    <mergeCell ref="A80:B80"/>
    <mergeCell ref="A49:D49"/>
    <mergeCell ref="A36:D36"/>
    <mergeCell ref="J55:N55"/>
    <mergeCell ref="A45:D45"/>
    <mergeCell ref="J54:N54"/>
    <mergeCell ref="J32:N32"/>
    <mergeCell ref="A65:D65"/>
    <mergeCell ref="J41:N41"/>
    <mergeCell ref="J47:N47"/>
    <mergeCell ref="A37:D37"/>
    <mergeCell ref="J56:N56"/>
    <mergeCell ref="J43:N43"/>
    <mergeCell ref="A57:D57"/>
    <mergeCell ref="J58:N58"/>
    <mergeCell ref="J33:N33"/>
    <mergeCell ref="A32:D32"/>
    <mergeCell ref="A82:B82"/>
    <mergeCell ref="A38:D38"/>
    <mergeCell ref="A43:D43"/>
    <mergeCell ref="J59:N59"/>
    <mergeCell ref="J60:N60"/>
    <mergeCell ref="J34:N34"/>
    <mergeCell ref="A40:D40"/>
    <mergeCell ref="A67:D67"/>
    <mergeCell ref="J68:N68"/>
    <mergeCell ref="A84:B84"/>
    <mergeCell ref="J36:N36"/>
    <mergeCell ref="J45:N45"/>
    <mergeCell ref="A86:B86"/>
    <mergeCell ref="A25:D25"/>
    <mergeCell ref="J31:N31"/>
    <mergeCell ref="A66:D66"/>
    <mergeCell ref="A72:B72"/>
    <mergeCell ref="A81:B81"/>
    <mergeCell ref="A50:D50"/>
    <mergeCell ref="J51:N51"/>
    <mergeCell ref="A55:D55"/>
    <mergeCell ref="J62:N62"/>
    <mergeCell ref="A47:D47"/>
  </mergeCells>
  <hyperlinks>
    <hyperlink xmlns:r="http://schemas.openxmlformats.org/officeDocument/2006/relationships" ref="A6" r:id="rId1"/>
    <hyperlink xmlns:r="http://schemas.openxmlformats.org/officeDocument/2006/relationships" ref="A7" r:id="rId2"/>
    <hyperlink xmlns:r="http://schemas.openxmlformats.org/officeDocument/2006/relationships" ref="A8" r:id="rId3"/>
    <hyperlink xmlns:r="http://schemas.openxmlformats.org/officeDocument/2006/relationships" ref="A9" r:id="rId4"/>
    <hyperlink xmlns:r="http://schemas.openxmlformats.org/officeDocument/2006/relationships" ref="A10" r:id="rId5"/>
    <hyperlink xmlns:r="http://schemas.openxmlformats.org/officeDocument/2006/relationships" ref="A11" r:id="rId6"/>
    <hyperlink xmlns:r="http://schemas.openxmlformats.org/officeDocument/2006/relationships" ref="A12" r:id="rId7"/>
    <hyperlink xmlns:r="http://schemas.openxmlformats.org/officeDocument/2006/relationships" ref="A13" r:id="rId8"/>
    <hyperlink xmlns:r="http://schemas.openxmlformats.org/officeDocument/2006/relationships" ref="A14" r:id="rId9"/>
    <hyperlink xmlns:r="http://schemas.openxmlformats.org/officeDocument/2006/relationships" ref="A15" r:id="rId10"/>
    <hyperlink xmlns:r="http://schemas.openxmlformats.org/officeDocument/2006/relationships" ref="A16" r:id="rId11"/>
    <hyperlink xmlns:r="http://schemas.openxmlformats.org/officeDocument/2006/relationships" ref="A17" r:id="rId12"/>
    <hyperlink xmlns:r="http://schemas.openxmlformats.org/officeDocument/2006/relationships" ref="A18" r:id="rId13"/>
    <hyperlink xmlns:r="http://schemas.openxmlformats.org/officeDocument/2006/relationships" ref="A19" r:id="rId14"/>
    <hyperlink xmlns:r="http://schemas.openxmlformats.org/officeDocument/2006/relationships" ref="A20" r:id="rId15"/>
  </hyperlinks>
  <printOptions horizontalCentered="1"/>
  <pageMargins left="0.4" right="0.4" top="0.6" bottom="0.6" header="0.5" footer="0.5"/>
  <pageSetup orientation="landscape" paperSize="1" fitToHeight="0" fitToWidth="1"/>
  <headerFooter>
    <oddHeader>&amp;L&amp;8 &amp;K004EA8BDOI Requirements and Inputs by BRD&amp;R&amp;8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M14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6" customWidth="1" min="3" max="3"/>
    <col width="60" customWidth="1" min="4" max="4"/>
    <col width="46" customWidth="1" min="5" max="5"/>
    <col width="46" customWidth="1" min="6" max="6"/>
    <col width="40" customWidth="1" min="7" max="7"/>
    <col width="26" customWidth="1" min="8" max="8"/>
    <col width="12" customWidth="1" min="9" max="9"/>
    <col width="10" customWidth="1" min="10" max="10"/>
    <col width="14" customWidth="1" min="11" max="11"/>
    <col width="40" customWidth="1" min="12" max="12"/>
    <col width="34" customWidth="1" min="13" max="13"/>
  </cols>
  <sheetData>
    <row r="1" ht="24" customHeight="1">
      <c r="A1" s="34" t="inlineStr">
        <is>
          <t>BRD-00 Cross-cutting</t>
        </is>
      </c>
    </row>
    <row r="2">
      <c r="A2" s="21" t="inlineStr">
        <is>
          <t>BRD-00 Core Replacement and cross-cutting points: what BDOI provides; owner BIBS Product Owner with the Program Manager, Business Project Services</t>
        </is>
      </c>
    </row>
    <row r="3" ht="6" customHeight="1">
      <c r="A3" s="35" t="n"/>
      <c r="B3" s="35" t="n"/>
      <c r="C3" s="35" t="n"/>
      <c r="D3" s="35" t="n"/>
      <c r="E3" s="35" t="n"/>
      <c r="F3" s="35" t="n"/>
      <c r="G3" s="35" t="n"/>
      <c r="H3" s="35" t="n"/>
      <c r="I3" s="35" t="n"/>
      <c r="J3" s="35" t="n"/>
      <c r="K3" s="35" t="n"/>
      <c r="L3" s="35" t="n"/>
      <c r="M3" s="35" t="n"/>
    </row>
    <row r="4" ht="30" customHeight="1">
      <c r="A4" s="36" t="inlineStr">
        <is>
          <t>Ref</t>
        </is>
      </c>
      <c r="B4" s="36" t="inlineStr">
        <is>
          <t>BRD / module</t>
        </is>
      </c>
      <c r="C4" s="36" t="inlineStr">
        <is>
          <t>Type</t>
        </is>
      </c>
      <c r="D4" s="36" t="inlineStr">
        <is>
          <t>What we need from BDOI</t>
        </is>
      </c>
      <c r="E4" s="36" t="inlineStr">
        <is>
          <t>Why / impact if not provided</t>
        </is>
      </c>
      <c r="F4" s="36" t="inlineStr">
        <is>
          <t>Our proposal (if any)</t>
        </is>
      </c>
      <c r="G4" s="36" t="inlineStr">
        <is>
          <t>Source (FRS section / CLR / BRD page)</t>
        </is>
      </c>
      <c r="H4" s="36" t="inlineStr">
        <is>
          <t>BDOI owner (role)</t>
        </is>
      </c>
      <c r="I4" s="36" t="inlineStr">
        <is>
          <t>Needed by</t>
        </is>
      </c>
      <c r="J4" s="36" t="inlineStr">
        <is>
          <t>Priority</t>
        </is>
      </c>
      <c r="K4" s="36" t="inlineStr">
        <is>
          <t>Status</t>
        </is>
      </c>
      <c r="L4" s="36" t="inlineStr">
        <is>
          <t>BDOI response</t>
        </is>
      </c>
      <c r="M4" s="36" t="inlineStr">
        <is>
          <t>Remarks</t>
        </is>
      </c>
    </row>
    <row r="5">
      <c r="A5" s="12" t="inlineStr">
        <is>
          <t>CLR-CR-02</t>
        </is>
      </c>
      <c r="B5" s="12" t="inlineStr">
        <is>
          <t>BRD-00 Core Replacement and cross-cutting points</t>
        </is>
      </c>
      <c r="C5" s="12" t="inlineStr">
        <is>
          <t>Clarification</t>
        </is>
      </c>
      <c r="D5" s="12" t="inlineStr">
        <is>
          <t>Claims cheque safekeeping: Answer CRQ03.</t>
        </is>
      </c>
      <c r="E5" s="12" t="inlineStr">
        <is>
          <t>Whether BDOI holds claim cheques is open (CRQ03, CLQ10).</t>
        </is>
      </c>
      <c r="F5" s="12" t="inlineStr">
        <is>
          <t>No cheque custody in phase 1; if BDOI holds claim settlement cheques, a cheque custody register is added in Claims with hand-over to and from Cashiering.</t>
        </is>
      </c>
      <c r="G5" s="12" t="inlineStr">
        <is>
          <t>FRS BRD-00 v1.1, Proposed business rules and clarifications; CORE-14.08-14.10; also raised as CRQ03 (open question), DCR-164 (register item)</t>
        </is>
      </c>
      <c r="H5" s="12" t="inlineStr">
        <is>
          <t>Claims and Risk Management</t>
        </is>
      </c>
      <c r="I5" s="37" t="n">
        <v>46356</v>
      </c>
      <c r="J5" s="12" t="inlineStr">
        <is>
          <t>High</t>
        </is>
      </c>
      <c r="K5" s="38" t="inlineStr">
        <is>
          <t>Open</t>
        </is>
      </c>
      <c r="L5" s="12" t="n"/>
      <c r="M5" s="12" t="inlineStr">
        <is>
          <t>Also affects BRD-07.</t>
        </is>
      </c>
    </row>
    <row r="6">
      <c r="A6" s="12" t="inlineStr">
        <is>
          <t>CLR-CR-03</t>
        </is>
      </c>
      <c r="B6" s="12" t="inlineStr">
        <is>
          <t>BRD-00 Core Replacement and cross-cutting points</t>
        </is>
      </c>
      <c r="C6" s="12" t="inlineStr">
        <is>
          <t>Decision</t>
        </is>
      </c>
      <c r="D6" s="12" t="inlineStr">
        <is>
          <t>CSF case resolution: Decide the delivery drop of the Case Management module (CLR-CSF-07); close DCR-163 and CR-0005 against it.</t>
        </is>
      </c>
      <c r="E6" s="12" t="inlineStr">
        <is>
          <t>The addendum answers CRQ04 and the cross-BRD conflict XQ12 (DCR-163); change request CR-0005 kept case resolution out of phase 1.</t>
        </is>
      </c>
      <c r="F6" s="12" t="inlineStr">
        <is>
          <t>Case resolution is BDOI scope: the signed CSF Addendum - Case Management (BRCSFCM.001-012) is specified in FRS BRD-9 (FR-CSF-050 to 061). Its delivery drop and plan follow the decision of BDOI and the Change Control Board (FRS BRD-9 CLR-CSF-07).</t>
        </is>
      </c>
      <c r="G6" s="12" t="inlineStr">
        <is>
          <t>FRS BRD-00 v1.1, Proposed business rules and clarifications; CORE-16.06; also raised as CRQ04 (open question), XQ12 (open question), CSQ09 (open question), DCR-163 (register item)</t>
        </is>
      </c>
      <c r="H6" s="12" t="inlineStr">
        <is>
          <t>Contact Center Management / Alternative Distribution</t>
        </is>
      </c>
      <c r="I6" s="37" t="n">
        <v>46356</v>
      </c>
      <c r="J6" s="12" t="inlineStr">
        <is>
          <t>High</t>
        </is>
      </c>
      <c r="K6" s="38" t="inlineStr">
        <is>
          <t>Partly answered</t>
        </is>
      </c>
      <c r="L6" s="12" t="n"/>
      <c r="M6" s="12" t="inlineStr">
        <is>
          <t>Answer so far: in scope by the Case Management Addendum; drop open, CLR-CSF-07; Case Management Addendum; drop open, CLR-CSF-07. Also affects BRD-09.</t>
        </is>
      </c>
    </row>
    <row r="7">
      <c r="A7" s="12" t="inlineStr">
        <is>
          <t>NFR-PRF-01</t>
        </is>
      </c>
      <c r="B7" s="12" t="inlineStr">
        <is>
          <t>BRD-00 Core Replacement and cross-cutting points</t>
        </is>
      </c>
      <c r="C7" s="12" t="inlineStr">
        <is>
          <t>Decision</t>
        </is>
      </c>
      <c r="D7" s="12" t="inlineStr">
        <is>
          <t>Screen response time: decide the target; the BRDs give different values</t>
        </is>
      </c>
      <c r="E7" s="12" t="inlineStr">
        <is>
          <t>Every screen opens, and every single-record action (save, submit, approve) completes, within the target at the design load.</t>
        </is>
      </c>
      <c r="F7" s="12" t="inlineStr">
        <is>
          <t>p95 at most 2.0 seconds and p99 at most 4.0 seconds</t>
        </is>
      </c>
      <c r="G7" s="12" t="inlineStr">
        <is>
          <t>Non-functional requirements register v1.0, NFR-PRF-01; BRD-00 p.42 (under 5 s for every role); BRD-12 p.13 (2 s); BRD-9 p.13 (3 s); BRD-1 p.210 and BRD-6 p.186 (10 s); register DCR-137, DCR-165; CRQ21; also raised as CRQ21 (open question), XQ08 (open question), CQ25 (open question), AQ27 (open question), RQ28 (open question), EBQ25 (open question), SANC-SQ18 (open question), DCR-057 (register item), DCR-071 (register item), DCR-137 (register item), DCR-139 (register item), DCR-165 (register item), DCR-193 (register item)</t>
        </is>
      </c>
      <c r="H7" s="12" t="inlineStr">
        <is>
          <t>BIBS Product Owner</t>
        </is>
      </c>
      <c r="I7" s="37" t="n">
        <v>46356</v>
      </c>
      <c r="J7" s="12" t="inlineStr">
        <is>
          <t>High</t>
        </is>
      </c>
      <c r="K7" s="38" t="inlineStr">
        <is>
          <t>Partly answered</t>
        </is>
      </c>
      <c r="L7" s="12" t="n"/>
      <c r="M7" s="12" t="inlineStr">
        <is>
          <t>Answer so far: Umbrella: retention 5 / 15, backup every 4 hours kept 5 years, response under 5 s, users per role (1,344 / 429). Availability, hours and maintenance still per BRD. BRD-13 refers to a consolidated NFR document not in the pack (DMQ29). (BRD-00 p.42-45; BRD-13 p. Also affects BRD-01, BRD-02, BRD-03, BRD-04, BRD-05, BRD-06, BRD-07, BRD-08, BRD-09, BRD-10, BRD-11, BRD-12, BRD-13.</t>
        </is>
      </c>
    </row>
    <row r="8">
      <c r="A8" s="12" t="inlineStr">
        <is>
          <t>NFR-PRF-02</t>
        </is>
      </c>
      <c r="B8" s="12" t="inlineStr">
        <is>
          <t>BRD-00 Core Replacement and cross-cutting points</t>
        </is>
      </c>
      <c r="C8" s="12" t="inlineStr">
        <is>
          <t>Configuration value</t>
        </is>
      </c>
      <c r="D8" s="12" t="inlineStr">
        <is>
          <t>Search and work-list response time: confirm the proposed target or give the BDOI value</t>
        </is>
      </c>
      <c r="E8" s="12" t="inlineStr">
        <is>
          <t>The first page of any search result or work list is shown within the target; lists are paged on the server.</t>
        </is>
      </c>
      <c r="F8" s="12" t="inlineStr">
        <is>
          <t>First page (up to 50 rows) p95 at most 3.0 seconds; each further page p95 at most 2.0 seconds</t>
        </is>
      </c>
      <c r="G8" s="12" t="inlineStr">
        <is>
          <t>Non-functional requirements register v1.0, NFR-PRF-02; BRD-9 p.13 (retrieval and search under 3 s); BRD-4 NFR 15 (5 s); BRD-10 p.22-24 (3 to 5 s)</t>
        </is>
      </c>
      <c r="H8" s="12" t="inlineStr">
        <is>
          <t>BIBS Product Owner</t>
        </is>
      </c>
      <c r="I8" s="37" t="n">
        <v>46356</v>
      </c>
      <c r="J8" s="12" t="inlineStr">
        <is>
          <t>High</t>
        </is>
      </c>
      <c r="K8" s="38" t="inlineStr">
        <is>
          <t>Open</t>
        </is>
      </c>
      <c r="L8" s="12" t="n"/>
      <c r="M8" s="12" t="n"/>
    </row>
    <row r="9">
      <c r="A9" s="12" t="inlineStr">
        <is>
          <t>NFR-PRF-03</t>
        </is>
      </c>
      <c r="B9" s="12" t="inlineStr">
        <is>
          <t>BRD-00 Core Replacement and cross-cutting points</t>
        </is>
      </c>
      <c r="C9" s="12" t="inlineStr">
        <is>
          <t>Decision</t>
        </is>
      </c>
      <c r="D9" s="12" t="inlineStr">
        <is>
          <t>Interactive reports: decide the target; the BRDs give different values</t>
        </is>
      </c>
      <c r="E9" s="12" t="inlineStr">
        <is>
          <t>An on-screen report or its export is produced within the target; larger reports run as background jobs (NFR-PRF-04).</t>
        </is>
      </c>
      <c r="F9" s="12" t="inlineStr">
        <is>
          <t>At most 20 seconds (p95) for a report of up to 30,000 rows</t>
        </is>
      </c>
      <c r="G9" s="12" t="inlineStr">
        <is>
          <t>Non-functional requirements register v1.0, NFR-PRF-03; BRD-6 p.186 and BRD-11 p.11 (20 s); BRD-5 p.133-137 (10 to 20 s first load); register DCR-137</t>
        </is>
      </c>
      <c r="H9" s="12" t="inlineStr">
        <is>
          <t>BIBS Product Owner</t>
        </is>
      </c>
      <c r="I9" s="37" t="n">
        <v>46356</v>
      </c>
      <c r="J9" s="12" t="inlineStr">
        <is>
          <t>High</t>
        </is>
      </c>
      <c r="K9" s="38" t="inlineStr">
        <is>
          <t>Open</t>
        </is>
      </c>
      <c r="L9" s="12" t="n"/>
      <c r="M9" s="12" t="n"/>
    </row>
    <row r="10">
      <c r="A10" s="12" t="inlineStr">
        <is>
          <t>NFR-PRF-07</t>
        </is>
      </c>
      <c r="B10" s="12" t="inlineStr">
        <is>
          <t>BRD-00 Core Replacement and cross-cutting points</t>
        </is>
      </c>
      <c r="C10" s="12" t="inlineStr">
        <is>
          <t>Configuration value</t>
        </is>
      </c>
      <c r="D10" s="12" t="inlineStr">
        <is>
          <t>Night batch window: confirm the proposed target or give the BDOI value</t>
        </is>
      </c>
      <c r="E10" s="12" t="inlineStr">
        <is>
          <t>The scheduled jobs of the night (booking batch, remittance extraction, GL-SL reconciliation, Collections files, renewal extraction, screening, application file) finish before the service window opens.</t>
        </is>
      </c>
      <c r="F10" s="12" t="inlineStr">
        <is>
          <t>The chain from 20:00 to 05:30 PHT completes before 06:00 PHT at year-5 volumes; a failed job can be re-run within the window</t>
        </is>
      </c>
      <c r="G10" s="12" t="inlineStr">
        <is>
          <t>Non-functional requirements register v1.0, NFR-PRF-07; Register DCR-133 (service window from 06:00); programme alignment pack, section 6.5 (job times); also raised as DCR-133 (register item)</t>
        </is>
      </c>
      <c r="H10" s="12" t="inlineStr">
        <is>
          <t>Head, BDOI IT</t>
        </is>
      </c>
      <c r="I10" s="37" t="n">
        <v>46356</v>
      </c>
      <c r="J10" s="12" t="inlineStr">
        <is>
          <t>High</t>
        </is>
      </c>
      <c r="K10" s="38" t="inlineStr">
        <is>
          <t>Open</t>
        </is>
      </c>
      <c r="L10" s="12" t="n"/>
      <c r="M10" s="12" t="inlineStr">
        <is>
          <t>Also affects BRD-01, BRD-02, BRD-03, BRD-04, BRD-05, BRD-06, BRD-07, BRD-08, BRD-09, BRD-10, BRD-12.</t>
        </is>
      </c>
    </row>
    <row r="11">
      <c r="A11" s="12" t="inlineStr">
        <is>
          <t>NFR-CAP-01</t>
        </is>
      </c>
      <c r="B11" s="12" t="inlineStr">
        <is>
          <t>BRD-00 Core Replacement and cross-cutting points</t>
        </is>
      </c>
      <c r="C11" s="12" t="inlineStr">
        <is>
          <t>Decision</t>
        </is>
      </c>
      <c r="D11" s="12" t="inlineStr">
        <is>
          <t>Users: decide the target; the BRDs give different values</t>
        </is>
      </c>
      <c r="E11" s="12" t="inlineStr">
        <is>
          <t>BIBS serves every named user of BDOI and the concurrent sessions of the peak.</t>
        </is>
      </c>
      <c r="F11" s="12" t="inlineStr">
        <is>
          <t>1,344 named users; design load 150 concurrent users in year 1, growing 20% a year (311 in year 5); peak test at 429 concurrent sessions</t>
        </is>
      </c>
      <c r="G11" s="12" t="inlineStr">
        <is>
          <t>Non-functional requirements register v1.0, NFR-CAP-01; BRD-00 p.42 (1,344 named, 429 concurrent); BRD-1 p.210 (485 / 145, growth 20%); IER architecture sheet (about 1,200 internal users); register DCR-166, DCR-232; CRQ21, CRQ24; also raised as CRQ24 (open question), DCR-166 (register item), DCR-232 (register item)</t>
        </is>
      </c>
      <c r="H11" s="12" t="inlineStr">
        <is>
          <t>BIBS Product Owner</t>
        </is>
      </c>
      <c r="I11" s="37" t="n">
        <v>46356</v>
      </c>
      <c r="J11" s="12" t="inlineStr">
        <is>
          <t>High</t>
        </is>
      </c>
      <c r="K11" s="38" t="inlineStr">
        <is>
          <t>Open</t>
        </is>
      </c>
      <c r="L11" s="12" t="n"/>
      <c r="M11" s="12" t="inlineStr">
        <is>
          <t>Also affects BRD-03, BRD-07, BRD-08.</t>
        </is>
      </c>
    </row>
    <row r="12">
      <c r="A12" s="12" t="inlineStr">
        <is>
          <t>NFR-CAP-03</t>
        </is>
      </c>
      <c r="B12" s="12" t="inlineStr">
        <is>
          <t>BRD-00 Core Replacement and cross-cutting points</t>
        </is>
      </c>
      <c r="C12" s="12" t="inlineStr">
        <is>
          <t>Configuration value</t>
        </is>
      </c>
      <c r="D12" s="12" t="inlineStr">
        <is>
          <t>Data and document volume: confirm the proposed target or give the BDOI value</t>
        </is>
      </c>
      <c r="E12" s="12" t="inlineStr">
        <is>
          <t>Storage is sized for five years of data and documents with headroom.</t>
        </is>
      </c>
      <c r="F12" s="12" t="inlineStr">
        <is>
          <t>Five years (60 months) at 20% growth a year with at least 30% free capacity at the end of year 5; migrated base up to 1,000,000 client rows and 500,000 open items</t>
        </is>
      </c>
      <c r="G12" s="12" t="inlineStr">
        <is>
          <t>Non-functional requirements register v1.0, NFR-CAP-03; IER HW &amp; SW Requirements (60 months; 15% growth a year); Data Migration Handbook (1,000,000 clients, 500,000 open items); programme alignment pack 6.3 (data store re-sized without documents)</t>
        </is>
      </c>
      <c r="H12" s="12" t="inlineStr">
        <is>
          <t>Cloud and Digital Operations Engineering (IER owner)</t>
        </is>
      </c>
      <c r="I12" s="37" t="n">
        <v>46356</v>
      </c>
      <c r="J12" s="12" t="inlineStr">
        <is>
          <t>High</t>
        </is>
      </c>
      <c r="K12" s="38" t="inlineStr">
        <is>
          <t>Open</t>
        </is>
      </c>
      <c r="L12" s="12" t="n"/>
      <c r="M12" s="12" t="n"/>
    </row>
    <row r="13">
      <c r="A13" s="12" t="inlineStr">
        <is>
          <t>NFR-CAP-05</t>
        </is>
      </c>
      <c r="B13" s="12" t="inlineStr">
        <is>
          <t>BRD-00 Core Replacement and cross-cutting points</t>
        </is>
      </c>
      <c r="C13" s="12" t="inlineStr">
        <is>
          <t>Configuration value</t>
        </is>
      </c>
      <c r="D13" s="12" t="inlineStr">
        <is>
          <t>Peak periods: confirm the proposed target or give the BDOI value</t>
        </is>
      </c>
      <c r="E13" s="12" t="inlineStr">
        <is>
          <t>The month-end, mid-month and year-end peaks are carried without missing the response targets.</t>
        </is>
      </c>
      <c r="F13" s="12" t="inlineStr">
        <is>
          <t>1.5 times the average daily volume on the 15th, the 30th, month-end and year-end, within NFR-PRF-01 and NFR-PRF-02</t>
        </is>
      </c>
      <c r="G13" s="12" t="inlineStr">
        <is>
          <t>Non-functional requirements register v1.0, NFR-CAP-05; BRD-2 (15th and 30th); BRD-5 (month-end and year-end); BRD-9 (first quarter); BRD-1 and BRD-6 (08:00-10:00 and 15:00-17:00)</t>
        </is>
      </c>
      <c r="H13" s="12" t="inlineStr">
        <is>
          <t>Head, Comptrollership</t>
        </is>
      </c>
      <c r="I13" s="37" t="n">
        <v>46356</v>
      </c>
      <c r="J13" s="12" t="inlineStr">
        <is>
          <t>High</t>
        </is>
      </c>
      <c r="K13" s="38" t="inlineStr">
        <is>
          <t>Open</t>
        </is>
      </c>
      <c r="L13" s="12" t="n"/>
      <c r="M13" s="12" t="n"/>
    </row>
    <row r="14">
      <c r="A14" s="12" t="inlineStr">
        <is>
          <t>NFR-AVL-01</t>
        </is>
      </c>
      <c r="B14" s="12" t="inlineStr">
        <is>
          <t>BRD-00 Core Replacement and cross-cutting points</t>
        </is>
      </c>
      <c r="C14" s="12" t="inlineStr">
        <is>
          <t>Decision</t>
        </is>
      </c>
      <c r="D14" s="12" t="inlineStr">
        <is>
          <t>Availability in the service window: decide the target; the BRDs give different values</t>
        </is>
      </c>
      <c r="E14" s="12" t="inlineStr">
        <is>
          <t>BIBS is available to users throughout the service window.</t>
        </is>
      </c>
      <c r="F14" s="12" t="inlineStr">
        <is>
          <t>99.9% of the service window each month (about 25 minutes of unplanned unavailability in a month of 26 service days)</t>
        </is>
      </c>
      <c r="G14" s="12" t="inlineStr">
        <is>
          <t>Non-functional requirements register v1.0, NFR-AVL-01; Register DCR-134 (99.9% in service hours); BRD-2, 3, 9, 10, 12 (99.9%); BRD-8 (99.99%); BRD-5 Add.1 (100%); also raised as DCR-134 (register item)</t>
        </is>
      </c>
      <c r="H14" s="12" t="inlineStr">
        <is>
          <t>Head, BDOI IT</t>
        </is>
      </c>
      <c r="I14" s="37" t="n">
        <v>46356</v>
      </c>
      <c r="J14" s="12" t="inlineStr">
        <is>
          <t>High</t>
        </is>
      </c>
      <c r="K14" s="38" t="inlineStr">
        <is>
          <t>Open</t>
        </is>
      </c>
      <c r="L14" s="12" t="n"/>
      <c r="M14" s="12" t="inlineStr">
        <is>
          <t>Also affects BRD-01, BRD-02, BRD-03, BRD-05, BRD-06, BRD-08, BRD-09, BRD-10, BRD-11, BRD-12.</t>
        </is>
      </c>
    </row>
    <row r="15">
      <c r="A15" s="12" t="inlineStr">
        <is>
          <t>NFR-AVL-02</t>
        </is>
      </c>
      <c r="B15" s="12" t="inlineStr">
        <is>
          <t>BRD-00 Core Replacement and cross-cutting points</t>
        </is>
      </c>
      <c r="C15" s="12" t="inlineStr">
        <is>
          <t>Decision</t>
        </is>
      </c>
      <c r="D15" s="12" t="inlineStr">
        <is>
          <t>Service window: decide the target; the BRDs give different values</t>
        </is>
      </c>
      <c r="E15" s="12" t="inlineStr">
        <is>
          <t>One service window serves every module; production runs 24 x 7 so jobs and interfaces run outside it.</t>
        </is>
      </c>
      <c r="F15" s="12" t="inlineStr">
        <is>
          <t>06:00 to 22:00 PHT Monday to Saturday, plus month-end weekends; production infrastructure 24 x 7</t>
        </is>
      </c>
      <c r="G15" s="12" t="inlineStr">
        <is>
          <t>Non-functional requirements register v1.0, NFR-AVL-02; Register DCR-133; IER Assumptions 3 and 4 (non-production 12 x 5, production 24 x 7); BRD service hours from 06:00 (BRD-4, 7, 9) to 22:00 (BRD-1, 4, 6, 9)</t>
        </is>
      </c>
      <c r="H15" s="12" t="inlineStr">
        <is>
          <t>BIBS Product Owner</t>
        </is>
      </c>
      <c r="I15" s="37" t="n">
        <v>46356</v>
      </c>
      <c r="J15" s="12" t="inlineStr">
        <is>
          <t>High</t>
        </is>
      </c>
      <c r="K15" s="38" t="inlineStr">
        <is>
          <t>Open</t>
        </is>
      </c>
      <c r="L15" s="12" t="n"/>
      <c r="M15" s="12" t="n"/>
    </row>
    <row r="16">
      <c r="A16" s="12" t="inlineStr">
        <is>
          <t>NFR-AVL-03</t>
        </is>
      </c>
      <c r="B16" s="12" t="inlineStr">
        <is>
          <t>BRD-00 Core Replacement and cross-cutting points</t>
        </is>
      </c>
      <c r="C16" s="12" t="inlineStr">
        <is>
          <t>Decision</t>
        </is>
      </c>
      <c r="D16" s="12" t="inlineStr">
        <is>
          <t>Planned maintenance: decide the target; the BRDs give different values</t>
        </is>
      </c>
      <c r="E16" s="12" t="inlineStr">
        <is>
          <t>Planned work happens in one window outside every module's service hours.</t>
        </is>
      </c>
      <c r="F16" s="12" t="inlineStr">
        <is>
          <t>00:00 to 04:00 PHT; at most 45 minutes of planned downtime a month; announced 5 business days ahead; releases without downtime where the change allows</t>
        </is>
      </c>
      <c r="G16" s="12" t="inlineStr">
        <is>
          <t>Non-functional requirements register v1.0, NFR-AVL-03; Register DCR-138 and DCR-134; BRD-10 p.25 and BRD-12 p.14 (00:00-04:00, 45 minutes a month); also raised as CSQ12 (open question), DCR-103 (register item), DCR-138 (register item)</t>
        </is>
      </c>
      <c r="H16" s="12" t="inlineStr">
        <is>
          <t>Head, BDOI IT</t>
        </is>
      </c>
      <c r="I16" s="37" t="n">
        <v>46356</v>
      </c>
      <c r="J16" s="12" t="inlineStr">
        <is>
          <t>High</t>
        </is>
      </c>
      <c r="K16" s="38" t="inlineStr">
        <is>
          <t>Open</t>
        </is>
      </c>
      <c r="L16" s="12" t="n"/>
      <c r="M16" s="12" t="inlineStr">
        <is>
          <t>Also affects BRD-01, BRD-04, BRD-05, BRD-09, BRD-10, BRD-12.</t>
        </is>
      </c>
    </row>
    <row r="17">
      <c r="A17" s="12" t="inlineStr">
        <is>
          <t>NFR-REC-03</t>
        </is>
      </c>
      <c r="B17" s="12" t="inlineStr">
        <is>
          <t>BRD-00 Core Replacement and cross-cutting points</t>
        </is>
      </c>
      <c r="C17" s="12" t="inlineStr">
        <is>
          <t>Decision</t>
        </is>
      </c>
      <c r="D17" s="12" t="inlineStr">
        <is>
          <t>Backup: decide the target; the BRDs give different values</t>
        </is>
      </c>
      <c r="E17" s="12" t="inlineStr">
        <is>
          <t>Data and documents are backed up continuously and kept for the retention period.</t>
        </is>
      </c>
      <c r="F17" s="12" t="inlineStr">
        <is>
          <t>Continuous transaction-log archiving plus a base backup every 4 hours; backups encrypted and kept 7 years; document store versioned with cross-region replication</t>
        </is>
      </c>
      <c r="G17" s="12" t="inlineStr">
        <is>
          <t>Non-functional requirements register v1.0, NFR-REC-03; Register DCR-102, DCR-135, DCR-136; BRD-00 p.45 (every 4 hours, kept 5 years); BRD-2 and BRD-8 (kept 7 years); also raised as DCR-135 (register item), DCR-136 (register item)</t>
        </is>
      </c>
      <c r="H17" s="12" t="inlineStr">
        <is>
          <t>Cloud and Digital Operations Engineering (IER owner)</t>
        </is>
      </c>
      <c r="I17" s="37" t="n">
        <v>46356</v>
      </c>
      <c r="J17" s="12" t="inlineStr">
        <is>
          <t>High</t>
        </is>
      </c>
      <c r="K17" s="38" t="inlineStr">
        <is>
          <t>Partly answered</t>
        </is>
      </c>
      <c r="L17" s="12" t="n"/>
      <c r="M17" s="12" t="inlineStr">
        <is>
          <t>Answer so far: The IER workbook v20 (BDOI IT, received 26-Sep-2026) states RPO 15 minutes and RTO 4 hours, the values proposed here. To be confirmed by the BRD owners. Also affects BRD-01, BRD-02, BRD-03, BRD-04, BRD-05, BRD-06, BRD-07, BRD-08, BRD-09, BRD-10, BRD-11, BRD-12.</t>
        </is>
      </c>
    </row>
    <row r="18">
      <c r="A18" s="12" t="inlineStr">
        <is>
          <t>NFR-REC-04</t>
        </is>
      </c>
      <c r="B18" s="12" t="inlineStr">
        <is>
          <t>BRD-00 Core Replacement and cross-cutting points</t>
        </is>
      </c>
      <c r="C18" s="12" t="inlineStr">
        <is>
          <t>Configuration value</t>
        </is>
      </c>
      <c r="D18" s="12" t="inlineStr">
        <is>
          <t>Restore and DR drills: confirm the proposed target or give the BDOI value</t>
        </is>
      </c>
      <c r="E18" s="12" t="inlineStr">
        <is>
          <t>Recovery is proven before go-live and kept proven afterwards.</t>
        </is>
      </c>
      <c r="F18" s="12" t="inlineStr">
        <is>
          <t>Point-in-time restore tested every quarter; DR failover drill before go-live (Dec 2027) and twice a year after; each with a written result</t>
        </is>
      </c>
      <c r="G18" s="12" t="inlineStr">
        <is>
          <t>Non-functional requirements register v1.0, NFR-REC-04; Operations runbook (quarterly restore test); IER DR environment</t>
        </is>
      </c>
      <c r="H18" s="12" t="inlineStr">
        <is>
          <t>Head, BDOI IT</t>
        </is>
      </c>
      <c r="I18" s="37" t="n">
        <v>46356</v>
      </c>
      <c r="J18" s="12" t="inlineStr">
        <is>
          <t>High</t>
        </is>
      </c>
      <c r="K18" s="38" t="inlineStr">
        <is>
          <t>Open</t>
        </is>
      </c>
      <c r="L18" s="12" t="n"/>
      <c r="M18" s="12" t="n"/>
    </row>
    <row r="19">
      <c r="A19" s="12" t="inlineStr">
        <is>
          <t>NFR-REC-05</t>
        </is>
      </c>
      <c r="B19" s="12" t="inlineStr">
        <is>
          <t>BRD-00 Core Replacement and cross-cutting points</t>
        </is>
      </c>
      <c r="C19" s="12" t="inlineStr">
        <is>
          <t>Decision</t>
        </is>
      </c>
      <c r="D19" s="12" t="inlineStr">
        <is>
          <t>DR region: decide the target; the BRDs give different values</t>
        </is>
      </c>
      <c r="E19" s="12" t="inlineStr">
        <is>
          <t>A second AWS region hosts the DR copy of BIBS once BDOI confirms data residency.</t>
        </is>
      </c>
      <c r="F19" s="12" t="inlineStr">
        <is>
          <t>Data store cross-region replica, document store cross-region replication, standby Kubernetes cluster scaled from 0 to 6 backend pods at failover</t>
        </is>
      </c>
      <c r="G19" s="12" t="inlineStr">
        <is>
          <t>Non-functional requirements register v1.0, NFR-REC-05; IER PROD DR (cross-region read replica) and diagram (warm standby); register DCR-225; programme alignment pack 6.4; IQ26; also raised as IQ26 (open question), DCR-225 (register item)</t>
        </is>
      </c>
      <c r="H19" s="12" t="inlineStr">
        <is>
          <t>Cloud and Digital Operations Engineering (IER owner)</t>
        </is>
      </c>
      <c r="I19" s="37" t="n">
        <v>46356</v>
      </c>
      <c r="J19" s="12" t="inlineStr">
        <is>
          <t>High</t>
        </is>
      </c>
      <c r="K19" s="38" t="inlineStr">
        <is>
          <t>Open</t>
        </is>
      </c>
      <c r="L19" s="12" t="n"/>
      <c r="M19" s="12" t="n"/>
    </row>
    <row r="20">
      <c r="A20" s="12" t="inlineStr">
        <is>
          <t>NFR-SEC-02</t>
        </is>
      </c>
      <c r="B20" s="12" t="inlineStr">
        <is>
          <t>BRD-00 Core Replacement and cross-cutting points</t>
        </is>
      </c>
      <c r="C20" s="12" t="inlineStr">
        <is>
          <t>Configuration value</t>
        </is>
      </c>
      <c r="D20" s="12" t="inlineStr">
        <is>
          <t>Second factor: confirm the proposed target or give the BDOI value</t>
        </is>
      </c>
      <c r="E20" s="12" t="inlineStr">
        <is>
          <t>Privileged users prove a second factor.</t>
        </is>
      </c>
      <c r="F20" s="12" t="inlineStr">
        <is>
          <t>TOTP second factor for every privileged role and every break-glass administrator; EIAM conditional access for single sign-on users</t>
        </is>
      </c>
      <c r="G20" s="12" t="inlineStr">
        <is>
          <t>Non-functional requirements register v1.0, NFR-SEC-02; Security controls (TOTP, policy PRIVILEGED as delivered); drop plan EIAM</t>
        </is>
      </c>
      <c r="H20" s="12" t="inlineStr">
        <is>
          <t>BDOI Information Security</t>
        </is>
      </c>
      <c r="I20" s="37" t="n">
        <v>46356</v>
      </c>
      <c r="J20" s="12" t="inlineStr">
        <is>
          <t>High</t>
        </is>
      </c>
      <c r="K20" s="38" t="inlineStr">
        <is>
          <t>Open</t>
        </is>
      </c>
      <c r="L20" s="12" t="n"/>
      <c r="M20" s="12" t="n"/>
    </row>
    <row r="21">
      <c r="A21" s="12" t="inlineStr">
        <is>
          <t>NFR-SEC-03</t>
        </is>
      </c>
      <c r="B21" s="12" t="inlineStr">
        <is>
          <t>BRD-00 Core Replacement and cross-cutting points</t>
        </is>
      </c>
      <c r="C21" s="12" t="inlineStr">
        <is>
          <t>Decision</t>
        </is>
      </c>
      <c r="D21" s="12" t="inlineStr">
        <is>
          <t>User provisioning and leavers: decide the target; the BRDs give different values</t>
        </is>
      </c>
      <c r="E21" s="12" t="inlineStr">
        <is>
          <t>Joiners, movers and leavers reach BIBS from UIDM-ISC; dormant accounts are disabled.</t>
        </is>
      </c>
      <c r="F21" s="12" t="inlineStr">
        <is>
          <t>SCIM 2.0 provisioning from UIDM-ISC (planned); a leaver disabled in BIBS within 1 hour of the UIDM-ISC change; accounts dormant for 90 days disabled by the daily job</t>
        </is>
      </c>
      <c r="G21" s="12" t="inlineStr">
        <is>
          <t>Non-functional requirements register v1.0, NFR-SEC-03; Drop plan integration UIDM-ISC (INT-02); BRD-11 UAM-NFR-09 (dormant users disabled); IQ05, DCR-229; also raised as IQ05 (open question), DCR-229 (register item)</t>
        </is>
      </c>
      <c r="H21" s="12" t="inlineStr">
        <is>
          <t>BDOI Information Security</t>
        </is>
      </c>
      <c r="I21" s="37" t="n">
        <v>46356</v>
      </c>
      <c r="J21" s="12" t="inlineStr">
        <is>
          <t>High</t>
        </is>
      </c>
      <c r="K21" s="38" t="inlineStr">
        <is>
          <t>Open</t>
        </is>
      </c>
      <c r="L21" s="12" t="n"/>
      <c r="M21" s="12" t="inlineStr">
        <is>
          <t>Also affects BRD-11.</t>
        </is>
      </c>
    </row>
    <row r="22">
      <c r="A22" s="12" t="inlineStr">
        <is>
          <t>NFR-SEC-05</t>
        </is>
      </c>
      <c r="B22" s="12" t="inlineStr">
        <is>
          <t>BRD-00 Core Replacement and cross-cutting points</t>
        </is>
      </c>
      <c r="C22" s="12" t="inlineStr">
        <is>
          <t>Decision</t>
        </is>
      </c>
      <c r="D22" s="12" t="inlineStr">
        <is>
          <t>Session and lock-out: decide the target; the BRDs give different values</t>
        </is>
      </c>
      <c r="E22" s="12" t="inlineStr">
        <is>
          <t>Idle sessions end and repeated failures lock the account.</t>
        </is>
      </c>
      <c r="F22" s="12" t="inlineStr">
        <is>
          <t>Inactivity warning at 15 minutes and sign-out at 30 minutes; absolute session end 8 hours; lock-out after 3 consecutive failed attempts</t>
        </is>
      </c>
      <c r="G22" s="12" t="inlineStr">
        <is>
          <t>Non-functional requirements register v1.0, NFR-SEC-05; BRD-11 UAM-NFR-19, 34; BRD-1 p.93 and BRD-6 p.44 (warning 15, log-out 30); BRD-4 p.53 and BRD-7 p.35 (15 minutes); register DCR-140, DCR-142; also raised as DCR-140 (register item), DCR-142 (register item)</t>
        </is>
      </c>
      <c r="H22" s="12" t="inlineStr">
        <is>
          <t>BDOI Information Security</t>
        </is>
      </c>
      <c r="I22" s="37" t="n">
        <v>46356</v>
      </c>
      <c r="J22" s="12" t="inlineStr">
        <is>
          <t>High</t>
        </is>
      </c>
      <c r="K22" s="38" t="inlineStr">
        <is>
          <t>Partly answered</t>
        </is>
      </c>
      <c r="L22" s="12" t="n"/>
      <c r="M22" s="12" t="inlineStr">
        <is>
          <t>Answer so far: BRD-11 p.14: "Users should be locked out to the system after 3 invalid attempts.". Also affects BRD-01, BRD-04, BRD-07, BRD-11.</t>
        </is>
      </c>
    </row>
    <row r="23">
      <c r="A23" s="12" t="inlineStr">
        <is>
          <t>NFR-SEC-06</t>
        </is>
      </c>
      <c r="B23" s="12" t="inlineStr">
        <is>
          <t>BRD-00 Core Replacement and cross-cutting points</t>
        </is>
      </c>
      <c r="C23" s="12" t="inlineStr">
        <is>
          <t>Configuration value</t>
        </is>
      </c>
      <c r="D23" s="12" t="inlineStr">
        <is>
          <t>Encryption in transit and at rest: confirm the proposed target or give the BDOI value</t>
        </is>
      </c>
      <c r="E23" s="12" t="inlineStr">
        <is>
          <t>Data is encrypted on every connection and in every store.</t>
        </is>
      </c>
      <c r="F23" s="12" t="inlineStr">
        <is>
          <t>TLS 1.2 or higher on every connection (browser, Gateway Interface, between workloads, to the managed services); data store, document store and backups encrypted with customer-managed keys per environment</t>
        </is>
      </c>
      <c r="G23" s="12" t="inlineStr">
        <is>
          <t>Non-functional requirements register v1.0, NFR-SEC-06; Security controls (TLS at the edge and to the pods); programme alignment pack 6.3 (KMS keys per environment); BRD-8 derived privacy requirement (encryption in transit and at rest)</t>
        </is>
      </c>
      <c r="H23" s="12" t="inlineStr">
        <is>
          <t>BDOI Information Security</t>
        </is>
      </c>
      <c r="I23" s="37" t="n">
        <v>46356</v>
      </c>
      <c r="J23" s="12" t="inlineStr">
        <is>
          <t>High</t>
        </is>
      </c>
      <c r="K23" s="38" t="inlineStr">
        <is>
          <t>Open</t>
        </is>
      </c>
      <c r="L23" s="12" t="n"/>
      <c r="M23" s="12" t="n"/>
    </row>
    <row r="24">
      <c r="A24" s="12" t="inlineStr">
        <is>
          <t>NFR-SEC-08</t>
        </is>
      </c>
      <c r="B24" s="12" t="inlineStr">
        <is>
          <t>BRD-00 Core Replacement and cross-cutting points</t>
        </is>
      </c>
      <c r="C24" s="12" t="inlineStr">
        <is>
          <t>Configuration value</t>
        </is>
      </c>
      <c r="D24" s="12" t="inlineStr">
        <is>
          <t>DAST and penetration test: confirm the proposed target or give the BDOI value</t>
        </is>
      </c>
      <c r="E24" s="12" t="inlineStr">
        <is>
          <t>The running application is tested from outside before go-live.</t>
        </is>
      </c>
      <c r="F24" s="12" t="inlineStr">
        <is>
          <t>DAST scan of each release candidate in SIT and Pre-Prod with no open high or critical finding; early scan in SIT in June 2027; independent penetration test 1 Nov to 15 Dec 2027; critical and high findings closed before go-live</t>
        </is>
      </c>
      <c r="G24" s="12" t="inlineStr">
        <is>
          <t>Non-functional requirements register v1.0, NFR-SEC-08; BDOI programme timeline (performance and penetration test Nov to Dec 2027); programme alignment pack (early security scan, IQ35); project plan DEP-19; also raised as IQ35 (open question)</t>
        </is>
      </c>
      <c r="H24" s="12" t="inlineStr">
        <is>
          <t>BDOI Information Security</t>
        </is>
      </c>
      <c r="I24" s="37" t="n">
        <v>46356</v>
      </c>
      <c r="J24" s="12" t="inlineStr">
        <is>
          <t>High</t>
        </is>
      </c>
      <c r="K24" s="38" t="inlineStr">
        <is>
          <t>Open</t>
        </is>
      </c>
      <c r="L24" s="12" t="n"/>
      <c r="M24" s="12" t="n"/>
    </row>
    <row r="25">
      <c r="A25" s="12" t="inlineStr">
        <is>
          <t>NFR-SEC-12</t>
        </is>
      </c>
      <c r="B25" s="12" t="inlineStr">
        <is>
          <t>BRD-00 Core Replacement and cross-cutting points</t>
        </is>
      </c>
      <c r="C25" s="12" t="inlineStr">
        <is>
          <t>Configuration value</t>
        </is>
      </c>
      <c r="D25" s="12" t="inlineStr">
        <is>
          <t>Vulnerability remediation: confirm the proposed target or give the BDOI value</t>
        </is>
      </c>
      <c r="E25" s="12" t="inlineStr">
        <is>
          <t>Security findings in production are fixed within set times.</t>
        </is>
      </c>
      <c r="F25" s="12" t="inlineStr">
        <is>
          <t>Critical within 7 days, high within 30 days, medium within 90 days; an accepted finding expires after at most 6 months</t>
        </is>
      </c>
      <c r="G25" s="12" t="inlineStr">
        <is>
          <t>Non-functional requirements register v1.0, NFR-SEC-12; Quality gates (accepted findings expire after at most six months)</t>
        </is>
      </c>
      <c r="H25" s="12" t="inlineStr">
        <is>
          <t>BDOI Information Security</t>
        </is>
      </c>
      <c r="I25" s="37" t="n">
        <v>46356</v>
      </c>
      <c r="J25" s="12" t="inlineStr">
        <is>
          <t>High</t>
        </is>
      </c>
      <c r="K25" s="38" t="inlineStr">
        <is>
          <t>Open</t>
        </is>
      </c>
      <c r="L25" s="12" t="n"/>
      <c r="M25" s="12" t="n"/>
    </row>
    <row r="26">
      <c r="A26" s="12" t="inlineStr">
        <is>
          <t>NFR-PRV-02</t>
        </is>
      </c>
      <c r="B26" s="12" t="inlineStr">
        <is>
          <t>BRD-00 Core Replacement and cross-cutting points</t>
        </is>
      </c>
      <c r="C26" s="12" t="inlineStr">
        <is>
          <t>Decision</t>
        </is>
      </c>
      <c r="D26" s="12" t="inlineStr">
        <is>
          <t>Data residency and support access: decide the target; the BRDs give different values</t>
        </is>
      </c>
      <c r="E26" s="12" t="inlineStr">
        <is>
          <t>Production data stays in the agreed region and is reached only by authorised personnel in the Philippines.</t>
        </is>
      </c>
      <c r="F26" s="12" t="inlineStr">
        <is>
          <t>Production in AWS ap-southeast-1; DR region confirmed by BDOI after the data-residency check; production access only by named personnel in the Philippines, each session logged</t>
        </is>
      </c>
      <c r="G26" s="12" t="inlineStr">
        <is>
          <t>Non-functional requirements register v1.0, NFR-PRV-02; FRS BRD-00 NFR table (hosting appendix: AWS ap-southeast-1, access from the Philippines); register DCR-225; IQ26</t>
        </is>
      </c>
      <c r="H26" s="12" t="inlineStr">
        <is>
          <t>Data Protection Officer, BDOI</t>
        </is>
      </c>
      <c r="I26" s="37" t="n">
        <v>46356</v>
      </c>
      <c r="J26" s="12" t="inlineStr">
        <is>
          <t>High</t>
        </is>
      </c>
      <c r="K26" s="38" t="inlineStr">
        <is>
          <t>Open</t>
        </is>
      </c>
      <c r="L26" s="12" t="n"/>
      <c r="M26" s="12" t="n"/>
    </row>
    <row r="27">
      <c r="A27" s="12" t="inlineStr">
        <is>
          <t>NFR-ACC-01</t>
        </is>
      </c>
      <c r="B27" s="12" t="inlineStr">
        <is>
          <t>BRD-00 Core Replacement and cross-cutting points</t>
        </is>
      </c>
      <c r="C27" s="12" t="inlineStr">
        <is>
          <t>Configuration value</t>
        </is>
      </c>
      <c r="D27" s="12" t="inlineStr">
        <is>
          <t>WCAG 2.2 level AA: confirm the proposed target or give the BDOI value</t>
        </is>
      </c>
      <c r="E27" s="12" t="inlineStr">
        <is>
          <t>Every screen meets the success criteria of WCAG 2.2 at levels A and AA.</t>
        </is>
      </c>
      <c r="F27" s="12" t="inlineStr">
        <is>
          <t>0 open level A or AA failures on the screens of each sign-off set; 0 serious or critical issues in the scan of every screen</t>
        </is>
      </c>
      <c r="G27" s="12" t="inlineStr">
        <is>
          <t>Non-functional requirements register v1.0, NFR-ACC-01; BRD-11 UAM-NFR-05 (options for impaired vision or colour blindness); BDO UX guidelines (AA contrast, keyboard use)</t>
        </is>
      </c>
      <c r="H27" s="12" t="inlineStr">
        <is>
          <t>BIBS Product Owner</t>
        </is>
      </c>
      <c r="I27" s="37" t="n">
        <v>46356</v>
      </c>
      <c r="J27" s="12" t="inlineStr">
        <is>
          <t>High</t>
        </is>
      </c>
      <c r="K27" s="38" t="inlineStr">
        <is>
          <t>Open</t>
        </is>
      </c>
      <c r="L27" s="12" t="n"/>
      <c r="M27" s="12" t="n"/>
    </row>
    <row r="28">
      <c r="A28" s="12" t="inlineStr">
        <is>
          <t>NFR-USE-01</t>
        </is>
      </c>
      <c r="B28" s="12" t="inlineStr">
        <is>
          <t>BRD-00 Core Replacement and cross-cutting points</t>
        </is>
      </c>
      <c r="C28" s="12" t="inlineStr">
        <is>
          <t>Configuration value</t>
        </is>
      </c>
      <c r="D28" s="12" t="inlineStr">
        <is>
          <t>Low-click navigation: confirm the proposed target or give the BDOI value</t>
        </is>
      </c>
      <c r="E28" s="12" t="inlineStr">
        <is>
          <t>Daily work starts from the role home page with few clicks.</t>
        </is>
      </c>
      <c r="F28" s="12" t="inlineStr">
        <is>
          <t>Any daily task reached in at most 2 clicks from the role home page or the menu; a record opened from a search result in 1 click; the main action of a record (submit, approve) at most 1 click away</t>
        </is>
      </c>
      <c r="G28" s="12" t="inlineStr">
        <is>
          <t>Non-functional requirements register v1.0, NFR-USE-01; BRD-00 p.5 (role-based self-service, centralised dashboards); FRS BRD-00 FR-CR-001 and FR-CR-010 (persona menus, role home)</t>
        </is>
      </c>
      <c r="H28" s="12" t="inlineStr">
        <is>
          <t>BIBS Product Owner</t>
        </is>
      </c>
      <c r="I28" s="37" t="n">
        <v>46356</v>
      </c>
      <c r="J28" s="12" t="inlineStr">
        <is>
          <t>High</t>
        </is>
      </c>
      <c r="K28" s="38" t="inlineStr">
        <is>
          <t>Open</t>
        </is>
      </c>
      <c r="L28" s="12" t="n"/>
      <c r="M28" s="12" t="n"/>
    </row>
    <row r="29">
      <c r="A29" s="12" t="inlineStr">
        <is>
          <t>NFR-RSP-03</t>
        </is>
      </c>
      <c r="B29" s="12" t="inlineStr">
        <is>
          <t>BRD-00 Core Replacement and cross-cutting points</t>
        </is>
      </c>
      <c r="C29" s="12" t="inlineStr">
        <is>
          <t>Configuration value</t>
        </is>
      </c>
      <c r="D29" s="12" t="inlineStr">
        <is>
          <t>Supported browsers: confirm the proposed target or give the BDOI value</t>
        </is>
      </c>
      <c r="E29" s="12" t="inlineStr">
        <is>
          <t>Users need only a browser.</t>
        </is>
      </c>
      <c r="F29" s="12" t="inlineStr">
        <is>
          <t>Current and previous major versions of Microsoft Edge and Google Chrome on Windows, Safari on iOS and Chrome on Android; no plug-in or local install</t>
        </is>
      </c>
      <c r="G29" s="12" t="inlineStr">
        <is>
          <t>Non-functional requirements register v1.0, NFR-RSP-03; BRD-11 UAM-NFR-28 (browser only on workstations)</t>
        </is>
      </c>
      <c r="H29" s="12" t="inlineStr">
        <is>
          <t>Head, BDOI IT</t>
        </is>
      </c>
      <c r="I29" s="37" t="n">
        <v>46356</v>
      </c>
      <c r="J29" s="12" t="inlineStr">
        <is>
          <t>High</t>
        </is>
      </c>
      <c r="K29" s="38" t="inlineStr">
        <is>
          <t>Open</t>
        </is>
      </c>
      <c r="L29" s="12" t="n"/>
      <c r="M29" s="12" t="n"/>
    </row>
    <row r="30">
      <c r="A30" s="12" t="inlineStr">
        <is>
          <t>NFR-MNT-02</t>
        </is>
      </c>
      <c r="B30" s="12" t="inlineStr">
        <is>
          <t>BRD-00 Core Replacement and cross-cutting points</t>
        </is>
      </c>
      <c r="C30" s="12" t="inlineStr">
        <is>
          <t>Configuration value</t>
        </is>
      </c>
      <c r="D30" s="12" t="inlineStr">
        <is>
          <t>Code coverage: confirm the proposed target or give the BDOI value</t>
        </is>
      </c>
      <c r="E30" s="12" t="inlineStr">
        <is>
          <t>New and changed code is covered by unit testing.</t>
        </is>
      </c>
      <c r="F30" s="12" t="inlineStr">
        <is>
          <t>Line coverage above 90% on new and changed code (new-code gate of SonarQube); overall line coverage at least 80% and branch coverage at least 65%</t>
        </is>
      </c>
      <c r="G30" s="12" t="inlineStr">
        <is>
          <t>Non-functional requirements register v1.0, NFR-MNT-02; Quality gates (overall gate 80% lines, 65% branches); programme target for new code</t>
        </is>
      </c>
      <c r="H30" s="12" t="inlineStr">
        <is>
          <t>Head, BDOI IT</t>
        </is>
      </c>
      <c r="I30" s="37" t="n">
        <v>46356</v>
      </c>
      <c r="J30" s="12" t="inlineStr">
        <is>
          <t>High</t>
        </is>
      </c>
      <c r="K30" s="38" t="inlineStr">
        <is>
          <t>Open</t>
        </is>
      </c>
      <c r="L30" s="12" t="n"/>
      <c r="M30" s="12" t="n"/>
    </row>
    <row r="31">
      <c r="A31" s="12" t="inlineStr">
        <is>
          <t>NFR-MNT-05</t>
        </is>
      </c>
      <c r="B31" s="12" t="inlineStr">
        <is>
          <t>BRD-00 Core Replacement and cross-cutting points</t>
        </is>
      </c>
      <c r="C31" s="12" t="inlineStr">
        <is>
          <t>Configuration value</t>
        </is>
      </c>
      <c r="D31" s="12" t="inlineStr">
        <is>
          <t>Releases and rollback: confirm the proposed target or give the BDOI value</t>
        </is>
      </c>
      <c r="E31" s="12" t="inlineStr">
        <is>
          <t>Releases do not stop users and can be rolled back.</t>
        </is>
      </c>
      <c r="F31" s="12" t="inlineStr">
        <is>
          <t>Rolling deployment with no pod unavailable; data changes compatible with the previous release; rollback by redeploying the previous release within 30 minutes</t>
        </is>
      </c>
      <c r="G31" s="12" t="inlineStr">
        <is>
          <t>Non-functional requirements register v1.0, NFR-MNT-05; Operations runbook (rolling update, expand-migrate-contract, rollback by previous image)</t>
        </is>
      </c>
      <c r="H31" s="12" t="inlineStr">
        <is>
          <t>Head, BDOI IT</t>
        </is>
      </c>
      <c r="I31" s="37" t="n">
        <v>46356</v>
      </c>
      <c r="J31" s="12" t="inlineStr">
        <is>
          <t>High</t>
        </is>
      </c>
      <c r="K31" s="38" t="inlineStr">
        <is>
          <t>Open</t>
        </is>
      </c>
      <c r="L31" s="12" t="n"/>
      <c r="M31" s="12" t="n"/>
    </row>
    <row r="32">
      <c r="A32" s="12" t="inlineStr">
        <is>
          <t>NFR-OBS-01</t>
        </is>
      </c>
      <c r="B32" s="12" t="inlineStr">
        <is>
          <t>BRD-00 Core Replacement and cross-cutting points</t>
        </is>
      </c>
      <c r="C32" s="12" t="inlineStr">
        <is>
          <t>Decision</t>
        </is>
      </c>
      <c r="D32" s="12" t="inlineStr">
        <is>
          <t>Metrics and dashboards: decide the target; the BRDs give different values</t>
        </is>
      </c>
      <c r="E32" s="12" t="inlineStr">
        <is>
          <t>Operations sees the health and load of every workload.</t>
        </is>
      </c>
      <c r="F32" s="12" t="inlineStr">
        <is>
          <t>Application, JVM, request, connection-pool and business metrics sent to the BDO monitoring platform; dashboards per workload (web, jobs, integration, web tier) and for the managed services</t>
        </is>
      </c>
      <c r="G32" s="12" t="inlineStr">
        <is>
          <t>Non-functional requirements register v1.0, NFR-OBS-01; Operations runbook (metrics on the management port); IER VDI and K8S sheets (Dynatrace); IQ30; also raised as IQ30 (open question), DCR-224 (register item)</t>
        </is>
      </c>
      <c r="H32" s="12" t="inlineStr">
        <is>
          <t>Head, BDOI IT</t>
        </is>
      </c>
      <c r="I32" s="37" t="n">
        <v>46356</v>
      </c>
      <c r="J32" s="12" t="inlineStr">
        <is>
          <t>High</t>
        </is>
      </c>
      <c r="K32" s="38" t="inlineStr">
        <is>
          <t>Open</t>
        </is>
      </c>
      <c r="L32" s="12" t="n"/>
      <c r="M32" s="12" t="n"/>
    </row>
    <row r="33">
      <c r="A33" s="12" t="inlineStr">
        <is>
          <t>NFR-OBS-02</t>
        </is>
      </c>
      <c r="B33" s="12" t="inlineStr">
        <is>
          <t>BRD-00 Core Replacement and cross-cutting points</t>
        </is>
      </c>
      <c r="C33" s="12" t="inlineStr">
        <is>
          <t>Configuration value</t>
        </is>
      </c>
      <c r="D33" s="12" t="inlineStr">
        <is>
          <t>Logs: confirm the proposed target or give the BDOI value</t>
        </is>
      </c>
      <c r="E33" s="12" t="inlineStr">
        <is>
          <t>Logs let support trace every event without exposing personal data.</t>
        </is>
      </c>
      <c r="F33" s="12" t="inlineStr">
        <is>
          <t>One line per event with time stamp, correlation ID, user and module; shipped to the BDO log platform within 1 minute; no passwords or full personal identifiers in logs</t>
        </is>
      </c>
      <c r="G33" s="12" t="inlineStr">
        <is>
          <t>Non-functional requirements register v1.0, NFR-OBS-02; Operations runbook (logs, correlation ID); security controls (no passwords in logs); BRD-11 UAM-NFR-21 (error log sent to a remote log server)</t>
        </is>
      </c>
      <c r="H33" s="12" t="inlineStr">
        <is>
          <t>BDOI Information Security</t>
        </is>
      </c>
      <c r="I33" s="37" t="n">
        <v>46356</v>
      </c>
      <c r="J33" s="12" t="inlineStr">
        <is>
          <t>High</t>
        </is>
      </c>
      <c r="K33" s="38" t="inlineStr">
        <is>
          <t>Open</t>
        </is>
      </c>
      <c r="L33" s="12" t="n"/>
      <c r="M33" s="12" t="n"/>
    </row>
    <row r="34">
      <c r="A34" s="12" t="inlineStr">
        <is>
          <t>NFR-OBS-03</t>
        </is>
      </c>
      <c r="B34" s="12" t="inlineStr">
        <is>
          <t>BRD-00 Core Replacement and cross-cutting points</t>
        </is>
      </c>
      <c r="C34" s="12" t="inlineStr">
        <is>
          <t>Configuration value</t>
        </is>
      </c>
      <c r="D34" s="12" t="inlineStr">
        <is>
          <t>Alerts: confirm the proposed target or give the BDOI value</t>
        </is>
      </c>
      <c r="E34" s="12" t="inlineStr">
        <is>
          <t>Faults raise alerts before users report them.</t>
        </is>
      </c>
      <c r="F34" s="12" t="inlineStr">
        <is>
          <t>Alerts for an error rate above 1% over 5 minutes, p95 above its NFR-PRF target for 10 minutes, a failed job, a new dead letter, a security-store failure and a certificate expiring within 30 days; the on-call person notified within 5 minutes</t>
        </is>
      </c>
      <c r="G34" s="12" t="inlineStr">
        <is>
          <t>Non-functional requirements register v1.0, NFR-OBS-03; Operations runbook (security-store alert, dead letters); BRD-11 UAM-NFR-25 (failed batch e-mail)</t>
        </is>
      </c>
      <c r="H34" s="12" t="inlineStr">
        <is>
          <t>Head, BDOI IT</t>
        </is>
      </c>
      <c r="I34" s="37" t="n">
        <v>46356</v>
      </c>
      <c r="J34" s="12" t="inlineStr">
        <is>
          <t>High</t>
        </is>
      </c>
      <c r="K34" s="38" t="inlineStr">
        <is>
          <t>Open</t>
        </is>
      </c>
      <c r="L34" s="12" t="n"/>
      <c r="M34" s="12" t="n"/>
    </row>
    <row r="35">
      <c r="A35" s="12" t="inlineStr">
        <is>
          <t>NFR-SUP-02</t>
        </is>
      </c>
      <c r="B35" s="12" t="inlineStr">
        <is>
          <t>BRD-00 Core Replacement and cross-cutting points</t>
        </is>
      </c>
      <c r="C35" s="12" t="inlineStr">
        <is>
          <t>Configuration value</t>
        </is>
      </c>
      <c r="D35" s="12" t="inlineStr">
        <is>
          <t>Incident handling within the agreed service levels: confirm the proposed target or give the BDOI value</t>
        </is>
      </c>
      <c r="E35" s="12" t="inlineStr">
        <is>
          <t>Production incidents are answered and resolved within the response and resolution times of their priority (P1 to P4) in the support service levels.</t>
        </is>
      </c>
      <c r="F35" s="12" t="inlineStr">
        <is>
          <t>At least 95% of incidents each month within the response and resolution times of their priority</t>
        </is>
      </c>
      <c r="G35" s="12" t="inlineStr">
        <is>
          <t>Non-functional requirements register v1.0, NFR-SUP-02; Production support approach and service levels (priorities P1 to P4)</t>
        </is>
      </c>
      <c r="H35" s="12" t="inlineStr">
        <is>
          <t>Head, BDOI IT</t>
        </is>
      </c>
      <c r="I35" s="37" t="n">
        <v>46356</v>
      </c>
      <c r="J35" s="12" t="inlineStr">
        <is>
          <t>High</t>
        </is>
      </c>
      <c r="K35" s="38" t="inlineStr">
        <is>
          <t>Open</t>
        </is>
      </c>
      <c r="L35" s="12" t="n"/>
      <c r="M35" s="12" t="n"/>
    </row>
    <row r="36">
      <c r="A36" s="12" t="inlineStr">
        <is>
          <t>NFR-RET-01</t>
        </is>
      </c>
      <c r="B36" s="12" t="inlineStr">
        <is>
          <t>BRD-00 Core Replacement and cross-cutting points</t>
        </is>
      </c>
      <c r="C36" s="12" t="inlineStr">
        <is>
          <t>Decision</t>
        </is>
      </c>
      <c r="D36" s="12" t="inlineStr">
        <is>
          <t>Retention per record type: decide the target; the BRDs give different values</t>
        </is>
      </c>
      <c r="E36" s="12" t="inlineStr">
        <is>
          <t>Each record type has its retention rule.</t>
        </is>
      </c>
      <c r="F36" s="12" t="inlineStr">
        <is>
          <t>Default 5 years online and 15 years archive; Claims 10 years online and 15 archive; Accounting vouchers and reports, Sanction Screening and Submitted Policies 5 years online and 5 archive</t>
        </is>
      </c>
      <c r="G36" s="12" t="inlineStr">
        <is>
          <t>Non-functional requirements register v1.0, NFR-RET-01; BRD-00 p.45 (5 / 15 years); BRD-7 p.41 (10 / 15); BRD-5 Add.1, BRD-10 p.25, BRD-12 p.14 (5 / 5); register DCR-136; CRQ22; also raised as CRQ22 (open question), DCR-167 (register item), DCR-209 (register item)</t>
        </is>
      </c>
      <c r="H36" s="12" t="inlineStr">
        <is>
          <t>BIBS Product Owner</t>
        </is>
      </c>
      <c r="I36" s="37" t="n">
        <v>46356</v>
      </c>
      <c r="J36" s="12" t="inlineStr">
        <is>
          <t>High</t>
        </is>
      </c>
      <c r="K36" s="38" t="inlineStr">
        <is>
          <t>Open</t>
        </is>
      </c>
      <c r="L36" s="12" t="n"/>
      <c r="M36" s="12" t="inlineStr">
        <is>
          <t>Also affects BRD-05, BRD-07, BRD-09, BRD-10, BRD-12, BRD-13.</t>
        </is>
      </c>
    </row>
    <row r="37">
      <c r="A37" s="12" t="inlineStr">
        <is>
          <t>NFR-RET-03</t>
        </is>
      </c>
      <c r="B37" s="12" t="inlineStr">
        <is>
          <t>BRD-00 Core Replacement and cross-cutting points</t>
        </is>
      </c>
      <c r="C37" s="12" t="inlineStr">
        <is>
          <t>Decision</t>
        </is>
      </c>
      <c r="D37" s="12" t="inlineStr">
        <is>
          <t>Audit log retention: decide the target; the BRDs give different values</t>
        </is>
      </c>
      <c r="E37" s="12" t="inlineStr">
        <is>
          <t>Audit records outlive the records they describe.</t>
        </is>
      </c>
      <c r="F37" s="12" t="inlineStr">
        <is>
          <t>Audit records 5 years online and archived to 16 years</t>
        </is>
      </c>
      <c r="G37" s="12" t="inlineStr">
        <is>
          <t>Non-functional requirements register v1.0, NFR-RET-03; BRD-7 p.41 (audit logs archive 16 years); BRD-00 p.45 (5 / 15 years)</t>
        </is>
      </c>
      <c r="H37" s="12" t="inlineStr">
        <is>
          <t>Internal Audit, BDOI</t>
        </is>
      </c>
      <c r="I37" s="37" t="n">
        <v>46356</v>
      </c>
      <c r="J37" s="12" t="inlineStr">
        <is>
          <t>High</t>
        </is>
      </c>
      <c r="K37" s="38" t="inlineStr">
        <is>
          <t>Open</t>
        </is>
      </c>
      <c r="L37" s="12" t="n"/>
      <c r="M37" s="12" t="n"/>
    </row>
    <row r="38">
      <c r="A38" s="12" t="inlineStr">
        <is>
          <t>NFR-INT-04</t>
        </is>
      </c>
      <c r="B38" s="12" t="inlineStr">
        <is>
          <t>BRD-00 Core Replacement and cross-cutting points</t>
        </is>
      </c>
      <c r="C38" s="12" t="inlineStr">
        <is>
          <t>Configuration value</t>
        </is>
      </c>
      <c r="D38" s="12" t="inlineStr">
        <is>
          <t>File interfaces: confirm the proposed target or give the BDOI value</t>
        </is>
      </c>
      <c r="E38" s="12" t="inlineStr">
        <is>
          <t>Inbound files are validated, reconciled and reported.</t>
        </is>
      </c>
      <c r="F38" s="12" t="inlineStr">
        <is>
          <t>Every inbound file (PDC list, bills payment, bank and insurer files) validated against its layout; each run reconciled to its control totals; errors reported per row; a failed transfer retried up to 3 times</t>
        </is>
      </c>
      <c r="G38" s="12" t="inlineStr">
        <is>
          <t>Non-functional requirements register v1.0, NFR-INT-04; Programme alignment pack 5 (PMS, OBPCS, Old BOB, CMS / New BOB, insurer systems); FRS BRD-02 (payment files)</t>
        </is>
      </c>
      <c r="H38" s="12" t="inlineStr">
        <is>
          <t>Head, Operations</t>
        </is>
      </c>
      <c r="I38" s="37" t="n">
        <v>46356</v>
      </c>
      <c r="J38" s="12" t="inlineStr">
        <is>
          <t>High</t>
        </is>
      </c>
      <c r="K38" s="38" t="inlineStr">
        <is>
          <t>Open</t>
        </is>
      </c>
      <c r="L38" s="12" t="n"/>
      <c r="M38" s="12" t="n"/>
    </row>
    <row r="39">
      <c r="A39" s="12" t="inlineStr">
        <is>
          <t>NFR-INT-05</t>
        </is>
      </c>
      <c r="B39" s="12" t="inlineStr">
        <is>
          <t>BRD-00 Core Replacement and cross-cutting points</t>
        </is>
      </c>
      <c r="C39" s="12" t="inlineStr">
        <is>
          <t>Decision</t>
        </is>
      </c>
      <c r="D39" s="12" t="inlineStr">
        <is>
          <t>E-mail through CCM: decide the target; the BRDs give different values</t>
        </is>
      </c>
      <c r="E39" s="12" t="inlineStr">
        <is>
          <t>All outbound e-mail goes through the BDO communications service.</t>
        </is>
      </c>
      <c r="F39" s="12" t="inlineStr">
        <is>
          <t>100% of outbound e-mail sent through CCM with its delivery status recorded</t>
        </is>
      </c>
      <c r="G39" s="12" t="inlineStr">
        <is>
          <t>Non-functional requirements register v1.0, NFR-INT-05; Drop plan integration CCM (INT-13); IQ11; also raised as IQ11 (open question)</t>
        </is>
      </c>
      <c r="H39" s="12" t="inlineStr">
        <is>
          <t>Head, BDOI IT</t>
        </is>
      </c>
      <c r="I39" s="37" t="n">
        <v>46356</v>
      </c>
      <c r="J39" s="12" t="inlineStr">
        <is>
          <t>High</t>
        </is>
      </c>
      <c r="K39" s="38" t="inlineStr">
        <is>
          <t>Open</t>
        </is>
      </c>
      <c r="L39" s="12" t="n"/>
      <c r="M39" s="12" t="n"/>
    </row>
    <row r="40">
      <c r="A40" s="12" t="inlineStr">
        <is>
          <t>XQ04</t>
        </is>
      </c>
      <c r="B40" s="12" t="inlineStr">
        <is>
          <t>BRD-00 Core Replacement and cross-cutting points</t>
        </is>
      </c>
      <c r="C40" s="12" t="inlineStr">
        <is>
          <t>Report layout</t>
        </is>
      </c>
      <c r="D40" s="12" t="inlineStr">
        <is>
          <t>Access classes of shared documents: Final confidentiality matrix per document type, including CSF (CSQ07, EBQ15) Background: The EB spec gives renewal advice the classes MARKETING and PROCESSING; CSF agents must view and resend RAs and claims reports; claims documents may be confidential</t>
        </is>
      </c>
      <c r="E40" s="12" t="inlineStr">
        <is>
          <t>Open point of the FRS (FR-CSF-033): the requirement cannot be finalised or tested as BDOI intends until it is answered.</t>
        </is>
      </c>
      <c r="F40" s="12" t="inlineStr">
        <is>
          <t>Treat master lists and utilization as sensitive personal information: need-to-know access classes, download logging, encryption.</t>
        </is>
      </c>
      <c r="G40" s="12" t="inlineStr">
        <is>
          <t>FRS BRD-09 v1.1, Open questions XQ04 (affects FR-CSF-033); Discrepancy and clarification register v1.2, open question XQ04; baseline Cross-BRD decisions section 5; also raised as EBQ15 (open question), CSQ07 (open question), DCR-094 (register item), DCR-148 (register item)</t>
        </is>
      </c>
      <c r="H40" s="12" t="inlineStr">
        <is>
          <t>Employee Benefits - Marketing, Processing and Collection</t>
        </is>
      </c>
      <c r="I40" s="37" t="n">
        <v>46356</v>
      </c>
      <c r="J40" s="12" t="inlineStr">
        <is>
          <t>High</t>
        </is>
      </c>
      <c r="K40" s="38" t="inlineStr">
        <is>
          <t>Open</t>
        </is>
      </c>
      <c r="L40" s="12" t="n"/>
      <c r="M40" s="12" t="inlineStr">
        <is>
          <t>Also affects BRD-07, BRD-08, BRD-09.</t>
        </is>
      </c>
    </row>
    <row r="41">
      <c r="A41" s="12" t="inlineStr">
        <is>
          <t>IQ01</t>
        </is>
      </c>
      <c r="B41" s="12" t="inlineStr">
        <is>
          <t>BRD-00 Core Replacement and cross-cutting points</t>
        </is>
      </c>
      <c r="C41" s="12" t="inlineStr">
        <is>
          <t>Clarification</t>
        </is>
      </c>
      <c r="D41" s="12" t="inlineStr">
        <is>
          <t>Go-live date: (Priority 1) Which date in January 2028 is T? We propose Monday 3 January 2028, with the legacy freeze after the EOD of Wednesday 29 December 2027 and the legacy December / year-end close completed in legacy before the final extracts. If T is later in January, the migration rule "first business day of a month after a legacy month-end close" (DMQ25) no longer holds and the GL opening needs a short January period.</t>
        </is>
      </c>
      <c r="E41" s="12" t="inlineStr">
        <is>
          <t>Open point of the FRS: the requirement cannot be finalised or tested as BDOI intends until it is answered.</t>
        </is>
      </c>
      <c r="F41" s="12" t="inlineStr">
        <is>
          <t>T = Monday 3 January 2028; absolute trial-migration calendar Trial migration 1 Apr-May, Trial migration 2 Jun-Jul, Trial migration 3 Aug, re-load Oct, dress rehearsal Nov-Dec 2027.</t>
        </is>
      </c>
      <c r="G41" s="12" t="inlineStr">
        <is>
          <t>Discrepancy and clarification register v1.2, open question IQ01; baseline Timeline slide; answer A1; DMQ25, DMQ18; also raised as DCR-217 (register item)</t>
        </is>
      </c>
      <c r="H41" s="12" t="inlineStr">
        <is>
          <t>Enterprise Services Group - Business Project Services (Program Manager) with BDOI Comptrollership and Operations</t>
        </is>
      </c>
      <c r="I41" s="37" t="n">
        <v>46356</v>
      </c>
      <c r="J41" s="12" t="inlineStr">
        <is>
          <t>High</t>
        </is>
      </c>
      <c r="K41" s="38" t="inlineStr">
        <is>
          <t>Open</t>
        </is>
      </c>
      <c r="L41" s="12" t="n"/>
      <c r="M41" s="12" t="inlineStr">
        <is>
          <t>Also affects BRD-13.</t>
        </is>
      </c>
    </row>
    <row r="42">
      <c r="A42" s="12" t="inlineStr">
        <is>
          <t>IQ33</t>
        </is>
      </c>
      <c r="B42" s="12" t="inlineStr">
        <is>
          <t>BRD-00 Core Replacement and cross-cutting points</t>
        </is>
      </c>
      <c r="C42" s="12" t="inlineStr">
        <is>
          <t>Sample document or template</t>
        </is>
      </c>
      <c r="D42" s="12" t="inlineStr">
        <is>
          <t>IER completeness: (Priority 2) Will BDOI IT add the Pre-Prod and DR cluster sheets, retitle the Pre-Prod sheet (it reads "UAT ENVIRONMENT") and replace the template rows of the environment cost sheets with the sizing of this document?</t>
        </is>
      </c>
      <c r="E42" s="12" t="inlineStr">
        <is>
          <t>Open point of the FRS: the requirement cannot be finalised or tested as BDOI intends until it is answered.</t>
        </is>
      </c>
      <c r="F42" s="12" t="inlineStr">
        <is>
          <t>Proposed: BIBS modular monolith with IER enterprise elements (edge security, managed AWS services, separate web, jobs and integration workloads), per the architecture option decision, awaiting BDOI confirmation. BDOI IT corrects the formula (or removes EFS), adds Pre-Prod and DR cluster sheets, fills the environment sheets from the alignment sizing and re-costs.</t>
        </is>
      </c>
      <c r="G42" s="12" t="inlineStr">
        <is>
          <t>Discrepancy and clarification register v1.2, open question IQ33; baseline IER Pre-Prod, K8s sheets; also raised as DCR-223 (register item)</t>
        </is>
      </c>
      <c r="H42" s="12" t="inlineStr">
        <is>
          <t>BDO Cloud and Digital Operations Engineering</t>
        </is>
      </c>
      <c r="I42" s="37" t="n">
        <v>46356</v>
      </c>
      <c r="J42" s="12" t="inlineStr">
        <is>
          <t>High</t>
        </is>
      </c>
      <c r="K42" s="38" t="inlineStr">
        <is>
          <t>Open</t>
        </is>
      </c>
      <c r="L42" s="12" t="n"/>
      <c r="M42" s="12" t="n"/>
    </row>
    <row r="43">
      <c r="A43" s="12" t="inlineStr">
        <is>
          <t>XQ01</t>
        </is>
      </c>
      <c r="B43" s="12" t="inlineStr">
        <is>
          <t>BRD-00 Core Replacement and cross-cutting points</t>
        </is>
      </c>
      <c r="C43" s="12" t="inlineStr">
        <is>
          <t>Report layout</t>
        </is>
      </c>
      <c r="D43" s="12" t="inlineStr">
        <is>
          <t>Two LAMD intakes: Is it one LAMD report (one file, one owner) or two different reports? Who uploads it? (RQ20, SP SQ06) Background: Renewal uploads LAMD paid-off / RMU reports (role LAMD); Submitted Policies uploads a LAMD loan snapshot. Both match on the PN</t>
        </is>
      </c>
      <c r="E43" s="12" t="inlineStr">
        <is>
          <t>Open point of the FRS: the requirement cannot be finalised or tested as BDOI intends until it is answered.</t>
        </is>
      </c>
      <c r="F43" s="12" t="inlineStr">
        <is>
          <t>One LAMD intake owned by one module and read by the other.</t>
        </is>
      </c>
      <c r="G43" s="12" t="inlineStr">
        <is>
          <t>Discrepancy and clarification register v1.2, open question XQ01; baseline Cross-BRD decisions section 5; also raised as RQ20 (open question), SP-SQ06 (open question), DCR-146 (register item)</t>
        </is>
      </c>
      <c r="H43" s="12" t="inlineStr">
        <is>
          <t>BIBS Product Owner, with the owners of the BRDs involved</t>
        </is>
      </c>
      <c r="I43" s="37" t="n">
        <v>46356</v>
      </c>
      <c r="J43" s="12" t="inlineStr">
        <is>
          <t>High</t>
        </is>
      </c>
      <c r="K43" s="38" t="inlineStr">
        <is>
          <t>Open</t>
        </is>
      </c>
      <c r="L43" s="12" t="n"/>
      <c r="M43" s="12" t="inlineStr">
        <is>
          <t>Also affects BRD-06, BRD-12.</t>
        </is>
      </c>
    </row>
    <row r="44">
      <c r="A44" s="12" t="inlineStr">
        <is>
          <t>XQ11</t>
        </is>
      </c>
      <c r="B44" s="12" t="inlineStr">
        <is>
          <t>BRD-00 Core Replacement and cross-cutting points</t>
        </is>
      </c>
      <c r="C44" s="12" t="inlineStr">
        <is>
          <t>Decision</t>
        </is>
      </c>
      <c r="D44" s="12" t="inlineStr">
        <is>
          <t>Single session per device: Does it apply to all users? Background: (UQ09, rest of CQ23)</t>
        </is>
      </c>
      <c r="E44" s="12" t="inlineStr">
        <is>
          <t>Open point of the FRS: the requirement cannot be finalised or tested as BDOI intends until it is answered.</t>
        </is>
      </c>
      <c r="F44" s="12" t="inlineStr">
        <is>
          <t>Several roles per user allowed (BRD-11 governs access BIBS-wide); incompatible role pairs can be blocked as a segregation rule.</t>
        </is>
      </c>
      <c r="G44" s="12" t="inlineStr">
        <is>
          <t>Discrepancy and clarification register v1.2, open question XQ11; baseline Cross-BRD decisions section 5; also raised as CQ23 (open question), DCR-045 (register item), DCR-141 (register item)</t>
        </is>
      </c>
      <c r="H44" s="12" t="inlineStr">
        <is>
          <t>UAM process owner (Product Owner) with ITIO</t>
        </is>
      </c>
      <c r="I44" s="37" t="n">
        <v>46356</v>
      </c>
      <c r="J44" s="12" t="inlineStr">
        <is>
          <t>High</t>
        </is>
      </c>
      <c r="K44" s="38" t="inlineStr">
        <is>
          <t>Partly answered</t>
        </is>
      </c>
      <c r="L44" s="12" t="n"/>
      <c r="M44" s="12" t="inlineStr">
        <is>
          <t>Answer so far: Lock-out at 3 for all users; several roles per user allowed. Single session per device open (UQ09). (BRD-11 p.13-14). Also affects BRD-04, BRD-07, BRD-11.</t>
        </is>
      </c>
    </row>
    <row r="45">
      <c r="A45" s="12" t="inlineStr">
        <is>
          <t>DCR-010</t>
        </is>
      </c>
      <c r="B45" s="12" t="inlineStr">
        <is>
          <t>BRD-00 Core Replacement and cross-cutting points</t>
        </is>
      </c>
      <c r="C45" s="12" t="inlineStr">
        <is>
          <t>Configuration value</t>
        </is>
      </c>
      <c r="D45" s="12" t="inlineStr">
        <is>
          <t>Confirm the two values (New Business, Renewal) and that a renewal with changed terms stays a Renewal (BRRN.033).</t>
        </is>
      </c>
      <c r="E45" s="12" t="inlineStr">
        <is>
          <t>Four BRDs require New Business / Renewal classification from creation to the invoice and as a report filter. BIBS booking sets every invoice to new business (booking InvoiceBuilder, line 129). Business: renewal production cannot be reported apart from new business. System: shared change BT0 (account business type, invoice, report filters). Test: every booking and production report test.</t>
        </is>
      </c>
      <c r="F45" s="12" t="inlineStr">
        <is>
          <t>One business type on the account (BT0) for all three BRDs, carried to the invoice and used as a report filter.</t>
        </is>
      </c>
      <c r="G45" s="12" t="inlineStr">
        <is>
          <t>Discrepancy and clarification register v1.2, DCR-010 (BRD vs platform); BRNB.097 (BRD-1); BRRN.033 (BRD-6, p.4-15); BRID-022.01 (BRD-8 Add. p.10); BRIDSP-26 / 27 (BRD-12 p.11)</t>
        </is>
      </c>
      <c r="H45" s="12" t="inlineStr">
        <is>
          <t>BIBS Product Owner, with the owners of the BRDs involved</t>
        </is>
      </c>
      <c r="I45" s="37" t="n">
        <v>46356</v>
      </c>
      <c r="J45" s="12" t="inlineStr">
        <is>
          <t>High</t>
        </is>
      </c>
      <c r="K45" s="38" t="inlineStr">
        <is>
          <t>Answered</t>
        </is>
      </c>
      <c r="L45" s="12" t="n"/>
      <c r="M45" s="12" t="inlineStr">
        <is>
          <t>Answer so far: BRRN.033 (BRD-6), BRID-022.01 (BRD-8) and BRIDSP-26 / 27 (BRD-12) require the classification at creation and as a report filter. Also affects BRD-01, BRD-06, BRD-08, BRD-12.</t>
        </is>
      </c>
    </row>
    <row r="46">
      <c r="A46" s="12" t="inlineStr">
        <is>
          <t>CLR-CR-01</t>
        </is>
      </c>
      <c r="B46" s="12" t="inlineStr">
        <is>
          <t>BRD-00 Core Replacement and cross-cutting points</t>
        </is>
      </c>
      <c r="C46" s="12" t="inlineStr">
        <is>
          <t>Business rule confirmation</t>
        </is>
      </c>
      <c r="D46" s="12" t="inlineStr">
        <is>
          <t>Reinsurance: Confirm reinsurance in phase 2.</t>
        </is>
      </c>
      <c r="E46" s="12" t="inlineStr">
        <is>
          <t>The insurer-side reinsurance module does not fit the broker model.</t>
        </is>
      </c>
      <c r="F46" s="12" t="inlineStr">
        <is>
          <t>Phase 2: the ReInsurance BRD is received; phase 1 keeps party types, templates, subscriptions, open-item matching and event types open for the phase 2 module (section 6).</t>
        </is>
      </c>
      <c r="G46" s="12" t="inlineStr">
        <is>
          <t>FRS BRD-00 v1.1, Proposed business rules and clarifications; CORE-15.01-15.10</t>
        </is>
      </c>
      <c r="H46" s="12" t="inlineStr">
        <is>
          <t>BIBS Product Owner with the Program Manager, Business Project Services</t>
        </is>
      </c>
      <c r="I46" s="37" t="n">
        <v>46356</v>
      </c>
      <c r="J46" s="12" t="inlineStr">
        <is>
          <t>Medium</t>
        </is>
      </c>
      <c r="K46" s="38" t="inlineStr">
        <is>
          <t>Open</t>
        </is>
      </c>
      <c r="L46" s="12" t="n"/>
      <c r="M46" s="12" t="n"/>
    </row>
    <row r="47">
      <c r="A47" s="12" t="inlineStr">
        <is>
          <t>CLR-CR-04</t>
        </is>
      </c>
      <c r="B47" s="12" t="inlineStr">
        <is>
          <t>BRD-00 Core Replacement and cross-cutting points</t>
        </is>
      </c>
      <c r="C47" s="12" t="inlineStr">
        <is>
          <t>Business rule confirmation</t>
        </is>
      </c>
      <c r="D47" s="12" t="inlineStr">
        <is>
          <t>Master data change log: Confirm the master data in the log (CRQ07).</t>
        </is>
      </c>
      <c r="E47" s="12" t="inlineStr">
        <is>
          <t>No function BRD owns the log.</t>
        </is>
      </c>
      <c r="F47" s="12" t="inlineStr">
        <is>
          <t>A field-level log of registered master data.</t>
        </is>
      </c>
      <c r="G47" s="12" t="inlineStr">
        <is>
          <t>FRS BRD-00 v1.1, Proposed business rules and clarifications; CORE-17.01; FR-CR-031; also raised as CRQ07 (open question), DCR-174 (register item)</t>
        </is>
      </c>
      <c r="H47" s="12" t="inlineStr">
        <is>
          <t>BIBS Product Owner, with the owners of the BRDs involved</t>
        </is>
      </c>
      <c r="I47" s="37" t="n">
        <v>46356</v>
      </c>
      <c r="J47" s="12" t="inlineStr">
        <is>
          <t>Medium</t>
        </is>
      </c>
      <c r="K47" s="38" t="inlineStr">
        <is>
          <t>Open</t>
        </is>
      </c>
      <c r="L47" s="12" t="n"/>
      <c r="M47" s="12" t="n"/>
    </row>
    <row r="48">
      <c r="A48" s="12" t="inlineStr">
        <is>
          <t>CLR-CR-05</t>
        </is>
      </c>
      <c r="B48" s="12" t="inlineStr">
        <is>
          <t>BRD-00 Core Replacement and cross-cutting points</t>
        </is>
      </c>
      <c r="C48" s="12" t="inlineStr">
        <is>
          <t>Business rule confirmation</t>
        </is>
      </c>
      <c r="D48" s="12" t="inlineStr">
        <is>
          <t>Insurer management: Confirm the insurer attributes (CRQ08).</t>
        </is>
      </c>
      <c r="E48" s="12" t="inlineStr">
        <is>
          <t>No function BRD owns the insurer record.</t>
        </is>
      </c>
      <c r="F48" s="12" t="inlineStr">
        <is>
          <t>An insurer page with the attributes the function BRDs do not hold.</t>
        </is>
      </c>
      <c r="G48" s="12" t="inlineStr">
        <is>
          <t>FRS BRD-00 v1.1, Proposed business rules and clarifications; CORE-17.02; FR-CR-061; also raised as CRQ08 (open question), DCR-176 (register item)</t>
        </is>
      </c>
      <c r="H48" s="12" t="inlineStr">
        <is>
          <t>Comptrollership - FRBS, Disbursement and ACSL</t>
        </is>
      </c>
      <c r="I48" s="37" t="n">
        <v>46356</v>
      </c>
      <c r="J48" s="12" t="inlineStr">
        <is>
          <t>Medium</t>
        </is>
      </c>
      <c r="K48" s="38" t="inlineStr">
        <is>
          <t>Open</t>
        </is>
      </c>
      <c r="L48" s="12" t="n"/>
      <c r="M48" s="12" t="n"/>
    </row>
    <row r="49">
      <c r="A49" s="12" t="inlineStr">
        <is>
          <t>CLR-CR-06</t>
        </is>
      </c>
      <c r="B49" s="12" t="inlineStr">
        <is>
          <t>BRD-00 Core Replacement and cross-cutting points</t>
        </is>
      </c>
      <c r="C49" s="12" t="inlineStr">
        <is>
          <t>Business rule confirmation</t>
        </is>
      </c>
      <c r="D49" s="12" t="inlineStr">
        <is>
          <t>MIS field definition: Confirm the catalogue (CRQ09).</t>
        </is>
      </c>
      <c r="E49" s="12" t="inlineStr">
        <is>
          <t>No function BRD owns MIS fields.</t>
        </is>
      </c>
      <c r="F49" s="12" t="inlineStr">
        <is>
          <t>A catalogue names the MIS fields of the existing data; users do not add data fields.</t>
        </is>
      </c>
      <c r="G49" s="12" t="inlineStr">
        <is>
          <t>FRS BRD-00 v1.1, Proposed business rules and clarifications; CORE-17.04; FR-CR-062; also raised as CRQ09 (open question), DCR-175 (register item), DCR-214 (register item)</t>
        </is>
      </c>
      <c r="H49" s="12" t="inlineStr">
        <is>
          <t>BIBS Product Owner, with the owners of the BRDs involved</t>
        </is>
      </c>
      <c r="I49" s="37" t="n">
        <v>46356</v>
      </c>
      <c r="J49" s="12" t="inlineStr">
        <is>
          <t>Medium</t>
        </is>
      </c>
      <c r="K49" s="38" t="inlineStr">
        <is>
          <t>Open</t>
        </is>
      </c>
      <c r="L49" s="12" t="n"/>
      <c r="M49" s="12" t="inlineStr">
        <is>
          <t>Also affects BRD-05, BRD-11.</t>
        </is>
      </c>
    </row>
    <row r="50">
      <c r="A50" s="12" t="inlineStr">
        <is>
          <t>CLR-CR-07</t>
        </is>
      </c>
      <c r="B50" s="12" t="inlineStr">
        <is>
          <t>BRD-00 Core Replacement and cross-cutting points</t>
        </is>
      </c>
      <c r="C50" s="12" t="inlineStr">
        <is>
          <t>Report layout</t>
        </is>
      </c>
      <c r="D50" s="12" t="inlineStr">
        <is>
          <t>Report customisation: Confirm the variants.</t>
        </is>
      </c>
      <c r="E50" s="12" t="inlineStr">
        <is>
          <t>No function BRD owns report customisation.</t>
        </is>
      </c>
      <c r="F50" s="12" t="inlineStr">
        <is>
          <t>The user saves the layout of a report in a variant.</t>
        </is>
      </c>
      <c r="G50" s="12" t="inlineStr">
        <is>
          <t>FRS BRD-00 v1.1, Proposed business rules and clarifications; CORE-21.04; FR-CR-042</t>
        </is>
      </c>
      <c r="H50" s="12" t="inlineStr">
        <is>
          <t>BIBS Product Owner with the Program Manager, Business Project Services</t>
        </is>
      </c>
      <c r="I50" s="37" t="n">
        <v>46356</v>
      </c>
      <c r="J50" s="12" t="inlineStr">
        <is>
          <t>Medium</t>
        </is>
      </c>
      <c r="K50" s="38" t="inlineStr">
        <is>
          <t>Open</t>
        </is>
      </c>
      <c r="L50" s="12" t="n"/>
      <c r="M50" s="12" t="n"/>
    </row>
    <row r="51">
      <c r="A51" s="12" t="inlineStr">
        <is>
          <t>CLR-CR-08</t>
        </is>
      </c>
      <c r="B51" s="12" t="inlineStr">
        <is>
          <t>BRD-00 Core Replacement and cross-cutting points</t>
        </is>
      </c>
      <c r="C51" s="12" t="inlineStr">
        <is>
          <t>Report layout</t>
        </is>
      </c>
      <c r="D51" s="12" t="inlineStr">
        <is>
          <t>Scheduled reports: Confirm the subscriptions.</t>
        </is>
      </c>
      <c r="E51" s="12" t="inlineStr">
        <is>
          <t>No function BRD owns report scheduling.</t>
        </is>
      </c>
      <c r="F51" s="12" t="inlineStr">
        <is>
          <t>The user subscribes to a report with a schedule and recipients (at most 20 active subscriptions per user by default).</t>
        </is>
      </c>
      <c r="G51" s="12" t="inlineStr">
        <is>
          <t>FRS BRD-00 v1.1, Proposed business rules and clarifications; CORE-21.05; FR-CR-043</t>
        </is>
      </c>
      <c r="H51" s="12" t="inlineStr">
        <is>
          <t>BIBS Product Owner with the Program Manager, Business Project Services</t>
        </is>
      </c>
      <c r="I51" s="37" t="n">
        <v>46356</v>
      </c>
      <c r="J51" s="12" t="inlineStr">
        <is>
          <t>Medium</t>
        </is>
      </c>
      <c r="K51" s="38" t="inlineStr">
        <is>
          <t>Open</t>
        </is>
      </c>
      <c r="L51" s="12" t="n"/>
      <c r="M51" s="12" t="n"/>
    </row>
    <row r="52">
      <c r="A52" s="12" t="inlineStr">
        <is>
          <t>CLR-CR-09</t>
        </is>
      </c>
      <c r="B52" s="12" t="inlineStr">
        <is>
          <t>BRD-00 Core Replacement and cross-cutting points</t>
        </is>
      </c>
      <c r="C52" s="12" t="inlineStr">
        <is>
          <t>Clarification</t>
        </is>
      </c>
      <c r="D52" s="12" t="inlineStr">
        <is>
          <t>Emerging capabilities: List the capabilities (CRQ10).</t>
        </is>
      </c>
      <c r="E52" s="12" t="inlineStr">
        <is>
          <t>The capability is not defined (CRQ10).</t>
        </is>
      </c>
      <c r="F52" s="12" t="inlineStr">
        <is>
          <t>Not in scope until BDOI lists them.</t>
        </is>
      </c>
      <c r="G52" s="12" t="inlineStr">
        <is>
          <t>FRS BRD-00 v1.1, Proposed business rules and clarifications; CORE-18.01; also raised as CRQ10 (open question), DCR-180 (register item)</t>
        </is>
      </c>
      <c r="H52" s="12" t="inlineStr">
        <is>
          <t>Business Project Services (BRD owner) with the BIBS Product Owner</t>
        </is>
      </c>
      <c r="I52" s="37" t="n">
        <v>46356</v>
      </c>
      <c r="J52" s="12" t="inlineStr">
        <is>
          <t>Medium</t>
        </is>
      </c>
      <c r="K52" s="38" t="inlineStr">
        <is>
          <t>Open</t>
        </is>
      </c>
      <c r="L52" s="12" t="n"/>
      <c r="M52" s="12" t="n"/>
    </row>
    <row r="53">
      <c r="A53" s="12" t="inlineStr">
        <is>
          <t>CLR-CR-10</t>
        </is>
      </c>
      <c r="B53" s="12" t="inlineStr">
        <is>
          <t>BRD-00 Core Replacement and cross-cutting points</t>
        </is>
      </c>
      <c r="C53" s="12" t="inlineStr">
        <is>
          <t>Clarification</t>
        </is>
      </c>
      <c r="D53" s="12" t="inlineStr">
        <is>
          <t>ALeA e-mail address encoding: Define the requirement (CRQ20).</t>
        </is>
      </c>
      <c r="E53" s="12" t="inlineStr">
        <is>
          <t>The requirement is not defined (CRQ20).</t>
        </is>
      </c>
      <c r="F53" s="12" t="inlineStr">
        <is>
          <t>Not in scope until the requirement is defined.</t>
        </is>
      </c>
      <c r="G53" s="12" t="inlineStr">
        <is>
          <t>FRS BRD-00 v1.1, Proposed business rules and clarifications; XC-21; also raised as CRQ20 (open question), DCR-185 (register item)</t>
        </is>
      </c>
      <c r="H53" s="12" t="inlineStr">
        <is>
          <t>Business Project Services (BRD owner) with the BIBS Product Owner</t>
        </is>
      </c>
      <c r="I53" s="37" t="n">
        <v>46356</v>
      </c>
      <c r="J53" s="12" t="inlineStr">
        <is>
          <t>Medium</t>
        </is>
      </c>
      <c r="K53" s="38" t="inlineStr">
        <is>
          <t>Open</t>
        </is>
      </c>
      <c r="L53" s="12" t="n"/>
      <c r="M53" s="12" t="n"/>
    </row>
    <row r="54">
      <c r="A54" s="12" t="inlineStr">
        <is>
          <t>CLR-CR-11</t>
        </is>
      </c>
      <c r="B54" s="12" t="inlineStr">
        <is>
          <t>BRD-00 Core Replacement and cross-cutting points</t>
        </is>
      </c>
      <c r="C54" s="12" t="inlineStr">
        <is>
          <t>Report layout</t>
        </is>
      </c>
      <c r="D54" s="12" t="inlineStr">
        <is>
          <t>Role dashboards: Define the dashboard contents per role (CRQ06).</t>
        </is>
      </c>
      <c r="E54" s="12" t="inlineStr">
        <is>
          <t>The umbrella asks for centralised dashboards for all roles; the contents per role are open (CRQ06).</t>
        </is>
      </c>
      <c r="F54" s="12" t="inlineStr">
        <is>
          <t>Each role has a home page with its counts and queues, refreshed every 5 minutes by default.</t>
        </is>
      </c>
      <c r="G54" s="12" t="inlineStr">
        <is>
          <t>FRS BRD-00 v1.1, Proposed business rules and clarifications; XC-02; FR-CR-010, 011; also raised as CRQ06 (open question), DCR-178 (register item)</t>
        </is>
      </c>
      <c r="H54" s="12" t="inlineStr">
        <is>
          <t>BIBS Product Owner, with the owners of the BRDs involved</t>
        </is>
      </c>
      <c r="I54" s="37" t="n">
        <v>46356</v>
      </c>
      <c r="J54" s="12" t="inlineStr">
        <is>
          <t>Medium</t>
        </is>
      </c>
      <c r="K54" s="38" t="inlineStr">
        <is>
          <t>Open</t>
        </is>
      </c>
      <c r="L54" s="12" t="n"/>
      <c r="M54" s="12" t="n"/>
    </row>
    <row r="55">
      <c r="A55" s="12" t="inlineStr">
        <is>
          <t>CLR-CR-12</t>
        </is>
      </c>
      <c r="B55" s="12" t="inlineStr">
        <is>
          <t>BRD-00 Core Replacement and cross-cutting points</t>
        </is>
      </c>
      <c r="C55" s="12" t="inlineStr">
        <is>
          <t>Report layout</t>
        </is>
      </c>
      <c r="D55" s="12" t="inlineStr">
        <is>
          <t>Invoice Master List: Confirm the columns.</t>
        </is>
      </c>
      <c r="E55" s="12" t="inlineStr">
        <is>
          <t>No function BRD owns the list.</t>
        </is>
      </c>
      <c r="F55" s="12" t="inlineStr">
        <is>
          <t>The Invoice Master List columns are added to the invoice ledger view.</t>
        </is>
      </c>
      <c r="G55" s="12" t="inlineStr">
        <is>
          <t>FRS BRD-00 v1.1, Proposed business rules and clarifications; XC-13; FR-CR-090</t>
        </is>
      </c>
      <c r="H55" s="12" t="inlineStr">
        <is>
          <t>BIBS Product Owner with the Program Manager, Business Project Services</t>
        </is>
      </c>
      <c r="I55" s="37" t="n">
        <v>46356</v>
      </c>
      <c r="J55" s="12" t="inlineStr">
        <is>
          <t>Medium</t>
        </is>
      </c>
      <c r="K55" s="38" t="inlineStr">
        <is>
          <t>Open</t>
        </is>
      </c>
      <c r="L55" s="12" t="n"/>
      <c r="M55" s="12" t="n"/>
    </row>
    <row r="56">
      <c r="A56" s="12" t="inlineStr">
        <is>
          <t>CLR-CR-13</t>
        </is>
      </c>
      <c r="B56" s="12" t="inlineStr">
        <is>
          <t>BRD-00 Core Replacement and cross-cutting points</t>
        </is>
      </c>
      <c r="C56" s="12" t="inlineStr">
        <is>
          <t>Clarification</t>
        </is>
      </c>
      <c r="D56" s="12" t="inlineStr">
        <is>
          <t>Insurer invoice batch: Answer CRQ18.</t>
        </is>
      </c>
      <c r="E56" s="12" t="inlineStr">
        <is>
          <t>The file format and whether the batch replaces the e-mail are open (CRQ18).</t>
        </is>
      </c>
      <c r="F56" s="12" t="inlineStr">
        <is>
          <t>A daily batch per insurer of the day's service invoices, stored and delivered through the insurer's channel; the file transfer channel is added when BDOI supplies the addresses.</t>
        </is>
      </c>
      <c r="G56" s="12" t="inlineStr">
        <is>
          <t>FRS BRD-00 v1.1, Proposed business rules and clarifications; XC-19; FR-CR-081; also raised as CRQ18 (open question), DCR-184 (register item)</t>
        </is>
      </c>
      <c r="H56" s="12" t="inlineStr">
        <is>
          <t>Marketing and Processing - New Business (Product Owner)</t>
        </is>
      </c>
      <c r="I56" s="37" t="n">
        <v>46356</v>
      </c>
      <c r="J56" s="12" t="inlineStr">
        <is>
          <t>Medium</t>
        </is>
      </c>
      <c r="K56" s="38" t="inlineStr">
        <is>
          <t>Open</t>
        </is>
      </c>
      <c r="L56" s="12" t="n"/>
      <c r="M56" s="12" t="inlineStr">
        <is>
          <t>Also affects BRD-01.</t>
        </is>
      </c>
    </row>
    <row r="57">
      <c r="A57" s="12" t="inlineStr">
        <is>
          <t>CLR-CR-14</t>
        </is>
      </c>
      <c r="B57" s="12" t="inlineStr">
        <is>
          <t>BRD-00 Core Replacement and cross-cutting points</t>
        </is>
      </c>
      <c r="C57" s="12" t="inlineStr">
        <is>
          <t>Business rule confirmation</t>
        </is>
      </c>
      <c r="D57" s="12" t="inlineStr">
        <is>
          <t>Client migration and daily client batches: Confirm (CRQ19).</t>
        </is>
      </c>
      <c r="E57" s="12" t="inlineStr">
        <is>
          <t>The migration scope and coexistence are decided by the Data Migration BRD (CRQ19).</t>
        </is>
      </c>
      <c r="F57" s="12" t="inlineStr">
        <is>
          <t>Clients are loaded and fed through the Data Migration programme with the duplicate check.</t>
        </is>
      </c>
      <c r="G57" s="12" t="inlineStr">
        <is>
          <t>FRS BRD-00 v1.1, Proposed business rules and clarifications; XC-20; FR-CR-082; also raised as CRQ19 (open question)</t>
        </is>
      </c>
      <c r="H57" s="12" t="inlineStr">
        <is>
          <t>BIBS Product Owner with the Program Manager, Business Project Services</t>
        </is>
      </c>
      <c r="I57" s="37" t="n">
        <v>46356</v>
      </c>
      <c r="J57" s="12" t="inlineStr">
        <is>
          <t>Medium</t>
        </is>
      </c>
      <c r="K57" s="38" t="inlineStr">
        <is>
          <t>Open</t>
        </is>
      </c>
      <c r="L57" s="12" t="n"/>
      <c r="M57" s="12" t="n"/>
    </row>
    <row r="58">
      <c r="A58" s="12" t="inlineStr">
        <is>
          <t>CLR-CR-15</t>
        </is>
      </c>
      <c r="B58" s="12" t="inlineStr">
        <is>
          <t>BRD-00 Core Replacement and cross-cutting points</t>
        </is>
      </c>
      <c r="C58" s="12" t="inlineStr">
        <is>
          <t>Clarification</t>
        </is>
      </c>
      <c r="D58" s="12" t="inlineStr">
        <is>
          <t>SOA at booking: Answer CRQ12.</t>
        </is>
      </c>
      <c r="E58" s="12" t="inlineStr">
        <is>
          <t>The SOA of the placement report and booking is open (CRQ12).</t>
        </is>
      </c>
      <c r="F58" s="12" t="inlineStr">
        <is>
          <t>Booking issues the service invoice; the SOA is issued at booking once BDOI says which SOA is meant.</t>
        </is>
      </c>
      <c r="G58" s="12" t="inlineStr">
        <is>
          <t>FRS BRD-00 v1.1, Proposed business rules and clarifications; XC-10; FR-CR-093; also raised as CRQ12 (open question), DCR-171 (register item)</t>
        </is>
      </c>
      <c r="H58" s="12" t="inlineStr">
        <is>
          <t>Marketing and Processing - New Business (Product Owner)</t>
        </is>
      </c>
      <c r="I58" s="37" t="n">
        <v>46356</v>
      </c>
      <c r="J58" s="12" t="inlineStr">
        <is>
          <t>Medium</t>
        </is>
      </c>
      <c r="K58" s="38" t="inlineStr">
        <is>
          <t>Open</t>
        </is>
      </c>
      <c r="L58" s="12" t="n"/>
      <c r="M58" s="12" t="inlineStr">
        <is>
          <t>Also affects BRD-01, BRD-04.</t>
        </is>
      </c>
    </row>
    <row r="59">
      <c r="A59" s="12" t="inlineStr">
        <is>
          <t>CLR-CR-17</t>
        </is>
      </c>
      <c r="B59" s="12" t="inlineStr">
        <is>
          <t>BRD-00 Core Replacement and cross-cutting points</t>
        </is>
      </c>
      <c r="C59" s="12" t="inlineStr">
        <is>
          <t>Business rule confirmation</t>
        </is>
      </c>
      <c r="D59" s="12" t="inlineStr">
        <is>
          <t>Design hand-over: Confirm that the UX documents meet BR-183, or name the Figma deliverables expected.</t>
        </is>
      </c>
      <c r="E59" s="12" t="inlineStr">
        <is>
          <t>BR-183 asks the vendor to use Figma for design execution; BIBS screens follow the platform design system.</t>
        </is>
      </c>
      <c r="F59" s="12" t="inlineStr">
        <is>
          <t>The design hand-over to the BDOI UX Design team is the 07 UX Screen Deck, the 08 UX screen register and the 09 image package of each business sign-off pack, which the team imports into its design tool; the project team does not keep the screens in Figma.</t>
        </is>
      </c>
      <c r="G59" s="12" t="inlineStr">
        <is>
          <t>FRS BRD-00 v1.1, Proposed business rules and clarifications; BR-183; XC-16; FR-CR-092</t>
        </is>
      </c>
      <c r="H59" s="12" t="inlineStr">
        <is>
          <t>BIBS Product Owner with the Program Manager, Business Project Services</t>
        </is>
      </c>
      <c r="I59" s="37" t="n">
        <v>46356</v>
      </c>
      <c r="J59" s="12" t="inlineStr">
        <is>
          <t>Medium</t>
        </is>
      </c>
      <c r="K59" s="38" t="inlineStr">
        <is>
          <t>Open</t>
        </is>
      </c>
      <c r="L59" s="12" t="n"/>
      <c r="M59" s="12" t="n"/>
    </row>
    <row r="60">
      <c r="A60" s="12" t="inlineStr">
        <is>
          <t>NFR-PRF-05</t>
        </is>
      </c>
      <c r="B60" s="12" t="inlineStr">
        <is>
          <t>BRD-00 Core Replacement and cross-cutting points</t>
        </is>
      </c>
      <c r="C60" s="12" t="inlineStr">
        <is>
          <t>Configuration value</t>
        </is>
      </c>
      <c r="D60" s="12" t="inlineStr">
        <is>
          <t>Bulk uploads: confirm the proposed target or give the BDOI value</t>
        </is>
      </c>
      <c r="E60" s="12" t="inlineStr">
        <is>
          <t>An upload file is acknowledged at once and processed in the background with a result per row.</t>
        </is>
      </c>
      <c r="F60" s="12" t="inlineStr">
        <is>
          <t>Acknowledgement within 3 seconds; a 5,000-row file validated and committed within 10 minutes</t>
        </is>
      </c>
      <c r="G60" s="12" t="inlineStr">
        <is>
          <t>Non-functional requirements register v1.0, NFR-PRF-05; BRD-5 p.133-137 (upload or download 3 s per file); FRS BRD-01 (bulk uploads up to 5,000 rows per file)</t>
        </is>
      </c>
      <c r="H60" s="12" t="inlineStr">
        <is>
          <t>BIBS Product Owner</t>
        </is>
      </c>
      <c r="I60" s="37" t="n">
        <v>46356</v>
      </c>
      <c r="J60" s="12" t="inlineStr">
        <is>
          <t>Medium</t>
        </is>
      </c>
      <c r="K60" s="38" t="inlineStr">
        <is>
          <t>Open</t>
        </is>
      </c>
      <c r="L60" s="12" t="n"/>
      <c r="M60" s="12" t="n"/>
    </row>
    <row r="61">
      <c r="A61" s="12" t="inlineStr">
        <is>
          <t>NFR-PRF-08</t>
        </is>
      </c>
      <c r="B61" s="12" t="inlineStr">
        <is>
          <t>BRD-00 Core Replacement and cross-cutting points</t>
        </is>
      </c>
      <c r="C61" s="12" t="inlineStr">
        <is>
          <t>Configuration value</t>
        </is>
      </c>
      <c r="D61" s="12" t="inlineStr">
        <is>
          <t>Notifications and e-mail: confirm the proposed target or give the BDOI value</t>
        </is>
      </c>
      <c r="E61" s="12" t="inlineStr">
        <is>
          <t>Users are told of status changes, approvals and pending work without delay.</t>
        </is>
      </c>
      <c r="F61" s="12" t="inlineStr">
        <is>
          <t>In-app notification within 1 minute of the event; e-mail handed to CCM within 5 minutes</t>
        </is>
      </c>
      <c r="G61" s="12" t="inlineStr">
        <is>
          <t>Non-functional requirements register v1.0, NFR-PRF-08; FRS BRD-00 FR-CR-020; integration INT-13 (CCM)</t>
        </is>
      </c>
      <c r="H61" s="12" t="inlineStr">
        <is>
          <t>BIBS Product Owner</t>
        </is>
      </c>
      <c r="I61" s="37" t="n">
        <v>46356</v>
      </c>
      <c r="J61" s="12" t="inlineStr">
        <is>
          <t>Medium</t>
        </is>
      </c>
      <c r="K61" s="38" t="inlineStr">
        <is>
          <t>Open</t>
        </is>
      </c>
      <c r="L61" s="12" t="n"/>
      <c r="M61" s="12" t="n"/>
    </row>
    <row r="62">
      <c r="A62" s="12" t="inlineStr">
        <is>
          <t>NFR-PRF-09</t>
        </is>
      </c>
      <c r="B62" s="12" t="inlineStr">
        <is>
          <t>BRD-00 Core Replacement and cross-cutting points</t>
        </is>
      </c>
      <c r="C62" s="12" t="inlineStr">
        <is>
          <t>Configuration value</t>
        </is>
      </c>
      <c r="D62" s="12" t="inlineStr">
        <is>
          <t>Sign-in time: confirm the proposed target or give the BDOI value</t>
        </is>
      </c>
      <c r="E62" s="12" t="inlineStr">
        <is>
          <t>Single sign-on through EIAM completes quickly once the identity provider answers.</t>
        </is>
      </c>
      <c r="F62" s="12" t="inlineStr">
        <is>
          <t>p95 at most 3 seconds from the identity provider's answer to the role home page, excluding the user's own MFA entry</t>
        </is>
      </c>
      <c r="G62" s="12" t="inlineStr">
        <is>
          <t>Non-functional requirements register v1.0, NFR-PRF-09; Integration INT-01 (EIAM); BRD-1 p.210 peak hours 08:00-10:00</t>
        </is>
      </c>
      <c r="H62" s="12" t="inlineStr">
        <is>
          <t>Head, BDOI IT</t>
        </is>
      </c>
      <c r="I62" s="37" t="n">
        <v>46356</v>
      </c>
      <c r="J62" s="12" t="inlineStr">
        <is>
          <t>Medium</t>
        </is>
      </c>
      <c r="K62" s="38" t="inlineStr">
        <is>
          <t>Open</t>
        </is>
      </c>
      <c r="L62" s="12" t="n"/>
      <c r="M62" s="12" t="n"/>
    </row>
    <row r="63">
      <c r="A63" s="12" t="inlineStr">
        <is>
          <t>NFR-CAP-04</t>
        </is>
      </c>
      <c r="B63" s="12" t="inlineStr">
        <is>
          <t>BRD-00 Core Replacement and cross-cutting points</t>
        </is>
      </c>
      <c r="C63" s="12" t="inlineStr">
        <is>
          <t>Configuration value</t>
        </is>
      </c>
      <c r="D63" s="12" t="inlineStr">
        <is>
          <t>File sizes: confirm the proposed target or give the BDOI value</t>
        </is>
      </c>
      <c r="E63" s="12" t="inlineStr">
        <is>
          <t>Users attach and upload files up to the limits; larger bulk files go straight to the document store.</t>
        </is>
      </c>
      <c r="F63" s="12" t="inlineStr">
        <is>
          <t>Attachments up to 10 MB a file; uploads through the screens up to 25 MB; bulk files up to 5 GB by direct transfer; limits are parameters</t>
        </is>
      </c>
      <c r="G63" s="12" t="inlineStr">
        <is>
          <t>Non-functional requirements register v1.0, NFR-CAP-04; Platform configuration (attachment and upload limits); BDO UX guidelines (format hint on upload fields)</t>
        </is>
      </c>
      <c r="H63" s="12" t="inlineStr">
        <is>
          <t>Head, BDOI IT</t>
        </is>
      </c>
      <c r="I63" s="37" t="n">
        <v>46356</v>
      </c>
      <c r="J63" s="12" t="inlineStr">
        <is>
          <t>Medium</t>
        </is>
      </c>
      <c r="K63" s="38" t="inlineStr">
        <is>
          <t>Open</t>
        </is>
      </c>
      <c r="L63" s="12" t="n"/>
      <c r="M63" s="12" t="n"/>
    </row>
    <row r="64">
      <c r="A64" s="12" t="inlineStr">
        <is>
          <t>NFR-SCL-04</t>
        </is>
      </c>
      <c r="B64" s="12" t="inlineStr">
        <is>
          <t>BRD-00 Core Replacement and cross-cutting points</t>
        </is>
      </c>
      <c r="C64" s="12" t="inlineStr">
        <is>
          <t>Configuration value</t>
        </is>
      </c>
      <c r="D64" s="12" t="inlineStr">
        <is>
          <t>Growth headroom: confirm the proposed target or give the BDOI value</t>
        </is>
      </c>
      <c r="E64" s="12" t="inlineStr">
        <is>
          <t>The production cluster carries the year-5 load with headroom.</t>
        </is>
      </c>
      <c r="F64" s="12" t="inlineStr">
        <is>
          <t>At the year-5 peak, CPU and memory use of the cluster below 70%</t>
        </is>
      </c>
      <c r="G64" s="12" t="inlineStr">
        <is>
          <t>Non-functional requirements register v1.0, NFR-SCL-04; IER K8S sheets (threshold 0.79 on worker nodes); programme alignment pack 6.4</t>
        </is>
      </c>
      <c r="H64" s="12" t="inlineStr">
        <is>
          <t>Cloud and Digital Operations Engineering (IER owner)</t>
        </is>
      </c>
      <c r="I64" s="37" t="n">
        <v>46356</v>
      </c>
      <c r="J64" s="12" t="inlineStr">
        <is>
          <t>Medium</t>
        </is>
      </c>
      <c r="K64" s="38" t="inlineStr">
        <is>
          <t>Open</t>
        </is>
      </c>
      <c r="L64" s="12" t="n"/>
      <c r="M64" s="12" t="n"/>
    </row>
    <row r="65">
      <c r="A65" s="12" t="inlineStr">
        <is>
          <t>NFR-PRV-04</t>
        </is>
      </c>
      <c r="B65" s="12" t="inlineStr">
        <is>
          <t>BRD-00 Core Replacement and cross-cutting points</t>
        </is>
      </c>
      <c r="C65" s="12" t="inlineStr">
        <is>
          <t>Configuration value</t>
        </is>
      </c>
      <c r="D65" s="12" t="inlineStr">
        <is>
          <t>Data-subject requests: confirm the proposed target or give the BDOI value</t>
        </is>
      </c>
      <c r="E65" s="12" t="inlineStr">
        <is>
          <t>BDOI can answer a client's request to access or correct personal data.</t>
        </is>
      </c>
      <c r="F65" s="12" t="inlineStr">
        <is>
          <t>The personal data held on one client found and exported within 1 business day; corrections recorded with the audit trail</t>
        </is>
      </c>
      <c r="G65" s="12" t="inlineStr">
        <is>
          <t>Non-functional requirements register v1.0, NFR-PRV-04; Data Privacy Act 2012 (rights of the data subject); FRS BRD-09 (contact update with audit trail)</t>
        </is>
      </c>
      <c r="H65" s="12" t="inlineStr">
        <is>
          <t>Data Protection Officer, BDOI</t>
        </is>
      </c>
      <c r="I65" s="37" t="n">
        <v>46356</v>
      </c>
      <c r="J65" s="12" t="inlineStr">
        <is>
          <t>Medium</t>
        </is>
      </c>
      <c r="K65" s="38" t="inlineStr">
        <is>
          <t>Open</t>
        </is>
      </c>
      <c r="L65" s="12" t="n"/>
      <c r="M65" s="12" t="n"/>
    </row>
    <row r="66">
      <c r="A66" s="12" t="inlineStr">
        <is>
          <t>NFR-PRV-06</t>
        </is>
      </c>
      <c r="B66" s="12" t="inlineStr">
        <is>
          <t>BRD-00 Core Replacement and cross-cutting points</t>
        </is>
      </c>
      <c r="C66" s="12" t="inlineStr">
        <is>
          <t>Configuration value</t>
        </is>
      </c>
      <c r="D66" s="12" t="inlineStr">
        <is>
          <t>Security event alerts: confirm the proposed target or give the BDOI value</t>
        </is>
      </c>
      <c r="E66" s="12" t="inlineStr">
        <is>
          <t>Events that may indicate a personal-data breach reach BDO Information Security quickly.</t>
        </is>
      </c>
      <c r="F66" s="12" t="inlineStr">
        <is>
          <t>Alerts within 15 minutes for repeated failed sign-ins, privilege changes, refused data-scope access and exports above 10,000 rows</t>
        </is>
      </c>
      <c r="G66" s="12" t="inlineStr">
        <is>
          <t>Non-functional requirements register v1.0, NFR-PRV-06; Data Privacy Act 2012 (security incident management by the personal information controller); BRD-4 NFR 4 (audit exportable); BRD-11 UAM-NFR-40 (escalation of privilege changes)</t>
        </is>
      </c>
      <c r="H66" s="12" t="inlineStr">
        <is>
          <t>BDOI Information Security</t>
        </is>
      </c>
      <c r="I66" s="37" t="n">
        <v>46356</v>
      </c>
      <c r="J66" s="12" t="inlineStr">
        <is>
          <t>Medium</t>
        </is>
      </c>
      <c r="K66" s="38" t="inlineStr">
        <is>
          <t>Open</t>
        </is>
      </c>
      <c r="L66" s="12" t="n"/>
      <c r="M66" s="12" t="n"/>
    </row>
    <row r="67">
      <c r="A67" s="12" t="inlineStr">
        <is>
          <t>NFR-ACC-04</t>
        </is>
      </c>
      <c r="B67" s="12" t="inlineStr">
        <is>
          <t>BRD-00 Core Replacement and cross-cutting points</t>
        </is>
      </c>
      <c r="C67" s="12" t="inlineStr">
        <is>
          <t>Configuration value</t>
        </is>
      </c>
      <c r="D67" s="12" t="inlineStr">
        <is>
          <t>Zoom and reflow: confirm the proposed target or give the BDOI value</t>
        </is>
      </c>
      <c r="E67" s="12" t="inlineStr">
        <is>
          <t>Screens stay usable when users enlarge the text.</t>
        </is>
      </c>
      <c r="F67" s="12" t="inlineStr">
        <is>
          <t>Usable at 200% browser zoom and at a 320-pixel reflow width without loss of content or function</t>
        </is>
      </c>
      <c r="G67" s="12" t="inlineStr">
        <is>
          <t>Non-functional requirements register v1.0, NFR-ACC-04; WCAG 2.2 success criteria 1.4.4 and 1.4.10</t>
        </is>
      </c>
      <c r="H67" s="12" t="inlineStr">
        <is>
          <t>BIBS Product Owner</t>
        </is>
      </c>
      <c r="I67" s="37" t="n">
        <v>46356</v>
      </c>
      <c r="J67" s="12" t="inlineStr">
        <is>
          <t>Medium</t>
        </is>
      </c>
      <c r="K67" s="38" t="inlineStr">
        <is>
          <t>Open</t>
        </is>
      </c>
      <c r="L67" s="12" t="n"/>
      <c r="M67" s="12" t="n"/>
    </row>
    <row r="68">
      <c r="A68" s="12" t="inlineStr">
        <is>
          <t>NFR-USE-05</t>
        </is>
      </c>
      <c r="B68" s="12" t="inlineStr">
        <is>
          <t>BRD-00 Core Replacement and cross-cutting points</t>
        </is>
      </c>
      <c r="C68" s="12" t="inlineStr">
        <is>
          <t>Configuration value</t>
        </is>
      </c>
      <c r="D68" s="12" t="inlineStr">
        <is>
          <t>Learnability: confirm the proposed target or give the BDOI value</t>
        </is>
      </c>
      <c r="E68" s="12" t="inlineStr">
        <is>
          <t>Trained users complete their main tasks without help.</t>
        </is>
      </c>
      <c r="F68" s="12" t="inlineStr">
        <is>
          <t>90% of first attempts at the top task of each persona completed without help in UAT; System Usability Scale score of at least 75 in the UAT survey</t>
        </is>
      </c>
      <c r="G68" s="12" t="inlineStr">
        <is>
          <t>Non-functional requirements register v1.0, NFR-USE-05; BRD-9 p.13 (user-friendly, intuitive); BRD-00 BR-178 to BR-181 (design system and user journeys)</t>
        </is>
      </c>
      <c r="H68" s="12" t="inlineStr">
        <is>
          <t>BIBS Product Owner</t>
        </is>
      </c>
      <c r="I68" s="37" t="n">
        <v>46356</v>
      </c>
      <c r="J68" s="12" t="inlineStr">
        <is>
          <t>Medium</t>
        </is>
      </c>
      <c r="K68" s="38" t="inlineStr">
        <is>
          <t>Open</t>
        </is>
      </c>
      <c r="L68" s="12" t="n"/>
      <c r="M68" s="12" t="n"/>
    </row>
    <row r="69">
      <c r="A69" s="12" t="inlineStr">
        <is>
          <t>NFR-LOC-04</t>
        </is>
      </c>
      <c r="B69" s="12" t="inlineStr">
        <is>
          <t>BRD-00 Core Replacement and cross-cutting points</t>
        </is>
      </c>
      <c r="C69" s="12" t="inlineStr">
        <is>
          <t>Configuration value</t>
        </is>
      </c>
      <c r="D69" s="12" t="inlineStr">
        <is>
          <t>Philippine formats and calendar: confirm the proposed target or give the BDOI value</t>
        </is>
      </c>
      <c r="E69" s="12" t="inlineStr">
        <is>
          <t>Philippine identifiers, addresses and working days are handled correctly.</t>
        </is>
      </c>
      <c r="F69" s="12" t="inlineStr">
        <is>
          <t>TIN, mobile numbers and addresses (region, province, city or municipality, barangay) validated to Philippine formats; business-day rules follow the holiday calendar kept by the Business Administrator</t>
        </is>
      </c>
      <c r="G69" s="12" t="inlineStr">
        <is>
          <t>Non-functional requirements register v1.0, NFR-LOC-04; FRS BRD-01 (client record, EOPT details: TIN and registered address); programme alignment pack 4.2 (non-working days of the go-live calendar)</t>
        </is>
      </c>
      <c r="H69" s="12" t="inlineStr">
        <is>
          <t>BIBS Product Owner</t>
        </is>
      </c>
      <c r="I69" s="37" t="n">
        <v>46356</v>
      </c>
      <c r="J69" s="12" t="inlineStr">
        <is>
          <t>Medium</t>
        </is>
      </c>
      <c r="K69" s="38" t="inlineStr">
        <is>
          <t>Open</t>
        </is>
      </c>
      <c r="L69" s="12" t="n"/>
      <c r="M69" s="12" t="n"/>
    </row>
    <row r="70">
      <c r="A70" s="12" t="inlineStr">
        <is>
          <t>NFR-MNT-06</t>
        </is>
      </c>
      <c r="B70" s="12" t="inlineStr">
        <is>
          <t>BRD-00 Core Replacement and cross-cutting points</t>
        </is>
      </c>
      <c r="C70" s="12" t="inlineStr">
        <is>
          <t>Configuration value</t>
        </is>
      </c>
      <c r="D70" s="12" t="inlineStr">
        <is>
          <t>Documentation kept current: confirm the proposed target or give the BDOI value</t>
        </is>
      </c>
      <c r="E70" s="12" t="inlineStr">
        <is>
          <t>The technical and support documents match each release.</t>
        </is>
      </c>
      <c r="F70" s="12" t="inlineStr">
        <is>
          <t>Technical specification, configuration guide, runbook and data dictionary updated with each release; release notes list every changed function</t>
        </is>
      </c>
      <c r="G70" s="12" t="inlineStr">
        <is>
          <t>Non-functional requirements register v1.0, NFR-MNT-06; BRD-11 UAM-NFR-29 (system documentation); deliverables plan items 23 to 25</t>
        </is>
      </c>
      <c r="H70" s="12" t="inlineStr">
        <is>
          <t>Head, BDOI IT</t>
        </is>
      </c>
      <c r="I70" s="37" t="n">
        <v>46356</v>
      </c>
      <c r="J70" s="12" t="inlineStr">
        <is>
          <t>Medium</t>
        </is>
      </c>
      <c r="K70" s="38" t="inlineStr">
        <is>
          <t>Open</t>
        </is>
      </c>
      <c r="L70" s="12" t="n"/>
      <c r="M70" s="12" t="n"/>
    </row>
    <row r="71">
      <c r="A71" s="12" t="inlineStr">
        <is>
          <t>NFR-AUD-03</t>
        </is>
      </c>
      <c r="B71" s="12" t="inlineStr">
        <is>
          <t>BRD-00 Core Replacement and cross-cutting points</t>
        </is>
      </c>
      <c r="C71" s="12" t="inlineStr">
        <is>
          <t>Configuration value</t>
        </is>
      </c>
      <c r="D71" s="12" t="inlineStr">
        <is>
          <t>Audit enquiry and export: confirm the proposed target or give the BDOI value</t>
        </is>
      </c>
      <c r="E71" s="12" t="inlineStr">
        <is>
          <t>Auditors find and export audit records themselves.</t>
        </is>
      </c>
      <c r="F71" s="12" t="inlineStr">
        <is>
          <t>Audit trail filtered by user, period, module and record on screen; one month for one user exported within 2 minutes</t>
        </is>
      </c>
      <c r="G71" s="12" t="inlineStr">
        <is>
          <t>Non-functional requirements register v1.0, NFR-AUD-03; BRD-4 NFR 4 (exportable audit log); BRD-11 UAM-NFR-41 (User Access Audit Log report)</t>
        </is>
      </c>
      <c r="H71" s="12" t="inlineStr">
        <is>
          <t>Internal Audit, BDOI</t>
        </is>
      </c>
      <c r="I71" s="37" t="n">
        <v>46356</v>
      </c>
      <c r="J71" s="12" t="inlineStr">
        <is>
          <t>Medium</t>
        </is>
      </c>
      <c r="K71" s="38" t="inlineStr">
        <is>
          <t>Open</t>
        </is>
      </c>
      <c r="L71" s="12" t="n"/>
      <c r="M71" s="12" t="n"/>
    </row>
    <row r="72">
      <c r="A72" s="12" t="inlineStr">
        <is>
          <t>NFR-INT-06</t>
        </is>
      </c>
      <c r="B72" s="12" t="inlineStr">
        <is>
          <t>BRD-00 Core Replacement and cross-cutting points</t>
        </is>
      </c>
      <c r="C72" s="12" t="inlineStr">
        <is>
          <t>Configuration value</t>
        </is>
      </c>
      <c r="D72" s="12" t="inlineStr">
        <is>
          <t>Unavailable partner systems: confirm the proposed target or give the BDOI value</t>
        </is>
      </c>
      <c r="E72" s="12" t="inlineStr">
        <is>
          <t>An unavailable external system does not block users.</t>
        </is>
      </c>
      <c r="F72" s="12" t="inlineStr">
        <is>
          <t>Outbound messages queued and retried for 24 hours; an alert after 3 failed attempts; users keep working</t>
        </is>
      </c>
      <c r="G72" s="12" t="inlineStr">
        <is>
          <t>Non-functional requirements register v1.0, NFR-INT-06; Programme alignment pack 5 (integration inventory)</t>
        </is>
      </c>
      <c r="H72" s="12" t="inlineStr">
        <is>
          <t>Head, BDOI IT</t>
        </is>
      </c>
      <c r="I72" s="37" t="n">
        <v>46356</v>
      </c>
      <c r="J72" s="12" t="inlineStr">
        <is>
          <t>Medium</t>
        </is>
      </c>
      <c r="K72" s="38" t="inlineStr">
        <is>
          <t>Open</t>
        </is>
      </c>
      <c r="L72" s="12" t="n"/>
      <c r="M72" s="12" t="n"/>
    </row>
    <row r="73">
      <c r="A73" s="12" t="inlineStr">
        <is>
          <t>CRQ01</t>
        </is>
      </c>
      <c r="B73" s="12" t="inlineStr">
        <is>
          <t>BRD-00 Core Replacement and cross-cutting points</t>
        </is>
      </c>
      <c r="C73" s="12" t="inlineStr">
        <is>
          <t>Clarification</t>
        </is>
      </c>
      <c r="D73" s="12" t="inlineStr">
        <is>
          <t>BRD set and ownership: The umbrella lists ten BRDs (p.3) and cites a "User &amp; Data Management" BRD (pp.38-41). Is it the umbrella over all twelve BRDs, the Data Migration BRD and the ReInsurance BRD? Who owns Data Management (capability 17)?</t>
        </is>
      </c>
      <c r="E73" s="12" t="inlineStr">
        <is>
          <t>Open point of the FRS (Scope): the requirement cannot be finalised or tested as BDOI intends until it is answered.</t>
        </is>
      </c>
      <c r="F73" s="12" t="inlineStr">
        <is>
          <t>Umbrella over all BRDs; capability 17 owned by the BIBS Product Owner.</t>
        </is>
      </c>
      <c r="G73" s="12" t="inlineStr">
        <is>
          <t>FRS BRD-00 v1.1, Open questions CRQ01 (affects Scope); Discrepancy and clarification register v1.2, open question CRQ01; baseline CF-07, CORE-17; also raised as DCR-169 (register item), DCR-201 (register item)</t>
        </is>
      </c>
      <c r="H73" s="12" t="inlineStr">
        <is>
          <t>Business Project Services (BRD owner) with the BIBS Product Owner</t>
        </is>
      </c>
      <c r="I73" s="37" t="n">
        <v>46356</v>
      </c>
      <c r="J73" s="12" t="inlineStr">
        <is>
          <t>Medium</t>
        </is>
      </c>
      <c r="K73" s="38" t="inlineStr">
        <is>
          <t>Open</t>
        </is>
      </c>
      <c r="L73" s="12" t="n"/>
      <c r="M73" s="12" t="inlineStr">
        <is>
          <t>Also affects BRD-13.</t>
        </is>
      </c>
    </row>
    <row r="74">
      <c r="A74" s="12" t="inlineStr">
        <is>
          <t>CRQ05</t>
        </is>
      </c>
      <c r="B74" s="12" t="inlineStr">
        <is>
          <t>BRD-00 Core Replacement and cross-cutting points</t>
        </is>
      </c>
      <c r="C74" s="12" t="inlineStr">
        <is>
          <t>Decision</t>
        </is>
      </c>
      <c r="D74" s="12" t="inlineStr">
        <is>
          <t>Delete of prospect: Is deactivation with a reason, followed by the retention purge, acceptable for "delete of prospect / record" (BR-008), or must a prospect be erased on request (for example under the Data Privacy Act)?</t>
        </is>
      </c>
      <c r="E74" s="12" t="inlineStr">
        <is>
          <t>Open point of the FRS (A-CR-03): the requirement cannot be finalised or tested as BDOI intends until it is answered.</t>
        </is>
      </c>
      <c r="F74" s="12" t="inlineStr">
        <is>
          <t>Deactivation plus retention purge.</t>
        </is>
      </c>
      <c r="G74" s="12" t="inlineStr">
        <is>
          <t>FRS BRD-00 v1.1, Open questions CRQ05 (affects A-CR-03); Discrepancy and clarification register v1.2, open question CRQ05; baseline CORE-01.04; also raised as DCR-182 (register item)</t>
        </is>
      </c>
      <c r="H74" s="12" t="inlineStr">
        <is>
          <t>Marketing and Processing - New Business (Product Owner)</t>
        </is>
      </c>
      <c r="I74" s="37" t="n">
        <v>46356</v>
      </c>
      <c r="J74" s="12" t="inlineStr">
        <is>
          <t>Medium</t>
        </is>
      </c>
      <c r="K74" s="38" t="inlineStr">
        <is>
          <t>Open</t>
        </is>
      </c>
      <c r="L74" s="12" t="n"/>
      <c r="M74" s="12" t="inlineStr">
        <is>
          <t>Also affects BRD-01.</t>
        </is>
      </c>
    </row>
    <row r="75">
      <c r="A75" s="12" t="inlineStr">
        <is>
          <t>CRQ13</t>
        </is>
      </c>
      <c r="B75" s="12" t="inlineStr">
        <is>
          <t>BRD-00 Core Replacement and cross-cutting points</t>
        </is>
      </c>
      <c r="C75" s="12" t="inlineStr">
        <is>
          <t>Report layout</t>
        </is>
      </c>
      <c r="D75" s="12" t="inlineStr">
        <is>
          <t>Invoice Master List: Is the Invoice Master List (BR-175) the Operations invoice ledger? Please confirm the columns (cover number, version number, assignees, placement status, approval dates) and the owner.</t>
        </is>
      </c>
      <c r="E75" s="12" t="inlineStr">
        <is>
          <t>Open point of the FRS (FR-CR-090): the requirement cannot be finalised or tested as BDOI intends until it is answered.</t>
        </is>
      </c>
      <c r="F75" s="12" t="inlineStr">
        <is>
          <t>Extend the invoice ledger view (FR-CR-090).</t>
        </is>
      </c>
      <c r="G75" s="12" t="inlineStr">
        <is>
          <t>FRS BRD-00 v1.1, Open questions CRQ13 (affects FR-CR-090); Discrepancy and clarification register v1.2, open question CRQ13; baseline XC-13; also raised as DCR-179 (register item)</t>
        </is>
      </c>
      <c r="H75" s="12" t="inlineStr">
        <is>
          <t>Operations - Financial Transactions and Processing</t>
        </is>
      </c>
      <c r="I75" s="37" t="n">
        <v>46356</v>
      </c>
      <c r="J75" s="12" t="inlineStr">
        <is>
          <t>Medium</t>
        </is>
      </c>
      <c r="K75" s="38" t="inlineStr">
        <is>
          <t>Open</t>
        </is>
      </c>
      <c r="L75" s="12" t="n"/>
      <c r="M75" s="12" t="inlineStr">
        <is>
          <t>Also affects BRD-02.</t>
        </is>
      </c>
    </row>
    <row r="76">
      <c r="A76" s="12" t="inlineStr">
        <is>
          <t>CRQ14</t>
        </is>
      </c>
      <c r="B76" s="12" t="inlineStr">
        <is>
          <t>BRD-00 Core Replacement and cross-cutting points</t>
        </is>
      </c>
      <c r="C76" s="12" t="inlineStr">
        <is>
          <t>Sample document or template</t>
        </is>
      </c>
      <c r="D76" s="12" t="inlineStr">
        <is>
          <t>Letter names: The umbrella writes "Non-Renewal Letter (NRL)", BRD-6 "Not for Renewal Letter (NFR)". Which name is printed on the letter?</t>
        </is>
      </c>
      <c r="E76" s="12" t="inlineStr">
        <is>
          <t>Open point of the FRS (CORE-06.07): the requirement cannot be finalised or tested as BDOI intends until it is answered.</t>
        </is>
      </c>
      <c r="F76" s="12" t="inlineStr">
        <is>
          <t>Use the BRD-6 name until answered.</t>
        </is>
      </c>
      <c r="G76" s="12" t="inlineStr">
        <is>
          <t>FRS BRD-00 v1.1, Open questions CRQ14 (affects CORE-06.07); Discrepancy and clarification register v1.2, open question CRQ14; baseline CORE-06.07; also raised as DCR-168 (register item)</t>
        </is>
      </c>
      <c r="H76" s="12" t="inlineStr">
        <is>
          <t>Marketing and Processing - Renewal (RMEL)</t>
        </is>
      </c>
      <c r="I76" s="37" t="n">
        <v>46356</v>
      </c>
      <c r="J76" s="12" t="inlineStr">
        <is>
          <t>Medium</t>
        </is>
      </c>
      <c r="K76" s="38" t="inlineStr">
        <is>
          <t>Open</t>
        </is>
      </c>
      <c r="L76" s="12" t="n"/>
      <c r="M76" s="12" t="inlineStr">
        <is>
          <t>Also affects BRD-06.</t>
        </is>
      </c>
    </row>
    <row r="77">
      <c r="A77" s="12" t="inlineStr">
        <is>
          <t>CRQ15</t>
        </is>
      </c>
      <c r="B77" s="12" t="inlineStr">
        <is>
          <t>BRD-00 Core Replacement and cross-cutting points</t>
        </is>
      </c>
      <c r="C77" s="12" t="inlineStr">
        <is>
          <t>Clarification</t>
        </is>
      </c>
      <c r="D77" s="12" t="inlineStr">
        <is>
          <t>Bank account operations: What does "Bank Account Operations" (p.9) cover beyond the account funding and bank instruments of BRD-5?</t>
        </is>
      </c>
      <c r="E77" s="12" t="inlineStr">
        <is>
          <t>Open point of the FRS (CORE-08.21): the requirement cannot be finalised or tested as BDOI intends until it is answered.</t>
        </is>
      </c>
      <c r="F77" s="12" t="n"/>
      <c r="G77" s="12" t="inlineStr">
        <is>
          <t>FRS BRD-00 v1.1, Open questions CRQ15 (affects CORE-08.21); Discrepancy and clarification register v1.2, open question CRQ15; baseline CORE-08.21</t>
        </is>
      </c>
      <c r="H77" s="12" t="inlineStr">
        <is>
          <t>BIBS Product Owner with the Program Manager, Business Project Services</t>
        </is>
      </c>
      <c r="I77" s="37" t="n">
        <v>46356</v>
      </c>
      <c r="J77" s="12" t="inlineStr">
        <is>
          <t>Medium</t>
        </is>
      </c>
      <c r="K77" s="38" t="inlineStr">
        <is>
          <t>Open</t>
        </is>
      </c>
      <c r="L77" s="12" t="n"/>
      <c r="M77" s="12" t="n"/>
    </row>
    <row r="78">
      <c r="A78" s="12" t="inlineStr">
        <is>
          <t>CRQ16</t>
        </is>
      </c>
      <c r="B78" s="12" t="inlineStr">
        <is>
          <t>BRD-00 Core Replacement and cross-cutting points</t>
        </is>
      </c>
      <c r="C78" s="12" t="inlineStr">
        <is>
          <t>Clarification</t>
        </is>
      </c>
      <c r="D78" s="12" t="inlineStr">
        <is>
          <t>CSF resend: Must CSF agents also resend e-policies (BR-164), or only RAs (BRCSF-006)?</t>
        </is>
      </c>
      <c r="E78" s="12" t="inlineStr">
        <is>
          <t>Open point of the FRS (CORE-16.04): the requirement cannot be finalised or tested as BDOI intends until it is answered.</t>
        </is>
      </c>
      <c r="F78" s="12" t="inlineStr">
        <is>
          <t>RA only until answered.</t>
        </is>
      </c>
      <c r="G78" s="12" t="inlineStr">
        <is>
          <t>FRS BRD-00 v1.1, Open questions CRQ16 (affects CORE-16.04); Discrepancy and clarification register v1.2, open question CRQ16; baseline CORE-16.04; also raised as DCR-172 (register item)</t>
        </is>
      </c>
      <c r="H78" s="12" t="inlineStr">
        <is>
          <t>Contact Center Management / Alternative Distribution</t>
        </is>
      </c>
      <c r="I78" s="37" t="n">
        <v>46356</v>
      </c>
      <c r="J78" s="12" t="inlineStr">
        <is>
          <t>Medium</t>
        </is>
      </c>
      <c r="K78" s="38" t="inlineStr">
        <is>
          <t>Partly answered</t>
        </is>
      </c>
      <c r="L78" s="12" t="n"/>
      <c r="M78" s="12" t="inlineStr">
        <is>
          <t>Answer so far: BRD-9 e-mail item 9; FR-CSF-031. Also affects BRD-09.</t>
        </is>
      </c>
    </row>
    <row r="79">
      <c r="A79" s="12" t="inlineStr">
        <is>
          <t>CRQ17</t>
        </is>
      </c>
      <c r="B79" s="12" t="inlineStr">
        <is>
          <t>BRD-00 Core Replacement and cross-cutting points</t>
        </is>
      </c>
      <c r="C79" s="12" t="inlineStr">
        <is>
          <t>Clarification</t>
        </is>
      </c>
      <c r="D79" s="12" t="inlineStr">
        <is>
          <t>BDO design assets: Please supply the BDO icon and illustration set and the design system or Figma files (BR-179, 180, 183).</t>
        </is>
      </c>
      <c r="E79" s="12" t="inlineStr">
        <is>
          <t>Open point of the FRS (FR-CR-092): the requirement cannot be finalised or tested as BDOI intends until it is answered.</t>
        </is>
      </c>
      <c r="F79" s="12" t="inlineStr">
        <is>
          <t>Treat as design-system items (FR-CR-092).</t>
        </is>
      </c>
      <c r="G79" s="12" t="inlineStr">
        <is>
          <t>FRS BRD-00 v1.1, Open questions CRQ17 (affects FR-CR-092); Discrepancy and clarification register v1.2, open question CRQ17; baseline XC-14; also raised as DCR-187 (register item)</t>
        </is>
      </c>
      <c r="H79" s="12" t="inlineStr">
        <is>
          <t>Business Project Services (BRD owner) with the BIBS Product Owner</t>
        </is>
      </c>
      <c r="I79" s="37" t="n">
        <v>46356</v>
      </c>
      <c r="J79" s="12" t="inlineStr">
        <is>
          <t>Medium</t>
        </is>
      </c>
      <c r="K79" s="38" t="inlineStr">
        <is>
          <t>Open</t>
        </is>
      </c>
      <c r="L79" s="12" t="n"/>
      <c r="M79" s="12" t="n"/>
    </row>
    <row r="80">
      <c r="A80" s="12" t="inlineStr">
        <is>
          <t>CRQ23</t>
        </is>
      </c>
      <c r="B80" s="12" t="inlineStr">
        <is>
          <t>BRD-00 Core Replacement and cross-cutting points</t>
        </is>
      </c>
      <c r="C80" s="12" t="inlineStr">
        <is>
          <t>Business rule confirmation</t>
        </is>
      </c>
      <c r="D80" s="12" t="inlineStr">
        <is>
          <t>Traceability workbook: Please send "E2E BDOI Mapping.xlsx" (p.30) and confirm that the final IDs of each BRD (BRPM, BRRN, BRCLXN, BRCLM, BRCSF) govern where the umbrella cites earlier ones.</t>
        </is>
      </c>
      <c r="E80" s="12" t="inlineStr">
        <is>
          <t>Open point of the FRS (Section 10): the requirement cannot be finalised or tested as BDOI intends until it is answered.</t>
        </is>
      </c>
      <c r="F80" s="12" t="inlineStr">
        <is>
          <t>Final IDs of each BRD govern.</t>
        </is>
      </c>
      <c r="G80" s="12" t="inlineStr">
        <is>
          <t>FRS BRD-00 v1.1, Open questions CRQ23 (affects Section 10); Discrepancy and clarification register v1.2, open question CRQ23; baseline CF-08, §10; also raised as DCR-170 (register item)</t>
        </is>
      </c>
      <c r="H80" s="12" t="inlineStr">
        <is>
          <t>Business Project Services (BRD owner) with the BIBS Product Owner</t>
        </is>
      </c>
      <c r="I80" s="37" t="n">
        <v>46356</v>
      </c>
      <c r="J80" s="12" t="inlineStr">
        <is>
          <t>Medium</t>
        </is>
      </c>
      <c r="K80" s="38" t="inlineStr">
        <is>
          <t>Open</t>
        </is>
      </c>
      <c r="L80" s="12" t="n"/>
      <c r="M80" s="12" t="inlineStr">
        <is>
          <t>Also affects BRD-03.</t>
        </is>
      </c>
    </row>
    <row r="81">
      <c r="A81" s="12" t="inlineStr">
        <is>
          <t>CRQ25</t>
        </is>
      </c>
      <c r="B81" s="12" t="inlineStr">
        <is>
          <t>BRD-00 Core Replacement and cross-cutting points</t>
        </is>
      </c>
      <c r="C81" s="12" t="inlineStr">
        <is>
          <t>Clarification</t>
        </is>
      </c>
      <c r="D81" s="12" t="inlineStr">
        <is>
          <t>Approval of the umbrella: The Product Owner for FRBS and ACSL is marked "On Mandatory Leave" without a signature; the Analytics and Risk Management head marks "sign-off not applicable"; four approvals are by e-mail only (pp.46-48). Is the document approved?</t>
        </is>
      </c>
      <c r="E81" s="12" t="inlineStr">
        <is>
          <t>Open point of the FRS (Sign-off): the requirement cannot be finalised or tested as BDOI intends until it is answered.</t>
        </is>
      </c>
      <c r="F81" s="12" t="inlineStr">
        <is>
          <t>Confirm approval.</t>
        </is>
      </c>
      <c r="G81" s="12" t="inlineStr">
        <is>
          <t>FRS BRD-00 v1.1, Open questions CRQ25 (affects Sign-off); Discrepancy and clarification register v1.2, open question CRQ25; baseline §14; also raised as DCR-186 (register item)</t>
        </is>
      </c>
      <c r="H81" s="12" t="inlineStr">
        <is>
          <t>Business Project Services (BRD owner) with the BIBS Product Owner</t>
        </is>
      </c>
      <c r="I81" s="37" t="n">
        <v>46356</v>
      </c>
      <c r="J81" s="12" t="inlineStr">
        <is>
          <t>Medium</t>
        </is>
      </c>
      <c r="K81" s="38" t="inlineStr">
        <is>
          <t>Open</t>
        </is>
      </c>
      <c r="L81" s="12" t="n"/>
      <c r="M81" s="12" t="n"/>
    </row>
    <row r="82">
      <c r="A82" s="12" t="inlineStr">
        <is>
          <t>XQ02</t>
        </is>
      </c>
      <c r="B82" s="12" t="inlineStr">
        <is>
          <t>BRD-00 Core Replacement and cross-cutting points</t>
        </is>
      </c>
      <c r="C82" s="12" t="inlineStr">
        <is>
          <t>Report layout</t>
        </is>
      </c>
      <c r="D82" s="12" t="inlineStr">
        <is>
          <t>Two Contact Center roles: Are they the same people (BDO Contact Center vs BDOI staff)? One role or two? (RQ21, CSQ10) Background: Renewal's contact center (follow-ups, remarks, documents on candidates, BRRN.026) and CSF's csf agent / csf supervisor (servicing). Renewal restricts Contact Center to a read-only projection without premium columns; CSF agents see all accounts</t>
        </is>
      </c>
      <c r="E82" s="12" t="inlineStr">
        <is>
          <t>Open point of the FRS (Section 3.1): the requirement cannot be finalised or tested as BDOI intends until it is answered.</t>
        </is>
      </c>
      <c r="F82" s="12" t="inlineStr">
        <is>
          <t>Two roles; one user may hold both.</t>
        </is>
      </c>
      <c r="G82" s="12" t="inlineStr">
        <is>
          <t>FRS BRD-09 v1.1, Open questions XQ02 (affects Section 3.1); Discrepancy and clarification register v1.2, open question XQ02; baseline Cross-BRD decisions section 5; also raised as RQ21 (open question), CSQ10 (open question), DCR-147 (register item)</t>
        </is>
      </c>
      <c r="H82" s="12" t="inlineStr">
        <is>
          <t>BIBS Product Owner, with the owners of the BRDs involved</t>
        </is>
      </c>
      <c r="I82" s="37" t="n">
        <v>46356</v>
      </c>
      <c r="J82" s="12" t="inlineStr">
        <is>
          <t>Medium</t>
        </is>
      </c>
      <c r="K82" s="38" t="inlineStr">
        <is>
          <t>Open</t>
        </is>
      </c>
      <c r="L82" s="12" t="n"/>
      <c r="M82" s="12" t="inlineStr">
        <is>
          <t>Also affects BRD-06, BRD-09.</t>
        </is>
      </c>
    </row>
    <row r="83">
      <c r="A83" s="12" t="inlineStr">
        <is>
          <t>XQ05</t>
        </is>
      </c>
      <c r="B83" s="12" t="inlineStr">
        <is>
          <t>BRD-00 Core Replacement and cross-cutting points</t>
        </is>
      </c>
      <c r="C83" s="12" t="inlineStr">
        <is>
          <t>Report layout</t>
        </is>
      </c>
      <c r="D83" s="12" t="inlineStr">
        <is>
          <t>What is a "claims report" (BRCSF-009): Which claim documents does the contact centre retrieve, and should claim documents use the platform document type list or bcl document type? (CLQ26, CSQ07) Background: Claims keeps its own document-type LOV (bcl document type: PLA, CRF, estimate, offer, LOA, release papers...); CSF expects claim report</t>
        </is>
      </c>
      <c r="E83" s="12" t="inlineStr">
        <is>
          <t>Open point of the FRS (FR-CSF-033): the requirement cannot be finalised or tested as BDOI intends until it is answered.</t>
        </is>
      </c>
      <c r="F83" s="12" t="n"/>
      <c r="G83" s="12" t="inlineStr">
        <is>
          <t>FRS BRD-09 v1.1, Open questions XQ05 (affects FR-CSF-033); Discrepancy and clarification register v1.2, open question XQ05; baseline Cross-BRD decisions section 5; also raised as CLQ26 (open question)</t>
        </is>
      </c>
      <c r="H83" s="12" t="inlineStr">
        <is>
          <t>BIBS Product Owner with the Program Manager, Business Project Services</t>
        </is>
      </c>
      <c r="I83" s="37" t="n">
        <v>46356</v>
      </c>
      <c r="J83" s="12" t="inlineStr">
        <is>
          <t>Medium</t>
        </is>
      </c>
      <c r="K83" s="38" t="inlineStr">
        <is>
          <t>Open</t>
        </is>
      </c>
      <c r="L83" s="12" t="n"/>
      <c r="M83" s="12" t="n"/>
    </row>
    <row r="84">
      <c r="A84" s="12" t="inlineStr">
        <is>
          <t>IQ02</t>
        </is>
      </c>
      <c r="B84" s="12" t="inlineStr">
        <is>
          <t>BRD-00 Core Replacement and cross-cutting points</t>
        </is>
      </c>
      <c r="C84" s="12" t="inlineStr">
        <is>
          <t>Configuration value</t>
        </is>
      </c>
      <c r="D84" s="12" t="inlineStr">
        <is>
          <t>Renewals around cut-over: (Priority 2) With the early renewal release withdrawn, please confirm that (a) legacy extracts, disposes, places and books all renewals up to T, (b) the RMEL cohorts expiring from T to T+140 days are carried forward into BIBS with their disposition (object P03), and (c) renewals expiring between the freeze and T are placed in legacy before the freeze or covered by hold covers.</t>
        </is>
      </c>
      <c r="E84" s="12" t="inlineStr">
        <is>
          <t>Open point of the FRS: the requirement cannot be finalised or tested as BDOI intends until it is answered.</t>
        </is>
      </c>
      <c r="F84" s="12" t="inlineStr">
        <is>
          <t>The paper is recorded as superseded as an operating model; its capabilities stay in scope for January 2028.</t>
        </is>
      </c>
      <c r="G84" s="12" t="inlineStr">
        <is>
          <t>Discrepancy and clarification register v1.2, open question IQ02; baseline Concept paper (superseded); answer A1; DMQ26; also raised as DCR-218 (register item), DCR-220 (register item)</t>
        </is>
      </c>
      <c r="H84" s="12" t="inlineStr">
        <is>
          <t>Marketing and Processing - Renewal (RMEL)</t>
        </is>
      </c>
      <c r="I84" s="37" t="n">
        <v>46356</v>
      </c>
      <c r="J84" s="12" t="inlineStr">
        <is>
          <t>Medium</t>
        </is>
      </c>
      <c r="K84" s="38" t="inlineStr">
        <is>
          <t>Answered</t>
        </is>
      </c>
      <c r="L84" s="12" t="n"/>
      <c r="M84" s="12" t="inlineStr">
        <is>
          <t>Answer so far: January-May 2028 expiries are processed in BIBS after go-live (go-live extraction to 31-May-2028, January expiries urgent); no carry-forward of legacy cohorts. (BDOI answer 26-Sep-2026 (DMQ37)); BDOI answer of 26-Sep-2026: every module goes live together in January 2028; there is no early go-live.; BDOI answer of 26-Sep-2026 (DMQ37): renewals expiring January to May 2028 are processed in BIBS after go-live; no renewal candidates are carried from legacy. At go-live BIBS extracts every expiry from go-live to 31-May-2028 into the renewal pipeline, prioritis. Also affects BRD-06, BRD-13.</t>
        </is>
      </c>
    </row>
    <row r="85">
      <c r="A85" s="12" t="inlineStr">
        <is>
          <t>IQ21</t>
        </is>
      </c>
      <c r="B85" s="12" t="inlineStr">
        <is>
          <t>BRD-00 Core Replacement and cross-cutting points</t>
        </is>
      </c>
      <c r="C85" s="12" t="inlineStr">
        <is>
          <t>Clarification</t>
        </is>
      </c>
      <c r="D85" s="12" t="inlineStr">
        <is>
          <t>Marketing Collection (extraction): (Priority 2) What is "Marketing Collection (extraction)" in Drop 2? BRD-4 Collections is a BIBS module fed by the Operations ledger; is a separate Collection Management System kept, with an extraction from BIBS?</t>
        </is>
      </c>
      <c r="E85" s="12" t="inlineStr">
        <is>
          <t>Open point of the FRS: the requirement cannot be finalised or tested as BDOI intends until it is answered.</t>
        </is>
      </c>
      <c r="F85" s="12" t="inlineStr">
        <is>
          <t>BRD-4 in BIBS replaces the Collection Management System; the item means the Collections daily files; BRD-4 tested in Drop 2 except the DP rows (Drop 1).</t>
        </is>
      </c>
      <c r="G85" s="12" t="inlineStr">
        <is>
          <t>Discrepancy and clarification register v1.2, open question IQ21; baseline Drop plan 2.1; BRD-4; also raised as DCR-212 (register item)</t>
        </is>
      </c>
      <c r="H85" s="12" t="inlineStr">
        <is>
          <t>Operations - Collections (Head of BDOI Operations)</t>
        </is>
      </c>
      <c r="I85" s="37" t="n">
        <v>46356</v>
      </c>
      <c r="J85" s="12" t="inlineStr">
        <is>
          <t>Medium</t>
        </is>
      </c>
      <c r="K85" s="38" t="inlineStr">
        <is>
          <t>Open</t>
        </is>
      </c>
      <c r="L85" s="12" t="n"/>
      <c r="M85" s="12" t="inlineStr">
        <is>
          <t>Also affects BRD-02, BRD-04.</t>
        </is>
      </c>
    </row>
    <row r="86">
      <c r="A86" s="12" t="inlineStr">
        <is>
          <t>IQ23</t>
        </is>
      </c>
      <c r="B86" s="12" t="inlineStr">
        <is>
          <t>BRD-00 Core Replacement and cross-cutting points</t>
        </is>
      </c>
      <c r="C86" s="12" t="inlineStr">
        <is>
          <t>Clarification</t>
        </is>
      </c>
      <c r="D86" s="12" t="inlineStr">
        <is>
          <t>Unplaced BRDs: (Priority 2) In which drop are BRD-10 Sanction Screening (we propose Drop 1 with Client Onboarding) and the CSF service-request functions (we propose Drop 2)?</t>
        </is>
      </c>
      <c r="E86" s="12" t="inlineStr">
        <is>
          <t>Open point of the FRS: the requirement cannot be finalised or tested as BDOI intends until it is answered.</t>
        </is>
      </c>
      <c r="F86" s="12" t="inlineStr">
        <is>
          <t>BRD-10 in Drop 1 with Client Onboarding (screening at onboarding); CSF service requests in Drop 2.</t>
        </is>
      </c>
      <c r="G86" s="12" t="inlineStr">
        <is>
          <t>Discrepancy and clarification register v1.2, open question IQ23; baseline Drop plan; also raised as DCR-213 (register item)</t>
        </is>
      </c>
      <c r="H86" s="12" t="inlineStr">
        <is>
          <t>BIBS Product Owner, with the owners of the BRDs involved</t>
        </is>
      </c>
      <c r="I86" s="37" t="n">
        <v>46356</v>
      </c>
      <c r="J86" s="12" t="inlineStr">
        <is>
          <t>Medium</t>
        </is>
      </c>
      <c r="K86" s="38" t="inlineStr">
        <is>
          <t>Open</t>
        </is>
      </c>
      <c r="L86" s="12" t="n"/>
      <c r="M86" s="12" t="inlineStr">
        <is>
          <t>Also affects BRD-09, BRD-10.</t>
        </is>
      </c>
    </row>
    <row r="87">
      <c r="A87" s="12" t="inlineStr">
        <is>
          <t>IQ28</t>
        </is>
      </c>
      <c r="B87" s="12" t="inlineStr">
        <is>
          <t>BRD-00 Core Replacement and cross-cutting points</t>
        </is>
      </c>
      <c r="C87" s="12" t="inlineStr">
        <is>
          <t>Clarification</t>
        </is>
      </c>
      <c r="D87" s="12" t="inlineStr">
        <is>
          <t>VDI and access: (Priority 2) Does "access restricted to personnel in the Philippines" apply to DEV and SIT with masked data? Which vendor staff need VDI? Software list: Temurin 21, Maven 3.9, Node 22 (not JDK 17, Node 20, Angular).</t>
        </is>
      </c>
      <c r="E87" s="12" t="inlineStr">
        <is>
          <t>Open point of the FRS: the requirement cannot be finalised or tested as BDOI intends until it is answered.</t>
        </is>
      </c>
      <c r="F87" s="12" t="inlineStr">
        <is>
          <t>Production and UAT only from the Philippines; DEV and SIT with masked data reachable by named vendor staff through VDI.</t>
        </is>
      </c>
      <c r="G87" s="12" t="inlineStr">
        <is>
          <t>Discrepancy and clarification register v1.2, open question IQ28; baseline IER VDI Requirements; hosting appendix; also raised as DCR-231 (register item)</t>
        </is>
      </c>
      <c r="H87" s="12" t="inlineStr">
        <is>
          <t>BDO Cloud and Digital Operations Engineering with Compliance</t>
        </is>
      </c>
      <c r="I87" s="37" t="n">
        <v>46356</v>
      </c>
      <c r="J87" s="12" t="inlineStr">
        <is>
          <t>Medium</t>
        </is>
      </c>
      <c r="K87" s="38" t="inlineStr">
        <is>
          <t>Open</t>
        </is>
      </c>
      <c r="L87" s="12" t="n"/>
      <c r="M87" s="12" t="n"/>
    </row>
    <row r="88">
      <c r="A88" s="12" t="inlineStr">
        <is>
          <t>IQ29</t>
        </is>
      </c>
      <c r="B88" s="12" t="inlineStr">
        <is>
          <t>BRD-00 Core Replacement and cross-cutting points</t>
        </is>
      </c>
      <c r="C88" s="12" t="inlineStr">
        <is>
          <t>Clarification</t>
        </is>
      </c>
      <c r="D88" s="12" t="inlineStr">
        <is>
          <t>CI / CD toolchain: (Priority 2) Which toolchain applies: GitLab (HW sheet), a second CI toolchain named in the IER (infra diagram) or ArgoCD + Helm (diagram)? Container registry, image base (RHEL UBI or Alpine), SonarQube instance.</t>
        </is>
      </c>
      <c r="E88" s="12" t="inlineStr">
        <is>
          <t>Open point of the FRS: the requirement cannot be finalised or tested as BDOI intends until it is answered.</t>
        </is>
      </c>
      <c r="F88" s="12" t="n"/>
      <c r="G88" s="12" t="inlineStr">
        <is>
          <t>Discrepancy and clarification register v1.2, open question IQ29; baseline IER sheets</t>
        </is>
      </c>
      <c r="H88" s="12" t="inlineStr">
        <is>
          <t>BIBS Product Owner with the Program Manager, Business Project Services</t>
        </is>
      </c>
      <c r="I88" s="37" t="n">
        <v>46356</v>
      </c>
      <c r="J88" s="12" t="inlineStr">
        <is>
          <t>Medium</t>
        </is>
      </c>
      <c r="K88" s="38" t="inlineStr">
        <is>
          <t>Open</t>
        </is>
      </c>
      <c r="L88" s="12" t="n"/>
      <c r="M88" s="12" t="n"/>
    </row>
    <row r="89">
      <c r="A89" s="12" t="inlineStr">
        <is>
          <t>IQ32</t>
        </is>
      </c>
      <c r="B89" s="12" t="inlineStr">
        <is>
          <t>BRD-00 Core Replacement and cross-cutting points</t>
        </is>
      </c>
      <c r="C89" s="12" t="inlineStr">
        <is>
          <t>Clarification</t>
        </is>
      </c>
      <c r="D89" s="12" t="inlineStr">
        <is>
          <t>Sizing basis: (Priority 2) Which user figures size the platform: 1,200 internal users (IER diagram) or 1,344 named / 429 concurrent (umbrella BRD p.42)? Transactions per second per year (IER K8s guideline 3).</t>
        </is>
      </c>
      <c r="E89" s="12" t="inlineStr">
        <is>
          <t>Open point of the FRS: the requirement cannot be finalised or tested as BDOI intends until it is answered.</t>
        </is>
      </c>
      <c r="F89" s="12" t="n"/>
      <c r="G89" s="12" t="inlineStr">
        <is>
          <t>Discrepancy and clarification register v1.2, open question IQ32; baseline IER; DCR-166</t>
        </is>
      </c>
      <c r="H89" s="12" t="inlineStr">
        <is>
          <t>BIBS Product Owner with the Program Manager, Business Project Services</t>
        </is>
      </c>
      <c r="I89" s="37" t="n">
        <v>46356</v>
      </c>
      <c r="J89" s="12" t="inlineStr">
        <is>
          <t>Medium</t>
        </is>
      </c>
      <c r="K89" s="38" t="inlineStr">
        <is>
          <t>Open</t>
        </is>
      </c>
      <c r="L89" s="12" t="n"/>
      <c r="M89" s="12" t="n"/>
    </row>
    <row r="90">
      <c r="A90" s="12" t="inlineStr">
        <is>
          <t>IQ34</t>
        </is>
      </c>
      <c r="B90" s="12" t="inlineStr">
        <is>
          <t>BRD-00 Core Replacement and cross-cutting points</t>
        </is>
      </c>
      <c r="C90" s="12" t="inlineStr">
        <is>
          <t>Business rule confirmation</t>
        </is>
      </c>
      <c r="D90" s="12" t="inlineStr">
        <is>
          <t>ElastiCache mode: (Priority 3) Please confirm cluster mode disabled (one shard, Multi-AZ replica) for Pre-Prod and PROD; "cluster" in the HW sheet would need a code change.</t>
        </is>
      </c>
      <c r="E90" s="12" t="inlineStr">
        <is>
          <t>Open point of the FRS: the requirement cannot be finalised or tested as BDOI intends until it is answered.</t>
        </is>
      </c>
      <c r="F90" s="12" t="inlineStr">
        <is>
          <t>ElastiCache for Valkey 8 (in place of Redis 7, client decision of 08-Oct-2026), cluster mode disabled, Multi-AZ replica.</t>
        </is>
      </c>
      <c r="G90" s="12" t="inlineStr">
        <is>
          <t>Discrepancy and clarification register v1.2, open question IQ34; baseline IER HW &amp; SW Requirements; also raised as DCR-228 (register item)</t>
        </is>
      </c>
      <c r="H90" s="12" t="inlineStr">
        <is>
          <t>BDO Cloud and Digital Operations Engineering</t>
        </is>
      </c>
      <c r="I90" s="37" t="n">
        <v>46356</v>
      </c>
      <c r="J90" s="12" t="inlineStr">
        <is>
          <t>Medium</t>
        </is>
      </c>
      <c r="K90" s="38" t="inlineStr">
        <is>
          <t>Open</t>
        </is>
      </c>
      <c r="L90" s="12" t="n"/>
      <c r="M90" s="12" t="n"/>
    </row>
    <row r="91">
      <c r="A91" s="12" t="inlineStr">
        <is>
          <t>DSQ01</t>
        </is>
      </c>
      <c r="B91" s="12" t="inlineStr">
        <is>
          <t>BRD-00 Core Replacement and cross-cutting points</t>
        </is>
      </c>
      <c r="C91" s="12" t="inlineStr">
        <is>
          <t>Decision</t>
        </is>
      </c>
      <c r="D91" s="12" t="inlineStr">
        <is>
          <t>Document storage (S3): Which DR region is approved for the cross-border basis (the IER workbook plans a cross-region replica)?</t>
        </is>
      </c>
      <c r="E91" s="12" t="inlineStr">
        <is>
          <t>Open point of the FRS: the requirement cannot be finalised or tested as BDOI intends until it is answered.</t>
        </is>
      </c>
      <c r="F91" s="12" t="n"/>
      <c r="G91" s="12" t="inlineStr">
        <is>
          <t>Discrepancy and clarification register v1.2, open question DSQ01; baseline Document storage proposal Open points for BDOI IT</t>
        </is>
      </c>
      <c r="H91" s="12" t="inlineStr">
        <is>
          <t>BIBS Product Owner with the Program Manager, Business Project Services</t>
        </is>
      </c>
      <c r="I91" s="37" t="n">
        <v>46356</v>
      </c>
      <c r="J91" s="12" t="inlineStr">
        <is>
          <t>Medium</t>
        </is>
      </c>
      <c r="K91" s="38" t="inlineStr">
        <is>
          <t>Open</t>
        </is>
      </c>
      <c r="L91" s="12" t="n"/>
      <c r="M91" s="12" t="n"/>
    </row>
    <row r="92">
      <c r="A92" s="12" t="inlineStr">
        <is>
          <t>DSQ03</t>
        </is>
      </c>
      <c r="B92" s="12" t="inlineStr">
        <is>
          <t>BRD-00 Core Replacement and cross-cutting points</t>
        </is>
      </c>
      <c r="C92" s="12" t="inlineStr">
        <is>
          <t>Clarification</t>
        </is>
      </c>
      <c r="D92" s="12" t="inlineStr">
        <is>
          <t>Document storage (S3): The DOA roles allowed to place and release legal holds and to authorise a governance bypass</t>
        </is>
      </c>
      <c r="E92" s="12" t="inlineStr">
        <is>
          <t>Open point of the FRS: the requirement cannot be finalised or tested as BDOI intends until it is answered.</t>
        </is>
      </c>
      <c r="F92" s="12" t="n"/>
      <c r="G92" s="12" t="inlineStr">
        <is>
          <t>Discrepancy and clarification register v1.2, open question DSQ03; baseline Document storage proposal Open points for BDOI IT</t>
        </is>
      </c>
      <c r="H92" s="12" t="inlineStr">
        <is>
          <t>BIBS Product Owner with the Program Manager, Business Project Services</t>
        </is>
      </c>
      <c r="I92" s="37" t="n">
        <v>46356</v>
      </c>
      <c r="J92" s="12" t="inlineStr">
        <is>
          <t>Medium</t>
        </is>
      </c>
      <c r="K92" s="38" t="inlineStr">
        <is>
          <t>Open</t>
        </is>
      </c>
      <c r="L92" s="12" t="n"/>
      <c r="M92" s="12" t="n"/>
    </row>
    <row r="93">
      <c r="A93" s="12" t="inlineStr">
        <is>
          <t>DSQ04</t>
        </is>
      </c>
      <c r="B93" s="12" t="inlineStr">
        <is>
          <t>BRD-00 Core Replacement and cross-cutting points</t>
        </is>
      </c>
      <c r="C93" s="12" t="inlineStr">
        <is>
          <t>Clarification</t>
        </is>
      </c>
      <c r="D93" s="12" t="inlineStr">
        <is>
          <t>Document storage (S3): Key policy details: key administrators, rotation period, and whether imported key material is required</t>
        </is>
      </c>
      <c r="E93" s="12" t="inlineStr">
        <is>
          <t>Open point of the FRS: the requirement cannot be finalised or tested as BDOI intends until it is answered.</t>
        </is>
      </c>
      <c r="F93" s="12" t="n"/>
      <c r="G93" s="12" t="inlineStr">
        <is>
          <t>Discrepancy and clarification register v1.2, open question DSQ04; baseline Document storage proposal Open points for BDOI IT</t>
        </is>
      </c>
      <c r="H93" s="12" t="inlineStr">
        <is>
          <t>BIBS Product Owner with the Program Manager, Business Project Services</t>
        </is>
      </c>
      <c r="I93" s="37" t="n">
        <v>46356</v>
      </c>
      <c r="J93" s="12" t="inlineStr">
        <is>
          <t>Medium</t>
        </is>
      </c>
      <c r="K93" s="38" t="inlineStr">
        <is>
          <t>Open</t>
        </is>
      </c>
      <c r="L93" s="12" t="n"/>
      <c r="M93" s="12" t="n"/>
    </row>
    <row r="94">
      <c r="A94" s="12" t="inlineStr">
        <is>
          <t>XQ06</t>
        </is>
      </c>
      <c r="B94" s="12" t="inlineStr">
        <is>
          <t>BRD-00 Core Replacement and cross-cutting points</t>
        </is>
      </c>
      <c r="C94" s="12" t="inlineStr">
        <is>
          <t>Report layout</t>
        </is>
      </c>
      <c r="D94" s="12" t="inlineStr">
        <is>
          <t>Renewal persistency report: Layout and definition of the general Renewal Persistency Report Background: Report List #135: SP proposes SBM-PERSISTENCY for submitted accounts and says the general report belongs to Renewal; the Renewal FRS has no persistency report</t>
        </is>
      </c>
      <c r="E94" s="12" t="inlineStr">
        <is>
          <t>Open point of the FRS: the requirement cannot be finalised or tested as BDOI intends until it is answered.</t>
        </is>
      </c>
      <c r="F94" s="12" t="inlineStr">
        <is>
          <t>General persistency report in Renewal over closed renewal candidates.</t>
        </is>
      </c>
      <c r="G94" s="12" t="inlineStr">
        <is>
          <t>Discrepancy and clarification register v1.2, open question XQ06; baseline Cross-BRD decisions section 5; also raised as DCR-149 (register item)</t>
        </is>
      </c>
      <c r="H94" s="12" t="inlineStr">
        <is>
          <t>Marketing and Processing - Renewal (RMEL)</t>
        </is>
      </c>
      <c r="I94" s="37" t="n">
        <v>46356</v>
      </c>
      <c r="J94" s="12" t="inlineStr">
        <is>
          <t>Medium</t>
        </is>
      </c>
      <c r="K94" s="38" t="inlineStr">
        <is>
          <t>Open</t>
        </is>
      </c>
      <c r="L94" s="12" t="n"/>
      <c r="M94" s="12" t="inlineStr">
        <is>
          <t>Also affects BRD-06, BRD-12.</t>
        </is>
      </c>
    </row>
    <row r="95">
      <c r="A95" s="12" t="inlineStr">
        <is>
          <t>XQ07</t>
        </is>
      </c>
      <c r="B95" s="12" t="inlineStr">
        <is>
          <t>BRD-00 Core Replacement and cross-cutting points</t>
        </is>
      </c>
      <c r="C95" s="12" t="inlineStr">
        <is>
          <t>Configuration value</t>
        </is>
      </c>
      <c r="D95" s="12" t="inlineStr">
        <is>
          <t>Question-ID collision: Rename one series (e.g. SANC to SNQ) or always cite with the BRD prefix? Background: SP SQ01-SQ25 and SANC SQ01-SQ20 share the prefix</t>
        </is>
      </c>
      <c r="E95" s="12" t="inlineStr">
        <is>
          <t>Open point of the FRS: the requirement cannot be finalised or tested as BDOI intends until it is answered.</t>
        </is>
      </c>
      <c r="F95" s="12" t="n"/>
      <c r="G95" s="12" t="inlineStr">
        <is>
          <t>Discrepancy and clarification register v1.2, open question XQ07; baseline Cross-BRD decisions section 5</t>
        </is>
      </c>
      <c r="H95" s="12" t="inlineStr">
        <is>
          <t>BIBS Product Owner with the Program Manager, Business Project Services</t>
        </is>
      </c>
      <c r="I95" s="37" t="n">
        <v>46356</v>
      </c>
      <c r="J95" s="12" t="inlineStr">
        <is>
          <t>Medium</t>
        </is>
      </c>
      <c r="K95" s="38" t="inlineStr">
        <is>
          <t>Open</t>
        </is>
      </c>
      <c r="L95" s="12" t="n"/>
      <c r="M95" s="12" t="n"/>
    </row>
    <row r="96">
      <c r="A96" s="12" t="inlineStr">
        <is>
          <t>XQ09</t>
        </is>
      </c>
      <c r="B96" s="12" t="inlineStr">
        <is>
          <t>BRD-00 Core Replacement and cross-cutting points</t>
        </is>
      </c>
      <c r="C96" s="12" t="inlineStr">
        <is>
          <t>Report layout</t>
        </is>
      </c>
      <c r="D96" s="12" t="inlineStr">
        <is>
          <t>Late renewal requests report: Is it still needed, and is it a Renewal listing variant? (RQ29) Background: (BRNB.018, Q09). Neither the RN BRD nor the Report List (#182 is a package report) defines it</t>
        </is>
      </c>
      <c r="E96" s="12" t="inlineStr">
        <is>
          <t>Open point of the FRS: the requirement cannot be finalised or tested as BDOI intends until it is answered.</t>
        </is>
      </c>
      <c r="F96" s="12" t="inlineStr">
        <is>
          <t>Provide it in Renewal as a variant of the renewal listing (renewals booked after expiry).</t>
        </is>
      </c>
      <c r="G96" s="12" t="inlineStr">
        <is>
          <t>Discrepancy and clarification register v1.2, open question XQ09; baseline Cross-BRD decisions section 5; also raised as DCR-009 (register item)</t>
        </is>
      </c>
      <c r="H96" s="12" t="inlineStr">
        <is>
          <t>Marketing and Processing - Renewal (RMEL)</t>
        </is>
      </c>
      <c r="I96" s="37" t="n">
        <v>46356</v>
      </c>
      <c r="J96" s="12" t="inlineStr">
        <is>
          <t>Medium</t>
        </is>
      </c>
      <c r="K96" s="38" t="inlineStr">
        <is>
          <t>Open</t>
        </is>
      </c>
      <c r="L96" s="12" t="n"/>
      <c r="M96" s="12" t="inlineStr">
        <is>
          <t>Also affects BRD-01, BRD-06, BRD-12.</t>
        </is>
      </c>
    </row>
    <row r="97">
      <c r="A97" s="12" t="inlineStr">
        <is>
          <t>XQ10</t>
        </is>
      </c>
      <c r="B97" s="12" t="inlineStr">
        <is>
          <t>BRD-00 Core Replacement and cross-cutting points</t>
        </is>
      </c>
      <c r="C97" s="12" t="inlineStr">
        <is>
          <t>Decision</t>
        </is>
      </c>
      <c r="D97" s="12" t="inlineStr">
        <is>
          <t>Total-loss indicator: Should Claims record a total-loss indicator (settlement type, loss nature or flag)? Background: (CLQ28, RQ13)</t>
        </is>
      </c>
      <c r="E97" s="12" t="inlineStr">
        <is>
          <t>Open point of the FRS: the requirement cannot be finalised or tested as BDOI intends until it is answered.</t>
        </is>
      </c>
      <c r="F97" s="12" t="inlineStr">
        <is>
          <t>Renewal reads claim experience from Claims; "Total Loss Claim" stays a manual reason until Claims records an indicator.</t>
        </is>
      </c>
      <c r="G97" s="12" t="inlineStr">
        <is>
          <t>Discrepancy and clarification register v1.2, open question XQ10; baseline Cross-BRD decisions section 5; also raised as DCR-150 (register item)</t>
        </is>
      </c>
      <c r="H97" s="12" t="inlineStr">
        <is>
          <t>BIBS Product Owner, with the owners of the BRDs involved</t>
        </is>
      </c>
      <c r="I97" s="37" t="n">
        <v>46356</v>
      </c>
      <c r="J97" s="12" t="inlineStr">
        <is>
          <t>Medium</t>
        </is>
      </c>
      <c r="K97" s="38" t="inlineStr">
        <is>
          <t>Open</t>
        </is>
      </c>
      <c r="L97" s="12" t="n"/>
      <c r="M97" s="12" t="inlineStr">
        <is>
          <t>Also affects BRD-06, BRD-07.</t>
        </is>
      </c>
    </row>
    <row r="98">
      <c r="A98" s="12" t="inlineStr">
        <is>
          <t>XQ13</t>
        </is>
      </c>
      <c r="B98" s="12" t="inlineStr">
        <is>
          <t>BRD-00 Core Replacement and cross-cutting points</t>
        </is>
      </c>
      <c r="C98" s="12" t="inlineStr">
        <is>
          <t>Decision</t>
        </is>
      </c>
      <c r="D98" s="12" t="inlineStr">
        <is>
          <t>Claims cheque custody: Does BDOI hold settlement cheques, which unit keeps them, and what is recorded at hand-over and release? (CRQ03, CLQ10) Background: (Core CF-02). The umbrella asks for safekeeping of unclaimed cheques and hand-over to and retrieval from Cashiering (BR-146 to BR-148, p.21); BRD-7 has no claim money through BDOI</t>
        </is>
      </c>
      <c r="E98" s="12" t="inlineStr">
        <is>
          <t>Open point of the FRS: the requirement cannot be finalised or tested as BDOI intends until it is answered.</t>
        </is>
      </c>
      <c r="F98" s="12" t="n"/>
      <c r="G98" s="12" t="inlineStr">
        <is>
          <t>Discrepancy and clarification register v1.2, open question XQ13; baseline Cross-BRD decisions section 5</t>
        </is>
      </c>
      <c r="H98" s="12" t="inlineStr">
        <is>
          <t>BIBS Product Owner with the Program Manager, Business Project Services</t>
        </is>
      </c>
      <c r="I98" s="37" t="n">
        <v>46356</v>
      </c>
      <c r="J98" s="12" t="inlineStr">
        <is>
          <t>Medium</t>
        </is>
      </c>
      <c r="K98" s="38" t="inlineStr">
        <is>
          <t>Open</t>
        </is>
      </c>
      <c r="L98" s="12" t="n"/>
      <c r="M98" s="12" t="n"/>
    </row>
    <row r="99">
      <c r="A99" s="12" t="inlineStr">
        <is>
          <t>DCR-130</t>
        </is>
      </c>
      <c r="B99" s="12" t="inlineStr">
        <is>
          <t>BRD-00 Core Replacement and cross-cutting points</t>
        </is>
      </c>
      <c r="C99" s="12" t="inlineStr">
        <is>
          <t>Decision</t>
        </is>
      </c>
      <c r="D99" s="12" t="inlineStr">
        <is>
          <t>Note the proposed handling (no answer needed unless BDOI disagrees): Rows marked DROPPED; not in scope.</t>
        </is>
      </c>
      <c r="E99" s="12" t="inlineStr">
        <is>
          <t>#73 and #168 carry "DELETE - Same as Policy Transmittal Report / Report on... e-Policies"; #69 "BU confirmed that they do not need this report anymore". System: three reports dropped.</t>
        </is>
      </c>
      <c r="F99" s="12" t="inlineStr">
        <is>
          <t>Rows marked DROPPED; not in scope.</t>
        </is>
      </c>
      <c r="G99" s="12" t="inlineStr">
        <is>
          <t>Discrepancy and clarification register v1.2, DCR-130 (Document quality); Report List #69 (p.24), #73 (p.25), #168 (p.54)</t>
        </is>
      </c>
      <c r="H99" s="12" t="inlineStr">
        <is>
          <t>Report SMEs named in the Report List</t>
        </is>
      </c>
      <c r="I99" s="37" t="n">
        <v>46356</v>
      </c>
      <c r="J99" s="12" t="inlineStr">
        <is>
          <t>Low</t>
        </is>
      </c>
      <c r="K99" s="38" t="inlineStr">
        <is>
          <t>Answered</t>
        </is>
      </c>
      <c r="L99" s="12" t="n"/>
      <c r="M99" s="12" t="inlineStr">
        <is>
          <t>Answer so far: Report List remarks on #69, #73 and #168.</t>
        </is>
      </c>
    </row>
    <row r="100">
      <c r="A100" s="12" t="inlineStr">
        <is>
          <t>DCR-159</t>
        </is>
      </c>
      <c r="B100" s="12" t="inlineStr">
        <is>
          <t>BRD-00 Core Replacement and cross-cutting points</t>
        </is>
      </c>
      <c r="C100" s="12" t="inlineStr">
        <is>
          <t>Business rule confirmation</t>
        </is>
      </c>
      <c r="D100" s="12" t="inlineStr">
        <is>
          <t>Confirm the registered name and the short name (BDOI or BDOIR) for outputs.</t>
        </is>
      </c>
      <c r="E100" s="12" t="inlineStr">
        <is>
          <t>The company name varies: "BDO Insurance Brokers, Inc." (BRD-2 Annex I, BRD-5 Appendix D, BRD-6 approval), "BDO Insurance and Brokerage, Inc." (BRD-5 Appendix C, BRD-11 p.5), "BDO Insurance and Brokers Inc." (BRD-11 p.19), BDOIR (BRD-10), against "BDO Insurance and Reinsurance Brokers, Inc.". Templates and report headers must use the registered name.</t>
        </is>
      </c>
      <c r="F100" s="12" t="inlineStr">
        <is>
          <t>Use "BDO Insurance and Reinsurance Brokers, Inc." on every output.</t>
        </is>
      </c>
      <c r="G100" s="12" t="inlineStr">
        <is>
          <t>Discrepancy and clarification register v1.2, DCR-159 (Document quality); BRD-2 Annex I (p.124); BRD-5 Appendix C (p.149), Appendix D; BRD-11 p.5, p.19; BRD-10 (BDOIR); BRD-6 approval (p.188-189)</t>
        </is>
      </c>
      <c r="H100" s="12" t="inlineStr">
        <is>
          <t>BIBS Product Owner, with the owners of the BRDs involved</t>
        </is>
      </c>
      <c r="I100" s="37" t="n">
        <v>46356</v>
      </c>
      <c r="J100" s="12" t="inlineStr">
        <is>
          <t>Low</t>
        </is>
      </c>
      <c r="K100" s="38" t="inlineStr">
        <is>
          <t>Open</t>
        </is>
      </c>
      <c r="L100" s="12" t="n"/>
      <c r="M100" s="12" t="inlineStr">
        <is>
          <t>Also affects BRD-02, BRD-05, BRD-06, BRD-08, BRD-10, BRD-11.</t>
        </is>
      </c>
    </row>
    <row r="101">
      <c r="A101" s="12" t="inlineStr">
        <is>
          <t>DCR-183</t>
        </is>
      </c>
      <c r="B101" s="12" t="inlineStr">
        <is>
          <t>BRD-00 Core Replacement and cross-cutting points</t>
        </is>
      </c>
      <c r="C101" s="12" t="inlineStr">
        <is>
          <t>Business rule confirmation</t>
        </is>
      </c>
      <c r="D101" s="12" t="inlineStr">
        <is>
          <t>BR-196, 197, 198 repeat BR-184, 185, 186; BR-004 has no priority. Confirm the duplicates can be removed.</t>
        </is>
      </c>
      <c r="E101" s="12" t="inlineStr">
        <is>
          <t>BR-196, 197, 198 repeat BR-184, 185, 186; BR-004 has no priority. None on the system.</t>
        </is>
      </c>
      <c r="F101" s="12" t="inlineStr">
        <is>
          <t>Correct in the next revision.</t>
        </is>
      </c>
      <c r="G101" s="12" t="inlineStr">
        <is>
          <t>Discrepancy and clarification register v1.2, DCR-183 (Data / numbering issue); BR-184-198 (p.23-24); BR-004 (p.13)</t>
        </is>
      </c>
      <c r="H101" s="12" t="inlineStr">
        <is>
          <t>Business Project Services (BRD owner) with the BIBS Product Owner</t>
        </is>
      </c>
      <c r="I101" s="37" t="n">
        <v>46356</v>
      </c>
      <c r="J101" s="12" t="inlineStr">
        <is>
          <t>Low</t>
        </is>
      </c>
      <c r="K101" s="38" t="inlineStr">
        <is>
          <t>Open</t>
        </is>
      </c>
      <c r="L101" s="12" t="n"/>
      <c r="M101" s="12" t="n"/>
    </row>
    <row r="102">
      <c r="A102" s="12" t="inlineStr">
        <is>
          <t>DCR-188</t>
        </is>
      </c>
      <c r="B102" s="12" t="inlineStr">
        <is>
          <t>BRD-00 Core Replacement and cross-cutting points</t>
        </is>
      </c>
      <c r="C102" s="12" t="inlineStr">
        <is>
          <t>Clarification</t>
        </is>
      </c>
      <c r="D102" s="12" t="inlineStr">
        <is>
          <t>Both FRS number requirements FR-CL-nnn; 28 IDs exist in both documents. None (project correction).</t>
        </is>
      </c>
      <c r="E102" s="12" t="inlineStr">
        <is>
          <t>Both FRS number requirements FR-CL-nnn; 28 IDs exist in both documents. Test plans and RTM cannot key on the FR ID alone.</t>
        </is>
      </c>
      <c r="F102" s="12" t="inlineStr">
        <is>
          <t>Renumber Claims to FR-CM-nnn. Applied on 26 September 2026 to the Claims FRS, the Claims test plan (case IDs TC-CM, SC-CM, TD-CM) and the Core Replacement spec and FRS; Collections keeps FR-CL-nnn.</t>
        </is>
      </c>
      <c r="G102" s="12" t="inlineStr">
        <is>
          <t>Discrepancy and clarification register v1.2, DCR-188 (Document quality); FRS BRD-04 and FRS BRD-07 sources</t>
        </is>
      </c>
      <c r="H102" s="12" t="inlineStr">
        <is>
          <t>BIBS Product Owner, with the owners of the BRDs involved</t>
        </is>
      </c>
      <c r="I102" s="37" t="n">
        <v>46356</v>
      </c>
      <c r="J102" s="12" t="inlineStr">
        <is>
          <t>Low</t>
        </is>
      </c>
      <c r="K102" s="38" t="inlineStr">
        <is>
          <t>Open</t>
        </is>
      </c>
      <c r="L102" s="12" t="n"/>
      <c r="M102" s="12" t="inlineStr">
        <is>
          <t>Also affects BRD-04, BRD-07.</t>
        </is>
      </c>
    </row>
    <row r="103">
      <c r="A103" s="12" t="inlineStr">
        <is>
          <t>CFG-075</t>
        </is>
      </c>
      <c r="B103" s="12" t="inlineStr">
        <is>
          <t>BRD-00 Platform set-up</t>
        </is>
      </c>
      <c r="C103" s="12" t="inlineStr">
        <is>
          <t>Configuration value</t>
        </is>
      </c>
      <c r="D103" s="12" t="inlineStr">
        <is>
          <t>Directory sign-in and provisioning (EIAM, UIDM-ISC): The sign-in mode, the EIAM tenant and claims, and the UIDM-ISC option (clarifications CLR-UA-01 and CLR-UA-03)</t>
        </is>
      </c>
      <c r="E103" s="12" t="inlineStr">
        <is>
          <t>Needed for: Drafts with the Drop 0 sign-off (Sign-off of BRD-11 on 1-Dec-2026, the last of the three Drop 0 sets).</t>
        </is>
      </c>
      <c r="F103" s="12" t="inlineStr">
        <is>
          <t>Configured on the screen Setup &amp; Administration › Administration › System Parameters (sheet Configured on screens of the Master Data and Configuration Upload Templates workbook).</t>
        </is>
      </c>
      <c r="G103" s="12" t="inlineStr">
        <is>
          <t>Drop 0 configuration register CFG-075 (Drop 0 Configuration Inputs v2.0, area System and security parameters)</t>
        </is>
      </c>
      <c r="H103" s="12" t="inlineStr">
        <is>
          <t>BDOI IT</t>
        </is>
      </c>
      <c r="I103" s="37" t="n">
        <v>46357</v>
      </c>
      <c r="J103" s="12" t="inlineStr">
        <is>
          <t>High</t>
        </is>
      </c>
      <c r="K103" s="38" t="inlineStr">
        <is>
          <t>Open</t>
        </is>
      </c>
      <c r="L103" s="12" t="n"/>
      <c r="M103" s="12" t="n"/>
    </row>
    <row r="104">
      <c r="A104" s="12" t="inlineStr">
        <is>
          <t>SO-00-1</t>
        </is>
      </c>
      <c r="B104" s="12" t="inlineStr">
        <is>
          <t>BRD-00 Core Replacement and cross-cutting points</t>
        </is>
      </c>
      <c r="C104" s="12" t="inlineStr">
        <is>
          <t>Sign-off</t>
        </is>
      </c>
      <c r="D104" s="12" t="inlineStr">
        <is>
          <t>Approve the Drop 0 closure summary and the configuration inputs at the steering committee.</t>
        </is>
      </c>
      <c r="E104" s="12" t="inlineStr">
        <is>
          <t>The signed document fixes the scope for the next step of the plan; a late sign-off moves the dates that follow it.</t>
        </is>
      </c>
      <c r="F104" s="12" t="n"/>
      <c r="G104" s="12" t="inlineStr">
        <is>
          <t>Project plan v1.0 (8-Oct-2026), sign-offs and milestones</t>
        </is>
      </c>
      <c r="H104" s="12" t="inlineStr">
        <is>
          <t>Steering committee (chair: Program Manager, Business Project Services)</t>
        </is>
      </c>
      <c r="I104" s="37" t="n">
        <v>46365</v>
      </c>
      <c r="J104" s="12" t="inlineStr">
        <is>
          <t>High</t>
        </is>
      </c>
      <c r="K104" s="38" t="inlineStr">
        <is>
          <t>Open</t>
        </is>
      </c>
      <c r="L104" s="12" t="n"/>
      <c r="M104" s="12" t="n"/>
    </row>
    <row r="105">
      <c r="A105" s="12" t="inlineStr">
        <is>
          <t>DEP-06</t>
        </is>
      </c>
      <c r="B105" s="12" t="inlineStr">
        <is>
          <t>BRD-00 Core Replacement and cross-cutting points</t>
        </is>
      </c>
      <c r="C105" s="12" t="inlineStr">
        <is>
          <t>Integration detail</t>
        </is>
      </c>
      <c r="D105" s="12" t="inlineStr">
        <is>
          <t>SIT environment on managed Kubernetes with PostgreSQL 16, Valkey 8, Kafka 3.9, document store and Gateway Interface</t>
        </is>
      </c>
      <c r="E105" s="12" t="inlineStr">
        <is>
          <t>Needed for: Drop 1 SIT. If late: SIT start slips day for day.</t>
        </is>
      </c>
      <c r="F105" s="12" t="n"/>
      <c r="G105" s="12" t="inlineStr">
        <is>
          <t>Project plan v1.0 (8-Oct-2026), dependency DEP-06 (Environment)</t>
        </is>
      </c>
      <c r="H105" s="12" t="inlineStr">
        <is>
          <t>BDOI IT</t>
        </is>
      </c>
      <c r="I105" s="37" t="n">
        <v>46391</v>
      </c>
      <c r="J105" s="12" t="inlineStr">
        <is>
          <t>High</t>
        </is>
      </c>
      <c r="K105" s="38" t="inlineStr">
        <is>
          <t>Open</t>
        </is>
      </c>
      <c r="L105" s="12" t="n"/>
      <c r="M105" s="12" t="n"/>
    </row>
    <row r="106">
      <c r="A106" s="12" t="inlineStr">
        <is>
          <t>IQ13</t>
        </is>
      </c>
      <c r="B106" s="12" t="inlineStr">
        <is>
          <t>BRD-00 Core Replacement and cross-cutting points</t>
        </is>
      </c>
      <c r="C106" s="12" t="inlineStr">
        <is>
          <t>Integration detail</t>
        </is>
      </c>
      <c r="D106" s="12" t="inlineStr">
        <is>
          <t>ECM: (Priority 3) With documents in S3 only, is there any ECM touch-point left (source of legacy documents for the archive, transfer of records at the end of retention)?</t>
        </is>
      </c>
      <c r="E106" s="12" t="inlineStr">
        <is>
          <t>Open point of the FRS: the requirement cannot be finalised or tested as BDOI intends until it is answered.</t>
        </is>
      </c>
      <c r="F106" s="12" t="inlineStr">
        <is>
          <t>Option C of the document storage proposal: S3 for the file content, PostgreSQL metadata, 5-minute signed links after the permission check and audit, four buckets per environment, SSE-KMS, Object Lock governance, cross-region replication.</t>
        </is>
      </c>
      <c r="G106" s="12" t="inlineStr">
        <is>
          <t>Discrepancy and clarification register v1.2, open question IQ13; baseline Answers A2, A4; also raised as DCR-227 (register item)</t>
        </is>
      </c>
      <c r="H106" s="12" t="inlineStr">
        <is>
          <t>BDOI IT with the BIBS Product Owner with BDO Cloud and Digital Operations Engineering</t>
        </is>
      </c>
      <c r="I106" s="37" t="n">
        <v>46418</v>
      </c>
      <c r="J106" s="12" t="inlineStr">
        <is>
          <t>High</t>
        </is>
      </c>
      <c r="K106" s="38" t="inlineStr">
        <is>
          <t>Partly answered</t>
        </is>
      </c>
      <c r="L106" s="12" t="n"/>
      <c r="M106" s="12" t="inlineStr">
        <is>
          <t>Answer so far: BDOI answer of 26-Sep-2026: documents and attachments are stored in an S3 bucket only. Design options still to confirm (IQ31). Also affects BRD-13.</t>
        </is>
      </c>
    </row>
    <row r="107">
      <c r="A107" s="12" t="inlineStr">
        <is>
          <t>IQ15</t>
        </is>
      </c>
      <c r="B107" s="12" t="inlineStr">
        <is>
          <t>BRD-00 Core Replacement and cross-cutting points</t>
        </is>
      </c>
      <c r="C107" s="12" t="inlineStr">
        <is>
          <t>Integration detail</t>
        </is>
      </c>
      <c r="D107" s="12" t="inlineStr">
        <is>
          <t>EDP (SD 11): (Priority 1) What is SD 11? Which BIBS data does EDP ingest, at what frequency and in which format (files to S3, change-data capture, events)? Masking of personal data?</t>
        </is>
      </c>
      <c r="E107" s="12" t="inlineStr">
        <is>
          <t>Open point of the FRS: the requirement cannot be finalised or tested as BDOI intends until it is answered.</t>
        </is>
      </c>
      <c r="F107" s="12" t="inlineStr">
        <is>
          <t>EGL: daily journal extract with a code map to EGL accounts and control totals; EDP: daily extracts to an S3 drop per SD 11. Final once specified.</t>
        </is>
      </c>
      <c r="G107" s="12" t="inlineStr">
        <is>
          <t>Discrepancy and clarification register v1.2, open question IQ15; baseline Drop plan Drop 2; answer A2; also raised as DCR-233 (register item)</t>
        </is>
      </c>
      <c r="H107" s="12" t="inlineStr">
        <is>
          <t>Comptrollership - FRBS, Disbursement and ACSL, with BDOI IT</t>
        </is>
      </c>
      <c r="I107" s="37" t="n">
        <v>46418</v>
      </c>
      <c r="J107" s="12" t="inlineStr">
        <is>
          <t>High</t>
        </is>
      </c>
      <c r="K107" s="38" t="inlineStr">
        <is>
          <t>Open</t>
        </is>
      </c>
      <c r="L107" s="12" t="n"/>
      <c r="M107" s="12" t="inlineStr">
        <is>
          <t>Also affects BRD-05.</t>
        </is>
      </c>
    </row>
    <row r="108">
      <c r="A108" s="12" t="inlineStr">
        <is>
          <t>DEP-07</t>
        </is>
      </c>
      <c r="B108" s="12" t="inlineStr">
        <is>
          <t>BRD-00 Core Replacement and cross-cutting points</t>
        </is>
      </c>
      <c r="C108" s="12" t="inlineStr">
        <is>
          <t>Integration detail</t>
        </is>
      </c>
      <c r="D108" s="12" t="inlineStr">
        <is>
          <t>EIAM sign-in specification (tenant, claims, session life, OIDC or SAML 2.0) and application registration</t>
        </is>
      </c>
      <c r="E108" s="12" t="inlineStr">
        <is>
          <t>Needed for: Directory sign-in in SIT. If late: Sign-in stays local in SIT; directory sign-in tested late.</t>
        </is>
      </c>
      <c r="F108" s="12" t="n"/>
      <c r="G108" s="12" t="inlineStr">
        <is>
          <t>Project plan v1.0 (8-Oct-2026), dependency DEP-07 (Integration)</t>
        </is>
      </c>
      <c r="H108" s="12" t="inlineStr">
        <is>
          <t>BDO IT EIAM team</t>
        </is>
      </c>
      <c r="I108" s="37" t="n">
        <v>46418</v>
      </c>
      <c r="J108" s="12" t="inlineStr">
        <is>
          <t>High</t>
        </is>
      </c>
      <c r="K108" s="38" t="inlineStr">
        <is>
          <t>Open</t>
        </is>
      </c>
      <c r="L108" s="12" t="n"/>
      <c r="M108" s="12" t="n"/>
    </row>
    <row r="109">
      <c r="A109" s="12" t="inlineStr">
        <is>
          <t>DEP-08</t>
        </is>
      </c>
      <c r="B109" s="12" t="inlineStr">
        <is>
          <t>BRD-00 Core Replacement and cross-cutting points</t>
        </is>
      </c>
      <c r="C109" s="12" t="inlineStr">
        <is>
          <t>Integration detail</t>
        </is>
      </c>
      <c r="D109" s="12" t="inlineStr">
        <is>
          <t>UIDM-ISC option (accounts only, accounts and roles, or aggregation only) and SCIM provisioning connector</t>
        </is>
      </c>
      <c r="E109" s="12" t="inlineStr">
        <is>
          <t>Needed for: Provisioning in SIT. If late: User provisioning tested late; manual user loading at go-live.</t>
        </is>
      </c>
      <c r="F109" s="12" t="n"/>
      <c r="G109" s="12" t="inlineStr">
        <is>
          <t>Project plan v1.0 (8-Oct-2026), dependency DEP-08 (Integration)</t>
        </is>
      </c>
      <c r="H109" s="12" t="inlineStr">
        <is>
          <t>BDO IT IGA team</t>
        </is>
      </c>
      <c r="I109" s="37" t="n">
        <v>46418</v>
      </c>
      <c r="J109" s="12" t="inlineStr">
        <is>
          <t>High</t>
        </is>
      </c>
      <c r="K109" s="38" t="inlineStr">
        <is>
          <t>Open</t>
        </is>
      </c>
      <c r="L109" s="12" t="n"/>
      <c r="M109" s="12" t="n"/>
    </row>
    <row r="110">
      <c r="A110" s="12" t="inlineStr">
        <is>
          <t>DEP-10</t>
        </is>
      </c>
      <c r="B110" s="12" t="inlineStr">
        <is>
          <t>BRD-00 Core Replacement and cross-cutting points</t>
        </is>
      </c>
      <c r="C110" s="12" t="inlineStr">
        <is>
          <t>Integration detail</t>
        </is>
      </c>
      <c r="D110" s="12" t="inlineStr">
        <is>
          <t>Drop 2 integration specifications: EGL, EDP (SD 11), CARMS, insurer exchanges</t>
        </is>
      </c>
      <c r="E110" s="12" t="inlineStr">
        <is>
          <t>Needed for: Drop 2 development (Mar-Apr 2027). If late: Drop 2 interfaces descoped or delivered after go-live.</t>
        </is>
      </c>
      <c r="F110" s="12" t="n"/>
      <c r="G110" s="12" t="inlineStr">
        <is>
          <t>Project plan v1.0 (8-Oct-2026), dependency DEP-10 (Integration)</t>
        </is>
      </c>
      <c r="H110" s="12" t="inlineStr">
        <is>
          <t>BDOI IT</t>
        </is>
      </c>
      <c r="I110" s="37" t="n">
        <v>46418</v>
      </c>
      <c r="J110" s="12" t="inlineStr">
        <is>
          <t>High</t>
        </is>
      </c>
      <c r="K110" s="38" t="inlineStr">
        <is>
          <t>Open</t>
        </is>
      </c>
      <c r="L110" s="12" t="n"/>
      <c r="M110" s="12" t="n"/>
    </row>
    <row r="111">
      <c r="A111" s="12" t="inlineStr">
        <is>
          <t>CLR-CR-16</t>
        </is>
      </c>
      <c r="B111" s="12" t="inlineStr">
        <is>
          <t>BRD-00 Core Replacement and cross-cutting points</t>
        </is>
      </c>
      <c r="C111" s="12" t="inlineStr">
        <is>
          <t>Integration detail</t>
        </is>
      </c>
      <c r="D111" s="12" t="inlineStr">
        <is>
          <t>Directory sign-in: Confirm decision D6.</t>
        </is>
      </c>
      <c r="E111" s="12" t="inlineStr">
        <is>
          <t>Cross-BRD decision D6.</t>
        </is>
      </c>
      <c r="F111" s="12" t="inlineStr">
        <is>
          <t>Users sign in with user ID and password; directory sign-in is added when BDO supplies the interface.</t>
        </is>
      </c>
      <c r="G111" s="12" t="inlineStr">
        <is>
          <t>FRS BRD-00 v1.1, Proposed business rules and clarifications; FR-CR-070</t>
        </is>
      </c>
      <c r="H111" s="12" t="inlineStr">
        <is>
          <t>BDOI IT with the BIBS Product Owner with the Program Manager, Business Project Services</t>
        </is>
      </c>
      <c r="I111" s="37" t="n">
        <v>46418</v>
      </c>
      <c r="J111" s="12" t="inlineStr">
        <is>
          <t>Medium</t>
        </is>
      </c>
      <c r="K111" s="38" t="inlineStr">
        <is>
          <t>Open</t>
        </is>
      </c>
      <c r="L111" s="12" t="n"/>
      <c r="M111" s="12" t="n"/>
    </row>
    <row r="112">
      <c r="A112" s="12" t="inlineStr">
        <is>
          <t>IQ09</t>
        </is>
      </c>
      <c r="B112" s="12" t="inlineStr">
        <is>
          <t>BRD-00 Core Replacement and cross-cutting points</t>
        </is>
      </c>
      <c r="C112" s="12" t="inlineStr">
        <is>
          <t>Integration detail</t>
        </is>
      </c>
      <c r="D112" s="12" t="inlineStr">
        <is>
          <t>PMS: (Priority 2) Layout of the daily PDC list from the PDC Management System; does BIBS also send PDC status (deposited, returned, pulled out) back to PMS? Frequency and transport.</t>
        </is>
      </c>
      <c r="E112" s="12" t="inlineStr">
        <is>
          <t>Open point of the FRS (FR-OP-015): the requirement cannot be finalised or tested as BDOI intends until it is answered.</t>
        </is>
      </c>
      <c r="F112" s="12" t="inlineStr">
        <is>
          <t>Layouts configured in the payment-file layout table; CMS / New BOB outward file from Disbursement; automated transfer if BDOI IT offers it.</t>
        </is>
      </c>
      <c r="G112" s="12" t="inlineStr">
        <is>
          <t>FRS BRD-02 v2.1, Open questions IQ09 (affects FR-OP-015); Discrepancy and clarification register v1.2, open question IQ09; baseline Answer A2; OQ03; CSHID.008; also raised as DCR-234 (register item)</t>
        </is>
      </c>
      <c r="H112" s="12" t="inlineStr">
        <is>
          <t>Operations - Financial Transactions and Processing, with Comptrollership and BDOI IT</t>
        </is>
      </c>
      <c r="I112" s="37" t="n">
        <v>46418</v>
      </c>
      <c r="J112" s="12" t="inlineStr">
        <is>
          <t>Medium</t>
        </is>
      </c>
      <c r="K112" s="38" t="inlineStr">
        <is>
          <t>Open</t>
        </is>
      </c>
      <c r="L112" s="12" t="n"/>
      <c r="M112" s="12" t="inlineStr">
        <is>
          <t>Also affects BRD-02, BRD-05.</t>
        </is>
      </c>
    </row>
    <row r="113">
      <c r="A113" s="12" t="inlineStr">
        <is>
          <t>IQ10</t>
        </is>
      </c>
      <c r="B113" s="12" t="inlineStr">
        <is>
          <t>BRD-00 Core Replacement and cross-cutting points</t>
        </is>
      </c>
      <c r="C113" s="12" t="inlineStr">
        <is>
          <t>Integration detail</t>
        </is>
      </c>
      <c r="D113" s="12" t="inlineStr">
        <is>
          <t>Bank channels: (Priority 1) For CMS / New BOB (outward payments), OBPCS (bills payment), Old BOB (SOA funds transfers) and AFTS: file layouts or Interfaces, host-to-host or user upload, cut-off times, status and debit confirmation. What is AFTS used for? Is ICBS out of scope (struck through)?</t>
        </is>
      </c>
      <c r="E113" s="12" t="inlineStr">
        <is>
          <t>Open point of the FRS (FR-OP-015): the requirement cannot be finalised or tested as BDOI intends until it is answered.</t>
        </is>
      </c>
      <c r="F113" s="12" t="inlineStr">
        <is>
          <t>Write "CMS / New BOB" for the bank channel and "Collection Management System" in full; glossary updated.</t>
        </is>
      </c>
      <c r="G113" s="12" t="inlineStr">
        <is>
          <t>FRS BRD-02 v2.1, Open questions IQ10 (affects FR-OP-015); Discrepancy and clarification register v1.2, open question IQ10; baseline Drop plan Drop 0; answer A2; AQ09, OQ03; also raised as DCR-221 (register item)</t>
        </is>
      </c>
      <c r="H113" s="12" t="inlineStr">
        <is>
          <t>BDOI IT with the BIBS Product Owner, with the owners of the BRDs involved</t>
        </is>
      </c>
      <c r="I113" s="37" t="n">
        <v>46418</v>
      </c>
      <c r="J113" s="12" t="inlineStr">
        <is>
          <t>Medium</t>
        </is>
      </c>
      <c r="K113" s="38" t="inlineStr">
        <is>
          <t>Open</t>
        </is>
      </c>
      <c r="L113" s="12" t="n"/>
      <c r="M113" s="12" t="inlineStr">
        <is>
          <t>Also affects BRD-04, BRD-05, BRD-13.</t>
        </is>
      </c>
    </row>
    <row r="114">
      <c r="A114" s="12" t="inlineStr">
        <is>
          <t>IQ14</t>
        </is>
      </c>
      <c r="B114" s="12" t="inlineStr">
        <is>
          <t>BRD-00 Core Replacement and cross-cutting points</t>
        </is>
      </c>
      <c r="C114" s="12" t="inlineStr">
        <is>
          <t>Integration detail</t>
        </is>
      </c>
      <c r="D114" s="12" t="inlineStr">
        <is>
          <t>TFS: (Priority 3) Which client onboarding data comes from TFS, and what is the layout of the Trade payment file uploaded to Cashiering?</t>
        </is>
      </c>
      <c r="E114" s="12" t="inlineStr">
        <is>
          <t>Open point of the FRS (FR-OP-015): the requirement cannot be finalised or tested as BDOI intends until it is answered.</t>
        </is>
      </c>
      <c r="F114" s="12" t="n"/>
      <c r="G114" s="12" t="inlineStr">
        <is>
          <t>FRS BRD-02 v2.1, Open questions IQ14 (affects FR-OP-015); Discrepancy and clarification register v1.2, open question IQ14; baseline Answer A2; CSHID.008</t>
        </is>
      </c>
      <c r="H114" s="12" t="inlineStr">
        <is>
          <t>BDOI IT with the BIBS Product Owner with the Program Manager, Business Project Services</t>
        </is>
      </c>
      <c r="I114" s="37" t="n">
        <v>46418</v>
      </c>
      <c r="J114" s="12" t="inlineStr">
        <is>
          <t>Medium</t>
        </is>
      </c>
      <c r="K114" s="38" t="inlineStr">
        <is>
          <t>Open</t>
        </is>
      </c>
      <c r="L114" s="12" t="n"/>
      <c r="M114" s="12" t="n"/>
    </row>
    <row r="115">
      <c r="A115" s="12" t="inlineStr">
        <is>
          <t>IQ06</t>
        </is>
      </c>
      <c r="B115" s="12" t="inlineStr">
        <is>
          <t>BRD-00 Core Replacement and cross-cutting points</t>
        </is>
      </c>
      <c r="C115" s="12" t="inlineStr">
        <is>
          <t>Integration detail</t>
        </is>
      </c>
      <c r="D115" s="12" t="inlineStr">
        <is>
          <t>LMS: (Priority 2) Which LMS data does BIBS receive (paid-off and RMU loans for renewal, loan snapshot for Submitted Policies, CLPC loan credits), in which layout, how often and by which transport? Is LMS the system behind the LAMD reports?</t>
        </is>
      </c>
      <c r="E115" s="12" t="inlineStr">
        <is>
          <t>Open point of the FRS: the requirement cannot be finalised or tested as BDOI intends until it is answered.</t>
        </is>
      </c>
      <c r="F115" s="12" t="n"/>
      <c r="G115" s="12" t="inlineStr">
        <is>
          <t>Discrepancy and clarification register v1.2, open question IQ06; baseline Answer A2; BRRN.029; SP-SQ06</t>
        </is>
      </c>
      <c r="H115" s="12" t="inlineStr">
        <is>
          <t>BDOI IT with the BIBS Product Owner with the Program Manager, Business Project Services</t>
        </is>
      </c>
      <c r="I115" s="37" t="n">
        <v>46418</v>
      </c>
      <c r="J115" s="12" t="inlineStr">
        <is>
          <t>Medium</t>
        </is>
      </c>
      <c r="K115" s="38" t="inlineStr">
        <is>
          <t>Open</t>
        </is>
      </c>
      <c r="L115" s="12" t="n"/>
      <c r="M115" s="12" t="n"/>
    </row>
    <row r="116">
      <c r="A116" s="12" t="inlineStr">
        <is>
          <t>IQ07</t>
        </is>
      </c>
      <c r="B116" s="12" t="inlineStr">
        <is>
          <t>BRD-00 Core Replacement and cross-cutting points</t>
        </is>
      </c>
      <c r="C116" s="12" t="inlineStr">
        <is>
          <t>Integration detail</t>
        </is>
      </c>
      <c r="D116" s="12" t="inlineStr">
        <is>
          <t>HL-LOAS: (Priority 2) HLS (Drop 0) and LOAS (Drop 2) are one system: is there one interface or two (quotation requests, HLS insurance report, amortised loan data)? Formats, frequency and transport.</t>
        </is>
      </c>
      <c r="E116" s="12" t="inlineStr">
        <is>
          <t>Open point of the FRS: the requirement cannot be finalised or tested as BDOI intends until it is answered.</t>
        </is>
      </c>
      <c r="F116" s="12" t="inlineStr">
        <is>
          <t>One interface specification for HL-LOAS, delivered in Drop 0.</t>
        </is>
      </c>
      <c r="G116" s="12" t="inlineStr">
        <is>
          <t>Discrepancy and clarification register v1.2, open question IQ07; baseline Drop plan; answer A2; Q11; also raised as DCR-216 (register item)</t>
        </is>
      </c>
      <c r="H116" s="12" t="inlineStr">
        <is>
          <t>BDOI IT with the BIBS Product Owner, with the owners of the BRDs involved</t>
        </is>
      </c>
      <c r="I116" s="37" t="n">
        <v>46418</v>
      </c>
      <c r="J116" s="12" t="inlineStr">
        <is>
          <t>Medium</t>
        </is>
      </c>
      <c r="K116" s="38" t="inlineStr">
        <is>
          <t>Open</t>
        </is>
      </c>
      <c r="L116" s="12" t="n"/>
      <c r="M116" s="12" t="inlineStr">
        <is>
          <t>Also affects BRD-01, BRD-12.</t>
        </is>
      </c>
    </row>
    <row r="117">
      <c r="A117" s="12" t="inlineStr">
        <is>
          <t>IQ08</t>
        </is>
      </c>
      <c r="B117" s="12" t="inlineStr">
        <is>
          <t>BRD-00 Core Replacement and cross-cutting points</t>
        </is>
      </c>
      <c r="C117" s="12" t="inlineStr">
        <is>
          <t>Integration detail</t>
        </is>
      </c>
      <c r="D117" s="12" t="inlineStr">
        <is>
          <t>LFS SaaS: (Priority 3) In which drop is the LFS interface, and what is its layout and transport?</t>
        </is>
      </c>
      <c r="E117" s="12" t="inlineStr">
        <is>
          <t>Open point of the FRS: the requirement cannot be finalised or tested as BDOI intends until it is answered.</t>
        </is>
      </c>
      <c r="F117" s="12" t="n"/>
      <c r="G117" s="12" t="inlineStr">
        <is>
          <t>Discrepancy and clarification register v1.2, open question IQ08; baseline Answer A2; BRD-12 p.4-5</t>
        </is>
      </c>
      <c r="H117" s="12" t="inlineStr">
        <is>
          <t>BDOI IT with the BIBS Product Owner with the Program Manager, Business Project Services</t>
        </is>
      </c>
      <c r="I117" s="37" t="n">
        <v>46418</v>
      </c>
      <c r="J117" s="12" t="inlineStr">
        <is>
          <t>Medium</t>
        </is>
      </c>
      <c r="K117" s="38" t="inlineStr">
        <is>
          <t>Open</t>
        </is>
      </c>
      <c r="L117" s="12" t="n"/>
      <c r="M117" s="12" t="n"/>
    </row>
    <row r="118">
      <c r="A118" s="12" t="inlineStr">
        <is>
          <t>IQ12</t>
        </is>
      </c>
      <c r="B118" s="12" t="inlineStr">
        <is>
          <t>BRD-00 Core Replacement and cross-cutting points</t>
        </is>
      </c>
      <c r="C118" s="12" t="inlineStr">
        <is>
          <t>Integration detail</t>
        </is>
      </c>
      <c r="D118" s="12" t="inlineStr">
        <is>
          <t>M365 Exchange: (Priority 3) What does BIBS do with M365 Exchange that CCM does not cover (read the mailboxes of e-mailed quotation requests or insurer replies through Microsoft Graph)?</t>
        </is>
      </c>
      <c r="E118" s="12" t="inlineStr">
        <is>
          <t>Open point of the FRS: the requirement cannot be finalised or tested as BDOI intends until it is answered.</t>
        </is>
      </c>
      <c r="F118" s="12" t="n"/>
      <c r="G118" s="12" t="inlineStr">
        <is>
          <t>Discrepancy and clarification register v1.2, open question IQ12; baseline Answer A2; Q12</t>
        </is>
      </c>
      <c r="H118" s="12" t="inlineStr">
        <is>
          <t>BDOI IT with the BIBS Product Owner with the Program Manager, Business Project Services</t>
        </is>
      </c>
      <c r="I118" s="37" t="n">
        <v>46418</v>
      </c>
      <c r="J118" s="12" t="inlineStr">
        <is>
          <t>Medium</t>
        </is>
      </c>
      <c r="K118" s="38" t="inlineStr">
        <is>
          <t>Open</t>
        </is>
      </c>
      <c r="L118" s="12" t="n"/>
      <c r="M118" s="12" t="n"/>
    </row>
    <row r="119">
      <c r="A119" s="12" t="inlineStr">
        <is>
          <t>IQ16</t>
        </is>
      </c>
      <c r="B119" s="12" t="inlineStr">
        <is>
          <t>BRD-00 Core Replacement and cross-cutting points</t>
        </is>
      </c>
      <c r="C119" s="12" t="inlineStr">
        <is>
          <t>Integration detail</t>
        </is>
      </c>
      <c r="D119" s="12" t="inlineStr">
        <is>
          <t>EGL: (Priority 1) Does EGL take journal detail or balances, daily or monthly? Mapping of the BIBS chart to EGL accounts and segments, currency handling, layout and transport, reconciliation owner; relation to the GARD submission (AQ31).</t>
        </is>
      </c>
      <c r="E119" s="12" t="inlineStr">
        <is>
          <t>Open point of the FRS: the requirement cannot be finalised or tested as BDOI intends until it is answered.</t>
        </is>
      </c>
      <c r="F119" s="12" t="n"/>
      <c r="G119" s="12" t="inlineStr">
        <is>
          <t>Discrepancy and clarification register v1.2, open question IQ16; baseline Drop plan Drop 2; answer A2</t>
        </is>
      </c>
      <c r="H119" s="12" t="inlineStr">
        <is>
          <t>BDOI IT with the BIBS Product Owner with the Program Manager, Business Project Services</t>
        </is>
      </c>
      <c r="I119" s="37" t="n">
        <v>46418</v>
      </c>
      <c r="J119" s="12" t="inlineStr">
        <is>
          <t>Medium</t>
        </is>
      </c>
      <c r="K119" s="38" t="inlineStr">
        <is>
          <t>Open</t>
        </is>
      </c>
      <c r="L119" s="12" t="n"/>
      <c r="M119" s="12" t="n"/>
    </row>
    <row r="120">
      <c r="A120" s="12" t="inlineStr">
        <is>
          <t>IQ17</t>
        </is>
      </c>
      <c r="B120" s="12" t="inlineStr">
        <is>
          <t>BRD-00 Core Replacement and cross-cutting points</t>
        </is>
      </c>
      <c r="C120" s="12" t="inlineStr">
        <is>
          <t>Integration detail</t>
        </is>
      </c>
      <c r="D120" s="12" t="inlineStr">
        <is>
          <t>CARMS: (Priority 2) What is CARMS, and which data flows between it and BIBS in which direction?</t>
        </is>
      </c>
      <c r="E120" s="12" t="inlineStr">
        <is>
          <t>Open point of the FRS: the requirement cannot be finalised or tested as BDOI intends until it is answered.</t>
        </is>
      </c>
      <c r="F120" s="12" t="n"/>
      <c r="G120" s="12" t="inlineStr">
        <is>
          <t>Discrepancy and clarification register v1.2, open question IQ17; baseline Drop plan Drop 2</t>
        </is>
      </c>
      <c r="H120" s="12" t="inlineStr">
        <is>
          <t>BDOI IT with the BIBS Product Owner with the Program Manager, Business Project Services</t>
        </is>
      </c>
      <c r="I120" s="37" t="n">
        <v>46418</v>
      </c>
      <c r="J120" s="12" t="inlineStr">
        <is>
          <t>Medium</t>
        </is>
      </c>
      <c r="K120" s="38" t="inlineStr">
        <is>
          <t>Open</t>
        </is>
      </c>
      <c r="L120" s="12" t="n"/>
      <c r="M120" s="12" t="n"/>
    </row>
    <row r="121">
      <c r="A121" s="12" t="inlineStr">
        <is>
          <t>IQ18</t>
        </is>
      </c>
      <c r="B121" s="12" t="inlineStr">
        <is>
          <t>BRD-00 Core Replacement and cross-cutting points</t>
        </is>
      </c>
      <c r="C121" s="12" t="inlineStr">
        <is>
          <t>Integration detail</t>
        </is>
      </c>
      <c r="D121" s="12" t="inlineStr">
        <is>
          <t>Insurer System: (Priority 2) Which insurers and which exchanges (production feedback, remittance ORs, DP billing responses, renewal responses, SOAs, e-policies, claims) are in scope, and by which channel (Secure file transfer, Interface, e-mail)?</t>
        </is>
      </c>
      <c r="E121" s="12" t="inlineStr">
        <is>
          <t>Open point of the FRS: the requirement cannot be finalised or tested as BDOI intends until it is answered.</t>
        </is>
      </c>
      <c r="F121" s="12" t="n"/>
      <c r="G121" s="12" t="inlineStr">
        <is>
          <t>Discrepancy and clarification register v1.2, open question IQ18; baseline Drop plan Drop 2; Q06, OQ22</t>
        </is>
      </c>
      <c r="H121" s="12" t="inlineStr">
        <is>
          <t>BDOI IT with the BIBS Product Owner with the Program Manager, Business Project Services</t>
        </is>
      </c>
      <c r="I121" s="37" t="n">
        <v>46418</v>
      </c>
      <c r="J121" s="12" t="inlineStr">
        <is>
          <t>Medium</t>
        </is>
      </c>
      <c r="K121" s="38" t="inlineStr">
        <is>
          <t>Open</t>
        </is>
      </c>
      <c r="L121" s="12" t="n"/>
      <c r="M121" s="12" t="n"/>
    </row>
    <row r="122">
      <c r="A122" s="12" t="inlineStr">
        <is>
          <t>IQ19</t>
        </is>
      </c>
      <c r="B122" s="12" t="inlineStr">
        <is>
          <t>BRD-00 Core Replacement and cross-cutting points</t>
        </is>
      </c>
      <c r="C122" s="12" t="inlineStr">
        <is>
          <t>Integration detail</t>
        </is>
      </c>
      <c r="D122" s="12" t="inlineStr">
        <is>
          <t>Bridger Insight XG: (Priority 3) Is Bridger the screening engine (BIBS records its results) or a second check next to BIBS list matching (SNSRP-201, 301)? Is a batch export of clients for Bridger needed?</t>
        </is>
      </c>
      <c r="E122" s="12" t="inlineStr">
        <is>
          <t>Open point of the FRS: the requirement cannot be finalised or tested as BDOI intends until it is answered.</t>
        </is>
      </c>
      <c r="F122" s="12" t="n"/>
      <c r="G122" s="12" t="inlineStr">
        <is>
          <t>Discrepancy and clarification register v1.2, open question IQ19; baseline Drop plan Drop 2; answer A2; SQ01</t>
        </is>
      </c>
      <c r="H122" s="12" t="inlineStr">
        <is>
          <t>BDOI IT with the BIBS Product Owner with the Program Manager, Business Project Services</t>
        </is>
      </c>
      <c r="I122" s="37" t="n">
        <v>46418</v>
      </c>
      <c r="J122" s="12" t="inlineStr">
        <is>
          <t>Medium</t>
        </is>
      </c>
      <c r="K122" s="38" t="inlineStr">
        <is>
          <t>Open</t>
        </is>
      </c>
      <c r="L122" s="12" t="n"/>
      <c r="M122" s="12" t="n"/>
    </row>
    <row r="123">
      <c r="A123" s="12" t="inlineStr">
        <is>
          <t>IQ31</t>
        </is>
      </c>
      <c r="B123" s="12" t="inlineStr">
        <is>
          <t>BRD-00 Core Replacement and cross-cutting points</t>
        </is>
      </c>
      <c r="C123" s="12" t="inlineStr">
        <is>
          <t>Integration detail</t>
        </is>
      </c>
      <c r="D123" s="12" t="inlineStr">
        <is>
          <t>S3 document store: (Priority 1) Please confirm the five decisions of the document storage proposal: option C with 5-minute presigned links (or option B, streaming through BIBS); the malware scanning service; Object Lock mode and the records under legal hold; KMS key ownership and rotation; whether ECM receives copies of any record class. Also the bucket account and the DR region for replication.</t>
        </is>
      </c>
      <c r="E123" s="12" t="inlineStr">
        <is>
          <t>Open point of the FRS: the requirement cannot be finalised or tested as BDOI intends until it is answered.</t>
        </is>
      </c>
      <c r="F123" s="12" t="n"/>
      <c r="G123" s="12" t="inlineStr">
        <is>
          <t>Discrepancy and clarification register v1.2, open question IQ31; baseline Answer A4; Document storage proposal</t>
        </is>
      </c>
      <c r="H123" s="12" t="inlineStr">
        <is>
          <t>BDOI IT with the BIBS Product Owner with the Program Manager, Business Project Services</t>
        </is>
      </c>
      <c r="I123" s="37" t="n">
        <v>46418</v>
      </c>
      <c r="J123" s="12" t="inlineStr">
        <is>
          <t>Medium</t>
        </is>
      </c>
      <c r="K123" s="38" t="inlineStr">
        <is>
          <t>Open</t>
        </is>
      </c>
      <c r="L123" s="12" t="n"/>
      <c r="M123" s="12" t="n"/>
    </row>
    <row r="124">
      <c r="A124" s="12" t="inlineStr">
        <is>
          <t>DSQ02</t>
        </is>
      </c>
      <c r="B124" s="12" t="inlineStr">
        <is>
          <t>BRD-00 Core Replacement and cross-cutting points</t>
        </is>
      </c>
      <c r="C124" s="12" t="inlineStr">
        <is>
          <t>Integration detail</t>
        </is>
      </c>
      <c r="D124" s="12" t="inlineStr">
        <is>
          <t>Document storage (S3): ECM interface specification: Interface, authentication, metadata structure, record classes, acknowledgement and error handling</t>
        </is>
      </c>
      <c r="E124" s="12" t="inlineStr">
        <is>
          <t>Open point of the FRS: the requirement cannot be finalised or tested as BDOI intends until it is answered.</t>
        </is>
      </c>
      <c r="F124" s="12" t="n"/>
      <c r="G124" s="12" t="inlineStr">
        <is>
          <t>Discrepancy and clarification register v1.2, open question DSQ02; baseline Document storage proposal Open points for BDOI IT</t>
        </is>
      </c>
      <c r="H124" s="12" t="inlineStr">
        <is>
          <t>BDOI IT with the BIBS Product Owner with the Program Manager, Business Project Services</t>
        </is>
      </c>
      <c r="I124" s="37" t="n">
        <v>46418</v>
      </c>
      <c r="J124" s="12" t="inlineStr">
        <is>
          <t>Medium</t>
        </is>
      </c>
      <c r="K124" s="38" t="inlineStr">
        <is>
          <t>Open</t>
        </is>
      </c>
      <c r="L124" s="12" t="n"/>
      <c r="M124" s="12" t="n"/>
    </row>
    <row r="125">
      <c r="A125" s="12" t="inlineStr">
        <is>
          <t>DEP-11</t>
        </is>
      </c>
      <c r="B125" s="12" t="inlineStr">
        <is>
          <t>BRD-00 Core Replacement and cross-cutting points</t>
        </is>
      </c>
      <c r="C125" s="12" t="inlineStr">
        <is>
          <t>Integration detail</t>
        </is>
      </c>
      <c r="D125" s="12" t="inlineStr">
        <is>
          <t>Bank channel layouts and transport: CMS / New BOB, OBPCS, Old BOB, AFTS, PMS</t>
        </is>
      </c>
      <c r="E125" s="12" t="inlineStr">
        <is>
          <t>Needed for: Cashiering and Disbursement channels in SIT. If late: Manual uploads at go-live.</t>
        </is>
      </c>
      <c r="F125" s="12" t="n"/>
      <c r="G125" s="12" t="inlineStr">
        <is>
          <t>Project plan v1.0 (8-Oct-2026), dependency DEP-11 (Integration)</t>
        </is>
      </c>
      <c r="H125" s="12" t="inlineStr">
        <is>
          <t>BDOI IT</t>
        </is>
      </c>
      <c r="I125" s="37" t="n">
        <v>46444</v>
      </c>
      <c r="J125" s="12" t="inlineStr">
        <is>
          <t>High</t>
        </is>
      </c>
      <c r="K125" s="38" t="inlineStr">
        <is>
          <t>Open</t>
        </is>
      </c>
      <c r="L125" s="12" t="n"/>
      <c r="M125" s="12" t="n"/>
    </row>
    <row r="126">
      <c r="A126" s="12" t="inlineStr">
        <is>
          <t>DEP-12</t>
        </is>
      </c>
      <c r="B126" s="12" t="inlineStr">
        <is>
          <t>BRD-00 Core Replacement and cross-cutting points</t>
        </is>
      </c>
      <c r="C126" s="12" t="inlineStr">
        <is>
          <t>Integration detail</t>
        </is>
      </c>
      <c r="D126" s="12" t="inlineStr">
        <is>
          <t>CCM sending mode, sender addresses and attachment limits</t>
        </is>
      </c>
      <c r="E126" s="12" t="inlineStr">
        <is>
          <t>Needed for: Renewal Advices, e-policies and notifications. If late: E-mail tested late.</t>
        </is>
      </c>
      <c r="F126" s="12" t="n"/>
      <c r="G126" s="12" t="inlineStr">
        <is>
          <t>Project plan v1.0 (8-Oct-2026), dependency DEP-12 (Integration)</t>
        </is>
      </c>
      <c r="H126" s="12" t="inlineStr">
        <is>
          <t>BDOI IT</t>
        </is>
      </c>
      <c r="I126" s="37" t="n">
        <v>46444</v>
      </c>
      <c r="J126" s="12" t="inlineStr">
        <is>
          <t>High</t>
        </is>
      </c>
      <c r="K126" s="38" t="inlineStr">
        <is>
          <t>Open</t>
        </is>
      </c>
      <c r="L126" s="12" t="n"/>
      <c r="M126" s="12" t="n"/>
    </row>
    <row r="127">
      <c r="A127" s="12" t="inlineStr">
        <is>
          <t>DEP-13</t>
        </is>
      </c>
      <c r="B127" s="12" t="inlineStr">
        <is>
          <t>BRD-00 Core Replacement and cross-cutting points</t>
        </is>
      </c>
      <c r="C127" s="12" t="inlineStr">
        <is>
          <t>Integration detail</t>
        </is>
      </c>
      <c r="D127" s="12" t="inlineStr">
        <is>
          <t>Apigee X proxies, products and credentials for the BIBS integrations in SIT, UAT and production</t>
        </is>
      </c>
      <c r="E127" s="12" t="inlineStr">
        <is>
          <t>Needed for: Integration test. If late: Integration test slips into UAT.</t>
        </is>
      </c>
      <c r="F127" s="12" t="n"/>
      <c r="G127" s="12" t="inlineStr">
        <is>
          <t>Project plan v1.0 (8-Oct-2026), dependency DEP-13 (Integration)</t>
        </is>
      </c>
      <c r="H127" s="12" t="inlineStr">
        <is>
          <t>BDO IT Interface team</t>
        </is>
      </c>
      <c r="I127" s="37" t="n">
        <v>46477</v>
      </c>
      <c r="J127" s="12" t="inlineStr">
        <is>
          <t>High</t>
        </is>
      </c>
      <c r="K127" s="38" t="inlineStr">
        <is>
          <t>Open</t>
        </is>
      </c>
      <c r="L127" s="12" t="n"/>
      <c r="M127" s="12" t="n"/>
    </row>
    <row r="128">
      <c r="A128" s="12" t="inlineStr">
        <is>
          <t>DEP-15</t>
        </is>
      </c>
      <c r="B128" s="12" t="inlineStr">
        <is>
          <t>BRD-00 Core Replacement and cross-cutting points</t>
        </is>
      </c>
      <c r="C128" s="12" t="inlineStr">
        <is>
          <t>Decision</t>
        </is>
      </c>
      <c r="D128" s="12" t="inlineStr">
        <is>
          <t>DR region and data residency (IQ26)</t>
        </is>
      </c>
      <c r="E128" s="12" t="inlineStr">
        <is>
          <t>Needed for: Production and DR set-up. If late: DR not ready at go-live.</t>
        </is>
      </c>
      <c r="F128" s="12" t="n"/>
      <c r="G128" s="12" t="inlineStr">
        <is>
          <t>Project plan v1.0 (8-Oct-2026), dependency DEP-15 (Decision)</t>
        </is>
      </c>
      <c r="H128" s="12" t="inlineStr">
        <is>
          <t>BDOI IT; BDOI Information Security</t>
        </is>
      </c>
      <c r="I128" s="37" t="n">
        <v>46477</v>
      </c>
      <c r="J128" s="12" t="inlineStr">
        <is>
          <t>High</t>
        </is>
      </c>
      <c r="K128" s="38" t="inlineStr">
        <is>
          <t>Open</t>
        </is>
      </c>
      <c r="L128" s="12" t="n"/>
      <c r="M128" s="12" t="n"/>
    </row>
    <row r="129">
      <c r="A129" s="12" t="inlineStr">
        <is>
          <t>CFG-060</t>
        </is>
      </c>
      <c r="B129" s="12" t="inlineStr">
        <is>
          <t>BRD-00 Platform set-up</t>
        </is>
      </c>
      <c r="C129" s="12" t="inlineStr">
        <is>
          <t>Configuration value</t>
        </is>
      </c>
      <c r="D129" s="12" t="inlineStr">
        <is>
          <t>Lists of values (every list of the platform): For every list: its owner, and the values BDOI keeps, adds or retires. The lists whose values come from the legacy systems are loaded by R01; the others are entered on Lists of Values under maker-checker (see the sheet Ref Lists of values for the route of each list)</t>
        </is>
      </c>
      <c r="E129" s="12" t="inlineStr">
        <is>
          <t>Needed for: Reference data for Trial migration 1 (M4) (Extracts for Trial migration 1; reference data and clients first).</t>
        </is>
      </c>
      <c r="F129" s="12" t="inlineStr">
        <is>
          <t>Give the values wanted on the sheet Lists of values of the Master Data and Configuration Upload Templates workbook.</t>
        </is>
      </c>
      <c r="G129" s="12" t="inlineStr">
        <is>
          <t>Drop 0 configuration register CFG-060 (Drop 0 Configuration Inputs v2.0, area Lists of values)</t>
        </is>
      </c>
      <c r="H129" s="12" t="inlineStr">
        <is>
          <t>BDOI IT</t>
        </is>
      </c>
      <c r="I129" s="37" t="n">
        <v>46486</v>
      </c>
      <c r="J129" s="12" t="inlineStr">
        <is>
          <t>High</t>
        </is>
      </c>
      <c r="K129" s="38" t="inlineStr">
        <is>
          <t>Open</t>
        </is>
      </c>
      <c r="L129" s="12" t="n"/>
      <c r="M129" s="12" t="n"/>
    </row>
    <row r="130">
      <c r="A130" s="12" t="inlineStr">
        <is>
          <t>DEP-18</t>
        </is>
      </c>
      <c r="B130" s="12" t="inlineStr">
        <is>
          <t>BRD-00 Core Replacement and cross-cutting points</t>
        </is>
      </c>
      <c r="C130" s="12" t="inlineStr">
        <is>
          <t>Test data</t>
        </is>
      </c>
      <c r="D130" s="12" t="inlineStr">
        <is>
          <t>Named application support team (L1 and L2) and BDO IT operations staff for knowledge transfer</t>
        </is>
      </c>
      <c r="E130" s="12" t="inlineStr">
        <is>
          <t>Needed for: Knowledge transfer from 7-Jun-2027. If late: Hand-over at hypercare exit at risk.</t>
        </is>
      </c>
      <c r="F130" s="12" t="n"/>
      <c r="G130" s="12" t="inlineStr">
        <is>
          <t>Project plan v1.0 (8-Oct-2026), dependency DEP-18 (Resource)</t>
        </is>
      </c>
      <c r="H130" s="12" t="inlineStr">
        <is>
          <t>BDOI IT; BDO IT operations</t>
        </is>
      </c>
      <c r="I130" s="37" t="n">
        <v>46538</v>
      </c>
      <c r="J130" s="12" t="inlineStr">
        <is>
          <t>High</t>
        </is>
      </c>
      <c r="K130" s="38" t="inlineStr">
        <is>
          <t>Open</t>
        </is>
      </c>
      <c r="L130" s="12" t="n"/>
      <c r="M130" s="12" t="n"/>
    </row>
    <row r="131">
      <c r="A131" s="12" t="inlineStr">
        <is>
          <t>DEP-19</t>
        </is>
      </c>
      <c r="B131" s="12" t="inlineStr">
        <is>
          <t>BRD-00 Core Replacement and cross-cutting points</t>
        </is>
      </c>
      <c r="C131" s="12" t="inlineStr">
        <is>
          <t>Test data</t>
        </is>
      </c>
      <c r="D131" s="12" t="inlineStr">
        <is>
          <t>Penetration test provider named; early SIT scan approved (IQ35)</t>
        </is>
      </c>
      <c r="E131" s="12" t="inlineStr">
        <is>
          <t>Needed for: Security tests. If late: Findings arrive in December 2027.</t>
        </is>
      </c>
      <c r="F131" s="12" t="n"/>
      <c r="G131" s="12" t="inlineStr">
        <is>
          <t>Project plan v1.0 (8-Oct-2026), dependency DEP-19 (Resource)</t>
        </is>
      </c>
      <c r="H131" s="12" t="inlineStr">
        <is>
          <t>BDOI Information Security</t>
        </is>
      </c>
      <c r="I131" s="37" t="n">
        <v>46538</v>
      </c>
      <c r="J131" s="12" t="inlineStr">
        <is>
          <t>High</t>
        </is>
      </c>
      <c r="K131" s="38" t="inlineStr">
        <is>
          <t>Open</t>
        </is>
      </c>
      <c r="L131" s="12" t="n"/>
      <c r="M131" s="12" t="n"/>
    </row>
    <row r="132">
      <c r="A132" s="12" t="inlineStr">
        <is>
          <t>CFG-051</t>
        </is>
      </c>
      <c r="B132" s="12" t="inlineStr">
        <is>
          <t>BRD-00 Platform set-up</t>
        </is>
      </c>
      <c r="C132" s="12" t="inlineStr">
        <is>
          <t>Configuration value</t>
        </is>
      </c>
      <c r="D132" s="12" t="inlineStr">
        <is>
          <t>Document number prefixes: The prefix of every numbered document (quotations, proposals, slips, package requests, renewals, submitted policies, screening cases); the year and the running number follow the prefix</t>
        </is>
      </c>
      <c r="E132" s="12" t="inlineStr">
        <is>
          <t>Needed for: Values for UAT (UAT plans and sign-off forms due 16-Jul-2027; UAT Aug - Dec 2027 runs on the production values).</t>
        </is>
      </c>
      <c r="F132" s="12" t="inlineStr">
        <is>
          <t>Give the values wanted on the sheet Numbering prefixes of the Master Data and Configuration Upload Templates workbook.</t>
        </is>
      </c>
      <c r="G132" s="12" t="inlineStr">
        <is>
          <t>Drop 0 configuration register CFG-051 (Drop 0 Configuration Inputs v2.0, area Document numbering)</t>
        </is>
      </c>
      <c r="H132" s="12" t="inlineStr">
        <is>
          <t>BDOI IT</t>
        </is>
      </c>
      <c r="I132" s="37" t="n">
        <v>46584</v>
      </c>
      <c r="J132" s="12" t="inlineStr">
        <is>
          <t>Medium</t>
        </is>
      </c>
      <c r="K132" s="38" t="inlineStr">
        <is>
          <t>Open</t>
        </is>
      </c>
      <c r="L132" s="12" t="n"/>
      <c r="M132" s="12" t="n"/>
    </row>
    <row r="133">
      <c r="A133" s="12" t="inlineStr">
        <is>
          <t>CFG-070</t>
        </is>
      </c>
      <c r="B133" s="12" t="inlineStr">
        <is>
          <t>BRD-00 Platform set-up</t>
        </is>
      </c>
      <c r="C133" s="12" t="inlineStr">
        <is>
          <t>Configuration value</t>
        </is>
      </c>
      <c r="D133" s="12" t="inlineStr">
        <is>
          <t>System parameters (every parameter of the platform): For every parameter: the value BDOI wants against the value proposed, with the reason and the approver (see the sheet Ref System parameters)</t>
        </is>
      </c>
      <c r="E133" s="12" t="inlineStr">
        <is>
          <t>Needed for: Values for UAT (UAT plans and sign-off forms due 16-Jul-2027; UAT Aug - Dec 2027 runs on the production values).</t>
        </is>
      </c>
      <c r="F133" s="12" t="inlineStr">
        <is>
          <t>Give the values wanted on the sheets System parameters and SLA and turnaround of the Master Data and Configuration Upload Templates workbook.</t>
        </is>
      </c>
      <c r="G133" s="12" t="inlineStr">
        <is>
          <t>Drop 0 configuration register CFG-070 (Drop 0 Configuration Inputs v2.0, area System and security parameters)</t>
        </is>
      </c>
      <c r="H133" s="12" t="inlineStr">
        <is>
          <t>BDOI IT</t>
        </is>
      </c>
      <c r="I133" s="37" t="n">
        <v>46584</v>
      </c>
      <c r="J133" s="12" t="inlineStr">
        <is>
          <t>Medium</t>
        </is>
      </c>
      <c r="K133" s="38" t="inlineStr">
        <is>
          <t>Open</t>
        </is>
      </c>
      <c r="L133" s="12" t="n"/>
      <c r="M133" s="12" t="n"/>
    </row>
    <row r="134">
      <c r="A134" s="12" t="inlineStr">
        <is>
          <t>CFG-072</t>
        </is>
      </c>
      <c r="B134" s="12" t="inlineStr">
        <is>
          <t>BRD-00 Platform set-up</t>
        </is>
      </c>
      <c r="C134" s="12" t="inlineStr">
        <is>
          <t>Configuration value</t>
        </is>
      </c>
      <c r="D134" s="12" t="inlineStr">
        <is>
          <t>Exception codes and alert thresholds: Which exceptions raise an alert, with their severity and the amount or day threshold of each</t>
        </is>
      </c>
      <c r="E134" s="12" t="inlineStr">
        <is>
          <t>Needed for: Values for UAT (UAT plans and sign-off forms due 16-Jul-2027; UAT Aug - Dec 2027 runs on the production values).</t>
        </is>
      </c>
      <c r="F134" s="12" t="inlineStr">
        <is>
          <t>Configured on the screen Setup &amp; Administration › Administration › Exception Codes (sheet Configured on screens of the Master Data and Configuration Upload Templates workbook).</t>
        </is>
      </c>
      <c r="G134" s="12" t="inlineStr">
        <is>
          <t>Drop 0 configuration register CFG-072 (Drop 0 Configuration Inputs v2.0, area System and security parameters)</t>
        </is>
      </c>
      <c r="H134" s="12" t="inlineStr">
        <is>
          <t>BDOI IT</t>
        </is>
      </c>
      <c r="I134" s="37" t="n">
        <v>46584</v>
      </c>
      <c r="J134" s="12" t="inlineStr">
        <is>
          <t>Medium</t>
        </is>
      </c>
      <c r="K134" s="38" t="inlineStr">
        <is>
          <t>Open</t>
        </is>
      </c>
      <c r="L134" s="12" t="n"/>
      <c r="M134" s="12" t="n"/>
    </row>
    <row r="135">
      <c r="A135" s="12" t="inlineStr">
        <is>
          <t>CFG-073</t>
        </is>
      </c>
      <c r="B135" s="12" t="inlineStr">
        <is>
          <t>BRD-00 Platform set-up</t>
        </is>
      </c>
      <c r="C135" s="12" t="inlineStr">
        <is>
          <t>Configuration value</t>
        </is>
      </c>
      <c r="D135" s="12" t="inlineStr">
        <is>
          <t>Scheduled job times: The run time of each daily and monthly job in Philippine time, and the blackout windows</t>
        </is>
      </c>
      <c r="E135" s="12" t="inlineStr">
        <is>
          <t>Needed for: Values for UAT (UAT plans and sign-off forms due 16-Jul-2027; UAT Aug - Dec 2027 runs on the production values).</t>
        </is>
      </c>
      <c r="F135" s="12" t="inlineStr">
        <is>
          <t>Configured on the screen Setup &amp; Administration › Administration › Scheduled Jobs (sheet Configured on screens of the Master Data and Configuration Upload Templates workbook).</t>
        </is>
      </c>
      <c r="G135" s="12" t="inlineStr">
        <is>
          <t>Drop 0 configuration register CFG-073 (Drop 0 Configuration Inputs v2.0, area System and security parameters)</t>
        </is>
      </c>
      <c r="H135" s="12" t="inlineStr">
        <is>
          <t>BDOI IT</t>
        </is>
      </c>
      <c r="I135" s="37" t="n">
        <v>46584</v>
      </c>
      <c r="J135" s="12" t="inlineStr">
        <is>
          <t>Medium</t>
        </is>
      </c>
      <c r="K135" s="38" t="inlineStr">
        <is>
          <t>Open</t>
        </is>
      </c>
      <c r="L135" s="12" t="n"/>
      <c r="M135" s="12" t="n"/>
    </row>
    <row r="136">
      <c r="A136" s="12" t="inlineStr">
        <is>
          <t>CFG-080</t>
        </is>
      </c>
      <c r="B136" s="12" t="inlineStr">
        <is>
          <t>BRD-00 Platform set-up</t>
        </is>
      </c>
      <c r="C136" s="12" t="inlineStr">
        <is>
          <t>Master data</t>
        </is>
      </c>
      <c r="D136" s="12" t="inlineStr">
        <is>
          <t>Notification events and recipients: For every notification event: in-app and e-mail by default, and any unit mailbox that must receive it besides the users of the step (see the sheet Ref Notifications)</t>
        </is>
      </c>
      <c r="E136" s="12" t="inlineStr">
        <is>
          <t>Needed for: Values for UAT (UAT plans and sign-off forms due 16-Jul-2027; UAT Aug - Dec 2027 runs on the production values).</t>
        </is>
      </c>
      <c r="F136" s="12" t="inlineStr">
        <is>
          <t>Give the values wanted on the sheet Notification events of the Master Data and Configuration Upload Templates workbook.</t>
        </is>
      </c>
      <c r="G136" s="12" t="inlineStr">
        <is>
          <t>Drop 0 configuration register CFG-080 (Drop 0 Configuration Inputs v2.0, area Notifications and documents)</t>
        </is>
      </c>
      <c r="H136" s="12" t="inlineStr">
        <is>
          <t>BDOI IT</t>
        </is>
      </c>
      <c r="I136" s="37" t="n">
        <v>46584</v>
      </c>
      <c r="J136" s="12" t="inlineStr">
        <is>
          <t>Medium</t>
        </is>
      </c>
      <c r="K136" s="38" t="inlineStr">
        <is>
          <t>Open</t>
        </is>
      </c>
      <c r="L136" s="12" t="n"/>
      <c r="M136" s="12" t="n"/>
    </row>
    <row r="137">
      <c r="A137" s="12" t="inlineStr">
        <is>
          <t>CFG-081</t>
        </is>
      </c>
      <c r="B137" s="12" t="inlineStr">
        <is>
          <t>BRD-00 Platform set-up</t>
        </is>
      </c>
      <c r="C137" s="12" t="inlineStr">
        <is>
          <t>Master data</t>
        </is>
      </c>
      <c r="D137" s="12" t="inlineStr">
        <is>
          <t>Fixed recipients and sender address: The sender address of BIBS e-mails and the recipients of job failures and watchlist loads (parameters mail from address, job failure recipients, scr ingest alert recipients)</t>
        </is>
      </c>
      <c r="E137" s="12" t="inlineStr">
        <is>
          <t>Needed for: Values for UAT (UAT plans and sign-off forms due 16-Jul-2027; UAT Aug - Dec 2027 runs on the production values).</t>
        </is>
      </c>
      <c r="F137" s="12" t="inlineStr">
        <is>
          <t>Give the values wanted on the sheets System parameters and SLA and turnaround of the Master Data and Configuration Upload Templates workbook.</t>
        </is>
      </c>
      <c r="G137" s="12" t="inlineStr">
        <is>
          <t>Drop 0 configuration register CFG-081 (Drop 0 Configuration Inputs v2.0, area Notifications and documents)</t>
        </is>
      </c>
      <c r="H137" s="12" t="inlineStr">
        <is>
          <t>BDOI IT</t>
        </is>
      </c>
      <c r="I137" s="37" t="n">
        <v>46584</v>
      </c>
      <c r="J137" s="12" t="inlineStr">
        <is>
          <t>Medium</t>
        </is>
      </c>
      <c r="K137" s="38" t="inlineStr">
        <is>
          <t>Open</t>
        </is>
      </c>
      <c r="L137" s="12" t="n"/>
      <c r="M137" s="12" t="n"/>
    </row>
    <row r="138">
      <c r="A138" s="12" t="inlineStr">
        <is>
          <t>CFG-082</t>
        </is>
      </c>
      <c r="B138" s="12" t="inlineStr">
        <is>
          <t>BRD-00 Platform set-up</t>
        </is>
      </c>
      <c r="C138" s="12" t="inlineStr">
        <is>
          <t>Sample document or template</t>
        </is>
      </c>
      <c r="D138" s="12" t="inlineStr">
        <is>
          <t>Document templates (letters, slips, advices, e-mails): The BDOI wording and layout of every generated document (see the sheet Ref Document templates)</t>
        </is>
      </c>
      <c r="E138" s="12" t="inlineStr">
        <is>
          <t>Needed for: Values for UAT (UAT plans and sign-off forms due 16-Jul-2027; UAT Aug - Dec 2027 runs on the production values).</t>
        </is>
      </c>
      <c r="F138" s="12" t="inlineStr">
        <is>
          <t>Give the values wanted on the sheet Document templates of the Master Data and Configuration Upload Templates workbook.</t>
        </is>
      </c>
      <c r="G138" s="12" t="inlineStr">
        <is>
          <t>Drop 0 configuration register CFG-082 (Drop 0 Configuration Inputs v2.0, area Notifications and documents)</t>
        </is>
      </c>
      <c r="H138" s="12" t="inlineStr">
        <is>
          <t>BDOI IT</t>
        </is>
      </c>
      <c r="I138" s="37" t="n">
        <v>46584</v>
      </c>
      <c r="J138" s="12" t="inlineStr">
        <is>
          <t>Medium</t>
        </is>
      </c>
      <c r="K138" s="38" t="inlineStr">
        <is>
          <t>Open</t>
        </is>
      </c>
      <c r="L138" s="12" t="n"/>
      <c r="M138" s="12" t="n"/>
    </row>
    <row r="139">
      <c r="A139" s="12" t="inlineStr">
        <is>
          <t>CFG-114</t>
        </is>
      </c>
      <c r="B139" s="12" t="inlineStr">
        <is>
          <t>BRD-00 Platform set-up</t>
        </is>
      </c>
      <c r="C139" s="12" t="inlineStr">
        <is>
          <t>Master data</t>
        </is>
      </c>
      <c r="D139" s="12" t="inlineStr">
        <is>
          <t>Approval limits and matrices of the modules: The approval levels by amount, sum insured or segment of Submitted Policies, Employee Benefits, Sanction Screening and Disbursement, with the approver role and the signatory</t>
        </is>
      </c>
      <c r="E139" s="12" t="inlineStr">
        <is>
          <t>Needed for: Values for UAT (UAT plans and sign-off forms due 16-Jul-2027; UAT Aug - Dec 2027 runs on the production values).</t>
        </is>
      </c>
      <c r="F139" s="12" t="inlineStr">
        <is>
          <t>Fill in the template D0-15 of the Master Data and Configuration Upload Templates workbook.</t>
        </is>
      </c>
      <c r="G139" s="12" t="inlineStr">
        <is>
          <t>Drop 0 configuration register CFG-114 (Drop 0 Configuration Inputs v2.0, area Users, roles and approvals)</t>
        </is>
      </c>
      <c r="H139" s="12" t="inlineStr">
        <is>
          <t>Owners of the modules; Head, Comptrollership for the amounts</t>
        </is>
      </c>
      <c r="I139" s="37" t="n">
        <v>46584</v>
      </c>
      <c r="J139" s="12" t="inlineStr">
        <is>
          <t>Medium</t>
        </is>
      </c>
      <c r="K139" s="38" t="inlineStr">
        <is>
          <t>Open</t>
        </is>
      </c>
      <c r="L139" s="12" t="n"/>
      <c r="M139" s="12" t="n"/>
    </row>
    <row r="140">
      <c r="A140" s="12" t="inlineStr">
        <is>
          <t>DEP-21</t>
        </is>
      </c>
      <c r="B140" s="12" t="inlineStr">
        <is>
          <t>BRD-00 Core Replacement and cross-cutting points</t>
        </is>
      </c>
      <c r="C140" s="12" t="inlineStr">
        <is>
          <t>Integration detail</t>
        </is>
      </c>
      <c r="D140" s="12" t="inlineStr">
        <is>
          <t>UAT environment and training environment with training users</t>
        </is>
      </c>
      <c r="E140" s="12" t="inlineStr">
        <is>
          <t>Needed for: Key user training and UAT. If late: Training and UAT start late.</t>
        </is>
      </c>
      <c r="F140" s="12" t="n"/>
      <c r="G140" s="12" t="inlineStr">
        <is>
          <t>Project plan v1.0 (8-Oct-2026), dependency DEP-21 (Environment)</t>
        </is>
      </c>
      <c r="H140" s="12" t="inlineStr">
        <is>
          <t>BDOI IT</t>
        </is>
      </c>
      <c r="I140" s="37" t="n">
        <v>46587</v>
      </c>
      <c r="J140" s="12" t="inlineStr">
        <is>
          <t>High</t>
        </is>
      </c>
      <c r="K140" s="38" t="inlineStr">
        <is>
          <t>Open</t>
        </is>
      </c>
      <c r="L140" s="12" t="n"/>
      <c r="M140" s="12" t="n"/>
    </row>
    <row r="141">
      <c r="A141" s="12" t="inlineStr">
        <is>
          <t>DEP-22</t>
        </is>
      </c>
      <c r="B141" s="12" t="inlineStr">
        <is>
          <t>BRD-00 Core Replacement and cross-cutting points</t>
        </is>
      </c>
      <c r="C141" s="12" t="inlineStr">
        <is>
          <t>Test data</t>
        </is>
      </c>
      <c r="D141" s="12" t="inlineStr">
        <is>
          <t>BDOI trainers named for train-the-trainer (one per business unit and persona group)</t>
        </is>
      </c>
      <c r="E141" s="12" t="inlineStr">
        <is>
          <t>Needed for: Train-the-trainer from 6-Sep-2027. If late: End-user training delivered by iorta only; capacity limit.</t>
        </is>
      </c>
      <c r="F141" s="12" t="n"/>
      <c r="G141" s="12" t="inlineStr">
        <is>
          <t>Project plan v1.0 (8-Oct-2026), dependency DEP-22 (Resource)</t>
        </is>
      </c>
      <c r="H141" s="12" t="inlineStr">
        <is>
          <t>Business owners</t>
        </is>
      </c>
      <c r="I141" s="37" t="n">
        <v>46598</v>
      </c>
      <c r="J141" s="12" t="inlineStr">
        <is>
          <t>High</t>
        </is>
      </c>
      <c r="K141" s="38" t="inlineStr">
        <is>
          <t>Open</t>
        </is>
      </c>
      <c r="L141" s="12" t="n"/>
      <c r="M141" s="12" t="n"/>
    </row>
    <row r="142">
      <c r="A142" s="12" t="inlineStr">
        <is>
          <t>DEP-23</t>
        </is>
      </c>
      <c r="B142" s="12" t="inlineStr">
        <is>
          <t>BRD-00 Core Replacement and cross-cutting points</t>
        </is>
      </c>
      <c r="C142" s="12" t="inlineStr">
        <is>
          <t>Integration detail</t>
        </is>
      </c>
      <c r="D142" s="12" t="inlineStr">
        <is>
          <t>Pre-Prod at production size</t>
        </is>
      </c>
      <c r="E142" s="12" t="inlineStr">
        <is>
          <t>Needed for: Performance test and dress rehearsal. If late: Dress rehearsal not production-sized.</t>
        </is>
      </c>
      <c r="F142" s="12" t="n"/>
      <c r="G142" s="12" t="inlineStr">
        <is>
          <t>Project plan v1.0 (8-Oct-2026), dependency DEP-23 (Environment)</t>
        </is>
      </c>
      <c r="H142" s="12" t="inlineStr">
        <is>
          <t>BDOI IT</t>
        </is>
      </c>
      <c r="I142" s="37" t="n">
        <v>46661</v>
      </c>
      <c r="J142" s="12" t="inlineStr">
        <is>
          <t>High</t>
        </is>
      </c>
      <c r="K142" s="38" t="inlineStr">
        <is>
          <t>Open</t>
        </is>
      </c>
      <c r="L142" s="12" t="n"/>
      <c r="M142" s="12" t="n"/>
    </row>
    <row r="143">
      <c r="A143" s="12" t="inlineStr">
        <is>
          <t>DEP-24</t>
        </is>
      </c>
      <c r="B143" s="12" t="inlineStr">
        <is>
          <t>BRD-00 Core Replacement and cross-cutting points</t>
        </is>
      </c>
      <c r="C143" s="12" t="inlineStr">
        <is>
          <t>Decision</t>
        </is>
      </c>
      <c r="D143" s="12" t="inlineStr">
        <is>
          <t>Year-end option A confirmed; point of no return confirmed (DEC-01, DEC-13)</t>
        </is>
      </c>
      <c r="E143" s="12" t="inlineStr">
        <is>
          <t>Needed for: Cut-over calendar and GL opening. If late: Cut-over calendar changes.</t>
        </is>
      </c>
      <c r="F143" s="12" t="n"/>
      <c r="G143" s="12" t="inlineStr">
        <is>
          <t>Project plan v1.0 (8-Oct-2026), dependency DEP-24 (Decision)</t>
        </is>
      </c>
      <c r="H143" s="12" t="inlineStr">
        <is>
          <t>Head, Comptrollership; Program Manager</t>
        </is>
      </c>
      <c r="I143" s="37" t="n">
        <v>46661</v>
      </c>
      <c r="J143" s="12" t="inlineStr">
        <is>
          <t>High</t>
        </is>
      </c>
      <c r="K143" s="38" t="inlineStr">
        <is>
          <t>Open</t>
        </is>
      </c>
      <c r="L143" s="12" t="n"/>
      <c r="M143" s="12" t="n"/>
    </row>
    <row r="144">
      <c r="A144" s="12" t="inlineStr">
        <is>
          <t>DEP-25</t>
        </is>
      </c>
      <c r="B144" s="12" t="inlineStr">
        <is>
          <t>BRD-00 Core Replacement and cross-cutting points</t>
        </is>
      </c>
      <c r="C144" s="12" t="inlineStr">
        <is>
          <t>Integration detail</t>
        </is>
      </c>
      <c r="D144" s="12" t="inlineStr">
        <is>
          <t>Production and DR environments</t>
        </is>
      </c>
      <c r="E144" s="12" t="inlineStr">
        <is>
          <t>Needed for: Production values, ORR and cut-over. If late: Go-live date at risk.</t>
        </is>
      </c>
      <c r="F144" s="12" t="n"/>
      <c r="G144" s="12" t="inlineStr">
        <is>
          <t>Project plan v1.0 (8-Oct-2026), dependency DEP-25 (Environment)</t>
        </is>
      </c>
      <c r="H144" s="12" t="inlineStr">
        <is>
          <t>BDOI IT</t>
        </is>
      </c>
      <c r="I144" s="37" t="n">
        <v>46692</v>
      </c>
      <c r="J144" s="12" t="inlineStr">
        <is>
          <t>High</t>
        </is>
      </c>
      <c r="K144" s="38" t="inlineStr">
        <is>
          <t>Open</t>
        </is>
      </c>
      <c r="L144" s="12" t="n"/>
      <c r="M144" s="12" t="n"/>
    </row>
    <row r="145">
      <c r="A145" s="12" t="inlineStr">
        <is>
          <t>DEP-26</t>
        </is>
      </c>
      <c r="B145" s="12" t="inlineStr">
        <is>
          <t>BRD-00 Core Replacement and cross-cutting points</t>
        </is>
      </c>
      <c r="C145" s="12" t="inlineStr">
        <is>
          <t>Master data</t>
        </is>
      </c>
      <c r="D145" s="12" t="inlineStr">
        <is>
          <t>Production values of every configuration item (D6)</t>
        </is>
      </c>
      <c r="E145" s="12" t="inlineStr">
        <is>
          <t>Needed for: Dress rehearsal. If late: Dress rehearsal on non-production values.</t>
        </is>
      </c>
      <c r="F145" s="12" t="n"/>
      <c r="G145" s="12" t="inlineStr">
        <is>
          <t>Project plan v1.0 (8-Oct-2026), dependency DEP-26 (Data)</t>
        </is>
      </c>
      <c r="H145" s="12" t="inlineStr">
        <is>
          <t>Configuration owners</t>
        </is>
      </c>
      <c r="I145" s="37" t="n">
        <v>46692</v>
      </c>
      <c r="J145" s="12" t="inlineStr">
        <is>
          <t>High</t>
        </is>
      </c>
      <c r="K145" s="38" t="inlineStr">
        <is>
          <t>Open</t>
        </is>
      </c>
      <c r="L145" s="12" t="n"/>
      <c r="M145" s="12" t="n"/>
    </row>
    <row r="146">
      <c r="A146" s="12" t="inlineStr">
        <is>
          <t>SO-00-2</t>
        </is>
      </c>
      <c r="B146" s="12" t="inlineStr">
        <is>
          <t>BRD-00 Core Replacement and cross-cutting points</t>
        </is>
      </c>
      <c r="C146" s="12" t="inlineStr">
        <is>
          <t>Sign-off</t>
        </is>
      </c>
      <c r="D146" s="12" t="inlineStr">
        <is>
          <t>Approve the ORR / PRR evidence pack (operational and production readiness).</t>
        </is>
      </c>
      <c r="E146" s="12" t="inlineStr">
        <is>
          <t>The signed document fixes the scope for the next step of the plan; a late sign-off moves the dates that follow it.</t>
        </is>
      </c>
      <c r="F146" s="12" t="n"/>
      <c r="G146" s="12" t="inlineStr">
        <is>
          <t>Project plan v1.0 (8-Oct-2026), sign-offs and milestones</t>
        </is>
      </c>
      <c r="H146" s="12" t="inlineStr">
        <is>
          <t>Head, BDOI IT; Head, BDOI Information Security</t>
        </is>
      </c>
      <c r="I146" s="37" t="n">
        <v>46752</v>
      </c>
      <c r="J146" s="12" t="inlineStr">
        <is>
          <t>High</t>
        </is>
      </c>
      <c r="K146" s="38" t="inlineStr">
        <is>
          <t>Open</t>
        </is>
      </c>
      <c r="L146" s="12" t="n"/>
      <c r="M146" s="12" t="n"/>
    </row>
    <row r="147">
      <c r="A147" s="12" t="inlineStr">
        <is>
          <t>SO-00-3</t>
        </is>
      </c>
      <c r="B147" s="12" t="inlineStr">
        <is>
          <t>BRD-00 Core Replacement and cross-cutting points</t>
        </is>
      </c>
      <c r="C147" s="12" t="inlineStr">
        <is>
          <t>Sign-off</t>
        </is>
      </c>
      <c r="D147" s="12" t="inlineStr">
        <is>
          <t>Take the go / no-go decision for the go-live of Monday 3 January 2028.</t>
        </is>
      </c>
      <c r="E147" s="12" t="inlineStr">
        <is>
          <t>The signed document fixes the scope for the next step of the plan; a late sign-off moves the dates that follow it.</t>
        </is>
      </c>
      <c r="F147" s="12" t="n"/>
      <c r="G147" s="12" t="inlineStr">
        <is>
          <t>Project plan v1.0 (8-Oct-2026), sign-offs and milestones</t>
        </is>
      </c>
      <c r="H147" s="12" t="inlineStr">
        <is>
          <t>Go / no-go board</t>
        </is>
      </c>
      <c r="I147" s="37" t="n">
        <v>46754</v>
      </c>
      <c r="J147" s="12" t="inlineStr">
        <is>
          <t>High</t>
        </is>
      </c>
      <c r="K147" s="38" t="inlineStr">
        <is>
          <t>Open</t>
        </is>
      </c>
      <c r="L147" s="12" t="n"/>
      <c r="M147" s="12" t="n"/>
    </row>
    <row r="148">
      <c r="A148" s="12" t="inlineStr">
        <is>
          <t>SO-00-4</t>
        </is>
      </c>
      <c r="B148" s="12" t="inlineStr">
        <is>
          <t>BRD-00 Core Replacement and cross-cutting points</t>
        </is>
      </c>
      <c r="C148" s="12" t="inlineStr">
        <is>
          <t>Sign-off</t>
        </is>
      </c>
      <c r="D148" s="12" t="inlineStr">
        <is>
          <t>Sign the hypercare exit and the hand-over to production support.</t>
        </is>
      </c>
      <c r="E148" s="12" t="inlineStr">
        <is>
          <t>The signed document fixes the scope for the next step of the plan; a late sign-off moves the dates that follow it.</t>
        </is>
      </c>
      <c r="F148" s="12" t="n"/>
      <c r="G148" s="12" t="inlineStr">
        <is>
          <t>Project plan v1.0 (8-Oct-2026), sign-offs and milestones</t>
        </is>
      </c>
      <c r="H148" s="12" t="inlineStr">
        <is>
          <t>Go / no-go board; BDOI application support; BDO IT operations</t>
        </is>
      </c>
      <c r="I148" s="37" t="n">
        <v>46785</v>
      </c>
      <c r="J148" s="12" t="inlineStr">
        <is>
          <t>High</t>
        </is>
      </c>
      <c r="K148" s="38" t="inlineStr">
        <is>
          <t>Open</t>
        </is>
      </c>
      <c r="L148" s="12" t="n"/>
      <c r="M148" s="12" t="n"/>
    </row>
  </sheetData>
  <autoFilter ref="A4:M148"/>
  <mergeCells count="1">
    <mergeCell ref="A2:M2"/>
  </mergeCells>
  <conditionalFormatting sqref="K5:K648">
    <cfRule type="cellIs" priority="1" operator="equal" dxfId="0" stopIfTrue="1">
      <formula>"Open"</formula>
    </cfRule>
    <cfRule type="cellIs" priority="2" operator="equal" dxfId="1" stopIfTrue="1">
      <formula>"Answered"</formula>
    </cfRule>
  </conditionalFormatting>
  <conditionalFormatting sqref="A5:M648">
    <cfRule type="expression" priority="3" dxfId="2">
      <formula>AND(MOD(ROW(),2)=0,$A5&lt;&gt;"")</formula>
    </cfRule>
  </conditionalFormatting>
  <conditionalFormatting sqref="K5:K649">
    <cfRule type="cellIs" priority="4" operator="equal" dxfId="3" stopIfTrue="1">
      <formula>"Partly answered"</formula>
    </cfRule>
  </conditionalFormatting>
  <dataValidations count="3">
    <dataValidation sqref="C5:C648" showDropDown="0" showInputMessage="0" showErrorMessage="1" allowBlank="1" errorTitle="Type" error="Choose a value from the list (Type)." type="list">
      <formula1>'_lists'!$A$1:$A$10</formula1>
    </dataValidation>
    <dataValidation sqref="J5:J648" showDropDown="0" showInputMessage="0" showErrorMessage="1" allowBlank="1" errorTitle="Priority" error="Choose a value from the list (Priority)." type="list">
      <formula1>'_lists'!$B$1:$B$3</formula1>
    </dataValidation>
    <dataValidation sqref="K5:K648" showDropDown="0" showInputMessage="0" showErrorMessage="1" allowBlank="1" errorTitle="Status" error="Choose a value from the list (Status)." type="list">
      <formula1>'_lists'!$C$1:$C$3</formula1>
    </dataValidation>
  </dataValidations>
  <printOptions horizontalCentered="1"/>
  <pageMargins left="0.4" right="0.4" top="0.6" bottom="0.6" header="0.5" footer="0.5"/>
  <pageSetup orientation="landscape" paperSize="1" fitToHeight="0" fitToWidth="1"/>
  <headerFooter>
    <oddHeader>&amp;L&amp;8 &amp;K004EA8BDOI Requirements and Inputs by BRD&amp;R&amp;8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M8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6" customWidth="1" min="3" max="3"/>
    <col width="60" customWidth="1" min="4" max="4"/>
    <col width="46" customWidth="1" min="5" max="5"/>
    <col width="46" customWidth="1" min="6" max="6"/>
    <col width="40" customWidth="1" min="7" max="7"/>
    <col width="26" customWidth="1" min="8" max="8"/>
    <col width="12" customWidth="1" min="9" max="9"/>
    <col width="10" customWidth="1" min="10" max="10"/>
    <col width="14" customWidth="1" min="11" max="11"/>
    <col width="40" customWidth="1" min="12" max="12"/>
    <col width="34" customWidth="1" min="13" max="13"/>
  </cols>
  <sheetData>
    <row r="1" ht="24" customHeight="1">
      <c r="A1" s="34" t="inlineStr">
        <is>
          <t>BRD-01 New Business</t>
        </is>
      </c>
    </row>
    <row r="2">
      <c r="A2" s="21" t="inlineStr">
        <is>
          <t>BRD-01 New Business: what BDOI provides; owner Product Owner, New Business</t>
        </is>
      </c>
    </row>
    <row r="3" ht="6" customHeight="1">
      <c r="A3" s="35" t="n"/>
      <c r="B3" s="35" t="n"/>
      <c r="C3" s="35" t="n"/>
      <c r="D3" s="35" t="n"/>
      <c r="E3" s="35" t="n"/>
      <c r="F3" s="35" t="n"/>
      <c r="G3" s="35" t="n"/>
      <c r="H3" s="35" t="n"/>
      <c r="I3" s="35" t="n"/>
      <c r="J3" s="35" t="n"/>
      <c r="K3" s="35" t="n"/>
      <c r="L3" s="35" t="n"/>
      <c r="M3" s="35" t="n"/>
    </row>
    <row r="4" ht="30" customHeight="1">
      <c r="A4" s="36" t="inlineStr">
        <is>
          <t>Ref</t>
        </is>
      </c>
      <c r="B4" s="36" t="inlineStr">
        <is>
          <t>BRD / module</t>
        </is>
      </c>
      <c r="C4" s="36" t="inlineStr">
        <is>
          <t>Type</t>
        </is>
      </c>
      <c r="D4" s="36" t="inlineStr">
        <is>
          <t>What we need from BDOI</t>
        </is>
      </c>
      <c r="E4" s="36" t="inlineStr">
        <is>
          <t>Why / impact if not provided</t>
        </is>
      </c>
      <c r="F4" s="36" t="inlineStr">
        <is>
          <t>Our proposal (if any)</t>
        </is>
      </c>
      <c r="G4" s="36" t="inlineStr">
        <is>
          <t>Source (FRS section / CLR / BRD page)</t>
        </is>
      </c>
      <c r="H4" s="36" t="inlineStr">
        <is>
          <t>BDOI owner (role)</t>
        </is>
      </c>
      <c r="I4" s="36" t="inlineStr">
        <is>
          <t>Needed by</t>
        </is>
      </c>
      <c r="J4" s="36" t="inlineStr">
        <is>
          <t>Priority</t>
        </is>
      </c>
      <c r="K4" s="36" t="inlineStr">
        <is>
          <t>Status</t>
        </is>
      </c>
      <c r="L4" s="36" t="inlineStr">
        <is>
          <t>BDOI response</t>
        </is>
      </c>
      <c r="M4" s="36" t="inlineStr">
        <is>
          <t>Remarks</t>
        </is>
      </c>
    </row>
    <row r="5">
      <c r="A5" s="12" t="inlineStr">
        <is>
          <t>CLR-NB-17</t>
        </is>
      </c>
      <c r="B5" s="12" t="inlineStr">
        <is>
          <t>BRD-01 New Business</t>
        </is>
      </c>
      <c r="C5" s="12" t="inlineStr">
        <is>
          <t>Business rule confirmation</t>
        </is>
      </c>
      <c r="D5" s="12" t="inlineStr">
        <is>
          <t>Placement file to insurers: Specify the insurer channels or confirm e-mail only (Q06).</t>
        </is>
      </c>
      <c r="E5" s="12" t="inlineStr">
        <is>
          <t>The electronic channels to insurers (file transfer or system-to-system) are not specified (Q06).</t>
        </is>
      </c>
      <c r="F5" s="12" t="inlineStr">
        <is>
          <t>Slips are sent by e-mail when Processing clicks Send. An insurer set up for another channel is refused with a message until the electronic channels are specified.</t>
        </is>
      </c>
      <c r="G5" s="12" t="inlineStr">
        <is>
          <t>FRS BRD-01 v2.1, Proposed business rules and clarifications; BRNB.071; FR-NB-081; also raised as Q06 (open question), DCR-211 (register item)</t>
        </is>
      </c>
      <c r="H5" s="12" t="inlineStr">
        <is>
          <t>Employee Benefits - Marketing, Processing and Collection</t>
        </is>
      </c>
      <c r="I5" s="37" t="n">
        <v>46356</v>
      </c>
      <c r="J5" s="12" t="inlineStr">
        <is>
          <t>High</t>
        </is>
      </c>
      <c r="K5" s="38" t="inlineStr">
        <is>
          <t>Partly answered</t>
        </is>
      </c>
      <c r="L5" s="12" t="n"/>
      <c r="M5" s="12" t="inlineStr">
        <is>
          <t>Answer so far: For EB, insurers use a secure portal or Interface. Other lines: still e-mail. (BRD-8 BRID-005, 005.01-005.02, 009). Also affects BRD-00, BRD-08.</t>
        </is>
      </c>
    </row>
    <row r="6">
      <c r="A6" s="12" t="inlineStr">
        <is>
          <t>CLR-NB-23</t>
        </is>
      </c>
      <c r="B6" s="12" t="inlineStr">
        <is>
          <t>BRD-01 New Business</t>
        </is>
      </c>
      <c r="C6" s="12" t="inlineStr">
        <is>
          <t>Clarification</t>
        </is>
      </c>
      <c r="D6" s="12" t="inlineStr">
        <is>
          <t>Tags and instructions: Name the tags that block and the final list of tags and instructions (Q18).</t>
        </is>
      </c>
      <c r="E6" s="12" t="inlineStr">
        <is>
          <t>Which tags block a process, and the final list, are not given (Q18).</t>
        </is>
      </c>
      <c r="F6" s="12" t="inlineStr">
        <is>
          <t>Tags and instructions show as a banner that warns; they do not block a process. BRD-10 sets PEP and watchlist review by rule.</t>
        </is>
      </c>
      <c r="G6" s="12" t="inlineStr">
        <is>
          <t>FRS BRD-01 v2.1, Proposed business rules and clarifications; BRNB.091; FR-NB-036; also raised as Q18 (open question), DCR-112 (register item)</t>
        </is>
      </c>
      <c r="H6" s="12" t="inlineStr">
        <is>
          <t>Compliance (Chief Compliance Officer)</t>
        </is>
      </c>
      <c r="I6" s="37" t="n">
        <v>46356</v>
      </c>
      <c r="J6" s="12" t="inlineStr">
        <is>
          <t>High</t>
        </is>
      </c>
      <c r="K6" s="38" t="inlineStr">
        <is>
          <t>Partly answered</t>
        </is>
      </c>
      <c r="L6" s="12" t="n"/>
      <c r="M6" s="12" t="inlineStr">
        <is>
          <t>Answer so far: PEP and high-risk tags are set by rules and trigger reviews. Block vs warn still open (SANC-SQ07). (BRD-10 SNSRP-302 / 303). Also affects BRD-06, BRD-10.</t>
        </is>
      </c>
    </row>
    <row r="7">
      <c r="A7" s="12" t="inlineStr">
        <is>
          <t>CLR-NB-31</t>
        </is>
      </c>
      <c r="B7" s="12" t="inlineStr">
        <is>
          <t>BRD-01 New Business</t>
        </is>
      </c>
      <c r="C7" s="12" t="inlineStr">
        <is>
          <t>Clarification</t>
        </is>
      </c>
      <c r="D7" s="12" t="inlineStr">
        <is>
          <t>Multi-year policies: Give the multi-year basis (Q35).</t>
        </is>
      </c>
      <c r="E7" s="12" t="inlineStr">
        <is>
          <t>The basis (upfront or yearly) is not given (Q35).</t>
        </is>
      </c>
      <c r="F7" s="12" t="inlineStr">
        <is>
          <t>The premium and commission basis of a multi-year policy follows BDOI's answer; each year is invoiced separately until then.</t>
        </is>
      </c>
      <c r="G7" s="12" t="inlineStr">
        <is>
          <t>FRS BRD-01 v2.1, Proposed business rules and clarifications; FR-NB-114; also raised as Q35 (open question), DCR-006 (register item)</t>
        </is>
      </c>
      <c r="H7" s="12" t="inlineStr">
        <is>
          <t>Marketing and Processing - New Business (Product Owner)</t>
        </is>
      </c>
      <c r="I7" s="37" t="n">
        <v>46356</v>
      </c>
      <c r="J7" s="12" t="inlineStr">
        <is>
          <t>High</t>
        </is>
      </c>
      <c r="K7" s="38" t="inlineStr">
        <is>
          <t>Partly answered</t>
        </is>
      </c>
      <c r="L7" s="12" t="n"/>
      <c r="M7" s="12" t="inlineStr">
        <is>
          <t>Answer so far: Multi-year policies are billed per billing cycle. Accounting per cycle open. (BRD-4 BRCLXN.058).</t>
        </is>
      </c>
    </row>
    <row r="8">
      <c r="A8" s="12" t="inlineStr">
        <is>
          <t>CLR-NB-32</t>
        </is>
      </c>
      <c r="B8" s="12" t="inlineStr">
        <is>
          <t>BRD-01 New Business</t>
        </is>
      </c>
      <c r="C8" s="12" t="inlineStr">
        <is>
          <t>Business rule confirmation</t>
        </is>
      </c>
      <c r="D8" s="12" t="inlineStr">
        <is>
          <t>Premium tax and Motor bases: Confirm the premium tax basis (Q43) and the multi-year basis (Q35).</t>
        </is>
      </c>
      <c r="E8" s="12" t="inlineStr">
        <is>
          <t>The premium tax basis is to be confirmed (Q43).</t>
        </is>
      </c>
      <c r="F8" s="12" t="inlineStr">
        <is>
          <t>The Fire premium tax of 12% of net premium and the Motor OD / Theft bases of 90% and 81% of TSI are applied as written, as rates in the catalogue.</t>
        </is>
      </c>
      <c r="G8" s="12" t="inlineStr">
        <is>
          <t>FRS BRD-01 v2.1, Proposed business rules and clarifications; Appendix A; also raised as Q43 (open question), DCR-005 (register item)</t>
        </is>
      </c>
      <c r="H8" s="12" t="inlineStr">
        <is>
          <t>Marketing and Processing - New Business (Product Owner)</t>
        </is>
      </c>
      <c r="I8" s="37" t="n">
        <v>46356</v>
      </c>
      <c r="J8" s="12" t="inlineStr">
        <is>
          <t>High</t>
        </is>
      </c>
      <c r="K8" s="38" t="inlineStr">
        <is>
          <t>Open</t>
        </is>
      </c>
      <c r="L8" s="12" t="n"/>
      <c r="M8" s="12" t="n"/>
    </row>
    <row r="9">
      <c r="A9" s="12" t="inlineStr">
        <is>
          <t>Q13</t>
        </is>
      </c>
      <c r="B9" s="12" t="inlineStr">
        <is>
          <t>BRD-01 New Business</t>
        </is>
      </c>
      <c r="C9" s="12" t="inlineStr">
        <is>
          <t>Business rule confirmation</t>
        </is>
      </c>
      <c r="D9" s="12" t="inlineStr">
        <is>
          <t>Client code: BRNB.029 requires a client code for every quotation; BRNB.063 allows quotation without client code. Confirm: auto-create prospect code at quotation?</t>
        </is>
      </c>
      <c r="E9" s="12" t="inlineStr">
        <is>
          <t>Open point of the FRS (FR-NB-041, 046): the requirement cannot be finalised or tested as BDOI intends until it is answered.</t>
        </is>
      </c>
      <c r="F9" s="12" t="inlineStr">
        <is>
          <t>Allow a quotation without a confirmed client, and create a prospect client code automatically at quotation (BRNB.029 then holds for the prospect code).</t>
        </is>
      </c>
      <c r="G9" s="12" t="inlineStr">
        <is>
          <t>FRS BRD-01 v2.1, Open questions Q13 (affects FR-NB-041, 046); Discrepancy and clarification register v1.2, open question Q13; baseline BRNB.029, 063; also raised as DCR-001 (register item)</t>
        </is>
      </c>
      <c r="H9" s="12" t="inlineStr">
        <is>
          <t>Marketing and Processing - New Business (Product Owner)</t>
        </is>
      </c>
      <c r="I9" s="37" t="n">
        <v>46356</v>
      </c>
      <c r="J9" s="12" t="inlineStr">
        <is>
          <t>High</t>
        </is>
      </c>
      <c r="K9" s="38" t="inlineStr">
        <is>
          <t>Open</t>
        </is>
      </c>
      <c r="L9" s="12" t="n"/>
      <c r="M9" s="12" t="n"/>
    </row>
    <row r="10">
      <c r="A10" s="12" t="inlineStr">
        <is>
          <t>SO-01-1</t>
        </is>
      </c>
      <c r="B10" s="12" t="inlineStr">
        <is>
          <t>BRD-01 New Business</t>
        </is>
      </c>
      <c r="C10" s="12" t="inlineStr">
        <is>
          <t>Sign-off</t>
        </is>
      </c>
      <c r="D10" s="12" t="inlineStr">
        <is>
          <t>Sign the FRS and sign-off set of BRD-01 New Business.</t>
        </is>
      </c>
      <c r="E10" s="12" t="inlineStr">
        <is>
          <t>The signed document fixes the scope for the next step of the plan; a late sign-off moves the dates that follow it.</t>
        </is>
      </c>
      <c r="F10" s="12" t="n"/>
      <c r="G10" s="12" t="inlineStr">
        <is>
          <t>Project plan v1.0 (8-Oct-2026), sign-offs and milestones</t>
        </is>
      </c>
      <c r="H10" s="12" t="inlineStr">
        <is>
          <t>Product Owner, New Business; Business Project Services (traceability)</t>
        </is>
      </c>
      <c r="I10" s="37" t="n">
        <v>46356</v>
      </c>
      <c r="J10" s="12" t="inlineStr">
        <is>
          <t>High</t>
        </is>
      </c>
      <c r="K10" s="38" t="inlineStr">
        <is>
          <t>Open</t>
        </is>
      </c>
      <c r="L10" s="12" t="n"/>
      <c r="M10" s="12" t="n"/>
    </row>
    <row r="11">
      <c r="A11" s="12" t="inlineStr">
        <is>
          <t>CLR-NB-01</t>
        </is>
      </c>
      <c r="B11" s="12" t="inlineStr">
        <is>
          <t>BRD-01 New Business</t>
        </is>
      </c>
      <c r="C11" s="12" t="inlineStr">
        <is>
          <t>Master data</t>
        </is>
      </c>
      <c r="D11" s="12" t="inlineStr">
        <is>
          <t>Approval levels: Give the approval chain by amount, product or segment, or confirm one approval stage (Q05).</t>
        </is>
      </c>
      <c r="E11" s="12" t="inlineStr">
        <is>
          <t>The BRD asks for TL, then TH, then UH; the chain by amount, product or segment is not given (Q05).</t>
        </is>
      </c>
      <c r="F11" s="12" t="inlineStr">
        <is>
          <t>One approval stage per quotation and per PRF: any holder of the approval permission other than the maker approves.</t>
        </is>
      </c>
      <c r="G11" s="12" t="inlineStr">
        <is>
          <t>FRS BRD-01 v2.1, Proposed business rules and clarifications; BRNB.005, 014; FR-NB-014, 043, 051; also raised as Q05 (open question)</t>
        </is>
      </c>
      <c r="H11" s="12" t="inlineStr">
        <is>
          <t>Product Owner, New Business</t>
        </is>
      </c>
      <c r="I11" s="37" t="n">
        <v>46356</v>
      </c>
      <c r="J11" s="12" t="inlineStr">
        <is>
          <t>Medium</t>
        </is>
      </c>
      <c r="K11" s="38" t="inlineStr">
        <is>
          <t>Partly answered</t>
        </is>
      </c>
      <c r="L11" s="12" t="n"/>
      <c r="M11" s="12" t="inlineStr">
        <is>
          <t>Answer so far: Package requests: approved by the Marketing TL, TH or UH; TSU TL recommends, TH approves; ManCom sign-off. No amount limits. (BRD-3 BRPM.008 / 009 / 012 / 015, PMADD06).</t>
        </is>
      </c>
    </row>
    <row r="12">
      <c r="A12" s="12" t="inlineStr">
        <is>
          <t>CLR-NB-03</t>
        </is>
      </c>
      <c r="B12" s="12" t="inlineStr">
        <is>
          <t>BRD-01 New Business</t>
        </is>
      </c>
      <c r="C12" s="12" t="inlineStr">
        <is>
          <t>Report layout</t>
        </is>
      </c>
      <c r="D12" s="12" t="inlineStr">
        <is>
          <t>Late Renewal Requests Report: Confirm the Renewal listing variant (Q09, RQ29).</t>
        </is>
      </c>
      <c r="E12" s="12" t="inlineStr">
        <is>
          <t>The report concerns renewals; Report List #182 is a package report.</t>
        </is>
      </c>
      <c r="F12" s="12" t="inlineStr">
        <is>
          <t>A variant of the Renewal listing (RNW-LISTING) of BRD-6, restricted by role, in place of a New Business report.</t>
        </is>
      </c>
      <c r="G12" s="12" t="inlineStr">
        <is>
          <t>FRS BRD-01 v2.1, Proposed business rules and clarifications; BRNB.018; FR-NB-126; also raised as Q09 (open question), RQ29 (open question)</t>
        </is>
      </c>
      <c r="H12" s="12" t="inlineStr">
        <is>
          <t>Product Owner, New Business</t>
        </is>
      </c>
      <c r="I12" s="37" t="n">
        <v>46356</v>
      </c>
      <c r="J12" s="12" t="inlineStr">
        <is>
          <t>Medium</t>
        </is>
      </c>
      <c r="K12" s="38" t="inlineStr">
        <is>
          <t>Open</t>
        </is>
      </c>
      <c r="L12" s="12" t="n"/>
      <c r="M12" s="12" t="n"/>
    </row>
    <row r="13">
      <c r="A13" s="12" t="inlineStr">
        <is>
          <t>CLR-NB-04</t>
        </is>
      </c>
      <c r="B13" s="12" t="inlineStr">
        <is>
          <t>BRD-01 New Business</t>
        </is>
      </c>
      <c r="C13" s="12" t="inlineStr">
        <is>
          <t>Business rule confirmation</t>
        </is>
      </c>
      <c r="D13" s="12" t="inlineStr">
        <is>
          <t>Delete in-process records: Confirm void in place of delete.</t>
        </is>
      </c>
      <c r="E13" s="12" t="inlineStr">
        <is>
          <t>Every record is kept for the audit trail.</t>
        </is>
      </c>
      <c r="F13" s="12" t="inlineStr">
        <is>
          <t>A record is voided with a reason, hidden from the standard lists and found with the filter Include voided; it is never deleted.</t>
        </is>
      </c>
      <c r="G13" s="12" t="inlineStr">
        <is>
          <t>FRS BRD-01 v2.1, Proposed business rules and clarifications; BRNB.019; FR-NB-012</t>
        </is>
      </c>
      <c r="H13" s="12" t="inlineStr">
        <is>
          <t>Product Owner, New Business</t>
        </is>
      </c>
      <c r="I13" s="37" t="n">
        <v>46356</v>
      </c>
      <c r="J13" s="12" t="inlineStr">
        <is>
          <t>Medium</t>
        </is>
      </c>
      <c r="K13" s="38" t="inlineStr">
        <is>
          <t>Open</t>
        </is>
      </c>
      <c r="L13" s="12" t="n"/>
      <c r="M13" s="12" t="n"/>
    </row>
    <row r="14">
      <c r="A14" s="12" t="inlineStr">
        <is>
          <t>CLR-NB-05</t>
        </is>
      </c>
      <c r="B14" s="12" t="inlineStr">
        <is>
          <t>BRD-01 New Business</t>
        </is>
      </c>
      <c r="C14" s="12" t="inlineStr">
        <is>
          <t>Business rule confirmation</t>
        </is>
      </c>
      <c r="D14" s="12" t="inlineStr">
        <is>
          <t>Status list: Confirm the stage list and its service levels (Q10).</t>
        </is>
      </c>
      <c r="E14" s="12" t="inlineStr">
        <is>
          <t>Endorsements are transactions on a booked account, not a stage of the account.</t>
        </is>
      </c>
      <c r="F14" s="12" t="inlineStr">
        <is>
          <t>The statuses are the stages of the four workflows (client, quotation, PRF, account). "Endorsed" shows as the endorsement invoices of a booked account.</t>
        </is>
      </c>
      <c r="G14" s="12" t="inlineStr">
        <is>
          <t>FRS BRD-01 v2.1, Proposed business rules and clarifications; BRNB.022; FR-NB-010; also raised as Q10 (open question)</t>
        </is>
      </c>
      <c r="H14" s="12" t="inlineStr">
        <is>
          <t>Product Owner, New Business</t>
        </is>
      </c>
      <c r="I14" s="37" t="n">
        <v>46356</v>
      </c>
      <c r="J14" s="12" t="inlineStr">
        <is>
          <t>Medium</t>
        </is>
      </c>
      <c r="K14" s="38" t="inlineStr">
        <is>
          <t>Partly answered</t>
        </is>
      </c>
      <c r="L14" s="12" t="n"/>
      <c r="M14" s="12" t="inlineStr">
        <is>
          <t>Answer so far: Renewal stages and statuses, and package negotiation outcomes. Counter mapping still to confirm. (BRD-6 personas, tabs, counters, BRRN.040; BRD-3 PMADD04).</t>
        </is>
      </c>
    </row>
    <row r="15">
      <c r="A15" s="12" t="inlineStr">
        <is>
          <t>CLR-NB-07</t>
        </is>
      </c>
      <c r="B15" s="12" t="inlineStr">
        <is>
          <t>BRD-01 New Business</t>
        </is>
      </c>
      <c r="C15" s="12" t="inlineStr">
        <is>
          <t>Business rule confirmation</t>
        </is>
      </c>
      <c r="D15" s="12" t="inlineStr">
        <is>
          <t>Client code of a quotation: Confirm the automatic prospect and the confirmed client at account creation.</t>
        </is>
      </c>
      <c r="E15" s="12" t="inlineStr">
        <is>
          <t>The BRD requires a client code and also allows a quotation without one.</t>
        </is>
      </c>
      <c r="F15" s="12" t="inlineStr">
        <is>
          <t>A quotation without a client code creates a prospect automatically; a confirmed client is required from account creation.</t>
        </is>
      </c>
      <c r="G15" s="12" t="inlineStr">
        <is>
          <t>FRS BRD-01 v2.1, Proposed business rules and clarifications; BRNB.029, 063; FR-NB-041, 046</t>
        </is>
      </c>
      <c r="H15" s="12" t="inlineStr">
        <is>
          <t>Product Owner, New Business</t>
        </is>
      </c>
      <c r="I15" s="37" t="n">
        <v>46356</v>
      </c>
      <c r="J15" s="12" t="inlineStr">
        <is>
          <t>Medium</t>
        </is>
      </c>
      <c r="K15" s="38" t="inlineStr">
        <is>
          <t>Open</t>
        </is>
      </c>
      <c r="L15" s="12" t="n"/>
      <c r="M15" s="12" t="n"/>
    </row>
    <row r="16">
      <c r="A16" s="12" t="inlineStr">
        <is>
          <t>CLR-NB-08</t>
        </is>
      </c>
      <c r="B16" s="12" t="inlineStr">
        <is>
          <t>BRD-01 New Business</t>
        </is>
      </c>
      <c r="C16" s="12" t="inlineStr">
        <is>
          <t>Report layout</t>
        </is>
      </c>
      <c r="D16" s="12" t="inlineStr">
        <is>
          <t>Print options: Confirm A4 only and separate summary and detail reports.</t>
        </is>
      </c>
      <c r="E16" s="12" t="inlineStr">
        <is>
          <t>BDOI stationery is A4; a summary / detail switch per report is replaced by separate reports.</t>
        </is>
      </c>
      <c r="F16" s="12" t="inlineStr">
        <is>
          <t>Reports print on A4 only. Summary reports and detail reports with group subtotals are separate reports.</t>
        </is>
      </c>
      <c r="G16" s="12" t="inlineStr">
        <is>
          <t>FRS BRD-01 v2.1, Proposed business rules and clarifications; BRNB.031; FR-NB-124</t>
        </is>
      </c>
      <c r="H16" s="12" t="inlineStr">
        <is>
          <t>Product Owner, New Business</t>
        </is>
      </c>
      <c r="I16" s="37" t="n">
        <v>46356</v>
      </c>
      <c r="J16" s="12" t="inlineStr">
        <is>
          <t>Medium</t>
        </is>
      </c>
      <c r="K16" s="38" t="inlineStr">
        <is>
          <t>Open</t>
        </is>
      </c>
      <c r="L16" s="12" t="n"/>
      <c r="M16" s="12" t="n"/>
    </row>
    <row r="17">
      <c r="A17" s="12" t="inlineStr">
        <is>
          <t>CLR-NB-09</t>
        </is>
      </c>
      <c r="B17" s="12" t="inlineStr">
        <is>
          <t>BRD-01 New Business</t>
        </is>
      </c>
      <c r="C17" s="12" t="inlineStr">
        <is>
          <t>Business rule confirmation</t>
        </is>
      </c>
      <c r="D17" s="12" t="inlineStr">
        <is>
          <t>Duplicate checks: Confirm the client and account duplicate keys.</t>
        </is>
      </c>
      <c r="E17" s="12" t="inlineStr">
        <is>
          <t>BRNB.051 and 066 define account duplicates by risk; the BRD's example keys belong to the client.</t>
        </is>
      </c>
      <c r="F17" s="12" t="inlineStr">
        <is>
          <t>Clients are checked on their identity keys (e-mail, phone, ID number); accounts are compared on their risks (vehicle identifiers, location and insured items).</t>
        </is>
      </c>
      <c r="G17" s="12" t="inlineStr">
        <is>
          <t>FRS BRD-01 v2.1, Proposed business rules and clarifications; BRNB.032, 051, 066; FR-NB-033, 063</t>
        </is>
      </c>
      <c r="H17" s="12" t="inlineStr">
        <is>
          <t>Product Owner, New Business</t>
        </is>
      </c>
      <c r="I17" s="37" t="n">
        <v>46356</v>
      </c>
      <c r="J17" s="12" t="inlineStr">
        <is>
          <t>Medium</t>
        </is>
      </c>
      <c r="K17" s="38" t="inlineStr">
        <is>
          <t>Open</t>
        </is>
      </c>
      <c r="L17" s="12" t="n"/>
      <c r="M17" s="12" t="n"/>
    </row>
    <row r="18">
      <c r="A18" s="12" t="inlineStr">
        <is>
          <t>CLR-NB-10</t>
        </is>
      </c>
      <c r="B18" s="12" t="inlineStr">
        <is>
          <t>BRD-01 New Business</t>
        </is>
      </c>
      <c r="C18" s="12" t="inlineStr">
        <is>
          <t>Business rule confirmation</t>
        </is>
      </c>
      <c r="D18" s="12" t="inlineStr">
        <is>
          <t>Changes before batch booking: Confirm the changes allowed in the booking queue.</t>
        </is>
      </c>
      <c r="E18" s="12" t="inlineStr">
        <is>
          <t>Account details are owned by the account workflow.</t>
        </is>
      </c>
      <c r="F18" s="12" t="inlineStr">
        <is>
          <t>Before a batch is booked, Processing changes the booking date and the cost center, removes an account from the queue or cancels the batch. Other account details are changed on the account.</t>
        </is>
      </c>
      <c r="G18" s="12" t="inlineStr">
        <is>
          <t>FRS BRD-01 v2.1, Proposed business rules and clarifications; BRNB.036; FR-NB-111</t>
        </is>
      </c>
      <c r="H18" s="12" t="inlineStr">
        <is>
          <t>Product Owner, New Business</t>
        </is>
      </c>
      <c r="I18" s="37" t="n">
        <v>46356</v>
      </c>
      <c r="J18" s="12" t="inlineStr">
        <is>
          <t>Medium</t>
        </is>
      </c>
      <c r="K18" s="38" t="inlineStr">
        <is>
          <t>Open</t>
        </is>
      </c>
      <c r="L18" s="12" t="n"/>
      <c r="M18" s="12" t="n"/>
    </row>
    <row r="19">
      <c r="A19" s="12" t="inlineStr">
        <is>
          <t>CLR-NB-12</t>
        </is>
      </c>
      <c r="B19" s="12" t="inlineStr">
        <is>
          <t>BRD-01 New Business</t>
        </is>
      </c>
      <c r="C19" s="12" t="inlineStr">
        <is>
          <t>Business rule confirmation</t>
        </is>
      </c>
      <c r="D19" s="12" t="inlineStr">
        <is>
          <t>Requests received by e-mail: Confirm manual capture, or specify the mailbox reading (Q12).</t>
        </is>
      </c>
      <c r="E19" s="12" t="inlineStr">
        <is>
          <t>Automatic reading of a shared mailbox is not specified (Q12).</t>
        </is>
      </c>
      <c r="F19" s="12" t="inlineStr">
        <is>
          <t>Requests received in a shared mailbox are captured in the request inbox with the e-mail attached.</t>
        </is>
      </c>
      <c r="G19" s="12" t="inlineStr">
        <is>
          <t>FRS BRD-01 v2.1, Proposed business rules and clarifications; BRNB.041; FR-NB-040; also raised as Q12 (open question)</t>
        </is>
      </c>
      <c r="H19" s="12" t="inlineStr">
        <is>
          <t>Product Owner, New Business</t>
        </is>
      </c>
      <c r="I19" s="37" t="n">
        <v>46356</v>
      </c>
      <c r="J19" s="12" t="inlineStr">
        <is>
          <t>Medium</t>
        </is>
      </c>
      <c r="K19" s="38" t="inlineStr">
        <is>
          <t>Partly answered</t>
        </is>
      </c>
      <c r="L19" s="12" t="n"/>
      <c r="M19" s="12" t="n"/>
    </row>
    <row r="20">
      <c r="A20" s="12" t="inlineStr">
        <is>
          <t>CLR-NB-13</t>
        </is>
      </c>
      <c r="B20" s="12" t="inlineStr">
        <is>
          <t>BRD-01 New Business</t>
        </is>
      </c>
      <c r="C20" s="12" t="inlineStr">
        <is>
          <t>Business rule confirmation</t>
        </is>
      </c>
      <c r="D20" s="12" t="inlineStr">
        <is>
          <t>Draft and cancel in bulk updates: Confirm the review before commit in place of save-draft and cancel.</t>
        </is>
      </c>
      <c r="E20" s="12" t="inlineStr">
        <is>
          <t>The review before commit gives the same control as a draft.</t>
        </is>
      </c>
      <c r="F20" s="12" t="inlineStr">
        <is>
          <t>The upload is reviewed before commit; valid rows are then saved directly, without a separate draft state.</t>
        </is>
      </c>
      <c r="G20" s="12" t="inlineStr">
        <is>
          <t>FRS BRD-01 v2.1, Proposed business rules and clarifications; BRNB.047, 065; FR-NB-035</t>
        </is>
      </c>
      <c r="H20" s="12" t="inlineStr">
        <is>
          <t>Product Owner, New Business</t>
        </is>
      </c>
      <c r="I20" s="37" t="n">
        <v>46356</v>
      </c>
      <c r="J20" s="12" t="inlineStr">
        <is>
          <t>Medium</t>
        </is>
      </c>
      <c r="K20" s="38" t="inlineStr">
        <is>
          <t>Open</t>
        </is>
      </c>
      <c r="L20" s="12" t="n"/>
      <c r="M20" s="12" t="n"/>
    </row>
    <row r="21">
      <c r="A21" s="12" t="inlineStr">
        <is>
          <t>CLR-NB-14</t>
        </is>
      </c>
      <c r="B21" s="12" t="inlineStr">
        <is>
          <t>BRD-01 New Business</t>
        </is>
      </c>
      <c r="C21" s="12" t="inlineStr">
        <is>
          <t>Report layout</t>
        </is>
      </c>
      <c r="D21" s="12" t="inlineStr">
        <is>
          <t>Dynamic reports: Confirm saved variants (Q40).</t>
        </is>
      </c>
      <c r="E21" s="12" t="inlineStr">
        <is>
          <t>BRD-8 and BRD-12 answer Q40 that saved variants are enough.</t>
        </is>
      </c>
      <c r="F21" s="12" t="inlineStr">
        <is>
          <t>Users save report variants with their own column filters; there is no ad-hoc report designer.</t>
        </is>
      </c>
      <c r="G21" s="12" t="inlineStr">
        <is>
          <t>FRS BRD-01 v2.1, Proposed business rules and clarifications; BRNB.057; FR-NB-123; also raised as Q40 (open question), CRQ11 (open question), DCR-177 (register item)</t>
        </is>
      </c>
      <c r="H21" s="12" t="inlineStr">
        <is>
          <t>Report SMEs named in the Report List</t>
        </is>
      </c>
      <c r="I21" s="37" t="n">
        <v>46356</v>
      </c>
      <c r="J21" s="12" t="inlineStr">
        <is>
          <t>Medium</t>
        </is>
      </c>
      <c r="K21" s="38" t="inlineStr">
        <is>
          <t>Partly answered</t>
        </is>
      </c>
      <c r="L21" s="12" t="n"/>
      <c r="M21" s="12" t="inlineStr">
        <is>
          <t>Answer so far: User-defined filters and exports; the umbrella adds customised reports with fields, charts and summaries, scheduled or on demand (CRQ11). (BRD-8 BRID-022 AC9; Report List #74; BRD-00 BR-053, BR-054). Also affects BRD-00.</t>
        </is>
      </c>
    </row>
    <row r="22">
      <c r="A22" s="12" t="inlineStr">
        <is>
          <t>CLR-NB-15</t>
        </is>
      </c>
      <c r="B22" s="12" t="inlineStr">
        <is>
          <t>BRD-01 New Business</t>
        </is>
      </c>
      <c r="C22" s="12" t="inlineStr">
        <is>
          <t>Business rule confirmation</t>
        </is>
      </c>
      <c r="D22" s="12" t="inlineStr">
        <is>
          <t>Cancelled placement: Confirm the stage Placement cancelled and the reactivation.</t>
        </is>
      </c>
      <c r="E22" s="12" t="inlineStr">
        <is>
          <t>The account keeps its history and can be reactivated (BRD 2.1.16).</t>
        </is>
      </c>
      <c r="F22" s="12" t="inlineStr">
        <is>
          <t>A cancelled placement stays in the stage Placement cancelled, visible and reportable, until it is reactivated to Ready for placement.</t>
        </is>
      </c>
      <c r="G22" s="12" t="inlineStr">
        <is>
          <t>FRS BRD-01 v2.1, Proposed business rules and clarifications; BRNB.062; FR-NB-085, 086</t>
        </is>
      </c>
      <c r="H22" s="12" t="inlineStr">
        <is>
          <t>Product Owner, New Business</t>
        </is>
      </c>
      <c r="I22" s="37" t="n">
        <v>46356</v>
      </c>
      <c r="J22" s="12" t="inlineStr">
        <is>
          <t>Medium</t>
        </is>
      </c>
      <c r="K22" s="38" t="inlineStr">
        <is>
          <t>Open</t>
        </is>
      </c>
      <c r="L22" s="12" t="n"/>
      <c r="M22" s="12" t="n"/>
    </row>
    <row r="23">
      <c r="A23" s="12" t="inlineStr">
        <is>
          <t>CLR-NB-16</t>
        </is>
      </c>
      <c r="B23" s="12" t="inlineStr">
        <is>
          <t>BRD-01 New Business</t>
        </is>
      </c>
      <c r="C23" s="12" t="inlineStr">
        <is>
          <t>Business rule confirmation</t>
        </is>
      </c>
      <c r="D23" s="12" t="inlineStr">
        <is>
          <t>CLPC billing file: Specify the CLPC transfer or confirm the manual forwarding (Q28).</t>
        </is>
      </c>
      <c r="E23" s="12" t="inlineStr">
        <is>
          <t>The CLPC transfer is not specified (Q28); QPS references end with the migration (OOS-2).</t>
        </is>
      </c>
      <c r="F23" s="12" t="inlineStr">
        <is>
          <t>The billing file is downloaded and forwarded to CLPC by the user, and the ARN replaces the QPS reference number. An automatic transfer is added when BDOI specifies it.</t>
        </is>
      </c>
      <c r="G23" s="12" t="inlineStr">
        <is>
          <t>FRS BRD-01 v2.1, Proposed business rules and clarifications; BRNB.067; FR-NB-090; also raised as Q28 (open question)</t>
        </is>
      </c>
      <c r="H23" s="12" t="inlineStr">
        <is>
          <t>Product Owner, New Business</t>
        </is>
      </c>
      <c r="I23" s="37" t="n">
        <v>46356</v>
      </c>
      <c r="J23" s="12" t="inlineStr">
        <is>
          <t>Medium</t>
        </is>
      </c>
      <c r="K23" s="38" t="inlineStr">
        <is>
          <t>Partly answered</t>
        </is>
      </c>
      <c r="L23" s="12" t="n"/>
      <c r="M23" s="12" t="inlineStr">
        <is>
          <t>Answer so far: Three CLPC billing variants with sample files. Transport and schedule open. (Report List #65-67).</t>
        </is>
      </c>
    </row>
    <row r="24">
      <c r="A24" s="12" t="inlineStr">
        <is>
          <t>CLR-NB-18</t>
        </is>
      </c>
      <c r="B24" s="12" t="inlineStr">
        <is>
          <t>BRD-01 New Business</t>
        </is>
      </c>
      <c r="C24" s="12" t="inlineStr">
        <is>
          <t>Clarification</t>
        </is>
      </c>
      <c r="D24" s="12" t="inlineStr">
        <is>
          <t>Hold cover request: Name the accounts that need an automatic request and the outcome at expiry (Q27).</t>
        </is>
      </c>
      <c r="E24" s="12" t="inlineStr">
        <is>
          <t>Which accounts need an automatic request, and the outcome at expiry, are not given (Q27).</t>
        </is>
      </c>
      <c r="F24" s="12" t="inlineStr">
        <is>
          <t>The request is sent when Processing clicks Request Hold Cover. At expiry without a policy BIBS raises an alert.</t>
        </is>
      </c>
      <c r="G24" s="12" t="inlineStr">
        <is>
          <t>FRS BRD-01 v2.1, Proposed business rules and clarifications; BRNB.072; FR-NB-082, 083; also raised as Q27 (open question), SP-SQ12 (open question), DCR-155 (register item)</t>
        </is>
      </c>
      <c r="H24" s="12" t="inlineStr">
        <is>
          <t>BIBS Product Owner, with the owners of the BRDs involved</t>
        </is>
      </c>
      <c r="I24" s="37" t="n">
        <v>46356</v>
      </c>
      <c r="J24" s="12" t="inlineStr">
        <is>
          <t>Medium</t>
        </is>
      </c>
      <c r="K24" s="38" t="inlineStr">
        <is>
          <t>Partly answered</t>
        </is>
      </c>
      <c r="L24" s="12" t="n"/>
      <c r="M24" s="12" t="inlineStr">
        <is>
          <t>Answer so far: Hold covers apply to renewals; 30-day hold cover for submitted renewals, accepted within 3-5 days. Expiry handling open. (BRD-6 1.009.3.1.33-34; BRD-12 p.5, BRIDSP-24 / 32). Also affects BRD-06, BRD-12.</t>
        </is>
      </c>
    </row>
    <row r="25">
      <c r="A25" s="12" t="inlineStr">
        <is>
          <t>CLR-NB-19</t>
        </is>
      </c>
      <c r="B25" s="12" t="inlineStr">
        <is>
          <t>BRD-01 New Business</t>
        </is>
      </c>
      <c r="C25" s="12" t="inlineStr">
        <is>
          <t>Business rule confirmation</t>
        </is>
      </c>
      <c r="D25" s="12" t="inlineStr">
        <is>
          <t>E-policy receipt: Specify the e-policy channels or confirm the upload (Q31).</t>
        </is>
      </c>
      <c r="E25" s="12" t="inlineStr">
        <is>
          <t>The insurer channels for e-policies are not specified (Q31, Q12).</t>
        </is>
      </c>
      <c r="F25" s="12" t="inlineStr">
        <is>
          <t>E-policies are uploaded by Processing. Automatic reading of an insurer mailbox or file transfer folder is added when specified.</t>
        </is>
      </c>
      <c r="G25" s="12" t="inlineStr">
        <is>
          <t>FRS BRD-01 v2.1, Proposed business rules and clarifications; BRNB.073; FR-NB-100; also raised as Q31 (open question)</t>
        </is>
      </c>
      <c r="H25" s="12" t="inlineStr">
        <is>
          <t>Product Owner, New Business</t>
        </is>
      </c>
      <c r="I25" s="37" t="n">
        <v>46356</v>
      </c>
      <c r="J25" s="12" t="inlineStr">
        <is>
          <t>Medium</t>
        </is>
      </c>
      <c r="K25" s="38" t="inlineStr">
        <is>
          <t>Partly answered</t>
        </is>
      </c>
      <c r="L25" s="12" t="n"/>
      <c r="M25" s="12" t="inlineStr">
        <is>
          <t>Answer so far: EB insurers upload policy forms and billing through the portal. Other lines open. (BRD-8 BRID-005.01).</t>
        </is>
      </c>
    </row>
    <row r="26">
      <c r="A26" s="12" t="inlineStr">
        <is>
          <t>CLR-NB-20</t>
        </is>
      </c>
      <c r="B26" s="12" t="inlineStr">
        <is>
          <t>BRD-01 New Business</t>
        </is>
      </c>
      <c r="C26" s="12" t="inlineStr">
        <is>
          <t>Report layout</t>
        </is>
      </c>
      <c r="D26" s="12" t="inlineStr">
        <is>
          <t>Production reports: Confirm the grouping and provide the sales hierarchy and targets (Q41).</t>
        </is>
      </c>
      <c r="E26" s="12" t="inlineStr">
        <is>
          <t>"Per system" is read as per officer; QPS reports end with the migration (OOS-2); the sales hierarchy and targets are not given (Q41).</t>
        </is>
      </c>
      <c r="F26" s="12" t="inlineStr">
        <is>
          <t>Production is shown per region, department, team and officer; the Placement Summary replaces the QPS Placement Report.</t>
        </is>
      </c>
      <c r="G26" s="12" t="inlineStr">
        <is>
          <t>FRS BRD-01 v2.1, Proposed business rules and clarifications; BRNB.075; FR-NB-122; also raised as Q41 (open question)</t>
        </is>
      </c>
      <c r="H26" s="12" t="inlineStr">
        <is>
          <t>Product Owner, New Business</t>
        </is>
      </c>
      <c r="I26" s="37" t="n">
        <v>46356</v>
      </c>
      <c r="J26" s="12" t="inlineStr">
        <is>
          <t>Medium</t>
        </is>
      </c>
      <c r="K26" s="38" t="inlineStr">
        <is>
          <t>Open</t>
        </is>
      </c>
      <c r="L26" s="12" t="n"/>
      <c r="M26" s="12" t="n"/>
    </row>
    <row r="27">
      <c r="A27" s="12" t="inlineStr">
        <is>
          <t>CLR-NB-21</t>
        </is>
      </c>
      <c r="B27" s="12" t="inlineStr">
        <is>
          <t>BRD-01 New Business</t>
        </is>
      </c>
      <c r="C27" s="12" t="inlineStr">
        <is>
          <t>Business rule confirmation</t>
        </is>
      </c>
      <c r="D27" s="12" t="inlineStr">
        <is>
          <t>Workload allocation: Confirm manual claim and assignment.</t>
        </is>
      </c>
      <c r="E27" s="12" t="inlineStr">
        <is>
          <t>The BRD does not define an allocation rule.</t>
        </is>
      </c>
      <c r="F27" s="12" t="inlineStr">
        <is>
          <t>Work is claimed by a user or assigned by a team lead; there is no automatic allocation.</t>
        </is>
      </c>
      <c r="G27" s="12" t="inlineStr">
        <is>
          <t>FRS BRD-01 v2.1, Proposed business rules and clarifications; BRNB.080; FR-NB-011</t>
        </is>
      </c>
      <c r="H27" s="12" t="inlineStr">
        <is>
          <t>Product Owner, New Business</t>
        </is>
      </c>
      <c r="I27" s="37" t="n">
        <v>46356</v>
      </c>
      <c r="J27" s="12" t="inlineStr">
        <is>
          <t>Medium</t>
        </is>
      </c>
      <c r="K27" s="38" t="inlineStr">
        <is>
          <t>Open</t>
        </is>
      </c>
      <c r="L27" s="12" t="n"/>
      <c r="M27" s="12" t="n"/>
    </row>
    <row r="28">
      <c r="A28" s="12" t="inlineStr">
        <is>
          <t>CLR-NB-22</t>
        </is>
      </c>
      <c r="B28" s="12" t="inlineStr">
        <is>
          <t>BRD-01 New Business</t>
        </is>
      </c>
      <c r="C28" s="12" t="inlineStr">
        <is>
          <t>Configuration value</t>
        </is>
      </c>
      <c r="D28" s="12" t="inlineStr">
        <is>
          <t>Delete lists of values: Confirm deactivation in place of delete.</t>
        </is>
      </c>
      <c r="E28" s="12" t="inlineStr">
        <is>
          <t>Records keep their meaning over time.</t>
        </is>
      </c>
      <c r="F28" s="12" t="inlineStr">
        <is>
          <t>A list value is deactivated, never deleted, so older records keep their labels.</t>
        </is>
      </c>
      <c r="G28" s="12" t="inlineStr">
        <is>
          <t>FRS BRD-01 v2.1, Proposed business rules and clarifications; BRNB.083; FR-NB-132</t>
        </is>
      </c>
      <c r="H28" s="12" t="inlineStr">
        <is>
          <t>Product Owner, New Business</t>
        </is>
      </c>
      <c r="I28" s="37" t="n">
        <v>46356</v>
      </c>
      <c r="J28" s="12" t="inlineStr">
        <is>
          <t>Medium</t>
        </is>
      </c>
      <c r="K28" s="38" t="inlineStr">
        <is>
          <t>Open</t>
        </is>
      </c>
      <c r="L28" s="12" t="n"/>
      <c r="M28" s="12" t="n"/>
    </row>
    <row r="29">
      <c r="A29" s="12" t="inlineStr">
        <is>
          <t>CLR-NB-24</t>
        </is>
      </c>
      <c r="B29" s="12" t="inlineStr">
        <is>
          <t>BRD-01 New Business</t>
        </is>
      </c>
      <c r="C29" s="12" t="inlineStr">
        <is>
          <t>Clarification</t>
        </is>
      </c>
      <c r="D29" s="12" t="inlineStr">
        <is>
          <t>Authoritative source per data element: Give the list of data elements and their sources (Q37).</t>
        </is>
      </c>
      <c r="E29" s="12" t="inlineStr">
        <is>
          <t>BDOI's list of sources is not yet given (Q37).</t>
        </is>
      </c>
      <c r="F29" s="12" t="inlineStr">
        <is>
          <t>BIBS is the source of the clients, accounts and invoices it creates; the policy number is set only from the e-policy. The register of sources of the other elements is completed with BDOI's list.</t>
        </is>
      </c>
      <c r="G29" s="12" t="inlineStr">
        <is>
          <t>FRS BRD-01 v2.1, Proposed business rules and clarifications; BRNB.092; FR-NB-020; also raised as Q37 (open question)</t>
        </is>
      </c>
      <c r="H29" s="12" t="inlineStr">
        <is>
          <t>Product Owner, New Business</t>
        </is>
      </c>
      <c r="I29" s="37" t="n">
        <v>46356</v>
      </c>
      <c r="J29" s="12" t="inlineStr">
        <is>
          <t>Medium</t>
        </is>
      </c>
      <c r="K29" s="38" t="inlineStr">
        <is>
          <t>Partly answered</t>
        </is>
      </c>
      <c r="L29" s="12" t="n"/>
      <c r="M29" s="12" t="inlineStr">
        <is>
          <t>Answer so far: Policy number flows from the policy system to Claims; QPS / EBIX are systems of record for contacts during coexistence; from cutover the new Core holds the trusted client master and reference data (BRD-13 draft). (BRD-7 BRCLM.007 / 039; BRD-9 p.3, BRCSF-002; B.</t>
        </is>
      </c>
    </row>
    <row r="30">
      <c r="A30" s="12" t="inlineStr">
        <is>
          <t>CLR-NB-25</t>
        </is>
      </c>
      <c r="B30" s="12" t="inlineStr">
        <is>
          <t>BRD-01 New Business</t>
        </is>
      </c>
      <c r="C30" s="12" t="inlineStr">
        <is>
          <t>Business rule confirmation</t>
        </is>
      </c>
      <c r="D30" s="12" t="inlineStr">
        <is>
          <t>Leads: Confirm that leads are out of scope, or describe the lead process (Q19).</t>
        </is>
      </c>
      <c r="E30" s="12" t="inlineStr">
        <is>
          <t>The lead process is not described in the BRD (Q19).</t>
        </is>
      </c>
      <c r="F30" s="12" t="inlineStr">
        <is>
          <t>Business starts at the prospect; lead management before the prospect (for example bank referrals) is not part of this FRS.</t>
        </is>
      </c>
      <c r="G30" s="12" t="inlineStr">
        <is>
          <t>FRS BRD-01 v2.1, Proposed business rules and clarifications; BRNB.099; FR-NB-037; also raised as Q19 (open question)</t>
        </is>
      </c>
      <c r="H30" s="12" t="inlineStr">
        <is>
          <t>Product Owner, New Business</t>
        </is>
      </c>
      <c r="I30" s="37" t="n">
        <v>46356</v>
      </c>
      <c r="J30" s="12" t="inlineStr">
        <is>
          <t>Medium</t>
        </is>
      </c>
      <c r="K30" s="38" t="inlineStr">
        <is>
          <t>Open</t>
        </is>
      </c>
      <c r="L30" s="12" t="n"/>
      <c r="M30" s="12" t="n"/>
    </row>
    <row r="31">
      <c r="A31" s="12" t="inlineStr">
        <is>
          <t>CLR-NB-26</t>
        </is>
      </c>
      <c r="B31" s="12" t="inlineStr">
        <is>
          <t>BRD-01 New Business</t>
        </is>
      </c>
      <c r="C31" s="12" t="inlineStr">
        <is>
          <t>Decision</t>
        </is>
      </c>
      <c r="D31" s="12" t="inlineStr">
        <is>
          <t>Extraction from uploaded documents: Decide whether scanned e-policies need OCR (Q24).</t>
        </is>
      </c>
      <c r="E31" s="12" t="inlineStr">
        <is>
          <t>OCR of scanned documents is not decided (Q24).</t>
        </is>
      </c>
      <c r="F31" s="12" t="inlineStr">
        <is>
          <t>BIBS reads the e-policy data from text PDFs; scanned documents are keyed in.</t>
        </is>
      </c>
      <c r="G31" s="12" t="inlineStr">
        <is>
          <t>FRS BRD-01 v2.1, Proposed business rules and clarifications; BRNB.104; FR-NB-101; also raised as Q24 (open question)</t>
        </is>
      </c>
      <c r="H31" s="12" t="inlineStr">
        <is>
          <t>Product Owner, New Business</t>
        </is>
      </c>
      <c r="I31" s="37" t="n">
        <v>46356</v>
      </c>
      <c r="J31" s="12" t="inlineStr">
        <is>
          <t>Medium</t>
        </is>
      </c>
      <c r="K31" s="38" t="inlineStr">
        <is>
          <t>Partly answered</t>
        </is>
      </c>
      <c r="L31" s="12" t="n"/>
      <c r="M31" s="12" t="inlineStr">
        <is>
          <t>Answer so far: Submitted policy documents are extracted and confirmed by a user; scanned input implies OCR. (BRD-12 BRIDSP-02).</t>
        </is>
      </c>
    </row>
    <row r="32">
      <c r="A32" s="12" t="inlineStr">
        <is>
          <t>CLR-NB-27</t>
        </is>
      </c>
      <c r="B32" s="12" t="inlineStr">
        <is>
          <t>BRD-01 New Business</t>
        </is>
      </c>
      <c r="C32" s="12" t="inlineStr">
        <is>
          <t>Decision</t>
        </is>
      </c>
      <c r="D32" s="12" t="inlineStr">
        <is>
          <t>Retention, archive and purge: Decide the archive and purge approach (Q39).</t>
        </is>
      </c>
      <c r="E32" s="12" t="inlineStr">
        <is>
          <t>The storage and backup decision is open (Q39).</t>
        </is>
      </c>
      <c r="F32" s="12" t="inlineStr">
        <is>
          <t>Retention rules and review counts are kept in BIBS; nothing is deleted. The physical archive and purge follow the storage and backup decision.</t>
        </is>
      </c>
      <c r="G32" s="12" t="inlineStr">
        <is>
          <t>FRS BRD-01 v2.1, Proposed business rules and clarifications; BRNB.106; FR-NB-137; also raised as Q39 (open question), DCR-007 (register item)</t>
        </is>
      </c>
      <c r="H32" s="12" t="inlineStr">
        <is>
          <t>Marketing and Processing - New Business (Product Owner)</t>
        </is>
      </c>
      <c r="I32" s="37" t="n">
        <v>46356</v>
      </c>
      <c r="J32" s="12" t="inlineStr">
        <is>
          <t>Medium</t>
        </is>
      </c>
      <c r="K32" s="38" t="inlineStr">
        <is>
          <t>Partly answered</t>
        </is>
      </c>
      <c r="L32" s="12" t="n"/>
      <c r="M32" s="12" t="inlineStr">
        <is>
          <t>Answer so far: Umbrella: 5 years online / 15 years offline for application, data store, audit logs and historical data. Claims 10 / 15; EB 5 / 15; CSF 5 / 15; screening 5 / 5. Exceptions per record type and purge vs archive open (CRQ22). (BRD-7 p.41; BRD-8 p.54; BRD-9 p.14;.</t>
        </is>
      </c>
    </row>
    <row r="33">
      <c r="A33" s="12" t="inlineStr">
        <is>
          <t>CLR-NB-28</t>
        </is>
      </c>
      <c r="B33" s="12" t="inlineStr">
        <is>
          <t>BRD-01 New Business</t>
        </is>
      </c>
      <c r="C33" s="12" t="inlineStr">
        <is>
          <t>Clarification</t>
        </is>
      </c>
      <c r="D33" s="12" t="inlineStr">
        <is>
          <t>Incentive criteria: Provide the criteria content (Q33).</t>
        </is>
      </c>
      <c r="E33" s="12" t="inlineStr">
        <is>
          <t>BRD-3 PMADD07 and 08 give Product Maintenance the criteria; their content is not given (Q33).</t>
        </is>
      </c>
      <c r="F33" s="12" t="inlineStr">
        <is>
          <t>The incentive criteria are maintained in Product Maintenance (BRD-3) and stamped on the invoice when it is evaluated (CLR-NB-46); computation and payout are out of scope.</t>
        </is>
      </c>
      <c r="G33" s="12" t="inlineStr">
        <is>
          <t>FRS BRD-01 v2.1, Proposed business rules and clarifications; BRNB.107; FR-NB-118; also raised as Q33 (open question)</t>
        </is>
      </c>
      <c r="H33" s="12" t="inlineStr">
        <is>
          <t>Product Owner, New Business</t>
        </is>
      </c>
      <c r="I33" s="37" t="n">
        <v>46356</v>
      </c>
      <c r="J33" s="12" t="inlineStr">
        <is>
          <t>Medium</t>
        </is>
      </c>
      <c r="K33" s="38" t="inlineStr">
        <is>
          <t>Partly answered</t>
        </is>
      </c>
      <c r="L33" s="12" t="n"/>
      <c r="M33" s="12" t="inlineStr">
        <is>
          <t>Answer so far: Incentive criteria kept on the products matrix; CPC2 = package Fire / Motor incentive computed per remittance. Rates not given. (BRD-3 PMADD07 / 08; BRD-5 DIS 3.29.2).</t>
        </is>
      </c>
    </row>
    <row r="34">
      <c r="A34" s="12" t="inlineStr">
        <is>
          <t>CLR-NB-29</t>
        </is>
      </c>
      <c r="B34" s="12" t="inlineStr">
        <is>
          <t>BRD-01 New Business</t>
        </is>
      </c>
      <c r="C34" s="12" t="inlineStr">
        <is>
          <t>Business rule confirmation</t>
        </is>
      </c>
      <c r="D34" s="12" t="inlineStr">
        <is>
          <t>Shared path: Confirm the in-system list.</t>
        </is>
      </c>
      <c r="E34" s="12" t="inlineStr">
        <is>
          <t>A shared network path is replaced by the in-system list.</t>
        </is>
      </c>
      <c r="F34" s="12" t="inlineStr">
        <is>
          <t>The list is kept in BIBS with its report and a notification; the user downloads it to any folder.</t>
        </is>
      </c>
      <c r="G34" s="12" t="inlineStr">
        <is>
          <t>FRS BRD-01 v2.1, Proposed business rules and clarifications; BRNB.110; FR-NB-038</t>
        </is>
      </c>
      <c r="H34" s="12" t="inlineStr">
        <is>
          <t>Product Owner, New Business</t>
        </is>
      </c>
      <c r="I34" s="37" t="n">
        <v>46356</v>
      </c>
      <c r="J34" s="12" t="inlineStr">
        <is>
          <t>Medium</t>
        </is>
      </c>
      <c r="K34" s="38" t="inlineStr">
        <is>
          <t>Open</t>
        </is>
      </c>
      <c r="L34" s="12" t="n"/>
      <c r="M34" s="12" t="n"/>
    </row>
    <row r="35">
      <c r="A35" s="12" t="inlineStr">
        <is>
          <t>CLR-NB-30</t>
        </is>
      </c>
      <c r="B35" s="12" t="inlineStr">
        <is>
          <t>BRD-01 New Business</t>
        </is>
      </c>
      <c r="C35" s="12" t="inlineStr">
        <is>
          <t>Business rule confirmation</t>
        </is>
      </c>
      <c r="D35" s="12" t="inlineStr">
        <is>
          <t>Direct payment accounting: Confirm the direct payment accounting (Q29).</t>
        </is>
      </c>
      <c r="E35" s="12" t="inlineStr">
        <is>
          <t>The accounting variant is not given in the BRD (Q29).</t>
        </is>
      </c>
      <c r="F35" s="12" t="inlineStr">
        <is>
          <t>For a direct payment account, booking records the commission receivable only.</t>
        </is>
      </c>
      <c r="G35" s="12" t="inlineStr">
        <is>
          <t>FRS BRD-01 v2.1, Proposed business rules and clarifications; FR-NB-069; also raised as Q29 (open question)</t>
        </is>
      </c>
      <c r="H35" s="12" t="inlineStr">
        <is>
          <t>Product Owner, New Business</t>
        </is>
      </c>
      <c r="I35" s="37" t="n">
        <v>46356</v>
      </c>
      <c r="J35" s="12" t="inlineStr">
        <is>
          <t>Medium</t>
        </is>
      </c>
      <c r="K35" s="38" t="inlineStr">
        <is>
          <t>Open</t>
        </is>
      </c>
      <c r="L35" s="12" t="n"/>
      <c r="M35" s="12" t="n"/>
    </row>
    <row r="36">
      <c r="A36" s="12" t="inlineStr">
        <is>
          <t>CLR-NB-33</t>
        </is>
      </c>
      <c r="B36" s="12" t="inlineStr">
        <is>
          <t>BRD-01 New Business</t>
        </is>
      </c>
      <c r="C36" s="12" t="inlineStr">
        <is>
          <t>Business rule confirmation</t>
        </is>
      </c>
      <c r="D36" s="12" t="inlineStr">
        <is>
          <t>BIR CAS / e-invoicing: Confirm that BIR transmission is out of this phase.</t>
        </is>
      </c>
      <c r="E36" s="12" t="inlineStr">
        <is>
          <t>The BIR transmission is not in the BRD.</t>
        </is>
      </c>
      <c r="F36" s="12" t="inlineStr">
        <is>
          <t>Service invoices are numbered, produced and dispatched in BIBS; transmission to BIR CAS / e-invoicing is not part of this phase.</t>
        </is>
      </c>
      <c r="G36" s="12" t="inlineStr">
        <is>
          <t>FRS BRD-01 v2.1, Proposed business rules and clarifications; FR-NB-117</t>
        </is>
      </c>
      <c r="H36" s="12" t="inlineStr">
        <is>
          <t>Product Owner, New Business</t>
        </is>
      </c>
      <c r="I36" s="37" t="n">
        <v>46356</v>
      </c>
      <c r="J36" s="12" t="inlineStr">
        <is>
          <t>Medium</t>
        </is>
      </c>
      <c r="K36" s="38" t="inlineStr">
        <is>
          <t>Open</t>
        </is>
      </c>
      <c r="L36" s="12" t="n"/>
      <c r="M36" s="12" t="n"/>
    </row>
    <row r="37">
      <c r="A37" s="12" t="inlineStr">
        <is>
          <t>CLR-NB-34</t>
        </is>
      </c>
      <c r="B37" s="12" t="inlineStr">
        <is>
          <t>BRD-01 New Business</t>
        </is>
      </c>
      <c r="C37" s="12" t="inlineStr">
        <is>
          <t>Configuration value</t>
        </is>
      </c>
      <c r="D37" s="12" t="inlineStr">
        <is>
          <t>TSU rule thresholds: Confirm maker-checker on TSU rule changes.</t>
        </is>
      </c>
      <c r="E37" s="12" t="inlineStr">
        <is>
          <t>The BRD does not say whether a threshold change needs authorisation.</t>
        </is>
      </c>
      <c r="F37" s="12" t="inlineStr">
        <is>
          <t>A change of a TSU rule threshold applies to the next evaluation and is authorised by a second user, like the other catalogue masters.</t>
        </is>
      </c>
      <c r="G37" s="12" t="inlineStr">
        <is>
          <t>FRS BRD-01 v2.1, Proposed business rules and clarifications; FR-NB-005</t>
        </is>
      </c>
      <c r="H37" s="12" t="inlineStr">
        <is>
          <t>Product Owner, New Business</t>
        </is>
      </c>
      <c r="I37" s="37" t="n">
        <v>46356</v>
      </c>
      <c r="J37" s="12" t="inlineStr">
        <is>
          <t>Medium</t>
        </is>
      </c>
      <c r="K37" s="38" t="inlineStr">
        <is>
          <t>Open</t>
        </is>
      </c>
      <c r="L37" s="12" t="n"/>
      <c r="M37" s="12" t="n"/>
    </row>
    <row r="38">
      <c r="A38" s="12" t="inlineStr">
        <is>
          <t>CLR-NB-35</t>
        </is>
      </c>
      <c r="B38" s="12" t="inlineStr">
        <is>
          <t>BRD-01 New Business</t>
        </is>
      </c>
      <c r="C38" s="12" t="inlineStr">
        <is>
          <t>Clarification</t>
        </is>
      </c>
      <c r="D38" s="12" t="inlineStr">
        <is>
          <t>BDOI number format: Give the number format (Q15).</t>
        </is>
      </c>
      <c r="E38" s="12" t="inlineStr">
        <is>
          <t>The format is not given (Q15).</t>
        </is>
      </c>
      <c r="F38" s="12" t="inlineStr">
        <is>
          <t>The account reference is ARN-yyyy-nnnnnn until BDOI states the format of its number.</t>
        </is>
      </c>
      <c r="G38" s="12" t="inlineStr">
        <is>
          <t>FRS BRD-01 v2.1, Proposed business rules and clarifications; FR-NB-047; also raised as Q15 (open question), RQ03 (open question), DCR-156 (register item)</t>
        </is>
      </c>
      <c r="H38" s="12" t="inlineStr">
        <is>
          <t>BIBS Product Owner, with the owners of the BRDs involved</t>
        </is>
      </c>
      <c r="I38" s="37" t="n">
        <v>46356</v>
      </c>
      <c r="J38" s="12" t="inlineStr">
        <is>
          <t>Medium</t>
        </is>
      </c>
      <c r="K38" s="38" t="inlineStr">
        <is>
          <t>Partly answered</t>
        </is>
      </c>
      <c r="L38" s="12" t="n"/>
      <c r="M38" s="12" t="inlineStr">
        <is>
          <t>Answer so far: A mandatory unique renewal reference is the matching key; no format given. (BRD-6 BRRN.022). Also affects BRD-06, BRD-12.</t>
        </is>
      </c>
    </row>
    <row r="39">
      <c r="A39" s="12" t="inlineStr">
        <is>
          <t>CLR-NB-36</t>
        </is>
      </c>
      <c r="B39" s="12" t="inlineStr">
        <is>
          <t>BRD-01 New Business</t>
        </is>
      </c>
      <c r="C39" s="12" t="inlineStr">
        <is>
          <t>Business rule confirmation</t>
        </is>
      </c>
      <c r="D39" s="12" t="inlineStr">
        <is>
          <t>Escalation beyond the stage owners: Confirm that no escalation to the unit head is needed.</t>
        </is>
      </c>
      <c r="E39" s="12" t="inlineStr">
        <is>
          <t>The BRD does not ask for escalation beyond the stage owners.</t>
        </is>
      </c>
      <c r="F39" s="12" t="inlineStr">
        <is>
          <t>Overdue work alerts the owners of the stage and shows on the NB Dashboard; it is not escalated to a higher level.</t>
        </is>
      </c>
      <c r="G39" s="12" t="inlineStr">
        <is>
          <t>FRS BRD-01 v2.1, Proposed business rules and clarifications; FR-NB-010, 011</t>
        </is>
      </c>
      <c r="H39" s="12" t="inlineStr">
        <is>
          <t>Product Owner, New Business</t>
        </is>
      </c>
      <c r="I39" s="37" t="n">
        <v>46356</v>
      </c>
      <c r="J39" s="12" t="inlineStr">
        <is>
          <t>Medium</t>
        </is>
      </c>
      <c r="K39" s="38" t="inlineStr">
        <is>
          <t>Open</t>
        </is>
      </c>
      <c r="L39" s="12" t="n"/>
      <c r="M39" s="12" t="n"/>
    </row>
    <row r="40">
      <c r="A40" s="12" t="inlineStr">
        <is>
          <t>CLR-NB-37</t>
        </is>
      </c>
      <c r="B40" s="12" t="inlineStr">
        <is>
          <t>BRD-01 New Business</t>
        </is>
      </c>
      <c r="C40" s="12" t="inlineStr">
        <is>
          <t>Sample document or template</t>
        </is>
      </c>
      <c r="D40" s="12" t="inlineStr">
        <is>
          <t>Document layouts: Provide the document layouts (Q03).</t>
        </is>
      </c>
      <c r="E40" s="12" t="inlineStr">
        <is>
          <t>BDOI's layouts are not yet provided (Q03).</t>
        </is>
      </c>
      <c r="F40" s="12" t="inlineStr">
        <is>
          <t>Documents are produced from versioned templates in proposed draft layouts; BDOI's layouts are loaded as new template versions.</t>
        </is>
      </c>
      <c r="G40" s="12" t="inlineStr">
        <is>
          <t>FRS BRD-01 v2.1, Proposed business rules and clarifications; FR-NB-004; also raised as Q03 (open question), RQ26 (open question), EBQ08 (open question)</t>
        </is>
      </c>
      <c r="H40" s="12" t="inlineStr">
        <is>
          <t>Product Owner, New Business</t>
        </is>
      </c>
      <c r="I40" s="37" t="n">
        <v>46356</v>
      </c>
      <c r="J40" s="12" t="inlineStr">
        <is>
          <t>Medium</t>
        </is>
      </c>
      <c r="K40" s="38" t="inlineStr">
        <is>
          <t>Open</t>
        </is>
      </c>
      <c r="L40" s="12" t="n"/>
      <c r="M40" s="12" t="n"/>
    </row>
    <row r="41">
      <c r="A41" s="12" t="inlineStr">
        <is>
          <t>CLR-NB-38</t>
        </is>
      </c>
      <c r="B41" s="12" t="inlineStr">
        <is>
          <t>BRD-01 New Business</t>
        </is>
      </c>
      <c r="C41" s="12" t="inlineStr">
        <is>
          <t>Business rule confirmation</t>
        </is>
      </c>
      <c r="D41" s="12" t="inlineStr">
        <is>
          <t>Main path of the stepper: Confirm the main path and the endings of each stepper.</t>
        </is>
      </c>
      <c r="E41" s="12" t="inlineStr">
        <is>
          <t>Two good endings on one line would make the path read as two steps.</t>
        </is>
      </c>
      <c r="F41" s="12" t="inlineStr">
        <is>
          <t>The stepper of a quotation, proposal request and account shows the main path to its first good ending (for example the quotation ends at Account Created). Where a workflow has a second good ending (a quotation Accepted by Client without an account yet, an account Booked or issued without booking), that ending is shown only when the record reaches it.</t>
        </is>
      </c>
      <c r="G41" s="12" t="inlineStr">
        <is>
          <t>FRS BRD-01 v2.1, Proposed business rules and clarifications; screen standards</t>
        </is>
      </c>
      <c r="H41" s="12" t="inlineStr">
        <is>
          <t>Product Owner, New Business</t>
        </is>
      </c>
      <c r="I41" s="37" t="n">
        <v>46356</v>
      </c>
      <c r="J41" s="12" t="inlineStr">
        <is>
          <t>Medium</t>
        </is>
      </c>
      <c r="K41" s="38" t="inlineStr">
        <is>
          <t>Open</t>
        </is>
      </c>
      <c r="L41" s="12" t="n"/>
      <c r="M41" s="12" t="n"/>
    </row>
    <row r="42">
      <c r="A42" s="12" t="inlineStr">
        <is>
          <t>CLR-NB-39</t>
        </is>
      </c>
      <c r="B42" s="12" t="inlineStr">
        <is>
          <t>BRD-01 New Business</t>
        </is>
      </c>
      <c r="C42" s="12" t="inlineStr">
        <is>
          <t>Configuration value</t>
        </is>
      </c>
      <c r="D42" s="12" t="inlineStr">
        <is>
          <t>Scheme rate in the Rate Exceptions table: Confirm the rate the requested rate is compared with.</t>
        </is>
      </c>
      <c r="E42" s="12" t="inlineStr">
        <is>
          <t>The exception is approved against the package scheme (BRD-3).</t>
        </is>
      </c>
      <c r="F42" s="12" t="inlineStr">
        <is>
          <t>The Scheme Rate column shows the package rate of the version that priced the quotation; the panel insurer's own rate is not shown in the table.</t>
        </is>
      </c>
      <c r="G42" s="12" t="inlineStr">
        <is>
          <t>FRS BRD-01 v2.1, Proposed business rules and clarifications; BRD-3 FR-PM-051</t>
        </is>
      </c>
      <c r="H42" s="12" t="inlineStr">
        <is>
          <t>Product Owner, New Business</t>
        </is>
      </c>
      <c r="I42" s="37" t="n">
        <v>46356</v>
      </c>
      <c r="J42" s="12" t="inlineStr">
        <is>
          <t>Medium</t>
        </is>
      </c>
      <c r="K42" s="38" t="inlineStr">
        <is>
          <t>Open</t>
        </is>
      </c>
      <c r="L42" s="12" t="n"/>
      <c r="M42" s="12" t="n"/>
    </row>
    <row r="43">
      <c r="A43" s="12" t="inlineStr">
        <is>
          <t>CLR-NB-40</t>
        </is>
      </c>
      <c r="B43" s="12" t="inlineStr">
        <is>
          <t>BRD-01 New Business</t>
        </is>
      </c>
      <c r="C43" s="12" t="inlineStr">
        <is>
          <t>Configuration value</t>
        </is>
      </c>
      <c r="D43" s="12" t="inlineStr">
        <is>
          <t>Difference column of the Rate Exceptions table: Confirm percentage points with the sign.</t>
        </is>
      </c>
      <c r="E43" s="12" t="inlineStr">
        <is>
          <t>A percentage of the rate would read as a second rate.</t>
        </is>
      </c>
      <c r="F43" s="12" t="inlineStr">
        <is>
          <t>The difference is shown in percentage points with its sign and two decimals (requested 1.10 against scheme 1.20 reads -0.10).</t>
        </is>
      </c>
      <c r="G43" s="12" t="inlineStr">
        <is>
          <t>FRS BRD-01 v2.1, Proposed business rules and clarifications</t>
        </is>
      </c>
      <c r="H43" s="12" t="inlineStr">
        <is>
          <t>Product Owner, New Business</t>
        </is>
      </c>
      <c r="I43" s="37" t="n">
        <v>46356</v>
      </c>
      <c r="J43" s="12" t="inlineStr">
        <is>
          <t>Medium</t>
        </is>
      </c>
      <c r="K43" s="38" t="inlineStr">
        <is>
          <t>Open</t>
        </is>
      </c>
      <c r="L43" s="12" t="n"/>
      <c r="M43" s="12" t="n"/>
    </row>
    <row r="44">
      <c r="A44" s="12" t="inlineStr">
        <is>
          <t>CLR-NB-41</t>
        </is>
      </c>
      <c r="B44" s="12" t="inlineStr">
        <is>
          <t>BRD-01 New Business</t>
        </is>
      </c>
      <c r="C44" s="12" t="inlineStr">
        <is>
          <t>Business rule confirmation</t>
        </is>
      </c>
      <c r="D44" s="12" t="inlineStr">
        <is>
          <t>Special instructions on records: Confirm the notice and the tags.</t>
        </is>
      </c>
      <c r="E44" s="12" t="inlineStr">
        <is>
          <t>The instructions warn and do not block.</t>
        </is>
      </c>
      <c r="F44" s="12" t="inlineStr">
        <is>
          <t>The special instructions of the client in force show as one short information notice under the record header of the client, quotation, proposal request and account; client tags such as BDO employee are tags in the header.</t>
        </is>
      </c>
      <c r="G44" s="12" t="inlineStr">
        <is>
          <t>FRS BRD-01 v2.1, Proposed business rules and clarifications; FR-NB-036</t>
        </is>
      </c>
      <c r="H44" s="12" t="inlineStr">
        <is>
          <t>Product Owner, New Business</t>
        </is>
      </c>
      <c r="I44" s="37" t="n">
        <v>46356</v>
      </c>
      <c r="J44" s="12" t="inlineStr">
        <is>
          <t>Medium</t>
        </is>
      </c>
      <c r="K44" s="38" t="inlineStr">
        <is>
          <t>Open</t>
        </is>
      </c>
      <c r="L44" s="12" t="n"/>
      <c r="M44" s="12" t="n"/>
    </row>
    <row r="45">
      <c r="A45" s="12" t="inlineStr">
        <is>
          <t>CLR-NB-42</t>
        </is>
      </c>
      <c r="B45" s="12" t="inlineStr">
        <is>
          <t>BRD-01 New Business</t>
        </is>
      </c>
      <c r="C45" s="12" t="inlineStr">
        <is>
          <t>Business rule confirmation</t>
        </is>
      </c>
      <c r="D45" s="12" t="inlineStr">
        <is>
          <t>Endorsement type labels: Confirm the labels or give BDOI's wording.</t>
        </is>
      </c>
      <c r="E45" s="12" t="inlineStr">
        <is>
          <t>Users read labels, not codes.</t>
        </is>
      </c>
      <c r="F45" s="12" t="inlineStr">
        <is>
          <t>Endorsement types show their business labels: Additional premium, Refund (return premium), Renewal, Cancellation (pro-rata 1/365) and NIL (non-financial); endorsement requests show the list label of their type.</t>
        </is>
      </c>
      <c r="G45" s="12" t="inlineStr">
        <is>
          <t>FRS BRD-01 v2.1, Proposed business rules and clarifications</t>
        </is>
      </c>
      <c r="H45" s="12" t="inlineStr">
        <is>
          <t>Product Owner, New Business</t>
        </is>
      </c>
      <c r="I45" s="37" t="n">
        <v>46356</v>
      </c>
      <c r="J45" s="12" t="inlineStr">
        <is>
          <t>Medium</t>
        </is>
      </c>
      <c r="K45" s="38" t="inlineStr">
        <is>
          <t>Open</t>
        </is>
      </c>
      <c r="L45" s="12" t="n"/>
      <c r="M45" s="12" t="n"/>
    </row>
    <row r="46">
      <c r="A46" s="12" t="inlineStr">
        <is>
          <t>CLR-NB-43</t>
        </is>
      </c>
      <c r="B46" s="12" t="inlineStr">
        <is>
          <t>BRD-01 New Business</t>
        </is>
      </c>
      <c r="C46" s="12" t="inlineStr">
        <is>
          <t>Business rule confirmation</t>
        </is>
      </c>
      <c r="D46" s="12" t="inlineStr">
        <is>
          <t>Full status labels: Confirm full labels and the short forms of the longer ones.</t>
        </is>
      </c>
      <c r="E46" s="12" t="inlineStr">
        <is>
          <t>The client asked for full labels where they fit (27-Sep-2026).</t>
        </is>
      </c>
      <c r="F46" s="12" t="inlineStr">
        <is>
          <t>Statuses show their full label (for example Returned to Marketing, Ready for Placement, Pending Authorization); a short form with the full label in the tooltip is used only above 21 characters.</t>
        </is>
      </c>
      <c r="G46" s="12" t="inlineStr">
        <is>
          <t>FRS BRD-01 v2.1, Proposed business rules and clarifications</t>
        </is>
      </c>
      <c r="H46" s="12" t="inlineStr">
        <is>
          <t>Product Owner, New Business</t>
        </is>
      </c>
      <c r="I46" s="37" t="n">
        <v>46356</v>
      </c>
      <c r="J46" s="12" t="inlineStr">
        <is>
          <t>Medium</t>
        </is>
      </c>
      <c r="K46" s="38" t="inlineStr">
        <is>
          <t>Open</t>
        </is>
      </c>
      <c r="L46" s="12" t="n"/>
      <c r="M46" s="12" t="n"/>
    </row>
    <row r="47">
      <c r="A47" s="12" t="inlineStr">
        <is>
          <t>CLR-NB-44</t>
        </is>
      </c>
      <c r="B47" s="12" t="inlineStr">
        <is>
          <t>BRD-01 New Business</t>
        </is>
      </c>
      <c r="C47" s="12" t="inlineStr">
        <is>
          <t>Business rule confirmation</t>
        </is>
      </c>
      <c r="D47" s="12" t="inlineStr">
        <is>
          <t>BRNB.100 restated: Confirm that the addendum adds the EOPT requirement to BRNB.100 and that the service invoice production of the Workshop wording remains required.</t>
        </is>
      </c>
      <c r="E47" s="12" t="inlineStr">
        <is>
          <t>The IT Walkthrough Addendum gives BRNB.100 a new requirement (EOPT) and does not repeat the service invoice text, while BRNB.100.1 still sends the generated service invoice.</t>
        </is>
      </c>
      <c r="F47" s="12" t="inlineStr">
        <is>
          <t>BRNB.100 is met by the EOPT details on the placement (FR-NB-087). The service invoice production of the Workshop wording of BRNB.100 (template, triggers, owner) stays in scope with FR-NB-117, which also meets BRNB.100.1.</t>
        </is>
      </c>
      <c r="G47" s="12" t="inlineStr">
        <is>
          <t>FRS BRD-01 v2.1, Proposed business rules and clarifications; FR-NB-087, FR-NB-117</t>
        </is>
      </c>
      <c r="H47" s="12" t="inlineStr">
        <is>
          <t>Product Owner, New Business</t>
        </is>
      </c>
      <c r="I47" s="37" t="n">
        <v>46356</v>
      </c>
      <c r="J47" s="12" t="inlineStr">
        <is>
          <t>Medium</t>
        </is>
      </c>
      <c r="K47" s="38" t="inlineStr">
        <is>
          <t>Open</t>
        </is>
      </c>
      <c r="L47" s="12" t="n"/>
      <c r="M47" s="12" t="n"/>
    </row>
    <row r="48">
      <c r="A48" s="12" t="inlineStr">
        <is>
          <t>CLR-NB-45</t>
        </is>
      </c>
      <c r="B48" s="12" t="inlineStr">
        <is>
          <t>BRD-01 New Business</t>
        </is>
      </c>
      <c r="C48" s="12" t="inlineStr">
        <is>
          <t>Master data</t>
        </is>
      </c>
      <c r="D48" s="12" t="inlineStr">
        <is>
          <t>EOPT details on the placement: Give the full list of EOPT fields, confirm the client's address as the registered address or name another source, and say whether missing EOPT details should stop the sending for some insurers or segments.</t>
        </is>
      </c>
      <c r="E48" s="12" t="inlineStr">
        <is>
          <t>The BRD lists "taxpayer name, TIN number, registered address, etc." and asks for them "when EOPT information is available".</t>
        </is>
      </c>
      <c r="F48" s="12" t="inlineStr">
        <is>
          <t>The slip carries the taxpayer name, TIN and registered address from the client record (the client's address serves as the registered address). A change before the final sending regenerates the slip. When details are missing the slip is sent with the details shown as not available; it is not blocked.</t>
        </is>
      </c>
      <c r="G48" s="12" t="inlineStr">
        <is>
          <t>FRS BRD-01 v2.1, Proposed business rules and clarifications; BRNB.100; FR-NB-087</t>
        </is>
      </c>
      <c r="H48" s="12" t="inlineStr">
        <is>
          <t>Product Owner, New Business</t>
        </is>
      </c>
      <c r="I48" s="37" t="n">
        <v>46356</v>
      </c>
      <c r="J48" s="12" t="inlineStr">
        <is>
          <t>Medium</t>
        </is>
      </c>
      <c r="K48" s="38" t="inlineStr">
        <is>
          <t>Open</t>
        </is>
      </c>
      <c r="L48" s="12" t="n"/>
      <c r="M48" s="12" t="n"/>
    </row>
    <row r="49">
      <c r="A49" s="12" t="inlineStr">
        <is>
          <t>CLR-NB-46</t>
        </is>
      </c>
      <c r="B49" s="12" t="inlineStr">
        <is>
          <t>BRD-01 New Business</t>
        </is>
      </c>
      <c r="C49" s="12" t="inlineStr">
        <is>
          <t>Business rule confirmation</t>
        </is>
      </c>
      <c r="D49" s="12" t="inlineStr">
        <is>
          <t>Incentive indicator at full payment: Confirm the reading of fully paid (all instalments; an endorsement with an unpaid premium), the endorsements that count, and whether an authorised override is needed (if so, by which role, with a reason and a second user).</t>
        </is>
      </c>
      <c r="E49" s="12" t="inlineStr">
        <is>
          <t>The addendum moves the evaluation from booking to full payment and adds the endorsements; BRRN.041 of the Renewal addendum states the same rule. "Fully paid" is read as the invoice balance at zero, all instalments included. The BRD allows an override "unless authorized" without saying by whom.</t>
        </is>
      </c>
      <c r="F49" s="12" t="inlineStr">
        <is>
          <t>One rule for New Business and Renewal: evaluation only when the transaction is booked and fully paid, after the applicable endorsements are considered; re-evaluation on every posted financial endorsement and on cancellation; each decision logged with the rules applied. Pending until fully paid. No manual change of the indicator.</t>
        </is>
      </c>
      <c r="G49" s="12" t="inlineStr">
        <is>
          <t>FRS BRD-01 v2.1, Proposed business rules and clarifications; BRNB.107; FR-NB-118; BRD-6 BRRN.041</t>
        </is>
      </c>
      <c r="H49" s="12" t="inlineStr">
        <is>
          <t>Product Owner, New Business</t>
        </is>
      </c>
      <c r="I49" s="37" t="n">
        <v>46356</v>
      </c>
      <c r="J49" s="12" t="inlineStr">
        <is>
          <t>Medium</t>
        </is>
      </c>
      <c r="K49" s="38" t="inlineStr">
        <is>
          <t>Open</t>
        </is>
      </c>
      <c r="L49" s="12" t="n"/>
      <c r="M49" s="12" t="n"/>
    </row>
    <row r="50">
      <c r="A50" s="12" t="inlineStr">
        <is>
          <t>CLR-NB-47</t>
        </is>
      </c>
      <c r="B50" s="12" t="inlineStr">
        <is>
          <t>BRD-01 New Business</t>
        </is>
      </c>
      <c r="C50" s="12" t="inlineStr">
        <is>
          <t>Master data</t>
        </is>
      </c>
      <c r="D50" s="12" t="inlineStr">
        <is>
          <t>Bulk quotations and their documents: Give the supporting documents that are mandatory for sending per product, and the IDF and FFYMI layouts (Q03).</t>
        </is>
      </c>
      <c r="E50" s="12" t="inlineStr">
        <is>
          <t>The addendum asks for partial success, supporting documents and blocking when mandatory documents are missing; it does not list the mandatory documents or the IDF and FFYMI layouts.</t>
        </is>
      </c>
      <c r="F50" s="12" t="inlineStr">
        <is>
          <t>A batch is sent quotation by quotation: valid quotations are sent, the others are listed with their reason. Supporting documents are ticked from the Documents tab and sent with the quotation or on their own. The documents mandatory for sending are set per product. The IDF and FFYMI are quotation document templates of their products.</t>
        </is>
      </c>
      <c r="G50" s="12" t="inlineStr">
        <is>
          <t>FRS BRD-01 v2.1, Proposed business rules and clarifications; BRNB.042; FR-NB-044, 046</t>
        </is>
      </c>
      <c r="H50" s="12" t="inlineStr">
        <is>
          <t>Product Owner, New Business</t>
        </is>
      </c>
      <c r="I50" s="37" t="n">
        <v>46356</v>
      </c>
      <c r="J50" s="12" t="inlineStr">
        <is>
          <t>Medium</t>
        </is>
      </c>
      <c r="K50" s="38" t="inlineStr">
        <is>
          <t>Open</t>
        </is>
      </c>
      <c r="L50" s="12" t="n"/>
      <c r="M50" s="12" t="n"/>
    </row>
    <row r="51">
      <c r="A51" s="12" t="inlineStr">
        <is>
          <t>CLR-NB-48</t>
        </is>
      </c>
      <c r="B51" s="12" t="inlineStr">
        <is>
          <t>BRD-01 New Business</t>
        </is>
      </c>
      <c r="C51" s="12" t="inlineStr">
        <is>
          <t>Business rule confirmation</t>
        </is>
      </c>
      <c r="D51" s="12" t="inlineStr">
        <is>
          <t>Automatic sending of the Insurance Advice: Confirm what the MIS level set-up is (account MIS data, mortgagee master or client), who maintains it, and the recipients of the automatic sending (Q30).</t>
        </is>
      </c>
      <c r="E51" s="12" t="inlineStr">
        <is>
          <t>The addendum does not say what the MIS level set-up is, who keeps it, or whether the recipient is the bank, the client or both (Q30).</t>
        </is>
      </c>
      <c r="F51" s="12" t="inlineStr">
        <is>
          <t>The "MIS level set-up" is read as an Insurance Advice recipient set-up per mortgagee bank (and segment or branch where needed), maintained by the Business Administrator with a second user's authorisation, with the recipient addresses and the enrolment for automatic sending. An advice of an enrolled mortgagee is sent when it is generated.</t>
        </is>
      </c>
      <c r="G51" s="12" t="inlineStr">
        <is>
          <t>FRS BRD-01 v2.1, Proposed business rules and clarifications; BRNB.060; FR-NB-107; also raised as Q30 (open question)</t>
        </is>
      </c>
      <c r="H51" s="12" t="inlineStr">
        <is>
          <t>Product Owner, New Business</t>
        </is>
      </c>
      <c r="I51" s="37" t="n">
        <v>46356</v>
      </c>
      <c r="J51" s="12" t="inlineStr">
        <is>
          <t>Medium</t>
        </is>
      </c>
      <c r="K51" s="38" t="inlineStr">
        <is>
          <t>Open</t>
        </is>
      </c>
      <c r="L51" s="12" t="n"/>
      <c r="M51" s="12" t="n"/>
    </row>
    <row r="52">
      <c r="A52" s="12" t="inlineStr">
        <is>
          <t>CLR-NB-49</t>
        </is>
      </c>
      <c r="B52" s="12" t="inlineStr">
        <is>
          <t>BRD-01 New Business</t>
        </is>
      </c>
      <c r="C52" s="12" t="inlineStr">
        <is>
          <t>Business rule confirmation</t>
        </is>
      </c>
      <c r="D52" s="12" t="inlineStr">
        <is>
          <t>Editing a quotation in For Review: Confirm read-only in For Review (return to maker) and the new version after approval.</t>
        </is>
      </c>
      <c r="E52" s="12" t="inlineStr">
        <is>
          <t>The BRD allows editing in Draft or For Review and forbids it after approval. Editing in For Review would change what the approver is reviewing; a new version keeps the approved one readable.</t>
        </is>
      </c>
      <c r="F52" s="12" t="inlineStr">
        <is>
          <t>A quotation in For Review is read-only; the approver returns it to the maker for a change. An approved or sent quotation is changed only through a new version that is approved again.</t>
        </is>
      </c>
      <c r="G52" s="12" t="inlineStr">
        <is>
          <t>FRS BRD-01 v2.1, Proposed business rules and clarifications; BRNB.020; FR-NB-042</t>
        </is>
      </c>
      <c r="H52" s="12" t="inlineStr">
        <is>
          <t>Product Owner, New Business</t>
        </is>
      </c>
      <c r="I52" s="37" t="n">
        <v>46356</v>
      </c>
      <c r="J52" s="12" t="inlineStr">
        <is>
          <t>Medium</t>
        </is>
      </c>
      <c r="K52" s="38" t="inlineStr">
        <is>
          <t>Open</t>
        </is>
      </c>
      <c r="L52" s="12" t="n"/>
      <c r="M52" s="12" t="n"/>
    </row>
    <row r="53">
      <c r="A53" s="12" t="inlineStr">
        <is>
          <t>CLR-NB-50</t>
        </is>
      </c>
      <c r="B53" s="12" t="inlineStr">
        <is>
          <t>BRD-01 New Business</t>
        </is>
      </c>
      <c r="C53" s="12" t="inlineStr">
        <is>
          <t>Business rule confirmation</t>
        </is>
      </c>
      <c r="D53" s="12" t="inlineStr">
        <is>
          <t>Approve or reject a quotation: Confirm Return to maker and Void in place of Reject.</t>
        </is>
      </c>
      <c r="E53" s="12" t="inlineStr">
        <is>
          <t>Return to maker and Void cover the two meanings of reject (to correct, or to stop) and keep the reason in the history.</t>
        </is>
      </c>
      <c r="F53" s="12" t="inlineStr">
        <is>
          <t>The approver approves the quotation or returns it to the maker with a reason; a quotation that will not proceed is voided with a reason. There is no separate Reject outcome.</t>
        </is>
      </c>
      <c r="G53" s="12" t="inlineStr">
        <is>
          <t>FRS BRD-01 v2.1, Proposed business rules and clarifications; BRNB.021; FR-NB-043</t>
        </is>
      </c>
      <c r="H53" s="12" t="inlineStr">
        <is>
          <t>Product Owner, New Business</t>
        </is>
      </c>
      <c r="I53" s="37" t="n">
        <v>46356</v>
      </c>
      <c r="J53" s="12" t="inlineStr">
        <is>
          <t>Medium</t>
        </is>
      </c>
      <c r="K53" s="38" t="inlineStr">
        <is>
          <t>Open</t>
        </is>
      </c>
      <c r="L53" s="12" t="n"/>
      <c r="M53" s="12" t="n"/>
    </row>
    <row r="54">
      <c r="A54" s="12" t="inlineStr">
        <is>
          <t>Q04</t>
        </is>
      </c>
      <c r="B54" s="12" t="inlineStr">
        <is>
          <t>BRD-01 New Business</t>
        </is>
      </c>
      <c r="C54" s="12" t="inlineStr">
        <is>
          <t>Configuration value</t>
        </is>
      </c>
      <c r="D54" s="12" t="inlineStr">
        <is>
          <t>TSU routing: Exact TSU involvement criteria: package vs non-package list, fleet threshold (no. of units), multi-location threshold, TSI threshold, endorsement types.</t>
        </is>
      </c>
      <c r="E54" s="12" t="inlineStr">
        <is>
          <t>Open point of the FRS (FR-NB-005): the requirement cannot be finalised or tested as BDOI intends until it is answered.</t>
        </is>
      </c>
      <c r="F54" s="12" t="inlineStr">
        <is>
          <t>Keep TSU functions in the existing modules, with a TSU menu section.</t>
        </is>
      </c>
      <c r="G54" s="12" t="inlineStr">
        <is>
          <t>FRS BRD-01 v2.1, Open questions Q04 (affects FR-NB-005); Discrepancy and clarification register v1.2, open question Q04; baseline BRNB.098; also raised as DCR-131 (register item)</t>
        </is>
      </c>
      <c r="H54" s="12" t="inlineStr">
        <is>
          <t>Report SMEs named in the Report List</t>
        </is>
      </c>
      <c r="I54" s="37" t="n">
        <v>46356</v>
      </c>
      <c r="J54" s="12" t="inlineStr">
        <is>
          <t>Medium</t>
        </is>
      </c>
      <c r="K54" s="38" t="inlineStr">
        <is>
          <t>Open</t>
        </is>
      </c>
      <c r="L54" s="12" t="n"/>
      <c r="M54" s="12" t="n"/>
    </row>
    <row r="55">
      <c r="A55" s="12" t="inlineStr">
        <is>
          <t>Q14</t>
        </is>
      </c>
      <c r="B55" s="12" t="inlineStr">
        <is>
          <t>BRD-01 New Business</t>
        </is>
      </c>
      <c r="C55" s="12" t="inlineStr">
        <is>
          <t>Clarification</t>
        </is>
      </c>
      <c r="D55" s="12" t="inlineStr">
        <is>
          <t>Sanitation: Defined sanitisation criteria for bulk lists.</t>
        </is>
      </c>
      <c r="E55" s="12" t="inlineStr">
        <is>
          <t>Open point of the FRS (FR-NB-019, 065): the requirement cannot be finalised or tested as BDOI intends until it is answered.</t>
        </is>
      </c>
      <c r="F55" s="12" t="n"/>
      <c r="G55" s="12" t="inlineStr">
        <is>
          <t>FRS BRD-01 v2.1, Open questions Q14 (affects FR-NB-019, 065); Discrepancy and clarification register v1.2, open question Q14; baseline BRNB.064</t>
        </is>
      </c>
      <c r="H55" s="12" t="inlineStr">
        <is>
          <t>Product Owner, New Business</t>
        </is>
      </c>
      <c r="I55" s="37" t="n">
        <v>46356</v>
      </c>
      <c r="J55" s="12" t="inlineStr">
        <is>
          <t>Medium</t>
        </is>
      </c>
      <c r="K55" s="38" t="inlineStr">
        <is>
          <t>Partly answered</t>
        </is>
      </c>
      <c r="L55" s="12" t="n"/>
      <c r="M55" s="12" t="inlineStr">
        <is>
          <t>Answer so far: Renewal sanitation is rule-based (criteria not listed); submitted-policy criteria listed. (BRD-6 BRRN.020; BRD-12, Report List #151).</t>
        </is>
      </c>
    </row>
    <row r="56">
      <c r="A56" s="12" t="inlineStr">
        <is>
          <t>Q16</t>
        </is>
      </c>
      <c r="B56" s="12" t="inlineStr">
        <is>
          <t>BRD-01 New Business</t>
        </is>
      </c>
      <c r="C56" s="12" t="inlineStr">
        <is>
          <t>Clarification</t>
        </is>
      </c>
      <c r="D56" s="12" t="inlineStr">
        <is>
          <t>Client / KYC: BDO 'bank standard' client data and KYC fields; is there a BDO CIF to integrate with (source of truth for bank clients)?</t>
        </is>
      </c>
      <c r="E56" s="12" t="inlineStr">
        <is>
          <t>Open point of the FRS (FR-NB-031, 033): the requirement cannot be finalised or tested as BDOI intends until it is answered.</t>
        </is>
      </c>
      <c r="F56" s="12" t="n"/>
      <c r="G56" s="12" t="inlineStr">
        <is>
          <t>FRS BRD-01 v2.1, Open questions Q16 (affects FR-NB-031, 033); Discrepancy and clarification register v1.2, open question Q16; baseline BRNB.030, 065, 090, 092; also raised as RQ22 (open question)</t>
        </is>
      </c>
      <c r="H56" s="12" t="inlineStr">
        <is>
          <t>Product Owner, New Business</t>
        </is>
      </c>
      <c r="I56" s="37" t="n">
        <v>46356</v>
      </c>
      <c r="J56" s="12" t="inlineStr">
        <is>
          <t>Medium</t>
        </is>
      </c>
      <c r="K56" s="38" t="inlineStr">
        <is>
          <t>Open</t>
        </is>
      </c>
      <c r="L56" s="12" t="n"/>
      <c r="M56" s="12" t="n"/>
    </row>
    <row r="57">
      <c r="A57" s="12" t="inlineStr">
        <is>
          <t>Q17</t>
        </is>
      </c>
      <c r="B57" s="12" t="inlineStr">
        <is>
          <t>BRD-01 New Business</t>
        </is>
      </c>
      <c r="C57" s="12" t="inlineStr">
        <is>
          <t>Clarification</t>
        </is>
      </c>
      <c r="D57" s="12" t="inlineStr">
        <is>
          <t>Dedupe: Duplicate-client keys and match precedence (name + DOB, ID number, e-mail, mobile, TIN).</t>
        </is>
      </c>
      <c r="E57" s="12" t="inlineStr">
        <is>
          <t>Open point of the FRS (FR-NB-031, 033): the requirement cannot be finalised or tested as BDOI intends until it is answered.</t>
        </is>
      </c>
      <c r="F57" s="12" t="n"/>
      <c r="G57" s="12" t="inlineStr">
        <is>
          <t>FRS BRD-01 v2.1, Open questions Q17 (affects FR-NB-031, 033); Discrepancy and clarification register v1.2, open question Q17; baseline BRNB.032</t>
        </is>
      </c>
      <c r="H57" s="12" t="inlineStr">
        <is>
          <t>Product Owner, New Business</t>
        </is>
      </c>
      <c r="I57" s="37" t="n">
        <v>46356</v>
      </c>
      <c r="J57" s="12" t="inlineStr">
        <is>
          <t>Medium</t>
        </is>
      </c>
      <c r="K57" s="38" t="inlineStr">
        <is>
          <t>Open</t>
        </is>
      </c>
      <c r="L57" s="12" t="n"/>
      <c r="M57" s="12" t="n"/>
    </row>
    <row r="58">
      <c r="A58" s="12" t="inlineStr">
        <is>
          <t>Q20</t>
        </is>
      </c>
      <c r="B58" s="12" t="inlineStr">
        <is>
          <t>BRD-01 New Business</t>
        </is>
      </c>
      <c r="C58" s="12" t="inlineStr">
        <is>
          <t>Business rule confirmation</t>
        </is>
      </c>
      <c r="D58" s="12" t="inlineStr">
        <is>
          <t>Prospect: Prospect vs confirmed client: which event confirms (KYC complete, first booking)?</t>
        </is>
      </c>
      <c r="E58" s="12" t="inlineStr">
        <is>
          <t>Open point of the FRS (FR-NB-034, 037): the requirement cannot be finalised or tested as BDOI intends until it is answered.</t>
        </is>
      </c>
      <c r="F58" s="12" t="n"/>
      <c r="G58" s="12" t="inlineStr">
        <is>
          <t>FRS BRD-01 v2.1, Open questions Q20 (affects FR-NB-034, 037); Discrepancy and clarification register v1.2, open question Q20; baseline BRNB.101</t>
        </is>
      </c>
      <c r="H58" s="12" t="inlineStr">
        <is>
          <t>Product Owner, New Business</t>
        </is>
      </c>
      <c r="I58" s="37" t="n">
        <v>46356</v>
      </c>
      <c r="J58" s="12" t="inlineStr">
        <is>
          <t>Medium</t>
        </is>
      </c>
      <c r="K58" s="38" t="inlineStr">
        <is>
          <t>Open</t>
        </is>
      </c>
      <c r="L58" s="12" t="n"/>
      <c r="M58" s="12" t="n"/>
    </row>
    <row r="59">
      <c r="A59" s="12" t="inlineStr">
        <is>
          <t>Q21</t>
        </is>
      </c>
      <c r="B59" s="12" t="inlineStr">
        <is>
          <t>BRD-01 New Business</t>
        </is>
      </c>
      <c r="C59" s="12" t="inlineStr">
        <is>
          <t>Report layout</t>
        </is>
      </c>
      <c r="D59" s="12" t="inlineStr">
        <is>
          <t>KYC review: KYC review frequency by risk rating for non-bank clients; 'shared path' - is an in-system report acceptable?</t>
        </is>
      </c>
      <c r="E59" s="12" t="inlineStr">
        <is>
          <t>Open point of the FRS (FR-NB-038): the requirement cannot be finalised or tested as BDOI intends until it is answered.</t>
        </is>
      </c>
      <c r="F59" s="12" t="n"/>
      <c r="G59" s="12" t="inlineStr">
        <is>
          <t>FRS BRD-01 v2.1, Open questions Q21 (affects FR-NB-038); Discrepancy and clarification register v1.2, open question Q21; baseline BRNB.110; also raised as SANC-SQ03 (open question)</t>
        </is>
      </c>
      <c r="H59" s="12" t="inlineStr">
        <is>
          <t>Product Owner, New Business</t>
        </is>
      </c>
      <c r="I59" s="37" t="n">
        <v>46356</v>
      </c>
      <c r="J59" s="12" t="inlineStr">
        <is>
          <t>Medium</t>
        </is>
      </c>
      <c r="K59" s="38" t="inlineStr">
        <is>
          <t>Partly answered</t>
        </is>
      </c>
      <c r="L59" s="12" t="n"/>
      <c r="M59" s="12" t="inlineStr">
        <is>
          <t>Answer so far: KYC due is visibility only in renewal; high-risk / PEP clients with an active policy get a review case. Frequency per rating not given. (BRD-6 BRRN.028; BRD-10 SNSRP-102 / 303).</t>
        </is>
      </c>
    </row>
    <row r="60">
      <c r="A60" s="12" t="inlineStr">
        <is>
          <t>Q22</t>
        </is>
      </c>
      <c r="B60" s="12" t="inlineStr">
        <is>
          <t>BRD-01 New Business</t>
        </is>
      </c>
      <c r="C60" s="12" t="inlineStr">
        <is>
          <t>Clarification</t>
        </is>
      </c>
      <c r="D60" s="12" t="inlineStr">
        <is>
          <t>Duplicates: Fire duplicate rule 'same client ID + location + items' - exact or normalised address match? Motor: CTPL vs MTR exception confirmed.</t>
        </is>
      </c>
      <c r="E60" s="12" t="inlineStr">
        <is>
          <t>Open point of the FRS (FR-NB-063): the requirement cannot be finalised or tested as BDOI intends until it is answered.</t>
        </is>
      </c>
      <c r="F60" s="12" t="n"/>
      <c r="G60" s="12" t="inlineStr">
        <is>
          <t>FRS BRD-01 v2.1, Open questions Q22 (affects FR-NB-063); Discrepancy and clarification register v1.2, open question Q22; baseline BRNB.051, 066</t>
        </is>
      </c>
      <c r="H60" s="12" t="inlineStr">
        <is>
          <t>Product Owner, New Business</t>
        </is>
      </c>
      <c r="I60" s="37" t="n">
        <v>46356</v>
      </c>
      <c r="J60" s="12" t="inlineStr">
        <is>
          <t>Medium</t>
        </is>
      </c>
      <c r="K60" s="38" t="inlineStr">
        <is>
          <t>Open</t>
        </is>
      </c>
      <c r="L60" s="12" t="n"/>
      <c r="M60" s="12" t="n"/>
    </row>
    <row r="61">
      <c r="A61" s="12" t="inlineStr">
        <is>
          <t>Q23</t>
        </is>
      </c>
      <c r="B61" s="12" t="inlineStr">
        <is>
          <t>BRD-01 New Business</t>
        </is>
      </c>
      <c r="C61" s="12" t="inlineStr">
        <is>
          <t>Clarification</t>
        </is>
      </c>
      <c r="D61" s="12" t="inlineStr">
        <is>
          <t>Files: Maximum file size and full list of allowed file types; file-naming syntax.</t>
        </is>
      </c>
      <c r="E61" s="12" t="inlineStr">
        <is>
          <t>Open point of the FRS (FR-NB-017): the requirement cannot be finalised or tested as BDOI intends until it is answered.</t>
        </is>
      </c>
      <c r="F61" s="12" t="inlineStr">
        <is>
          <t>One allowed-type list and size limit as configuration; the screening naming pattern for screening documents only.</t>
        </is>
      </c>
      <c r="G61" s="12" t="inlineStr">
        <is>
          <t>FRS BRD-01 v2.1, Open questions Q23 (affects FR-NB-017); Discrepancy and clarification register v1.2, open question Q23; baseline BRNB.026; also raised as CSQ08 (open question), DCR-154 (register item)</t>
        </is>
      </c>
      <c r="H61" s="12" t="inlineStr">
        <is>
          <t>BIBS Product Owner, with the owners of the BRDs involved</t>
        </is>
      </c>
      <c r="I61" s="37" t="n">
        <v>46356</v>
      </c>
      <c r="J61" s="12" t="inlineStr">
        <is>
          <t>Medium</t>
        </is>
      </c>
      <c r="K61" s="38" t="inlineStr">
        <is>
          <t>Partly answered</t>
        </is>
      </c>
      <c r="L61" s="12" t="n"/>
      <c r="M61" s="12" t="inlineStr">
        <is>
          <t>Answer so far: File types listed for EB and CSF; naming syntax for screening documents only. Maximum size open. (BRD-8 BRID-002, 005.01, 014; BRD-9 BRCSF-007; BRD-10 SNSRP-601). Also affects BRD-08, BRD-09, BRD-10.</t>
        </is>
      </c>
    </row>
    <row r="62">
      <c r="A62" s="12" t="inlineStr">
        <is>
          <t>Q25</t>
        </is>
      </c>
      <c r="B62" s="12" t="inlineStr">
        <is>
          <t>BRD-01 New Business</t>
        </is>
      </c>
      <c r="C62" s="12" t="inlineStr">
        <is>
          <t>Decision</t>
        </is>
      </c>
      <c r="D62" s="12" t="inlineStr">
        <is>
          <t>Reactivation: Reactivate cancelled placement (BRD 2.1.16) has no BRNB ID - confirm in scope.</t>
        </is>
      </c>
      <c r="E62" s="12" t="inlineStr">
        <is>
          <t>Open point of the FRS (FR-NB-086): the requirement cannot be finalised or tested as BDOI intends until it is answered.</t>
        </is>
      </c>
      <c r="F62" s="12" t="inlineStr">
        <is>
          <t>Add a BRNB ID for reactivation of cancelled placements, or confirm it is dropped.</t>
        </is>
      </c>
      <c r="G62" s="12" t="inlineStr">
        <is>
          <t>FRS BRD-01 v2.1, Open questions Q25 (affects FR-NB-086); Discrepancy and clarification register v1.2, open question Q25; baseline BRD 2.1.16; also raised as DCR-002 (register item)</t>
        </is>
      </c>
      <c r="H62" s="12" t="inlineStr">
        <is>
          <t>Marketing and Processing - New Business (Product Owner)</t>
        </is>
      </c>
      <c r="I62" s="37" t="n">
        <v>46356</v>
      </c>
      <c r="J62" s="12" t="inlineStr">
        <is>
          <t>Medium</t>
        </is>
      </c>
      <c r="K62" s="38" t="inlineStr">
        <is>
          <t>Open</t>
        </is>
      </c>
      <c r="L62" s="12" t="n"/>
      <c r="M62" s="12" t="n"/>
    </row>
    <row r="63">
      <c r="A63" s="12" t="inlineStr">
        <is>
          <t>Q26</t>
        </is>
      </c>
      <c r="B63" s="12" t="inlineStr">
        <is>
          <t>BRD-01 New Business</t>
        </is>
      </c>
      <c r="C63" s="12" t="inlineStr">
        <is>
          <t>Clarification</t>
        </is>
      </c>
      <c r="D63" s="12" t="inlineStr">
        <is>
          <t>Placement: Prerequisites before placement per segment (payment received, client confirmation, docs complete, TSU clearance).</t>
        </is>
      </c>
      <c r="E63" s="12" t="inlineStr">
        <is>
          <t>Open point of the FRS (FR-NB-080): the requirement cannot be finalised or tested as BDOI intends until it is answered.</t>
        </is>
      </c>
      <c r="F63" s="12" t="n"/>
      <c r="G63" s="12" t="inlineStr">
        <is>
          <t>FRS BRD-01 v2.1, Open questions Q26 (affects FR-NB-080); Discrepancy and clarification register v1.2, open question Q26; baseline BRNB.069</t>
        </is>
      </c>
      <c r="H63" s="12" t="inlineStr">
        <is>
          <t>Product Owner, New Business</t>
        </is>
      </c>
      <c r="I63" s="37" t="n">
        <v>46356</v>
      </c>
      <c r="J63" s="12" t="inlineStr">
        <is>
          <t>Medium</t>
        </is>
      </c>
      <c r="K63" s="38" t="inlineStr">
        <is>
          <t>Open</t>
        </is>
      </c>
      <c r="L63" s="12" t="n"/>
      <c r="M63" s="12" t="n"/>
    </row>
    <row r="64">
      <c r="A64" s="12" t="inlineStr">
        <is>
          <t>Q32</t>
        </is>
      </c>
      <c r="B64" s="12" t="inlineStr">
        <is>
          <t>BRD-01 New Business</t>
        </is>
      </c>
      <c r="C64" s="12" t="inlineStr">
        <is>
          <t>Clarification</t>
        </is>
      </c>
      <c r="D64" s="12" t="inlineStr">
        <is>
          <t>Accounting: Booking accounting entries (premium receivable/payable to insurer, commission income, VAT, EWT) and service invoice rules - is commission invoiced per booking or monthly per insurer?</t>
        </is>
      </c>
      <c r="E64" s="12" t="inlineStr">
        <is>
          <t>Open point of the FRS (FR-NB-110, 117): the requirement cannot be finalised or tested as BDOI intends until it is answered.</t>
        </is>
      </c>
      <c r="F64" s="12" t="inlineStr">
        <is>
          <t>Assign an ID in the next addendum revision; BRNB.100b is used until then.</t>
        </is>
      </c>
      <c r="G64" s="12" t="inlineStr">
        <is>
          <t>FRS BRD-01 v2.1, Open questions Q32 (affects FR-NB-110, 117); Discrepancy and clarification register v1.2, open question Q32; baseline BRNB.027, 100; also raised as DCR-003 (register item)</t>
        </is>
      </c>
      <c r="H64" s="12" t="inlineStr">
        <is>
          <t>Marketing and Processing - New Business (Product Owner)</t>
        </is>
      </c>
      <c r="I64" s="37" t="n">
        <v>46356</v>
      </c>
      <c r="J64" s="12" t="inlineStr">
        <is>
          <t>Medium</t>
        </is>
      </c>
      <c r="K64" s="38" t="inlineStr">
        <is>
          <t>Partly answered</t>
        </is>
      </c>
      <c r="L64" s="12" t="n"/>
      <c r="M64" s="12" t="inlineStr">
        <is>
          <t>Answer so far: Related transactions must link to a single invoice number. No entries given. (BRD-5 ACSL 2.16.0, DIS 3.27.2).</t>
        </is>
      </c>
    </row>
    <row r="65">
      <c r="A65" s="12" t="inlineStr">
        <is>
          <t>Q34</t>
        </is>
      </c>
      <c r="B65" s="12" t="inlineStr">
        <is>
          <t>BRD-01 New Business</t>
        </is>
      </c>
      <c r="C65" s="12" t="inlineStr">
        <is>
          <t>Clarification</t>
        </is>
      </c>
      <c r="D65" s="12" t="inlineStr">
        <is>
          <t>Cost center: Cost center master data source and default rule (by AO, branch, segment).</t>
        </is>
      </c>
      <c r="E65" s="12" t="inlineStr">
        <is>
          <t>Open point of the FRS (FR-NB-119): the requirement cannot be finalised or tested as BDOI intends until it is answered.</t>
        </is>
      </c>
      <c r="F65" s="12" t="n"/>
      <c r="G65" s="12" t="inlineStr">
        <is>
          <t>FRS BRD-01 v2.1, Open questions Q34 (affects FR-NB-119); Discrepancy and clarification register v1.2, open question Q34; baseline BRNB.108</t>
        </is>
      </c>
      <c r="H65" s="12" t="inlineStr">
        <is>
          <t>Product Owner, New Business</t>
        </is>
      </c>
      <c r="I65" s="37" t="n">
        <v>46356</v>
      </c>
      <c r="J65" s="12" t="inlineStr">
        <is>
          <t>Medium</t>
        </is>
      </c>
      <c r="K65" s="38" t="inlineStr">
        <is>
          <t>Open</t>
        </is>
      </c>
      <c r="L65" s="12" t="n"/>
      <c r="M65" s="12" t="n"/>
    </row>
    <row r="66">
      <c r="A66" s="12" t="inlineStr">
        <is>
          <t>Q36</t>
        </is>
      </c>
      <c r="B66" s="12" t="inlineStr">
        <is>
          <t>BRD-01 New Business</t>
        </is>
      </c>
      <c r="C66" s="12" t="inlineStr">
        <is>
          <t>Clarification</t>
        </is>
      </c>
      <c r="D66" s="12" t="inlineStr">
        <is>
          <t>FFY: Free First-Year: who pays the first-year premium (dealer / bank), FFY period length and renewal hand-off.</t>
        </is>
      </c>
      <c r="E66" s="12" t="inlineStr">
        <is>
          <t>Open point of the FRS (FR-NB-068): the requirement cannot be finalised or tested as BDOI intends until it is answered.</t>
        </is>
      </c>
      <c r="F66" s="12" t="n"/>
      <c r="G66" s="12" t="inlineStr">
        <is>
          <t>FRS BRD-01 v2.1, Open questions Q36 (affects FR-NB-068); Discrepancy and clarification register v1.2, open question Q36; baseline BRNB.113</t>
        </is>
      </c>
      <c r="H66" s="12" t="inlineStr">
        <is>
          <t>Product Owner, New Business</t>
        </is>
      </c>
      <c r="I66" s="37" t="n">
        <v>46356</v>
      </c>
      <c r="J66" s="12" t="inlineStr">
        <is>
          <t>Medium</t>
        </is>
      </c>
      <c r="K66" s="38" t="inlineStr">
        <is>
          <t>Partly answered</t>
        </is>
      </c>
      <c r="L66" s="12" t="n"/>
      <c r="M66" s="12" t="inlineStr">
        <is>
          <t>Answer so far: FFY accounts get an FFY RA template; FFY is both a renewal and a non-renewal bucket. Payer not stated. (BRD-12 BRIDSP-13 / 14).</t>
        </is>
      </c>
    </row>
    <row r="67">
      <c r="A67" s="12" t="inlineStr">
        <is>
          <t>Q38</t>
        </is>
      </c>
      <c r="B67" s="12" t="inlineStr">
        <is>
          <t>BRD-01 New Business</t>
        </is>
      </c>
      <c r="C67" s="12" t="inlineStr">
        <is>
          <t>Clarification</t>
        </is>
      </c>
      <c r="D67" s="12" t="inlineStr">
        <is>
          <t>GRF/ARF: Describe the existing GRF and ARF request forms to replicate their behaviour.</t>
        </is>
      </c>
      <c r="E67" s="12" t="inlineStr">
        <is>
          <t>Open point of the FRS (FR-NB-011): the requirement cannot be finalised or tested as BDOI intends until it is answered.</t>
        </is>
      </c>
      <c r="F67" s="12" t="n"/>
      <c r="G67" s="12" t="inlineStr">
        <is>
          <t>FRS BRD-01 v2.1, Open questions Q38 (affects FR-NB-011); Discrepancy and clarification register v1.2, open question Q38; baseline BRNB.096</t>
        </is>
      </c>
      <c r="H67" s="12" t="inlineStr">
        <is>
          <t>Product Owner, New Business</t>
        </is>
      </c>
      <c r="I67" s="37" t="n">
        <v>46356</v>
      </c>
      <c r="J67" s="12" t="inlineStr">
        <is>
          <t>Medium</t>
        </is>
      </c>
      <c r="K67" s="38" t="inlineStr">
        <is>
          <t>Open</t>
        </is>
      </c>
      <c r="L67" s="12" t="n"/>
      <c r="M67" s="12" t="n"/>
    </row>
    <row r="68">
      <c r="A68" s="12" t="inlineStr">
        <is>
          <t>DCR-004</t>
        </is>
      </c>
      <c r="B68" s="12" t="inlineStr">
        <is>
          <t>BRD-01 New Business</t>
        </is>
      </c>
      <c r="C68" s="12" t="inlineStr">
        <is>
          <t>Report layout</t>
        </is>
      </c>
      <c r="D68" s="12" t="inlineStr">
        <is>
          <t>Please confirm criterion 1 of BRNB.089 is "generate the audit log report".</t>
        </is>
      </c>
      <c r="E68" s="12" t="inlineStr">
        <is>
          <t>Under "a. Generate audit log report", criterion 1 reads "User should be able to assign cancel placement function", copied from the row above. Test: the criterion does not describe the audit log report.</t>
        </is>
      </c>
      <c r="F68" s="12" t="inlineStr">
        <is>
          <t>Read criterion 1 as "generate the audit log report".</t>
        </is>
      </c>
      <c r="G68" s="12" t="inlineStr">
        <is>
          <t>Discrepancy and clarification register v1.2, DCR-004 (Document quality); BRNB.089 / BRD 3.4.3.1 (p.127)</t>
        </is>
      </c>
      <c r="H68" s="12" t="inlineStr">
        <is>
          <t>Marketing and Processing - New Business (Product Owner)</t>
        </is>
      </c>
      <c r="I68" s="37" t="n">
        <v>46356</v>
      </c>
      <c r="J68" s="12" t="inlineStr">
        <is>
          <t>Low</t>
        </is>
      </c>
      <c r="K68" s="38" t="inlineStr">
        <is>
          <t>Open</t>
        </is>
      </c>
      <c r="L68" s="12" t="n"/>
      <c r="M68" s="12" t="n"/>
    </row>
    <row r="69">
      <c r="A69" s="12" t="inlineStr">
        <is>
          <t>SO-01-2</t>
        </is>
      </c>
      <c r="B69" s="12" t="inlineStr">
        <is>
          <t>BRD-01 New Business</t>
        </is>
      </c>
      <c r="C69" s="12" t="inlineStr">
        <is>
          <t>Sign-off</t>
        </is>
      </c>
      <c r="D69" s="12" t="inlineStr">
        <is>
          <t>Approve the test plan of BRD-01 New Business.</t>
        </is>
      </c>
      <c r="E69" s="12" t="inlineStr">
        <is>
          <t>The signed document fixes the scope for the next step of the plan; a late sign-off moves the dates that follow it.</t>
        </is>
      </c>
      <c r="F69" s="12" t="n"/>
      <c r="G69" s="12" t="inlineStr">
        <is>
          <t>Project plan v1.0 (8-Oct-2026), sign-offs and milestones</t>
        </is>
      </c>
      <c r="H69" s="12" t="inlineStr">
        <is>
          <t>Product Owner, New Business</t>
        </is>
      </c>
      <c r="I69" s="37" t="n">
        <v>46374</v>
      </c>
      <c r="J69" s="12" t="inlineStr">
        <is>
          <t>High</t>
        </is>
      </c>
      <c r="K69" s="38" t="inlineStr">
        <is>
          <t>Open</t>
        </is>
      </c>
      <c r="L69" s="12" t="n"/>
      <c r="M69" s="12" t="n"/>
    </row>
    <row r="70">
      <c r="A70" s="12" t="inlineStr">
        <is>
          <t>CLR-NB-02</t>
        </is>
      </c>
      <c r="B70" s="12" t="inlineStr">
        <is>
          <t>BRD-01 New Business</t>
        </is>
      </c>
      <c r="C70" s="12" t="inlineStr">
        <is>
          <t>Integration detail</t>
        </is>
      </c>
      <c r="D70" s="12" t="inlineStr">
        <is>
          <t>Data synchronisation: Confirm that no other BDOI system needs a New Business feed (Q08).</t>
        </is>
      </c>
      <c r="E70" s="12" t="inlineStr">
        <is>
          <t>Q08 names QPS and EBIX for client contact updates only (BRD-9).</t>
        </is>
      </c>
      <c r="F70" s="12" t="inlineStr">
        <is>
          <t>BIBS passes each event to its own modules (Operations, Collections, Renewal). A feed to other BDOI systems is added when BDOI names them.</t>
        </is>
      </c>
      <c r="G70" s="12" t="inlineStr">
        <is>
          <t>FRS BRD-01 v2.1, Proposed business rules and clarifications; BRNB.015; FR-NB-015; also raised as Q08 (open question)</t>
        </is>
      </c>
      <c r="H70" s="12" t="inlineStr">
        <is>
          <t>BDOI IT with the Product Owner, New Business</t>
        </is>
      </c>
      <c r="I70" s="37" t="n">
        <v>46418</v>
      </c>
      <c r="J70" s="12" t="inlineStr">
        <is>
          <t>Medium</t>
        </is>
      </c>
      <c r="K70" s="38" t="inlineStr">
        <is>
          <t>Partly answered</t>
        </is>
      </c>
      <c r="L70" s="12" t="n"/>
      <c r="M70" s="12" t="inlineStr">
        <is>
          <t>Answer so far: QPS and EBIX receive client contact updates during coexistence (BRD-9); BRD-13 makes legacy read-only after cutover with no feed required (conflict DCR-202). Accounting is internal to BIBS. Other targets open. (BRD-9 p.3 footnote 3; BRD-5 FRBS 2.5.0; BRD-13 p.</t>
        </is>
      </c>
    </row>
    <row r="71">
      <c r="A71" s="12" t="inlineStr">
        <is>
          <t>CLR-NB-06</t>
        </is>
      </c>
      <c r="B71" s="12" t="inlineStr">
        <is>
          <t>BRD-01 New Business</t>
        </is>
      </c>
      <c r="C71" s="12" t="inlineStr">
        <is>
          <t>Integration detail</t>
        </is>
      </c>
      <c r="D71" s="12" t="inlineStr">
        <is>
          <t>HLS requests: Specify the HLS interface (Q11).</t>
        </is>
      </c>
      <c r="E71" s="12" t="inlineStr">
        <is>
          <t>The HLS interface is not specified (Q11).</t>
        </is>
      </c>
      <c r="F71" s="12" t="inlineStr">
        <is>
          <t>HLS requests are loaded by upload of the HLS extract and kept in the request inbox. The direct HLS interface with its source check is added when BDOI specifies it.</t>
        </is>
      </c>
      <c r="G71" s="12" t="inlineStr">
        <is>
          <t>FRS BRD-01 v2.1, Proposed business rules and clarifications; BRNB.023; FR-NB-040; also raised as Q11 (open question)</t>
        </is>
      </c>
      <c r="H71" s="12" t="inlineStr">
        <is>
          <t>BDOI IT with the Product Owner, New Business</t>
        </is>
      </c>
      <c r="I71" s="37" t="n">
        <v>46418</v>
      </c>
      <c r="J71" s="12" t="inlineStr">
        <is>
          <t>Medium</t>
        </is>
      </c>
      <c r="K71" s="38" t="inlineStr">
        <is>
          <t>Partly answered</t>
        </is>
      </c>
      <c r="L71" s="12" t="n"/>
      <c r="M71" s="12" t="inlineStr">
        <is>
          <t>Answer so far: Sources named (LFS, HLS, CIU, SPI, LAMD, Loan Booking Report, IA masterlist), all Excel. Layouts and transport open. (BRD-12 p.4-5; Report List #138, #151).</t>
        </is>
      </c>
    </row>
    <row r="72">
      <c r="A72" s="12" t="inlineStr">
        <is>
          <t>CLR-NB-11</t>
        </is>
      </c>
      <c r="B72" s="12" t="inlineStr">
        <is>
          <t>BRD-01 New Business</t>
        </is>
      </c>
      <c r="C72" s="12" t="inlineStr">
        <is>
          <t>Integration detail</t>
        </is>
      </c>
      <c r="D72" s="12" t="inlineStr">
        <is>
          <t>Directory sign-in: Supply the directory interface and the date it is available.</t>
        </is>
      </c>
      <c r="E72" s="12" t="inlineStr">
        <is>
          <t>The directory interface is not yet specified (decision D6; BRD-11 UQ04).</t>
        </is>
      </c>
      <c r="F72" s="12" t="inlineStr">
        <is>
          <t>Sign-in is local to BIBS until BDO supplies the directory interface (BDO EUA / Windows ID, LDAP / AD or SSO).</t>
        </is>
      </c>
      <c r="G72" s="12" t="inlineStr">
        <is>
          <t>FRS BRD-01 v2.1, Proposed business rules and clarifications; BRNB.040, 087; FR-NB-130</t>
        </is>
      </c>
      <c r="H72" s="12" t="inlineStr">
        <is>
          <t>BDOI IT with the Product Owner, New Business</t>
        </is>
      </c>
      <c r="I72" s="37" t="n">
        <v>46418</v>
      </c>
      <c r="J72" s="12" t="inlineStr">
        <is>
          <t>Medium</t>
        </is>
      </c>
      <c r="K72" s="38" t="inlineStr">
        <is>
          <t>Open</t>
        </is>
      </c>
      <c r="L72" s="12" t="n"/>
      <c r="M72" s="12" t="n"/>
    </row>
    <row r="73">
      <c r="A73" s="12" t="inlineStr">
        <is>
          <t>CFG-007</t>
        </is>
      </c>
      <c r="B73" s="12" t="inlineStr">
        <is>
          <t>BRD-01 New Business</t>
        </is>
      </c>
      <c r="C73" s="12" t="inlineStr">
        <is>
          <t>Master data</t>
        </is>
      </c>
      <c r="D73" s="12" t="inlineStr">
        <is>
          <t>Sales organisation (regions, departments, teams, unit heads, account officers): The sales units and account officers in force, and the inactive officers of open items; after go-live maintained on Sales Organisation</t>
        </is>
      </c>
      <c r="E73" s="12" t="inlineStr">
        <is>
          <t>Needed for: Reference data for Trial migration 1 (M4) (Extracts for Trial migration 1; reference data and clients first).</t>
        </is>
      </c>
      <c r="F73" s="12" t="inlineStr">
        <is>
          <t>Fill in the template R03 of the Master Data and Configuration Upload Templates workbook.</t>
        </is>
      </c>
      <c r="G73" s="12" t="inlineStr">
        <is>
          <t>Drop 0 configuration register CFG-007 (Drop 0 Configuration Inputs v2.0, area Organisation)</t>
        </is>
      </c>
      <c r="H73" s="12" t="inlineStr">
        <is>
          <t>Product Owner, BDOI (New Business)</t>
        </is>
      </c>
      <c r="I73" s="37" t="n">
        <v>46486</v>
      </c>
      <c r="J73" s="12" t="inlineStr">
        <is>
          <t>High</t>
        </is>
      </c>
      <c r="K73" s="38" t="inlineStr">
        <is>
          <t>Open</t>
        </is>
      </c>
      <c r="L73" s="12" t="n"/>
      <c r="M73" s="12" t="n"/>
    </row>
    <row r="74">
      <c r="A74" s="12" t="inlineStr">
        <is>
          <t>CFG-045</t>
        </is>
      </c>
      <c r="B74" s="12" t="inlineStr">
        <is>
          <t>BRD-01 New Business</t>
        </is>
      </c>
      <c r="C74" s="12" t="inlineStr">
        <is>
          <t>Master data</t>
        </is>
      </c>
      <c r="D74" s="12" t="inlineStr">
        <is>
          <t>Bank list (mortgagee banks): The banks named as mortgagee or payout bank; the legacy bank codes are mapped to this list by code map BANK</t>
        </is>
      </c>
      <c r="E74" s="12" t="inlineStr">
        <is>
          <t>Needed for: Reference data for Trial migration 1 (M4) (Extracts for Trial migration 1; reference data and clients first).</t>
        </is>
      </c>
      <c r="F74" s="12" t="inlineStr">
        <is>
          <t>Give the values wanted on the sheet Lists of values of the Master Data and Configuration Upload Templates workbook.</t>
        </is>
      </c>
      <c r="G74" s="12" t="inlineStr">
        <is>
          <t>Drop 0 configuration register CFG-045 (Drop 0 Configuration Inputs v2.0, area Banks and bank accounts)</t>
        </is>
      </c>
      <c r="H74" s="12" t="inlineStr">
        <is>
          <t>Product Owner, BDOI (New Business)</t>
        </is>
      </c>
      <c r="I74" s="37" t="n">
        <v>46486</v>
      </c>
      <c r="J74" s="12" t="inlineStr">
        <is>
          <t>High</t>
        </is>
      </c>
      <c r="K74" s="38" t="inlineStr">
        <is>
          <t>Open</t>
        </is>
      </c>
      <c r="L74" s="12" t="n"/>
      <c r="M74" s="12" t="n"/>
    </row>
    <row r="75">
      <c r="A75" s="12" t="inlineStr">
        <is>
          <t>TD-01</t>
        </is>
      </c>
      <c r="B75" s="12" t="inlineStr">
        <is>
          <t>BRD-01 New Business</t>
        </is>
      </c>
      <c r="C75" s="12" t="inlineStr">
        <is>
          <t>Test data</t>
        </is>
      </c>
      <c r="D75" s="12" t="inlineStr">
        <is>
          <t>Name the UAT testers of BRD-01 New Business (at least two per business unit, with their user IDs and group profiles) and provide the business data of the UAT scenarios: the clients, policies, insurers and amounts each scenario of the test plan uses, from the migrated data of Trial migration 3 or as additional cases.</t>
        </is>
      </c>
      <c r="E75" s="12" t="inlineStr">
        <is>
          <t>UAT of Drop 1 runs on migrated data and the production values; testers without access or scenarios without data stop the UAT.</t>
        </is>
      </c>
      <c r="F75" s="12" t="inlineStr">
        <is>
          <t>The test plan (04 workbook of the set) names the scenarios; the BDOI testers choose the cases from the migrated data and add the cases the legacy data does not hold.</t>
        </is>
      </c>
      <c r="G75" s="12" t="inlineStr">
        <is>
          <t>Project plan: dependency DEP-20 (UAT testers), milestone MS-20 (UAT plans, values for UAT and testers, 16-Jul-2027)</t>
        </is>
      </c>
      <c r="H75" s="12" t="inlineStr">
        <is>
          <t>Product Owner, New Business (UAT testers of the business units)</t>
        </is>
      </c>
      <c r="I75" s="37" t="n">
        <v>46584</v>
      </c>
      <c r="J75" s="12" t="inlineStr">
        <is>
          <t>High</t>
        </is>
      </c>
      <c r="K75" s="38" t="inlineStr">
        <is>
          <t>Open</t>
        </is>
      </c>
      <c r="L75" s="12" t="n"/>
      <c r="M75" s="12" t="n"/>
    </row>
    <row r="76">
      <c r="A76" s="12" t="inlineStr">
        <is>
          <t>CFG-008</t>
        </is>
      </c>
      <c r="B76" s="12" t="inlineStr">
        <is>
          <t>BRD-01 New Business</t>
        </is>
      </c>
      <c r="C76" s="12" t="inlineStr">
        <is>
          <t>Configuration value</t>
        </is>
      </c>
      <c r="D76" s="12" t="inlineStr">
        <is>
          <t>Production targets: The 2028 production targets per sales unit and officer for the New Business reports</t>
        </is>
      </c>
      <c r="E76" s="12" t="inlineStr">
        <is>
          <t>Needed for: Values for UAT (UAT plans and sign-off forms due 16-Jul-2027; UAT Aug - Dec 2027 runs on the production values).</t>
        </is>
      </c>
      <c r="F76" s="12" t="inlineStr">
        <is>
          <t>Configured on the screen Reports › New Business Reports › Production Targets (sheet Configured on screens of the Master Data and Configuration Upload Templates workbook).</t>
        </is>
      </c>
      <c r="G76" s="12" t="inlineStr">
        <is>
          <t>Drop 0 configuration register CFG-008 (Drop 0 Configuration Inputs v2.0, area Organisation)</t>
        </is>
      </c>
      <c r="H76" s="12" t="inlineStr">
        <is>
          <t>Product Owner, BDOI (New Business)</t>
        </is>
      </c>
      <c r="I76" s="37" t="n">
        <v>46584</v>
      </c>
      <c r="J76" s="12" t="inlineStr">
        <is>
          <t>Medium</t>
        </is>
      </c>
      <c r="K76" s="38" t="inlineStr">
        <is>
          <t>Open</t>
        </is>
      </c>
      <c r="L76" s="12" t="n"/>
      <c r="M76" s="12" t="n"/>
    </row>
    <row r="77">
      <c r="A77" s="12" t="inlineStr">
        <is>
          <t>CFG-120</t>
        </is>
      </c>
      <c r="B77" s="12" t="inlineStr">
        <is>
          <t>BRD-01 New Business</t>
        </is>
      </c>
      <c r="C77" s="12" t="inlineStr">
        <is>
          <t>Configuration value</t>
        </is>
      </c>
      <c r="D77" s="12" t="inlineStr">
        <is>
          <t>Booking rules and incentive rules: The automatic booking rules and the booking incentive rules</t>
        </is>
      </c>
      <c r="E77" s="12" t="inlineStr">
        <is>
          <t>Needed for: Values for UAT (UAT plans and sign-off forms due 16-Jul-2027; UAT Aug - Dec 2027 runs on the production values).</t>
        </is>
      </c>
      <c r="F77" s="12" t="inlineStr">
        <is>
          <t>Configured on the screen Client &amp; Policy › Booking › Booking Setup (sheet Configured on screens of the Master Data and Configuration Upload Templates workbook).</t>
        </is>
      </c>
      <c r="G77" s="12" t="inlineStr">
        <is>
          <t>Drop 0 configuration register CFG-120 (Drop 0 Configuration Inputs v2.0, area Module rules and set-up)</t>
        </is>
      </c>
      <c r="H77" s="12" t="inlineStr">
        <is>
          <t>Product Owner, BDOI (New Business)</t>
        </is>
      </c>
      <c r="I77" s="37" t="n">
        <v>46584</v>
      </c>
      <c r="J77" s="12" t="inlineStr">
        <is>
          <t>Medium</t>
        </is>
      </c>
      <c r="K77" s="38" t="inlineStr">
        <is>
          <t>Open</t>
        </is>
      </c>
      <c r="L77" s="12" t="n"/>
      <c r="M77" s="12" t="n"/>
    </row>
    <row r="78">
      <c r="A78" s="12" t="inlineStr">
        <is>
          <t>CFG-131</t>
        </is>
      </c>
      <c r="B78" s="12" t="inlineStr">
        <is>
          <t>BRD-01 New Business</t>
        </is>
      </c>
      <c r="C78" s="12" t="inlineStr">
        <is>
          <t>Configuration value</t>
        </is>
      </c>
      <c r="D78" s="12" t="inlineStr">
        <is>
          <t>New Business report variants: The report variants the units use</t>
        </is>
      </c>
      <c r="E78" s="12" t="inlineStr">
        <is>
          <t>Needed for: Values for UAT (UAT plans and sign-off forms due 16-Jul-2027; UAT Aug - Dec 2027 runs on the production values).</t>
        </is>
      </c>
      <c r="F78" s="12" t="inlineStr">
        <is>
          <t>Configured on the screen Reports › New Business Reports › New Business Reports (sheet Configured on screens of the Master Data and Configuration Upload Templates workbook).</t>
        </is>
      </c>
      <c r="G78" s="12" t="inlineStr">
        <is>
          <t>Drop 0 configuration register CFG-131 (Drop 0 Configuration Inputs v2.0, area Module rules and set-up)</t>
        </is>
      </c>
      <c r="H78" s="12" t="inlineStr">
        <is>
          <t>Product Owner, BDOI (New Business)</t>
        </is>
      </c>
      <c r="I78" s="37" t="n">
        <v>46584</v>
      </c>
      <c r="J78" s="12" t="inlineStr">
        <is>
          <t>Medium</t>
        </is>
      </c>
      <c r="K78" s="38" t="inlineStr">
        <is>
          <t>Open</t>
        </is>
      </c>
      <c r="L78" s="12" t="n"/>
      <c r="M78" s="12" t="n"/>
    </row>
    <row r="79">
      <c r="A79" s="12" t="inlineStr">
        <is>
          <t>DOC-05</t>
        </is>
      </c>
      <c r="B79" s="12" t="inlineStr">
        <is>
          <t>BRD-01 New Business</t>
        </is>
      </c>
      <c r="C79" s="12" t="inlineStr">
        <is>
          <t>Sample document or template</t>
        </is>
      </c>
      <c r="D79" s="12" t="inlineStr">
        <is>
          <t>Documents of New Business: give the BDOI layout, logo placement and wording of the 10 documents BIBS generates (Your e-policy; Request for hold cover; Insurance advice; Placement slip; Proposal slip; Insurance quotation; Quotation slip; Terms and conditions; Service invoice; Validation slip), as a filled-in sample of each.</t>
        </is>
      </c>
      <c r="E79" s="12" t="inlineStr">
        <is>
          <t>BIBS generates each document from its template; without the BDOI layout the documents keep the proposed layout in SIT and UAT.</t>
        </is>
      </c>
      <c r="F79" s="12" t="inlineStr">
        <is>
          <t>The proposed layouts are reviewed on the Document Templates screen; BDOI marks the changes on a printout or sends its current form.</t>
        </is>
      </c>
      <c r="G79" s="12" t="inlineStr">
        <is>
          <t>Document templates of the platform (Drop 0 Configuration Inputs, Ref Document templates); configuration register CFG-082</t>
        </is>
      </c>
      <c r="H79" s="12" t="inlineStr">
        <is>
          <t>Product Owner, BDOI (New Business)</t>
        </is>
      </c>
      <c r="I79" s="37" t="n">
        <v>46584</v>
      </c>
      <c r="J79" s="12" t="inlineStr">
        <is>
          <t>Medium</t>
        </is>
      </c>
      <c r="K79" s="38" t="inlineStr">
        <is>
          <t>Open</t>
        </is>
      </c>
      <c r="L79" s="12" t="n"/>
      <c r="M79" s="12" t="inlineStr">
        <is>
          <t>Review sheet Document templates of the Master Data and Configuration Upload Templates workbook.</t>
        </is>
      </c>
    </row>
    <row r="80">
      <c r="A80" s="12" t="inlineStr">
        <is>
          <t>SO-01-3</t>
        </is>
      </c>
      <c r="B80" s="12" t="inlineStr">
        <is>
          <t>BRD-01 New Business</t>
        </is>
      </c>
      <c r="C80" s="12" t="inlineStr">
        <is>
          <t>Sign-off</t>
        </is>
      </c>
      <c r="D80" s="12" t="inlineStr">
        <is>
          <t>Sign the UAT sign-off certificate of BRD-01 New Business.</t>
        </is>
      </c>
      <c r="E80" s="12" t="inlineStr">
        <is>
          <t>The signed document fixes the scope for the next step of the plan; a late sign-off moves the dates that follow it.</t>
        </is>
      </c>
      <c r="F80" s="12" t="n"/>
      <c r="G80" s="12" t="inlineStr">
        <is>
          <t>Project plan v1.0 (8-Oct-2026), sign-offs and milestones</t>
        </is>
      </c>
      <c r="H80" s="12" t="inlineStr">
        <is>
          <t>Product Owner, New Business; BIBS Product Owner</t>
        </is>
      </c>
      <c r="I80" s="37" t="n">
        <v>46738</v>
      </c>
      <c r="J80" s="12" t="inlineStr">
        <is>
          <t>High</t>
        </is>
      </c>
      <c r="K80" s="38" t="inlineStr">
        <is>
          <t>Open</t>
        </is>
      </c>
      <c r="L80" s="12" t="n"/>
      <c r="M80" s="12" t="n"/>
    </row>
  </sheetData>
  <autoFilter ref="A4:M80"/>
  <mergeCells count="1">
    <mergeCell ref="A2:M2"/>
  </mergeCells>
  <conditionalFormatting sqref="K5:K580">
    <cfRule type="cellIs" priority="1" operator="equal" dxfId="0" stopIfTrue="1">
      <formula>"Open"</formula>
    </cfRule>
    <cfRule type="cellIs" priority="2" operator="equal" dxfId="1" stopIfTrue="1">
      <formula>"Answered"</formula>
    </cfRule>
  </conditionalFormatting>
  <conditionalFormatting sqref="A5:M580">
    <cfRule type="expression" priority="3" dxfId="2">
      <formula>AND(MOD(ROW(),2)=0,$A5&lt;&gt;"")</formula>
    </cfRule>
  </conditionalFormatting>
  <conditionalFormatting sqref="K5:K581">
    <cfRule type="cellIs" priority="4" operator="equal" dxfId="3" stopIfTrue="1">
      <formula>"Partly answered"</formula>
    </cfRule>
  </conditionalFormatting>
  <dataValidations count="3">
    <dataValidation sqref="C5:C580" showDropDown="0" showInputMessage="0" showErrorMessage="1" allowBlank="1" errorTitle="Type" error="Choose a value from the list (Type)." type="list">
      <formula1>'_lists'!$D$1:$D$10</formula1>
    </dataValidation>
    <dataValidation sqref="J5:J580" showDropDown="0" showInputMessage="0" showErrorMessage="1" allowBlank="1" errorTitle="Priority" error="Choose a value from the list (Priority)." type="list">
      <formula1>'_lists'!$E$1:$E$3</formula1>
    </dataValidation>
    <dataValidation sqref="K5:K580" showDropDown="0" showInputMessage="0" showErrorMessage="1" allowBlank="1" errorTitle="Status" error="Choose a value from the list (Status)." type="list">
      <formula1>'_lists'!$F$1:$F$3</formula1>
    </dataValidation>
  </dataValidations>
  <printOptions horizontalCentered="1"/>
  <pageMargins left="0.4" right="0.4" top="0.6" bottom="0.6" header="0.5" footer="0.5"/>
  <pageSetup orientation="landscape" paperSize="1" fitToHeight="0" fitToWidth="1"/>
  <headerFooter>
    <oddHeader>&amp;L&amp;8 &amp;K004EA8BDOI Requirements and Inputs by BRD&amp;R&amp;8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M9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6" customWidth="1" min="3" max="3"/>
    <col width="60" customWidth="1" min="4" max="4"/>
    <col width="46" customWidth="1" min="5" max="5"/>
    <col width="46" customWidth="1" min="6" max="6"/>
    <col width="40" customWidth="1" min="7" max="7"/>
    <col width="26" customWidth="1" min="8" max="8"/>
    <col width="12" customWidth="1" min="9" max="9"/>
    <col width="10" customWidth="1" min="10" max="10"/>
    <col width="14" customWidth="1" min="11" max="11"/>
    <col width="40" customWidth="1" min="12" max="12"/>
    <col width="34" customWidth="1" min="13" max="13"/>
  </cols>
  <sheetData>
    <row r="1" ht="24" customHeight="1">
      <c r="A1" s="34" t="inlineStr">
        <is>
          <t>BRD-02 Operations</t>
        </is>
      </c>
    </row>
    <row r="2">
      <c r="A2" s="21" t="inlineStr">
        <is>
          <t>BRD-02 Operations: what BDOI provides; owner Head, Operations Services</t>
        </is>
      </c>
    </row>
    <row r="3" ht="6" customHeight="1">
      <c r="A3" s="35" t="n"/>
      <c r="B3" s="35" t="n"/>
      <c r="C3" s="35" t="n"/>
      <c r="D3" s="35" t="n"/>
      <c r="E3" s="35" t="n"/>
      <c r="F3" s="35" t="n"/>
      <c r="G3" s="35" t="n"/>
      <c r="H3" s="35" t="n"/>
      <c r="I3" s="35" t="n"/>
      <c r="J3" s="35" t="n"/>
      <c r="K3" s="35" t="n"/>
      <c r="L3" s="35" t="n"/>
      <c r="M3" s="35" t="n"/>
    </row>
    <row r="4" ht="30" customHeight="1">
      <c r="A4" s="36" t="inlineStr">
        <is>
          <t>Ref</t>
        </is>
      </c>
      <c r="B4" s="36" t="inlineStr">
        <is>
          <t>BRD / module</t>
        </is>
      </c>
      <c r="C4" s="36" t="inlineStr">
        <is>
          <t>Type</t>
        </is>
      </c>
      <c r="D4" s="36" t="inlineStr">
        <is>
          <t>What we need from BDOI</t>
        </is>
      </c>
      <c r="E4" s="36" t="inlineStr">
        <is>
          <t>Why / impact if not provided</t>
        </is>
      </c>
      <c r="F4" s="36" t="inlineStr">
        <is>
          <t>Our proposal (if any)</t>
        </is>
      </c>
      <c r="G4" s="36" t="inlineStr">
        <is>
          <t>Source (FRS section / CLR / BRD page)</t>
        </is>
      </c>
      <c r="H4" s="36" t="inlineStr">
        <is>
          <t>BDOI owner (role)</t>
        </is>
      </c>
      <c r="I4" s="36" t="inlineStr">
        <is>
          <t>Needed by</t>
        </is>
      </c>
      <c r="J4" s="36" t="inlineStr">
        <is>
          <t>Priority</t>
        </is>
      </c>
      <c r="K4" s="36" t="inlineStr">
        <is>
          <t>Status</t>
        </is>
      </c>
      <c r="L4" s="36" t="inlineStr">
        <is>
          <t>BDOI response</t>
        </is>
      </c>
      <c r="M4" s="36" t="inlineStr">
        <is>
          <t>Remarks</t>
        </is>
      </c>
    </row>
    <row r="5">
      <c r="A5" s="12" t="inlineStr">
        <is>
          <t>CLR-OP-09</t>
        </is>
      </c>
      <c r="B5" s="12" t="inlineStr">
        <is>
          <t>BRD-02 Operations</t>
        </is>
      </c>
      <c r="C5" s="12" t="inlineStr">
        <is>
          <t>Business rule confirmation</t>
        </is>
      </c>
      <c r="D5" s="12" t="inlineStr">
        <is>
          <t>Minimal balances: Confirm the boundary of 10.00 (OQ11).</t>
        </is>
      </c>
      <c r="E5" s="12" t="inlineStr">
        <is>
          <t>The BRD reverses up to 10.00 and writes off 10.00-100.00 from a file, with 10.00 in both (OQ11).</t>
        </is>
      </c>
      <c r="F5" s="12" t="inlineStr">
        <is>
          <t>Minimal balances are cleared when the payment is processed (CLR-OP-39); the safety-net run skips an invoice already written off by the minimal balance file, so a balance is never reversed twice.</t>
        </is>
      </c>
      <c r="G5" s="12" t="inlineStr">
        <is>
          <t>FRS BRD-02 v2.1, Proposed business rules and clarifications; CSHID.016, ADJID.026; FR-OP-023, 059; also raised as OQ11 (open question), CQ03 (open question), DCR-014 (register item)</t>
        </is>
      </c>
      <c r="H5" s="12" t="inlineStr">
        <is>
          <t>Operations - Financial Transactions and Processing</t>
        </is>
      </c>
      <c r="I5" s="37" t="n">
        <v>46356</v>
      </c>
      <c r="J5" s="12" t="inlineStr">
        <is>
          <t>High</t>
        </is>
      </c>
      <c r="K5" s="38" t="inlineStr">
        <is>
          <t>Open</t>
        </is>
      </c>
      <c r="L5" s="12" t="n"/>
      <c r="M5" s="12" t="n"/>
    </row>
    <row r="6">
      <c r="A6" s="12" t="inlineStr">
        <is>
          <t>CLR-OP-11</t>
        </is>
      </c>
      <c r="B6" s="12" t="inlineStr">
        <is>
          <t>BRD-02 Operations</t>
        </is>
      </c>
      <c r="C6" s="12" t="inlineStr">
        <is>
          <t>Decision</t>
        </is>
      </c>
      <c r="D6" s="12" t="inlineStr">
        <is>
          <t>DTIP balance: Choose Exclude or Cap (OQ19).</t>
        </is>
      </c>
      <c r="E6" s="12" t="inlineStr">
        <is>
          <t>The BRD's expected result and acceptance criteria differ (OQ19).</t>
        </is>
      </c>
      <c r="F6" s="12" t="inlineStr">
        <is>
          <t>A paid AR above the DTIP balance is excluded from the remittance by default (option Exclude); the option Cap remits the DTIP balance only.</t>
        </is>
      </c>
      <c r="G6" s="12" t="inlineStr">
        <is>
          <t>FRS BRD-02 v2.1, Proposed business rules and clarifications; RMTID.014; FR-OP-031; also raised as OQ19 (open question), DCR-015 (register item)</t>
        </is>
      </c>
      <c r="H6" s="12" t="inlineStr">
        <is>
          <t>Operations - Financial Transactions and Processing</t>
        </is>
      </c>
      <c r="I6" s="37" t="n">
        <v>46356</v>
      </c>
      <c r="J6" s="12" t="inlineStr">
        <is>
          <t>High</t>
        </is>
      </c>
      <c r="K6" s="38" t="inlineStr">
        <is>
          <t>Open</t>
        </is>
      </c>
      <c r="L6" s="12" t="n"/>
      <c r="M6" s="12" t="n"/>
    </row>
    <row r="7">
      <c r="A7" s="12" t="inlineStr">
        <is>
          <t>CLR-OP-21</t>
        </is>
      </c>
      <c r="B7" s="12" t="inlineStr">
        <is>
          <t>BRD-02 Operations</t>
        </is>
      </c>
      <c r="C7" s="12" t="inlineStr">
        <is>
          <t>Business rule confirmation</t>
        </is>
      </c>
      <c r="D7" s="12" t="inlineStr">
        <is>
          <t>Non-financial endorsement: Confirm (OQ32).</t>
        </is>
      </c>
      <c r="E7" s="12" t="inlineStr">
        <is>
          <t>The account data belong to New Business (OQ32).</t>
        </is>
      </c>
      <c r="F7" s="12" t="inlineStr">
        <is>
          <t>Booking records the non-financial endorsement with its description; the account data are not changed.</t>
        </is>
      </c>
      <c r="G7" s="12" t="inlineStr">
        <is>
          <t>FRS BRD-02 v2.1, Proposed business rules and clarifications; ADJID.003; FR-OP-050; also raised as OQ32 (open question), DCR-012 (register item), DCR-027 (register item)</t>
        </is>
      </c>
      <c r="H7" s="12" t="inlineStr">
        <is>
          <t>Operations - Financial Transactions and Processing</t>
        </is>
      </c>
      <c r="I7" s="37" t="n">
        <v>46356</v>
      </c>
      <c r="J7" s="12" t="inlineStr">
        <is>
          <t>High</t>
        </is>
      </c>
      <c r="K7" s="38" t="inlineStr">
        <is>
          <t>Partly answered</t>
        </is>
      </c>
      <c r="L7" s="12" t="n"/>
      <c r="M7" s="12" t="inlineStr">
        <is>
          <t>Answer so far: Endorsements must be on the mother policy before renewal approval. Ownership of the request open. (BRD-6 BRRN.032). Also affects BRD-01.</t>
        </is>
      </c>
    </row>
    <row r="8">
      <c r="A8" s="12" t="inlineStr">
        <is>
          <t>CLR-OP-41</t>
        </is>
      </c>
      <c r="B8" s="12" t="inlineStr">
        <is>
          <t>BRD-02 Operations</t>
        </is>
      </c>
      <c r="C8" s="12" t="inlineStr">
        <is>
          <t>Business rule confirmation</t>
        </is>
      </c>
      <c r="D8" s="12" t="inlineStr">
        <is>
          <t>PR 2307 accounting entries: Comptrollership confirms the entry, together with the owners of BRD-4 and BRD-5.</t>
        </is>
      </c>
      <c r="E8" s="12" t="inlineStr">
        <is>
          <t>Comptrollership (R. dela Cruz) recommended this entry in the gap discussion recorded by ITG (p.69-70, p.188-189); BRD v1.01 only says the PR is zeroed out and refers the entries to the Collections BRD (OQ16).</t>
        </is>
      </c>
      <c r="F8" s="12" t="inlineStr">
        <is>
          <t>One entry when Marketing Collection posts the reversal: Dr DTIP / Cr PR by component; no entry when Disbursement releases the certificates. The v2.0 two-step entries (Dr PR2307 / Cr PR, then Dr DTIP / Cr PR2307) are withdrawn.</t>
        </is>
      </c>
      <c r="G8" s="12" t="inlineStr">
        <is>
          <t>FRS BRD-02 v2.1, Proposed business rules and clarifications; MKTID.013; DBMID.001; FR-OP-113, 121; section 5.3; also raised as OQ16 (open question), DCR-028 (register item)</t>
        </is>
      </c>
      <c r="H8" s="12" t="inlineStr">
        <is>
          <t>Operations - Financial Transactions and Processing</t>
        </is>
      </c>
      <c r="I8" s="37" t="n">
        <v>46356</v>
      </c>
      <c r="J8" s="12" t="inlineStr">
        <is>
          <t>High</t>
        </is>
      </c>
      <c r="K8" s="38" t="inlineStr">
        <is>
          <t>Partly answered</t>
        </is>
      </c>
      <c r="L8" s="12" t="n"/>
      <c r="M8" s="12" t="inlineStr">
        <is>
          <t>Answer so far: 2307 tagging stays in BIBS; client 2307s are remitted to insurers in batches. Posting moment open. (BRD-4 p.41, p.59; BRD-5 Appendix C, DIS 2.11).</t>
        </is>
      </c>
    </row>
    <row r="9">
      <c r="A9" s="12" t="inlineStr">
        <is>
          <t>CLR-OP-47</t>
        </is>
      </c>
      <c r="B9" s="12" t="inlineStr">
        <is>
          <t>BRD-02 Operations</t>
        </is>
      </c>
      <c r="C9" s="12" t="inlineStr">
        <is>
          <t>Business rule confirmation</t>
        </is>
      </c>
      <c r="D9" s="12" t="inlineStr">
        <is>
          <t>Early remittance incentive and estimated items moved: Confirm the start of the window, whether the reconciliation check of FR-OP-078 stays, and the definition of estimated items.</t>
        </is>
      </c>
      <c r="E9" s="12" t="inlineStr">
        <is>
          <t>The annexes move PRCID.028 to Remittance as RMTID.041 and RMTID.037 to Production Reconciliation; the start of the window and the definition of estimated items are open (OQ23, OQ27).</t>
        </is>
      </c>
      <c r="F9" s="12" t="inlineStr">
        <is>
          <t>Remittance validates and computes the incentive for CLG / CBG motor and fire accounts (2%, window of 30 days from inception by default) as a separate line; Production Reconciliation keeps a read-only check of the incentive the insurer applied (FR-OP-078). Estimated items are flagged by the Production Reconciliation Handler.</t>
        </is>
      </c>
      <c r="G9" s="12" t="inlineStr">
        <is>
          <t>FRS BRD-02 v2.1, Proposed business rules and clarifications; RMTID.041, RMTID.037; FR-OP-038, 078, 097; also raised as OQ23 (open question), OQ27 (open question), DCR-013 (register item)</t>
        </is>
      </c>
      <c r="H9" s="12" t="inlineStr">
        <is>
          <t>Operations - Financial Transactions and Processing</t>
        </is>
      </c>
      <c r="I9" s="37" t="n">
        <v>46356</v>
      </c>
      <c r="J9" s="12" t="inlineStr">
        <is>
          <t>High</t>
        </is>
      </c>
      <c r="K9" s="38" t="inlineStr">
        <is>
          <t>Partly answered</t>
        </is>
      </c>
      <c r="L9" s="12" t="n"/>
      <c r="M9" s="12" t="inlineStr">
        <is>
          <t>Answer so far: Early incentive: service invoice with 2% withholding; Other Income. Rates not given. (BRD-5 DIS 3.29.1, FRBS 3.1.2; BRD-4 draft 062).</t>
        </is>
      </c>
    </row>
    <row r="10">
      <c r="A10" s="12" t="inlineStr">
        <is>
          <t>SO-02-1</t>
        </is>
      </c>
      <c r="B10" s="12" t="inlineStr">
        <is>
          <t>BRD-02 Operations</t>
        </is>
      </c>
      <c r="C10" s="12" t="inlineStr">
        <is>
          <t>Sign-off</t>
        </is>
      </c>
      <c r="D10" s="12" t="inlineStr">
        <is>
          <t>Sign the FRS and sign-off set of BRD-02 Operations.</t>
        </is>
      </c>
      <c r="E10" s="12" t="inlineStr">
        <is>
          <t>The signed document fixes the scope for the next step of the plan; a late sign-off moves the dates that follow it.</t>
        </is>
      </c>
      <c r="F10" s="12" t="n"/>
      <c r="G10" s="12" t="inlineStr">
        <is>
          <t>Project plan v1.0 (8-Oct-2026), sign-offs and milestones</t>
        </is>
      </c>
      <c r="H10" s="12" t="inlineStr">
        <is>
          <t>Head, Operations Services; Business Project Services (traceability)</t>
        </is>
      </c>
      <c r="I10" s="37" t="n">
        <v>46356</v>
      </c>
      <c r="J10" s="12" t="inlineStr">
        <is>
          <t>High</t>
        </is>
      </c>
      <c r="K10" s="38" t="inlineStr">
        <is>
          <t>Open</t>
        </is>
      </c>
      <c r="L10" s="12" t="n"/>
      <c r="M10" s="12" t="n"/>
    </row>
    <row r="11">
      <c r="A11" s="12" t="inlineStr">
        <is>
          <t>CLR-OP-01</t>
        </is>
      </c>
      <c r="B11" s="12" t="inlineStr">
        <is>
          <t>BRD-02 Operations</t>
        </is>
      </c>
      <c r="C11" s="12" t="inlineStr">
        <is>
          <t>Business rule confirmation</t>
        </is>
      </c>
      <c r="D11" s="12" t="inlineStr">
        <is>
          <t>Operations sections: Confirm the role filter, or ask for personal pin and hide.</t>
        </is>
      </c>
      <c r="E11" s="12" t="inlineStr">
        <is>
          <t>The role filter shows each user only the sections of the user's work.</t>
        </is>
      </c>
      <c r="F11" s="12" t="inlineStr">
        <is>
          <t>The Operations sections are filtered by role; a personal pin or hide of sections is not proposed.</t>
        </is>
      </c>
      <c r="G11" s="12" t="inlineStr">
        <is>
          <t>FRS BRD-02 v2.1, Proposed business rules and clarifications; BRQID.003; FR-OP-003</t>
        </is>
      </c>
      <c r="H11" s="12" t="inlineStr">
        <is>
          <t>Head, Operations Services</t>
        </is>
      </c>
      <c r="I11" s="37" t="n">
        <v>46356</v>
      </c>
      <c r="J11" s="12" t="inlineStr">
        <is>
          <t>Medium</t>
        </is>
      </c>
      <c r="K11" s="38" t="inlineStr">
        <is>
          <t>Open</t>
        </is>
      </c>
      <c r="L11" s="12" t="n"/>
      <c r="M11" s="12" t="n"/>
    </row>
    <row r="12">
      <c r="A12" s="12" t="inlineStr">
        <is>
          <t>CLR-OP-02</t>
        </is>
      </c>
      <c r="B12" s="12" t="inlineStr">
        <is>
          <t>BRD-02 Operations</t>
        </is>
      </c>
      <c r="C12" s="12" t="inlineStr">
        <is>
          <t>Clarification</t>
        </is>
      </c>
      <c r="D12" s="12" t="inlineStr">
        <is>
          <t>Lock while with Comptrollership: Name the Comptrollership activity (OQ28).</t>
        </is>
      </c>
      <c r="E12" s="12" t="inlineStr">
        <is>
          <t>The Comptrollership activity that should lock the invoice is not named (OQ28).</t>
        </is>
      </c>
      <c r="F12" s="12" t="inlineStr">
        <is>
          <t>Remittance and Adjustment lock the invoice while they work on it; a Comptrollership lock is added when BDOI names the activity.</t>
        </is>
      </c>
      <c r="G12" s="12" t="inlineStr">
        <is>
          <t>FRS BRD-02 v2.1, Proposed business rules and clarifications; RMTID.040; FR-OP-006; also raised as OQ28 (open question)</t>
        </is>
      </c>
      <c r="H12" s="12" t="inlineStr">
        <is>
          <t>Head, Operations Services</t>
        </is>
      </c>
      <c r="I12" s="37" t="n">
        <v>46356</v>
      </c>
      <c r="J12" s="12" t="inlineStr">
        <is>
          <t>Medium</t>
        </is>
      </c>
      <c r="K12" s="38" t="inlineStr">
        <is>
          <t>Open</t>
        </is>
      </c>
      <c r="L12" s="12" t="n"/>
      <c r="M12" s="12" t="n"/>
    </row>
    <row r="13">
      <c r="A13" s="12" t="inlineStr">
        <is>
          <t>CLR-OP-03</t>
        </is>
      </c>
      <c r="B13" s="12" t="inlineStr">
        <is>
          <t>BRD-02 Operations</t>
        </is>
      </c>
      <c r="C13" s="12" t="inlineStr">
        <is>
          <t>Report layout</t>
        </is>
      </c>
      <c r="D13" s="12" t="inlineStr">
        <is>
          <t>Insurer production report: Specify the insurer channels (OQ29), or confirm the upload.</t>
        </is>
      </c>
      <c r="E13" s="12" t="inlineStr">
        <is>
          <t>The insurer channels are not specified (OQ29).</t>
        </is>
      </c>
      <c r="F13" s="12" t="inlineStr">
        <is>
          <t>The handler uploads the insurer file; a mailbox or file transfer pick-up is added when the insurer channels are specified.</t>
        </is>
      </c>
      <c r="G13" s="12" t="inlineStr">
        <is>
          <t>FRS BRD-02 v2.1, Proposed business rules and clarifications; PRCID.009; FR-OP-074; also raised as OQ29 (open question), DCR-019 (register item)</t>
        </is>
      </c>
      <c r="H13" s="12" t="inlineStr">
        <is>
          <t>Operations - Financial Transactions and Processing</t>
        </is>
      </c>
      <c r="I13" s="37" t="n">
        <v>46356</v>
      </c>
      <c r="J13" s="12" t="inlineStr">
        <is>
          <t>Medium</t>
        </is>
      </c>
      <c r="K13" s="38" t="inlineStr">
        <is>
          <t>Partly answered</t>
        </is>
      </c>
      <c r="L13" s="12" t="n"/>
      <c r="M13" s="12" t="inlineStr">
        <is>
          <t>Answer so far: A secure insurer portal will exist. Frequencies, templates and naming open. (BRD-8 BRID-005).</t>
        </is>
      </c>
    </row>
    <row r="14">
      <c r="A14" s="12" t="inlineStr">
        <is>
          <t>CLR-OP-04</t>
        </is>
      </c>
      <c r="B14" s="12" t="inlineStr">
        <is>
          <t>BRD-02 Operations</t>
        </is>
      </c>
      <c r="C14" s="12" t="inlineStr">
        <is>
          <t>Configuration value</t>
        </is>
      </c>
      <c r="D14" s="12" t="inlineStr">
        <is>
          <t>Schedule to Marketing: Confirm that the processor sends the schedule.</t>
        </is>
      </c>
      <c r="E14" s="12" t="inlineStr">
        <is>
          <t>The BRD has Marketing initiate the request (OQ22).</t>
        </is>
      </c>
      <c r="F14" s="12" t="inlineStr">
        <is>
          <t>The Remittance processor sends the approved schedule from the batch, once.</t>
        </is>
      </c>
      <c r="G14" s="12" t="inlineStr">
        <is>
          <t>FRS BRD-02 v2.1, Proposed business rules and clarifications; MKTID.001; FR-OP-110; also raised as OQ22 (open question)</t>
        </is>
      </c>
      <c r="H14" s="12" t="inlineStr">
        <is>
          <t>Head, Operations Services</t>
        </is>
      </c>
      <c r="I14" s="37" t="n">
        <v>46356</v>
      </c>
      <c r="J14" s="12" t="inlineStr">
        <is>
          <t>Medium</t>
        </is>
      </c>
      <c r="K14" s="38" t="inlineStr">
        <is>
          <t>Open</t>
        </is>
      </c>
      <c r="L14" s="12" t="n"/>
      <c r="M14" s="12" t="n"/>
    </row>
    <row r="15">
      <c r="A15" s="12" t="inlineStr">
        <is>
          <t>CLR-OP-05</t>
        </is>
      </c>
      <c r="B15" s="12" t="inlineStr">
        <is>
          <t>BRD-02 Operations</t>
        </is>
      </c>
      <c r="C15" s="12" t="inlineStr">
        <is>
          <t>Business rule confirmation</t>
        </is>
      </c>
      <c r="D15" s="12" t="inlineStr">
        <is>
          <t>Edit of the extracted file: Confirm exclusion in place of edits.</t>
        </is>
      </c>
      <c r="E15" s="12" t="inlineStr">
        <is>
          <t>The December 2025 addendum, merged into BRD v1.01 (p.113), governs over the original BRD, which allowed online edits.</t>
        </is>
      </c>
      <c r="F15" s="12" t="inlineStr">
        <is>
          <t>Rows of the extract are excluded and restored with a reason; financial fields cannot be edited.</t>
        </is>
      </c>
      <c r="G15" s="12" t="inlineStr">
        <is>
          <t>FRS BRD-02 v2.1, Proposed business rules and clarifications; RMTID.002; FR-OP-032</t>
        </is>
      </c>
      <c r="H15" s="12" t="inlineStr">
        <is>
          <t>Head, Operations Services</t>
        </is>
      </c>
      <c r="I15" s="37" t="n">
        <v>46356</v>
      </c>
      <c r="J15" s="12" t="inlineStr">
        <is>
          <t>Medium</t>
        </is>
      </c>
      <c r="K15" s="38" t="inlineStr">
        <is>
          <t>Open</t>
        </is>
      </c>
      <c r="L15" s="12" t="n"/>
      <c r="M15" s="12" t="n"/>
    </row>
    <row r="16">
      <c r="A16" s="12" t="inlineStr">
        <is>
          <t>CLR-OP-06</t>
        </is>
      </c>
      <c r="B16" s="12" t="inlineStr">
        <is>
          <t>BRD-02 Operations</t>
        </is>
      </c>
      <c r="C16" s="12" t="inlineStr">
        <is>
          <t>Business rule confirmation</t>
        </is>
      </c>
      <c r="D16" s="12" t="inlineStr">
        <is>
          <t>Receipt cancellation and reinstatement: Confirm the Cashiering TL / TH approval (OQ06).</t>
        </is>
      </c>
      <c r="E16" s="12" t="inlineStr">
        <is>
          <t>The BRD does not name an approver (OQ06).</t>
        </is>
      </c>
      <c r="F16" s="12" t="inlineStr">
        <is>
          <t>A cancellation or reinstatement is a request approved by a Cashiering TL / TH (four eyes) before it posts.</t>
        </is>
      </c>
      <c r="G16" s="12" t="inlineStr">
        <is>
          <t>FRS BRD-02 v2.1, Proposed business rules and clarifications; CSHID.001-005; FR-OP-014; also raised as OQ06 (open question)</t>
        </is>
      </c>
      <c r="H16" s="12" t="inlineStr">
        <is>
          <t>Head, Operations Services</t>
        </is>
      </c>
      <c r="I16" s="37" t="n">
        <v>46356</v>
      </c>
      <c r="J16" s="12" t="inlineStr">
        <is>
          <t>Medium</t>
        </is>
      </c>
      <c r="K16" s="38" t="inlineStr">
        <is>
          <t>Open</t>
        </is>
      </c>
      <c r="L16" s="12" t="n"/>
      <c r="M16" s="12" t="n"/>
    </row>
    <row r="17">
      <c r="A17" s="12" t="inlineStr">
        <is>
          <t>CLR-OP-07</t>
        </is>
      </c>
      <c r="B17" s="12" t="inlineStr">
        <is>
          <t>BRD-02 Operations</t>
        </is>
      </c>
      <c r="C17" s="12" t="inlineStr">
        <is>
          <t>Business rule confirmation</t>
        </is>
      </c>
      <c r="D17" s="12" t="inlineStr">
        <is>
          <t>Commission OR per batch: Confirm the OR per batch and per payment (OQ49).</t>
        </is>
      </c>
      <c r="E17" s="12" t="inlineStr">
        <is>
          <t>The BRD allows one OR per batch or per payment (OQ49).</t>
        </is>
      </c>
      <c r="F17" s="12" t="inlineStr">
        <is>
          <t>Remittance approval issues one commission OR per batch; the Collection upload issues one OR per insurer, certificate and payment.</t>
        </is>
      </c>
      <c r="G17" s="12" t="inlineStr">
        <is>
          <t>FRS BRD-02 v2.1, Proposed business rules and clarifications; CSHID.007; FR-OP-021; also raised as OQ49 (open question), DCR-017 (register item)</t>
        </is>
      </c>
      <c r="H17" s="12" t="inlineStr">
        <is>
          <t>Operations - Financial Transactions and Processing</t>
        </is>
      </c>
      <c r="I17" s="37" t="n">
        <v>46356</v>
      </c>
      <c r="J17" s="12" t="inlineStr">
        <is>
          <t>Medium</t>
        </is>
      </c>
      <c r="K17" s="38" t="inlineStr">
        <is>
          <t>Open</t>
        </is>
      </c>
      <c r="L17" s="12" t="n"/>
      <c r="M17" s="12" t="n"/>
    </row>
    <row r="18">
      <c r="A18" s="12" t="inlineStr">
        <is>
          <t>CLR-OP-08</t>
        </is>
      </c>
      <c r="B18" s="12" t="inlineStr">
        <is>
          <t>BRD-02 Operations</t>
        </is>
      </c>
      <c r="C18" s="12" t="inlineStr">
        <is>
          <t>Business rule confirmation</t>
        </is>
      </c>
      <c r="D18" s="12" t="inlineStr">
        <is>
          <t>Payment files: Confirm the upload by Operations users (OQ03, OQ04).</t>
        </is>
      </c>
      <c r="E18" s="12" t="inlineStr">
        <is>
          <t>The BRD has IT run the Trade, CLPC and Direct Credit files on FS04 (OQ03, OQ04).</t>
        </is>
      </c>
      <c r="F18" s="12" t="inlineStr">
        <is>
          <t>Operations users upload the bank files; each file is stored read-only with its fingerprint, a duplicate file is refused, and the layouts are configurable.</t>
        </is>
      </c>
      <c r="G18" s="12" t="inlineStr">
        <is>
          <t>FRS BRD-02 v2.1, Proposed business rules and clarifications; CSHID.008; FR-OP-015; also raised as OQ03 (open question), OQ04 (open question), DCR-020 (register item)</t>
        </is>
      </c>
      <c r="H18" s="12" t="inlineStr">
        <is>
          <t>Operations - Financial Transactions and Processing</t>
        </is>
      </c>
      <c r="I18" s="37" t="n">
        <v>46356</v>
      </c>
      <c r="J18" s="12" t="inlineStr">
        <is>
          <t>Medium</t>
        </is>
      </c>
      <c r="K18" s="38" t="inlineStr">
        <is>
          <t>Open</t>
        </is>
      </c>
      <c r="L18" s="12" t="n"/>
      <c r="M18" s="12" t="n"/>
    </row>
    <row r="19">
      <c r="A19" s="12" t="inlineStr">
        <is>
          <t>CLR-OP-10</t>
        </is>
      </c>
      <c r="B19" s="12" t="inlineStr">
        <is>
          <t>BRD-02 Operations</t>
        </is>
      </c>
      <c r="C19" s="12" t="inlineStr">
        <is>
          <t>Business rule confirmation</t>
        </is>
      </c>
      <c r="D19" s="12" t="inlineStr">
        <is>
          <t>End-of-day extraction: Confirm the queue for the evening run (OQ18).</t>
        </is>
      </c>
      <c r="E19" s="12" t="inlineStr">
        <is>
          <t>The BRD text "if payment application is searched" is open to reading (OQ18).</t>
        </is>
      </c>
      <c r="F19" s="12" t="inlineStr">
        <is>
          <t>A user queues the searched invoice for the evening extraction run.</t>
        </is>
      </c>
      <c r="G19" s="12" t="inlineStr">
        <is>
          <t>FRS BRD-02 v2.1, Proposed business rules and clarifications; RMTID.005; FR-OP-030; also raised as OQ18 (open question)</t>
        </is>
      </c>
      <c r="H19" s="12" t="inlineStr">
        <is>
          <t>Head, Operations Services</t>
        </is>
      </c>
      <c r="I19" s="37" t="n">
        <v>46356</v>
      </c>
      <c r="J19" s="12" t="inlineStr">
        <is>
          <t>Medium</t>
        </is>
      </c>
      <c r="K19" s="38" t="inlineStr">
        <is>
          <t>Open</t>
        </is>
      </c>
      <c r="L19" s="12" t="n"/>
      <c r="M19" s="12" t="n"/>
    </row>
    <row r="20">
      <c r="A20" s="12" t="inlineStr">
        <is>
          <t>CLR-OP-12</t>
        </is>
      </c>
      <c r="B20" s="12" t="inlineStr">
        <is>
          <t>BRD-02 Operations</t>
        </is>
      </c>
      <c r="C20" s="12" t="inlineStr">
        <is>
          <t>Configuration value</t>
        </is>
      </c>
      <c r="D20" s="12" t="inlineStr">
        <is>
          <t>Insurer OR comparison: Give the tolerance, or confirm the exact comparison (OQ22).</t>
        </is>
      </c>
      <c r="E20" s="12" t="inlineStr">
        <is>
          <t>No tolerance is given (OQ22).</t>
        </is>
      </c>
      <c r="F20" s="12" t="inlineStr">
        <is>
          <t>The insurer OR amount is compared exactly with the paid PR per invoice.</t>
        </is>
      </c>
      <c r="G20" s="12" t="inlineStr">
        <is>
          <t>FRS BRD-02 v2.1, Proposed business rules and clarifications; RMTID.016; FR-OP-037</t>
        </is>
      </c>
      <c r="H20" s="12" t="inlineStr">
        <is>
          <t>Head, Operations Services</t>
        </is>
      </c>
      <c r="I20" s="37" t="n">
        <v>46356</v>
      </c>
      <c r="J20" s="12" t="inlineStr">
        <is>
          <t>Medium</t>
        </is>
      </c>
      <c r="K20" s="38" t="inlineStr">
        <is>
          <t>Open</t>
        </is>
      </c>
      <c r="L20" s="12" t="n"/>
      <c r="M20" s="12" t="n"/>
    </row>
    <row r="21">
      <c r="A21" s="12" t="inlineStr">
        <is>
          <t>CLR-OP-13</t>
        </is>
      </c>
      <c r="B21" s="12" t="inlineStr">
        <is>
          <t>BRD-02 Operations</t>
        </is>
      </c>
      <c r="C21" s="12" t="inlineStr">
        <is>
          <t>Business rule confirmation</t>
        </is>
      </c>
      <c r="D21" s="12" t="inlineStr">
        <is>
          <t>Cleared checks: Confirm the counting (OQ20).</t>
        </is>
      </c>
      <c r="E21" s="12" t="inlineStr">
        <is>
          <t>The BRD asks for checks at least 3 banking days old and cleared (OQ20).</t>
        </is>
      </c>
      <c r="F21" s="12" t="inlineStr">
        <is>
          <t>Checks are counted in banking days from the last applied value date on the branch calendar; the cleared status comes from the payment application.</t>
        </is>
      </c>
      <c r="G21" s="12" t="inlineStr">
        <is>
          <t>FRS BRD-02 v2.1, Proposed business rules and clarifications; RMTID.017; FR-OP-031; also raised as OQ20 (open question)</t>
        </is>
      </c>
      <c r="H21" s="12" t="inlineStr">
        <is>
          <t>Head, Operations Services</t>
        </is>
      </c>
      <c r="I21" s="37" t="n">
        <v>46356</v>
      </c>
      <c r="J21" s="12" t="inlineStr">
        <is>
          <t>Medium</t>
        </is>
      </c>
      <c r="K21" s="38" t="inlineStr">
        <is>
          <t>Open</t>
        </is>
      </c>
      <c r="L21" s="12" t="n"/>
      <c r="M21" s="12" t="n"/>
    </row>
    <row r="22">
      <c r="A22" s="12" t="inlineStr">
        <is>
          <t>CLR-OP-14</t>
        </is>
      </c>
      <c r="B22" s="12" t="inlineStr">
        <is>
          <t>BRD-02 Operations</t>
        </is>
      </c>
      <c r="C22" s="12" t="inlineStr">
        <is>
          <t>Business rule confirmation</t>
        </is>
      </c>
      <c r="D22" s="12" t="inlineStr">
        <is>
          <t>Invoice statuses: Confirm the two statuses (OQ21).</t>
        </is>
      </c>
      <c r="E22" s="12" t="inlineStr">
        <is>
          <t>The BRD's eight statuses mix payment and remittance states (OQ21).</t>
        </is>
      </c>
      <c r="F22" s="12" t="inlineStr">
        <is>
          <t>The invoice keeps a payment status and a remittance status; the batch has its own workflow stages.</t>
        </is>
      </c>
      <c r="G22" s="12" t="inlineStr">
        <is>
          <t>FRS BRD-02 v2.1, Proposed business rules and clarifications; RMTID.019; FR-OP-033, 035; also raised as OQ21 (open question), DCR-016 (register item)</t>
        </is>
      </c>
      <c r="H22" s="12" t="inlineStr">
        <is>
          <t>Operations - Financial Transactions and Processing</t>
        </is>
      </c>
      <c r="I22" s="37" t="n">
        <v>46356</v>
      </c>
      <c r="J22" s="12" t="inlineStr">
        <is>
          <t>Medium</t>
        </is>
      </c>
      <c r="K22" s="38" t="inlineStr">
        <is>
          <t>Open</t>
        </is>
      </c>
      <c r="L22" s="12" t="n"/>
      <c r="M22" s="12" t="n"/>
    </row>
    <row r="23">
      <c r="A23" s="12" t="inlineStr">
        <is>
          <t>CLR-OP-16</t>
        </is>
      </c>
      <c r="B23" s="12" t="inlineStr">
        <is>
          <t>BRD-02 Operations</t>
        </is>
      </c>
      <c r="C23" s="12" t="inlineStr">
        <is>
          <t>Report layout</t>
        </is>
      </c>
      <c r="D23" s="12" t="inlineStr">
        <is>
          <t>Insurer register columns: Confirm the editable columns.</t>
        </is>
      </c>
      <c r="E23" s="12" t="inlineStr">
        <is>
          <t>PRCID.022 asks the insurer to report unbooked production in the same file.</t>
        </is>
      </c>
      <c r="F23" s="12" t="inlineStr">
        <is>
          <t>The Remarks and Incentive columns and 200 blank rows are editable, so the insurer can add unbooked production.</t>
        </is>
      </c>
      <c r="G23" s="12" t="inlineStr">
        <is>
          <t>FRS BRD-02 v2.1, Proposed business rules and clarifications; PRCID.002; FR-OP-072</t>
        </is>
      </c>
      <c r="H23" s="12" t="inlineStr">
        <is>
          <t>Head, Operations Services</t>
        </is>
      </c>
      <c r="I23" s="37" t="n">
        <v>46356</v>
      </c>
      <c r="J23" s="12" t="inlineStr">
        <is>
          <t>Medium</t>
        </is>
      </c>
      <c r="K23" s="38" t="inlineStr">
        <is>
          <t>Open</t>
        </is>
      </c>
      <c r="L23" s="12" t="n"/>
      <c r="M23" s="12" t="n"/>
    </row>
    <row r="24">
      <c r="A24" s="12" t="inlineStr">
        <is>
          <t>CLR-OP-17</t>
        </is>
      </c>
      <c r="B24" s="12" t="inlineStr">
        <is>
          <t>BRD-02 Operations</t>
        </is>
      </c>
      <c r="C24" s="12" t="inlineStr">
        <is>
          <t>Business rule confirmation</t>
        </is>
      </c>
      <c r="D24" s="12" t="inlineStr">
        <is>
          <t>Location filter: Confirm the filters.</t>
        </is>
      </c>
      <c r="E24" s="12" t="inlineStr">
        <is>
          <t>The invoice ledger groups items by sales organisation.</t>
        </is>
      </c>
      <c r="F24" s="12" t="inlineStr">
        <is>
          <t>Reconciliation items filter by AO, sales unit, segment and product line; the location filter is on the reports.</t>
        </is>
      </c>
      <c r="G24" s="12" t="inlineStr">
        <is>
          <t>FRS BRD-02 v2.1, Proposed business rules and clarifications; PRCID.014, 021; FR-OP-077</t>
        </is>
      </c>
      <c r="H24" s="12" t="inlineStr">
        <is>
          <t>Head, Operations Services</t>
        </is>
      </c>
      <c r="I24" s="37" t="n">
        <v>46356</v>
      </c>
      <c r="J24" s="12" t="inlineStr">
        <is>
          <t>Medium</t>
        </is>
      </c>
      <c r="K24" s="38" t="inlineStr">
        <is>
          <t>Open</t>
        </is>
      </c>
      <c r="L24" s="12" t="n"/>
      <c r="M24" s="12" t="n"/>
    </row>
    <row r="25">
      <c r="A25" s="12" t="inlineStr">
        <is>
          <t>CLR-OP-18</t>
        </is>
      </c>
      <c r="B25" s="12" t="inlineStr">
        <is>
          <t>BRD-02 Operations</t>
        </is>
      </c>
      <c r="C25" s="12" t="inlineStr">
        <is>
          <t>Business rule confirmation</t>
        </is>
      </c>
      <c r="D25" s="12" t="inlineStr">
        <is>
          <t>Reconciliation statuses: Confirm the fifth status.</t>
        </is>
      </c>
      <c r="E25" s="12" t="inlineStr">
        <is>
          <t>The BRD's four statuses do not cover accounts missing from the insurer's file.</t>
        </is>
      </c>
      <c r="F25" s="12" t="inlineStr">
        <is>
          <t>A fifth status, BDOI Only, marks booked accounts that the insurer did not return (see also CLR-OP-50 for the three statuses of the annex).</t>
        </is>
      </c>
      <c r="G25" s="12" t="inlineStr">
        <is>
          <t>FRS BRD-02 v2.1, Proposed business rules and clarifications; PRCID.030; FR-OP-075</t>
        </is>
      </c>
      <c r="H25" s="12" t="inlineStr">
        <is>
          <t>Head, Operations Services</t>
        </is>
      </c>
      <c r="I25" s="37" t="n">
        <v>46356</v>
      </c>
      <c r="J25" s="12" t="inlineStr">
        <is>
          <t>Medium</t>
        </is>
      </c>
      <c r="K25" s="38" t="inlineStr">
        <is>
          <t>Open</t>
        </is>
      </c>
      <c r="L25" s="12" t="n"/>
      <c r="M25" s="12" t="n"/>
    </row>
    <row r="26">
      <c r="A26" s="12" t="inlineStr">
        <is>
          <t>CLR-OP-19</t>
        </is>
      </c>
      <c r="B26" s="12" t="inlineStr">
        <is>
          <t>BRD-02 Operations</t>
        </is>
      </c>
      <c r="C26" s="12" t="inlineStr">
        <is>
          <t>Business rule confirmation</t>
        </is>
      </c>
      <c r="D26" s="12" t="inlineStr">
        <is>
          <t>Sum insured on the register: Confirm the register without the sum insured, or ask for it from the account.</t>
        </is>
      </c>
      <c r="E26" s="12" t="inlineStr">
        <is>
          <t>The invoice ledger does not hold the sum insured.</t>
        </is>
      </c>
      <c r="F26" s="12" t="inlineStr">
        <is>
          <t>The production register has no Sum Insured column.</t>
        </is>
      </c>
      <c r="G26" s="12" t="inlineStr">
        <is>
          <t>FRS BRD-02 v2.1, Proposed business rules and clarifications; Annex IV #5; FR-OP-072</t>
        </is>
      </c>
      <c r="H26" s="12" t="inlineStr">
        <is>
          <t>Head, Operations Services</t>
        </is>
      </c>
      <c r="I26" s="37" t="n">
        <v>46356</v>
      </c>
      <c r="J26" s="12" t="inlineStr">
        <is>
          <t>Medium</t>
        </is>
      </c>
      <c r="K26" s="38" t="inlineStr">
        <is>
          <t>Open</t>
        </is>
      </c>
      <c r="L26" s="12" t="n"/>
      <c r="M26" s="12" t="n"/>
    </row>
    <row r="27">
      <c r="A27" s="12" t="inlineStr">
        <is>
          <t>CLR-OP-20</t>
        </is>
      </c>
      <c r="B27" s="12" t="inlineStr">
        <is>
          <t>BRD-02 Operations</t>
        </is>
      </c>
      <c r="C27" s="12" t="inlineStr">
        <is>
          <t>Business rule confirmation</t>
        </is>
      </c>
      <c r="D27" s="12" t="inlineStr">
        <is>
          <t>Several accounts in one request: Confirm one request per invoice.</t>
        </is>
      </c>
      <c r="E27" s="12" t="inlineStr">
        <is>
          <t>Each invoice has its own approval and posting.</t>
        </is>
      </c>
      <c r="F27" s="12" t="inlineStr">
        <is>
          <t>One request per invoice; the wizard and the upload raise several requests at once.</t>
        </is>
      </c>
      <c r="G27" s="12" t="inlineStr">
        <is>
          <t>FRS BRD-02 v2.1, Proposed business rules and clarifications; ADJID.001; FR-OP-050</t>
        </is>
      </c>
      <c r="H27" s="12" t="inlineStr">
        <is>
          <t>Head, Operations Services</t>
        </is>
      </c>
      <c r="I27" s="37" t="n">
        <v>46356</v>
      </c>
      <c r="J27" s="12" t="inlineStr">
        <is>
          <t>Medium</t>
        </is>
      </c>
      <c r="K27" s="38" t="inlineStr">
        <is>
          <t>Open</t>
        </is>
      </c>
      <c r="L27" s="12" t="n"/>
      <c r="M27" s="12" t="n"/>
    </row>
    <row r="28">
      <c r="A28" s="12" t="inlineStr">
        <is>
          <t>CLR-OP-22</t>
        </is>
      </c>
      <c r="B28" s="12" t="inlineStr">
        <is>
          <t>BRD-02 Operations</t>
        </is>
      </c>
      <c r="C28" s="12" t="inlineStr">
        <is>
          <t>Business rule confirmation</t>
        </is>
      </c>
      <c r="D28" s="12" t="inlineStr">
        <is>
          <t>Quotation for a TSI increase: Confirm the hand-off to Marketing.</t>
        </is>
      </c>
      <c r="E28" s="12" t="inlineStr">
        <is>
          <t>The quotation is prepared in New Business.</t>
        </is>
      </c>
      <c r="F28" s="12" t="inlineStr">
        <is>
          <t>A hand-off to Marketing; the quotation number is linked on the request by reference.</t>
        </is>
      </c>
      <c r="G28" s="12" t="inlineStr">
        <is>
          <t>FRS BRD-02 v2.1, Proposed business rules and clarifications; ADJID.008; FR-OP-055</t>
        </is>
      </c>
      <c r="H28" s="12" t="inlineStr">
        <is>
          <t>Head, Operations Services</t>
        </is>
      </c>
      <c r="I28" s="37" t="n">
        <v>46356</v>
      </c>
      <c r="J28" s="12" t="inlineStr">
        <is>
          <t>Medium</t>
        </is>
      </c>
      <c r="K28" s="38" t="inlineStr">
        <is>
          <t>Open</t>
        </is>
      </c>
      <c r="L28" s="12" t="n"/>
      <c r="M28" s="12" t="n"/>
    </row>
    <row r="29">
      <c r="A29" s="12" t="inlineStr">
        <is>
          <t>CLR-OP-23</t>
        </is>
      </c>
      <c r="B29" s="12" t="inlineStr">
        <is>
          <t>BRD-02 Operations</t>
        </is>
      </c>
      <c r="C29" s="12" t="inlineStr">
        <is>
          <t>Business rule confirmation</t>
        </is>
      </c>
      <c r="D29" s="12" t="inlineStr">
        <is>
          <t>DP premium receivable reversal: Confirm the ledger-only reversal (OQ07).</t>
        </is>
      </c>
      <c r="E29" s="12" t="inlineStr">
        <is>
          <t>Booking of a DP invoice has no premium receivable to reverse (OQ07).</t>
        </is>
      </c>
      <c r="F29" s="12" t="inlineStr">
        <is>
          <t>The ledger reversal is always recorded; its GL entry is switched off by a parameter because booking posts no PR for DP invoices.</t>
        </is>
      </c>
      <c r="G29" s="12" t="inlineStr">
        <is>
          <t>FRS BRD-02 v2.1, Proposed business rules and clarifications; MKTID.012; FR-OP-094; also raised as OQ07 (open question), AQ02 (open question)</t>
        </is>
      </c>
      <c r="H29" s="12" t="inlineStr">
        <is>
          <t>Head, Operations Services</t>
        </is>
      </c>
      <c r="I29" s="37" t="n">
        <v>46356</v>
      </c>
      <c r="J29" s="12" t="inlineStr">
        <is>
          <t>Medium</t>
        </is>
      </c>
      <c r="K29" s="38" t="inlineStr">
        <is>
          <t>Partly answered</t>
        </is>
      </c>
      <c r="L29" s="12" t="n"/>
      <c r="M29" s="12" t="inlineStr">
        <is>
          <t>Answer so far: Account names given through the reports; no chart and no entries. (BRD-5 FRBS 2.3.x, reports; BRD-4 draft 061 / 063).</t>
        </is>
      </c>
    </row>
    <row r="30">
      <c r="A30" s="12" t="inlineStr">
        <is>
          <t>CLR-OP-24</t>
        </is>
      </c>
      <c r="B30" s="12" t="inlineStr">
        <is>
          <t>BRD-02 Operations</t>
        </is>
      </c>
      <c r="C30" s="12" t="inlineStr">
        <is>
          <t>Clarification</t>
        </is>
      </c>
      <c r="D30" s="12" t="inlineStr">
        <is>
          <t>Incentive schemes: See CLR-OP-58.</t>
        </is>
      </c>
      <c r="E30" s="12" t="inlineStr">
        <is>
          <t>The annex of May 2026 replaces the target-based schemes (OQ39).</t>
        </is>
      </c>
      <c r="F30" s="12" t="inlineStr">
        <is>
          <t>Superseded by CLR-OP-58: the incentives follow each insurer's SLA per invoice; the programmes stay inactive until BDOI gives the SLA parameters.</t>
        </is>
      </c>
      <c r="G30" s="12" t="inlineStr">
        <is>
          <t>FRS BRD-02 v2.1, Proposed business rules and clarifications; CMRID.005, 006; FR-OP-095; also raised as OQ39 (open question), SP-SQ14 (open question)</t>
        </is>
      </c>
      <c r="H30" s="12" t="inlineStr">
        <is>
          <t>Head, Operations Services</t>
        </is>
      </c>
      <c r="I30" s="37" t="n">
        <v>46356</v>
      </c>
      <c r="J30" s="12" t="inlineStr">
        <is>
          <t>Medium</t>
        </is>
      </c>
      <c r="K30" s="38" t="inlineStr">
        <is>
          <t>Partly answered</t>
        </is>
      </c>
      <c r="L30" s="12" t="n"/>
      <c r="M30" s="12" t="inlineStr">
        <is>
          <t>Answer so far: No Touch = submitted CBG Motor accounts billed a service fee; criteria on the products matrix; CPC2 defined. Targets and tiers open. (Report List #164; BRD-3 PMADD07 / 08; BRD-5 DIS 3.29.2).</t>
        </is>
      </c>
    </row>
    <row r="31">
      <c r="A31" s="12" t="inlineStr">
        <is>
          <t>CLR-OP-25</t>
        </is>
      </c>
      <c r="B31" s="12" t="inlineStr">
        <is>
          <t>BRD-02 Operations</t>
        </is>
      </c>
      <c r="C31" s="12" t="inlineStr">
        <is>
          <t>Business rule confirmation</t>
        </is>
      </c>
      <c r="D31" s="12" t="inlineStr">
        <is>
          <t>Collection and Disbursement systems: Confirm the uploads and the queue until then.</t>
        </is>
      </c>
      <c r="E31" s="12" t="inlineStr">
        <is>
          <t>The Collection and Disbursement systems are replaced by BIBS modules (OQ01, OQ02, OQ45).</t>
        </is>
      </c>
      <c r="F31" s="12" t="inlineStr">
        <is>
          <t>Uploads for the Collection data and an in-app Disbursement queue, until BRD-4 Collections and BRD-5 Disbursement replace them.</t>
        </is>
      </c>
      <c r="G31" s="12" t="inlineStr">
        <is>
          <t>FRS BRD-02 v2.1, Proposed business rules and clarifications; BRQID.004, MKTID.010, 013, CMRID.001, DBMID.001, RMTID.034; FR-OP-130, 120; also raised as OQ01 (open question), OQ02 (open question), OQ45 (open question), DCR-023 (register item)</t>
        </is>
      </c>
      <c r="H31" s="12" t="inlineStr">
        <is>
          <t>Operations - Financial Transactions and Processing</t>
        </is>
      </c>
      <c r="I31" s="37" t="n">
        <v>46356</v>
      </c>
      <c r="J31" s="12" t="inlineStr">
        <is>
          <t>Medium</t>
        </is>
      </c>
      <c r="K31" s="38" t="inlineStr">
        <is>
          <t>Partly answered</t>
        </is>
      </c>
      <c r="L31" s="12" t="n"/>
      <c r="M31" s="12" t="inlineStr">
        <is>
          <t>Answer so far: Collection, Accounting, Disbursement and Claims are BIBS modules. Marketing (ISYS) open. (BRD-4 p.37-39; BRD-5 FRBS 2.5.0, DIS 3.25.0; BRD-7 p.23; BRD-8 BRID-021); Disbursement is a Comptrollership unit working in BIBS; it creates DVs from system-triggered requests and returns instrument statuses. (BRD-5 DIS 2.7.5-2.7.12, 2.20.0, 3.25.0); Tagging dispositions and the handling-fee disposition are Marketing activities in BIBS. Holds and special remittance open. (BRD-4; BRD-12 BRIDSP-31). Also affects BRD-04.</t>
        </is>
      </c>
    </row>
    <row r="32">
      <c r="A32" s="12" t="inlineStr">
        <is>
          <t>CLR-OP-26</t>
        </is>
      </c>
      <c r="B32" s="12" t="inlineStr">
        <is>
          <t>BRD-02 Operations</t>
        </is>
      </c>
      <c r="C32" s="12" t="inlineStr">
        <is>
          <t>Configuration value</t>
        </is>
      </c>
      <c r="D32" s="12" t="inlineStr">
        <is>
          <t>Match keys and automatch frequency: Give the match keys and the automatch frequency (OQ30).</t>
        </is>
      </c>
      <c r="E32" s="12" t="inlineStr">
        <is>
          <t>The keys and the frequency are not given (OQ30).</t>
        </is>
      </c>
      <c r="F32" s="12" t="inlineStr">
        <is>
          <t>Lines are matched on the match keys of the reconciliation parameters in order (by default the invoice number, then the policy number); the automatch runs on every upload and when the handler clicks Match Again.</t>
        </is>
      </c>
      <c r="G32" s="12" t="inlineStr">
        <is>
          <t>FRS BRD-02 v2.1, Proposed business rules and clarifications; PRCID.024-027; FR-OP-075; also raised as OQ30 (open question)</t>
        </is>
      </c>
      <c r="H32" s="12" t="inlineStr">
        <is>
          <t>Head, Operations Services</t>
        </is>
      </c>
      <c r="I32" s="37" t="n">
        <v>46356</v>
      </c>
      <c r="J32" s="12" t="inlineStr">
        <is>
          <t>Medium</t>
        </is>
      </c>
      <c r="K32" s="38" t="inlineStr">
        <is>
          <t>Open</t>
        </is>
      </c>
      <c r="L32" s="12" t="n"/>
      <c r="M32" s="12" t="n"/>
    </row>
    <row r="33">
      <c r="A33" s="12" t="inlineStr">
        <is>
          <t>CLR-OP-28</t>
        </is>
      </c>
      <c r="B33" s="12" t="inlineStr">
        <is>
          <t>BRD-02 Operations</t>
        </is>
      </c>
      <c r="C33" s="12" t="inlineStr">
        <is>
          <t>Business rule confirmation</t>
        </is>
      </c>
      <c r="D33" s="12" t="inlineStr">
        <is>
          <t>Insurer in the references: Confirm the short code in the references and record titles, or ask for the name there.</t>
        </is>
      </c>
      <c r="E33" s="12" t="inlineStr">
        <is>
          <t>The code in the reference tells the insurer at a glance in lists and file names.</t>
        </is>
      </c>
      <c r="F33" s="12" t="inlineStr">
        <is>
          <t>Remittance batches, reconciliation cycles and their titles carry the insurer's short code in the reference (for example RMB-INS-MGIC-2026-000001, PRC-INS-MGIC-202609-000001); the insurer's name shows in the record facts and the documents.</t>
        </is>
      </c>
      <c r="G33" s="12" t="inlineStr">
        <is>
          <t>FRS BRD-02 v2.1, Proposed business rules and clarifications; screen standards</t>
        </is>
      </c>
      <c r="H33" s="12" t="inlineStr">
        <is>
          <t>Head, Operations Services</t>
        </is>
      </c>
      <c r="I33" s="37" t="n">
        <v>46356</v>
      </c>
      <c r="J33" s="12" t="inlineStr">
        <is>
          <t>Medium</t>
        </is>
      </c>
      <c r="K33" s="38" t="inlineStr">
        <is>
          <t>Open</t>
        </is>
      </c>
      <c r="L33" s="12" t="n"/>
      <c r="M33" s="12" t="n"/>
    </row>
    <row r="34">
      <c r="A34" s="12" t="inlineStr">
        <is>
          <t>CLR-OP-32</t>
        </is>
      </c>
      <c r="B34" s="12" t="inlineStr">
        <is>
          <t>BRD-02 Operations</t>
        </is>
      </c>
      <c r="C34" s="12" t="inlineStr">
        <is>
          <t>Configuration value</t>
        </is>
      </c>
      <c r="D34" s="12" t="inlineStr">
        <is>
          <t>Insurer's decision in the DP billing: Confirm the values, or give the insurers' wording.</t>
        </is>
      </c>
      <c r="E34" s="12" t="inlineStr">
        <is>
          <t>Fixed values let the answer be read without interpretation.</t>
        </is>
      </c>
      <c r="F34" s="12" t="inlineStr">
        <is>
          <t>The insurer answers each account in the Decision column with Approved or Rejected (Yes or No is read the same way) and gives the reason of a rejection; DP Responses reads these values.</t>
        </is>
      </c>
      <c r="G34" s="12" t="inlineStr">
        <is>
          <t>FRS BRD-02 v2.1, Proposed business rules and clarifications; DO-08</t>
        </is>
      </c>
      <c r="H34" s="12" t="inlineStr">
        <is>
          <t>Head, Operations Services</t>
        </is>
      </c>
      <c r="I34" s="37" t="n">
        <v>46356</v>
      </c>
      <c r="J34" s="12" t="inlineStr">
        <is>
          <t>Medium</t>
        </is>
      </c>
      <c r="K34" s="38" t="inlineStr">
        <is>
          <t>Open</t>
        </is>
      </c>
      <c r="L34" s="12" t="n"/>
      <c r="M34" s="12" t="n"/>
    </row>
    <row r="35">
      <c r="A35" s="12" t="inlineStr">
        <is>
          <t>CLR-OP-33</t>
        </is>
      </c>
      <c r="B35" s="12" t="inlineStr">
        <is>
          <t>BRD-02 Operations</t>
        </is>
      </c>
      <c r="C35" s="12" t="inlineStr">
        <is>
          <t>Clarification</t>
        </is>
      </c>
      <c r="D35" s="12" t="inlineStr">
        <is>
          <t>Hold reasons: Give the list of hold reasons (OQ24).</t>
        </is>
      </c>
      <c r="E35" s="12" t="inlineStr">
        <is>
          <t>The list is to be supplied by BDOI (OQ24).</t>
        </is>
      </c>
      <c r="F35" s="12" t="inlineStr">
        <is>
          <t>The hold reason list has one value, Others, with the comment, until BDOI gives its list.</t>
        </is>
      </c>
      <c r="G35" s="12" t="inlineStr">
        <is>
          <t>FRS BRD-02 v2.1, Proposed business rules and clarifications; MKTID.003; FR-OP-111; also raised as OQ24 (open question)</t>
        </is>
      </c>
      <c r="H35" s="12" t="inlineStr">
        <is>
          <t>Head, Operations Services</t>
        </is>
      </c>
      <c r="I35" s="37" t="n">
        <v>46356</v>
      </c>
      <c r="J35" s="12" t="inlineStr">
        <is>
          <t>Medium</t>
        </is>
      </c>
      <c r="K35" s="38" t="inlineStr">
        <is>
          <t>Open</t>
        </is>
      </c>
      <c r="L35" s="12" t="n"/>
      <c r="M35" s="12" t="n"/>
    </row>
    <row r="36">
      <c r="A36" s="12" t="inlineStr">
        <is>
          <t>CLR-OP-34</t>
        </is>
      </c>
      <c r="B36" s="12" t="inlineStr">
        <is>
          <t>BRD-02 Operations</t>
        </is>
      </c>
      <c r="C36" s="12" t="inlineStr">
        <is>
          <t>Business rule confirmation</t>
        </is>
      </c>
      <c r="D36" s="12" t="inlineStr">
        <is>
          <t>Insurer references in the generated workbooks: Confirm the layout for the insurers, or give the layout each insurer needs.</t>
        </is>
      </c>
      <c r="E36" s="12" t="inlineStr">
        <is>
          <t>The files are read back by the insurers and by BIBS.</t>
        </is>
      </c>
      <c r="F36" s="12" t="inlineStr">
        <is>
          <t>The production register and the DP billing show the insurer's short code, the dates as yyyy-mm-dd and the remittance status as a code, for the insurer's own systems to read.</t>
        </is>
      </c>
      <c r="G36" s="12" t="inlineStr">
        <is>
          <t>FRS BRD-02 v2.1, Proposed business rules and clarifications; DO-07, DO-08</t>
        </is>
      </c>
      <c r="H36" s="12" t="inlineStr">
        <is>
          <t>Head, Operations Services</t>
        </is>
      </c>
      <c r="I36" s="37" t="n">
        <v>46356</v>
      </c>
      <c r="J36" s="12" t="inlineStr">
        <is>
          <t>Medium</t>
        </is>
      </c>
      <c r="K36" s="38" t="inlineStr">
        <is>
          <t>Open</t>
        </is>
      </c>
      <c r="L36" s="12" t="n"/>
      <c r="M36" s="12" t="n"/>
    </row>
    <row r="37">
      <c r="A37" s="12" t="inlineStr">
        <is>
          <t>CLR-OP-35</t>
        </is>
      </c>
      <c r="B37" s="12" t="inlineStr">
        <is>
          <t>BRD-02 Operations</t>
        </is>
      </c>
      <c r="C37" s="12" t="inlineStr">
        <is>
          <t>Business rule confirmation</t>
        </is>
      </c>
      <c r="D37" s="12" t="inlineStr">
        <is>
          <t>Basis of the recompute: Confirm the premium in force of the policy year as the basis.</t>
        </is>
      </c>
      <c r="E37" s="12" t="inlineStr">
        <is>
          <t>The cancellation takes back the whole policy year, so a Before of the booking invoice alone would show negative After amounts.</t>
        </is>
      </c>
      <c r="F37" s="12" t="inlineStr">
        <is>
          <t>Before, Change and After of a request are all taken on the premium in force of the policy year: the invoice with the endorsements and returns of the same policy year, as booking computes a cancellation. A flat cancellation of a policy with later endorsements therefore shows the whole policy year going to zero; a write-off or a non-financial request stays on the invoice alone.</t>
        </is>
      </c>
      <c r="G37" s="12" t="inlineStr">
        <is>
          <t>FRS BRD-02 v2.1, Proposed business rules and clarifications; ADJID.014; FR-OP-054</t>
        </is>
      </c>
      <c r="H37" s="12" t="inlineStr">
        <is>
          <t>Head, Operations Services</t>
        </is>
      </c>
      <c r="I37" s="37" t="n">
        <v>46356</v>
      </c>
      <c r="J37" s="12" t="inlineStr">
        <is>
          <t>Medium</t>
        </is>
      </c>
      <c r="K37" s="38" t="inlineStr">
        <is>
          <t>Open</t>
        </is>
      </c>
      <c r="L37" s="12" t="n"/>
      <c r="M37" s="12" t="n"/>
    </row>
    <row r="38">
      <c r="A38" s="12" t="inlineStr">
        <is>
          <t>CLR-OP-36</t>
        </is>
      </c>
      <c r="B38" s="12" t="inlineStr">
        <is>
          <t>BRD-02 Operations</t>
        </is>
      </c>
      <c r="C38" s="12" t="inlineStr">
        <is>
          <t>Business rule confirmation</t>
        </is>
      </c>
      <c r="D38" s="12" t="inlineStr">
        <is>
          <t>Approval status of the May 2026 annexes: Confirm that the annexes are approved as issued, or have the two signatures added.</t>
        </is>
      </c>
      <c r="E38" s="12" t="inlineStr">
        <is>
          <t>On the overall approval page of the annexes (p.66) Jose Melvin Jarin is marked on leave and Roderick Lim has neither signed nor dated.</t>
        </is>
      </c>
      <c r="F38" s="12" t="inlineStr">
        <is>
          <t>The set treats the five annexes as approved by their signatories (p.8, 18, 27, 39, 65) and BRD v1.01 as approved on its sheet (p.184-185).</t>
        </is>
      </c>
      <c r="G38" s="12" t="inlineStr">
        <is>
          <t>FRS BRD-02 v2.1, Proposed business rules and clarifications; R2; references</t>
        </is>
      </c>
      <c r="H38" s="12" t="inlineStr">
        <is>
          <t>Head, Operations Services</t>
        </is>
      </c>
      <c r="I38" s="37" t="n">
        <v>46356</v>
      </c>
      <c r="J38" s="12" t="inlineStr">
        <is>
          <t>Medium</t>
        </is>
      </c>
      <c r="K38" s="38" t="inlineStr">
        <is>
          <t>Open</t>
        </is>
      </c>
      <c r="L38" s="12" t="n"/>
      <c r="M38" s="12" t="n"/>
    </row>
    <row r="39">
      <c r="A39" s="12" t="inlineStr">
        <is>
          <t>CLR-OP-37</t>
        </is>
      </c>
      <c r="B39" s="12" t="inlineStr">
        <is>
          <t>BRD-02 Operations</t>
        </is>
      </c>
      <c r="C39" s="12" t="inlineStr">
        <is>
          <t>Business rule confirmation</t>
        </is>
      </c>
      <c r="D39" s="12" t="inlineStr">
        <is>
          <t>Audit trail standard: Confirm that the seven items and the recording of refused actions meet the IT audit standard; BDOI IT confirms the origin detail it needs.</t>
        </is>
      </c>
      <c r="E39" s="12" t="inlineStr">
        <is>
          <t>BDOI Operations made its sign-off of BRD v1.01 conditional on this standard.</t>
        </is>
      </c>
      <c r="F39" s="12" t="inlineStr">
        <is>
          <t>Every Operations audit record holds the seven items of the IT standard: user, event type, module, from and to values, origin of the event (IP address, MAC address, terminal ID or equivalent), date and time, success or failure indicator; refused actions are recorded with Failure.</t>
        </is>
      </c>
      <c r="G39" s="12" t="inlineStr">
        <is>
          <t>FRS BRD-02 v2.1, Proposed business rules and clarifications; BRD v1.01 sign-off, p.67, p.186; NFR; FR-OP-024</t>
        </is>
      </c>
      <c r="H39" s="12" t="inlineStr">
        <is>
          <t>Head, Operations Services</t>
        </is>
      </c>
      <c r="I39" s="37" t="n">
        <v>46356</v>
      </c>
      <c r="J39" s="12" t="inlineStr">
        <is>
          <t>Medium</t>
        </is>
      </c>
      <c r="K39" s="38" t="inlineStr">
        <is>
          <t>Open</t>
        </is>
      </c>
      <c r="L39" s="12" t="n"/>
      <c r="M39" s="12" t="n"/>
    </row>
    <row r="40">
      <c r="A40" s="12" t="inlineStr">
        <is>
          <t>CLR-OP-38</t>
        </is>
      </c>
      <c r="B40" s="12" t="inlineStr">
        <is>
          <t>BRD-02 Operations</t>
        </is>
      </c>
      <c r="C40" s="12" t="inlineStr">
        <is>
          <t>Business rule confirmation</t>
        </is>
      </c>
      <c r="D40" s="12" t="inlineStr">
        <is>
          <t>Check pick-up removed: Confirm the withdrawal in both sets, and whether the cancellation reason "Check not picked up" stays in the receipt cancellation reasons.</t>
        </is>
      </c>
      <c r="E40" s="12" t="inlineStr">
        <is>
          <t>The Cashiering annex (p.4-6, MOM 05052026) removes CSHID.009 because the process is no longer part of BDOI's target process.</t>
        </is>
      </c>
      <c r="F40" s="12" t="inlineStr">
        <is>
          <t>The Check Pick-up screen, the pick-up requests from Collections, the Check Pick-ups Due tile and the pick-up report are withdrawn; checks picked up by Marketing Collection are received like any other check. The same removal applies to the hand-off of FRS BRD-4 Collections (FR-CL-032 and its walkthrough WT-A), which the Collections set handles.</t>
        </is>
      </c>
      <c r="G40" s="12" t="inlineStr">
        <is>
          <t>FRS BRD-02 v2.1, Proposed business rules and clarifications; CSHID.009; FR-OP-017; cross-reference BRD-4 Collections</t>
        </is>
      </c>
      <c r="H40" s="12" t="inlineStr">
        <is>
          <t>Head, Operations Services</t>
        </is>
      </c>
      <c r="I40" s="37" t="n">
        <v>46356</v>
      </c>
      <c r="J40" s="12" t="inlineStr">
        <is>
          <t>Medium</t>
        </is>
      </c>
      <c r="K40" s="38" t="inlineStr">
        <is>
          <t>Open</t>
        </is>
      </c>
      <c r="L40" s="12" t="n"/>
      <c r="M40" s="12" t="n"/>
    </row>
    <row r="41">
      <c r="A41" s="12" t="inlineStr">
        <is>
          <t>CLR-OP-39</t>
        </is>
      </c>
      <c r="B41" s="12" t="inlineStr">
        <is>
          <t>BRD-02 Operations</t>
        </is>
      </c>
      <c r="C41" s="12" t="inlineStr">
        <is>
          <t>Configuration value</t>
        </is>
      </c>
      <c r="D41" s="12" t="inlineStr">
        <is>
          <t>Minimal balances at processing: Confirm the threshold values and that a balance of exactly 10.00 is cleared at processing, not written off by the file.</t>
        </is>
      </c>
      <c r="E41" s="12" t="inlineStr">
        <is>
          <t>The annex requires clearing when the transaction is processed, a configurable threshold and no duplicate reversal; the BRD has a second rule of 10.00 to 100.00 in Adjustment (OQ11).</t>
        </is>
      </c>
      <c r="F41" s="12" t="inlineStr">
        <is>
          <t>Minimal balances and minimal excess payments are cleared in the posting of the payment, never routed to Unapplied Payments; the daily run stays as a safety net for balances left by later events. Threshold 10.00 for premium and excess until BDOI confirms; the Adjustment file keeps 10.00 to 100.00.</t>
        </is>
      </c>
      <c r="G41" s="12" t="inlineStr">
        <is>
          <t>FRS BRD-02 v2.1, Proposed business rules and clarifications; CSHID.016; FR-OP-023, 059</t>
        </is>
      </c>
      <c r="H41" s="12" t="inlineStr">
        <is>
          <t>Head, Operations Services</t>
        </is>
      </c>
      <c r="I41" s="37" t="n">
        <v>46356</v>
      </c>
      <c r="J41" s="12" t="inlineStr">
        <is>
          <t>Medium</t>
        </is>
      </c>
      <c r="K41" s="38" t="inlineStr">
        <is>
          <t>Open</t>
        </is>
      </c>
      <c r="L41" s="12" t="n"/>
      <c r="M41" s="12" t="n"/>
    </row>
    <row r="42">
      <c r="A42" s="12" t="inlineStr">
        <is>
          <t>CLR-OP-40</t>
        </is>
      </c>
      <c r="B42" s="12" t="inlineStr">
        <is>
          <t>BRD-02 Operations</t>
        </is>
      </c>
      <c r="C42" s="12" t="inlineStr">
        <is>
          <t>Business rule confirmation</t>
        </is>
      </c>
      <c r="D42" s="12" t="inlineStr">
        <is>
          <t>Owner of the PR 2307 reversal: Confirm Marketing Collection as owner of every step and the handling of a 2% paid in cash.</t>
        </is>
      </c>
      <c r="E42" s="12" t="inlineStr">
        <is>
          <t>BRD v1.01 deletes the Cashiering steps and the e-mail record confirms "the removal of cashiering from certificate handling".</t>
        </is>
      </c>
      <c r="F42" s="12" t="inlineStr">
        <is>
          <t>Marketing Collection tags, validates against the certificates, generates and posts the BIR 2307 transaction report and routes it to Disbursement; the Cashier's 2307 right moves to Marketing Collection. The cash payment of the 2% by a client is received by Cashiering as an ordinary payment applied to the withheld portion, without a 2307 tag (the Settle in Cash step of v2.0 is withdrawn). The screens of chapter 13 show the v2.0 layout and are updated with this change.</t>
        </is>
      </c>
      <c r="G42" s="12" t="inlineStr">
        <is>
          <t>FRS BRD-02 v2.1, Proposed business rules and clarifications; MKTID.013; CSHID.026, 027 deleted; FR-OP-026, 113, 121</t>
        </is>
      </c>
      <c r="H42" s="12" t="inlineStr">
        <is>
          <t>Head, Operations Services</t>
        </is>
      </c>
      <c r="I42" s="37" t="n">
        <v>46356</v>
      </c>
      <c r="J42" s="12" t="inlineStr">
        <is>
          <t>Medium</t>
        </is>
      </c>
      <c r="K42" s="38" t="inlineStr">
        <is>
          <t>Open</t>
        </is>
      </c>
      <c r="L42" s="12" t="n"/>
      <c r="M42" s="12" t="n"/>
    </row>
    <row r="43">
      <c r="A43" s="12" t="inlineStr">
        <is>
          <t>CLR-OP-42</t>
        </is>
      </c>
      <c r="B43" s="12" t="inlineStr">
        <is>
          <t>BRD-02 Operations</t>
        </is>
      </c>
      <c r="C43" s="12" t="inlineStr">
        <is>
          <t>Business rule confirmation</t>
        </is>
      </c>
      <c r="D43" s="12" t="inlineStr">
        <is>
          <t>Outstanding commission receivable (CRU) in the PR 2307 reversal: Confirm the definition of the CRU and the follow-up by Commission Receivables.</t>
        </is>
      </c>
      <c r="E43" s="12" t="inlineStr">
        <is>
          <t>The BRD names the CRU check but does not define the CRU or what the Commission Receivables team does with the flag.</t>
        </is>
      </c>
      <c r="F43" s="12" t="inlineStr">
        <is>
          <t>CRU means a commission receivable of BDOI still unpaid on the same invoice or account (a DP commission billed or not yet collected). When one exists, the reversal and release continue, the tag is flagged For Commission Receivable and listed for the Commission Receivables team.</t>
        </is>
      </c>
      <c r="G43" s="12" t="inlineStr">
        <is>
          <t>FRS BRD-02 v2.1, Proposed business rules and clarifications; MKTID.010, 013; FR-OP-113, 094</t>
        </is>
      </c>
      <c r="H43" s="12" t="inlineStr">
        <is>
          <t>Head, Operations Services</t>
        </is>
      </c>
      <c r="I43" s="37" t="n">
        <v>46356</v>
      </c>
      <c r="J43" s="12" t="inlineStr">
        <is>
          <t>Medium</t>
        </is>
      </c>
      <c r="K43" s="38" t="inlineStr">
        <is>
          <t>Open</t>
        </is>
      </c>
      <c r="L43" s="12" t="n"/>
      <c r="M43" s="12" t="n"/>
    </row>
    <row r="44">
      <c r="A44" s="12" t="inlineStr">
        <is>
          <t>CLR-OP-43</t>
        </is>
      </c>
      <c r="B44" s="12" t="inlineStr">
        <is>
          <t>BRD-02 Operations</t>
        </is>
      </c>
      <c r="C44" s="12" t="inlineStr">
        <is>
          <t>Decision</t>
        </is>
      </c>
      <c r="D44" s="12" t="inlineStr">
        <is>
          <t>Allowable PR 2307 amount and remitted payments: Confirm the computation basis (premium, charges included or not) and the Unapplied route.</t>
        </is>
      </c>
      <c r="E44" s="12" t="inlineStr">
        <is>
          <t>MKTID.013 asks for a computed PR 2307 amount "based on applicable withholding tax rules and invoice details" without giving them; MKTID.010 drops the reinstatement request and the Adjustment route.</t>
        </is>
      </c>
      <c r="F44" s="12" t="inlineStr">
        <is>
          <t>The allowable PR 2307 amount is the client's withholding rate (2% by default) times the premium subject to creditable withholding tax of the invoice, from the withholding tax rules maintained by Comptrollership. When the payment was already remitted, the reversed amount goes to Unapplied Payments with the insurer's written confirmation of refund attached; no reinstatement request is raised and nothing is routed to Adjustment.</t>
        </is>
      </c>
      <c r="G44" s="12" t="inlineStr">
        <is>
          <t>FRS BRD-02 v2.1, Proposed business rules and clarifications; MKTID.010, 013; FR-OP-113</t>
        </is>
      </c>
      <c r="H44" s="12" t="inlineStr">
        <is>
          <t>Head, Operations Services</t>
        </is>
      </c>
      <c r="I44" s="37" t="n">
        <v>46356</v>
      </c>
      <c r="J44" s="12" t="inlineStr">
        <is>
          <t>Medium</t>
        </is>
      </c>
      <c r="K44" s="38" t="inlineStr">
        <is>
          <t>Open</t>
        </is>
      </c>
      <c r="L44" s="12" t="n"/>
      <c r="M44" s="12" t="n"/>
    </row>
    <row r="45">
      <c r="A45" s="12" t="inlineStr">
        <is>
          <t>CLR-OP-44</t>
        </is>
      </c>
      <c r="B45" s="12" t="inlineStr">
        <is>
          <t>BRD-02 Operations</t>
        </is>
      </c>
      <c r="C45" s="12" t="inlineStr">
        <is>
          <t>Clarification</t>
        </is>
      </c>
      <c r="D45" s="12" t="inlineStr">
        <is>
          <t>Instalment invoices in the extraction: Define "still in process" for instalment accounts.</t>
        </is>
      </c>
      <c r="E45" s="12" t="inlineStr">
        <is>
          <t>The Remittance annex adds the rule without defining "still in process" (open endorsement, partial payment or account not booked in full).</t>
        </is>
      </c>
      <c r="F45" s="12" t="inlineStr">
        <is>
          <t>An invoice paid by instalment is extracted for the instalments applied and posted, even while the account is "still in process"; "in process" is read as an account with later instalments not yet due or not yet paid.</t>
        </is>
      </c>
      <c r="G45" s="12" t="inlineStr">
        <is>
          <t>FRS BRD-02 v2.1, Proposed business rules and clarifications; RMTID.003; FR-OP-030, 031</t>
        </is>
      </c>
      <c r="H45" s="12" t="inlineStr">
        <is>
          <t>Head, Operations Services</t>
        </is>
      </c>
      <c r="I45" s="37" t="n">
        <v>46356</v>
      </c>
      <c r="J45" s="12" t="inlineStr">
        <is>
          <t>Medium</t>
        </is>
      </c>
      <c r="K45" s="38" t="inlineStr">
        <is>
          <t>Open</t>
        </is>
      </c>
      <c r="L45" s="12" t="n"/>
      <c r="M45" s="12" t="n"/>
    </row>
    <row r="46">
      <c r="A46" s="12" t="inlineStr">
        <is>
          <t>CLR-OP-45</t>
        </is>
      </c>
      <c r="B46" s="12" t="inlineStr">
        <is>
          <t>BRD-02 Operations</t>
        </is>
      </c>
      <c r="C46" s="12" t="inlineStr">
        <is>
          <t>Configuration value</t>
        </is>
      </c>
      <c r="D46" s="12" t="inlineStr">
        <is>
          <t>Remittance schedule before submission: Confirm the Draft mark.</t>
        </is>
      </c>
      <c r="E46" s="12" t="inlineStr">
        <is>
          <t>The annex allows saving or producing the schedule before submission; a schedule that can still change is marked so that it is not sent as final.</t>
        </is>
      </c>
      <c r="F46" s="12" t="inlineStr">
        <is>
          <t>Before submission the processor can save or export the schedule of the batch as it stands, marked Draft and not kept as the issued schedule; printing and the payment request stay after submission.</t>
        </is>
      </c>
      <c r="G46" s="12" t="inlineStr">
        <is>
          <t>FRS BRD-02 v2.1, Proposed business rules and clarifications; RMTID.011; FR-OP-034</t>
        </is>
      </c>
      <c r="H46" s="12" t="inlineStr">
        <is>
          <t>Head, Operations Services</t>
        </is>
      </c>
      <c r="I46" s="37" t="n">
        <v>46356</v>
      </c>
      <c r="J46" s="12" t="inlineStr">
        <is>
          <t>Medium</t>
        </is>
      </c>
      <c r="K46" s="38" t="inlineStr">
        <is>
          <t>Open</t>
        </is>
      </c>
      <c r="L46" s="12" t="n"/>
      <c r="M46" s="12" t="n"/>
    </row>
    <row r="47">
      <c r="A47" s="12" t="inlineStr">
        <is>
          <t>CLR-OP-46</t>
        </is>
      </c>
      <c r="B47" s="12" t="inlineStr">
        <is>
          <t>BRD-02 Operations</t>
        </is>
      </c>
      <c r="C47" s="12" t="inlineStr">
        <is>
          <t>Report layout</t>
        </is>
      </c>
      <c r="D47" s="12" t="inlineStr">
        <is>
          <t>Columns of the extracted accounts: Say what the settlement number is and where it comes from.</t>
        </is>
      </c>
      <c r="E47" s="12" t="inlineStr">
        <is>
          <t>The annex names a "settlement number" that the BRD does not define.</t>
        </is>
      </c>
      <c r="F47" s="12" t="inlineStr">
        <is>
          <t>The extracted accounts show the remittance schedule details (insurer, policy number, invoice, assured, remittance type, batch number, amounts); the settlement number is added when its meaning and source are given.</t>
        </is>
      </c>
      <c r="G47" s="12" t="inlineStr">
        <is>
          <t>FRS BRD-02 v2.1, Proposed business rules and clarifications; RMTID.024; FR-OP-032</t>
        </is>
      </c>
      <c r="H47" s="12" t="inlineStr">
        <is>
          <t>Head, Operations Services</t>
        </is>
      </c>
      <c r="I47" s="37" t="n">
        <v>46356</v>
      </c>
      <c r="J47" s="12" t="inlineStr">
        <is>
          <t>Medium</t>
        </is>
      </c>
      <c r="K47" s="38" t="inlineStr">
        <is>
          <t>Open</t>
        </is>
      </c>
      <c r="L47" s="12" t="n"/>
      <c r="M47" s="12" t="n"/>
    </row>
    <row r="48">
      <c r="A48" s="12" t="inlineStr">
        <is>
          <t>CLR-OP-48</t>
        </is>
      </c>
      <c r="B48" s="12" t="inlineStr">
        <is>
          <t>BRD-02 Operations</t>
        </is>
      </c>
      <c r="C48" s="12" t="inlineStr">
        <is>
          <t>Sample document or template</t>
        </is>
      </c>
      <c r="D48" s="12" t="inlineStr">
        <is>
          <t>Cover letter: Confirm whether PRCID.003 is removed from scope or only unchanged.</t>
        </is>
      </c>
      <c r="E48" s="12" t="inlineStr">
        <is>
          <t>The Production Reconciliation annex says cover letter generation "is no longer included in this addendum" but prints PRCID.003 unchanged; BRD v1.01 keeps it.</t>
        </is>
      </c>
      <c r="F48" s="12" t="inlineStr">
        <is>
          <t>The register is sent with the cover letter as in v2.0 until BDOI confirms.</t>
        </is>
      </c>
      <c r="G48" s="12" t="inlineStr">
        <is>
          <t>FRS BRD-02 v2.1, Proposed business rules and clarifications; PRCID.003; FR-OP-073</t>
        </is>
      </c>
      <c r="H48" s="12" t="inlineStr">
        <is>
          <t>Head, Operations Services</t>
        </is>
      </c>
      <c r="I48" s="37" t="n">
        <v>46356</v>
      </c>
      <c r="J48" s="12" t="inlineStr">
        <is>
          <t>Medium</t>
        </is>
      </c>
      <c r="K48" s="38" t="inlineStr">
        <is>
          <t>Open</t>
        </is>
      </c>
      <c r="L48" s="12" t="n"/>
      <c r="M48" s="12" t="n"/>
    </row>
    <row r="49">
      <c r="A49" s="12" t="inlineStr">
        <is>
          <t>CLR-OP-49</t>
        </is>
      </c>
      <c r="B49" s="12" t="inlineStr">
        <is>
          <t>BRD-02 Operations</t>
        </is>
      </c>
      <c r="C49" s="12" t="inlineStr">
        <is>
          <t>Configuration value</t>
        </is>
      </c>
      <c r="D49" s="12" t="inlineStr">
        <is>
          <t>Peso-equivalent tolerance: Confirm the rate and the date of the conversion.</t>
        </is>
      </c>
      <c r="E49" s="12" t="inlineStr">
        <is>
          <t>The annex asks for the conversion without naming the rate or its date (OQ08).</t>
        </is>
      </c>
      <c r="F49" s="12" t="inlineStr">
        <is>
          <t>The difference of a foreign currency account is converted to pesos at the BOOK rate of the booking date of the invoice before the 1.00 tolerance is applied.</t>
        </is>
      </c>
      <c r="G49" s="12" t="inlineStr">
        <is>
          <t>FRS BRD-02 v2.1, Proposed business rules and clarifications; PRCID.026; FR-OP-075; also raised as OQ08 (open question)</t>
        </is>
      </c>
      <c r="H49" s="12" t="inlineStr">
        <is>
          <t>Head, Operations Services</t>
        </is>
      </c>
      <c r="I49" s="37" t="n">
        <v>46356</v>
      </c>
      <c r="J49" s="12" t="inlineStr">
        <is>
          <t>Medium</t>
        </is>
      </c>
      <c r="K49" s="38" t="inlineStr">
        <is>
          <t>Partly answered</t>
        </is>
      </c>
      <c r="L49" s="12" t="n"/>
      <c r="M49" s="12" t="inlineStr">
        <is>
          <t>Answer so far: A monthly revaluation rate is entered in BIBS. Its use for receipts is not stated. (BRD-5 FRBS 2.2.0, 3.5.0, 3.6.0).</t>
        </is>
      </c>
    </row>
    <row r="50">
      <c r="A50" s="12" t="inlineStr">
        <is>
          <t>CLR-OP-50</t>
        </is>
      </c>
      <c r="B50" s="12" t="inlineStr">
        <is>
          <t>BRD-02 Operations</t>
        </is>
      </c>
      <c r="C50" s="12" t="inlineStr">
        <is>
          <t>Business rule confirmation</t>
        </is>
      </c>
      <c r="D50" s="12" t="inlineStr">
        <is>
          <t>Reconciliation statuses: Confirm the mapping of the five statuses to the three of the annex.</t>
        </is>
      </c>
      <c r="E50" s="12" t="inlineStr">
        <is>
          <t>The annex names three statuses; the three kinds of Unmatched let each be followed (CLR-OP-18).</t>
        </is>
      </c>
      <c r="F50" s="12" t="inlineStr">
        <is>
          <t>Matched and Matched with Discrepancy as in the annex; the annex status Unmatched is shown as three kinds: BDOI Only, Unmatched - Pre-booked and Unmatched - No Booking. A record with a variance reported by the insurer is never Matched.</t>
        </is>
      </c>
      <c r="G50" s="12" t="inlineStr">
        <is>
          <t>FRS BRD-02 v2.1, Proposed business rules and clarifications; PRCID.022, 030; FR-OP-074, 075</t>
        </is>
      </c>
      <c r="H50" s="12" t="inlineStr">
        <is>
          <t>Head, Operations Services</t>
        </is>
      </c>
      <c r="I50" s="37" t="n">
        <v>46356</v>
      </c>
      <c r="J50" s="12" t="inlineStr">
        <is>
          <t>Medium</t>
        </is>
      </c>
      <c r="K50" s="38" t="inlineStr">
        <is>
          <t>Open</t>
        </is>
      </c>
      <c r="L50" s="12" t="n"/>
      <c r="M50" s="12" t="n"/>
    </row>
    <row r="51">
      <c r="A51" s="12" t="inlineStr">
        <is>
          <t>CLR-OP-51</t>
        </is>
      </c>
      <c r="B51" s="12" t="inlineStr">
        <is>
          <t>BRD-02 Operations</t>
        </is>
      </c>
      <c r="C51" s="12" t="inlineStr">
        <is>
          <t>Business rule confirmation</t>
        </is>
      </c>
      <c r="D51" s="12" t="inlineStr">
        <is>
          <t>Renumbered Marketing activities: Confirm whether ADJID.003 moved to Marketing and which MKTID was deleted.</t>
        </is>
      </c>
      <c r="E51" s="12" t="inlineStr">
        <is>
          <t>The revision log of the Adjustment annex names ADJID.003 and "deleted duplicate MKTID", which its table does not show (OQ32).</t>
        </is>
      </c>
      <c r="F51" s="12" t="inlineStr">
        <is>
          <t>The FRs are traced to MKTID.014-019; ADJID.003 stays an Adjustment requirement and MKTID.008 stays next to MKTID.018 until BDOI confirms which one was deleted as the duplicate.</t>
        </is>
      </c>
      <c r="G51" s="12" t="inlineStr">
        <is>
          <t>FRS BRD-02 v2.1, Proposed business rules and clarifications; MKTID.008, 014-019; ADJID.003; FR-OP-050, 053, 060, 114</t>
        </is>
      </c>
      <c r="H51" s="12" t="inlineStr">
        <is>
          <t>Head, Operations Services</t>
        </is>
      </c>
      <c r="I51" s="37" t="n">
        <v>46356</v>
      </c>
      <c r="J51" s="12" t="inlineStr">
        <is>
          <t>Medium</t>
        </is>
      </c>
      <c r="K51" s="38" t="inlineStr">
        <is>
          <t>Open</t>
        </is>
      </c>
      <c r="L51" s="12" t="n"/>
      <c r="M51" s="12" t="n"/>
    </row>
    <row r="52">
      <c r="A52" s="12" t="inlineStr">
        <is>
          <t>CLR-OP-52</t>
        </is>
      </c>
      <c r="B52" s="12" t="inlineStr">
        <is>
          <t>BRD-02 Operations</t>
        </is>
      </c>
      <c r="C52" s="12" t="inlineStr">
        <is>
          <t>Business rule confirmation</t>
        </is>
      </c>
      <c r="D52" s="12" t="inlineStr">
        <is>
          <t>Return of endorsement requests: Confirm the mandatory reason.</t>
        </is>
      </c>
      <c r="E52" s="12" t="inlineStr">
        <is>
          <t>ADJID.005 says the reason is optional in its expected result and "mandatory or configurable" in its criteria; MKTID.016 makes it mandatory.</t>
        </is>
      </c>
      <c r="F52" s="12" t="inlineStr">
        <is>
          <t>A reason from the list is mandatory for every return; the request goes to the Marketing owner of the account, who corrects and resubmits; the request page shows each return and resubmission.</t>
        </is>
      </c>
      <c r="G52" s="12" t="inlineStr">
        <is>
          <t>FRS BRD-02 v2.1, Proposed business rules and clarifications; ADJID.005, MKTID.016; FR-OP-053</t>
        </is>
      </c>
      <c r="H52" s="12" t="inlineStr">
        <is>
          <t>Head, Operations Services</t>
        </is>
      </c>
      <c r="I52" s="37" t="n">
        <v>46356</v>
      </c>
      <c r="J52" s="12" t="inlineStr">
        <is>
          <t>Medium</t>
        </is>
      </c>
      <c r="K52" s="38" t="inlineStr">
        <is>
          <t>Open</t>
        </is>
      </c>
      <c r="L52" s="12" t="n"/>
      <c r="M52" s="12" t="n"/>
    </row>
    <row r="53">
      <c r="A53" s="12" t="inlineStr">
        <is>
          <t>CLR-OP-53</t>
        </is>
      </c>
      <c r="B53" s="12" t="inlineStr">
        <is>
          <t>BRD-02 Operations</t>
        </is>
      </c>
      <c r="C53" s="12" t="inlineStr">
        <is>
          <t>Configuration value</t>
        </is>
      </c>
      <c r="D53" s="12" t="inlineStr">
        <is>
          <t>Justification and over-adjustment limits: Give the limit per adjustment and the warning level.</t>
        </is>
      </c>
      <c r="E53" s="12" t="inlineStr">
        <is>
          <t>The annex sets the rules but not the values of the limit per adjustment and of "approaching" (OQ37).</t>
        </is>
      </c>
      <c r="F53" s="12" t="inlineStr">
        <is>
          <t>Justification is required when a single adjustment exceeds the limit per adjustment, the balance becomes negative, the cumulative adjustments approach or exceed the original premium or DTIP, or a duplicate is overridden; warning at 90% of the original premium; cumulative limit 100%.</t>
        </is>
      </c>
      <c r="G53" s="12" t="inlineStr">
        <is>
          <t>FRS BRD-02 v2.1, Proposed business rules and clarifications; ADJID.023 annex; FR-OP-058; also raised as OQ37 (open question)</t>
        </is>
      </c>
      <c r="H53" s="12" t="inlineStr">
        <is>
          <t>Head, Operations Services</t>
        </is>
      </c>
      <c r="I53" s="37" t="n">
        <v>46356</v>
      </c>
      <c r="J53" s="12" t="inlineStr">
        <is>
          <t>Medium</t>
        </is>
      </c>
      <c r="K53" s="38" t="inlineStr">
        <is>
          <t>Open</t>
        </is>
      </c>
      <c r="L53" s="12" t="n"/>
      <c r="M53" s="12" t="n"/>
    </row>
    <row r="54">
      <c r="A54" s="12" t="inlineStr">
        <is>
          <t>CLR-OP-54</t>
        </is>
      </c>
      <c r="B54" s="12" t="inlineStr">
        <is>
          <t>BRD-02 Operations</t>
        </is>
      </c>
      <c r="C54" s="12" t="inlineStr">
        <is>
          <t>Business rule confirmation</t>
        </is>
      </c>
      <c r="D54" s="12" t="inlineStr">
        <is>
          <t>Source of the DP entries: Confirm the withdrawal of the DP list upload.</t>
        </is>
      </c>
      <c r="E54" s="12" t="inlineStr">
        <is>
          <t>The annex introduction eliminates manual file uploads, while CMRID.001 is reprinted with the Head Office and branch DP lists (OQ38).</t>
        </is>
      </c>
      <c r="F54" s="12" t="inlineStr">
        <is>
          <t>The DP tagging of the booking confirmed by Marketing Collection is the source of the DP entries; the DP list upload stays as a fallback until BDOI withdraws it.</t>
        </is>
      </c>
      <c r="G54" s="12" t="inlineStr">
        <is>
          <t>FRS BRD-02 v2.1, Proposed business rules and clarifications; CMRID.001; FR-OP-090; also raised as OQ38 (open question), EBQ17 (open question)</t>
        </is>
      </c>
      <c r="H54" s="12" t="inlineStr">
        <is>
          <t>Head, Operations Services</t>
        </is>
      </c>
      <c r="I54" s="37" t="n">
        <v>46356</v>
      </c>
      <c r="J54" s="12" t="inlineStr">
        <is>
          <t>Medium</t>
        </is>
      </c>
      <c r="K54" s="38" t="inlineStr">
        <is>
          <t>Partly answered</t>
        </is>
      </c>
      <c r="L54" s="12" t="n"/>
      <c r="M54" s="12" t="inlineStr">
        <is>
          <t>Answer so far: DP list is the Collections disposition "DP PR for reversal"; EB direct billing uploaded by the AO. (BRD-4 FRID-024 / 025 / 028; BRD-8 BRID-025).</t>
        </is>
      </c>
    </row>
    <row r="55">
      <c r="A55" s="12" t="inlineStr">
        <is>
          <t>CLR-OP-55</t>
        </is>
      </c>
      <c r="B55" s="12" t="inlineStr">
        <is>
          <t>BRD-02 Operations</t>
        </is>
      </c>
      <c r="C55" s="12" t="inlineStr">
        <is>
          <t>Business rule confirmation</t>
        </is>
      </c>
      <c r="D55" s="12" t="inlineStr">
        <is>
          <t>Read-only review of DP entries: Confirm the flags shown (missing data, duplicate, status discrepancy).</t>
        </is>
      </c>
      <c r="E55" s="12" t="inlineStr">
        <is>
          <t>CMRID.002 forbids validation, reconciliation, matching and computation in the review but allows highlighting inconsistencies.</t>
        </is>
      </c>
      <c r="F55" s="12" t="inlineStr">
        <is>
          <t>The review shows the production record, commission history, remittance and commission status read-only and highlights visible inconsistencies as flags; the v2.0 ledger checks become such flags and no longer set a sanitation result.</t>
        </is>
      </c>
      <c r="G55" s="12" t="inlineStr">
        <is>
          <t>FRS BRD-02 v2.1, Proposed business rules and clarifications; CMRID.002; FR-OP-091</t>
        </is>
      </c>
      <c r="H55" s="12" t="inlineStr">
        <is>
          <t>Head, Operations Services</t>
        </is>
      </c>
      <c r="I55" s="37" t="n">
        <v>46356</v>
      </c>
      <c r="J55" s="12" t="inlineStr">
        <is>
          <t>Medium</t>
        </is>
      </c>
      <c r="K55" s="38" t="inlineStr">
        <is>
          <t>Open</t>
        </is>
      </c>
      <c r="L55" s="12" t="n"/>
      <c r="M55" s="12" t="n"/>
    </row>
    <row r="56">
      <c r="A56" s="12" t="inlineStr">
        <is>
          <t>CLR-OP-56</t>
        </is>
      </c>
      <c r="B56" s="12" t="inlineStr">
        <is>
          <t>BRD-02 Operations</t>
        </is>
      </c>
      <c r="C56" s="12" t="inlineStr">
        <is>
          <t>Business rule confirmation</t>
        </is>
      </c>
      <c r="D56" s="12" t="inlineStr">
        <is>
          <t>Exclusion rules: Provide the annex of exclusion criteria; confirm the withdrawal of the manual exclusion.</t>
        </is>
      </c>
      <c r="E56" s="12" t="inlineStr">
        <is>
          <t>CMRID.003 refers to an annex of exclusion criteria that is not in the document and forbids undefined terms and user-driven exclusion.</t>
        </is>
      </c>
      <c r="F56" s="12" t="inlineStr">
        <is>
          <t>Rules Negative amount and Fully cancelled (the v2.0 rule "erroneous booking" is renamed); the handler's manual exclusion with a reason is withdrawn; other rules are added from BDOI's annex of criteria.</t>
        </is>
      </c>
      <c r="G56" s="12" t="inlineStr">
        <is>
          <t>FRS BRD-02 v2.1, Proposed business rules and clarifications; CMRID.003; FR-OP-091, 095</t>
        </is>
      </c>
      <c r="H56" s="12" t="inlineStr">
        <is>
          <t>Head, Operations Services</t>
        </is>
      </c>
      <c r="I56" s="37" t="n">
        <v>46356</v>
      </c>
      <c r="J56" s="12" t="inlineStr">
        <is>
          <t>Medium</t>
        </is>
      </c>
      <c r="K56" s="38" t="inlineStr">
        <is>
          <t>Open</t>
        </is>
      </c>
      <c r="L56" s="12" t="n"/>
      <c r="M56" s="12" t="n"/>
    </row>
    <row r="57">
      <c r="A57" s="12" t="inlineStr">
        <is>
          <t>CLR-OP-57</t>
        </is>
      </c>
      <c r="B57" s="12" t="inlineStr">
        <is>
          <t>BRD-02 Operations</t>
        </is>
      </c>
      <c r="C57" s="12" t="inlineStr">
        <is>
          <t>Business rule confirmation</t>
        </is>
      </c>
      <c r="D57" s="12" t="inlineStr">
        <is>
          <t>Classification of commission entries: Confirm the categories and who sets the Priority tag.</t>
        </is>
      </c>
      <c r="E57" s="12" t="inlineStr">
        <is>
          <t>The requirement text names Priority / Direct Payment / Direct Bill against Regular Commission, while the expected result names Direct Billed (Regular) and Direct Billed (Priority); the source of the Priority tag is not given.</t>
        </is>
      </c>
      <c r="F57" s="12" t="inlineStr">
        <is>
          <t>Direct Billed (Regular) and Direct Billed (Priority) for direct payment / direct bill entries, Regular Commission for non-direct bill accounts; the Priority tag is proposed as a flag on the DP tagging at quotation or policy.</t>
        </is>
      </c>
      <c r="G57" s="12" t="inlineStr">
        <is>
          <t>FRS BRD-02 v2.1, Proposed business rules and clarifications; CMRID.004; FR-OP-098</t>
        </is>
      </c>
      <c r="H57" s="12" t="inlineStr">
        <is>
          <t>Head, Operations Services</t>
        </is>
      </c>
      <c r="I57" s="37" t="n">
        <v>46356</v>
      </c>
      <c r="J57" s="12" t="inlineStr">
        <is>
          <t>Medium</t>
        </is>
      </c>
      <c r="K57" s="38" t="inlineStr">
        <is>
          <t>Open</t>
        </is>
      </c>
      <c r="L57" s="12" t="n"/>
      <c r="M57" s="12" t="n"/>
    </row>
    <row r="58">
      <c r="A58" s="12" t="inlineStr">
        <is>
          <t>CLR-OP-58</t>
        </is>
      </c>
      <c r="B58" s="12" t="inlineStr">
        <is>
          <t>BRD-02 Operations</t>
        </is>
      </c>
      <c r="C58" s="12" t="inlineStr">
        <is>
          <t>Master data</t>
        </is>
      </c>
      <c r="D58" s="12" t="inlineStr">
        <is>
          <t>SLA incentive programmes: Give the SLA parameters per insurer; confirm whether incentives are passed on to branches.</t>
        </is>
      </c>
      <c r="E58" s="12" t="inlineStr">
        <is>
          <t>The annex replaces the production-target incentives and the Motor Mania plan; the SLA parameters are not given and the pass-on to branches is no longer stated (OQ39).</t>
        </is>
      </c>
      <c r="F58" s="12" t="inlineStr">
        <is>
          <t>Programmes are configured from each insurer's SLA (criteria, rate or fixed amount, multiplier, credit term, product, period, branch, marketing unit); No Touch, Top Up and Motor Mania become entries of the programme type list; the branch pass-on is kept only if BDOI confirms it.</t>
        </is>
      </c>
      <c r="G58" s="12" t="inlineStr">
        <is>
          <t>FRS BRD-02 v2.1, Proposed business rules and clarifications; CMRID.005, 006; FR-OP-095</t>
        </is>
      </c>
      <c r="H58" s="12" t="inlineStr">
        <is>
          <t>Head, Operations Services</t>
        </is>
      </c>
      <c r="I58" s="37" t="n">
        <v>46356</v>
      </c>
      <c r="J58" s="12" t="inlineStr">
        <is>
          <t>Medium</t>
        </is>
      </c>
      <c r="K58" s="38" t="inlineStr">
        <is>
          <t>Open</t>
        </is>
      </c>
      <c r="L58" s="12" t="n"/>
      <c r="M58" s="12" t="n"/>
    </row>
    <row r="59">
      <c r="A59" s="12" t="inlineStr">
        <is>
          <t>CLR-OP-59</t>
        </is>
      </c>
      <c r="B59" s="12" t="inlineStr">
        <is>
          <t>BRD-02 Operations</t>
        </is>
      </c>
      <c r="C59" s="12" t="inlineStr">
        <is>
          <t>Configuration value</t>
        </is>
      </c>
      <c r="D59" s="12" t="inlineStr">
        <is>
          <t>Statement of Account: Give the SOA layout and the schedule.</t>
        </is>
      </c>
      <c r="E59" s="12" t="inlineStr">
        <is>
          <t>The annex asks for outputs usable for SOA preparation without a layout (OQ38).</t>
        </is>
      </c>
      <c r="F59" s="12" t="inlineStr">
        <is>
          <t>A Statement of Account per insurer (proposed layout in FR-OP-092) besides the billing; billings and statements on demand or on a schedule.</t>
        </is>
      </c>
      <c r="G59" s="12" t="inlineStr">
        <is>
          <t>FRS BRD-02 v2.1, Proposed business rules and clarifications; CMRID.007; FR-OP-092</t>
        </is>
      </c>
      <c r="H59" s="12" t="inlineStr">
        <is>
          <t>Head, Operations Services</t>
        </is>
      </c>
      <c r="I59" s="37" t="n">
        <v>46356</v>
      </c>
      <c r="J59" s="12" t="inlineStr">
        <is>
          <t>Medium</t>
        </is>
      </c>
      <c r="K59" s="38" t="inlineStr">
        <is>
          <t>Open</t>
        </is>
      </c>
      <c r="L59" s="12" t="n"/>
      <c r="M59" s="12" t="n"/>
    </row>
    <row r="60">
      <c r="A60" s="12" t="inlineStr">
        <is>
          <t>CLR-OP-60</t>
        </is>
      </c>
      <c r="B60" s="12" t="inlineStr">
        <is>
          <t>BRD-02 Operations</t>
        </is>
      </c>
      <c r="C60" s="12" t="inlineStr">
        <is>
          <t>Business rule confirmation</t>
        </is>
      </c>
      <c r="D60" s="12" t="inlineStr">
        <is>
          <t>DP account statuses: Confirm the statuses and give the feedback reasons.</t>
        </is>
      </c>
      <c r="E60" s="12" t="inlineStr">
        <is>
          <t>The annex replaces the tags DP for billing and DP for confirmation by Valid / Invalid / Returned (OQ40).</t>
        </is>
      </c>
      <c r="F60" s="12" t="inlineStr">
        <is>
          <t>Valid (eligible, not excluded, approved), Invalid (excluded or rejected) and Returned (sent back for correction or review), with a predefined reason before Invalid or Returned is final; the v2.0 tags map to them.</t>
        </is>
      </c>
      <c r="G60" s="12" t="inlineStr">
        <is>
          <t>FRS BRD-02 v2.1, Proposed business rules and clarifications; CMRID.008; FR-OP-091, 093; also raised as OQ40 (open question)</t>
        </is>
      </c>
      <c r="H60" s="12" t="inlineStr">
        <is>
          <t>Head, Operations Services</t>
        </is>
      </c>
      <c r="I60" s="37" t="n">
        <v>46356</v>
      </c>
      <c r="J60" s="12" t="inlineStr">
        <is>
          <t>Medium</t>
        </is>
      </c>
      <c r="K60" s="38" t="inlineStr">
        <is>
          <t>Open</t>
        </is>
      </c>
      <c r="L60" s="12" t="n"/>
      <c r="M60" s="12" t="n"/>
    </row>
    <row r="61">
      <c r="A61" s="12" t="inlineStr">
        <is>
          <t>CLR-OP-61</t>
        </is>
      </c>
      <c r="B61" s="12" t="inlineStr">
        <is>
          <t>BRD-02 Operations</t>
        </is>
      </c>
      <c r="C61" s="12" t="inlineStr">
        <is>
          <t>Configuration value</t>
        </is>
      </c>
      <c r="D61" s="12" t="inlineStr">
        <is>
          <t>Ageing of commission receivables: Confirm the buckets and the reference date, and whether the reminder stays.</t>
        </is>
      </c>
      <c r="E61" s="12" t="inlineStr">
        <is>
          <t>The annex replaces the 10-working-day feedback timeline by ageing and rejects "timeline tracking instead of ageing logic"; CMRID.009 still asks for billing within the SLA (OQ43).</t>
        </is>
      </c>
      <c r="F61" s="12" t="inlineStr">
        <is>
          <t>Ageing per invoice from the billing date or the SOA date with buckets 0-30, 31-60, 61-90, 91-180 and over 180 days; the 10-working-day follow-up date is kept as a reminder that the handler can switch off.</t>
        </is>
      </c>
      <c r="G61" s="12" t="inlineStr">
        <is>
          <t>FRS BRD-02 v2.1, Proposed business rules and clarifications; CMRID.011; FR-OP-092, 093, 099; also raised as OQ43 (open question), DCR-084 (register item), DCR-158 (register item)</t>
        </is>
      </c>
      <c r="H61" s="12" t="inlineStr">
        <is>
          <t>Claims and Risk Management</t>
        </is>
      </c>
      <c r="I61" s="37" t="n">
        <v>46356</v>
      </c>
      <c r="J61" s="12" t="inlineStr">
        <is>
          <t>Medium</t>
        </is>
      </c>
      <c r="K61" s="38" t="inlineStr">
        <is>
          <t>Partly answered</t>
        </is>
      </c>
      <c r="L61" s="12" t="n"/>
      <c r="M61" s="12" t="inlineStr">
        <is>
          <t>Answer so far: ACSL ageing buckets given; Collections and Cashiering buckets not given. (BRD-5 Appendix C). Also affects BRD-04, BRD-05, BRD-07.</t>
        </is>
      </c>
    </row>
    <row r="62">
      <c r="A62" s="12" t="inlineStr">
        <is>
          <t>CLR-OP-62</t>
        </is>
      </c>
      <c r="B62" s="12" t="inlineStr">
        <is>
          <t>BRD-02 Operations</t>
        </is>
      </c>
      <c r="C62" s="12" t="inlineStr">
        <is>
          <t>Business rule confirmation</t>
        </is>
      </c>
      <c r="D62" s="12" t="inlineStr">
        <is>
          <t>Fully paid status for billing: Confirm the payment status as the source, with the BRD-4 Collections owners.</t>
        </is>
      </c>
      <c r="E62" s="12" t="inlineStr">
        <is>
          <t>The annex requires system-driven eligibility from the PR tagging upstream and no manual inference.</t>
        </is>
      </c>
      <c r="F62" s="12" t="inlineStr">
        <is>
          <t>An account is eligible for billing when the payment status of the invoice ledger is Paid (fed by Cashiering and the Collections dispositions of BRD-4); the handler no longer confirms the payment and no manual override is offered.</t>
        </is>
      </c>
      <c r="G62" s="12" t="inlineStr">
        <is>
          <t>FRS BRD-02 v2.1, Proposed business rules and clarifications; CMRID.013; FR-OP-091</t>
        </is>
      </c>
      <c r="H62" s="12" t="inlineStr">
        <is>
          <t>Head, Operations Services</t>
        </is>
      </c>
      <c r="I62" s="37" t="n">
        <v>46356</v>
      </c>
      <c r="J62" s="12" t="inlineStr">
        <is>
          <t>Medium</t>
        </is>
      </c>
      <c r="K62" s="38" t="inlineStr">
        <is>
          <t>Open</t>
        </is>
      </c>
      <c r="L62" s="12" t="n"/>
      <c r="M62" s="12" t="n"/>
    </row>
    <row r="63">
      <c r="A63" s="12" t="inlineStr">
        <is>
          <t>OQ05</t>
        </is>
      </c>
      <c r="B63" s="12" t="inlineStr">
        <is>
          <t>BRD-02 Operations</t>
        </is>
      </c>
      <c r="C63" s="12" t="inlineStr">
        <is>
          <t>Configuration value</t>
        </is>
      </c>
      <c r="D63" s="12" t="inlineStr">
        <is>
          <t>Receipt series: AR / OR numbering: BIR ATP series per branch? Format and length; pre-printed vs system-generated receipts (CAS registration); low-series warning threshold; are AR numbers BIR-controlled like ORs?</t>
        </is>
      </c>
      <c r="E63" s="12" t="inlineStr">
        <is>
          <t>Open point of the FRS (FR-OP-010): the requirement cannot be finalised or tested as BDOI intends until it is answered.</t>
        </is>
      </c>
      <c r="F63" s="12" t="n"/>
      <c r="G63" s="12" t="inlineStr">
        <is>
          <t>FRS BRD-02 v2.1, Open questions OQ05 (affects FR-OP-010); Discrepancy and clarification register v1.2, open question OQ05; baseline CSHID.001/002/006/015/019</t>
        </is>
      </c>
      <c r="H63" s="12" t="inlineStr">
        <is>
          <t>Head, Operations Services</t>
        </is>
      </c>
      <c r="I63" s="37" t="n">
        <v>46356</v>
      </c>
      <c r="J63" s="12" t="inlineStr">
        <is>
          <t>Medium</t>
        </is>
      </c>
      <c r="K63" s="38" t="inlineStr">
        <is>
          <t>Open</t>
        </is>
      </c>
      <c r="L63" s="12" t="n"/>
      <c r="M63" s="12" t="n"/>
    </row>
    <row r="64">
      <c r="A64" s="12" t="inlineStr">
        <is>
          <t>OQ09</t>
        </is>
      </c>
      <c r="B64" s="12" t="inlineStr">
        <is>
          <t>BRD-02 Operations</t>
        </is>
      </c>
      <c r="C64" s="12" t="inlineStr">
        <is>
          <t>Clarification</t>
        </is>
      </c>
      <c r="D64" s="12" t="inlineStr">
        <is>
          <t>Application hierarchy: Component hierarchy DST -&gt; VAT -&gt; LGT -&gt; Other -&gt; Basic confirmed; meaning of mode-of-payment hierarchy 'Check, Cash'; order across several invoices of one payer (oldest first?); hierarchy for commission receipts.</t>
        </is>
      </c>
      <c r="E64" s="12" t="inlineStr">
        <is>
          <t>Open point of the FRS (FR-OP-019): the requirement cannot be finalised or tested as BDOI intends until it is answered.</t>
        </is>
      </c>
      <c r="F64" s="12" t="n"/>
      <c r="G64" s="12" t="inlineStr">
        <is>
          <t>FRS BRD-02 v2.1, Open questions OQ09 (affects FR-OP-019); Discrepancy and clarification register v1.2, open question OQ09; baseline CSHID.022, CSHID.020</t>
        </is>
      </c>
      <c r="H64" s="12" t="inlineStr">
        <is>
          <t>Head, Operations Services</t>
        </is>
      </c>
      <c r="I64" s="37" t="n">
        <v>46356</v>
      </c>
      <c r="J64" s="12" t="inlineStr">
        <is>
          <t>Medium</t>
        </is>
      </c>
      <c r="K64" s="38" t="inlineStr">
        <is>
          <t>Open</t>
        </is>
      </c>
      <c r="L64" s="12" t="n"/>
      <c r="M64" s="12" t="n"/>
    </row>
    <row r="65">
      <c r="A65" s="12" t="inlineStr">
        <is>
          <t>OQ10</t>
        </is>
      </c>
      <c r="B65" s="12" t="inlineStr">
        <is>
          <t>BRD-02 Operations</t>
        </is>
      </c>
      <c r="C65" s="12" t="inlineStr">
        <is>
          <t>Sample document or template</t>
        </is>
      </c>
      <c r="D65" s="12" t="inlineStr">
        <is>
          <t>2% CWT: Which clients / invoices are 2% CWT (flag source)? Apply 98% and keep 2% as PR2307 until certificate - confirm. CSHID.026 cash path says 'premium is reversed, remittance processed': which entries?</t>
        </is>
      </c>
      <c r="E65" s="12" t="inlineStr">
        <is>
          <t>Open point of the FRS (FR-OP-018): the requirement cannot be finalised or tested as BDOI intends until it is answered.</t>
        </is>
      </c>
      <c r="F65" s="12" t="n"/>
      <c r="G65" s="12" t="inlineStr">
        <is>
          <t>FRS BRD-02 v2.1, Open questions OQ10 (affects FR-OP-018); Discrepancy and clarification register v1.2, open question OQ10; baseline CSHID.020/026/016, MKTID.010</t>
        </is>
      </c>
      <c r="H65" s="12" t="inlineStr">
        <is>
          <t>Head, Operations Services</t>
        </is>
      </c>
      <c r="I65" s="37" t="n">
        <v>46356</v>
      </c>
      <c r="J65" s="12" t="inlineStr">
        <is>
          <t>Medium</t>
        </is>
      </c>
      <c r="K65" s="38" t="inlineStr">
        <is>
          <t>Partly answered</t>
        </is>
      </c>
      <c r="L65" s="12" t="n"/>
      <c r="M65" s="12" t="inlineStr">
        <is>
          <t>Answer so far: Net-of-CWT payments keep the tag with Marketing until the BIR 2307 is collected. (BRD-4 p.41, p.59).</t>
        </is>
      </c>
    </row>
    <row r="66">
      <c r="A66" s="12" t="inlineStr">
        <is>
          <t>OQ12</t>
        </is>
      </c>
      <c r="B66" s="12" t="inlineStr">
        <is>
          <t>BRD-02 Operations</t>
        </is>
      </c>
      <c r="C66" s="12" t="inlineStr">
        <is>
          <t>Configuration value</t>
        </is>
      </c>
      <c r="D66" s="12" t="inlineStr">
        <is>
          <t>Pre-booked matching: Key used to match a payment to a pre-booked account (ARN, invoice no., PN no.?), re-run schedule, retention in the pre-booked table. BRD-1 placement also matches CLPC payments before placement (BRNB.067/068): confirm Cashiering is the single payment intake and the placement gate consumes its result.</t>
        </is>
      </c>
      <c r="E66" s="12" t="inlineStr">
        <is>
          <t>Open point of the FRS (FR-OP-018): the requirement cannot be finalised or tested as BDOI intends until it is answered.</t>
        </is>
      </c>
      <c r="F66" s="12" t="n"/>
      <c r="G66" s="12" t="inlineStr">
        <is>
          <t>FRS BRD-02 v2.1, Open questions OQ12 (affects FR-OP-018); Discrepancy and clarification register v1.2, open question OQ12; baseline CSHID.020, CSHID.008</t>
        </is>
      </c>
      <c r="H66" s="12" t="inlineStr">
        <is>
          <t>Head, Operations Services</t>
        </is>
      </c>
      <c r="I66" s="37" t="n">
        <v>46356</v>
      </c>
      <c r="J66" s="12" t="inlineStr">
        <is>
          <t>Medium</t>
        </is>
      </c>
      <c r="K66" s="38" t="inlineStr">
        <is>
          <t>Partly answered</t>
        </is>
      </c>
      <c r="L66" s="12" t="n"/>
      <c r="M66" s="12" t="inlineStr">
        <is>
          <t>Answer so far: Handling fee: PN for CLPC, Location Reference for OTC; PN is the LAMD matching key. General pre-booked key open. (BRD-12 BRIDSP-31; BRD-6 BRRN.029 / 039).</t>
        </is>
      </c>
    </row>
    <row r="67">
      <c r="A67" s="12" t="inlineStr">
        <is>
          <t>OQ13</t>
        </is>
      </c>
      <c r="B67" s="12" t="inlineStr">
        <is>
          <t>BRD-02 Operations</t>
        </is>
      </c>
      <c r="C67" s="12" t="inlineStr">
        <is>
          <t>Clarification</t>
        </is>
      </c>
      <c r="D67" s="12" t="inlineStr">
        <is>
          <t>Check pick-up: How does the Collection 'for check pick' status reach Operations? Is the AR printed and handed over at pick-up?</t>
        </is>
      </c>
      <c r="E67" s="12" t="inlineStr">
        <is>
          <t>Open point of the FRS (FR-OP-017 (removed from scope, CSHID.009): the requirement cannot be finalised or tested as BDOI intends until it is answered.</t>
        </is>
      </c>
      <c r="F67" s="12" t="n"/>
      <c r="G67" s="12" t="inlineStr">
        <is>
          <t>FRS BRD-02 v2.1, Open questions OQ13 (affects FR-OP-017 (removed from scope, CSHID.009)); Discrepancy and clarification register v1.2, open question OQ13; baseline CSHID.009</t>
        </is>
      </c>
      <c r="H67" s="12" t="inlineStr">
        <is>
          <t>Head, Operations Services</t>
        </is>
      </c>
      <c r="I67" s="37" t="n">
        <v>46356</v>
      </c>
      <c r="J67" s="12" t="inlineStr">
        <is>
          <t>Medium</t>
        </is>
      </c>
      <c r="K67" s="38" t="inlineStr">
        <is>
          <t>Answered</t>
        </is>
      </c>
      <c r="L67" s="12" t="n"/>
      <c r="M67" s="12" t="inlineStr">
        <is>
          <t>Answer so far: Check pick-up is a Collection Handler task in BIBS. Printing of the AR at pick-up open. (BRD-4 p.40).</t>
        </is>
      </c>
    </row>
    <row r="68">
      <c r="A68" s="12" t="inlineStr">
        <is>
          <t>OQ14</t>
        </is>
      </c>
      <c r="B68" s="12" t="inlineStr">
        <is>
          <t>BRD-02 Operations</t>
        </is>
      </c>
      <c r="C68" s="12" t="inlineStr">
        <is>
          <t>Clarification</t>
        </is>
      </c>
      <c r="D68" s="12" t="inlineStr">
        <is>
          <t>AR Insurance: Definition and identification of non-premium insurer payments (refunds of remitted premium, others) and the AR Insurance accounting.</t>
        </is>
      </c>
      <c r="E68" s="12" t="inlineStr">
        <is>
          <t>Open point of the FRS (FR-OP-021): the requirement cannot be finalised or tested as BDOI intends until it is answered.</t>
        </is>
      </c>
      <c r="F68" s="12" t="n"/>
      <c r="G68" s="12" t="inlineStr">
        <is>
          <t>FRS BRD-02 v2.1, Open questions OQ14 (affects FR-OP-021); Discrepancy and clarification register v1.2, open question OQ14; baseline CSHID.021, ADJID.012</t>
        </is>
      </c>
      <c r="H68" s="12" t="inlineStr">
        <is>
          <t>Head, Operations Services</t>
        </is>
      </c>
      <c r="I68" s="37" t="n">
        <v>46356</v>
      </c>
      <c r="J68" s="12" t="inlineStr">
        <is>
          <t>Medium</t>
        </is>
      </c>
      <c r="K68" s="38" t="inlineStr">
        <is>
          <t>Partly answered</t>
        </is>
      </c>
      <c r="L68" s="12" t="n"/>
      <c r="M68" s="12" t="inlineStr">
        <is>
          <t>Answer so far: AR insurer's refund and A/P refund from insurer are separate schedules. (BRD-5 Appendix C).</t>
        </is>
      </c>
    </row>
    <row r="69">
      <c r="A69" s="12" t="inlineStr">
        <is>
          <t>OQ25</t>
        </is>
      </c>
      <c r="B69" s="12" t="inlineStr">
        <is>
          <t>BRD-02 Operations</t>
        </is>
      </c>
      <c r="C69" s="12" t="inlineStr">
        <is>
          <t>Configuration value</t>
        </is>
      </c>
      <c r="D69" s="12" t="inlineStr">
        <is>
          <t>Special remittance: Approvers and SLA; exact eligibility for claims / renewal / installment / immediate OR.</t>
        </is>
      </c>
      <c r="E69" s="12" t="inlineStr">
        <is>
          <t>Open point of the FRS (FR-OP-112): the requirement cannot be finalised or tested as BDOI intends until it is answered.</t>
        </is>
      </c>
      <c r="F69" s="12" t="n"/>
      <c r="G69" s="12" t="inlineStr">
        <is>
          <t>FRS BRD-02 v2.1, Open questions OQ25 (affects FR-OP-112); Discrepancy and clarification register v1.2, open question OQ25; baseline MKTID.009, RMTID.030</t>
        </is>
      </c>
      <c r="H69" s="12" t="inlineStr">
        <is>
          <t>Head, Operations Services</t>
        </is>
      </c>
      <c r="I69" s="37" t="n">
        <v>46356</v>
      </c>
      <c r="J69" s="12" t="inlineStr">
        <is>
          <t>Medium</t>
        </is>
      </c>
      <c r="K69" s="38" t="inlineStr">
        <is>
          <t>Partly answered</t>
        </is>
      </c>
      <c r="L69" s="12" t="n"/>
      <c r="M69" s="12" t="inlineStr">
        <is>
          <t>Answer so far: Claims condition: invoice of the cover of an open claim in status "With BDOI - For Premium Remittance". Approvers and SLA open. (BRD-7 BRCLM.010).</t>
        </is>
      </c>
    </row>
    <row r="70">
      <c r="A70" s="12" t="inlineStr">
        <is>
          <t>OQ26</t>
        </is>
      </c>
      <c r="B70" s="12" t="inlineStr">
        <is>
          <t>BRD-02 Operations</t>
        </is>
      </c>
      <c r="C70" s="12" t="inlineStr">
        <is>
          <t>Clarification</t>
        </is>
      </c>
      <c r="D70" s="12" t="inlineStr">
        <is>
          <t>Write-off: Who writes off accounts and through which transaction (adjustment request type 'Write-off', minimal balance file)?</t>
        </is>
      </c>
      <c r="E70" s="12" t="inlineStr">
        <is>
          <t>Open point of the FRS (FR-OP-059): the requirement cannot be finalised or tested as BDOI intends until it is answered.</t>
        </is>
      </c>
      <c r="F70" s="12" t="n"/>
      <c r="G70" s="12" t="inlineStr">
        <is>
          <t>FRS BRD-02 v2.1, Open questions OQ26 (affects FR-OP-059); Discrepancy and clarification register v1.2, open question OQ26; baseline RMTID.022, ADJID.026</t>
        </is>
      </c>
      <c r="H70" s="12" t="inlineStr">
        <is>
          <t>Head, Operations Services</t>
        </is>
      </c>
      <c r="I70" s="37" t="n">
        <v>46356</v>
      </c>
      <c r="J70" s="12" t="inlineStr">
        <is>
          <t>Medium</t>
        </is>
      </c>
      <c r="K70" s="38" t="inlineStr">
        <is>
          <t>Open</t>
        </is>
      </c>
      <c r="L70" s="12" t="n"/>
      <c r="M70" s="12" t="n"/>
    </row>
    <row r="71">
      <c r="A71" s="12" t="inlineStr">
        <is>
          <t>OQ31</t>
        </is>
      </c>
      <c r="B71" s="12" t="inlineStr">
        <is>
          <t>BRD-02 Operations</t>
        </is>
      </c>
      <c r="C71" s="12" t="inlineStr">
        <is>
          <t>Clarification</t>
        </is>
      </c>
      <c r="D71" s="12" t="inlineStr">
        <is>
          <t>Recon lists: Company-concerned list (to be provided), disposition list for unmatched items, 'For Closure' handling.</t>
        </is>
      </c>
      <c r="E71" s="12" t="inlineStr">
        <is>
          <t>Open point of the FRS (FR-OP-077): the requirement cannot be finalised or tested as BDOI intends until it is answered.</t>
        </is>
      </c>
      <c r="F71" s="12" t="n"/>
      <c r="G71" s="12" t="inlineStr">
        <is>
          <t>FRS BRD-02 v2.1, Open questions OQ31 (affects FR-OP-077); Discrepancy and clarification register v1.2, open question OQ31; baseline PRCID.016/033/038/039</t>
        </is>
      </c>
      <c r="H71" s="12" t="inlineStr">
        <is>
          <t>Head, Operations Services</t>
        </is>
      </c>
      <c r="I71" s="37" t="n">
        <v>46356</v>
      </c>
      <c r="J71" s="12" t="inlineStr">
        <is>
          <t>Medium</t>
        </is>
      </c>
      <c r="K71" s="38" t="inlineStr">
        <is>
          <t>Open</t>
        </is>
      </c>
      <c r="L71" s="12" t="n"/>
      <c r="M71" s="12" t="n"/>
    </row>
    <row r="72">
      <c r="A72" s="12" t="inlineStr">
        <is>
          <t>OQ34</t>
        </is>
      </c>
      <c r="B72" s="12" t="inlineStr">
        <is>
          <t>BRD-02 Operations</t>
        </is>
      </c>
      <c r="C72" s="12" t="inlineStr">
        <is>
          <t>Configuration value</t>
        </is>
      </c>
      <c r="D72" s="12" t="inlineStr">
        <is>
          <t>Service invoice on adjustments: Addendum ADJID.014: for a decrease in commission / income, is a credit memo or a negative service invoice issued? Numbering and recipient.</t>
        </is>
      </c>
      <c r="E72" s="12" t="inlineStr">
        <is>
          <t>Open point of the FRS (FR-OP-054): the requirement cannot be finalised or tested as BDOI intends until it is answered.</t>
        </is>
      </c>
      <c r="F72" s="12" t="n"/>
      <c r="G72" s="12" t="inlineStr">
        <is>
          <t>FRS BRD-02 v2.1, Open questions OQ34 (affects FR-OP-054); Discrepancy and clarification register v1.2, open question OQ34; baseline ADJID.014, BRNB.100</t>
        </is>
      </c>
      <c r="H72" s="12" t="inlineStr">
        <is>
          <t>Head, Operations Services</t>
        </is>
      </c>
      <c r="I72" s="37" t="n">
        <v>46356</v>
      </c>
      <c r="J72" s="12" t="inlineStr">
        <is>
          <t>Medium</t>
        </is>
      </c>
      <c r="K72" s="38" t="inlineStr">
        <is>
          <t>Open</t>
        </is>
      </c>
      <c r="L72" s="12" t="n"/>
      <c r="M72" s="12" t="n"/>
    </row>
    <row r="73">
      <c r="A73" s="12" t="inlineStr">
        <is>
          <t>OQ35</t>
        </is>
      </c>
      <c r="B73" s="12" t="inlineStr">
        <is>
          <t>BRD-02 Operations</t>
        </is>
      </c>
      <c r="C73" s="12" t="inlineStr">
        <is>
          <t>Business rule confirmation</t>
        </is>
      </c>
      <c r="D73" s="12" t="inlineStr">
        <is>
          <t>Endorsement type names: 'Extension of cover' is both financial (ADJID.002e / 010, additional premium, approval) and non-financial (ADJID.004 items 2-4). Confirm the list and who approves additional premium.</t>
        </is>
      </c>
      <c r="E73" s="12" t="inlineStr">
        <is>
          <t>Open point of the FRS (FR-OP-050, 053): the requirement cannot be finalised or tested as BDOI intends until it is answered.</t>
        </is>
      </c>
      <c r="F73" s="12" t="inlineStr">
        <is>
          <t>Two types: "Extension of cover (period, with premium)" and "Additional clause / warranty (no premium)".</t>
        </is>
      </c>
      <c r="G73" s="12" t="inlineStr">
        <is>
          <t>FRS BRD-02 v2.1, Open questions OQ35 (affects FR-OP-050, 053); Discrepancy and clarification register v1.2, open question OQ35; baseline ADJID.002/004/010; also raised as DCR-018 (register item)</t>
        </is>
      </c>
      <c r="H73" s="12" t="inlineStr">
        <is>
          <t>Operations - Financial Transactions and Processing</t>
        </is>
      </c>
      <c r="I73" s="37" t="n">
        <v>46356</v>
      </c>
      <c r="J73" s="12" t="inlineStr">
        <is>
          <t>Medium</t>
        </is>
      </c>
      <c r="K73" s="38" t="inlineStr">
        <is>
          <t>Open</t>
        </is>
      </c>
      <c r="L73" s="12" t="n"/>
      <c r="M73" s="12" t="n"/>
    </row>
    <row r="74">
      <c r="A74" s="12" t="inlineStr">
        <is>
          <t>OQ36</t>
        </is>
      </c>
      <c r="B74" s="12" t="inlineStr">
        <is>
          <t>BRD-02 Operations</t>
        </is>
      </c>
      <c r="C74" s="12" t="inlineStr">
        <is>
          <t>Configuration value</t>
        </is>
      </c>
      <c r="D74" s="12" t="inlineStr">
        <is>
          <t>Refund computation: Partial cancellation and decrease of TSI: pro-rata or short-period rate; 'Canceled flat retain DST'; commission recovery.</t>
        </is>
      </c>
      <c r="E74" s="12" t="inlineStr">
        <is>
          <t>Open point of the FRS (FR-OP-054): the requirement cannot be finalised or tested as BDOI intends until it is answered.</t>
        </is>
      </c>
      <c r="F74" s="12" t="n"/>
      <c r="G74" s="12" t="inlineStr">
        <is>
          <t>FRS BRD-02 v2.1, Open questions OQ36 (affects FR-OP-054); Discrepancy and clarification register v1.2, open question OQ36; baseline ADJID.009/014</t>
        </is>
      </c>
      <c r="H74" s="12" t="inlineStr">
        <is>
          <t>Head, Operations Services</t>
        </is>
      </c>
      <c r="I74" s="37" t="n">
        <v>46356</v>
      </c>
      <c r="J74" s="12" t="inlineStr">
        <is>
          <t>Medium</t>
        </is>
      </c>
      <c r="K74" s="38" t="inlineStr">
        <is>
          <t>Open</t>
        </is>
      </c>
      <c r="L74" s="12" t="n"/>
      <c r="M74" s="12" t="n"/>
    </row>
    <row r="75">
      <c r="A75" s="12" t="inlineStr">
        <is>
          <t>OQ41</t>
        </is>
      </c>
      <c r="B75" s="12" t="inlineStr">
        <is>
          <t>BRD-02 Operations</t>
        </is>
      </c>
      <c r="C75" s="12" t="inlineStr">
        <is>
          <t>Sample document or template</t>
        </is>
      </c>
      <c r="D75" s="12" t="inlineStr">
        <is>
          <t>BIR certificates: CMRID.015 certificates are insurers' EWT certificates on commissions paid to BDOI: confirm, and the Comptrollership acknowledgment roles.</t>
        </is>
      </c>
      <c r="E75" s="12" t="inlineStr">
        <is>
          <t>Open point of the FRS (FR-OP-096): the requirement cannot be finalised or tested as BDOI intends until it is answered.</t>
        </is>
      </c>
      <c r="F75" s="12" t="n"/>
      <c r="G75" s="12" t="inlineStr">
        <is>
          <t>FRS BRD-02 v2.1, Open questions OQ41 (affects FR-OP-096); Discrepancy and clarification register v1.2, open question OQ41; baseline CMRID.010/015</t>
        </is>
      </c>
      <c r="H75" s="12" t="inlineStr">
        <is>
          <t>Head, Operations Services</t>
        </is>
      </c>
      <c r="I75" s="37" t="n">
        <v>46356</v>
      </c>
      <c r="J75" s="12" t="inlineStr">
        <is>
          <t>Medium</t>
        </is>
      </c>
      <c r="K75" s="38" t="inlineStr">
        <is>
          <t>Answered</t>
        </is>
      </c>
      <c r="L75" s="12" t="n"/>
      <c r="M75" s="12" t="inlineStr">
        <is>
          <t>Answer so far: Disbursement receives the insurers' CWT certificates on commission and incentives and tags them. (BRD-5 DIS 2.11, Appendix B).</t>
        </is>
      </c>
    </row>
    <row r="76">
      <c r="A76" s="12" t="inlineStr">
        <is>
          <t>OQ42</t>
        </is>
      </c>
      <c r="B76" s="12" t="inlineStr">
        <is>
          <t>BRD-02 Operations</t>
        </is>
      </c>
      <c r="C76" s="12" t="inlineStr">
        <is>
          <t>Report layout</t>
        </is>
      </c>
      <c r="D76" s="12" t="inlineStr">
        <is>
          <t>Report layouts: Fields / formats for reports without detail in the Annex (Cashiering 9-18, 20-21; Remittance 8) and for CMRID.004 / 014.</t>
        </is>
      </c>
      <c r="E76" s="12" t="inlineStr">
        <is>
          <t>Open point of the FRS (Section 6; FR-OP-099 (CLR-OP-61): the requirement cannot be finalised or tested as BDOI intends until it is answered.</t>
        </is>
      </c>
      <c r="F76" s="12" t="n"/>
      <c r="G76" s="12" t="inlineStr">
        <is>
          <t>FRS BRD-02 v2.1, Open questions OQ42 (affects Section 6; FR-OP-099 (CLR-OP-61)); Discrepancy and clarification register v1.2, open question OQ42; baseline CSHID.023, RMTID.039, CMRID.004/014; also raised as CLQ21 (open question), SANC-SQ17 (open question)</t>
        </is>
      </c>
      <c r="H76" s="12" t="inlineStr">
        <is>
          <t>Head, Operations Services</t>
        </is>
      </c>
      <c r="I76" s="37" t="n">
        <v>46356</v>
      </c>
      <c r="J76" s="12" t="inlineStr">
        <is>
          <t>Medium</t>
        </is>
      </c>
      <c r="K76" s="38" t="inlineStr">
        <is>
          <t>Partly answered</t>
        </is>
      </c>
      <c r="L76" s="12" t="n"/>
      <c r="M76" s="12" t="inlineStr">
        <is>
          <t>Answer so far: Key fields of Cashiering 9-18, 20-21 and Remittance 8 listed. (Report List #85-96, #103; BRD-5 Appendices B-C); Report List of 13-May-2026.</t>
        </is>
      </c>
    </row>
    <row r="77">
      <c r="A77" s="12" t="inlineStr">
        <is>
          <t>OQ47</t>
        </is>
      </c>
      <c r="B77" s="12" t="inlineStr">
        <is>
          <t>BRD-02 Operations</t>
        </is>
      </c>
      <c r="C77" s="12" t="inlineStr">
        <is>
          <t>Clarification</t>
        </is>
      </c>
      <c r="D77" s="12" t="inlineStr">
        <is>
          <t>Search logs: Purpose and retention of search logs (CSHID.010 AC 7).</t>
        </is>
      </c>
      <c r="E77" s="12" t="inlineStr">
        <is>
          <t>Open point of the FRS (FR-OP-024): the requirement cannot be finalised or tested as BDOI intends until it is answered.</t>
        </is>
      </c>
      <c r="F77" s="12" t="n"/>
      <c r="G77" s="12" t="inlineStr">
        <is>
          <t>FRS BRD-02 v2.1, Open questions OQ47 (affects FR-OP-024); Discrepancy and clarification register v1.2, open question OQ47; baseline CSHID.010</t>
        </is>
      </c>
      <c r="H77" s="12" t="inlineStr">
        <is>
          <t>Head, Operations Services</t>
        </is>
      </c>
      <c r="I77" s="37" t="n">
        <v>46356</v>
      </c>
      <c r="J77" s="12" t="inlineStr">
        <is>
          <t>Medium</t>
        </is>
      </c>
      <c r="K77" s="38" t="inlineStr">
        <is>
          <t>Open</t>
        </is>
      </c>
      <c r="L77" s="12" t="n"/>
      <c r="M77" s="12" t="n"/>
    </row>
    <row r="78">
      <c r="A78" s="12" t="inlineStr">
        <is>
          <t>OQ50</t>
        </is>
      </c>
      <c r="B78" s="12" t="inlineStr">
        <is>
          <t>BRD-02 Operations</t>
        </is>
      </c>
      <c r="C78" s="12" t="inlineStr">
        <is>
          <t>Clarification</t>
        </is>
      </c>
      <c r="D78" s="12" t="inlineStr">
        <is>
          <t>Co-insured remittance: For co-insured invoices, is remittance extracted and scheduled per insurer share?</t>
        </is>
      </c>
      <c r="E78" s="12" t="inlineStr">
        <is>
          <t>Open point of the FRS (FR-OP-007): the requirement cannot be finalised or tested as BDOI intends until it is answered.</t>
        </is>
      </c>
      <c r="F78" s="12" t="n"/>
      <c r="G78" s="12" t="inlineStr">
        <is>
          <t>FRS BRD-02 v2.1, Open questions OQ50 (affects FR-OP-007); Discrepancy and clarification register v1.2, open question OQ50; baseline ADJID.027, RMTID.001</t>
        </is>
      </c>
      <c r="H78" s="12" t="inlineStr">
        <is>
          <t>Head, Operations Services</t>
        </is>
      </c>
      <c r="I78" s="37" t="n">
        <v>46356</v>
      </c>
      <c r="J78" s="12" t="inlineStr">
        <is>
          <t>Medium</t>
        </is>
      </c>
      <c r="K78" s="38" t="inlineStr">
        <is>
          <t>Open</t>
        </is>
      </c>
      <c r="L78" s="12" t="n"/>
      <c r="M78" s="12" t="n"/>
    </row>
    <row r="79">
      <c r="A79" s="12" t="inlineStr">
        <is>
          <t>DCR-011</t>
        </is>
      </c>
      <c r="B79" s="12" t="inlineStr">
        <is>
          <t>BRD-02 Operations</t>
        </is>
      </c>
      <c r="C79" s="12" t="inlineStr">
        <is>
          <t>Business rule confirmation</t>
        </is>
      </c>
      <c r="D79" s="12" t="inlineStr">
        <is>
          <t>None; recorded for traceability. BDOI to confirm the main-BRD wording is superseded.</t>
        </is>
      </c>
      <c r="E79" s="12" t="inlineStr">
        <is>
          <t>Main BRD: "Facility to allow User to edit the extracted file" and push it "with or without edit". Addendum 1: users "mark specific record or row for exclusion"; only non-excluded data is pushed; no editing of financial data. System: remittance extraction screen. The addendum governs.</t>
        </is>
      </c>
      <c r="F79" s="12" t="inlineStr">
        <is>
          <t>Exclusion only (no edit of financial fields), per Addendum 1.</t>
        </is>
      </c>
      <c r="G79" s="12" t="inlineStr">
        <is>
          <t>Discrepancy and clarification register v1.2, DCR-011 (Contradiction within BRD); RMTID.002: main BRD (p.50) and Addendum 1 (p.3-4)</t>
        </is>
      </c>
      <c r="H79" s="12" t="inlineStr">
        <is>
          <t>Operations - Financial Transactions and Processing</t>
        </is>
      </c>
      <c r="I79" s="37" t="n">
        <v>46356</v>
      </c>
      <c r="J79" s="12" t="inlineStr">
        <is>
          <t>Medium</t>
        </is>
      </c>
      <c r="K79" s="38" t="inlineStr">
        <is>
          <t>Answered</t>
        </is>
      </c>
      <c r="L79" s="12" t="n"/>
      <c r="M79" s="12" t="inlineStr">
        <is>
          <t>Answer so far: Operations Addendum 1 (p.3-4): exclusion instead of edit; "When the file is pushed to Disbursement, only non-excluded data" is sent.</t>
        </is>
      </c>
    </row>
    <row r="80">
      <c r="A80" s="12" t="inlineStr">
        <is>
          <t>DCR-021</t>
        </is>
      </c>
      <c r="B80" s="12" t="inlineStr">
        <is>
          <t>BRD-02 Operations</t>
        </is>
      </c>
      <c r="C80" s="12" t="inlineStr">
        <is>
          <t>Configuration value</t>
        </is>
      </c>
      <c r="D80" s="12" t="inlineStr">
        <is>
          <t>Several IDs have no key-capability number. MKTID numbering does not follow document order (MKTID.013 is in Cashiering, MKTID.008 comes last, in Adjustment). None; correct in the next revision.</t>
        </is>
      </c>
      <c r="E80" s="12" t="inlineStr">
        <is>
          <t>Several IDs have no key-capability number. MKTID numbering does not follow document order (MKTID.013 is in Cashiering, MKTID.008 comes last, in Adjustment). Traceability only.</t>
        </is>
      </c>
      <c r="F80" s="12" t="inlineStr">
        <is>
          <t>Trace by ID; key capability inferred from the section.</t>
        </is>
      </c>
      <c r="G80" s="12" t="inlineStr">
        <is>
          <t>Discrepancy and clarification register v1.2, DCR-021 (Data / numbering issue); CSHID.026 / 027, RMTID.038 / 040, ADJID.026-028, CMRID.015, MKTID.010-013</t>
        </is>
      </c>
      <c r="H80" s="12" t="inlineStr">
        <is>
          <t>Operations - Financial Transactions and Processing</t>
        </is>
      </c>
      <c r="I80" s="37" t="n">
        <v>46356</v>
      </c>
      <c r="J80" s="12" t="inlineStr">
        <is>
          <t>Low</t>
        </is>
      </c>
      <c r="K80" s="38" t="inlineStr">
        <is>
          <t>Open</t>
        </is>
      </c>
      <c r="L80" s="12" t="n"/>
      <c r="M80" s="12" t="n"/>
    </row>
    <row r="81">
      <c r="A81" s="12" t="inlineStr">
        <is>
          <t>DCR-024</t>
        </is>
      </c>
      <c r="B81" s="12" t="inlineStr">
        <is>
          <t>BRD-02 Operations</t>
        </is>
      </c>
      <c r="C81" s="12" t="inlineStr">
        <is>
          <t>Business rule confirmation</t>
        </is>
      </c>
      <c r="D81" s="12" t="inlineStr">
        <is>
          <t>The acronym table gives "DTIP - Due To Insurer Provider" and "BDOI - BDO Insurance Brokers, Inc." Please confirm the expansion of DTIP.</t>
        </is>
      </c>
      <c r="E81" s="12" t="inlineStr">
        <is>
          <t>The acronym table gives "DTIP - Due To Insurer Provider" and "BDOI - BDO Insurance Brokers, Inc." Glossary only.</t>
        </is>
      </c>
      <c r="F81" s="12" t="inlineStr">
        <is>
          <t>Glossary uses "Due to Insurance Provider" and the registered company name.</t>
        </is>
      </c>
      <c r="G81" s="12" t="inlineStr">
        <is>
          <t>Discrepancy and clarification register v1.2, DCR-024 (Document quality); Annex I acronyms (p.124)</t>
        </is>
      </c>
      <c r="H81" s="12" t="inlineStr">
        <is>
          <t>Operations - Financial Transactions and Processing</t>
        </is>
      </c>
      <c r="I81" s="37" t="n">
        <v>46356</v>
      </c>
      <c r="J81" s="12" t="inlineStr">
        <is>
          <t>Low</t>
        </is>
      </c>
      <c r="K81" s="38" t="inlineStr">
        <is>
          <t>Open</t>
        </is>
      </c>
      <c r="L81" s="12" t="n"/>
      <c r="M81" s="12" t="n"/>
    </row>
    <row r="82">
      <c r="A82" s="12" t="inlineStr">
        <is>
          <t>DCR-026</t>
        </is>
      </c>
      <c r="B82" s="12" t="inlineStr">
        <is>
          <t>BRD-02 Operations</t>
        </is>
      </c>
      <c r="C82" s="12" t="inlineStr">
        <is>
          <t>Business rule confirmation</t>
        </is>
      </c>
      <c r="D82" s="12" t="inlineStr">
        <is>
          <t>A reviewer date on the addendum approval page is written "1/6/2025"; the addendum is dated 18-Dec-2025, so it is probably 1/6/2026. Please confirm the date.</t>
        </is>
      </c>
      <c r="E82" s="12" t="inlineStr">
        <is>
          <t>A reviewer date on the addendum approval page is written "1/6/2025"; the addendum is dated 18-Dec-2025, so it is probably 1/6/2026. Approval record only.</t>
        </is>
      </c>
      <c r="F82" s="12" t="inlineStr">
        <is>
          <t>None.</t>
        </is>
      </c>
      <c r="G82" s="12" t="inlineStr">
        <is>
          <t>Discrepancy and clarification register v1.2, DCR-026 (Document quality); Addendum 1 approval (p.6)</t>
        </is>
      </c>
      <c r="H82" s="12" t="inlineStr">
        <is>
          <t>Operations - Financial Transactions and Processing</t>
        </is>
      </c>
      <c r="I82" s="37" t="n">
        <v>46356</v>
      </c>
      <c r="J82" s="12" t="inlineStr">
        <is>
          <t>Low</t>
        </is>
      </c>
      <c r="K82" s="38" t="inlineStr">
        <is>
          <t>Open</t>
        </is>
      </c>
      <c r="L82" s="12" t="n"/>
      <c r="M82" s="12" t="n"/>
    </row>
    <row r="83">
      <c r="A83" s="12" t="inlineStr">
        <is>
          <t>SO-02-2</t>
        </is>
      </c>
      <c r="B83" s="12" t="inlineStr">
        <is>
          <t>BRD-02 Operations</t>
        </is>
      </c>
      <c r="C83" s="12" t="inlineStr">
        <is>
          <t>Sign-off</t>
        </is>
      </c>
      <c r="D83" s="12" t="inlineStr">
        <is>
          <t>Approve the test plan of BRD-02 Operations.</t>
        </is>
      </c>
      <c r="E83" s="12" t="inlineStr">
        <is>
          <t>The signed document fixes the scope for the next step of the plan; a late sign-off moves the dates that follow it.</t>
        </is>
      </c>
      <c r="F83" s="12" t="n"/>
      <c r="G83" s="12" t="inlineStr">
        <is>
          <t>Project plan v1.0 (8-Oct-2026), sign-offs and milestones</t>
        </is>
      </c>
      <c r="H83" s="12" t="inlineStr">
        <is>
          <t>Head, Operations Services</t>
        </is>
      </c>
      <c r="I83" s="37" t="n">
        <v>46374</v>
      </c>
      <c r="J83" s="12" t="inlineStr">
        <is>
          <t>High</t>
        </is>
      </c>
      <c r="K83" s="38" t="inlineStr">
        <is>
          <t>Open</t>
        </is>
      </c>
      <c r="L83" s="12" t="n"/>
      <c r="M83" s="12" t="n"/>
    </row>
    <row r="84">
      <c r="A84" s="12" t="inlineStr">
        <is>
          <t>CLR-OP-15</t>
        </is>
      </c>
      <c r="B84" s="12" t="inlineStr">
        <is>
          <t>BRD-02 Operations</t>
        </is>
      </c>
      <c r="C84" s="12" t="inlineStr">
        <is>
          <t>Integration detail</t>
        </is>
      </c>
      <c r="D84" s="12" t="inlineStr">
        <is>
          <t>Claims condition of a special remittance: Specify the Claims feed (OQ46).</t>
        </is>
      </c>
      <c r="E84" s="12" t="inlineStr">
        <is>
          <t>The Claims feed is not yet specified (OQ46).</t>
        </is>
      </c>
      <c r="F84" s="12" t="inlineStr">
        <is>
          <t>The claims condition is confirmed through the Claims feed when it is connected; until then the request carries a note.</t>
        </is>
      </c>
      <c r="G84" s="12" t="inlineStr">
        <is>
          <t>FRS BRD-02 v2.1, Proposed business rules and clarifications; MKTID.009; FR-OP-112; also raised as OQ46 (open question), DCR-022 (register item), DCR-086 (register item)</t>
        </is>
      </c>
      <c r="H84" s="12" t="inlineStr">
        <is>
          <t>BDOI IT with the BIBS Product Owner, with the owners of the BRDs involved</t>
        </is>
      </c>
      <c r="I84" s="37" t="n">
        <v>46418</v>
      </c>
      <c r="J84" s="12" t="inlineStr">
        <is>
          <t>High</t>
        </is>
      </c>
      <c r="K84" s="38" t="inlineStr">
        <is>
          <t>Partly answered</t>
        </is>
      </c>
      <c r="L84" s="12" t="n"/>
      <c r="M84" s="12" t="inlineStr">
        <is>
          <t>Answer so far: Claims blocks on unpaid premium and feeds the special remittance; Renewal needs claims per expiring policy. (BRD-7 BRCLM.001 / 010; BRD-6 BRRN.027 / 031 / 034). Also affects BRD-04, BRD-05, BRD-07.</t>
        </is>
      </c>
    </row>
    <row r="85">
      <c r="A85" s="12" t="inlineStr">
        <is>
          <t>CFG-100</t>
        </is>
      </c>
      <c r="B85" s="12" t="inlineStr">
        <is>
          <t>BRD-02 Operations</t>
        </is>
      </c>
      <c r="C85" s="12" t="inlineStr">
        <is>
          <t>Master data</t>
        </is>
      </c>
      <c r="D85" s="12" t="inlineStr">
        <is>
          <t>Insurers and insurer branches: The insurer panel with accreditation, placement e-mails and credit days, and the insurer branches with their LGT rate (BRD-03 template CI-05)</t>
        </is>
      </c>
      <c r="E85" s="12" t="inlineStr">
        <is>
          <t>Needed for: Reference data for Trial migration 1 (M4) (Extracts for Trial migration 1; reference data and clients first).</t>
        </is>
      </c>
      <c r="F85" s="12" t="inlineStr">
        <is>
          <t>Fill in the templates R04, R04B, R07 of the Master Data and Configuration Upload Templates workbook.</t>
        </is>
      </c>
      <c r="G85" s="12" t="inlineStr">
        <is>
          <t>Drop 0 configuration register CFG-100 (Drop 0 Configuration Inputs v2.0, area Insurers and partners)</t>
        </is>
      </c>
      <c r="H85" s="12" t="inlineStr">
        <is>
          <t>Head, Operations Services</t>
        </is>
      </c>
      <c r="I85" s="37" t="n">
        <v>46486</v>
      </c>
      <c r="J85" s="12" t="inlineStr">
        <is>
          <t>High</t>
        </is>
      </c>
      <c r="K85" s="38" t="inlineStr">
        <is>
          <t>Open</t>
        </is>
      </c>
      <c r="L85" s="12" t="n"/>
      <c r="M85" s="12" t="n"/>
    </row>
    <row r="86">
      <c r="A86" s="12" t="inlineStr">
        <is>
          <t>CFG-101</t>
        </is>
      </c>
      <c r="B86" s="12" t="inlineStr">
        <is>
          <t>BRD-02 Operations</t>
        </is>
      </c>
      <c r="C86" s="12" t="inlineStr">
        <is>
          <t>Master data</t>
        </is>
      </c>
      <c r="D86" s="12" t="inlineStr">
        <is>
          <t>Commission rates by insurer and product: The commission rates in force at cut-over and later (commission rows of BRD-03 template CI-05)</t>
        </is>
      </c>
      <c r="E86" s="12" t="inlineStr">
        <is>
          <t>Needed for: Reference data for Trial migration 1 (M4) (Extracts for Trial migration 1; reference data and clients first).</t>
        </is>
      </c>
      <c r="F86" s="12" t="inlineStr">
        <is>
          <t>Fill in the templates R04, R04B, R07 of the Master Data and Configuration Upload Templates workbook.</t>
        </is>
      </c>
      <c r="G86" s="12" t="inlineStr">
        <is>
          <t>Drop 0 configuration register CFG-101 (Drop 0 Configuration Inputs v2.0, area Insurers and partners)</t>
        </is>
      </c>
      <c r="H86" s="12" t="inlineStr">
        <is>
          <t>Head, Operations Services</t>
        </is>
      </c>
      <c r="I86" s="37" t="n">
        <v>46486</v>
      </c>
      <c r="J86" s="12" t="inlineStr">
        <is>
          <t>High</t>
        </is>
      </c>
      <c r="K86" s="38" t="inlineStr">
        <is>
          <t>Open</t>
        </is>
      </c>
      <c r="L86" s="12" t="n"/>
      <c r="M86" s="12" t="n"/>
    </row>
    <row r="87">
      <c r="A87" s="12" t="inlineStr">
        <is>
          <t>TD-02</t>
        </is>
      </c>
      <c r="B87" s="12" t="inlineStr">
        <is>
          <t>BRD-02 Operations</t>
        </is>
      </c>
      <c r="C87" s="12" t="inlineStr">
        <is>
          <t>Test data</t>
        </is>
      </c>
      <c r="D87" s="12" t="inlineStr">
        <is>
          <t>Name the UAT testers of BRD-02 Operations (at least two per business unit, with their user IDs and group profiles) and provide the business data of the UAT scenarios: the clients, policies, insurers and amounts each scenario of the test plan uses, from the migrated data of Trial migration 3 or as additional cases.</t>
        </is>
      </c>
      <c r="E87" s="12" t="inlineStr">
        <is>
          <t>UAT of Drop 1 runs on migrated data and the production values; testers without access or scenarios without data stop the UAT.</t>
        </is>
      </c>
      <c r="F87" s="12" t="inlineStr">
        <is>
          <t>The test plan (04 workbook of the set) names the scenarios; the BDOI testers choose the cases from the migrated data and add the cases the legacy data does not hold.</t>
        </is>
      </c>
      <c r="G87" s="12" t="inlineStr">
        <is>
          <t>Project plan: dependency DEP-20 (UAT testers), milestone MS-20 (UAT plans, values for UAT and testers, 16-Jul-2027)</t>
        </is>
      </c>
      <c r="H87" s="12" t="inlineStr">
        <is>
          <t>Head, Operations Services (UAT testers of the business units)</t>
        </is>
      </c>
      <c r="I87" s="37" t="n">
        <v>46584</v>
      </c>
      <c r="J87" s="12" t="inlineStr">
        <is>
          <t>High</t>
        </is>
      </c>
      <c r="K87" s="38" t="inlineStr">
        <is>
          <t>Open</t>
        </is>
      </c>
      <c r="L87" s="12" t="n"/>
      <c r="M87" s="12" t="n"/>
    </row>
    <row r="88">
      <c r="A88" s="12" t="inlineStr">
        <is>
          <t>CFG-044</t>
        </is>
      </c>
      <c r="B88" s="12" t="inlineStr">
        <is>
          <t>BRD-02 Operations</t>
        </is>
      </c>
      <c r="C88" s="12" t="inlineStr">
        <is>
          <t>Configuration value</t>
        </is>
      </c>
      <c r="D88" s="12" t="inlineStr">
        <is>
          <t>Payment file layouts of the collection channels: Confirmation of the payment files received from Bills Payment, Trade, Direct Credit, CLPC and PMS and their field names</t>
        </is>
      </c>
      <c r="E88" s="12" t="inlineStr">
        <is>
          <t>Needed for: Values for UAT (UAT plans and sign-off forms due 16-Jul-2027; UAT Aug - Dec 2027 runs on the production values).</t>
        </is>
      </c>
      <c r="F88" s="12" t="inlineStr">
        <is>
          <t>Configured on the screen Finance › Cashiering › Cashiering Setup (sheet Configured on screens of the Master Data and Configuration Upload Templates workbook).</t>
        </is>
      </c>
      <c r="G88" s="12" t="inlineStr">
        <is>
          <t>Drop 0 configuration register CFG-044 (Drop 0 Configuration Inputs v2.0, area Banks and bank accounts)</t>
        </is>
      </c>
      <c r="H88" s="12" t="inlineStr">
        <is>
          <t>Head, Operations Services</t>
        </is>
      </c>
      <c r="I88" s="37" t="n">
        <v>46584</v>
      </c>
      <c r="J88" s="12" t="inlineStr">
        <is>
          <t>Medium</t>
        </is>
      </c>
      <c r="K88" s="38" t="inlineStr">
        <is>
          <t>Open</t>
        </is>
      </c>
      <c r="L88" s="12" t="n"/>
      <c r="M88" s="12" t="n"/>
    </row>
    <row r="89">
      <c r="A89" s="12" t="inlineStr">
        <is>
          <t>CFG-121</t>
        </is>
      </c>
      <c r="B89" s="12" t="inlineStr">
        <is>
          <t>BRD-02 Operations</t>
        </is>
      </c>
      <c r="C89" s="12" t="inlineStr">
        <is>
          <t>Configuration value</t>
        </is>
      </c>
      <c r="D89" s="12" t="inlineStr">
        <is>
          <t>Remittance incentive rules: The incentive deductions applied at remittance</t>
        </is>
      </c>
      <c r="E89" s="12" t="inlineStr">
        <is>
          <t>Needed for: Values for UAT (UAT plans and sign-off forms due 16-Jul-2027; UAT Aug - Dec 2027 runs on the production values).</t>
        </is>
      </c>
      <c r="F89" s="12" t="inlineStr">
        <is>
          <t>Configured on the screen Finance › Remittance › Incentive Rules (sheet Configured on screens of the Master Data and Configuration Upload Templates workbook).</t>
        </is>
      </c>
      <c r="G89" s="12" t="inlineStr">
        <is>
          <t>Drop 0 configuration register CFG-121 (Drop 0 Configuration Inputs v2.0, area Module rules and set-up)</t>
        </is>
      </c>
      <c r="H89" s="12" t="inlineStr">
        <is>
          <t>Head, Operations Services</t>
        </is>
      </c>
      <c r="I89" s="37" t="n">
        <v>46584</v>
      </c>
      <c r="J89" s="12" t="inlineStr">
        <is>
          <t>Medium</t>
        </is>
      </c>
      <c r="K89" s="38" t="inlineStr">
        <is>
          <t>Open</t>
        </is>
      </c>
      <c r="L89" s="12" t="n"/>
      <c r="M89" s="12" t="n"/>
    </row>
    <row r="90">
      <c r="A90" s="12" t="inlineStr">
        <is>
          <t>CFG-130</t>
        </is>
      </c>
      <c r="B90" s="12" t="inlineStr">
        <is>
          <t>BRD-02 Operations</t>
        </is>
      </c>
      <c r="C90" s="12" t="inlineStr">
        <is>
          <t>Configuration value</t>
        </is>
      </c>
      <c r="D90" s="12" t="inlineStr">
        <is>
          <t>Production reconciliation extract schedules: The insurers and the schedule of the production extracts sent for reconciliation</t>
        </is>
      </c>
      <c r="E90" s="12" t="inlineStr">
        <is>
          <t>Needed for: Values for UAT (UAT plans and sign-off forms due 16-Jul-2027; UAT Aug - Dec 2027 runs on the production values).</t>
        </is>
      </c>
      <c r="F90" s="12" t="inlineStr">
        <is>
          <t>Configured on the screen Client &amp; Policy › Production Reconciliation › Extract Schedules (sheet Configured on screens of the Master Data and Configuration Upload Templates workbook).</t>
        </is>
      </c>
      <c r="G90" s="12" t="inlineStr">
        <is>
          <t>Drop 0 configuration register CFG-130 (Drop 0 Configuration Inputs v2.0, area Module rules and set-up)</t>
        </is>
      </c>
      <c r="H90" s="12" t="inlineStr">
        <is>
          <t>Head, Operations Services</t>
        </is>
      </c>
      <c r="I90" s="37" t="n">
        <v>46584</v>
      </c>
      <c r="J90" s="12" t="inlineStr">
        <is>
          <t>Medium</t>
        </is>
      </c>
      <c r="K90" s="38" t="inlineStr">
        <is>
          <t>Open</t>
        </is>
      </c>
      <c r="L90" s="12" t="n"/>
      <c r="M90" s="12" t="n"/>
    </row>
    <row r="91">
      <c r="A91" s="12" t="inlineStr">
        <is>
          <t>DOC-06</t>
        </is>
      </c>
      <c r="B91" s="12" t="inlineStr">
        <is>
          <t>BRD-02 Operations</t>
        </is>
      </c>
      <c r="C91" s="12" t="inlineStr">
        <is>
          <t>Sample document or template</t>
        </is>
      </c>
      <c r="D91" s="12" t="inlineStr">
        <is>
          <t>Documents of Operations: give the BDOI layout, logo placement and wording of the 4 documents BIBS generates (Endorsement slip; Production register for reconciliation; Payment request; Remittance schedule), as a filled-in sample of each.</t>
        </is>
      </c>
      <c r="E91" s="12" t="inlineStr">
        <is>
          <t>BIBS generates each document from its template; without the BDOI layout the documents keep the proposed layout in SIT and UAT.</t>
        </is>
      </c>
      <c r="F91" s="12" t="inlineStr">
        <is>
          <t>The proposed layouts are reviewed on the Document Templates screen; BDOI marks the changes on a printout or sends its current form.</t>
        </is>
      </c>
      <c r="G91" s="12" t="inlineStr">
        <is>
          <t>Document templates of the platform (Drop 0 Configuration Inputs, Ref Document templates); configuration register CFG-082</t>
        </is>
      </c>
      <c r="H91" s="12" t="inlineStr">
        <is>
          <t>Head, Operations Services</t>
        </is>
      </c>
      <c r="I91" s="37" t="n">
        <v>46584</v>
      </c>
      <c r="J91" s="12" t="inlineStr">
        <is>
          <t>Medium</t>
        </is>
      </c>
      <c r="K91" s="38" t="inlineStr">
        <is>
          <t>Open</t>
        </is>
      </c>
      <c r="L91" s="12" t="n"/>
      <c r="M91" s="12" t="inlineStr">
        <is>
          <t>Review sheet Document templates of the Master Data and Configuration Upload Templates workbook.</t>
        </is>
      </c>
    </row>
    <row r="92">
      <c r="A92" s="12" t="inlineStr">
        <is>
          <t>SO-02-3</t>
        </is>
      </c>
      <c r="B92" s="12" t="inlineStr">
        <is>
          <t>BRD-02 Operations</t>
        </is>
      </c>
      <c r="C92" s="12" t="inlineStr">
        <is>
          <t>Sign-off</t>
        </is>
      </c>
      <c r="D92" s="12" t="inlineStr">
        <is>
          <t>Sign the UAT sign-off certificate of BRD-02 Operations.</t>
        </is>
      </c>
      <c r="E92" s="12" t="inlineStr">
        <is>
          <t>The signed document fixes the scope for the next step of the plan; a late sign-off moves the dates that follow it.</t>
        </is>
      </c>
      <c r="F92" s="12" t="n"/>
      <c r="G92" s="12" t="inlineStr">
        <is>
          <t>Project plan v1.0 (8-Oct-2026), sign-offs and milestones</t>
        </is>
      </c>
      <c r="H92" s="12" t="inlineStr">
        <is>
          <t>Head, Operations Services; BIBS Product Owner</t>
        </is>
      </c>
      <c r="I92" s="37" t="n">
        <v>46738</v>
      </c>
      <c r="J92" s="12" t="inlineStr">
        <is>
          <t>High</t>
        </is>
      </c>
      <c r="K92" s="38" t="inlineStr">
        <is>
          <t>Open</t>
        </is>
      </c>
      <c r="L92" s="12" t="n"/>
      <c r="M92" s="12" t="n"/>
    </row>
    <row r="93">
      <c r="A93" s="12" t="inlineStr">
        <is>
          <t>CFG-050</t>
        </is>
      </c>
      <c r="B93" s="12" t="inlineStr">
        <is>
          <t>BRD-02 Operations</t>
        </is>
      </c>
      <c r="C93" s="12" t="inlineStr">
        <is>
          <t>Configuration value</t>
        </is>
      </c>
      <c r="D93" s="12" t="inlineStr">
        <is>
          <t>Receipt series in use (AR and OR): The BIR-authorised AR and OR series of each branch in use at the freeze (ATP, range and next number), so BIBS continues them without gap or overlap</t>
        </is>
      </c>
      <c r="E93" s="12" t="inlineStr">
        <is>
          <t>Needed for: Map freeze (T-7) (No change of a code map or reference value after the freeze except by change request).</t>
        </is>
      </c>
      <c r="F93" s="12" t="inlineStr">
        <is>
          <t>Fill in the template R11 of the Master Data and Configuration Upload Templates workbook.</t>
        </is>
      </c>
      <c r="G93" s="12" t="inlineStr">
        <is>
          <t>Drop 0 configuration register CFG-050 (Drop 0 Configuration Inputs v2.0, area Document numbering)</t>
        </is>
      </c>
      <c r="H93" s="12" t="inlineStr">
        <is>
          <t>Head, Operations Services</t>
        </is>
      </c>
      <c r="I93" s="37" t="n">
        <v>46748</v>
      </c>
      <c r="J93" s="12" t="inlineStr">
        <is>
          <t>Medium</t>
        </is>
      </c>
      <c r="K93" s="38" t="inlineStr">
        <is>
          <t>Open</t>
        </is>
      </c>
      <c r="L93" s="12" t="n"/>
      <c r="M93" s="12" t="n"/>
    </row>
  </sheetData>
  <autoFilter ref="A4:M93"/>
  <mergeCells count="1">
    <mergeCell ref="A2:M2"/>
  </mergeCells>
  <conditionalFormatting sqref="K5:K593">
    <cfRule type="cellIs" priority="1" operator="equal" dxfId="0" stopIfTrue="1">
      <formula>"Open"</formula>
    </cfRule>
    <cfRule type="cellIs" priority="2" operator="equal" dxfId="1" stopIfTrue="1">
      <formula>"Answered"</formula>
    </cfRule>
  </conditionalFormatting>
  <conditionalFormatting sqref="A5:M593">
    <cfRule type="expression" priority="3" dxfId="2">
      <formula>AND(MOD(ROW(),2)=0,$A5&lt;&gt;"")</formula>
    </cfRule>
  </conditionalFormatting>
  <conditionalFormatting sqref="K5:K594">
    <cfRule type="cellIs" priority="4" operator="equal" dxfId="3" stopIfTrue="1">
      <formula>"Partly answered"</formula>
    </cfRule>
  </conditionalFormatting>
  <dataValidations count="3">
    <dataValidation sqref="C5:C593" showDropDown="0" showInputMessage="0" showErrorMessage="1" allowBlank="1" errorTitle="Type" error="Choose a value from the list (Type)." type="list">
      <formula1>'_lists'!$G$1:$G$10</formula1>
    </dataValidation>
    <dataValidation sqref="J5:J593" showDropDown="0" showInputMessage="0" showErrorMessage="1" allowBlank="1" errorTitle="Priority" error="Choose a value from the list (Priority)." type="list">
      <formula1>'_lists'!$H$1:$H$3</formula1>
    </dataValidation>
    <dataValidation sqref="K5:K593" showDropDown="0" showInputMessage="0" showErrorMessage="1" allowBlank="1" errorTitle="Status" error="Choose a value from the list (Status)." type="list">
      <formula1>'_lists'!$I$1:$I$3</formula1>
    </dataValidation>
  </dataValidations>
  <printOptions horizontalCentered="1"/>
  <pageMargins left="0.4" right="0.4" top="0.6" bottom="0.6" header="0.5" footer="0.5"/>
  <pageSetup orientation="landscape" paperSize="1" fitToHeight="0" fitToWidth="1"/>
  <headerFooter>
    <oddHeader>&amp;L&amp;8 &amp;K004EA8BDOI Requirements and Inputs by BRD&amp;R&amp;8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M8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6" customWidth="1" min="3" max="3"/>
    <col width="60" customWidth="1" min="4" max="4"/>
    <col width="46" customWidth="1" min="5" max="5"/>
    <col width="46" customWidth="1" min="6" max="6"/>
    <col width="40" customWidth="1" min="7" max="7"/>
    <col width="26" customWidth="1" min="8" max="8"/>
    <col width="12" customWidth="1" min="9" max="9"/>
    <col width="10" customWidth="1" min="10" max="10"/>
    <col width="14" customWidth="1" min="11" max="11"/>
    <col width="40" customWidth="1" min="12" max="12"/>
    <col width="34" customWidth="1" min="13" max="13"/>
  </cols>
  <sheetData>
    <row r="1" ht="24" customHeight="1">
      <c r="A1" s="34" t="inlineStr">
        <is>
          <t>BRD-03 Product Maintenance</t>
        </is>
      </c>
    </row>
    <row r="2">
      <c r="A2" s="21" t="inlineStr">
        <is>
          <t>BRD-03 Product Maintenance: what BDOI provides; owner Product Owner, Marketing Business System (MBS)</t>
        </is>
      </c>
    </row>
    <row r="3" ht="6" customHeight="1">
      <c r="A3" s="35" t="n"/>
      <c r="B3" s="35" t="n"/>
      <c r="C3" s="35" t="n"/>
      <c r="D3" s="35" t="n"/>
      <c r="E3" s="35" t="n"/>
      <c r="F3" s="35" t="n"/>
      <c r="G3" s="35" t="n"/>
      <c r="H3" s="35" t="n"/>
      <c r="I3" s="35" t="n"/>
      <c r="J3" s="35" t="n"/>
      <c r="K3" s="35" t="n"/>
      <c r="L3" s="35" t="n"/>
      <c r="M3" s="35" t="n"/>
    </row>
    <row r="4" ht="30" customHeight="1">
      <c r="A4" s="36" t="inlineStr">
        <is>
          <t>Ref</t>
        </is>
      </c>
      <c r="B4" s="36" t="inlineStr">
        <is>
          <t>BRD / module</t>
        </is>
      </c>
      <c r="C4" s="36" t="inlineStr">
        <is>
          <t>Type</t>
        </is>
      </c>
      <c r="D4" s="36" t="inlineStr">
        <is>
          <t>What we need from BDOI</t>
        </is>
      </c>
      <c r="E4" s="36" t="inlineStr">
        <is>
          <t>Why / impact if not provided</t>
        </is>
      </c>
      <c r="F4" s="36" t="inlineStr">
        <is>
          <t>Our proposal (if any)</t>
        </is>
      </c>
      <c r="G4" s="36" t="inlineStr">
        <is>
          <t>Source (FRS section / CLR / BRD page)</t>
        </is>
      </c>
      <c r="H4" s="36" t="inlineStr">
        <is>
          <t>BDOI owner (role)</t>
        </is>
      </c>
      <c r="I4" s="36" t="inlineStr">
        <is>
          <t>Needed by</t>
        </is>
      </c>
      <c r="J4" s="36" t="inlineStr">
        <is>
          <t>Priority</t>
        </is>
      </c>
      <c r="K4" s="36" t="inlineStr">
        <is>
          <t>Status</t>
        </is>
      </c>
      <c r="L4" s="36" t="inlineStr">
        <is>
          <t>BDOI response</t>
        </is>
      </c>
      <c r="M4" s="36" t="inlineStr">
        <is>
          <t>Remarks</t>
        </is>
      </c>
    </row>
    <row r="5">
      <c r="A5" s="12" t="inlineStr">
        <is>
          <t>CLR-PM-14</t>
        </is>
      </c>
      <c r="B5" s="12" t="inlineStr">
        <is>
          <t>BRD-03 Product Maintenance</t>
        </is>
      </c>
      <c r="C5" s="12" t="inlineStr">
        <is>
          <t>Business rule confirmation</t>
        </is>
      </c>
      <c r="D5" s="12" t="inlineStr">
        <is>
          <t>Package remapping at migration: Confirm that Product Maintenance provides the versions and that the map is prepared with the data migration (PM-Q35).</t>
        </is>
      </c>
      <c r="E5" s="12" t="inlineStr">
        <is>
          <t>Renewals of migrated policies must use BIBS package versions (BDOI answers DMQ36-DMQ38 of 26-Sep-2026).</t>
        </is>
      </c>
      <c r="F5" s="12" t="inlineStr">
        <is>
          <t>Legacy packages are mapped to BIBS package versions in the package map (migration object R06), which the Renewal check package remap uses. Product Maintenance provides the package versions that the map names.</t>
        </is>
      </c>
      <c r="G5" s="12" t="inlineStr">
        <is>
          <t>FRS BRD-03 v2.1, Proposed business rules and clarifications; BRD-13 BRID 3.1; FR-PM-050; also raised as PM-Q35 (Drop 0 list item), IQ03 (open question), DCR-219 (register item)</t>
        </is>
      </c>
      <c r="H5" s="12" t="inlineStr">
        <is>
          <t>Product Owner, Marketing Business System; Head, Technical Support Unit</t>
        </is>
      </c>
      <c r="I5" s="37" t="n">
        <v>46325</v>
      </c>
      <c r="J5" s="12" t="inlineStr">
        <is>
          <t>High</t>
        </is>
      </c>
      <c r="K5" s="38" t="inlineStr">
        <is>
          <t>Answered</t>
        </is>
      </c>
      <c r="L5" s="12" t="n"/>
      <c r="M5" s="12" t="inlineStr">
        <is>
          <t>Also affects BRD-06, BRD-13.</t>
        </is>
      </c>
    </row>
    <row r="6">
      <c r="A6" s="12" t="inlineStr">
        <is>
          <t>PM-Q09</t>
        </is>
      </c>
      <c r="B6" s="12" t="inlineStr">
        <is>
          <t>BRD-03 Product Maintenance</t>
        </is>
      </c>
      <c r="C6" s="12" t="inlineStr">
        <is>
          <t>Business rule confirmation</t>
        </is>
      </c>
      <c r="D6" s="12" t="inlineStr">
        <is>
          <t>Please confirm the signatories of the BRD-03 sign-off set, in particular whether the Head of Comptrollership signs, given that the addendum approval page marks that signature as not required.</t>
        </is>
      </c>
      <c r="E6" s="12" t="inlineStr">
        <is>
          <t>The sign-off certificate follows the BRD approval sheets (pp.8-9, pp.34-35) and adds BDOI IT as reviewer of interfaces and access. The Head of Comptrollership signs the main BRD (p.35) but is marked not required on the addendum (p.9), while this set includes rates and taxes, commission rates and incentive criteria. If not provided: Sign-off on 30-Nov-2026 could be incomplete or contested for the financial masters.</t>
        </is>
      </c>
      <c r="F6" s="12" t="inlineStr">
        <is>
          <t>The Head of Comptrollership signs the set for rates and taxes, commission rates and incentive criteria; BDOI IT reviews interfaces, user access and the Technical Specification.</t>
        </is>
      </c>
      <c r="G6" s="12" t="inlineStr">
        <is>
          <t>Drop 0 requirements and questions list v1.0 (8-Oct-2026), PM-Q09; BRD Product Maintenance p.9, p.35; Sign-off workbook BRD-03 v2.0, Sign-off certificate; Start Here BRD-03 v2.0, Who signs what</t>
        </is>
      </c>
      <c r="H6" s="12" t="inlineStr">
        <is>
          <t>Product Owner, Marketing Business System</t>
        </is>
      </c>
      <c r="I6" s="37" t="n">
        <v>46349</v>
      </c>
      <c r="J6" s="12" t="inlineStr">
        <is>
          <t>Medium</t>
        </is>
      </c>
      <c r="K6" s="38" t="inlineStr">
        <is>
          <t>Open</t>
        </is>
      </c>
      <c r="L6" s="12" t="n"/>
      <c r="M6" s="12" t="n"/>
    </row>
    <row r="7">
      <c r="A7" s="12" t="inlineStr">
        <is>
          <t>PM-Q14</t>
        </is>
      </c>
      <c r="B7" s="12" t="inlineStr">
        <is>
          <t>BRD-03 Product Maintenance</t>
        </is>
      </c>
      <c r="C7" s="12" t="inlineStr">
        <is>
          <t>Clarification</t>
        </is>
      </c>
      <c r="D7" s="12" t="inlineStr">
        <is>
          <t>Must a package request raised by TSU (for example a package renewal drafted from the expiry monitor, or a retirement) also be approved by Marketing before the TSU Team Lead reviews it.</t>
        </is>
      </c>
      <c r="E7" s="12" t="inlineStr">
        <is>
          <t>BRPM.008 names 'Marketing AO / TSU' as submitters of an approved Package Request Form (p.18). In the proposed workflow every request, whoever raises it, goes to Marketing approval first (FRS section 5.2). If not provided: TSU-raised renewals and retirements could be delayed by an approval Marketing does not need to give, or skip an approval BDOI expects.</t>
        </is>
      </c>
      <c r="F7" s="12" t="inlineStr">
        <is>
          <t>Keep one path: every request, including those raised by TSU, is approved by Marketing before the TSU review.</t>
        </is>
      </c>
      <c r="G7" s="12" t="inlineStr">
        <is>
          <t>Drop 0 requirements and questions list v1.0 (8-Oct-2026), PM-Q14; BRD Product Maintenance p.18 (BRPM.008); FRS BRD-03 v2.0 FR-PM-020, FR-PM-021, section 5.2</t>
        </is>
      </c>
      <c r="H7" s="12" t="inlineStr">
        <is>
          <t>Head, Technical Support Unit; Product Owner, Marketing Business System</t>
        </is>
      </c>
      <c r="I7" s="37" t="n">
        <v>46349</v>
      </c>
      <c r="J7" s="12" t="inlineStr">
        <is>
          <t>Medium</t>
        </is>
      </c>
      <c r="K7" s="38" t="inlineStr">
        <is>
          <t>Open</t>
        </is>
      </c>
      <c r="L7" s="12" t="n"/>
      <c r="M7" s="12" t="n"/>
    </row>
    <row r="8">
      <c r="A8" s="12" t="inlineStr">
        <is>
          <t>CLR-PM-03</t>
        </is>
      </c>
      <c r="B8" s="12" t="inlineStr">
        <is>
          <t>BRD-03 Product Maintenance</t>
        </is>
      </c>
      <c r="C8" s="12" t="inlineStr">
        <is>
          <t>Business rule confirmation</t>
        </is>
      </c>
      <c r="D8" s="12" t="inlineStr">
        <is>
          <t>Marketing approval: Confirm one approval by any of the TL, TH or UH, or give the approval chain by segment or amount (PQ08, PM-Q13).</t>
        </is>
      </c>
      <c r="E8" s="12" t="inlineStr">
        <is>
          <t>The BRD names the TL, TH or UH without an order or a limit (PQ08).</t>
        </is>
      </c>
      <c r="F8" s="12" t="inlineStr">
        <is>
          <t>One Marketing approval stage: any holder of the approval permission other than the maker approves.</t>
        </is>
      </c>
      <c r="G8" s="12" t="inlineStr">
        <is>
          <t>FRS BRD-03 v2.1, Proposed business rules and clarifications; BRPM.008, 021; FR-PM-021; also raised as PM-Q13 (Drop 0 list item), PQ08 (open question)</t>
        </is>
      </c>
      <c r="H8" s="12" t="inlineStr">
        <is>
          <t>Head, Retail Marketing; Head, Corporate and Retail Marketing; Unit Head, Combank and Corbank</t>
        </is>
      </c>
      <c r="I8" s="37" t="n">
        <v>46356</v>
      </c>
      <c r="J8" s="12" t="inlineStr">
        <is>
          <t>High</t>
        </is>
      </c>
      <c r="K8" s="38" t="inlineStr">
        <is>
          <t>Open</t>
        </is>
      </c>
      <c r="L8" s="12" t="n"/>
      <c r="M8" s="12" t="n"/>
    </row>
    <row r="9">
      <c r="A9" s="12" t="inlineStr">
        <is>
          <t>CLR-PM-05</t>
        </is>
      </c>
      <c r="B9" s="12" t="inlineStr">
        <is>
          <t>BRD-03 Product Maintenance</t>
        </is>
      </c>
      <c r="C9" s="12" t="inlineStr">
        <is>
          <t>Business rule confirmation</t>
        </is>
      </c>
      <c r="D9" s="12" t="inlineStr">
        <is>
          <t>ManCom sign-off: Confirm that one member's sign-off completes the step, or give the quorum (PQ07, PM-Q26).</t>
        </is>
      </c>
      <c r="E9" s="12" t="inlineStr">
        <is>
          <t>ManCom membership and quorum are not in the BRD (PQ07).</t>
        </is>
      </c>
      <c r="F9" s="12" t="inlineStr">
        <is>
          <t>The sign-off of one ManCom member in BIBS completes the step. An uploaded signed sheet is linked to the request; without it BIBS generates a sign-off record.</t>
        </is>
      </c>
      <c r="G9" s="12" t="inlineStr">
        <is>
          <t>FRS BRD-03 v2.1, Proposed business rules and clarifications; BRPM.015; FR-PM-041; also raised as PM-Q26 (Drop 0 list item), PQ07 (open question)</t>
        </is>
      </c>
      <c r="H9" s="12" t="inlineStr">
        <is>
          <t>Product Owner, Marketing Business System; ManCom secretariat</t>
        </is>
      </c>
      <c r="I9" s="37" t="n">
        <v>46356</v>
      </c>
      <c r="J9" s="12" t="inlineStr">
        <is>
          <t>High</t>
        </is>
      </c>
      <c r="K9" s="38" t="inlineStr">
        <is>
          <t>Open</t>
        </is>
      </c>
      <c r="L9" s="12" t="n"/>
      <c r="M9" s="12" t="n"/>
    </row>
    <row r="10">
      <c r="A10" s="12" t="inlineStr">
        <is>
          <t>CLR-PM-09</t>
        </is>
      </c>
      <c r="B10" s="12" t="inlineStr">
        <is>
          <t>BRD-03 Product Maintenance</t>
        </is>
      </c>
      <c r="C10" s="12" t="inlineStr">
        <is>
          <t>Business rule confirmation</t>
        </is>
      </c>
      <c r="D10" s="12" t="inlineStr">
        <is>
          <t>Password of protected documents: Confirm the generated password or give the convention (Q07, PQ21, PM-Q47).</t>
        </is>
      </c>
      <c r="E10" s="12" t="inlineStr">
        <is>
          <t>BDOI's password convention is not yet given (Q07, PQ21).</t>
        </is>
      </c>
      <c r="F10" s="12" t="inlineStr">
        <is>
          <t>A password is generated for each e-mail and sent in a separate e-mail.</t>
        </is>
      </c>
      <c r="G10" s="12" t="inlineStr">
        <is>
          <t>FRS BRD-03 v2.1, Proposed business rules and clarifications; BRPM.020; FR-PM-004; also raised as PM-Q47 (Drop 0 list item), Q07 (open question), PQ21 (open question), EBQ09 (open question), CSQ06 (open question), DCR-153 (register item)</t>
        </is>
      </c>
      <c r="H10" s="12" t="inlineStr">
        <is>
          <t>BDOI Information Security; Product Owner, Marketing Business System</t>
        </is>
      </c>
      <c r="I10" s="37" t="n">
        <v>46356</v>
      </c>
      <c r="J10" s="12" t="inlineStr">
        <is>
          <t>High</t>
        </is>
      </c>
      <c r="K10" s="38" t="inlineStr">
        <is>
          <t>Partly answered</t>
        </is>
      </c>
      <c r="L10" s="12" t="n"/>
      <c r="M10" s="12" t="inlineStr">
        <is>
          <t>Answer so far: Standard assigned password or system-generated with a defined syntax, sent separately. The convention itself is still missing. (BRD-8 BRID-007); TOR, master list and utilization to insurers are password protected, password sent separately. (BRD-8 BRID-007). Also affects BRD-01, BRD-06, BRD-08, BRD-09.</t>
        </is>
      </c>
    </row>
    <row r="11">
      <c r="A11" s="12" t="inlineStr">
        <is>
          <t>PM-Q06</t>
        </is>
      </c>
      <c r="B11" s="12" t="inlineStr">
        <is>
          <t>BRD-03 Product Maintenance</t>
        </is>
      </c>
      <c r="C11" s="12" t="inlineStr">
        <is>
          <t>Business rule confirmation</t>
        </is>
      </c>
      <c r="D11" s="12" t="inlineStr">
        <is>
          <t>Please confirm that maintenance of non-package products is out of scope for this phase, and that 'Non-Package Management' in the Core Replacement BRD means the non-package placement of New Business.</t>
        </is>
      </c>
      <c r="E11" s="12" t="inlineStr">
        <is>
          <t>The revision log of 27-Oct-2025 says 'Exclude Non-Package and include this as part of an addendum' (p.11), but the April 2026 addendum does not add it, and PMADD01 refers to non-package items 'if/when added' (p.4). BRD-00 capability 4 'Non-Package Management' has no requirement rows. If not provided: Scope of the module and of the BRD-00 capability is undefined; a later request would be a change request.</t>
        </is>
      </c>
      <c r="F11" s="12" t="inlineStr">
        <is>
          <t>Non-package product maintenance is out of this phase (FRS assumption A-PM-06). Non-package products are held in the same product catalogue and hierarchy, and non-package placement (request form, quotation slip, comparative table, proposal slip) stays in New Business (BRD-1).</t>
        </is>
      </c>
      <c r="G11" s="12" t="inlineStr">
        <is>
          <t>Drop 0 requirements and questions list v1.0 (8-Oct-2026), PM-Q06; BRD Product Maintenance p.4 (PMADD01), p.11; FRS BRD-03 v2.0 section 1.2, A-PM-06 (PQ19); Discrepancy register DCR-036; Core Replacement BRD capability 4 (CRQ02); also raised as CRQ02 (open question), PQ19 (open question), DCR-036 (register item), DCR-181 (register item)</t>
        </is>
      </c>
      <c r="H11" s="12" t="inlineStr">
        <is>
          <t>Product Owner, Marketing Business System</t>
        </is>
      </c>
      <c r="I11" s="37" t="n">
        <v>46356</v>
      </c>
      <c r="J11" s="12" t="inlineStr">
        <is>
          <t>High</t>
        </is>
      </c>
      <c r="K11" s="38" t="inlineStr">
        <is>
          <t>Partly answered</t>
        </is>
      </c>
      <c r="L11" s="12" t="n"/>
      <c r="M11" s="12" t="inlineStr">
        <is>
          <t>Answer so far: Non-Package Management in the umbrella is the non-package placement of New Business, not non-package product maintenance (to confirm, CRQ02). (BRD-00 capability 4 (p.7)). Also affects BRD-00, BRD-01.</t>
        </is>
      </c>
    </row>
    <row r="12">
      <c r="A12" s="12" t="inlineStr">
        <is>
          <t>PM-Q07</t>
        </is>
      </c>
      <c r="B12" s="12" t="inlineStr">
        <is>
          <t>BRD-03 Product Maintenance</t>
        </is>
      </c>
      <c r="C12" s="12" t="inlineStr">
        <is>
          <t>Business rule confirmation</t>
        </is>
      </c>
      <c r="D12" s="12" t="inlineStr">
        <is>
          <t>Please confirm that a package is a catalogue product (risk code) flagged as packaged, either generic for a market segment or specific to one client, and that every package has its own risk code.</t>
        </is>
      </c>
      <c r="E12" s="12" t="inlineStr">
        <is>
          <t>The BRD uses 'package', 'product', 'policies/packages' and 'insurance packages' without a definition (pp.12-31). The FRS models a package as a product with pre-negotiated terms, rates and insurers, changed only through numbered versions. If not provided: The product catalogue structure, the package map of the data migration and the pricing of New Business depend on this definition.</t>
        </is>
      </c>
      <c r="F12" s="12" t="inlineStr">
        <is>
          <t>Accept the definition (FRS assumption A-PM-02). One risk code may carry several panel insurers, each with its own terms, but not several packages.</t>
        </is>
      </c>
      <c r="G12" s="12" t="inlineStr">
        <is>
          <t>Drop 0 requirements and questions list v1.0 (8-Oct-2026), PM-Q07; BRD Product Maintenance pp.12-31; FRS BRD-03 v2.0 section 1.4, A-PM-02 (PQ01); also raised as PQ01 (open question)</t>
        </is>
      </c>
      <c r="H12" s="12" t="inlineStr">
        <is>
          <t>Product Owner, Marketing Business System; Head, Technical Support Unit</t>
        </is>
      </c>
      <c r="I12" s="37" t="n">
        <v>46356</v>
      </c>
      <c r="J12" s="12" t="inlineStr">
        <is>
          <t>High</t>
        </is>
      </c>
      <c r="K12" s="38" t="inlineStr">
        <is>
          <t>Open</t>
        </is>
      </c>
      <c r="L12" s="12" t="n"/>
      <c r="M12" s="12" t="n"/>
    </row>
    <row r="13">
      <c r="A13" s="12" t="inlineStr">
        <is>
          <t>PM-Q10</t>
        </is>
      </c>
      <c r="B13" s="12" t="inlineStr">
        <is>
          <t>BRD-03 Product Maintenance</t>
        </is>
      </c>
      <c r="C13" s="12" t="inlineStr">
        <is>
          <t>Configuration value</t>
        </is>
      </c>
      <c r="D13" s="12" t="inlineStr">
        <is>
          <t>Please provide the final role-to-action matrix of Product Maintenance (create, amend, approve, view-only per role), including the definition of the MBS, ManCom and Business Administrator roles, or confirm the proposed matrix.</t>
        </is>
      </c>
      <c r="E13" s="12" t="inlineStr">
        <is>
          <t>PMADD05 asks for a role-to-action matrix (p.5), but the addendum persona 'User' says roles 'will be further defined in succeeding documentations' (p.4, footnote 2); MBS and ManCom are not defined as personas in the final version. The BIBS-wide access matrix is still a BDOI deliverable (OQ48). How role changes are approved is answered by BRD-11 (PQ17). If not provided: Access tests and the menus by persona cannot be finalised; users cannot be loaded with their roles for SIT and UAT.</t>
        </is>
      </c>
      <c r="F13" s="12" t="inlineStr">
        <is>
          <t>Adopt the proposed matrix of FRS section 3.3 (15 permissions over 10 roles, with fixed segregation-of-duties rules) as the go-live matrix; later changes go through approved role-permission requests.</t>
        </is>
      </c>
      <c r="G13" s="12" t="inlineStr">
        <is>
          <t>Drop 0 requirements and questions list v1.0 (8-Oct-2026), PM-Q10; BRD Product Maintenance p.4 footnote 2, p.5 (PMADD05); FRS BRD-03 v2.0 sections 3.1-3.3, FR-PM-002 (PQ17, OQ48); Discrepancy register DCR-035; also raised as OQ48 (open question), PQ17 (open question), SP-SQ15 (open question), DCR-035 (register item)</t>
        </is>
      </c>
      <c r="H13" s="12" t="inlineStr">
        <is>
          <t>Product Owner, Marketing Business System; Business Administration</t>
        </is>
      </c>
      <c r="I13" s="37" t="n">
        <v>46356</v>
      </c>
      <c r="J13" s="12" t="inlineStr">
        <is>
          <t>High</t>
        </is>
      </c>
      <c r="K13" s="38" t="inlineStr">
        <is>
          <t>Partly answered</t>
        </is>
      </c>
      <c r="L13" s="12" t="n"/>
      <c r="M13" s="12" t="inlineStr">
        <is>
          <t>Answer so far: Personas per area. The BIBS-wide matrix is still a BDOI deliverable. (BRD-3 to BRD-12 personas and matrices); Group-profile changes are requested, approved, then implemented by the System Administrator. (BRD-11 p.6).</t>
        </is>
      </c>
    </row>
    <row r="14">
      <c r="A14" s="12" t="inlineStr">
        <is>
          <t>PM-Q22</t>
        </is>
      </c>
      <c r="B14" s="12" t="inlineStr">
        <is>
          <t>BRD-03 Product Maintenance</t>
        </is>
      </c>
      <c r="C14" s="12" t="inlineStr">
        <is>
          <t>Clarification</t>
        </is>
      </c>
      <c r="D14" s="12" t="inlineStr">
        <is>
          <t>Which package terms may differ by insurer (coverages included, limits, deductibles, warranties and clauses, rate, minimum premium, commission), and can a package have several panel insurers or co-insurance with shares.</t>
        </is>
      </c>
      <c r="E14" s="12" t="inlineStr">
        <is>
          <t>PMADD02 asks for insurer-specific coverage, deductible and warranty mappings maintained without IT (p.4) but does not list the attributes or say how several insurers share a package. If not provided: The package version data structure and the pricing of New Business depend on the answer.</t>
        </is>
      </c>
      <c r="F14" s="12" t="inlineStr">
        <is>
          <t>Every attribute listed may differ by insurer; insurers have the role Lead, Participant or Panel; shares, when used, total 100%; a new-business transaction with an insurer outside the panel is refused.</t>
        </is>
      </c>
      <c r="G14" s="12" t="inlineStr">
        <is>
          <t>Drop 0 requirements and questions list v1.0 (8-Oct-2026), PM-Q22; BRD Product Maintenance p.4 (PMADD02); FRS BRD-03 v2.0 FR-PM-014 (PQ03, OQ33); also raised as OQ33 (open question), PQ03 (open question)</t>
        </is>
      </c>
      <c r="H14" s="12" t="inlineStr">
        <is>
          <t>Head, Technical Support Unit; Product Owner, Marketing Business System</t>
        </is>
      </c>
      <c r="I14" s="37" t="n">
        <v>46356</v>
      </c>
      <c r="J14" s="12" t="inlineStr">
        <is>
          <t>High</t>
        </is>
      </c>
      <c r="K14" s="38" t="inlineStr">
        <is>
          <t>Partly answered</t>
        </is>
      </c>
      <c r="L14" s="12" t="n"/>
      <c r="M14" s="12" t="inlineStr">
        <is>
          <t>Answer so far: Package terms and insurer-specific values maintained by MBS in Product Maintenance. No limits given. (BRD-3 BRPM.015, PMADD02).</t>
        </is>
      </c>
    </row>
    <row r="15">
      <c r="A15" s="12" t="inlineStr">
        <is>
          <t>PM-Q27</t>
        </is>
      </c>
      <c r="B15" s="12" t="inlineStr">
        <is>
          <t>BRD-03 Product Maintenance</t>
        </is>
      </c>
      <c r="C15" s="12" t="inlineStr">
        <is>
          <t>Clarification</t>
        </is>
      </c>
      <c r="D15" s="12" t="inlineStr">
        <is>
          <t>Please confirm the content of the requirements pack that TSU submits to ManCom ('computation and details that Marketing needed'), who signs the package slip, and whether any package needs a premium formula other than the property, motor and generic rating methods.</t>
        </is>
      </c>
      <c r="E15" s="12" t="inlineStr">
        <is>
          <t>BRPM.015 speaks of 'product requirements... computation and details' (p.25) and BRPM.016 of a 'Package slip (signed)' (p.26) without content. The usage field names 'Prepare QS/PS' for TSU (p.33). If not provided: A package formula outside the rating methods needs development; MBS set-up and validation rest on the pack content.</t>
        </is>
      </c>
      <c r="F15" s="12" t="inlineStr">
        <is>
          <t>The pack holds the effective date, package end date, scheme rate or rate per insurer, minimum premium, commission, TSI limit, computation basis, insurers and the signed package slip; 'PS' is the package slip, signed by the insurer(s) and TSU; packages use the platform rating methods.</t>
        </is>
      </c>
      <c r="G15" s="12" t="inlineStr">
        <is>
          <t>Drop 0 requirements and questions list v1.0 (8-Oct-2026), PM-Q27; BRD Product Maintenance pp.25-26 (BRPM.015, BRPM.016), p.33; FRS BRD-03 v2.0 FR-PM-040, FR-PM-042 (PQ12)</t>
        </is>
      </c>
      <c r="H15" s="12" t="inlineStr">
        <is>
          <t>Head, Technical Support Unit; Product Owner, Marketing Business System</t>
        </is>
      </c>
      <c r="I15" s="37" t="n">
        <v>46356</v>
      </c>
      <c r="J15" s="12" t="inlineStr">
        <is>
          <t>High</t>
        </is>
      </c>
      <c r="K15" s="38" t="inlineStr">
        <is>
          <t>Open</t>
        </is>
      </c>
      <c r="L15" s="12" t="n"/>
      <c r="M15" s="12" t="n"/>
    </row>
    <row r="16">
      <c r="A16" s="12" t="inlineStr">
        <is>
          <t>PM-Q28</t>
        </is>
      </c>
      <c r="B16" s="12" t="inlineStr">
        <is>
          <t>BRD-03 Product Maintenance</t>
        </is>
      </c>
      <c r="C16" s="12" t="inlineStr">
        <is>
          <t>Decision</t>
        </is>
      </c>
      <c r="D16" s="12" t="inlineStr">
        <is>
          <t>Who performs the post-set-up validation of a package version (TSU Head, Business Administrator, or either), and what items must the validation checklist contain.</t>
        </is>
      </c>
      <c r="E16" s="12" t="inlineStr">
        <is>
          <t>PMADD06 asks for an explicit validation checkpoint 'e.g., by TSU Head / Business Administrator role' before a configuration is ready (p.5), without fixing the role or the checklist. If not provided: No package can be released for sale until the validator role is granted; the checklist is fixed in the system until answered.</t>
        </is>
      </c>
      <c r="F16" s="12" t="inlineStr">
        <is>
          <t>Either the TSU Head or the Business Administrator validates, never the maker or submitter of the version; checklist: hierarchy complete, every panel insurer has terms for each included coverage, rates and minimum premiums match the signed-off terms, dates and term correct, test premium reviewed.</t>
        </is>
      </c>
      <c r="G16" s="12" t="inlineStr">
        <is>
          <t>Drop 0 requirements and questions list v1.0 (8-Oct-2026), PM-Q28; BRD Product Maintenance p.5 (PMADD06); FRS BRD-03 v2.0 FR-PM-043, section 9.3 (PQ09); also raised as PQ09 (open question)</t>
        </is>
      </c>
      <c r="H16" s="12" t="inlineStr">
        <is>
          <t>Head, Technical Support Unit; Business Administration</t>
        </is>
      </c>
      <c r="I16" s="37" t="n">
        <v>46356</v>
      </c>
      <c r="J16" s="12" t="inlineStr">
        <is>
          <t>High</t>
        </is>
      </c>
      <c r="K16" s="38" t="inlineStr">
        <is>
          <t>Open</t>
        </is>
      </c>
      <c r="L16" s="12" t="n"/>
      <c r="M16" s="12" t="n"/>
    </row>
    <row r="17">
      <c r="A17" s="12" t="inlineStr">
        <is>
          <t>PM-Q31</t>
        </is>
      </c>
      <c r="B17" s="12" t="inlineStr">
        <is>
          <t>BRD-03 Product Maintenance</t>
        </is>
      </c>
      <c r="C17" s="12" t="inlineStr">
        <is>
          <t>Decision</t>
        </is>
      </c>
      <c r="D17" s="12" t="inlineStr">
        <is>
          <t>What does a 'rate scheme' cover (the package rate, minimum premium, commission and TSI limit only, or also statutory charges), who approves the use of a non-current rate, how long an approved exception stays valid, and are manual item rates allowed on package products.</t>
        </is>
      </c>
      <c r="E17" s="12" t="inlineStr">
        <is>
          <t>BRPM.007 requires the latest approved rate scheme for new business and that 'any attempt to use a non-current rate triggers an approval workflow' (pp.17-18), without naming the approver or the scope. If not provided: New Business pricing, the rate exception flow and their tests depend on the answer.</t>
        </is>
      </c>
      <c r="F17" s="12" t="inlineStr">
        <is>
          <t>The rate scheme is the package rate, minimum premium, commission and TSI limit of the version in force; statutory charges keep their own effective dates; a deviating rate needs an exception approved by the Business Administrator or New Business Approver (not the requester), valid 30 days; no manual item rate without an approved exception.</t>
        </is>
      </c>
      <c r="G17" s="12" t="inlineStr">
        <is>
          <t>Drop 0 requirements and questions list v1.0 (8-Oct-2026), PM-Q31; BRD Product Maintenance pp.17-18 (BRPM.007); FRS BRD-03 v2.0 FR-PM-050, FR-PM-051 (PQ10); Cross-BRD contract IC-02, IC-03</t>
        </is>
      </c>
      <c r="H17" s="12" t="inlineStr">
        <is>
          <t>Product Owner, Marketing Business System; Head, Comptrollership</t>
        </is>
      </c>
      <c r="I17" s="37" t="n">
        <v>46356</v>
      </c>
      <c r="J17" s="12" t="inlineStr">
        <is>
          <t>High</t>
        </is>
      </c>
      <c r="K17" s="38" t="inlineStr">
        <is>
          <t>Open</t>
        </is>
      </c>
      <c r="L17" s="12" t="n"/>
      <c r="M17" s="12" t="n"/>
    </row>
    <row r="18">
      <c r="A18" s="12" t="inlineStr">
        <is>
          <t>PM-Q34</t>
        </is>
      </c>
      <c r="B18" s="12" t="inlineStr">
        <is>
          <t>BRD-03 Product Maintenance</t>
        </is>
      </c>
      <c r="C18" s="12" t="inlineStr">
        <is>
          <t>Decision</t>
        </is>
      </c>
      <c r="D18" s="12" t="inlineStr">
        <is>
          <t>How should the packages in force at go-live be created in BIBS: set up one by one through package requests by TSU and MBS before the map freeze, or loaded as version 1 by the data migration.</t>
        </is>
      </c>
      <c r="E18" s="12" t="inlineStr">
        <is>
          <t>The configuration inputs and the cross-BRD contract say packages are not migrated but set up by TSU and MBS through package requests (template CI-06). Rules R3 of FR-PM-050 and R4 of FR-PM-051 still describe packages 'existing at go-live' or 'migrated as version 1'. The BRD does not address the transition. If not provided: The go-live readiness of New Business and Renewal pricing, and the package map, depend on every package being in BIBS before 27-Dec-2027.</t>
        </is>
      </c>
      <c r="F18" s="12" t="inlineStr">
        <is>
          <t>Set up each package in force through a package request (type New or Update) with its signed slip and ManCom reference, validated before the map freeze; FR-PM-050 and FR-PM-051 are aligned in the next version of the set. BDOI confirms the number of packages so that TSU and MBS can plan the effort.</t>
        </is>
      </c>
      <c r="G18" s="12" t="inlineStr">
        <is>
          <t>Drop 0 requirements and questions list v1.0 (8-Oct-2026), PM-Q34; FRS BRD-03 v2.0 FR-PM-050 R3, FR-PM-051 R4, chapter 19; Configuration inputs CI-06; Cross-BRD contract IC-13</t>
        </is>
      </c>
      <c r="H18" s="12" t="inlineStr">
        <is>
          <t>Head, Technical Support Unit; Product Owner, Marketing Business System</t>
        </is>
      </c>
      <c r="I18" s="37" t="n">
        <v>46356</v>
      </c>
      <c r="J18" s="12" t="inlineStr">
        <is>
          <t>High</t>
        </is>
      </c>
      <c r="K18" s="38" t="inlineStr">
        <is>
          <t>Open</t>
        </is>
      </c>
      <c r="L18" s="12" t="n"/>
      <c r="M18" s="12" t="n"/>
    </row>
    <row r="19">
      <c r="A19" s="12" t="inlineStr">
        <is>
          <t>PM-Q43</t>
        </is>
      </c>
      <c r="B19" s="12" t="inlineStr">
        <is>
          <t>BRD-03 Product Maintenance</t>
        </is>
      </c>
      <c r="C19" s="12" t="inlineStr">
        <is>
          <t>Integration detail</t>
        </is>
      </c>
      <c r="D19" s="12" t="inlineStr">
        <is>
          <t>Please confirm that the computation and payout of incentives are outside Product Maintenance, which keeps the criteria once, while Remittance (CPC2, early incentive), Commission schemes and Collections campaigns reference the criteria codes.</t>
        </is>
      </c>
      <c r="E19" s="12" t="inlineStr">
        <is>
          <t>Incentives are specified in four BRDs: criteria on the products matrix (BRD-3, pp.5-7), CPC2 and early incentive computed per remittance (BRD-5), No Touch, Top Up and Motor Mania schemes (BRD-2) and incentive campaigns (BRD-4 draft). No BRD gives rates, tiers or targets. If not provided: Without one model, incentives could be configured in several places with different product lists; income and pass-on to branches are at risk.</t>
        </is>
      </c>
      <c r="F19" s="12" t="inlineStr">
        <is>
          <t>Criteria are kept only in Product Maintenance; computation and payout are specified in the Accounting, Operations and Collections sets, which reference the criteria codes (FR-PM-081 R2).</t>
        </is>
      </c>
      <c r="G19" s="12" t="inlineStr">
        <is>
          <t>Drop 0 requirements and questions list v1.0 (8-Oct-2026), PM-Q43; BRD Product Maintenance pp.5-7; FRS BRD-03 v2.0 section 1.2, FR-PM-081 (Q33, OQ39); Cross-BRD contract IC-10, IC-11; Discrepancy register DCR-037</t>
        </is>
      </c>
      <c r="H19" s="12" t="inlineStr">
        <is>
          <t>BIBS Product Owner, with the Heads of Comptrollership and Operations</t>
        </is>
      </c>
      <c r="I19" s="37" t="n">
        <v>46356</v>
      </c>
      <c r="J19" s="12" t="inlineStr">
        <is>
          <t>High</t>
        </is>
      </c>
      <c r="K19" s="38" t="inlineStr">
        <is>
          <t>Open</t>
        </is>
      </c>
      <c r="L19" s="12" t="n"/>
      <c r="M19" s="12" t="n"/>
    </row>
    <row r="20">
      <c r="A20" s="12" t="inlineStr">
        <is>
          <t>SO-03-1</t>
        </is>
      </c>
      <c r="B20" s="12" t="inlineStr">
        <is>
          <t>BRD-03 Product Maintenance</t>
        </is>
      </c>
      <c r="C20" s="12" t="inlineStr">
        <is>
          <t>Sign-off</t>
        </is>
      </c>
      <c r="D20" s="12" t="inlineStr">
        <is>
          <t>Sign the BRD-03 Product Maintenance sign-off set.</t>
        </is>
      </c>
      <c r="E20" s="12" t="inlineStr">
        <is>
          <t>The signed document fixes the scope for the next step of the plan; a late sign-off moves the dates that follow it.</t>
        </is>
      </c>
      <c r="F20" s="12" t="n"/>
      <c r="G20" s="12" t="inlineStr">
        <is>
          <t>Project plan v1.0 (8-Oct-2026), sign-offs and milestones</t>
        </is>
      </c>
      <c r="H20" s="12" t="inlineStr">
        <is>
          <t>Product Owner, Marketing Business System; MBS; TSU; Business Project Services</t>
        </is>
      </c>
      <c r="I20" s="37" t="n">
        <v>46356</v>
      </c>
      <c r="J20" s="12" t="inlineStr">
        <is>
          <t>High</t>
        </is>
      </c>
      <c r="K20" s="38" t="inlineStr">
        <is>
          <t>Open</t>
        </is>
      </c>
      <c r="L20" s="12" t="n"/>
      <c r="M20" s="12" t="n"/>
    </row>
    <row r="21">
      <c r="A21" s="12" t="inlineStr">
        <is>
          <t>CLR-PM-02</t>
        </is>
      </c>
      <c r="B21" s="12" t="inlineStr">
        <is>
          <t>BRD-03 Product Maintenance</t>
        </is>
      </c>
      <c r="C21" s="12" t="inlineStr">
        <is>
          <t>Sample document or template</t>
        </is>
      </c>
      <c r="D21" s="12" t="inlineStr">
        <is>
          <t>Package documents: Provide the layouts (Q03). Confirm one quotation slip per round sent separately to each insurer, and that no brochure is generated (PM-Q20, PM-Q55).</t>
        </is>
      </c>
      <c r="E21" s="12" t="inlineStr">
        <is>
          <t>BDOI's layouts are not yet provided (Q03); the BRD does not define a brochure.</t>
        </is>
      </c>
      <c r="F21" s="12" t="inlineStr">
        <is>
          <t>Package documents are produced from versioned templates in draft layouts; BDOI's layouts are loaded as new template versions. The quotation slip is one document per round, e-mailed separately to each insurer. A package brochure is not among the generated documents.</t>
        </is>
      </c>
      <c r="G21" s="12" t="inlineStr">
        <is>
          <t>FRS BRD-03 v2.1, Proposed business rules and clarifications; BRPM.005; FR-PM-013, 030; also raised as PM-Q20 (Drop 0 list item), PM-Q55 (Drop 0 list item)</t>
        </is>
      </c>
      <c r="H21" s="12" t="inlineStr">
        <is>
          <t>Head, Technical Support Unit</t>
        </is>
      </c>
      <c r="I21" s="37" t="n">
        <v>46356</v>
      </c>
      <c r="J21" s="12" t="inlineStr">
        <is>
          <t>Medium</t>
        </is>
      </c>
      <c r="K21" s="38" t="inlineStr">
        <is>
          <t>Open</t>
        </is>
      </c>
      <c r="L21" s="12" t="n"/>
      <c r="M21" s="12" t="n"/>
    </row>
    <row r="22">
      <c r="A22" s="12" t="inlineStr">
        <is>
          <t>CLR-PM-04</t>
        </is>
      </c>
      <c r="B22" s="12" t="inlineStr">
        <is>
          <t>BRD-03 Product Maintenance</t>
        </is>
      </c>
      <c r="C22" s="12" t="inlineStr">
        <is>
          <t>Business rule confirmation</t>
        </is>
      </c>
      <c r="D22" s="12" t="inlineStr">
        <is>
          <t>Deletion of a package: Confirm retirement in place of deletion (PM-Q16).</t>
        </is>
      </c>
      <c r="E22" s="12" t="inlineStr">
        <is>
          <t>Records are kept for audit and for the accounts that use the package (A-PM-05, PQ13).</t>
        </is>
      </c>
      <c r="F22" s="12" t="inlineStr">
        <is>
          <t>A package is retired, not deleted. The product and its versions stay readable for the policies sold on them.</t>
        </is>
      </c>
      <c r="G22" s="12" t="inlineStr">
        <is>
          <t>FRS BRD-03 v2.1, Proposed business rules and clarifications; BRPM.011; FR-PM-045; also raised as PM-Q16 (Drop 0 list item), PQ13 (open question)</t>
        </is>
      </c>
      <c r="H22" s="12" t="inlineStr">
        <is>
          <t>Head, Technical Support Unit; Product Owner, Marketing Business System</t>
        </is>
      </c>
      <c r="I22" s="37" t="n">
        <v>46356</v>
      </c>
      <c r="J22" s="12" t="inlineStr">
        <is>
          <t>Medium</t>
        </is>
      </c>
      <c r="K22" s="38" t="inlineStr">
        <is>
          <t>Open</t>
        </is>
      </c>
      <c r="L22" s="12" t="n"/>
      <c r="M22" s="12" t="n"/>
    </row>
    <row r="23">
      <c r="A23" s="12" t="inlineStr">
        <is>
          <t>CLR-PM-07</t>
        </is>
      </c>
      <c r="B23" s="12" t="inlineStr">
        <is>
          <t>BRD-03 Product Maintenance</t>
        </is>
      </c>
      <c r="C23" s="12" t="inlineStr">
        <is>
          <t>Business rule confirmation</t>
        </is>
      </c>
      <c r="D23" s="12" t="inlineStr">
        <is>
          <t>Expiry and incentive alerts: Confirm in-app notices to TSU and MBS as the channel of these alerts (PM-Q29).</t>
        </is>
      </c>
      <c r="E23" s="12" t="inlineStr">
        <is>
          <t>The BRD names TSU and MBS as recipients but no channel.</t>
        </is>
      </c>
      <c r="F23" s="12" t="inlineStr">
        <is>
          <t>The alerts are raised in the Alert inbox (System Administrator, Auditor) and sent to TSU and MBS as in-app notices.</t>
        </is>
      </c>
      <c r="G23" s="12" t="inlineStr">
        <is>
          <t>FRS BRD-03 v2.1, Proposed business rules and clarifications; BRPM.017, PMADD08; FR-PM-060, 081</t>
        </is>
      </c>
      <c r="H23" s="12" t="inlineStr">
        <is>
          <t>Product Owner, Marketing Business System (MBS)</t>
        </is>
      </c>
      <c r="I23" s="37" t="n">
        <v>46356</v>
      </c>
      <c r="J23" s="12" t="inlineStr">
        <is>
          <t>Medium</t>
        </is>
      </c>
      <c r="K23" s="38" t="inlineStr">
        <is>
          <t>Open</t>
        </is>
      </c>
      <c r="L23" s="12" t="n"/>
      <c r="M23" s="12" t="n"/>
    </row>
    <row r="24">
      <c r="A24" s="12" t="inlineStr">
        <is>
          <t>CLR-PM-08</t>
        </is>
      </c>
      <c r="B24" s="12" t="inlineStr">
        <is>
          <t>BRD-03 Product Maintenance</t>
        </is>
      </c>
      <c r="C24" s="12" t="inlineStr">
        <is>
          <t>Report layout</t>
        </is>
      </c>
      <c r="D24" s="12" t="inlineStr">
        <is>
          <t>Package Status Update Report: Give the report name and columns (PQ15, PM-Q44).</t>
        </is>
      </c>
      <c r="E24" s="12" t="inlineStr">
        <is>
          <t>The report name and columns are not in the BRD (PQ15).</t>
        </is>
      </c>
      <c r="F24" s="12" t="inlineStr">
        <is>
          <t>Report PM-PKG-STATUS with draft columns, separate from the BRD-1 Placement Update Report.</t>
        </is>
      </c>
      <c r="G24" s="12" t="inlineStr">
        <is>
          <t>FRS BRD-03 v2.1, Proposed business rules and clarifications; BRPM.018; FR-PM-071; also raised as PM-Q44 (Drop 0 list item), PQ15 (open question), DCR-034 (register item)</t>
        </is>
      </c>
      <c r="H24" s="12" t="inlineStr">
        <is>
          <t>Product Owner, Marketing Business System; Head, Technical Support Unit</t>
        </is>
      </c>
      <c r="I24" s="37" t="n">
        <v>46356</v>
      </c>
      <c r="J24" s="12" t="inlineStr">
        <is>
          <t>Medium</t>
        </is>
      </c>
      <c r="K24" s="38" t="inlineStr">
        <is>
          <t>Open</t>
        </is>
      </c>
      <c r="L24" s="12" t="n"/>
      <c r="M24" s="12" t="inlineStr">
        <is>
          <t>Also affects BRD-01.</t>
        </is>
      </c>
    </row>
    <row r="25">
      <c r="A25" s="12" t="inlineStr">
        <is>
          <t>CLR-PM-10</t>
        </is>
      </c>
      <c r="B25" s="12" t="inlineStr">
        <is>
          <t>BRD-03 Product Maintenance</t>
        </is>
      </c>
      <c r="C25" s="12" t="inlineStr">
        <is>
          <t>Clarification</t>
        </is>
      </c>
      <c r="D25" s="12" t="inlineStr">
        <is>
          <t>Synchronisation with BDOI systems: Name the systems, the format and the timing (PQ16, PM-Q45).</t>
        </is>
      </c>
      <c r="E25" s="12" t="inlineStr">
        <is>
          <t>The receiving systems, the format and the timing are not in the BRD (PQ16).</t>
        </is>
      </c>
      <c r="F25" s="12" t="inlineStr">
        <is>
          <t>BIBS records every release and expiry in the product master log. The transfer to the receiving systems starts when BDOI names them.</t>
        </is>
      </c>
      <c r="G25" s="12" t="inlineStr">
        <is>
          <t>FRS BRD-03 v2.1, Proposed business rules and clarifications; BRPM.022; FR-PM-072; also raised as PM-Q45 (Drop 0 list item), PQ16 (open question)</t>
        </is>
      </c>
      <c r="H25" s="12" t="inlineStr">
        <is>
          <t>BDOI IT; Product Owner, Marketing Business System</t>
        </is>
      </c>
      <c r="I25" s="37" t="n">
        <v>46356</v>
      </c>
      <c r="J25" s="12" t="inlineStr">
        <is>
          <t>Medium</t>
        </is>
      </c>
      <c r="K25" s="38" t="inlineStr">
        <is>
          <t>Open</t>
        </is>
      </c>
      <c r="L25" s="12" t="n"/>
      <c r="M25" s="12" t="n"/>
    </row>
    <row r="26">
      <c r="A26" s="12" t="inlineStr">
        <is>
          <t>CLR-PM-11</t>
        </is>
      </c>
      <c r="B26" s="12" t="inlineStr">
        <is>
          <t>BRD-03 Product Maintenance</t>
        </is>
      </c>
      <c r="C26" s="12" t="inlineStr">
        <is>
          <t>Business rule confirmation</t>
        </is>
      </c>
      <c r="D26" s="12" t="inlineStr">
        <is>
          <t>Client-tailored comparative: Confirm the eight fields or give the fields (PQ06, PM-Q23).</t>
        </is>
      </c>
      <c r="E26" s="12" t="inlineStr">
        <is>
          <t>The fields of the client views are not in the addendum (PQ06).</t>
        </is>
      </c>
      <c r="F26" s="12" t="inlineStr">
        <is>
          <t>TSU chooses from a fixed catalogue of eight fields: Outcome, Rate %, Minimum Premium, Coverages, Deductibles, Conditions / Warranties, Valid Until and Remarks.</t>
        </is>
      </c>
      <c r="G26" s="12" t="inlineStr">
        <is>
          <t>FRS BRD-03 v2.1, Proposed business rules and clarifications; PMADD03; FR-PM-035; also raised as PM-Q23 (Drop 0 list item), PQ06 (open question)</t>
        </is>
      </c>
      <c r="H26" s="12" t="inlineStr">
        <is>
          <t>Head, Technical Support Unit; Head, Retail Marketing</t>
        </is>
      </c>
      <c r="I26" s="37" t="n">
        <v>46356</v>
      </c>
      <c r="J26" s="12" t="inlineStr">
        <is>
          <t>Medium</t>
        </is>
      </c>
      <c r="K26" s="38" t="inlineStr">
        <is>
          <t>Open</t>
        </is>
      </c>
      <c r="L26" s="12" t="n"/>
      <c r="M26" s="12" t="n"/>
    </row>
    <row r="27">
      <c r="A27" s="12" t="inlineStr">
        <is>
          <t>CLR-PM-12</t>
        </is>
      </c>
      <c r="B27" s="12" t="inlineStr">
        <is>
          <t>BRD-03 Product Maintenance</t>
        </is>
      </c>
      <c r="C27" s="12" t="inlineStr">
        <is>
          <t>Business rule confirmation</t>
        </is>
      </c>
      <c r="D27" s="12" t="inlineStr">
        <is>
          <t>Client view without a field selected: Confirm whether a client view must have at least one field (PM-Q23).</t>
        </is>
      </c>
      <c r="E27" s="12" t="inlineStr">
        <is>
          <t>The addendum does not say whether a view needs at least one field.</t>
        </is>
      </c>
      <c r="F27" s="12" t="inlineStr">
        <is>
          <t>BIBS requires a title and at least one insurer for a client view; the field selection is not checked, so a view can show the insurers without comparison fields.</t>
        </is>
      </c>
      <c r="G27" s="12" t="inlineStr">
        <is>
          <t>FRS BRD-03 v2.1, Proposed business rules and clarifications; FR-PM-035</t>
        </is>
      </c>
      <c r="H27" s="12" t="inlineStr">
        <is>
          <t>Product Owner, Marketing Business System (MBS)</t>
        </is>
      </c>
      <c r="I27" s="37" t="n">
        <v>46356</v>
      </c>
      <c r="J27" s="12" t="inlineStr">
        <is>
          <t>Medium</t>
        </is>
      </c>
      <c r="K27" s="38" t="inlineStr">
        <is>
          <t>Open</t>
        </is>
      </c>
      <c r="L27" s="12" t="n"/>
      <c r="M27" s="12" t="n"/>
    </row>
    <row r="28">
      <c r="A28" s="12" t="inlineStr">
        <is>
          <t>CLR-PM-13</t>
        </is>
      </c>
      <c r="B28" s="12" t="inlineStr">
        <is>
          <t>BRD-03 Product Maintenance</t>
        </is>
      </c>
      <c r="C28" s="12" t="inlineStr">
        <is>
          <t>Business rule confirmation</t>
        </is>
      </c>
      <c r="D28" s="12" t="inlineStr">
        <is>
          <t>Master comparative before responses: Confirm that a master with Pending rows is acceptable (PM-Q24).</t>
        </is>
      </c>
      <c r="E28" s="12" t="inlineStr">
        <is>
          <t>The BRD does not say when the master can first be compiled.</t>
        </is>
      </c>
      <c r="F28" s="12" t="inlineStr">
        <is>
          <t>BIBS refuses the master until the quotation slip of the round is sent. After that, a round whose insurers are all Pending gives a master with Pending rows, which TSU can share as a status view.</t>
        </is>
      </c>
      <c r="G28" s="12" t="inlineStr">
        <is>
          <t>FRS BRD-03 v2.1, Proposed business rules and clarifications; BRPM.014; FR-PM-034; also raised as PM-Q24 (Drop 0 list item)</t>
        </is>
      </c>
      <c r="H28" s="12" t="inlineStr">
        <is>
          <t>Head, Technical Support Unit</t>
        </is>
      </c>
      <c r="I28" s="37" t="n">
        <v>46356</v>
      </c>
      <c r="J28" s="12" t="inlineStr">
        <is>
          <t>Medium</t>
        </is>
      </c>
      <c r="K28" s="38" t="inlineStr">
        <is>
          <t>Open</t>
        </is>
      </c>
      <c r="L28" s="12" t="n"/>
      <c r="M28" s="12" t="n"/>
    </row>
    <row r="29">
      <c r="A29" s="12" t="inlineStr">
        <is>
          <t>CLR-PM-15</t>
        </is>
      </c>
      <c r="B29" s="12" t="inlineStr">
        <is>
          <t>BRD-03 Product Maintenance</t>
        </is>
      </c>
      <c r="C29" s="12" t="inlineStr">
        <is>
          <t>Business rule confirmation</t>
        </is>
      </c>
      <c r="D29" s="12" t="inlineStr">
        <is>
          <t>Bulk upload of product masters: Confirm that no bulk upload of product masters is needed after go-live (PM-Q36).</t>
        </is>
      </c>
      <c r="E29" s="12" t="inlineStr">
        <is>
          <t>Package volumes after go-live are low (A-PM-08).</t>
        </is>
      </c>
      <c r="F29" s="12" t="inlineStr">
        <is>
          <t>No bulk upload screen in Product Maintenance. The go-live load runs through the data migration (objects R01, R03-R05, R07); later changes are made on the screens under maker-checker.</t>
        </is>
      </c>
      <c r="G29" s="12" t="inlineStr">
        <is>
          <t>FRS BRD-03 v2.1, Proposed business rules and clarifications; FR-PM-010, 014; also raised as PM-Q36 (Drop 0 list item)</t>
        </is>
      </c>
      <c r="H29" s="12" t="inlineStr">
        <is>
          <t>Product Owner, Marketing Business System</t>
        </is>
      </c>
      <c r="I29" s="37" t="n">
        <v>46356</v>
      </c>
      <c r="J29" s="12" t="inlineStr">
        <is>
          <t>Medium</t>
        </is>
      </c>
      <c r="K29" s="38" t="inlineStr">
        <is>
          <t>Open</t>
        </is>
      </c>
      <c r="L29" s="12" t="n"/>
      <c r="M29" s="12" t="n"/>
    </row>
    <row r="30">
      <c r="A30" s="12" t="inlineStr">
        <is>
          <t>CLR-PM-16</t>
        </is>
      </c>
      <c r="B30" s="12" t="inlineStr">
        <is>
          <t>BRD-03 Product Maintenance</t>
        </is>
      </c>
      <c r="C30" s="12" t="inlineStr">
        <is>
          <t>Business rule confirmation</t>
        </is>
      </c>
      <c r="D30" s="12" t="inlineStr">
        <is>
          <t>Escalation beyond the stage owners: Confirm that no escalation to the unit head is needed (PM-Q18).</t>
        </is>
      </c>
      <c r="E30" s="12" t="inlineStr">
        <is>
          <t>The BRD does not ask for escalation beyond the stage owners.</t>
        </is>
      </c>
      <c r="F30" s="12" t="inlineStr">
        <is>
          <t>A request past its SLA alerts the owners of its stage and shows in the red tiles of the home page. It is not escalated to a higher level.</t>
        </is>
      </c>
      <c r="G30" s="12" t="inlineStr">
        <is>
          <t>FRS BRD-03 v2.1, Proposed business rules and clarifications; BRPM.021; FR-PM-073; also raised as PM-Q18 (Drop 0 list item)</t>
        </is>
      </c>
      <c r="H30" s="12" t="inlineStr">
        <is>
          <t>Head, Technical Support Unit; Product Owner, Marketing Business System</t>
        </is>
      </c>
      <c r="I30" s="37" t="n">
        <v>46356</v>
      </c>
      <c r="J30" s="12" t="inlineStr">
        <is>
          <t>Medium</t>
        </is>
      </c>
      <c r="K30" s="38" t="inlineStr">
        <is>
          <t>Open</t>
        </is>
      </c>
      <c r="L30" s="12" t="n"/>
      <c r="M30" s="12" t="n"/>
    </row>
    <row r="31">
      <c r="A31" s="12" t="inlineStr">
        <is>
          <t>CLR-PM-17</t>
        </is>
      </c>
      <c r="B31" s="12" t="inlineStr">
        <is>
          <t>BRD-03 Product Maintenance</t>
        </is>
      </c>
      <c r="C31" s="12" t="inlineStr">
        <is>
          <t>Business rule confirmation</t>
        </is>
      </c>
      <c r="D31" s="12" t="inlineStr">
        <is>
          <t>Main path of the package request stepper: Confirm the stage list of the package request (PM-Q58).</t>
        </is>
      </c>
      <c r="E31" s="12" t="inlineStr">
        <is>
          <t>One path keeps the stepper readable.</t>
        </is>
      </c>
      <c r="F31" s="12" t="inlineStr">
        <is>
          <t>The stepper shows the main path from Draft Request to Released, through the stages of the request in their order; a returned request shows the stage it went back to in amber, and a voided or not proceeded request ends in red.</t>
        </is>
      </c>
      <c r="G31" s="12" t="inlineStr">
        <is>
          <t>FRS BRD-03 v2.1, Proposed business rules and clarifications; also raised as PM-Q58 (Drop 0 list item)</t>
        </is>
      </c>
      <c r="H31" s="12" t="inlineStr">
        <is>
          <t>Product Owner, Marketing Business System</t>
        </is>
      </c>
      <c r="I31" s="37" t="n">
        <v>46356</v>
      </c>
      <c r="J31" s="12" t="inlineStr">
        <is>
          <t>Medium</t>
        </is>
      </c>
      <c r="K31" s="38" t="inlineStr">
        <is>
          <t>Open</t>
        </is>
      </c>
      <c r="L31" s="12" t="n"/>
      <c r="M31" s="12" t="n"/>
    </row>
    <row r="32">
      <c r="A32" s="12" t="inlineStr">
        <is>
          <t>CLR-PM-18</t>
        </is>
      </c>
      <c r="B32" s="12" t="inlineStr">
        <is>
          <t>BRD-03 Product Maintenance</t>
        </is>
      </c>
      <c r="C32" s="12" t="inlineStr">
        <is>
          <t>Configuration value</t>
        </is>
      </c>
      <c r="D32" s="12" t="inlineStr">
        <is>
          <t>Scheme rate compared in a rate exception: Confirm the rate the requested rate is compared with (PM-Q32).</t>
        </is>
      </c>
      <c r="E32" s="12" t="inlineStr">
        <is>
          <t>An exception is approved against the package scheme.</t>
        </is>
      </c>
      <c r="F32" s="12" t="inlineStr">
        <is>
          <t>The Scheme Rate of the Rate Exceptions table and of the exception record is the package rate of the version in force that priced the quotation, not the panel insurer's rate.</t>
        </is>
      </c>
      <c r="G32" s="12" t="inlineStr">
        <is>
          <t>FRS BRD-03 v2.1, Proposed business rules and clarifications; FR-PM-051; also raised as PM-Q32 (Drop 0 list item)</t>
        </is>
      </c>
      <c r="H32" s="12" t="inlineStr">
        <is>
          <t>Product Owner, Marketing Business System</t>
        </is>
      </c>
      <c r="I32" s="37" t="n">
        <v>46356</v>
      </c>
      <c r="J32" s="12" t="inlineStr">
        <is>
          <t>Medium</t>
        </is>
      </c>
      <c r="K32" s="38" t="inlineStr">
        <is>
          <t>Open</t>
        </is>
      </c>
      <c r="L32" s="12" t="n"/>
      <c r="M32" s="12" t="n"/>
    </row>
    <row r="33">
      <c r="A33" s="12" t="inlineStr">
        <is>
          <t>CLR-PM-19</t>
        </is>
      </c>
      <c r="B33" s="12" t="inlineStr">
        <is>
          <t>BRD-03 Product Maintenance</t>
        </is>
      </c>
      <c r="C33" s="12" t="inlineStr">
        <is>
          <t>Configuration value</t>
        </is>
      </c>
      <c r="D33" s="12" t="inlineStr">
        <is>
          <t>Difference column format: Confirm percentage points with the sign (PM-Q32).</t>
        </is>
      </c>
      <c r="E33" s="12" t="inlineStr">
        <is>
          <t>A percentage of the rate would read as a second rate.</t>
        </is>
      </c>
      <c r="F33" s="12" t="inlineStr">
        <is>
          <t>The difference is shown in percentage points with its sign and two decimals (for example -0.10).</t>
        </is>
      </c>
      <c r="G33" s="12" t="inlineStr">
        <is>
          <t>FRS BRD-03 v2.1, Proposed business rules and clarifications; FR-PM-051</t>
        </is>
      </c>
      <c r="H33" s="12" t="inlineStr">
        <is>
          <t>Product Owner, Marketing Business System (MBS)</t>
        </is>
      </c>
      <c r="I33" s="37" t="n">
        <v>46356</v>
      </c>
      <c r="J33" s="12" t="inlineStr">
        <is>
          <t>Medium</t>
        </is>
      </c>
      <c r="K33" s="38" t="inlineStr">
        <is>
          <t>Open</t>
        </is>
      </c>
      <c r="L33" s="12" t="n"/>
      <c r="M33" s="12" t="n"/>
    </row>
    <row r="34">
      <c r="A34" s="12" t="inlineStr">
        <is>
          <t>CLR-PM-20</t>
        </is>
      </c>
      <c r="B34" s="12" t="inlineStr">
        <is>
          <t>BRD-03 Product Maintenance</t>
        </is>
      </c>
      <c r="C34" s="12" t="inlineStr">
        <is>
          <t>Business rule confirmation</t>
        </is>
      </c>
      <c r="D34" s="12" t="inlineStr">
        <is>
          <t>Full status labels: Confirm full labels and the short forms of the longer ones (PM-Q58).</t>
        </is>
      </c>
      <c r="E34" s="12" t="inlineStr">
        <is>
          <t>The client asked for full labels where they fit (27-Sep-2026).</t>
        </is>
      </c>
      <c r="F34" s="12" t="inlineStr">
        <is>
          <t>Stages and statuses show their full label (for example Requirements Preparation, Pending Authorization); a short form with the full label in the tooltip is used only above 21 characters.</t>
        </is>
      </c>
      <c r="G34" s="12" t="inlineStr">
        <is>
          <t>FRS BRD-03 v2.1, Proposed business rules and clarifications</t>
        </is>
      </c>
      <c r="H34" s="12" t="inlineStr">
        <is>
          <t>Product Owner, Marketing Business System (MBS)</t>
        </is>
      </c>
      <c r="I34" s="37" t="n">
        <v>46356</v>
      </c>
      <c r="J34" s="12" t="inlineStr">
        <is>
          <t>Medium</t>
        </is>
      </c>
      <c r="K34" s="38" t="inlineStr">
        <is>
          <t>Open</t>
        </is>
      </c>
      <c r="L34" s="12" t="n"/>
      <c r="M34" s="12" t="n"/>
    </row>
    <row r="35">
      <c r="A35" s="12" t="inlineStr">
        <is>
          <t>CLR-PM-21</t>
        </is>
      </c>
      <c r="B35" s="12" t="inlineStr">
        <is>
          <t>BRD-03 Product Maintenance</t>
        </is>
      </c>
      <c r="C35" s="12" t="inlineStr">
        <is>
          <t>Business rule confirmation</t>
        </is>
      </c>
      <c r="D35" s="12" t="inlineStr">
        <is>
          <t>Packages in force at go-live: Confirm the request route and the number of packages in force, so that TSU and MBS can plan the effort (PM-Q34, PM-Q56).</t>
        </is>
      </c>
      <c r="E35" s="12" t="inlineStr">
        <is>
          <t>Every package of BIBS then carries its approvals, slips and validation from day one, as the packages sold later do; the package map of the migration (CLR-PM-14) points to versions released this way.</t>
        </is>
      </c>
      <c r="F35" s="12" t="inlineStr">
        <is>
          <t>Each package in force at go-live is set up in BIBS through a package request (type New package, or Update for an existing risk code) with its signed package slip and ManCom reference, set up by MBS and validated before the map freeze; no package version is loaded by the data migration. FR-PM-050 rule R3 and FR-PM-051 rule R4 of release set v2.0 read as if the packages were loaded as version 1 by the migration; chapter 19 and template CI-06 say they are set up by request; this set takes the request route as its proposed position.</t>
        </is>
      </c>
      <c r="G35" s="12" t="inlineStr">
        <is>
          <t>FRS BRD-03 v2.1, Proposed business rules and clarifications; BRPM.007; FR-PM-050, 051; chapter 19, template CI-06</t>
        </is>
      </c>
      <c r="H35" s="12" t="inlineStr">
        <is>
          <t>Product Owner, Marketing Business System (MBS)</t>
        </is>
      </c>
      <c r="I35" s="37" t="n">
        <v>46356</v>
      </c>
      <c r="J35" s="12" t="inlineStr">
        <is>
          <t>Medium</t>
        </is>
      </c>
      <c r="K35" s="38" t="inlineStr">
        <is>
          <t>Open</t>
        </is>
      </c>
      <c r="L35" s="12" t="n"/>
      <c r="M35" s="12" t="n"/>
    </row>
    <row r="36">
      <c r="A36" s="12" t="inlineStr">
        <is>
          <t>CLR-PM-22</t>
        </is>
      </c>
      <c r="B36" s="12" t="inlineStr">
        <is>
          <t>BRD-03 Product Maintenance</t>
        </is>
      </c>
      <c r="C36" s="12" t="inlineStr">
        <is>
          <t>Configuration value</t>
        </is>
      </c>
      <c r="D36" s="12" t="inlineStr">
        <is>
          <t>Automatic drafting of package renewal requests: Confirm automatic drafting, and the meaning of the end and anniversary dates with the alert days (PQ11, PM-Q37, PM-Q38).</t>
        </is>
      </c>
      <c r="E36" s="12" t="inlineStr">
        <is>
          <t>The envisioned process of the BRD has the renewal request drafted from the expiry monitor; the parameter is delivered off.</t>
        </is>
      </c>
      <c r="F36" s="12" t="inlineStr">
        <is>
          <t>Switch automatic drafting on: at the first expiry alert (60 days before the package end date) BIBS drafts the renewal request from the current version and the TSU Officer completes and submits it; reminders at 30 and 7 days. The parameter package renewal autodraft lets BDOI switch it off.</t>
        </is>
      </c>
      <c r="G36" s="12" t="inlineStr">
        <is>
          <t>FRS BRD-03 v2.1, Proposed business rules and clarifications; BRPM.017; FR-PM-060, 061; also raised as PQ11 (open question)</t>
        </is>
      </c>
      <c r="H36" s="12" t="inlineStr">
        <is>
          <t>Product Owner, Marketing Business System (MBS)</t>
        </is>
      </c>
      <c r="I36" s="37" t="n">
        <v>46356</v>
      </c>
      <c r="J36" s="12" t="inlineStr">
        <is>
          <t>Medium</t>
        </is>
      </c>
      <c r="K36" s="38" t="inlineStr">
        <is>
          <t>Partly answered</t>
        </is>
      </c>
      <c r="L36" s="12" t="n"/>
      <c r="M36" s="12" t="inlineStr">
        <is>
          <t>Answer so far: Renew As Is keeps the expiring terms; repricing takes the NB path. Expired package version open (RQ30). (BRD-6 BRRN.030 / 033 / 035 / 038).</t>
        </is>
      </c>
    </row>
    <row r="37">
      <c r="A37" s="12" t="inlineStr">
        <is>
          <t>CLR-PM-23</t>
        </is>
      </c>
      <c r="B37" s="12" t="inlineStr">
        <is>
          <t>BRD-03 Product Maintenance</t>
        </is>
      </c>
      <c r="C37" s="12" t="inlineStr">
        <is>
          <t>Business rule confirmation</t>
        </is>
      </c>
      <c r="D37" s="12" t="inlineStr">
        <is>
          <t>Sign-in of Product Maintenance users: Confirm that Product Maintenance follows BRD-11 for sign-in and for role changes (PM-Q11, PM-Q12).</t>
        </is>
      </c>
      <c r="E37" s="12" t="inlineStr">
        <is>
          <t>Release set v2.0 stated that directory sign-in was not part of this phase; BRD-11 v2.1 states single sign-on as part of BIBS.</t>
        </is>
      </c>
      <c r="F37" s="12" t="inlineStr">
        <is>
          <t>Product Maintenance users sign in, are locked out and are signed out as every BIBS user under BRD-11: single sign-on through EIAM on Microsoft Entra ID (OpenID Connect or SAML 2.0) once switched on, local sign-in until then; an approved change to the permissions of a Product Maintenance role waits for its implementation by the System Administrator, as for every group profile.</t>
        </is>
      </c>
      <c r="G37" s="12" t="inlineStr">
        <is>
          <t>FRS BRD-03 v2.1, Proposed business rules and clarifications; BRPM.001; FR-PM-001</t>
        </is>
      </c>
      <c r="H37" s="12" t="inlineStr">
        <is>
          <t>Product Owner, Marketing Business System (MBS)</t>
        </is>
      </c>
      <c r="I37" s="37" t="n">
        <v>46356</v>
      </c>
      <c r="J37" s="12" t="inlineStr">
        <is>
          <t>Medium</t>
        </is>
      </c>
      <c r="K37" s="38" t="inlineStr">
        <is>
          <t>Open</t>
        </is>
      </c>
      <c r="L37" s="12" t="n"/>
      <c r="M37" s="12" t="n"/>
    </row>
    <row r="38">
      <c r="A38" s="12" t="inlineStr">
        <is>
          <t>CLR-PM-24</t>
        </is>
      </c>
      <c r="B38" s="12" t="inlineStr">
        <is>
          <t>BRD-03 Product Maintenance</t>
        </is>
      </c>
      <c r="C38" s="12" t="inlineStr">
        <is>
          <t>Business rule confirmation</t>
        </is>
      </c>
      <c r="D38" s="12" t="inlineStr">
        <is>
          <t>Incentive criteria and endorsements: Confirm that no endorsement attribute is needed on the incentive criteria (PM-Q42).</t>
        </is>
      </c>
      <c r="E38" s="12" t="inlineStr">
        <is>
          <t>The New Business BRD of May 2026 makes the incentive indicator depend on the applicable endorsements.</t>
        </is>
      </c>
      <c r="F38" s="12" t="inlineStr">
        <is>
          <t>The incentive criteria keep no endorsement attribute; New Business evaluates the endorsements of an account when it sets the incentive indicator (New Business BRD of 13-May-2026, BRNB.107).</t>
        </is>
      </c>
      <c r="G38" s="12" t="inlineStr">
        <is>
          <t>FRS BRD-03 v2.1, Proposed business rules and clarifications; PMADD07, 08; FR-PM-080, 081</t>
        </is>
      </c>
      <c r="H38" s="12" t="inlineStr">
        <is>
          <t>Product Owner, Marketing Business System (MBS)</t>
        </is>
      </c>
      <c r="I38" s="37" t="n">
        <v>46356</v>
      </c>
      <c r="J38" s="12" t="inlineStr">
        <is>
          <t>Medium</t>
        </is>
      </c>
      <c r="K38" s="38" t="inlineStr">
        <is>
          <t>Open</t>
        </is>
      </c>
      <c r="L38" s="12" t="n"/>
      <c r="M38" s="12" t="n"/>
    </row>
    <row r="39">
      <c r="A39" s="12" t="inlineStr">
        <is>
          <t>PM-Q02</t>
        </is>
      </c>
      <c r="B39" s="12" t="inlineStr">
        <is>
          <t>BRD-03 Product Maintenance</t>
        </is>
      </c>
      <c r="C39" s="12" t="inlineStr">
        <is>
          <t>Clarification</t>
        </is>
      </c>
      <c r="D39" s="12" t="inlineStr">
        <is>
          <t>Please confirm which main BRD requirements each addendum requirement refines, since the 'Source BRD ID' column of the addendum is empty.</t>
        </is>
      </c>
      <c r="E39" s="12" t="inlineStr">
        <is>
          <t>The 'Source BRD ID' column is blank for PMADD01 to PMADD08 (pp.4-7). Read against the main BRD, we take PMADD03 as refining BRPM.014, PMADD04 as refining BRPM.010 and BRPM.013, PMADD05 as refining BRPM.002 and PMADD06 as refining BRPM.015; PMADD01, PMADD02, PMADD07 and PMADD08 are new. If not provided: Acceptance tests could be run against superseded wording; traceability of the FRS to the BRD is not confirmed.</t>
        </is>
      </c>
      <c r="F39" s="12" t="inlineStr">
        <is>
          <t>Accept the mapping above; where an addendum row and a main BRD row differ, the addendum (April 2026) prevails.</t>
        </is>
      </c>
      <c r="G39" s="12" t="inlineStr">
        <is>
          <t>Drop 0 requirements and questions list v1.0 (8-Oct-2026), PM-Q02; BRD Product Maintenance pp.4-7; FRS BRD-03 v2.0 section 1.2 and chapter 11; Discrepancy register DCR-032; also raised as DCR-032 (register item)</t>
        </is>
      </c>
      <c r="H39" s="12" t="inlineStr">
        <is>
          <t>Business Analyst, Business Project Services</t>
        </is>
      </c>
      <c r="I39" s="37" t="n">
        <v>46356</v>
      </c>
      <c r="J39" s="12" t="inlineStr">
        <is>
          <t>Medium</t>
        </is>
      </c>
      <c r="K39" s="38" t="inlineStr">
        <is>
          <t>Open</t>
        </is>
      </c>
      <c r="L39" s="12" t="n"/>
      <c r="M39" s="12" t="n"/>
    </row>
    <row r="40">
      <c r="A40" s="12" t="inlineStr">
        <is>
          <t>PM-Q05</t>
        </is>
      </c>
      <c r="B40" s="12" t="inlineStr">
        <is>
          <t>BRD-03 Product Maintenance</t>
        </is>
      </c>
      <c r="C40" s="12" t="inlineStr">
        <is>
          <t>Business rule confirmation</t>
        </is>
      </c>
      <c r="D40" s="12" t="inlineStr">
        <is>
          <t>Please confirm that the earlier rule requiring documented client negotiation before a new rate scheme applies to a renewal already advised (BRQID.008 of the earlier signed version) was dropped on purpose, and that the Renewal BRD rule BRRN.038 now governs it.</t>
        </is>
      </c>
      <c r="E40" s="12" t="inlineStr">
        <is>
          <t>The pack contains an earlier signed version of the BRD (pp.36-61). Its BRQID.008 is not in the final version, which keeps only 'old packages locked for new business but accessible for renewals' (BRPM.007, p.17-18); the revision log does not record the removal. The Renewal BRD (BRRN.038 AC 3) requires acceptance evidence when a renewal has a financial impact. If not provided: Renewals could be repriced after the renewal advice without client evidence if the Renewal control does not cover the case.</t>
        </is>
      </c>
      <c r="F40" s="12" t="inlineStr">
        <is>
          <t>BRQID.008 was removed on purpose; the acceptance evidence of BRRN.038 AC 3 in Renewal covers it, and Product Maintenance adds no separate control.</t>
        </is>
      </c>
      <c r="G40" s="12" t="inlineStr">
        <is>
          <t>Drop 0 requirements and questions list v1.0 (8-Oct-2026), PM-Q05; BRD Product Maintenance pp.17-18, pp.36-61; FRS BRD-03 v2.0 FR-PM-051 (PQ10); Discrepancy register DCR-030; also raised as PQ10 (open question), DCR-030 (register item)</t>
        </is>
      </c>
      <c r="H40" s="12" t="inlineStr">
        <is>
          <t>Product Owner, Marketing Business System; Product Owner, Renewal</t>
        </is>
      </c>
      <c r="I40" s="37" t="n">
        <v>46356</v>
      </c>
      <c r="J40" s="12" t="inlineStr">
        <is>
          <t>Medium</t>
        </is>
      </c>
      <c r="K40" s="38" t="inlineStr">
        <is>
          <t>Partly answered</t>
        </is>
      </c>
      <c r="L40" s="12" t="n"/>
      <c r="M40" s="12" t="inlineStr">
        <is>
          <t>Answer so far: Acceptance evidence required when a renewal has a financial impact. (BRD-6 BRRN.038 AC 3).</t>
        </is>
      </c>
    </row>
    <row r="41">
      <c r="A41" s="12" t="inlineStr">
        <is>
          <t>PM-Q08</t>
        </is>
      </c>
      <c r="B41" s="12" t="inlineStr">
        <is>
          <t>BRD-03 Product Maintenance</t>
        </is>
      </c>
      <c r="C41" s="12" t="inlineStr">
        <is>
          <t>Business rule confirmation</t>
        </is>
      </c>
      <c r="D41" s="12" t="inlineStr">
        <is>
          <t>Please confirm that the master screens added to this set beyond the package lifecycle (Insurers, Rates &amp; Taxes, Sales Organisation, Premium Calculator, Coverages &amp; Clauses, Incentive Criteria) are reviewed and signed under BRD-03, with the owners named for each.</t>
        </is>
      </c>
      <c r="E41" s="12" t="inlineStr">
        <is>
          <t>The BRD covers package products, their approval, set-up, versions, expiry and incentive criteria. The sign-off workbook also lists the shared catalogue screens SCR-PM-17 to SCR-PM-21 (insurers and branches, statutory rates and taxes, sales organisation, premium calculator), which New Business, Operations and Accounting use. Their data owners differ: Head of Operations (insurers, commission rates), Heads of Marketing (sales organisation), Comptrollership (taxes). If not provided: Without an agreed home and owner, these masters have no signed specification before SIT.</t>
        </is>
      </c>
      <c r="F41" s="12" t="inlineStr">
        <is>
          <t>Sign these screens with BRD-03 as the single home of the product and pricing masters; each owner reviews the rows of its screens in the sign-off workbook.</t>
        </is>
      </c>
      <c r="G41" s="12" t="inlineStr">
        <is>
          <t>Drop 0 requirements and questions list v1.0 (8-Oct-2026), PM-Q08; Sign-off workbook BRD-03 v2.0, Screen catalogue SCR-PM-17 to SCR-PM-21; Cross-BRD contract IC-01 to IC-13; Drop 0 closure, set BRD-03 'confirms'</t>
        </is>
      </c>
      <c r="H41" s="12" t="inlineStr">
        <is>
          <t>Product Owner, Marketing Business System; Head, Operations; Head, Comptrollership</t>
        </is>
      </c>
      <c r="I41" s="37" t="n">
        <v>46356</v>
      </c>
      <c r="J41" s="12" t="inlineStr">
        <is>
          <t>Medium</t>
        </is>
      </c>
      <c r="K41" s="38" t="inlineStr">
        <is>
          <t>Open</t>
        </is>
      </c>
      <c r="L41" s="12" t="n"/>
      <c r="M41" s="12" t="n"/>
    </row>
    <row r="42">
      <c r="A42" s="12" t="inlineStr">
        <is>
          <t>PM-Q15</t>
        </is>
      </c>
      <c r="B42" s="12" t="inlineStr">
        <is>
          <t>BRD-03 Product Maintenance</t>
        </is>
      </c>
      <c r="C42" s="12" t="inlineStr">
        <is>
          <t>Configuration value</t>
        </is>
      </c>
      <c r="D42" s="12" t="inlineStr">
        <is>
          <t>Please give the mandatory fields of the Package Request Form, and confirm that a generic programme needs no client while a client-specific package names a client (or prospect) from the client master.</t>
        </is>
      </c>
      <c r="E42" s="12" t="inlineStr">
        <is>
          <t>BRPM.008 asks that mandatory fields are 'clearly indicated' (p.18) but does not list them. If not provided: Field validations of the form and their test cases are not confirmed.</t>
        </is>
      </c>
      <c r="F42" s="12" t="inlineStr">
        <is>
          <t>Use the proposed mandatory fields of FR-PM-020: request type, scope, package or programme name, product line, cover type (new package) or existing package, reason, requested terms, package end date and, when negotiated, at least one target insurer; a client only for client-specific packages.</t>
        </is>
      </c>
      <c r="G42" s="12" t="inlineStr">
        <is>
          <t>Drop 0 requirements and questions list v1.0 (8-Oct-2026), PM-Q15; BRD Product Maintenance p.18 (BRPM.008); FRS BRD-03 v2.0 FR-PM-020 (PQ14); also raised as PQ14 (open question)</t>
        </is>
      </c>
      <c r="H42" s="12" t="inlineStr">
        <is>
          <t>Head, Retail Marketing; Head, Technical Support Unit</t>
        </is>
      </c>
      <c r="I42" s="37" t="n">
        <v>46356</v>
      </c>
      <c r="J42" s="12" t="inlineStr">
        <is>
          <t>Medium</t>
        </is>
      </c>
      <c r="K42" s="38" t="inlineStr">
        <is>
          <t>Open</t>
        </is>
      </c>
      <c r="L42" s="12" t="n"/>
      <c r="M42" s="12" t="n"/>
    </row>
    <row r="43">
      <c r="A43" s="12" t="inlineStr">
        <is>
          <t>PM-Q19</t>
        </is>
      </c>
      <c r="B43" s="12" t="inlineStr">
        <is>
          <t>BRD-03 Product Maintenance</t>
        </is>
      </c>
      <c r="C43" s="12" t="inlineStr">
        <is>
          <t>Clarification</t>
        </is>
      </c>
      <c r="D43" s="12" t="inlineStr">
        <is>
          <t>Who is the 'co-Officer' who may approve a quotation slip instead of the TSU Team Lead, and can the TSU Head also approve it.</t>
        </is>
      </c>
      <c r="E43" s="12" t="inlineStr">
        <is>
          <t>BRPM.012 says the quotation slip is 'approved by TL or co-Officer' (p.22) and remains editable by TSU TL/TH until ManCom sign-off. If not provided: The quotation slip approval rights and their test cases are not confirmed.</t>
        </is>
      </c>
      <c r="F43" s="12" t="inlineStr">
        <is>
          <t>Any TSU user holding the quotation-slip approval permission other than the preparer may approve it; the permission is given to the TSU Team Lead role by default.</t>
        </is>
      </c>
      <c r="G43" s="12" t="inlineStr">
        <is>
          <t>Drop 0 requirements and questions list v1.0 (8-Oct-2026), PM-Q19; BRD Product Maintenance p.22 (BRPM.012); FRS BRD-03 v2.0 FR-PM-030 (PQ08)</t>
        </is>
      </c>
      <c r="H43" s="12" t="inlineStr">
        <is>
          <t>Head, Technical Support Unit</t>
        </is>
      </c>
      <c r="I43" s="37" t="n">
        <v>46356</v>
      </c>
      <c r="J43" s="12" t="inlineStr">
        <is>
          <t>Medium</t>
        </is>
      </c>
      <c r="K43" s="38" t="inlineStr">
        <is>
          <t>Open</t>
        </is>
      </c>
      <c r="L43" s="12" t="n"/>
      <c r="M43" s="12" t="n"/>
    </row>
    <row r="44">
      <c r="A44" s="12" t="inlineStr">
        <is>
          <t>PM-Q25</t>
        </is>
      </c>
      <c r="B44" s="12" t="inlineStr">
        <is>
          <t>BRD-03 Product Maintenance</t>
        </is>
      </c>
      <c r="C44" s="12" t="inlineStr">
        <is>
          <t>Clarification</t>
        </is>
      </c>
      <c r="D44" s="12" t="inlineStr">
        <is>
          <t>Please confirm that the 'secure dashboard' for sharing comparative tables and reports is for BDOI users only, and that clients and insurers receive documents only as password-protected e-mail attachments, with no external access to BIBS.</t>
        </is>
      </c>
      <c r="E44" s="12" t="inlineStr">
        <is>
          <t>The envisioned process says comparative tables and reports are shared 'via a secure dashboard' (p.13, item 4) and BRPM.012 mentions an 'integrated portal' (p.22). If not provided: An external portal would be new scope with its own security and hosting.</t>
        </is>
      </c>
      <c r="F44" s="12" t="inlineStr">
        <is>
          <t>The Product Maintenance home and lists are internal; external parties receive protected PDF or XLSX files by e-mail, with the password sent separately.</t>
        </is>
      </c>
      <c r="G44" s="12" t="inlineStr">
        <is>
          <t>Drop 0 requirements and questions list v1.0 (8-Oct-2026), PM-Q25; BRD Product Maintenance p.13, p.22 (BRPM.012), p.29 (BRPM.019, BRPM.020); FRS BRD-03 v2.0 FR-PM-004, FR-PM-070, chapter 7</t>
        </is>
      </c>
      <c r="H44" s="12" t="inlineStr">
        <is>
          <t>Product Owner, Marketing Business System; BDOI Information Security</t>
        </is>
      </c>
      <c r="I44" s="37" t="n">
        <v>46356</v>
      </c>
      <c r="J44" s="12" t="inlineStr">
        <is>
          <t>Medium</t>
        </is>
      </c>
      <c r="K44" s="38" t="inlineStr">
        <is>
          <t>Open</t>
        </is>
      </c>
      <c r="L44" s="12" t="n"/>
      <c r="M44" s="12" t="n"/>
    </row>
    <row r="45">
      <c r="A45" s="12" t="inlineStr">
        <is>
          <t>PM-Q30</t>
        </is>
      </c>
      <c r="B45" s="12" t="inlineStr">
        <is>
          <t>BRD-03 Product Maintenance</t>
        </is>
      </c>
      <c r="C45" s="12" t="inlineStr">
        <is>
          <t>Clarification</t>
        </is>
      </c>
      <c r="D45" s="12" t="inlineStr">
        <is>
          <t>BRPM.017 says 'MBS/Operations can accept or reject renewal documentation'; is an Operations step needed, or is the MBS acceptance at set-up enough.</t>
        </is>
      </c>
      <c r="E45" s="12" t="inlineStr">
        <is>
          <t>BRPM.017 acceptance criterion 5 (p.27) names MBS and Operations. In the proposed workflow MBS accepts or returns the renewal documentation at the set-up step; Operations only receives the advisory. If not provided: An Operations approval step would add a workflow stage.</t>
        </is>
      </c>
      <c r="F45" s="12" t="inlineStr">
        <is>
          <t>MBS accepts or returns the renewal documentation; Operations is informed by the renewal advisory and has no approval step.</t>
        </is>
      </c>
      <c r="G45" s="12" t="inlineStr">
        <is>
          <t>Drop 0 requirements and questions list v1.0 (8-Oct-2026), PM-Q30; BRD Product Maintenance pp.27-28 (BRPM.017); FRS BRD-03 v2.0 FR-PM-061, FR-PM-044</t>
        </is>
      </c>
      <c r="H45" s="12" t="inlineStr">
        <is>
          <t>Head, Operations; Product Owner, Marketing Business System</t>
        </is>
      </c>
      <c r="I45" s="37" t="n">
        <v>46356</v>
      </c>
      <c r="J45" s="12" t="inlineStr">
        <is>
          <t>Medium</t>
        </is>
      </c>
      <c r="K45" s="38" t="inlineStr">
        <is>
          <t>Open</t>
        </is>
      </c>
      <c r="L45" s="12" t="n"/>
      <c r="M45" s="12" t="n"/>
    </row>
    <row r="46">
      <c r="A46" s="12" t="inlineStr">
        <is>
          <t>PM-Q33</t>
        </is>
      </c>
      <c r="B46" s="12" t="inlineStr">
        <is>
          <t>BRD-03 Product Maintenance</t>
        </is>
      </c>
      <c r="C46" s="12" t="inlineStr">
        <is>
          <t>Clarification</t>
        </is>
      </c>
      <c r="D46" s="12" t="inlineStr">
        <is>
          <t>Please confirm that the archive of BRPM.006 applies to package products and their versions (client policies being kept by New Business and Renewal), and that only MBS, TSU Head, Business Administrator and Auditor see expired and retired packages.</t>
        </is>
      </c>
      <c r="E46" s="12" t="inlineStr">
        <is>
          <t>BRPM.006 speaks of 'expired insurance products (policies/packages)' kept for reference or 'potential reactivation', with access 'restricted to authorized personnel' (p.17). If not provided: Scope of the archive and its access rules.</t>
        </is>
      </c>
      <c r="F46" s="12" t="inlineStr">
        <is>
          <t>The archive covers packages; nothing is deleted; reactivation only through a reactivation request that releases a new version; archive access with the archive-view permission only (Marketing AO does not see expired packages).</t>
        </is>
      </c>
      <c r="G46" s="12" t="inlineStr">
        <is>
          <t>Drop 0 requirements and questions list v1.0 (8-Oct-2026), PM-Q33; BRD Product Maintenance p.17 (BRPM.006); FRS BRD-03 v2.0 FR-PM-052</t>
        </is>
      </c>
      <c r="H46" s="12" t="inlineStr">
        <is>
          <t>Product Owner, Marketing Business System</t>
        </is>
      </c>
      <c r="I46" s="37" t="n">
        <v>46356</v>
      </c>
      <c r="J46" s="12" t="inlineStr">
        <is>
          <t>Medium</t>
        </is>
      </c>
      <c r="K46" s="38" t="inlineStr">
        <is>
          <t>Open</t>
        </is>
      </c>
      <c r="L46" s="12" t="n"/>
      <c r="M46" s="12" t="n"/>
    </row>
    <row r="47">
      <c r="A47" s="12" t="inlineStr">
        <is>
          <t>PM-Q37</t>
        </is>
      </c>
      <c r="B47" s="12" t="inlineStr">
        <is>
          <t>BRD-03 Product Maintenance</t>
        </is>
      </c>
      <c r="C47" s="12" t="inlineStr">
        <is>
          <t>Clarification</t>
        </is>
      </c>
      <c r="D47" s="12" t="inlineStr">
        <is>
          <t>Should BIBS draft the renewal request of an expiring package automatically, as the envisioned process says, or only when the TSU Officer starts it.</t>
        </is>
      </c>
      <c r="E47" s="12" t="inlineStr">
        <is>
          <t>The envisioned process says 'Automated renewal workflow is triggered for packages approaching expiry' (p.13, item 9), while BRPM.017 says the TSU Officer 'can start renewal requests on time' (p.27). The FRS has automatic drafting off by default. If not provided: Without a decision, BIBS does not meet the envisioned process item 9 as written.</t>
        </is>
      </c>
      <c r="F47" s="12" t="inlineStr">
        <is>
          <t>Switch automatic drafting on: at the first expiry alert BIBS drafts the renewal request from the current version and the TSU Officer completes and submits it; the parameter lets BDOI switch it off.</t>
        </is>
      </c>
      <c r="G47" s="12" t="inlineStr">
        <is>
          <t>Drop 0 requirements and questions list v1.0 (8-Oct-2026), PM-Q37; BRD Product Maintenance p.13, pp.27-28 (BRPM.017); FRS BRD-03 v2.0 FR-PM-060 R3, FR-PM-061, parameter package renewal autodraft (PQ11)</t>
        </is>
      </c>
      <c r="H47" s="12" t="inlineStr">
        <is>
          <t>Head, Technical Support Unit</t>
        </is>
      </c>
      <c r="I47" s="37" t="n">
        <v>46356</v>
      </c>
      <c r="J47" s="12" t="inlineStr">
        <is>
          <t>Medium</t>
        </is>
      </c>
      <c r="K47" s="38" t="inlineStr">
        <is>
          <t>Open</t>
        </is>
      </c>
      <c r="L47" s="12" t="n"/>
      <c r="M47" s="12" t="n"/>
    </row>
    <row r="48">
      <c r="A48" s="12" t="inlineStr">
        <is>
          <t>PM-Q39</t>
        </is>
      </c>
      <c r="B48" s="12" t="inlineStr">
        <is>
          <t>BRD-03 Product Maintenance</t>
        </is>
      </c>
      <c r="C48" s="12" t="inlineStr">
        <is>
          <t>Clarification</t>
        </is>
      </c>
      <c r="D48" s="12" t="inlineStr">
        <is>
          <t>Please confirm that key capabilities 12 and 13 ('renewal negotiation and documentation', 'renewal reporting and analytics') are met by the renewal request following the normal negotiation workflow and by the Package Expiry and Package Status reports, since no requirement row details them.</t>
        </is>
      </c>
      <c r="E48" s="12" t="inlineStr">
        <is>
          <t>The key capabilities list renewal negotiation, documentation, reporting and analytics (p.14), but only BRPM.017 addresses package renewal (pp.27-28). If not provided: Renewal reporting expectations not covered by a requirement could surface in UAT as new scope.</t>
        </is>
      </c>
      <c r="F48" s="12" t="inlineStr">
        <is>
          <t>Accept the renewal request (with optional negotiation) and the two package reports as the scope of capabilities 12 and 13; no separate renewal analytics.</t>
        </is>
      </c>
      <c r="G48" s="12" t="inlineStr">
        <is>
          <t>Drop 0 requirements and questions list v1.0 (8-Oct-2026), PM-Q39; BRD Product Maintenance p.14, pp.27-28 (BRPM.017); FRS BRD-03 v2.0 FR-PM-061, FR-PM-071</t>
        </is>
      </c>
      <c r="H48" s="12" t="inlineStr">
        <is>
          <t>Head, Technical Support Unit; Product Owner, Marketing Business System</t>
        </is>
      </c>
      <c r="I48" s="37" t="n">
        <v>46356</v>
      </c>
      <c r="J48" s="12" t="inlineStr">
        <is>
          <t>Medium</t>
        </is>
      </c>
      <c r="K48" s="38" t="inlineStr">
        <is>
          <t>Open</t>
        </is>
      </c>
      <c r="L48" s="12" t="n"/>
      <c r="M48" s="12" t="n"/>
    </row>
    <row r="49">
      <c r="A49" s="12" t="inlineStr">
        <is>
          <t>PM-Q41</t>
        </is>
      </c>
      <c r="B49" s="12" t="inlineStr">
        <is>
          <t>BRD-03 Product Maintenance</t>
        </is>
      </c>
      <c r="C49" s="12" t="inlineStr">
        <is>
          <t>Integration detail</t>
        </is>
      </c>
      <c r="D49" s="12" t="inlineStr">
        <is>
          <t>When a client policy sold on a package comes up for renewal after that package has expired with no current version, should the renewal be routed to the New Business path automatically, or kept on the old terms with an approval.</t>
        </is>
      </c>
      <c r="E49" s="12" t="inlineStr">
        <is>
          <t>BRPM.007 says old packages 'can be referenced for renewals until updated' (p.18). The Renewal BRD keeps the expiring terms on Renew As Is and takes the New Business path for repricing; the expired-version case is open under Renewal (RQ30). If not provided: Renewal pricing of accounts on expired packages; the decision is taken with the Renewal set.</t>
        </is>
      </c>
      <c r="F49" s="12" t="inlineStr">
        <is>
          <t>Renewals use the version of the original account while it is released or superseded; an expired package with no current version sends the renewal to the New Business path for repricing.</t>
        </is>
      </c>
      <c r="G49" s="12" t="inlineStr">
        <is>
          <t>Drop 0 requirements and questions list v1.0 (8-Oct-2026), PM-Q41; BRD Product Maintenance pp.17-18 (BRPM.007); FRS BRD-03 v2.0 FR-PM-051 (PQ11); Cross-BRD contract IC-06; Renewal open question RQ30; also raised as RQ30 (open question)</t>
        </is>
      </c>
      <c r="H49" s="12" t="inlineStr">
        <is>
          <t>Product Owner, Renewal; Product Owner, Marketing Business System</t>
        </is>
      </c>
      <c r="I49" s="37" t="n">
        <v>46356</v>
      </c>
      <c r="J49" s="12" t="inlineStr">
        <is>
          <t>Medium</t>
        </is>
      </c>
      <c r="K49" s="38" t="inlineStr">
        <is>
          <t>Open</t>
        </is>
      </c>
      <c r="L49" s="12" t="n"/>
      <c r="M49" s="12" t="n"/>
    </row>
    <row r="50">
      <c r="A50" s="12" t="inlineStr">
        <is>
          <t>PM-Q48</t>
        </is>
      </c>
      <c r="B50" s="12" t="inlineStr">
        <is>
          <t>BRD-03 Product Maintenance</t>
        </is>
      </c>
      <c r="C50" s="12" t="inlineStr">
        <is>
          <t>Configuration value</t>
        </is>
      </c>
      <c r="D50" s="12" t="inlineStr">
        <is>
          <t>Please confirm the non-functional values for Product Maintenance: monthly package request volumes and growth, the availability window (07:00-18:30 here, 07:00-22:00 in New Business), the maintenance window 'as per bank standard', and the data retention period.</t>
        </is>
      </c>
      <c r="E50" s="12" t="inlineStr">
        <is>
          <t>The usage table leaves volumes and growth blank, gives the same Marketing user counts as BRD-1 (485 / 145), availability 99.9%, use 07:00-18:30, RTO 4 hours and RPO 24 hours, and maintenance 'as per bank standard' (p.33). Retention is not stated. A single BIBS-wide NFR set is being agreed (XQ08). If not provided: Sizing, the support window and archiving rules are not confirmed for the module.</t>
        </is>
      </c>
      <c r="F50" s="12" t="inlineStr">
        <is>
          <t>Tens of package requests a month; the BIBS-wide window and maintenance window decided for New Business govern; retention 5 years online and 15 years archive, package versions never purged.</t>
        </is>
      </c>
      <c r="G50" s="12" t="inlineStr">
        <is>
          <t>Drop 0 requirements and questions list v1.0 (8-Oct-2026), PM-Q48; BRD Product Maintenance p.33; FRS BRD-03 v2.0 chapter 8, FR-PM-005 R2, A-PM-08 (PQ18, OQ44, XQ08); also raised as OQ44 (open question), PQ18 (open question), DCR-025 (register item)</t>
        </is>
      </c>
      <c r="H50" s="12" t="inlineStr">
        <is>
          <t>BDOI IT; Program Manager, Business Project Services</t>
        </is>
      </c>
      <c r="I50" s="37" t="n">
        <v>46356</v>
      </c>
      <c r="J50" s="12" t="inlineStr">
        <is>
          <t>Medium</t>
        </is>
      </c>
      <c r="K50" s="38" t="inlineStr">
        <is>
          <t>Open</t>
        </is>
      </c>
      <c r="L50" s="12" t="n"/>
      <c r="M50" s="12" t="inlineStr">
        <is>
          <t>Also affects BRD-02.</t>
        </is>
      </c>
    </row>
    <row r="51">
      <c r="A51" s="12" t="inlineStr">
        <is>
          <t>PM-Q57</t>
        </is>
      </c>
      <c r="B51" s="12" t="inlineStr">
        <is>
          <t>BRD-03 Product Maintenance</t>
        </is>
      </c>
      <c r="C51" s="12" t="inlineStr">
        <is>
          <t>Integration detail</t>
        </is>
      </c>
      <c r="D51" s="12" t="inlineStr">
        <is>
          <t>Please confirm that the Employee Benefits product lines (HMO, group life, group personal accident) and the HMO providers are held in the Product Maintenance catalogue and insurer panel, and that insurer acceptance limits stay in Submitted Policies for now.</t>
        </is>
      </c>
      <c r="E51" s="12" t="inlineStr">
        <is>
          <t>Product Maintenance is the source of products and insurers for New Business, Renewal, Employee Benefits and Submitted Policies (cross-BRD contract). HMO providers are not insurance companies; the Employee Benefits BRD lists them as placement counterparties. If not provided: The catalogue structure for EB and the limit checks of Submitted Policies.</t>
        </is>
      </c>
      <c r="F51" s="12" t="inlineStr">
        <is>
          <t>Hold EB lines and products in the catalogue and HMO providers in the insurer master with a provider type; insurer acceptance limits stay in Submitted Policies until Product Maintenance takes them over.</t>
        </is>
      </c>
      <c r="G51" s="12" t="inlineStr">
        <is>
          <t>Drop 0 requirements and questions list v1.0 (8-Oct-2026), PM-Q57; Cross-BRD contract IC-08, IC-09; Discrepancy register DCR-097 (EBQ01); also raised as EBQ01 (open question), DCR-097 (register item)</t>
        </is>
      </c>
      <c r="H51" s="12" t="inlineStr">
        <is>
          <t>Product Owner, Employee Benefits; Product Owner, Submitted Policies</t>
        </is>
      </c>
      <c r="I51" s="37" t="n">
        <v>46356</v>
      </c>
      <c r="J51" s="12" t="inlineStr">
        <is>
          <t>Medium</t>
        </is>
      </c>
      <c r="K51" s="38" t="inlineStr">
        <is>
          <t>Open</t>
        </is>
      </c>
      <c r="L51" s="12" t="n"/>
      <c r="M51" s="12" t="inlineStr">
        <is>
          <t>Also affects BRD-01, BRD-08.</t>
        </is>
      </c>
    </row>
    <row r="52">
      <c r="A52" s="12" t="inlineStr">
        <is>
          <t>PM-Q01</t>
        </is>
      </c>
      <c r="B52" s="12" t="inlineStr">
        <is>
          <t>BRD-03 Product Maintenance</t>
        </is>
      </c>
      <c r="C52" s="12" t="inlineStr">
        <is>
          <t>Clarification</t>
        </is>
      </c>
      <c r="D52" s="12" t="inlineStr">
        <is>
          <t>Please confirm that the approval pages of the addendum and of the main BRD apply to Product Maintenance, and correct the copied headings in the next BRD revision.</t>
        </is>
      </c>
      <c r="E52" s="12" t="inlineStr">
        <is>
          <t>The addendum is headed 'Business Requirements for New Business' (p.3) and 'Table of New Business Requirements' (p.4), and its approval page says 'New Business Fire and Motor' (p.8). The main BRD approval says 'for the OPERATIONS request' (p.34). The revision log reads 'Added BRID PMADD07 and PMADD07' (p.2, presumably PMADD07 and PMADD08) and a preparer date reads '11/06/205' (p.34). If not provided: The approval record of the baseline refers to other BRD titles; the traceability and the sign-off of the FRS rest on that approval.</t>
        </is>
      </c>
      <c r="F52" s="12" t="inlineStr">
        <is>
          <t>The signatures on pp.8-9 and pp.34-35 are taken as the approval of the Product Maintenance BRD and its addendum; the headings are corrected by Business Project Services in the next revision or recorded in minutes of meeting.</t>
        </is>
      </c>
      <c r="G52" s="12" t="inlineStr">
        <is>
          <t>Drop 0 requirements and questions list v1.0 (8-Oct-2026), PM-Q01; BRD Product Maintenance p.2, p.3, p.4, p.8, p.34; Discrepancy register DCR-031; also raised as DCR-031 (register item)</t>
        </is>
      </c>
      <c r="H52" s="12" t="inlineStr">
        <is>
          <t>Business Analyst, Business Project Services; Product Owner, Marketing Business System</t>
        </is>
      </c>
      <c r="I52" s="37" t="n">
        <v>46356</v>
      </c>
      <c r="J52" s="12" t="inlineStr">
        <is>
          <t>Low</t>
        </is>
      </c>
      <c r="K52" s="38" t="inlineStr">
        <is>
          <t>Open</t>
        </is>
      </c>
      <c r="L52" s="12" t="n"/>
      <c r="M52" s="12" t="n"/>
    </row>
    <row r="53">
      <c r="A53" s="12" t="inlineStr">
        <is>
          <t>PM-Q03</t>
        </is>
      </c>
      <c r="B53" s="12" t="inlineStr">
        <is>
          <t>BRD-03 Product Maintenance</t>
        </is>
      </c>
      <c r="C53" s="12" t="inlineStr">
        <is>
          <t>Clarification</t>
        </is>
      </c>
      <c r="D53" s="12" t="inlineStr">
        <is>
          <t>Please confirm the priority of BRPM.003 and the acceptance criteria of BRPM.013.</t>
        </is>
      </c>
      <c r="E53" s="12" t="inlineStr">
        <is>
          <t>BRPM.003 (capture, store and validate product-specific fields, p.16) has no priority level. BRPM.013 asks for keying in insurer terms and feedback (p.23), but its acceptance criteria describe comparative tables and a monitoring sheet. If not provided: Test cases of BRPM.013 would not test the requirement; the priority of BRPM.003 is unknown for planning.</t>
        </is>
      </c>
      <c r="F53" s="12" t="inlineStr">
        <is>
          <t>BRPM.003 is a Must have. BRPM.013 is tested on the capture of insurer responses with their outcome and history (FR-PM-031); the comparative-table criteria are tested under BRPM.014 (FR-PM-034).</t>
        </is>
      </c>
      <c r="G53" s="12" t="inlineStr">
        <is>
          <t>Drop 0 requirements and questions list v1.0 (8-Oct-2026), PM-Q03; BRD Product Maintenance p.16, p.23; FRS BRD-03 v2.0 FR-PM-012, FR-PM-031; Discrepancy register DCR-033; also raised as DCR-033 (register item)</t>
        </is>
      </c>
      <c r="H53" s="12" t="inlineStr">
        <is>
          <t>Product Owner, Marketing Business System</t>
        </is>
      </c>
      <c r="I53" s="37" t="n">
        <v>46356</v>
      </c>
      <c r="J53" s="12" t="inlineStr">
        <is>
          <t>Low</t>
        </is>
      </c>
      <c r="K53" s="38" t="inlineStr">
        <is>
          <t>Open</t>
        </is>
      </c>
      <c r="L53" s="12" t="n"/>
      <c r="M53" s="12" t="n"/>
    </row>
    <row r="54">
      <c r="A54" s="12" t="inlineStr">
        <is>
          <t>PM-Q04</t>
        </is>
      </c>
      <c r="B54" s="12" t="inlineStr">
        <is>
          <t>BRD-03 Product Maintenance</t>
        </is>
      </c>
      <c r="C54" s="12" t="inlineStr">
        <is>
          <t>Clarification</t>
        </is>
      </c>
      <c r="D54" s="12" t="inlineStr">
        <is>
          <t>Please confirm that no requirement is missing at BRPM.023, which does not appear in the BRD.</t>
        </is>
      </c>
      <c r="E54" s="12" t="inlineStr">
        <is>
          <t>BRPM.022 is followed by BRPM.024 (p.31). The earlier signed version (pp.36-61) also skips BRQID.023. If not provided: A requirement could be missing from the baseline and from the test plan.</t>
        </is>
      </c>
      <c r="F54" s="12" t="inlineStr">
        <is>
          <t>Treat the gap as a numbering gap only (FRS assumption A-PM-07).</t>
        </is>
      </c>
      <c r="G54" s="12" t="inlineStr">
        <is>
          <t>Drop 0 requirements and questions list v1.0 (8-Oct-2026), PM-Q04; BRD Product Maintenance p.31, pp.36-61; FRS BRD-03 v2.0 A-PM-07 (PQ20); Discrepancy register DCR-029; also raised as PQ20 (open question), DCR-029 (register item)</t>
        </is>
      </c>
      <c r="H54" s="12" t="inlineStr">
        <is>
          <t>Business Analyst, Business Project Services</t>
        </is>
      </c>
      <c r="I54" s="37" t="n">
        <v>46356</v>
      </c>
      <c r="J54" s="12" t="inlineStr">
        <is>
          <t>Low</t>
        </is>
      </c>
      <c r="K54" s="38" t="inlineStr">
        <is>
          <t>Open</t>
        </is>
      </c>
      <c r="L54" s="12" t="n"/>
      <c r="M54" s="12" t="n"/>
    </row>
    <row r="55">
      <c r="A55" s="12" t="inlineStr">
        <is>
          <t>PM-Q40</t>
        </is>
      </c>
      <c r="B55" s="12" t="inlineStr">
        <is>
          <t>BRD-03 Product Maintenance</t>
        </is>
      </c>
      <c r="C55" s="12" t="inlineStr">
        <is>
          <t>Business rule confirmation</t>
        </is>
      </c>
      <c r="D55" s="12" t="inlineStr">
        <is>
          <t>Please confirm that 'package renewal' in this BRD is the renewal of the package terms with the insurers, distinct from the renewal of client policies covered by the Renewal BRD.</t>
        </is>
      </c>
      <c r="E55" s="12" t="inlineStr">
        <is>
          <t>BRPM.017 and key capabilities 11-13 (p.14) use 'renewal' for packages; the Renewal BRD uses it for client policies. If not provided: Test scenarios and training material could mix the two processes.</t>
        </is>
      </c>
      <c r="F55" s="12" t="inlineStr">
        <is>
          <t>Keep the two apart: 'package renewal' in Product Maintenance, 'policy renewal' in Renewal.</t>
        </is>
      </c>
      <c r="G55" s="12" t="inlineStr">
        <is>
          <t>Drop 0 requirements and questions list v1.0 (8-Oct-2026), PM-Q40; BRD Product Maintenance p.14, pp.27-28; FRS BRD-03 v2.0 section 1.2; Discrepancy register DCR-038; also raised as DCR-038 (register item)</t>
        </is>
      </c>
      <c r="H55" s="12" t="inlineStr">
        <is>
          <t>Product Owner, Marketing Business System</t>
        </is>
      </c>
      <c r="I55" s="37" t="n">
        <v>46356</v>
      </c>
      <c r="J55" s="12" t="inlineStr">
        <is>
          <t>Low</t>
        </is>
      </c>
      <c r="K55" s="38" t="inlineStr">
        <is>
          <t>Open</t>
        </is>
      </c>
      <c r="L55" s="12" t="n"/>
      <c r="M55" s="12" t="inlineStr">
        <is>
          <t>Also affects BRD-06.</t>
        </is>
      </c>
    </row>
    <row r="56">
      <c r="A56" s="12" t="inlineStr">
        <is>
          <t>PM-Q11</t>
        </is>
      </c>
      <c r="B56" s="12" t="inlineStr">
        <is>
          <t>BRD-03 Product Maintenance</t>
        </is>
      </c>
      <c r="C56" s="12" t="inlineStr">
        <is>
          <t>Integration detail</t>
        </is>
      </c>
      <c r="D56" s="12" t="inlineStr">
        <is>
          <t>Please confirm that Product Maintenance users sign in through the BIBS-wide directory sign-in decided under BRD-11 User Access Maintenance (Entra ID), with no separate log-in rules for this module.</t>
        </is>
      </c>
      <c r="E56" s="12" t="inlineStr">
        <is>
          <t>BRPM.001 and BRPM.002 ask for log-in with valid credentials (p.15). FRS FR-PM-001 rule R2 still states that BDO single sign-on is not part of this phase, whereas BRD-11 has since required directory sign-in (answered Q42) and the drop plan lists Entra ID as a Drop 0 integration. If not provided: Inconsistent sign-in rules between the BRD-03 and BRD-11 sets; access testing of BRPM.001-002 depends on the BRD-11 interface.</t>
        </is>
      </c>
      <c r="F56" s="12" t="inlineStr">
        <is>
          <t>Product Maintenance follows the sign-in, session and lock-out rules of BRD-11; FR-PM-001 is aligned in the next version of the set.</t>
        </is>
      </c>
      <c r="G56" s="12" t="inlineStr">
        <is>
          <t>Drop 0 requirements and questions list v1.0 (8-Oct-2026), PM-Q11; BRD Product Maintenance p.15 (BRPM.001, 002); FRS BRD-03 v2.0 FR-PM-001 R2 (Q42); BDOI drop plan, Drop 0 integrations; Drop 0 closure DEC-05; also raised as Q42 (open question)</t>
        </is>
      </c>
      <c r="H56" s="12" t="inlineStr">
        <is>
          <t>BDOI IT; BDOI Information Security</t>
        </is>
      </c>
      <c r="I56" s="37" t="n">
        <v>46357</v>
      </c>
      <c r="J56" s="12" t="inlineStr">
        <is>
          <t>Medium</t>
        </is>
      </c>
      <c r="K56" s="38" t="inlineStr">
        <is>
          <t>Partly answered</t>
        </is>
      </c>
      <c r="L56" s="12" t="n"/>
      <c r="M56" s="12" t="inlineStr">
        <is>
          <t>Answer so far: Directory sign-in (Windows ID through EUA, LDAP / AD or SSO) is required; inactivity log-out at 30 minutes with a warning at 15 minutes. The EUA interface remains open (UQ04). (BRD-11 p.13-14, p.17).</t>
        </is>
      </c>
    </row>
    <row r="57">
      <c r="A57" s="12" t="inlineStr">
        <is>
          <t>PM-Q12</t>
        </is>
      </c>
      <c r="B57" s="12" t="inlineStr">
        <is>
          <t>BRD-03 Product Maintenance</t>
        </is>
      </c>
      <c r="C57" s="12" t="inlineStr">
        <is>
          <t>Integration detail</t>
        </is>
      </c>
      <c r="D57" s="12" t="inlineStr">
        <is>
          <t>When a change to the permissions of a Product Maintenance role is approved, should BIBS apply it at once, or should the System Administrator implement it as for other group-profile changes under BRD-11.</t>
        </is>
      </c>
      <c r="E57" s="12" t="inlineStr">
        <is>
          <t>PMADD05 asks that the Admin maintains roles and that changes are auditable (p.5). BRD-11 (p.6) shows group-profile changes requested, approved, then implemented by the System Administrator; the question of applying on approval is open under BRD-11 (UQ03). If not provided: Role changes in Product Maintenance would behave differently from other modules.</t>
        </is>
      </c>
      <c r="F57" s="12" t="inlineStr">
        <is>
          <t>Follow BRD-11: the approved change waits for implementation by the System Administrator (one rule for every module).</t>
        </is>
      </c>
      <c r="G57" s="12" t="inlineStr">
        <is>
          <t>Drop 0 requirements and questions list v1.0 (8-Oct-2026), PM-Q12; BRD Product Maintenance p.5 (PMADD05); FRS BRD-03 v2.0 FR-PM-003 (PQ17); BRD User Access Maintenance p.6 (UQ03)</t>
        </is>
      </c>
      <c r="H57" s="12" t="inlineStr">
        <is>
          <t>Business Administration; BDOI Information Security</t>
        </is>
      </c>
      <c r="I57" s="37" t="n">
        <v>46357</v>
      </c>
      <c r="J57" s="12" t="inlineStr">
        <is>
          <t>Low</t>
        </is>
      </c>
      <c r="K57" s="38" t="inlineStr">
        <is>
          <t>Open</t>
        </is>
      </c>
      <c r="L57" s="12" t="n"/>
      <c r="M57" s="12" t="n"/>
    </row>
    <row r="58">
      <c r="A58" s="12" t="inlineStr">
        <is>
          <t>SO-03-2</t>
        </is>
      </c>
      <c r="B58" s="12" t="inlineStr">
        <is>
          <t>BRD-03 Product Maintenance</t>
        </is>
      </c>
      <c r="C58" s="12" t="inlineStr">
        <is>
          <t>Sign-off</t>
        </is>
      </c>
      <c r="D58" s="12" t="inlineStr">
        <is>
          <t>Approve the test plan of BRD-03 Product Maintenance.</t>
        </is>
      </c>
      <c r="E58" s="12" t="inlineStr">
        <is>
          <t>The signed document fixes the scope for the next step of the plan; a late sign-off moves the dates that follow it.</t>
        </is>
      </c>
      <c r="F58" s="12" t="n"/>
      <c r="G58" s="12" t="inlineStr">
        <is>
          <t>Project plan v1.0 (8-Oct-2026), sign-offs and milestones</t>
        </is>
      </c>
      <c r="H58" s="12" t="inlineStr">
        <is>
          <t>Product Owner, Marketing Business System (MBS)</t>
        </is>
      </c>
      <c r="I58" s="37" t="n">
        <v>46374</v>
      </c>
      <c r="J58" s="12" t="inlineStr">
        <is>
          <t>High</t>
        </is>
      </c>
      <c r="K58" s="38" t="inlineStr">
        <is>
          <t>Open</t>
        </is>
      </c>
      <c r="L58" s="12" t="n"/>
      <c r="M58" s="12" t="n"/>
    </row>
    <row r="59">
      <c r="A59" s="12" t="inlineStr">
        <is>
          <t>PM-Q46</t>
        </is>
      </c>
      <c r="B59" s="12" t="inlineStr">
        <is>
          <t>BRD-03 Product Maintenance</t>
        </is>
      </c>
      <c r="C59" s="12" t="inlineStr">
        <is>
          <t>Integration detail</t>
        </is>
      </c>
      <c r="D59" s="12" t="inlineStr">
        <is>
          <t>Please confirm the e-mail channel BIBS uses to send quotation slips, comparative outputs and advisories to insurers and internal units (Centralized Communications Management or the M365 Exchange relay), and provide the sender mailbox and connection details.</t>
        </is>
      </c>
      <c r="E59" s="12" t="inlineStr">
        <is>
          <t>BRPM.012 and BRPM.016 require sending from the system with a record of each transmission (pp.22, 26). The drop plan lists CCM (e-mail sending) and M365 among the Drop 0 integrations owned by BDOI IT. If not provided: Insurer e-mails cannot be tested in SIT without the channel; manual sending would break the audit trail.</t>
        </is>
      </c>
      <c r="F59" s="12" t="inlineStr">
        <is>
          <t>Use CCM as the outbound channel with a dedicated BDOI sender mailbox; BIBS keeps the send log and the separate password e-mail.</t>
        </is>
      </c>
      <c r="G59" s="12" t="inlineStr">
        <is>
          <t>Drop 0 requirements and questions list v1.0 (8-Oct-2026), PM-Q46; BRD Product Maintenance p.22 (BRPM.012), p.26 (BRPM.016); FRS BRD-03 v2.0 D-PM-06, FR-PM-030, FR-PM-044; BDOI drop plan, Drop 0 integrations</t>
        </is>
      </c>
      <c r="H59" s="12" t="inlineStr">
        <is>
          <t>BDOI IT</t>
        </is>
      </c>
      <c r="I59" s="37" t="n">
        <v>46391</v>
      </c>
      <c r="J59" s="12" t="inlineStr">
        <is>
          <t>High</t>
        </is>
      </c>
      <c r="K59" s="38" t="inlineStr">
        <is>
          <t>Open</t>
        </is>
      </c>
      <c r="L59" s="12" t="n"/>
      <c r="M59" s="12" t="n"/>
    </row>
    <row r="60">
      <c r="A60" s="12" t="inlineStr">
        <is>
          <t>CLR-PM-01</t>
        </is>
      </c>
      <c r="B60" s="12" t="inlineStr">
        <is>
          <t>BRD-03 Product Maintenance</t>
        </is>
      </c>
      <c r="C60" s="12" t="inlineStr">
        <is>
          <t>Clarification</t>
        </is>
      </c>
      <c r="D60" s="12" t="inlineStr">
        <is>
          <t>Risk-code naming per line: State the naming convention of each line (PQ02, PM-Q49).</t>
        </is>
      </c>
      <c r="E60" s="12" t="inlineStr">
        <is>
          <t>The naming convention of each line is not in the BRD (PQ02).</t>
        </is>
      </c>
      <c r="F60" s="12" t="inlineStr">
        <is>
          <t>Each product line can carry a risk-code pattern. BIBS refuses a new risk code that does not follow the pattern of its line. Until BDOI states the conventions, no pattern is set and every well-formed code is accepted.</t>
        </is>
      </c>
      <c r="G60" s="12" t="inlineStr">
        <is>
          <t>FRS BRD-03 v2.1, Proposed business rules and clarifications; BRPM.003, PMADD01; FR-PM-010; also raised as PM-Q49 (Drop 0 list item), Q01 (open question), PQ02 (open question)</t>
        </is>
      </c>
      <c r="H60" s="12" t="inlineStr">
        <is>
          <t>Product Owner, Marketing Business System</t>
        </is>
      </c>
      <c r="I60" s="37" t="n">
        <v>46486</v>
      </c>
      <c r="J60" s="12" t="inlineStr">
        <is>
          <t>High</t>
        </is>
      </c>
      <c r="K60" s="38" t="inlineStr">
        <is>
          <t>Partly answered</t>
        </is>
      </c>
      <c r="L60" s="12" t="n"/>
      <c r="M60" s="12" t="n"/>
    </row>
    <row r="61">
      <c r="A61" s="12" t="inlineStr">
        <is>
          <t>PM-Q52</t>
        </is>
      </c>
      <c r="B61" s="12" t="inlineStr">
        <is>
          <t>BRD-03 Product Maintenance</t>
        </is>
      </c>
      <c r="C61" s="12" t="inlineStr">
        <is>
          <t>Configuration value</t>
        </is>
      </c>
      <c r="D61" s="12" t="inlineStr">
        <is>
          <t>Please provide the insurer panel (accreditation, placement e-mails, credit days), the insurer branches with their local government tax rate, and the commission rates by insurer and product in force at cut-over.</t>
        </is>
      </c>
      <c r="E61" s="12" t="inlineStr">
        <is>
          <t>Package versions, quotation slips and placement use the insurer panel; quotation slips are e-mailed to the placement addresses of each insurer (BRPM.012, p.22). If not provided: Trial migration 1 needs the insurer reference data on 09-Apr-2027.</t>
        </is>
      </c>
      <c r="F61" s="12" t="inlineStr">
        <is>
          <t>The Head of Operations completes template CI-05 from the QPS and EBIX insurer masters; MBS adds the commission per package; loaded by the data migration (objects R04, R07).</t>
        </is>
      </c>
      <c r="G61" s="12" t="inlineStr">
        <is>
          <t>Drop 0 requirements and questions list v1.0 (8-Oct-2026), PM-Q52; BRD Product Maintenance p.22 (BRPM.012); FRS BRD-03 v2.0 FR-PM-014; Configuration inputs CI-05; Cross-BRD contract IC-13; Drop 0 closure CFG-100, CFG-101</t>
        </is>
      </c>
      <c r="H61" s="12" t="inlineStr">
        <is>
          <t>Head, Operations; Product Owner, Marketing Business System</t>
        </is>
      </c>
      <c r="I61" s="37" t="n">
        <v>46486</v>
      </c>
      <c r="J61" s="12" t="inlineStr">
        <is>
          <t>High</t>
        </is>
      </c>
      <c r="K61" s="38" t="inlineStr">
        <is>
          <t>Open</t>
        </is>
      </c>
      <c r="L61" s="12" t="n"/>
      <c r="M61" s="12" t="n"/>
    </row>
    <row r="62">
      <c r="A62" s="12" t="inlineStr">
        <is>
          <t>CFG-090</t>
        </is>
      </c>
      <c r="B62" s="12" t="inlineStr">
        <is>
          <t>BRD-03 Product Maintenance</t>
        </is>
      </c>
      <c r="C62" s="12" t="inlineStr">
        <is>
          <t>Master data</t>
        </is>
      </c>
      <c r="D62" s="12" t="inlineStr">
        <is>
          <t>Product catalogue: Product lines, cover types and products (risk codes) with their features, prepared in BRD-03 template CI-01</t>
        </is>
      </c>
      <c r="E62" s="12" t="inlineStr">
        <is>
          <t>Needed for: Reference data for Trial migration 1 (M4) (Extracts for Trial migration 1; reference data and clients first).</t>
        </is>
      </c>
      <c r="F62" s="12" t="inlineStr">
        <is>
          <t>Fill in the template PM-01 of the Master Data and Configuration Upload Templates workbook.</t>
        </is>
      </c>
      <c r="G62" s="12" t="inlineStr">
        <is>
          <t>Drop 0 configuration register CFG-090 (Drop 0 Configuration Inputs v2.0, area Products and packages)</t>
        </is>
      </c>
      <c r="H62" s="12" t="inlineStr">
        <is>
          <t>Product Owner, Marketing Business System (MBS)</t>
        </is>
      </c>
      <c r="I62" s="37" t="n">
        <v>46486</v>
      </c>
      <c r="J62" s="12" t="inlineStr">
        <is>
          <t>High</t>
        </is>
      </c>
      <c r="K62" s="38" t="inlineStr">
        <is>
          <t>Open</t>
        </is>
      </c>
      <c r="L62" s="12" t="n"/>
      <c r="M62" s="12" t="n"/>
    </row>
    <row r="63">
      <c r="A63" s="12" t="inlineStr">
        <is>
          <t>CFG-095</t>
        </is>
      </c>
      <c r="B63" s="12" t="inlineStr">
        <is>
          <t>BRD-03 Product Maintenance</t>
        </is>
      </c>
      <c r="C63" s="12" t="inlineStr">
        <is>
          <t>Master data</t>
        </is>
      </c>
      <c r="D63" s="12" t="inlineStr">
        <is>
          <t>Package map (legacy package to BIBS package version): BRD-03 template CI-07, loaded as reference data for the package check of the Renewal sanitation</t>
        </is>
      </c>
      <c r="E63" s="12" t="inlineStr">
        <is>
          <t>Needed for: Code maps approved (M5) (Code maps approved for Trial migration 2, including the package code map).</t>
        </is>
      </c>
      <c r="F63" s="12" t="inlineStr">
        <is>
          <t>Fill in the templates R06 of the Master Data and Configuration Upload Templates workbook.</t>
        </is>
      </c>
      <c r="G63" s="12" t="inlineStr">
        <is>
          <t>Drop 0 configuration register CFG-095 (Drop 0 Configuration Inputs v2.0, area Products and packages)</t>
        </is>
      </c>
      <c r="H63" s="12" t="inlineStr">
        <is>
          <t>Product Owner, Marketing Business System (MBS)</t>
        </is>
      </c>
      <c r="I63" s="37" t="n">
        <v>46556</v>
      </c>
      <c r="J63" s="12" t="inlineStr">
        <is>
          <t>Medium</t>
        </is>
      </c>
      <c r="K63" s="38" t="inlineStr">
        <is>
          <t>Open</t>
        </is>
      </c>
      <c r="L63" s="12" t="n"/>
      <c r="M63" s="12" t="n"/>
    </row>
    <row r="64">
      <c r="A64" s="12" t="inlineStr">
        <is>
          <t>PM-Q42</t>
        </is>
      </c>
      <c r="B64" s="12" t="inlineStr">
        <is>
          <t>BRD-03 Product Maintenance</t>
        </is>
      </c>
      <c r="C64" s="12" t="inlineStr">
        <is>
          <t>Configuration value</t>
        </is>
      </c>
      <c r="D64" s="12" t="inlineStr">
        <is>
          <t>Please define CPC2 and the other incentive criteria to be maintained (type, value or rule, base, applicable products, segments, channels, insurers, effective dates), name the 'Incentive Maintenance user' and the approver, and say what happens to active criteria when a product expires or is retired.</t>
        </is>
      </c>
      <c r="E64" s="12" t="inlineStr">
        <is>
          <t>PMADD07 and PMADD08 ask for a facility to maintain incentive criteria '(i.e. CPC2)' on the maintained products matrix (pp.5-7) but define neither CPC2 nor the attributes or the user. The Accounting BRD describes CPC2 as a package Fire and Motor incentive computed per remittance; values are not given. If not provided: Incentive criteria cannot be configured or tested; Remittance and Commission cannot reference them.</t>
        </is>
      </c>
      <c r="F64" s="12" t="inlineStr">
        <is>
          <t>MBS maintains the criteria with the incentive-maintenance permission, the Business Administrator authorises them; criteria on an expired or retired product are flagged for review and never deleted; the incentive types list is completed from BDOI's answer (today Others and Migrated).</t>
        </is>
      </c>
      <c r="G64" s="12" t="inlineStr">
        <is>
          <t>Drop 0 requirements and questions list v1.0 (8-Oct-2026), PM-Q42; BRD Product Maintenance pp.5-7 (PMADD07, PMADD08); FRS BRD-03 v2.0 FR-PM-080, FR-PM-081 (PQ04, Q33); Configuration inputs CI-10; Discrepancy register DCR-037; also raised as PQ04 (open question), DCR-037 (register item)</t>
        </is>
      </c>
      <c r="H64" s="12" t="inlineStr">
        <is>
          <t>Head, Comptrollership; Product Owner, Marketing Business System</t>
        </is>
      </c>
      <c r="I64" s="37" t="n">
        <v>46584</v>
      </c>
      <c r="J64" s="12" t="inlineStr">
        <is>
          <t>High</t>
        </is>
      </c>
      <c r="K64" s="38" t="inlineStr">
        <is>
          <t>Partly answered</t>
        </is>
      </c>
      <c r="L64" s="12" t="n"/>
      <c r="M64" s="12" t="inlineStr">
        <is>
          <t>Answer so far: CPC2 = package Fire / Motor incentive on top of commission, computed per remittance. Values open. (BRD-5 DIS 3.29.2; BRD-4 draft 062). Also affects BRD-02, BRD-04, BRD-05.</t>
        </is>
      </c>
    </row>
    <row r="65">
      <c r="A65" s="12" t="inlineStr">
        <is>
          <t>PM-Q50</t>
        </is>
      </c>
      <c r="B65" s="12" t="inlineStr">
        <is>
          <t>BRD-03 Product Maintenance</t>
        </is>
      </c>
      <c r="C65" s="12" t="inlineStr">
        <is>
          <t>Configuration value</t>
        </is>
      </c>
      <c r="D65" s="12" t="inlineStr">
        <is>
          <t>Please provide the mandatory and product-specific fields per product line or cover type, with their validation rules, and the documents each product needs on an account.</t>
        </is>
      </c>
      <c r="E65" s="12" t="inlineStr">
        <is>
          <t>BRPM.003 and BRPM.004 ask to capture and validate 'all mandatory, critical and product-specific fields' with rules 'based on product type' (p.16) without listing them; New Business question Q02 asks the same for the Annex II lines. If not provided: Account capture in New Business and the product field rules cannot be configured for UAT.</t>
        </is>
      </c>
      <c r="F65" s="12" t="inlineStr">
        <is>
          <t>MBS completes template CI-02 (coverages, field rules, document rules); BIBS supports presence, list, range and format checks per line or product.</t>
        </is>
      </c>
      <c r="G65" s="12" t="inlineStr">
        <is>
          <t>Drop 0 requirements and questions list v1.0 (8-Oct-2026), PM-Q50; BRD Product Maintenance p.16 (BRPM.003, BRPM.004); FRS BRD-03 v2.0 FR-PM-012 (Q02); Configuration inputs CI-02; Drop 0 closure CFG-091; also raised as Q02 (open question)</t>
        </is>
      </c>
      <c r="H65" s="12" t="inlineStr">
        <is>
          <t>Product Owner, Marketing Business System; Head, Technical Support Unit</t>
        </is>
      </c>
      <c r="I65" s="37" t="n">
        <v>46584</v>
      </c>
      <c r="J65" s="12" t="inlineStr">
        <is>
          <t>High</t>
        </is>
      </c>
      <c r="K65" s="38" t="inlineStr">
        <is>
          <t>Open</t>
        </is>
      </c>
      <c r="L65" s="12" t="n"/>
      <c r="M65" s="12" t="n"/>
    </row>
    <row r="66">
      <c r="A66" s="12" t="inlineStr">
        <is>
          <t>PM-Q53</t>
        </is>
      </c>
      <c r="B66" s="12" t="inlineStr">
        <is>
          <t>BRD-03 Product Maintenance</t>
        </is>
      </c>
      <c r="C66" s="12" t="inlineStr">
        <is>
          <t>Configuration value</t>
        </is>
      </c>
      <c r="D66" s="12" t="inlineStr">
        <is>
          <t>Please provide the statutory charges and rating tables (documentary stamp tax, premium tax, VAT, fire service tax, local government tax, motor factors, short-period table, motor bodily injury and property damage limit premiums), and confirm for Fire which taxes apply on which base and, for Motor, when the own-damage base is 81% or 90% of the sum insured.</t>
        </is>
      </c>
      <c r="E66" s="12" t="inlineStr">
        <is>
          <t>The rate scheme of BRPM.007 sits on top of statutory charges. The New Business BRD Appendix A gives premium tax as '12% of the Net Premium' for Fire (12% is the VAT rate) and two own-damage bases (81% and 90% of TSI) for Motor without saying when each applies. If not provided: Premiums on quotations and invoices would be wrong; expected values of the test cases cannot be set.</t>
        </is>
      </c>
      <c r="F66" s="12" t="inlineStr">
        <is>
          <t>Comptrollership confirms the taxes and bases in template CI-04; tax rates are seeded only after that confirmation; the own-damage base is a parameter per product and policy year until confirmed.</t>
        </is>
      </c>
      <c r="G66" s="12" t="inlineStr">
        <is>
          <t>Drop 0 requirements and questions list v1.0 (8-Oct-2026), PM-Q53; BRD Product Maintenance pp.17-18 (BRPM.007); FRS BRD-03 v2.0 FR-PM-051 R5 (PQ10); Configuration inputs CI-04; Discrepancy register DCR-005, DCR-006 (Q43)</t>
        </is>
      </c>
      <c r="H66" s="12" t="inlineStr">
        <is>
          <t>Head, Comptrollership; Product Owner, Marketing Business System</t>
        </is>
      </c>
      <c r="I66" s="37" t="n">
        <v>46584</v>
      </c>
      <c r="J66" s="12" t="inlineStr">
        <is>
          <t>High</t>
        </is>
      </c>
      <c r="K66" s="38" t="inlineStr">
        <is>
          <t>Open</t>
        </is>
      </c>
      <c r="L66" s="12" t="n"/>
      <c r="M66" s="12" t="n"/>
    </row>
    <row r="67">
      <c r="A67" s="12" t="inlineStr">
        <is>
          <t>TD-03</t>
        </is>
      </c>
      <c r="B67" s="12" t="inlineStr">
        <is>
          <t>BRD-03 Product Maintenance</t>
        </is>
      </c>
      <c r="C67" s="12" t="inlineStr">
        <is>
          <t>Test data</t>
        </is>
      </c>
      <c r="D67" s="12" t="inlineStr">
        <is>
          <t>Name the UAT testers of BRD-03 Product Maintenance (at least two per business unit, with their user IDs and group profiles) and provide the business data of the UAT scenarios: the clients, policies, insurers and amounts each scenario of the test plan uses, from the migrated data of Trial migration 3 or as additional cases.</t>
        </is>
      </c>
      <c r="E67" s="12" t="inlineStr">
        <is>
          <t>UAT of Drop 0 runs on migrated data and the production values; testers without access or scenarios without data stop the UAT.</t>
        </is>
      </c>
      <c r="F67" s="12" t="inlineStr">
        <is>
          <t>The test plan (04 workbook of the set) names the scenarios; the BDOI testers choose the cases from the migrated data and add the cases the legacy data does not hold.</t>
        </is>
      </c>
      <c r="G67" s="12" t="inlineStr">
        <is>
          <t>Project plan: dependency DEP-20 (UAT testers), milestone MS-20 (UAT plans, values for UAT and testers, 16-Jul-2027)</t>
        </is>
      </c>
      <c r="H67" s="12" t="inlineStr">
        <is>
          <t>Product Owner, Marketing Business System (MBS) (UAT testers of the business units)</t>
        </is>
      </c>
      <c r="I67" s="37" t="n">
        <v>46584</v>
      </c>
      <c r="J67" s="12" t="inlineStr">
        <is>
          <t>High</t>
        </is>
      </c>
      <c r="K67" s="38" t="inlineStr">
        <is>
          <t>Open</t>
        </is>
      </c>
      <c r="L67" s="12" t="n"/>
      <c r="M67" s="12" t="n"/>
    </row>
    <row r="68">
      <c r="A68" s="12" t="inlineStr">
        <is>
          <t>CLR-PM-06</t>
        </is>
      </c>
      <c r="B68" s="12" t="inlineStr">
        <is>
          <t>BRD-03 Product Maintenance</t>
        </is>
      </c>
      <c r="C68" s="12" t="inlineStr">
        <is>
          <t>Business rule confirmation</t>
        </is>
      </c>
      <c r="D68" s="12" t="inlineStr">
        <is>
          <t>Advisories: Name the recipient units and confirm the channel (PQ12, PM-Q29).</t>
        </is>
      </c>
      <c r="E68" s="12" t="inlineStr">
        <is>
          <t>The recipients and the channel are not in the BRD (PQ12).</t>
        </is>
      </c>
      <c r="F68" s="12" t="inlineStr">
        <is>
          <t>Each advisory is an in-app notice to the users of each recipient group, chosen by permission; the protected PDF is also e-mailed when addresses are entered.</t>
        </is>
      </c>
      <c r="G68" s="12" t="inlineStr">
        <is>
          <t>FRS BRD-03 v2.1, Proposed business rules and clarifications; BRPM.016; FR-PM-044; also raised as PM-Q29 (Drop 0 list item), PQ12 (open question)</t>
        </is>
      </c>
      <c r="H68" s="12" t="inlineStr">
        <is>
          <t>Product Owner, Marketing Business System; Head, Technical Support Unit</t>
        </is>
      </c>
      <c r="I68" s="37" t="n">
        <v>46584</v>
      </c>
      <c r="J68" s="12" t="inlineStr">
        <is>
          <t>Medium</t>
        </is>
      </c>
      <c r="K68" s="38" t="inlineStr">
        <is>
          <t>Open</t>
        </is>
      </c>
      <c r="L68" s="12" t="n"/>
      <c r="M68" s="12" t="n"/>
    </row>
    <row r="69">
      <c r="A69" s="12" t="inlineStr">
        <is>
          <t>PM-Q17</t>
        </is>
      </c>
      <c r="B69" s="12" t="inlineStr">
        <is>
          <t>BRD-03 Product Maintenance</t>
        </is>
      </c>
      <c r="C69" s="12" t="inlineStr">
        <is>
          <t>Configuration value</t>
        </is>
      </c>
      <c r="D69" s="12" t="inlineStr">
        <is>
          <t>Please give the turnaround time of each stage of a package request (Marketing approval, TSU review, TSU approval, negotiation, ManCom sign-off, MBS set-up, validation), the insurer reply time for a quotation slip, and the timeframes for advisories and reports.</t>
        </is>
      </c>
      <c r="E69" s="12" t="inlineStr">
        <is>
          <t>The BRD refers to an 'agreed turn-around-time' (BRPM.012, p.22; BRPM.013, p.23), a 'defined SLA' (BRPM.018, p.29; BRPM.021, p.30) and a 'required timeframe' for advisories (BRPM.016, p.27) without values. If not provided: Overdue indicators, SLA alerts and the home page tiles would run on unconfirmed values.</t>
        </is>
      </c>
      <c r="F69" s="12" t="inlineStr">
        <is>
          <t>Use the configurable defaults: 24 hours for each approval stage, 120 hours for negotiation, 72 hours for ManCom, 48 hours for MBS set-up, requirements and Marketing review, 24 hours for validation; insurer reply within 5 days. BDOI can change them as parameters without a change request.</t>
        </is>
      </c>
      <c r="G69" s="12" t="inlineStr">
        <is>
          <t>Drop 0 requirements and questions list v1.0 (8-Oct-2026), PM-Q17; BRD Product Maintenance pp.22-31; FRS BRD-03 v2.0 sections 5.1, 5.4, 9.1 (PQ08)</t>
        </is>
      </c>
      <c r="H69" s="12" t="inlineStr">
        <is>
          <t>Head, Technical Support Unit; Product Owner, Marketing Business System</t>
        </is>
      </c>
      <c r="I69" s="37" t="n">
        <v>46584</v>
      </c>
      <c r="J69" s="12" t="inlineStr">
        <is>
          <t>Medium</t>
        </is>
      </c>
      <c r="K69" s="38" t="inlineStr">
        <is>
          <t>Open</t>
        </is>
      </c>
      <c r="L69" s="12" t="n"/>
      <c r="M69" s="12" t="n"/>
    </row>
    <row r="70">
      <c r="A70" s="12" t="inlineStr">
        <is>
          <t>PM-Q21</t>
        </is>
      </c>
      <c r="B70" s="12" t="inlineStr">
        <is>
          <t>BRD-03 Product Maintenance</t>
        </is>
      </c>
      <c r="C70" s="12" t="inlineStr">
        <is>
          <t>Configuration value</t>
        </is>
      </c>
      <c r="D70" s="12" t="inlineStr">
        <is>
          <t>Please give the full list of insurer response outcomes, the maximum number of negotiation rounds (if any), and whether the outcome states and revision rounds also apply to non-package placement requests in New Business.</t>
        </is>
      </c>
      <c r="E70" s="12" t="inlineStr">
        <is>
          <t>PMADD04 asks for exception states such as 'Approved w/ Changes, Declined, etc.' and revision loops (p.5) without the full list or a limit. If not provided: The outcome list drives the comparative tables, the 'terms final' check and the not-proceeded path.</t>
        </is>
      </c>
      <c r="F70" s="12" t="inlineStr">
        <is>
          <t>Outcomes: Pending, Accepted as requested, Approved with changes, Counter-proposal, Declined, No response; no maximum number of rounds; the rule applies to package requests only, New Business keeps its own placement outcomes.</t>
        </is>
      </c>
      <c r="G70" s="12" t="inlineStr">
        <is>
          <t>Drop 0 requirements and questions list v1.0 (8-Oct-2026), PM-Q21; BRD Product Maintenance p.5 (PMADD04), p.20 (BRPM.010), p.23 (BRPM.013); FRS BRD-03 v2.0 FR-PM-031, FR-PM-032 (PQ05); also raised as PQ05 (open question)</t>
        </is>
      </c>
      <c r="H70" s="12" t="inlineStr">
        <is>
          <t>Head, Technical Support Unit</t>
        </is>
      </c>
      <c r="I70" s="37" t="n">
        <v>46584</v>
      </c>
      <c r="J70" s="12" t="inlineStr">
        <is>
          <t>Medium</t>
        </is>
      </c>
      <c r="K70" s="38" t="inlineStr">
        <is>
          <t>Open</t>
        </is>
      </c>
      <c r="L70" s="12" t="n"/>
      <c r="M70" s="12" t="n"/>
    </row>
    <row r="71">
      <c r="A71" s="12" t="inlineStr">
        <is>
          <t>PM-Q38</t>
        </is>
      </c>
      <c r="B71" s="12" t="inlineStr">
        <is>
          <t>BRD-03 Product Maintenance</t>
        </is>
      </c>
      <c r="C71" s="12" t="inlineStr">
        <is>
          <t>Configuration value</t>
        </is>
      </c>
      <c r="D71" s="12" t="inlineStr">
        <is>
          <t>What are the 'expiry' and 'anniversary' dates of a package (the term of the insurer agreement?), and how many days before them should the first alert and the reminders be raised.</t>
        </is>
      </c>
      <c r="E71" s="12" t="inlineStr">
        <is>
          <t>BRPM.017 asks TSU to monitor 'the expiry or anniversary date of each insurance package' (p.27) without defining them or a notice period. If not provided: Expiry monitoring and the Package Expiry report run on unconfirmed values.</t>
        </is>
      </c>
      <c r="F71" s="12" t="inlineStr">
        <is>
          <t>Package end date = end of the agreed term with the insurers; anniversary date optional; first alert 60 days before, reminders at 30 and 7 days (parameters).</t>
        </is>
      </c>
      <c r="G71" s="12" t="inlineStr">
        <is>
          <t>Drop 0 requirements and questions list v1.0 (8-Oct-2026), PM-Q38; BRD Product Maintenance pp.27-28 (BRPM.017); FRS BRD-03 v2.0 FR-PM-060, section 9.1 (PQ11)</t>
        </is>
      </c>
      <c r="H71" s="12" t="inlineStr">
        <is>
          <t>Head, Technical Support Unit</t>
        </is>
      </c>
      <c r="I71" s="37" t="n">
        <v>46584</v>
      </c>
      <c r="J71" s="12" t="inlineStr">
        <is>
          <t>Medium</t>
        </is>
      </c>
      <c r="K71" s="38" t="inlineStr">
        <is>
          <t>Open</t>
        </is>
      </c>
      <c r="L71" s="12" t="n"/>
      <c r="M71" s="12" t="n"/>
    </row>
    <row r="72">
      <c r="A72" s="12" t="inlineStr">
        <is>
          <t>PM-Q51</t>
        </is>
      </c>
      <c r="B72" s="12" t="inlineStr">
        <is>
          <t>BRD-03 Product Maintenance</t>
        </is>
      </c>
      <c r="C72" s="12" t="inlineStr">
        <is>
          <t>Configuration value</t>
        </is>
      </c>
      <c r="D72" s="12" t="inlineStr">
        <is>
          <t>Please provide the clause library: the warranties, clauses, exclusions and deductible wordings used in the insurer terms of packages, with their effective dates.</t>
        </is>
      </c>
      <c r="E72" s="12" t="inlineStr">
        <is>
          <t>PMADD02 requires insurer-specific coverage, deductible and warranty mappings (p.4); the wordings are held once and referred to by code. If not provided: Package versions cannot carry insurer terms with clauses for UAT.</t>
        </is>
      </c>
      <c r="F72" s="12" t="inlineStr">
        <is>
          <t>TSU supplies the wordings from the current package slips in template CI-03; MBS enters them, a second user authorises them.</t>
        </is>
      </c>
      <c r="G72" s="12" t="inlineStr">
        <is>
          <t>Drop 0 requirements and questions list v1.0 (8-Oct-2026), PM-Q51; BRD Product Maintenance p.4 (PMADD02); FRS BRD-03 v2.0 FR-PM-011; Configuration inputs CI-03; Drop 0 closure CFG-092</t>
        </is>
      </c>
      <c r="H72" s="12" t="inlineStr">
        <is>
          <t>Head, Technical Support Unit</t>
        </is>
      </c>
      <c r="I72" s="37" t="n">
        <v>46584</v>
      </c>
      <c r="J72" s="12" t="inlineStr">
        <is>
          <t>Medium</t>
        </is>
      </c>
      <c r="K72" s="38" t="inlineStr">
        <is>
          <t>Open</t>
        </is>
      </c>
      <c r="L72" s="12" t="n"/>
      <c r="M72" s="12" t="n"/>
    </row>
    <row r="73">
      <c r="A73" s="12" t="inlineStr">
        <is>
          <t>PM-Q54</t>
        </is>
      </c>
      <c r="B73" s="12" t="inlineStr">
        <is>
          <t>BRD-03 Product Maintenance</t>
        </is>
      </c>
      <c r="C73" s="12" t="inlineStr">
        <is>
          <t>Configuration value</t>
        </is>
      </c>
      <c r="D73" s="12" t="inlineStr">
        <is>
          <t>Please confirm or change the delivered values of the Product Maintenance lists (request reasons, response outcomes, advisory groups, not-proceeded reasons, coverage and clause kinds, document types, market segments) and parameters (numbering prefixes, insurer reply days, expiry notice and reminders, service level hours).</t>
        </is>
      </c>
      <c r="E73" s="12" t="inlineStr">
        <is>
          <t>The BRD does not give list values. The FRS delivers defaults (sections 9.1 and 9.2) that BDOI confirms. If not provided: UAT would run on unconfirmed list values and parameters.</t>
        </is>
      </c>
      <c r="F73" s="12" t="inlineStr">
        <is>
          <t>Keep the delivered values; BDOI changes them in template CI-09 before UAT; the System Administrator enters them.</t>
        </is>
      </c>
      <c r="G73" s="12" t="inlineStr">
        <is>
          <t>Drop 0 requirements and questions list v1.0 (8-Oct-2026), PM-Q54; FRS BRD-03 v2.0 sections 9.1, 9.2; Configuration inputs CI-09; Drop 0 closure CFG-097</t>
        </is>
      </c>
      <c r="H73" s="12" t="inlineStr">
        <is>
          <t>Product Owner, Marketing Business System; System Administrator</t>
        </is>
      </c>
      <c r="I73" s="37" t="n">
        <v>46584</v>
      </c>
      <c r="J73" s="12" t="inlineStr">
        <is>
          <t>Medium</t>
        </is>
      </c>
      <c r="K73" s="38" t="inlineStr">
        <is>
          <t>Open</t>
        </is>
      </c>
      <c r="L73" s="12" t="n"/>
      <c r="M73" s="12" t="n"/>
    </row>
    <row r="74">
      <c r="A74" s="12" t="inlineStr">
        <is>
          <t>CFG-091</t>
        </is>
      </c>
      <c r="B74" s="12" t="inlineStr">
        <is>
          <t>BRD-03 Product Maintenance</t>
        </is>
      </c>
      <c r="C74" s="12" t="inlineStr">
        <is>
          <t>Master data</t>
        </is>
      </c>
      <c r="D74" s="12" t="inlineStr">
        <is>
          <t>Coverages, perils and field rules: BRD-03 template CI-02</t>
        </is>
      </c>
      <c r="E74" s="12" t="inlineStr">
        <is>
          <t>Needed for: Values for UAT (UAT plans and sign-off forms due 16-Jul-2027; UAT Aug - Dec 2027 runs on the production values).</t>
        </is>
      </c>
      <c r="F74" s="12" t="inlineStr">
        <is>
          <t>Fill in the template PM-02 of the Master Data and Configuration Upload Templates workbook.</t>
        </is>
      </c>
      <c r="G74" s="12" t="inlineStr">
        <is>
          <t>Drop 0 configuration register CFG-091 (Drop 0 Configuration Inputs v2.0, area Products and packages)</t>
        </is>
      </c>
      <c r="H74" s="12" t="inlineStr">
        <is>
          <t>MBS</t>
        </is>
      </c>
      <c r="I74" s="37" t="n">
        <v>46584</v>
      </c>
      <c r="J74" s="12" t="inlineStr">
        <is>
          <t>Medium</t>
        </is>
      </c>
      <c r="K74" s="38" t="inlineStr">
        <is>
          <t>Open</t>
        </is>
      </c>
      <c r="L74" s="12" t="n"/>
      <c r="M74" s="12" t="n"/>
    </row>
    <row r="75">
      <c r="A75" s="12" t="inlineStr">
        <is>
          <t>CFG-092</t>
        </is>
      </c>
      <c r="B75" s="12" t="inlineStr">
        <is>
          <t>BRD-03 Product Maintenance</t>
        </is>
      </c>
      <c r="C75" s="12" t="inlineStr">
        <is>
          <t>Master data</t>
        </is>
      </c>
      <c r="D75" s="12" t="inlineStr">
        <is>
          <t>Clause library: BRD-03 template CI-03</t>
        </is>
      </c>
      <c r="E75" s="12" t="inlineStr">
        <is>
          <t>Needed for: Values for UAT (UAT plans and sign-off forms due 16-Jul-2027; UAT Aug - Dec 2027 runs on the production values).</t>
        </is>
      </c>
      <c r="F75" s="12" t="inlineStr">
        <is>
          <t>Fill in the template PM-03 of the Master Data and Configuration Upload Templates workbook.</t>
        </is>
      </c>
      <c r="G75" s="12" t="inlineStr">
        <is>
          <t>Drop 0 configuration register CFG-092 (Drop 0 Configuration Inputs v2.0, area Products and packages)</t>
        </is>
      </c>
      <c r="H75" s="12" t="inlineStr">
        <is>
          <t>TSU (wordings); MBS (maintenance)</t>
        </is>
      </c>
      <c r="I75" s="37" t="n">
        <v>46584</v>
      </c>
      <c r="J75" s="12" t="inlineStr">
        <is>
          <t>Medium</t>
        </is>
      </c>
      <c r="K75" s="38" t="inlineStr">
        <is>
          <t>Open</t>
        </is>
      </c>
      <c r="L75" s="12" t="n"/>
      <c r="M75" s="12" t="n"/>
    </row>
    <row r="76">
      <c r="A76" s="12" t="inlineStr">
        <is>
          <t>CFG-093</t>
        </is>
      </c>
      <c r="B76" s="12" t="inlineStr">
        <is>
          <t>BRD-03 Product Maintenance</t>
        </is>
      </c>
      <c r="C76" s="12" t="inlineStr">
        <is>
          <t>Master data</t>
        </is>
      </c>
      <c r="D76" s="12" t="inlineStr">
        <is>
          <t>Rate tables: BRD-03 template CI-04</t>
        </is>
      </c>
      <c r="E76" s="12" t="inlineStr">
        <is>
          <t>Needed for: Values for UAT (UAT plans and sign-off forms due 16-Jul-2027; UAT Aug - Dec 2027 runs on the production values).</t>
        </is>
      </c>
      <c r="F76" s="12" t="inlineStr">
        <is>
          <t>Fill in the template PM-04 of the Master Data and Configuration Upload Templates workbook.</t>
        </is>
      </c>
      <c r="G76" s="12" t="inlineStr">
        <is>
          <t>Drop 0 configuration register CFG-093 (Drop 0 Configuration Inputs v2.0, area Products and packages)</t>
        </is>
      </c>
      <c r="H76" s="12" t="inlineStr">
        <is>
          <t>Product Owner, MBS; Comptrollership (taxes)</t>
        </is>
      </c>
      <c r="I76" s="37" t="n">
        <v>46584</v>
      </c>
      <c r="J76" s="12" t="inlineStr">
        <is>
          <t>Medium</t>
        </is>
      </c>
      <c r="K76" s="38" t="inlineStr">
        <is>
          <t>Open</t>
        </is>
      </c>
      <c r="L76" s="12" t="n"/>
      <c r="M76" s="12" t="n"/>
    </row>
    <row r="77">
      <c r="A77" s="12" t="inlineStr">
        <is>
          <t>CFG-096</t>
        </is>
      </c>
      <c r="B77" s="12" t="inlineStr">
        <is>
          <t>BRD-03 Product Maintenance</t>
        </is>
      </c>
      <c r="C77" s="12" t="inlineStr">
        <is>
          <t>Master data</t>
        </is>
      </c>
      <c r="D77" s="12" t="inlineStr">
        <is>
          <t>Incentive criteria: BRD-03 template CI-10</t>
        </is>
      </c>
      <c r="E77" s="12" t="inlineStr">
        <is>
          <t>Needed for: Values for UAT (UAT plans and sign-off forms due 16-Jul-2027; UAT Aug - Dec 2027 runs on the production values).</t>
        </is>
      </c>
      <c r="F77" s="12" t="inlineStr">
        <is>
          <t>Fill in the template PM-10 of the Master Data and Configuration Upload Templates workbook.</t>
        </is>
      </c>
      <c r="G77" s="12" t="inlineStr">
        <is>
          <t>Drop 0 configuration register CFG-096 (Drop 0 Configuration Inputs v2.0, area Products and packages)</t>
        </is>
      </c>
      <c r="H77" s="12" t="inlineStr">
        <is>
          <t>Incentive Maintenance user (MBS); Comptrollership (CPC2 definition, PQ04)</t>
        </is>
      </c>
      <c r="I77" s="37" t="n">
        <v>46584</v>
      </c>
      <c r="J77" s="12" t="inlineStr">
        <is>
          <t>Medium</t>
        </is>
      </c>
      <c r="K77" s="38" t="inlineStr">
        <is>
          <t>Open</t>
        </is>
      </c>
      <c r="L77" s="12" t="n"/>
      <c r="M77" s="12" t="n"/>
    </row>
    <row r="78">
      <c r="A78" s="12" t="inlineStr">
        <is>
          <t>CFG-097</t>
        </is>
      </c>
      <c r="B78" s="12" t="inlineStr">
        <is>
          <t>BRD-03 Product Maintenance</t>
        </is>
      </c>
      <c r="C78" s="12" t="inlineStr">
        <is>
          <t>Master data</t>
        </is>
      </c>
      <c r="D78" s="12" t="inlineStr">
        <is>
          <t>Lists and parameters of Product Maintenance: BRD-03 template CI-09 (the lists and parameters it names are listed with this route on the sheets Ref Lists of values and Ref System parameters)</t>
        </is>
      </c>
      <c r="E78" s="12" t="inlineStr">
        <is>
          <t>Needed for: Values for UAT (UAT plans and sign-off forms due 16-Jul-2027; UAT Aug - Dec 2027 runs on the production values).</t>
        </is>
      </c>
      <c r="F78" s="12" t="inlineStr">
        <is>
          <t>Fill in the template PM-09 of the Master Data and Configuration Upload Templates workbook.</t>
        </is>
      </c>
      <c r="G78" s="12" t="inlineStr">
        <is>
          <t>Drop 0 configuration register CFG-097 (Drop 0 Configuration Inputs v2.0, area Products and packages)</t>
        </is>
      </c>
      <c r="H78" s="12" t="inlineStr">
        <is>
          <t>Product Owner, MBS; System Administrator (entry)</t>
        </is>
      </c>
      <c r="I78" s="37" t="n">
        <v>46584</v>
      </c>
      <c r="J78" s="12" t="inlineStr">
        <is>
          <t>Medium</t>
        </is>
      </c>
      <c r="K78" s="38" t="inlineStr">
        <is>
          <t>Open</t>
        </is>
      </c>
      <c r="L78" s="12" t="n"/>
      <c r="M78" s="12" t="n"/>
    </row>
    <row r="79">
      <c r="A79" s="12" t="inlineStr">
        <is>
          <t>CFG-098</t>
        </is>
      </c>
      <c r="B79" s="12" t="inlineStr">
        <is>
          <t>BRD-03 Product Maintenance</t>
        </is>
      </c>
      <c r="C79" s="12" t="inlineStr">
        <is>
          <t>Sample document or template</t>
        </is>
      </c>
      <c r="D79" s="12" t="inlineStr">
        <is>
          <t>Package document templates: BRD-03 template CI-08: the texts of the package documents</t>
        </is>
      </c>
      <c r="E79" s="12" t="inlineStr">
        <is>
          <t>Needed for: Values for UAT (UAT plans and sign-off forms due 16-Jul-2027; UAT Aug - Dec 2027 runs on the production values).</t>
        </is>
      </c>
      <c r="F79" s="12" t="inlineStr">
        <is>
          <t>Fill in the template PM-08 of the Master Data and Configuration Upload Templates workbook.</t>
        </is>
      </c>
      <c r="G79" s="12" t="inlineStr">
        <is>
          <t>Drop 0 configuration register CFG-098 (Drop 0 Configuration Inputs v2.0, area Products and packages)</t>
        </is>
      </c>
      <c r="H79" s="12" t="inlineStr">
        <is>
          <t>TSU and MBS (texts); Business Administrator (maintenance)</t>
        </is>
      </c>
      <c r="I79" s="37" t="n">
        <v>46584</v>
      </c>
      <c r="J79" s="12" t="inlineStr">
        <is>
          <t>Medium</t>
        </is>
      </c>
      <c r="K79" s="38" t="inlineStr">
        <is>
          <t>Open</t>
        </is>
      </c>
      <c r="L79" s="12" t="n"/>
      <c r="M79" s="12" t="n"/>
    </row>
    <row r="80">
      <c r="A80" s="12" t="inlineStr">
        <is>
          <t>DOC-07</t>
        </is>
      </c>
      <c r="B80" s="12" t="inlineStr">
        <is>
          <t>BRD-03 Product Maintenance</t>
        </is>
      </c>
      <c r="C80" s="12" t="inlineStr">
        <is>
          <t>Sample document or template</t>
        </is>
      </c>
      <c r="D80" s="12" t="inlineStr">
        <is>
          <t>Documents of Product Maintenance: give the BDOI layout, logo placement and wording of the 6 documents BIBS generates (Package advisory; Package comparative table; Package quotation slip; Package renewal advisory; Package request form; Package slip), as a filled-in sample of each.</t>
        </is>
      </c>
      <c r="E80" s="12" t="inlineStr">
        <is>
          <t>BIBS generates each document from its template; without the BDOI layout the documents keep the proposed layout in SIT and UAT.</t>
        </is>
      </c>
      <c r="F80" s="12" t="inlineStr">
        <is>
          <t>The proposed layouts are reviewed on the Document Templates screen; BDOI marks the changes on a printout or sends its current form.</t>
        </is>
      </c>
      <c r="G80" s="12" t="inlineStr">
        <is>
          <t>Document templates of the platform (Drop 0 Configuration Inputs, Ref Document templates); configuration register CFG-082</t>
        </is>
      </c>
      <c r="H80" s="12" t="inlineStr">
        <is>
          <t>Product Owner, Marketing Business System (MBS)</t>
        </is>
      </c>
      <c r="I80" s="37" t="n">
        <v>46584</v>
      </c>
      <c r="J80" s="12" t="inlineStr">
        <is>
          <t>Medium</t>
        </is>
      </c>
      <c r="K80" s="38" t="inlineStr">
        <is>
          <t>Open</t>
        </is>
      </c>
      <c r="L80" s="12" t="n"/>
      <c r="M80" s="12" t="inlineStr">
        <is>
          <t>Review sheet Document templates of the Master Data and Configuration Upload Templates workbook.</t>
        </is>
      </c>
    </row>
    <row r="81">
      <c r="A81" s="12" t="inlineStr">
        <is>
          <t>PM-Q56</t>
        </is>
      </c>
      <c r="B81" s="12" t="inlineStr">
        <is>
          <t>BRD-03 Product Maintenance</t>
        </is>
      </c>
      <c r="C81" s="12" t="inlineStr">
        <is>
          <t>Configuration value</t>
        </is>
      </c>
      <c r="D81" s="12" t="inlineStr">
        <is>
          <t>Please provide, for every package sold at go-live, its terms as they will be set up in BIBS (rate scheme, dates, coverages, panel insurers and their terms, signed slip and ManCom reference).</t>
        </is>
      </c>
      <c r="E81" s="12" t="inlineStr">
        <is>
          <t>Packages are not migrated; TSU raises a package request per package and MBS sets up and validates the version before the map freeze (see the decision on packages in force). If not provided: Without every package in BIBS before the map freeze (27-Dec-2027), New Business and Renewal cannot price on BIBS packages at go-live.</t>
        </is>
      </c>
      <c r="F81" s="12" t="inlineStr">
        <is>
          <t>TSU prepares template CI-06 from the signed package slips and ManCom sign-offs in force; the Product Owner approves it.</t>
        </is>
      </c>
      <c r="G81" s="12" t="inlineStr">
        <is>
          <t>Drop 0 requirements and questions list v1.0 (8-Oct-2026), PM-Q56; FRS BRD-03 v2.0 chapter 19; Configuration inputs CI-06; Drop 0 closure CFG-094</t>
        </is>
      </c>
      <c r="H81" s="12" t="inlineStr">
        <is>
          <t>Head, Technical Support Unit; Product Owner, Marketing Business System</t>
        </is>
      </c>
      <c r="I81" s="37" t="n">
        <v>46692</v>
      </c>
      <c r="J81" s="12" t="inlineStr">
        <is>
          <t>High</t>
        </is>
      </c>
      <c r="K81" s="38" t="inlineStr">
        <is>
          <t>Open</t>
        </is>
      </c>
      <c r="L81" s="12" t="n"/>
      <c r="M81" s="12" t="n"/>
    </row>
    <row r="82">
      <c r="A82" s="12" t="inlineStr">
        <is>
          <t>CFG-094</t>
        </is>
      </c>
      <c r="B82" s="12" t="inlineStr">
        <is>
          <t>BRD-03 Product Maintenance</t>
        </is>
      </c>
      <c r="C82" s="12" t="inlineStr">
        <is>
          <t>Master data</t>
        </is>
      </c>
      <c r="D82" s="12" t="inlineStr">
        <is>
          <t>Packages in force at go-live: BRD-03 template CI-06: one package request per package, set up and validated before the map freeze</t>
        </is>
      </c>
      <c r="E82" s="12" t="inlineStr">
        <is>
          <t>Needed for: Production values before the dress rehearsal (Dress rehearsal in November 2027; the values loaded for it are the go-live values).</t>
        </is>
      </c>
      <c r="F82" s="12" t="inlineStr">
        <is>
          <t>Fill in the template PM-06 of the Master Data and Configuration Upload Templates workbook.</t>
        </is>
      </c>
      <c r="G82" s="12" t="inlineStr">
        <is>
          <t>Drop 0 configuration register CFG-094 (Drop 0 Configuration Inputs v2.0, area Products and packages)</t>
        </is>
      </c>
      <c r="H82" s="12" t="inlineStr">
        <is>
          <t>TSU (prepares); Product Owner, MBS (approves)</t>
        </is>
      </c>
      <c r="I82" s="37" t="n">
        <v>46692</v>
      </c>
      <c r="J82" s="12" t="inlineStr">
        <is>
          <t>Medium</t>
        </is>
      </c>
      <c r="K82" s="38" t="inlineStr">
        <is>
          <t>Open</t>
        </is>
      </c>
      <c r="L82" s="12" t="n"/>
      <c r="M82" s="12" t="n"/>
    </row>
    <row r="83">
      <c r="A83" s="12" t="inlineStr">
        <is>
          <t>SO-03-3</t>
        </is>
      </c>
      <c r="B83" s="12" t="inlineStr">
        <is>
          <t>BRD-03 Product Maintenance</t>
        </is>
      </c>
      <c r="C83" s="12" t="inlineStr">
        <is>
          <t>Sign-off</t>
        </is>
      </c>
      <c r="D83" s="12" t="inlineStr">
        <is>
          <t>Sign the UAT sign-off certificate of BRD-03 Product Maintenance.</t>
        </is>
      </c>
      <c r="E83" s="12" t="inlineStr">
        <is>
          <t>The signed document fixes the scope for the next step of the plan; a late sign-off moves the dates that follow it.</t>
        </is>
      </c>
      <c r="F83" s="12" t="n"/>
      <c r="G83" s="12" t="inlineStr">
        <is>
          <t>Project plan v1.0 (8-Oct-2026), sign-offs and milestones</t>
        </is>
      </c>
      <c r="H83" s="12" t="inlineStr">
        <is>
          <t>Product Owner, Marketing Business System (MBS); BIBS Product Owner</t>
        </is>
      </c>
      <c r="I83" s="37" t="n">
        <v>46738</v>
      </c>
      <c r="J83" s="12" t="inlineStr">
        <is>
          <t>High</t>
        </is>
      </c>
      <c r="K83" s="38" t="inlineStr">
        <is>
          <t>Open</t>
        </is>
      </c>
      <c r="L83" s="12" t="n"/>
      <c r="M83" s="12" t="n"/>
    </row>
  </sheetData>
  <autoFilter ref="A4:M83"/>
  <mergeCells count="1">
    <mergeCell ref="A2:M2"/>
  </mergeCells>
  <conditionalFormatting sqref="K5:K583">
    <cfRule type="cellIs" priority="1" operator="equal" dxfId="0" stopIfTrue="1">
      <formula>"Open"</formula>
    </cfRule>
    <cfRule type="cellIs" priority="2" operator="equal" dxfId="1" stopIfTrue="1">
      <formula>"Answered"</formula>
    </cfRule>
  </conditionalFormatting>
  <conditionalFormatting sqref="A5:M583">
    <cfRule type="expression" priority="3" dxfId="2">
      <formula>AND(MOD(ROW(),2)=0,$A5&lt;&gt;"")</formula>
    </cfRule>
  </conditionalFormatting>
  <conditionalFormatting sqref="K5:K584">
    <cfRule type="cellIs" priority="4" operator="equal" dxfId="3" stopIfTrue="1">
      <formula>"Partly answered"</formula>
    </cfRule>
  </conditionalFormatting>
  <dataValidations count="3">
    <dataValidation sqref="C5:C583" showDropDown="0" showInputMessage="0" showErrorMessage="1" allowBlank="1" errorTitle="Type" error="Choose a value from the list (Type)." type="list">
      <formula1>'_lists'!$J$1:$J$10</formula1>
    </dataValidation>
    <dataValidation sqref="J5:J583" showDropDown="0" showInputMessage="0" showErrorMessage="1" allowBlank="1" errorTitle="Priority" error="Choose a value from the list (Priority)." type="list">
      <formula1>'_lists'!$K$1:$K$3</formula1>
    </dataValidation>
    <dataValidation sqref="K5:K583" showDropDown="0" showInputMessage="0" showErrorMessage="1" allowBlank="1" errorTitle="Status" error="Choose a value from the list (Status)." type="list">
      <formula1>'_lists'!$L$1:$L$3</formula1>
    </dataValidation>
  </dataValidations>
  <printOptions horizontalCentered="1"/>
  <pageMargins left="0.4" right="0.4" top="0.6" bottom="0.6" header="0.5" footer="0.5"/>
  <pageSetup orientation="landscape" paperSize="1" fitToHeight="0" fitToWidth="1"/>
  <headerFooter>
    <oddHeader>&amp;L&amp;8 &amp;K004EA8BDOI Requirements and Inputs by BRD&amp;R&amp;8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M6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6" customWidth="1" min="3" max="3"/>
    <col width="60" customWidth="1" min="4" max="4"/>
    <col width="46" customWidth="1" min="5" max="5"/>
    <col width="46" customWidth="1" min="6" max="6"/>
    <col width="40" customWidth="1" min="7" max="7"/>
    <col width="26" customWidth="1" min="8" max="8"/>
    <col width="12" customWidth="1" min="9" max="9"/>
    <col width="10" customWidth="1" min="10" max="10"/>
    <col width="14" customWidth="1" min="11" max="11"/>
    <col width="40" customWidth="1" min="12" max="12"/>
    <col width="34" customWidth="1" min="13" max="13"/>
  </cols>
  <sheetData>
    <row r="1" ht="24" customHeight="1">
      <c r="A1" s="34" t="inlineStr">
        <is>
          <t>BRD-04 Collections</t>
        </is>
      </c>
    </row>
    <row r="2">
      <c r="A2" s="21" t="inlineStr">
        <is>
          <t>BRD-04 Collections: what BDOI provides; owner VP and Head, BDOI Operations (Collections)</t>
        </is>
      </c>
    </row>
    <row r="3" ht="6" customHeight="1">
      <c r="A3" s="35" t="n"/>
      <c r="B3" s="35" t="n"/>
      <c r="C3" s="35" t="n"/>
      <c r="D3" s="35" t="n"/>
      <c r="E3" s="35" t="n"/>
      <c r="F3" s="35" t="n"/>
      <c r="G3" s="35" t="n"/>
      <c r="H3" s="35" t="n"/>
      <c r="I3" s="35" t="n"/>
      <c r="J3" s="35" t="n"/>
      <c r="K3" s="35" t="n"/>
      <c r="L3" s="35" t="n"/>
      <c r="M3" s="35" t="n"/>
    </row>
    <row r="4" ht="30" customHeight="1">
      <c r="A4" s="36" t="inlineStr">
        <is>
          <t>Ref</t>
        </is>
      </c>
      <c r="B4" s="36" t="inlineStr">
        <is>
          <t>BRD / module</t>
        </is>
      </c>
      <c r="C4" s="36" t="inlineStr">
        <is>
          <t>Type</t>
        </is>
      </c>
      <c r="D4" s="36" t="inlineStr">
        <is>
          <t>What we need from BDOI</t>
        </is>
      </c>
      <c r="E4" s="36" t="inlineStr">
        <is>
          <t>Why / impact if not provided</t>
        </is>
      </c>
      <c r="F4" s="36" t="inlineStr">
        <is>
          <t>Our proposal (if any)</t>
        </is>
      </c>
      <c r="G4" s="36" t="inlineStr">
        <is>
          <t>Source (FRS section / CLR / BRD page)</t>
        </is>
      </c>
      <c r="H4" s="36" t="inlineStr">
        <is>
          <t>BDOI owner (role)</t>
        </is>
      </c>
      <c r="I4" s="36" t="inlineStr">
        <is>
          <t>Needed by</t>
        </is>
      </c>
      <c r="J4" s="36" t="inlineStr">
        <is>
          <t>Priority</t>
        </is>
      </c>
      <c r="K4" s="36" t="inlineStr">
        <is>
          <t>Status</t>
        </is>
      </c>
      <c r="L4" s="36" t="inlineStr">
        <is>
          <t>BDOI response</t>
        </is>
      </c>
      <c r="M4" s="36" t="inlineStr">
        <is>
          <t>Remarks</t>
        </is>
      </c>
    </row>
    <row r="5">
      <c r="A5" s="12" t="inlineStr">
        <is>
          <t>CLR-CL-01</t>
        </is>
      </c>
      <c r="B5" s="12" t="inlineStr">
        <is>
          <t>BRD-04 Collections</t>
        </is>
      </c>
      <c r="C5" s="12" t="inlineStr">
        <is>
          <t>Configuration value</t>
        </is>
      </c>
      <c r="D5" s="12" t="inlineStr">
        <is>
          <t>Daily refresh: Confirm the refresh from the ledger; give the migration scope and cut-off (CQ07).</t>
        </is>
      </c>
      <c r="E5" s="12" t="inlineStr">
        <is>
          <t>The BRD extracts from EBIX after the 22:00 end-of-day; in BIBS the booking is internal. The migration scope and format are open (CQ07).</t>
        </is>
      </c>
      <c r="F5" s="12" t="inlineStr">
        <is>
          <t>EBIX is replaced by BIBS booking. The job clx daily refresh reads the BIBS invoice ledger at 22:15; the balance of a listed account is also refreshed after each payment. Open EBIX items, their disposition history and unapplied items at go-live come in through a one-time migration.</t>
        </is>
      </c>
      <c r="G5" s="12" t="inlineStr">
        <is>
          <t>FRS BRD-04 v2.1, Proposed business rules and clarifications; BRCLXN.013-015; FR-CL-017; also raised as CQ07 (open question), RQ27 (open question), SP-SQ16 (open question), DCR-075 (register item), DCR-199 (register item)</t>
        </is>
      </c>
      <c r="H5" s="12" t="inlineStr">
        <is>
          <t>Marketing and Processing - Renewal (RMEL)</t>
        </is>
      </c>
      <c r="I5" s="37" t="n">
        <v>46356</v>
      </c>
      <c r="J5" s="12" t="inlineStr">
        <is>
          <t>High</t>
        </is>
      </c>
      <c r="K5" s="38" t="inlineStr">
        <is>
          <t>Partly answered</t>
        </is>
      </c>
      <c r="L5" s="12" t="n"/>
      <c r="M5" s="12" t="inlineStr">
        <is>
          <t>Answer so far: Receivables and UPP carried forward and processed in BIBS; history read-only or archived. Open dispositions, promises and assignments not mentioned (DMQ34). (BRD-13 p.3, BRID 5.1, 6.1-6.4, 11.1). Also affects BRD-03, BRD-06, BRD-13.</t>
        </is>
      </c>
    </row>
    <row r="6">
      <c r="A6" s="12" t="inlineStr">
        <is>
          <t>CLR-CL-17</t>
        </is>
      </c>
      <c r="B6" s="12" t="inlineStr">
        <is>
          <t>BRD-04 Collections</t>
        </is>
      </c>
      <c r="C6" s="12" t="inlineStr">
        <is>
          <t>Configuration value</t>
        </is>
      </c>
      <c r="D6" s="12" t="inlineStr">
        <is>
          <t>Draft commission and incentive rows: Confirm in writing that BRCLXN.061-064 are approved scope, as the minutes describe them, or withdraw them (CQ01).</t>
        </is>
      </c>
      <c r="E6" s="12" t="inlineStr">
        <is>
          <t>The rows are in the unsigned draft addendum only; the minutes of 27-Apr-2026 walked through them and record their intent, and BDOI states that the BRD is not updated (CQ01).</t>
        </is>
      </c>
      <c r="F6" s="12" t="inlineStr">
        <is>
          <t>The four draft rows are proposed as described in section 4.10; their validations and messages are confirmed with the draft.</t>
        </is>
      </c>
      <c r="G6" s="12" t="inlineStr">
        <is>
          <t>FRS BRD-04 v2.1, Proposed business rules and clarifications; BRCLXN.061-064; FR-CL-091 to 094; also raised as CQ01 (open question), DCR-039 (register item)</t>
        </is>
      </c>
      <c r="H6" s="12" t="inlineStr">
        <is>
          <t>Operations - Collections (Head of BDOI Operations)</t>
        </is>
      </c>
      <c r="I6" s="37" t="n">
        <v>46356</v>
      </c>
      <c r="J6" s="12" t="inlineStr">
        <is>
          <t>High</t>
        </is>
      </c>
      <c r="K6" s="38" t="inlineStr">
        <is>
          <t>Partly answered</t>
        </is>
      </c>
      <c r="L6" s="12" t="n"/>
      <c r="M6" s="12" t="n"/>
    </row>
    <row r="7">
      <c r="A7" s="12" t="inlineStr">
        <is>
          <t>CQ02</t>
        </is>
      </c>
      <c r="B7" s="12" t="inlineStr">
        <is>
          <t>BRD-04 Collections</t>
        </is>
      </c>
      <c r="C7" s="12" t="inlineStr">
        <is>
          <t>Configuration value</t>
        </is>
      </c>
      <c r="D7" s="12" t="inlineStr">
        <is>
          <t>List level: BRCLXN.001 says "invoice number level"; FRID-001 said "cover number level". Confirm the invoice level, and whether totals per ARN (account) or per client decide the threshold (003)</t>
        </is>
      </c>
      <c r="E7" s="12" t="inlineStr">
        <is>
          <t>Open point of the FRS (FR-CL-010, 014): the requirement cannot be finalised or tested as BDOI intends until it is answered.</t>
        </is>
      </c>
      <c r="F7" s="12" t="inlineStr">
        <is>
          <t>Invoice level (the governing BRCLXN wording), with totals per account and client.</t>
        </is>
      </c>
      <c r="G7" s="12" t="inlineStr">
        <is>
          <t>FRS BRD-04 v2.1, Open questions CQ02 (affects FR-CL-010, 014); Discrepancy and clarification register v1.2, open question CQ02; baseline BRCLXN.001/003; also raised as DCR-041 (register item)</t>
        </is>
      </c>
      <c r="H7" s="12" t="inlineStr">
        <is>
          <t>Operations - Collections (Head of BDOI Operations)</t>
        </is>
      </c>
      <c r="I7" s="37" t="n">
        <v>46356</v>
      </c>
      <c r="J7" s="12" t="inlineStr">
        <is>
          <t>High</t>
        </is>
      </c>
      <c r="K7" s="38" t="inlineStr">
        <is>
          <t>Open</t>
        </is>
      </c>
      <c r="L7" s="12" t="n"/>
      <c r="M7" s="12" t="n"/>
    </row>
    <row r="8">
      <c r="A8" s="12" t="inlineStr">
        <is>
          <t>SO-04-1</t>
        </is>
      </c>
      <c r="B8" s="12" t="inlineStr">
        <is>
          <t>BRD-04 Collections</t>
        </is>
      </c>
      <c r="C8" s="12" t="inlineStr">
        <is>
          <t>Sign-off</t>
        </is>
      </c>
      <c r="D8" s="12" t="inlineStr">
        <is>
          <t>Sign the FRS and sign-off set of BRD-04 Collections.</t>
        </is>
      </c>
      <c r="E8" s="12" t="inlineStr">
        <is>
          <t>The signed document fixes the scope for the next step of the plan; a late sign-off moves the dates that follow it.</t>
        </is>
      </c>
      <c r="F8" s="12" t="n"/>
      <c r="G8" s="12" t="inlineStr">
        <is>
          <t>Project plan v1.0 (8-Oct-2026), sign-offs and milestones</t>
        </is>
      </c>
      <c r="H8" s="12" t="inlineStr">
        <is>
          <t>VP and Head, BDOI Operations (Collections); Business Project Services (traceability)</t>
        </is>
      </c>
      <c r="I8" s="37" t="n">
        <v>46356</v>
      </c>
      <c r="J8" s="12" t="inlineStr">
        <is>
          <t>High</t>
        </is>
      </c>
      <c r="K8" s="38" t="inlineStr">
        <is>
          <t>Open</t>
        </is>
      </c>
      <c r="L8" s="12" t="n"/>
      <c r="M8" s="12" t="n"/>
    </row>
    <row r="9">
      <c r="A9" s="12" t="inlineStr">
        <is>
          <t>CLR-CL-02</t>
        </is>
      </c>
      <c r="B9" s="12" t="inlineStr">
        <is>
          <t>BRD-04 Collections</t>
        </is>
      </c>
      <c r="C9" s="12" t="inlineStr">
        <is>
          <t>Business rule confirmation</t>
        </is>
      </c>
      <c r="D9" s="12" t="inlineStr">
        <is>
          <t>Negative balances: Confirm the treatment of negatives (CQ04).</t>
        </is>
      </c>
      <c r="E9" s="12" t="inlineStr">
        <is>
          <t>The BRD excludes the negatives of transaction type C only (CQ04).</t>
        </is>
      </c>
      <c r="F9" s="12" t="inlineStr">
        <is>
          <t>Negatives of cancellations and return invoices are never listed; other negatives are kept as CREDIT on a Credit Balances tab.</t>
        </is>
      </c>
      <c r="G9" s="12" t="inlineStr">
        <is>
          <t>FRS BRD-04 v2.1, Proposed business rules and clarifications; BRCLXN.010; FR-CL-013; also raised as CQ04 (open question)</t>
        </is>
      </c>
      <c r="H9" s="12" t="inlineStr">
        <is>
          <t>VP and Head, BDOI Operations (Collections)</t>
        </is>
      </c>
      <c r="I9" s="37" t="n">
        <v>46356</v>
      </c>
      <c r="J9" s="12" t="inlineStr">
        <is>
          <t>Medium</t>
        </is>
      </c>
      <c r="K9" s="38" t="inlineStr">
        <is>
          <t>Open</t>
        </is>
      </c>
      <c r="L9" s="12" t="n"/>
      <c r="M9" s="12" t="n"/>
    </row>
    <row r="10">
      <c r="A10" s="12" t="inlineStr">
        <is>
          <t>CLR-CL-03</t>
        </is>
      </c>
      <c r="B10" s="12" t="inlineStr">
        <is>
          <t>BRD-04 Collections</t>
        </is>
      </c>
      <c r="C10" s="12" t="inlineStr">
        <is>
          <t>Business rule confirmation</t>
        </is>
      </c>
      <c r="D10" s="12" t="inlineStr">
        <is>
          <t>Data scope per user: Confirm the filters, or give the default scope per role (CQ06).</t>
        </is>
      </c>
      <c r="E10" s="12" t="inlineStr">
        <is>
          <t>The BRD shows only the accounts of the selected segment and UH (CQ06).</t>
        </is>
      </c>
      <c r="F10" s="12" t="inlineStr">
        <is>
          <t>Every clx view user sees every account and narrows it with the filters, which run on the whole list; there is no default scope per user.</t>
        </is>
      </c>
      <c r="G10" s="12" t="inlineStr">
        <is>
          <t>FRS BRD-04 v2.1, Proposed business rules and clarifications; BRCLXN.012; FR-CL-015; also raised as CQ06 (open question), DCR-043 (register item)</t>
        </is>
      </c>
      <c r="H10" s="12" t="inlineStr">
        <is>
          <t>Operations - Collections (Head of BDOI Operations)</t>
        </is>
      </c>
      <c r="I10" s="37" t="n">
        <v>46356</v>
      </c>
      <c r="J10" s="12" t="inlineStr">
        <is>
          <t>Medium</t>
        </is>
      </c>
      <c r="K10" s="38" t="inlineStr">
        <is>
          <t>Partly answered</t>
        </is>
      </c>
      <c r="L10" s="12" t="n"/>
      <c r="M10" s="12" t="inlineStr">
        <is>
          <t>Answer so far: CSF agents see all accounts, CBG and non-CBG. Other roles open. (BRD-9 p.4).</t>
        </is>
      </c>
    </row>
    <row r="11">
      <c r="A11" s="12" t="inlineStr">
        <is>
          <t>CLR-CL-04</t>
        </is>
      </c>
      <c r="B11" s="12" t="inlineStr">
        <is>
          <t>BRD-04 Collections</t>
        </is>
      </c>
      <c r="C11" s="12" t="inlineStr">
        <is>
          <t>Business rule confirmation</t>
        </is>
      </c>
      <c r="D11" s="12" t="inlineStr">
        <is>
          <t>Unit Head: Confirm the source of the Unit Head (CQ05).</t>
        </is>
      </c>
      <c r="E11" s="12" t="inlineStr">
        <is>
          <t>The BRD does not say where the Unit Head comes from (CQ05).</t>
        </is>
      </c>
      <c r="F11" s="12" t="inlineStr">
        <is>
          <t>The Unit Head is the head of the invoice's sales unit (else of its department or region), maintained on Collections Setup.</t>
        </is>
      </c>
      <c r="G11" s="12" t="inlineStr">
        <is>
          <t>FRS BRD-04 v2.1, Proposed business rules and clarifications; BRCLXN.011; FR-CL-015; also raised as CQ05 (open question)</t>
        </is>
      </c>
      <c r="H11" s="12" t="inlineStr">
        <is>
          <t>VP and Head, BDOI Operations (Collections)</t>
        </is>
      </c>
      <c r="I11" s="37" t="n">
        <v>46356</v>
      </c>
      <c r="J11" s="12" t="inlineStr">
        <is>
          <t>Medium</t>
        </is>
      </c>
      <c r="K11" s="38" t="inlineStr">
        <is>
          <t>Open</t>
        </is>
      </c>
      <c r="L11" s="12" t="n"/>
      <c r="M11" s="12" t="n"/>
    </row>
    <row r="12">
      <c r="A12" s="12" t="inlineStr">
        <is>
          <t>CLR-CL-05</t>
        </is>
      </c>
      <c r="B12" s="12" t="inlineStr">
        <is>
          <t>BRD-04 Collections</t>
        </is>
      </c>
      <c r="C12" s="12" t="inlineStr">
        <is>
          <t>Business rule confirmation</t>
        </is>
      </c>
      <c r="D12" s="12" t="inlineStr">
        <is>
          <t>Monthly reversal files: Confirm the hand-off at the time of the disposition.</t>
        </is>
      </c>
      <c r="E12" s="12" t="inlineStr">
        <is>
          <t>The BRD has the monthly batch generate the file for Operations (OQ16, OQ38).</t>
        </is>
      </c>
      <c r="F12" s="12" t="inlineStr">
        <is>
          <t>A DP PR disposition goes at once to the Commission DP list and a PR 2307 disposition to the Cashiering 2307 intake; the monthly file is the audit copy.</t>
        </is>
      </c>
      <c r="G12" s="12" t="inlineStr">
        <is>
          <t>FRS BRD-04 v2.1, Proposed business rules and clarifications; BRCLXN.024, 026; FR-CL-032, 080, 081</t>
        </is>
      </c>
      <c r="H12" s="12" t="inlineStr">
        <is>
          <t>VP and Head, BDOI Operations (Collections)</t>
        </is>
      </c>
      <c r="I12" s="37" t="n">
        <v>46356</v>
      </c>
      <c r="J12" s="12" t="inlineStr">
        <is>
          <t>Medium</t>
        </is>
      </c>
      <c r="K12" s="38" t="inlineStr">
        <is>
          <t>Open</t>
        </is>
      </c>
      <c r="L12" s="12" t="n"/>
      <c r="M12" s="12" t="n"/>
    </row>
    <row r="13">
      <c r="A13" s="12" t="inlineStr">
        <is>
          <t>CLR-CL-06</t>
        </is>
      </c>
      <c r="B13" s="12" t="inlineStr">
        <is>
          <t>BRD-04 Collections</t>
        </is>
      </c>
      <c r="C13" s="12" t="inlineStr">
        <is>
          <t>Business rule confirmation</t>
        </is>
      </c>
      <c r="D13" s="12" t="inlineStr">
        <is>
          <t>2307 hand-off: Confirm the Cashiering 2307 intake, or the step of CLR-CL-42.</t>
        </is>
      </c>
      <c r="E13" s="12" t="inlineStr">
        <is>
          <t>The BRD says the 2307 accounts reach Operations for reversal without naming the step; the re-issued Operations BRD changes the receiving step (CLR-CL-42).</t>
        </is>
      </c>
      <c r="F13" s="12" t="inlineStr">
        <is>
          <t>Cashiering takes the PR 2307 hand-offs in its 2307 intake; a hand-off not taken within one day raises the alert clx outbox stale.</t>
        </is>
      </c>
      <c r="G13" s="12" t="inlineStr">
        <is>
          <t>FRS BRD-04 v2.1, Proposed business rules and clarifications; BRCLXN.026; FR-CL-032</t>
        </is>
      </c>
      <c r="H13" s="12" t="inlineStr">
        <is>
          <t>VP and Head, BDOI Operations (Collections)</t>
        </is>
      </c>
      <c r="I13" s="37" t="n">
        <v>46356</v>
      </c>
      <c r="J13" s="12" t="inlineStr">
        <is>
          <t>Medium</t>
        </is>
      </c>
      <c r="K13" s="38" t="inlineStr">
        <is>
          <t>Open</t>
        </is>
      </c>
      <c r="L13" s="12" t="n"/>
      <c r="M13" s="12" t="n"/>
    </row>
    <row r="14">
      <c r="A14" s="12" t="inlineStr">
        <is>
          <t>CLR-CL-07</t>
        </is>
      </c>
      <c r="B14" s="12" t="inlineStr">
        <is>
          <t>BRD-04 Collections</t>
        </is>
      </c>
      <c r="C14" s="12" t="inlineStr">
        <is>
          <t>Business rule confirmation</t>
        </is>
      </c>
      <c r="D14" s="12" t="inlineStr">
        <is>
          <t>Request application of payment: Confirm the Cashiering step (OQ15) and the texts of the refusals Cashiering gives at once (unknown payment, no balance, amount above the balance, no invoice).</t>
        </is>
      </c>
      <c r="E14" s="12" t="inlineStr">
        <is>
          <t>The BRD does not name the Cashiering step (OQ15).</t>
        </is>
      </c>
      <c r="F14" s="12" t="inlineStr">
        <is>
          <t>The request goes to Cashiering's Incoming Requests; a cashier accepts it and applies the payment through the Operations disposition workflow and its approvals. A request that Cashiering refuses shows "Rejected by Cashiering: &lt;reason&gt;".</t>
        </is>
      </c>
      <c r="G14" s="12" t="inlineStr">
        <is>
          <t>FRS BRD-04 v2.1, Proposed business rules and clarifications; BRCLXN.030, 032; FR-CL-074; also raised as OQ15 (open question), CQ10 (open question), DCR-162 (register item)</t>
        </is>
      </c>
      <c r="H14" s="12" t="inlineStr">
        <is>
          <t>Report SMEs named in the Report List</t>
        </is>
      </c>
      <c r="I14" s="37" t="n">
        <v>46356</v>
      </c>
      <c r="J14" s="12" t="inlineStr">
        <is>
          <t>Medium</t>
        </is>
      </c>
      <c r="K14" s="38" t="inlineStr">
        <is>
          <t>Partly answered</t>
        </is>
      </c>
      <c r="L14" s="12" t="n"/>
      <c r="M14" s="12" t="inlineStr">
        <is>
          <t>Answer so far: Seven unapplied dispositions plus Handling Fee; refund path through the RRF. Approvals open. (Report List #105; BRD-12 BRIDSP-31; BRD-5 MKT 1.11.0, 2.23.0-2.24.0). Also affects BRD-01, BRD-06, BRD-12.</t>
        </is>
      </c>
    </row>
    <row r="15">
      <c r="A15" s="12" t="inlineStr">
        <is>
          <t>CLR-CL-08</t>
        </is>
      </c>
      <c r="B15" s="12" t="inlineStr">
        <is>
          <t>BRD-04 Collections</t>
        </is>
      </c>
      <c r="C15" s="12" t="inlineStr">
        <is>
          <t>Report layout</t>
        </is>
      </c>
      <c r="D15" s="12" t="inlineStr">
        <is>
          <t>Names on the unapplied list: Confirm the columns, or name the source of the other fields (CQ11).</t>
        </is>
      </c>
      <c r="E15" s="12" t="inlineStr">
        <is>
          <t>BIBS does not hold the booker, bank officer, Business Origin or System Remarks of an unapplied item (CQ11).</t>
        </is>
      </c>
      <c r="F15" s="12" t="inlineStr">
        <is>
          <t>User names are shown for UH and AO; booker and bank officer names, Business Origin and System Remarks are not shown; "Processing Stage" is the Cashiering tab.</t>
        </is>
      </c>
      <c r="G15" s="12" t="inlineStr">
        <is>
          <t>FRS BRD-04 v2.1, Proposed business rules and clarifications; BRCLXN.036; FR-CL-070; also raised as CQ11 (open question), DCR-042 (register item)</t>
        </is>
      </c>
      <c r="H15" s="12" t="inlineStr">
        <is>
          <t>Operations - Collections (Head of BDOI Operations)</t>
        </is>
      </c>
      <c r="I15" s="37" t="n">
        <v>46356</v>
      </c>
      <c r="J15" s="12" t="inlineStr">
        <is>
          <t>Medium</t>
        </is>
      </c>
      <c r="K15" s="38" t="inlineStr">
        <is>
          <t>Open</t>
        </is>
      </c>
      <c r="L15" s="12" t="n"/>
      <c r="M15" s="12" t="n"/>
    </row>
    <row r="16">
      <c r="A16" s="12" t="inlineStr">
        <is>
          <t>CLR-CL-09</t>
        </is>
      </c>
      <c r="B16" s="12" t="inlineStr">
        <is>
          <t>BRD-04 Collections</t>
        </is>
      </c>
      <c r="C16" s="12" t="inlineStr">
        <is>
          <t>Business rule confirmation</t>
        </is>
      </c>
      <c r="D16" s="12" t="inlineStr">
        <is>
          <t>Daily application file: Name the FS04 transfer and confirm the layout (OQ17, CQ12).</t>
        </is>
      </c>
      <c r="E16" s="12" t="inlineStr">
        <is>
          <t>The BRD loads the text file to FS04 before 06:00; the transfer is not specified (OQ17, CQ12).</t>
        </is>
      </c>
      <c r="F16" s="12" t="inlineStr">
        <is>
          <t>The pipe-delimited file is written at 05:00 and kept in the list of extracts under FS04/clx application to invoice; the transfer to FS04 is added when BDOI names it.</t>
        </is>
      </c>
      <c r="G16" s="12" t="inlineStr">
        <is>
          <t>FRS BRD-04 v2.1, Proposed business rules and clarifications; BRCLXN.041-042; FR-CL-077; also raised as OQ17 (open question), CQ12 (open question), DCR-046 (register item), DCR-152 (register item)</t>
        </is>
      </c>
      <c r="H16" s="12" t="inlineStr">
        <is>
          <t>Operations - Collections (Head of BDOI Operations)</t>
        </is>
      </c>
      <c r="I16" s="37" t="n">
        <v>46356</v>
      </c>
      <c r="J16" s="12" t="inlineStr">
        <is>
          <t>Medium</t>
        </is>
      </c>
      <c r="K16" s="38" t="inlineStr">
        <is>
          <t>Partly answered</t>
        </is>
      </c>
      <c r="L16" s="12" t="n"/>
      <c r="M16" s="12" t="inlineStr">
        <is>
          <t>Answer so far: Target is a single master data store; Claims still names a shared drive, Collections FS04. (BRD-12 p.6; BRD-7 p.39-40; BRD-4 FRID-041 / 042). Also affects BRD-02, BRD-07, BRD-10, BRD-12.</t>
        </is>
      </c>
    </row>
    <row r="17">
      <c r="A17" s="12" t="inlineStr">
        <is>
          <t>CLR-CL-10</t>
        </is>
      </c>
      <c r="B17" s="12" t="inlineStr">
        <is>
          <t>BRD-04 Collections</t>
        </is>
      </c>
      <c r="C17" s="12" t="inlineStr">
        <is>
          <t>Business rule confirmation</t>
        </is>
      </c>
      <c r="D17" s="12" t="inlineStr">
        <is>
          <t>Invoice number: Confirm the two formats (CQ13).</t>
        </is>
      </c>
      <c r="E17" s="12" t="inlineStr">
        <is>
          <t>The BRD gives the number as "I" and 8 digits; BIBS invoices have their own format (CQ13).</t>
        </is>
      </c>
      <c r="F17" s="12" t="inlineStr">
        <is>
          <t>The pattern clx invoice no pattern accepts the EBIX format and the BIBS format (BI-...), and the invoice must exist in the BIBS ledger.</t>
        </is>
      </c>
      <c r="G17" s="12" t="inlineStr">
        <is>
          <t>FRS BRD-04 v2.1, Proposed business rules and clarifications; BRCLXN.047; FR-CL-075; also raised as CQ13 (open question)</t>
        </is>
      </c>
      <c r="H17" s="12" t="inlineStr">
        <is>
          <t>VP and Head, BDOI Operations (Collections)</t>
        </is>
      </c>
      <c r="I17" s="37" t="n">
        <v>46356</v>
      </c>
      <c r="J17" s="12" t="inlineStr">
        <is>
          <t>Medium</t>
        </is>
      </c>
      <c r="K17" s="38" t="inlineStr">
        <is>
          <t>Answered</t>
        </is>
      </c>
      <c r="L17" s="12" t="n"/>
      <c r="M17" s="12" t="inlineStr">
        <is>
          <t>Answer so far: Legacy invoices are processed in BIBS after cutover, so BIBS and EBIX numbers are both valid until the legacy invoices run off. QPS format open (DMQ11). (BRD-13 BRID 6.1, 6.2 (draft v0.01)).</t>
        </is>
      </c>
    </row>
    <row r="18">
      <c r="A18" s="12" t="inlineStr">
        <is>
          <t>CLR-CL-11</t>
        </is>
      </c>
      <c r="B18" s="12" t="inlineStr">
        <is>
          <t>BRD-04 Collections</t>
        </is>
      </c>
      <c r="C18" s="12" t="inlineStr">
        <is>
          <t>Business rule confirmation</t>
        </is>
      </c>
      <c r="D18" s="12" t="inlineStr">
        <is>
          <t>Bulk update: Confirm the fields of the grid actions and the upload.</t>
        </is>
      </c>
      <c r="E18" s="12" t="inlineStr">
        <is>
          <t>The BRD asks for bulk update of several invoices without naming the fields.</t>
        </is>
      </c>
      <c r="F18" s="12" t="inlineStr">
        <is>
          <t>The worklist updates several accounts with a disposition or an effort (with remarks) and reassigns them; promises and escalations are recorded in bulk on their screens. The upload Collections Bulk Update records promises, escalations, dispositions, efforts and remarks, each row on its own.</t>
        </is>
      </c>
      <c r="G18" s="12" t="inlineStr">
        <is>
          <t>FRS BRD-04 v2.1, Proposed business rules and clarifications; BRCLXN.051; FR-CL-034</t>
        </is>
      </c>
      <c r="H18" s="12" t="inlineStr">
        <is>
          <t>VP and Head, BDOI Operations (Collections)</t>
        </is>
      </c>
      <c r="I18" s="37" t="n">
        <v>46356</v>
      </c>
      <c r="J18" s="12" t="inlineStr">
        <is>
          <t>Medium</t>
        </is>
      </c>
      <c r="K18" s="38" t="inlineStr">
        <is>
          <t>Open</t>
        </is>
      </c>
      <c r="L18" s="12" t="n"/>
      <c r="M18" s="12" t="n"/>
    </row>
    <row r="19">
      <c r="A19" s="12" t="inlineStr">
        <is>
          <t>CLR-CL-12</t>
        </is>
      </c>
      <c r="B19" s="12" t="inlineStr">
        <is>
          <t>BRD-04 Collections</t>
        </is>
      </c>
      <c r="C19" s="12" t="inlineStr">
        <is>
          <t>Configuration value</t>
        </is>
      </c>
      <c r="D19" s="12" t="inlineStr">
        <is>
          <t>Installment plans: Confirm plans made in Collections with a one-time load of the current schedules, or name the system that keeps the schedules (CQ15).</t>
        </is>
      </c>
      <c r="E19" s="12" t="inlineStr">
        <is>
          <t>The BRD does not say where the installment terms come from; the minutes say the schedules are kept in Excel or offline files, the requirement is capability-based and the integration approach is decided in design, with a follow-up on whether a separate system is needed (CQ15).</t>
        </is>
      </c>
      <c r="F19" s="12" t="inlineStr">
        <is>
          <t>Plans are made in Collections (policy years, generated or manual); installment terms do not come from the quotation or the account. The schedules kept in Excel today are loaded once through the data migration.</t>
        </is>
      </c>
      <c r="G19" s="12" t="inlineStr">
        <is>
          <t>FRS BRD-04 v2.1, Proposed business rules and clarifications; BRCLXN.053; FR-CL-040; also raised as CQ15 (open question)</t>
        </is>
      </c>
      <c r="H19" s="12" t="inlineStr">
        <is>
          <t>VP and Head, BDOI Operations (Collections)</t>
        </is>
      </c>
      <c r="I19" s="37" t="n">
        <v>46356</v>
      </c>
      <c r="J19" s="12" t="inlineStr">
        <is>
          <t>Medium</t>
        </is>
      </c>
      <c r="K19" s="38" t="inlineStr">
        <is>
          <t>Partly answered</t>
        </is>
      </c>
      <c r="L19" s="12" t="n"/>
      <c r="M19" s="12" t="n"/>
    </row>
    <row r="20">
      <c r="A20" s="12" t="inlineStr">
        <is>
          <t>CLR-CL-13</t>
        </is>
      </c>
      <c r="B20" s="12" t="inlineStr">
        <is>
          <t>BRD-04 Collections</t>
        </is>
      </c>
      <c r="C20" s="12" t="inlineStr">
        <is>
          <t>Configuration value</t>
        </is>
      </c>
      <c r="D20" s="12" t="inlineStr">
        <is>
          <t>Broken promises: Confirm the rule and the grace days (CQ16).</t>
        </is>
      </c>
      <c r="E20" s="12" t="inlineStr">
        <is>
          <t>The BRD detects broken promises per installment without a grace period (CQ16).</t>
        </is>
      </c>
      <c r="F20" s="12" t="inlineStr">
        <is>
          <t>A promise is KEPT, partially kept or BROKEN by the payments applied between the day of the promise and the promised date plus clx promise grace days (0).</t>
        </is>
      </c>
      <c r="G20" s="12" t="inlineStr">
        <is>
          <t>FRS BRD-04 v2.1, Proposed business rules and clarifications; BRCLXN.055; FR-CL-042; also raised as CQ16 (open question)</t>
        </is>
      </c>
      <c r="H20" s="12" t="inlineStr">
        <is>
          <t>VP and Head, BDOI Operations (Collections)</t>
        </is>
      </c>
      <c r="I20" s="37" t="n">
        <v>46356</v>
      </c>
      <c r="J20" s="12" t="inlineStr">
        <is>
          <t>Medium</t>
        </is>
      </c>
      <c r="K20" s="38" t="inlineStr">
        <is>
          <t>Open</t>
        </is>
      </c>
      <c r="L20" s="12" t="n"/>
      <c r="M20" s="12" t="n"/>
    </row>
    <row r="21">
      <c r="A21" s="12" t="inlineStr">
        <is>
          <t>CLR-CL-14</t>
        </is>
      </c>
      <c r="B21" s="12" t="inlineStr">
        <is>
          <t>BRD-04 Collections</t>
        </is>
      </c>
      <c r="C21" s="12" t="inlineStr">
        <is>
          <t>Business rule confirmation</t>
        </is>
      </c>
      <c r="D21" s="12" t="inlineStr">
        <is>
          <t>Delivery and receipt dates: Confirm, or name the source of the delivery date (CQ17).</t>
        </is>
      </c>
      <c r="E21" s="12" t="inlineStr">
        <is>
          <t>BIBS does not record the delivery of the policy (CQ17).</t>
        </is>
      </c>
      <c r="F21" s="12" t="inlineStr">
        <is>
          <t>The first AR date is shown as the receipt date; the delivery date is blank.</t>
        </is>
      </c>
      <c r="G21" s="12" t="inlineStr">
        <is>
          <t>FRS BRD-04 v2.1, Proposed business rules and clarifications; BRCLXN.056; FR-CL-043; also raised as CQ17 (open question)</t>
        </is>
      </c>
      <c r="H21" s="12" t="inlineStr">
        <is>
          <t>VP and Head, BDOI Operations (Collections)</t>
        </is>
      </c>
      <c r="I21" s="37" t="n">
        <v>46356</v>
      </c>
      <c r="J21" s="12" t="inlineStr">
        <is>
          <t>Medium</t>
        </is>
      </c>
      <c r="K21" s="38" t="inlineStr">
        <is>
          <t>Open</t>
        </is>
      </c>
      <c r="L21" s="12" t="n"/>
      <c r="M21" s="12" t="n"/>
    </row>
    <row r="22">
      <c r="A22" s="12" t="inlineStr">
        <is>
          <t>CLR-CL-15</t>
        </is>
      </c>
      <c r="B22" s="12" t="inlineStr">
        <is>
          <t>BRD-04 Collections</t>
        </is>
      </c>
      <c r="C22" s="12" t="inlineStr">
        <is>
          <t>Business rule confirmation</t>
        </is>
      </c>
      <c r="D22" s="12" t="inlineStr">
        <is>
          <t>PR confirmation for CR billing: Confirm the CRU confirmation (OQ38).</t>
        </is>
      </c>
      <c r="E22" s="12" t="inlineStr">
        <is>
          <t>The confirmation is a Commission step in BRD-2 (OQ38).</t>
        </is>
      </c>
      <c r="F22" s="12" t="inlineStr">
        <is>
          <t>Commission bills a DP account only after the CRU reviewer confirms it "fully paid to the insurer" (CMRID.013); there is no separate automatic PR confirmation record.</t>
        </is>
      </c>
      <c r="G22" s="12" t="inlineStr">
        <is>
          <t>FRS BRD-04 v2.1, Proposed business rules and clarifications; BRCLXN.059; FR-CL-090</t>
        </is>
      </c>
      <c r="H22" s="12" t="inlineStr">
        <is>
          <t>VP and Head, BDOI Operations (Collections)</t>
        </is>
      </c>
      <c r="I22" s="37" t="n">
        <v>46356</v>
      </c>
      <c r="J22" s="12" t="inlineStr">
        <is>
          <t>Medium</t>
        </is>
      </c>
      <c r="K22" s="38" t="inlineStr">
        <is>
          <t>Open</t>
        </is>
      </c>
      <c r="L22" s="12" t="n"/>
      <c r="M22" s="12" t="n"/>
    </row>
    <row r="23">
      <c r="A23" s="12" t="inlineStr">
        <is>
          <t>CLR-CL-16</t>
        </is>
      </c>
      <c r="B23" s="12" t="inlineStr">
        <is>
          <t>BRD-04 Collections</t>
        </is>
      </c>
      <c r="C23" s="12" t="inlineStr">
        <is>
          <t>Decision</t>
        </is>
      </c>
      <c r="D23" s="12" t="inlineStr">
        <is>
          <t>Aging basis: Choose the aging basis (CQ14).</t>
        </is>
      </c>
      <c r="E23" s="12" t="inlineStr">
        <is>
          <t>The BRD mentions billing statements, invoice dates and policy periods (CQ14).</t>
        </is>
      </c>
      <c r="F23" s="12" t="inlineStr">
        <is>
          <t>The aging runs from the booking date or the inception date; aging from the SOA due date is not proposed.</t>
        </is>
      </c>
      <c r="G23" s="12" t="inlineStr">
        <is>
          <t>FRS BRD-04 v2.1, Proposed business rules and clarifications; BRCLXN.060; FR-CL-062; also raised as CQ14 (open question)</t>
        </is>
      </c>
      <c r="H23" s="12" t="inlineStr">
        <is>
          <t>VP and Head, BDOI Operations (Collections)</t>
        </is>
      </c>
      <c r="I23" s="37" t="n">
        <v>46356</v>
      </c>
      <c r="J23" s="12" t="inlineStr">
        <is>
          <t>Medium</t>
        </is>
      </c>
      <c r="K23" s="38" t="inlineStr">
        <is>
          <t>Partly answered</t>
        </is>
      </c>
      <c r="L23" s="12" t="n"/>
      <c r="M23" s="12" t="n"/>
    </row>
    <row r="24">
      <c r="A24" s="12" t="inlineStr">
        <is>
          <t>CLR-CL-18</t>
        </is>
      </c>
      <c r="B24" s="12" t="inlineStr">
        <is>
          <t>BRD-04 Collections</t>
        </is>
      </c>
      <c r="C24" s="12" t="inlineStr">
        <is>
          <t>Business rule confirmation</t>
        </is>
      </c>
      <c r="D24" s="12" t="inlineStr">
        <is>
          <t>Several roles per user: Confirm decision D5 for Collections.</t>
        </is>
      </c>
      <c r="E24" s="12" t="inlineStr">
        <is>
          <t>Cross-BRD decision D5 of BRD-11.</t>
        </is>
      </c>
      <c r="F24" s="12" t="inlineStr">
        <is>
          <t>A user may hold several roles; segregation of duties is kept by the permission of each action.</t>
        </is>
      </c>
      <c r="G24" s="12" t="inlineStr">
        <is>
          <t>FRS BRD-04 v2.1, Proposed business rules and clarifications; NFR 3.04; FR-CL-001</t>
        </is>
      </c>
      <c r="H24" s="12" t="inlineStr">
        <is>
          <t>VP and Head, BDOI Operations (Collections)</t>
        </is>
      </c>
      <c r="I24" s="37" t="n">
        <v>46356</v>
      </c>
      <c r="J24" s="12" t="inlineStr">
        <is>
          <t>Medium</t>
        </is>
      </c>
      <c r="K24" s="38" t="inlineStr">
        <is>
          <t>Open</t>
        </is>
      </c>
      <c r="L24" s="12" t="n"/>
      <c r="M24" s="12" t="n"/>
    </row>
    <row r="25">
      <c r="A25" s="12" t="inlineStr">
        <is>
          <t>CLR-CL-19</t>
        </is>
      </c>
      <c r="B25" s="12" t="inlineStr">
        <is>
          <t>BRD-04 Collections</t>
        </is>
      </c>
      <c r="C25" s="12" t="inlineStr">
        <is>
          <t>Business rule confirmation</t>
        </is>
      </c>
      <c r="D25" s="12" t="inlineStr">
        <is>
          <t>Lock-out: Confirm the lock-out rule.</t>
        </is>
      </c>
      <c r="E25" s="12" t="inlineStr">
        <is>
          <t>Cross-BRD decision D5 of BRD-11.</t>
        </is>
      </c>
      <c r="F25" s="12" t="inlineStr">
        <is>
          <t>Every BIBS user is locked out after 3 invalid attempts (login max failed attempts = 3) and the correct password is then refused with the same message as a wrong password ("Invalid user name or password"); the lock shows to the System Administrator.</t>
        </is>
      </c>
      <c r="G25" s="12" t="inlineStr">
        <is>
          <t>FRS BRD-04 v2.1, Proposed business rules and clarifications; NFR 1.04, 2.02; FR-CL-001</t>
        </is>
      </c>
      <c r="H25" s="12" t="inlineStr">
        <is>
          <t>VP and Head, BDOI Operations (Collections)</t>
        </is>
      </c>
      <c r="I25" s="37" t="n">
        <v>46356</v>
      </c>
      <c r="J25" s="12" t="inlineStr">
        <is>
          <t>Medium</t>
        </is>
      </c>
      <c r="K25" s="38" t="inlineStr">
        <is>
          <t>Open</t>
        </is>
      </c>
      <c r="L25" s="12" t="n"/>
      <c r="M25" s="12" t="n"/>
    </row>
    <row r="26">
      <c r="A26" s="12" t="inlineStr">
        <is>
          <t>CLR-CL-20</t>
        </is>
      </c>
      <c r="B26" s="12" t="inlineStr">
        <is>
          <t>BRD-04 Collections</t>
        </is>
      </c>
      <c r="C26" s="12" t="inlineStr">
        <is>
          <t>Business rule confirmation</t>
        </is>
      </c>
      <c r="D26" s="12" t="inlineStr">
        <is>
          <t>Exports: Confirm the cap and the permission.</t>
        </is>
      </c>
      <c r="E26" s="12" t="inlineStr">
        <is>
          <t>The BRD warns that exports may slow the system.</t>
        </is>
      </c>
      <c r="F26" s="12" t="inlineStr">
        <is>
          <t>Exports run in the background, capped at clx export max rows, under their own permission clx export.</t>
        </is>
      </c>
      <c r="G26" s="12" t="inlineStr">
        <is>
          <t>FRS BRD-04 v2.1, Proposed business rules and clarifications; p.95 caveat; FR-CL-084</t>
        </is>
      </c>
      <c r="H26" s="12" t="inlineStr">
        <is>
          <t>VP and Head, BDOI Operations (Collections)</t>
        </is>
      </c>
      <c r="I26" s="37" t="n">
        <v>46356</v>
      </c>
      <c r="J26" s="12" t="inlineStr">
        <is>
          <t>Medium</t>
        </is>
      </c>
      <c r="K26" s="38" t="inlineStr">
        <is>
          <t>Open</t>
        </is>
      </c>
      <c r="L26" s="12" t="n"/>
      <c r="M26" s="12" t="n"/>
    </row>
    <row r="27">
      <c r="A27" s="12" t="inlineStr">
        <is>
          <t>CLR-CL-21</t>
        </is>
      </c>
      <c r="B27" s="12" t="inlineStr">
        <is>
          <t>BRD-04 Collections</t>
        </is>
      </c>
      <c r="C27" s="12" t="inlineStr">
        <is>
          <t>Business rule confirmation</t>
        </is>
      </c>
      <c r="D27" s="12" t="inlineStr">
        <is>
          <t>Edit lock: Confirm the expiry, or ask for renewal while the holder works.</t>
        </is>
      </c>
      <c r="E27" s="12" t="inlineStr">
        <is>
          <t>The BRD does not say whether work on the account renews the lock.</t>
        </is>
      </c>
      <c r="F27" s="12" t="inlineStr">
        <is>
          <t>The lock is taken when the user opens the account and is released when the user leaves it or after clx edit lock minutes (15). Activity on the account does not renew the lock; when it expires, the next user takes it.</t>
        </is>
      </c>
      <c r="G27" s="12" t="inlineStr">
        <is>
          <t>FRS BRD-04 v2.1, Proposed business rules and clarifications; NFR 9.03; FR-CL-005</t>
        </is>
      </c>
      <c r="H27" s="12" t="inlineStr">
        <is>
          <t>VP and Head, BDOI Operations (Collections)</t>
        </is>
      </c>
      <c r="I27" s="37" t="n">
        <v>46356</v>
      </c>
      <c r="J27" s="12" t="inlineStr">
        <is>
          <t>Medium</t>
        </is>
      </c>
      <c r="K27" s="38" t="inlineStr">
        <is>
          <t>Open</t>
        </is>
      </c>
      <c r="L27" s="12" t="n"/>
      <c r="M27" s="12" t="n"/>
    </row>
    <row r="28">
      <c r="A28" s="12" t="inlineStr">
        <is>
          <t>CLR-CL-22</t>
        </is>
      </c>
      <c r="B28" s="12" t="inlineStr">
        <is>
          <t>BRD-04 Collections</t>
        </is>
      </c>
      <c r="C28" s="12" t="inlineStr">
        <is>
          <t>Business rule confirmation</t>
        </is>
      </c>
      <c r="D28" s="12" t="inlineStr">
        <is>
          <t>Refresh after a payment: Confirm the 5-minute target.</t>
        </is>
      </c>
      <c r="E28" s="12" t="inlineStr">
        <is>
          <t>The BRD gives no target for the update after a payment.</t>
        </is>
      </c>
      <c r="F28" s="12" t="inlineStr">
        <is>
          <t>A payment applied in Cashiering updates the outstanding of the account within 5 minutes.</t>
        </is>
      </c>
      <c r="G28" s="12" t="inlineStr">
        <is>
          <t>FRS BRD-04 v2.1, Proposed business rules and clarifications; BRCLXN.013-015; FR-CL-017</t>
        </is>
      </c>
      <c r="H28" s="12" t="inlineStr">
        <is>
          <t>VP and Head, BDOI Operations (Collections)</t>
        </is>
      </c>
      <c r="I28" s="37" t="n">
        <v>46356</v>
      </c>
      <c r="J28" s="12" t="inlineStr">
        <is>
          <t>Medium</t>
        </is>
      </c>
      <c r="K28" s="38" t="inlineStr">
        <is>
          <t>Open</t>
        </is>
      </c>
      <c r="L28" s="12" t="n"/>
      <c r="M28" s="12" t="n"/>
    </row>
    <row r="29">
      <c r="A29" s="12" t="inlineStr">
        <is>
          <t>CLR-CL-23</t>
        </is>
      </c>
      <c r="B29" s="12" t="inlineStr">
        <is>
          <t>BRD-04 Collections</t>
        </is>
      </c>
      <c r="C29" s="12" t="inlineStr">
        <is>
          <t>Report layout</t>
        </is>
      </c>
      <c r="D29" s="12" t="inlineStr">
        <is>
          <t>Report period check: Confirm the check of the period.</t>
        </is>
      </c>
      <c r="E29" s="12" t="inlineStr">
        <is>
          <t>The Report Centre checks the period for every report.</t>
        </is>
      </c>
      <c r="F29" s="12" t="inlineStr">
        <is>
          <t>The report parameters check that the end date is on or after the start date; the message text is the one of the Report Centre, confirmed at the first test run.</t>
        </is>
      </c>
      <c r="G29" s="12" t="inlineStr">
        <is>
          <t>FRS BRD-04 v2.1, Proposed business rules and clarifications; FR-CL-004</t>
        </is>
      </c>
      <c r="H29" s="12" t="inlineStr">
        <is>
          <t>VP and Head, BDOI Operations (Collections)</t>
        </is>
      </c>
      <c r="I29" s="37" t="n">
        <v>46356</v>
      </c>
      <c r="J29" s="12" t="inlineStr">
        <is>
          <t>Medium</t>
        </is>
      </c>
      <c r="K29" s="38" t="inlineStr">
        <is>
          <t>Open</t>
        </is>
      </c>
      <c r="L29" s="12" t="n"/>
      <c r="M29" s="12" t="n"/>
    </row>
    <row r="30">
      <c r="A30" s="12" t="inlineStr">
        <is>
          <t>CLR-CL-24</t>
        </is>
      </c>
      <c r="B30" s="12" t="inlineStr">
        <is>
          <t>BRD-04 Collections</t>
        </is>
      </c>
      <c r="C30" s="12" t="inlineStr">
        <is>
          <t>Business rule confirmation</t>
        </is>
      </c>
      <c r="D30" s="12" t="inlineStr">
        <is>
          <t>Details of an Operations action: Confirm the details per action.</t>
        </is>
      </c>
      <c r="E30" s="12" t="inlineStr">
        <is>
          <t>The BRD names the dispositions but not the details each needs.</t>
        </is>
      </c>
      <c r="F30" s="12" t="inlineStr">
        <is>
          <t>A 2307 disposition needs the path, certificate received or paid in cash; a DP reversal needs no detail; there is no check pick-up (CLR-CL-33). A date detail is checked as yyyy-mm-dd and an amount as a number.</t>
        </is>
      </c>
      <c r="G30" s="12" t="inlineStr">
        <is>
          <t>FRS BRD-04 v2.1, Proposed business rules and clarifications; FR-CL-032</t>
        </is>
      </c>
      <c r="H30" s="12" t="inlineStr">
        <is>
          <t>VP and Head, BDOI Operations (Collections)</t>
        </is>
      </c>
      <c r="I30" s="37" t="n">
        <v>46356</v>
      </c>
      <c r="J30" s="12" t="inlineStr">
        <is>
          <t>Medium</t>
        </is>
      </c>
      <c r="K30" s="38" t="inlineStr">
        <is>
          <t>Open</t>
        </is>
      </c>
      <c r="L30" s="12" t="n"/>
      <c r="M30" s="12" t="n"/>
    </row>
    <row r="31">
      <c r="A31" s="12" t="inlineStr">
        <is>
          <t>CLR-CL-25</t>
        </is>
      </c>
      <c r="B31" s="12" t="inlineStr">
        <is>
          <t>BRD-04 Collections</t>
        </is>
      </c>
      <c r="C31" s="12" t="inlineStr">
        <is>
          <t>Business rule confirmation</t>
        </is>
      </c>
      <c r="D31" s="12" t="inlineStr">
        <is>
          <t>Client on the worklist: Confirm the client code, or ask for the client's name with the code under it.</t>
        </is>
      </c>
      <c r="E31" s="12" t="inlineStr">
        <is>
          <t>The client code is the reference the collectors quote to Cashiering and in the files.</t>
        </is>
      </c>
      <c r="F31" s="12" t="inlineStr">
        <is>
          <t>The client of an account is shown by its client code, a link to the client view, with the name of the assured under it; the client's own name is shown on the client view.</t>
        </is>
      </c>
      <c r="G31" s="12" t="inlineStr">
        <is>
          <t>FRS BRD-04 v2.1, Proposed business rules and clarifications; screen standards; SCR-CL-02 to 04</t>
        </is>
      </c>
      <c r="H31" s="12" t="inlineStr">
        <is>
          <t>VP and Head, BDOI Operations (Collections)</t>
        </is>
      </c>
      <c r="I31" s="37" t="n">
        <v>46356</v>
      </c>
      <c r="J31" s="12" t="inlineStr">
        <is>
          <t>Medium</t>
        </is>
      </c>
      <c r="K31" s="38" t="inlineStr">
        <is>
          <t>Open</t>
        </is>
      </c>
      <c r="L31" s="12" t="n"/>
      <c r="M31" s="12" t="n"/>
    </row>
    <row r="32">
      <c r="A32" s="12" t="inlineStr">
        <is>
          <t>CLR-CL-26</t>
        </is>
      </c>
      <c r="B32" s="12" t="inlineStr">
        <is>
          <t>BRD-04 Collections</t>
        </is>
      </c>
      <c r="C32" s="12" t="inlineStr">
        <is>
          <t>Business rule confirmation</t>
        </is>
      </c>
      <c r="D32" s="12" t="inlineStr">
        <is>
          <t>Filters and criteria typed: Confirm, or ask for drop-downs of the segments, units and users by name.</t>
        </is>
      </c>
      <c r="E32" s="12" t="inlineStr">
        <is>
          <t>The filters were kept as in the BRD's list of filter fields (BRCLXN.011-012).</t>
        </is>
      </c>
      <c r="F32" s="12" t="inlineStr">
        <is>
          <t>The filters of the PR Worklist and the criteria of the assignment rules and of Reassign by Criteria are text fields where the user types a segment, unit, Unit Head, handler or account officer; the handler of a reassignment is chosen by name.</t>
        </is>
      </c>
      <c r="G32" s="12" t="inlineStr">
        <is>
          <t>FRS BRD-04 v2.1, Proposed business rules and clarifications; screen standards; SCR-CL-02, SCR-CL-17</t>
        </is>
      </c>
      <c r="H32" s="12" t="inlineStr">
        <is>
          <t>VP and Head, BDOI Operations (Collections)</t>
        </is>
      </c>
      <c r="I32" s="37" t="n">
        <v>46356</v>
      </c>
      <c r="J32" s="12" t="inlineStr">
        <is>
          <t>Medium</t>
        </is>
      </c>
      <c r="K32" s="38" t="inlineStr">
        <is>
          <t>Open</t>
        </is>
      </c>
      <c r="L32" s="12" t="n"/>
      <c r="M32" s="12" t="n"/>
    </row>
    <row r="33">
      <c r="A33" s="12" t="inlineStr">
        <is>
          <t>CLR-CL-27</t>
        </is>
      </c>
      <c r="B33" s="12" t="inlineStr">
        <is>
          <t>BRD-04 Collections</t>
        </is>
      </c>
      <c r="C33" s="12" t="inlineStr">
        <is>
          <t>Configuration value</t>
        </is>
      </c>
      <c r="D33" s="12" t="inlineStr">
        <is>
          <t>Collections Setup values: Confirm the names and descriptions of the parameters, and whether the invoice number format stays a pattern kept by the System Administrator or becomes a choice of formats.</t>
        </is>
      </c>
      <c r="E33" s="12" t="inlineStr">
        <is>
          <t>The set-up is maintained by the Section Heads and the Business Administrator; the invoice number format follows the numbering of the legacy and the BIBS invoices.</t>
        </is>
      </c>
      <c r="F33" s="12" t="inlineStr">
        <is>
          <t>The parameters are listed by name with a business description, and the attributes of a disposition are shown by label and chosen from drop-downs (the reserved roles as check boxes). The Invoice Number Format parameter is kept as the pattern the invoice number is checked against.</t>
        </is>
      </c>
      <c r="G33" s="12" t="inlineStr">
        <is>
          <t>FRS BRD-04 v2.1, Proposed business rules and clarifications; screen standards; SCR-CL-19</t>
        </is>
      </c>
      <c r="H33" s="12" t="inlineStr">
        <is>
          <t>VP and Head, BDOI Operations (Collections)</t>
        </is>
      </c>
      <c r="I33" s="37" t="n">
        <v>46356</v>
      </c>
      <c r="J33" s="12" t="inlineStr">
        <is>
          <t>Medium</t>
        </is>
      </c>
      <c r="K33" s="38" t="inlineStr">
        <is>
          <t>Open</t>
        </is>
      </c>
      <c r="L33" s="12" t="n"/>
      <c r="M33" s="12" t="n"/>
    </row>
    <row r="34">
      <c r="A34" s="12" t="inlineStr">
        <is>
          <t>CLR-CL-28</t>
        </is>
      </c>
      <c r="B34" s="12" t="inlineStr">
        <is>
          <t>BRD-04 Collections</t>
        </is>
      </c>
      <c r="C34" s="12" t="inlineStr">
        <is>
          <t>Business rule confirmation</t>
        </is>
      </c>
      <c r="D34" s="12" t="inlineStr">
        <is>
          <t>Designated user of an escalation: Confirm, or ask for a drop-down of the users who handle escalations, by name.</t>
        </is>
      </c>
      <c r="E34" s="12" t="inlineStr">
        <is>
          <t>The level (team lead, unit head, section head) is the usual target; a designated user is the exception.</t>
        </is>
      </c>
      <c r="F34" s="12" t="inlineStr">
        <is>
          <t>The designated user of a manual escalation and of an escalation rule is typed as the user ID; a user who does not handle escalations is refused.</t>
        </is>
      </c>
      <c r="G34" s="12" t="inlineStr">
        <is>
          <t>FRS BRD-04 v2.1, Proposed business rules and clarifications; screen standards; SCR-CL-11, SCR-CL-13</t>
        </is>
      </c>
      <c r="H34" s="12" t="inlineStr">
        <is>
          <t>VP and Head, BDOI Operations (Collections)</t>
        </is>
      </c>
      <c r="I34" s="37" t="n">
        <v>46356</v>
      </c>
      <c r="J34" s="12" t="inlineStr">
        <is>
          <t>Medium</t>
        </is>
      </c>
      <c r="K34" s="38" t="inlineStr">
        <is>
          <t>Open</t>
        </is>
      </c>
      <c r="L34" s="12" t="n"/>
      <c r="M34" s="12" t="n"/>
    </row>
    <row r="35">
      <c r="A35" s="12" t="inlineStr">
        <is>
          <t>CLR-CL-29</t>
        </is>
      </c>
      <c r="B35" s="12" t="inlineStr">
        <is>
          <t>BRD-04 Collections</t>
        </is>
      </c>
      <c r="C35" s="12" t="inlineStr">
        <is>
          <t>Sample document or template</t>
        </is>
      </c>
      <c r="D35" s="12" t="inlineStr">
        <is>
          <t>Values of the upload template: Confirm the codes in the template, or ask for the labels.</t>
        </is>
      </c>
      <c r="E35" s="12" t="inlineStr">
        <is>
          <t>A template is filled in a spreadsheet and read back by the system without interpretation.</t>
        </is>
      </c>
      <c r="F35" s="12" t="inlineStr">
        <is>
          <t>The Collections Bulk Update template takes the codes of its lists (escalation level TL, UH, section head or USER; the codes of the escalation reasons, dispositions and efforts), as the template instructions state.</t>
        </is>
      </c>
      <c r="G35" s="12" t="inlineStr">
        <is>
          <t>FRS BRD-04 v2.1, Proposed business rules and clarifications; FR-CL-034; chapter 18</t>
        </is>
      </c>
      <c r="H35" s="12" t="inlineStr">
        <is>
          <t>VP and Head, BDOI Operations (Collections)</t>
        </is>
      </c>
      <c r="I35" s="37" t="n">
        <v>46356</v>
      </c>
      <c r="J35" s="12" t="inlineStr">
        <is>
          <t>Medium</t>
        </is>
      </c>
      <c r="K35" s="38" t="inlineStr">
        <is>
          <t>Open</t>
        </is>
      </c>
      <c r="L35" s="12" t="n"/>
      <c r="M35" s="12" t="n"/>
    </row>
    <row r="36">
      <c r="A36" s="12" t="inlineStr">
        <is>
          <t>CLR-CL-30</t>
        </is>
      </c>
      <c r="B36" s="12" t="inlineStr">
        <is>
          <t>BRD-04 Collections</t>
        </is>
      </c>
      <c r="C36" s="12" t="inlineStr">
        <is>
          <t>Configuration value</t>
        </is>
      </c>
      <c r="D36" s="12" t="inlineStr">
        <is>
          <t>Disposition and effort values to confirm: Give the lists of dispositions, effort codes and escalation reasons (CQ08).</t>
        </is>
      </c>
      <c r="E36" s="12" t="inlineStr">
        <is>
          <t>The lists are to be supplied by BDOI (CQ08).</t>
        </is>
      </c>
      <c r="F36" s="12" t="inlineStr">
        <is>
          <t>The seeded dispositions, effort codes and escalation reasons are the values implied by the BRD; BDOI replaces them with its lists as configuration.</t>
        </is>
      </c>
      <c r="G36" s="12" t="inlineStr">
        <is>
          <t>FRS BRD-04 v2.1, Proposed business rules and clarifications; FR-CL-030, 033, 072; CQ08; also raised as CQ08 (open question)</t>
        </is>
      </c>
      <c r="H36" s="12" t="inlineStr">
        <is>
          <t>VP and Head, BDOI Operations (Collections)</t>
        </is>
      </c>
      <c r="I36" s="37" t="n">
        <v>46356</v>
      </c>
      <c r="J36" s="12" t="inlineStr">
        <is>
          <t>Medium</t>
        </is>
      </c>
      <c r="K36" s="38" t="inlineStr">
        <is>
          <t>Open</t>
        </is>
      </c>
      <c r="L36" s="12" t="n"/>
      <c r="M36" s="12" t="n"/>
    </row>
    <row r="37">
      <c r="A37" s="12" t="inlineStr">
        <is>
          <t>CLR-CL-31</t>
        </is>
      </c>
      <c r="B37" s="12" t="inlineStr">
        <is>
          <t>BRD-04 Collections</t>
        </is>
      </c>
      <c r="C37" s="12" t="inlineStr">
        <is>
          <t>Master data</t>
        </is>
      </c>
      <c r="D37" s="12" t="inlineStr">
        <is>
          <t>Authorization of escalation rules: Name the role that authorizes the escalation rules (for example the Section Head), or confirm the authorizers of master data.</t>
        </is>
      </c>
      <c r="E37" s="12" t="inlineStr">
        <is>
          <t>The BRD asks for maker-checker on the rules without naming the checker.</t>
        </is>
      </c>
      <c r="F37" s="12" t="inlineStr">
        <is>
          <t>A new or changed escalation rule is authorized by an authorizer of master data (the Authorizer role of the platform) other than its maker; no Collections role authorizes master data.</t>
        </is>
      </c>
      <c r="G37" s="12" t="inlineStr">
        <is>
          <t>FRS BRD-04 v2.1, Proposed business rules and clarifications; BRCLXN.049; FR-CL-050</t>
        </is>
      </c>
      <c r="H37" s="12" t="inlineStr">
        <is>
          <t>VP and Head, BDOI Operations (Collections)</t>
        </is>
      </c>
      <c r="I37" s="37" t="n">
        <v>46356</v>
      </c>
      <c r="J37" s="12" t="inlineStr">
        <is>
          <t>Medium</t>
        </is>
      </c>
      <c r="K37" s="38" t="inlineStr">
        <is>
          <t>Open</t>
        </is>
      </c>
      <c r="L37" s="12" t="n"/>
      <c r="M37" s="12" t="n"/>
    </row>
    <row r="38">
      <c r="A38" s="12" t="inlineStr">
        <is>
          <t>CLR-CL-32</t>
        </is>
      </c>
      <c r="B38" s="12" t="inlineStr">
        <is>
          <t>BRD-04 Collections</t>
        </is>
      </c>
      <c r="C38" s="12" t="inlineStr">
        <is>
          <t>Business rule confirmation</t>
        </is>
      </c>
      <c r="D38" s="12" t="inlineStr">
        <is>
          <t>Billing statements generated by Operations: Confirm that Operations generates and sends the statements and name the existing Operations profile that holds clx soa issue (proposed: the Cashiering Team Leader / Head); confirm that the Collections roles only view them; provide the sample SOA annex (CQ18).</t>
        </is>
      </c>
      <c r="E38" s="12" t="inlineStr">
        <is>
          <t>The minutes of 27-Apr-2026 (BRD 58) state that billing generation is handled by Accounting / Operations and that Collections users have visibility only, and that Operations and Marketing Collections handle triggering and criteria with no new user profile. In BIBS the Marketing Collection role of BRD-2 is the Collection Handler of this FRS, so the two statements of the minutes need one owner.</t>
        </is>
      </c>
      <c r="F38" s="12" t="inlineStr">
        <is>
          <t>The Operations billing user, with the new permission clx soa issue, runs the billing, generates, sends and cancels the statements; the proposed holder is the Cashiering Team Leader / Head, an existing Operations profile. The Collection Handlers and Team Leads see the statements, their lines and e-mails and download the PDF, read only; they keep the installment plans (FR-CL-040). In the screenshots of WT-D steps 2 to 4 and of the Billing Statements and Statement of Account screens the statement is generated and sent by the seed user Clara Collection Handler; under this rule the Operations billing user does these steps and is shown as Generated By.</t>
        </is>
      </c>
      <c r="G38" s="12" t="inlineStr">
        <is>
          <t>FRS BRD-04 v2.1, Proposed business rules and clarifications; BRCLXN.058, 060; FR-CL-060 to 062; WT-D; also raised as CQ18 (open question)</t>
        </is>
      </c>
      <c r="H38" s="12" t="inlineStr">
        <is>
          <t>VP and Head, BDOI Operations (Collections)</t>
        </is>
      </c>
      <c r="I38" s="37" t="n">
        <v>46356</v>
      </c>
      <c r="J38" s="12" t="inlineStr">
        <is>
          <t>Medium</t>
        </is>
      </c>
      <c r="K38" s="38" t="inlineStr">
        <is>
          <t>Partly answered</t>
        </is>
      </c>
      <c r="L38" s="12" t="n"/>
      <c r="M38" s="12" t="n"/>
    </row>
    <row r="39">
      <c r="A39" s="12" t="inlineStr">
        <is>
          <t>CLR-CL-33</t>
        </is>
      </c>
      <c r="B39" s="12" t="inlineStr">
        <is>
          <t>BRD-04 Collections</t>
        </is>
      </c>
      <c r="C39" s="12" t="inlineStr">
        <is>
          <t>Business rule confirmation</t>
        </is>
      </c>
      <c r="D39" s="12" t="inlineStr">
        <is>
          <t>Check pick-up removed: Confirm that Collections offers no check pick-up, and how a client check is to be followed up when the client cannot deposit it.</t>
        </is>
      </c>
      <c r="E39" s="12" t="inlineStr">
        <is>
          <t>The Operations Cashiering annex of May 2026 removed CSHID.009 (a check for pick-up from Collection) from the future process of BDOI (Operations_WS Addendum p.4-6, minutes of 05-May-2026). The report images of chapter 17 still show "For check pick-up" as the disposition of two seed accounts recorded earlier.</t>
        </is>
      </c>
      <c r="F39" s="12" t="inlineStr">
        <is>
          <t>The disposition "For check pick-up" is not delivered, the Operations action "Check pick-up" and its details (pick-up date, address, contact person, check amount, number and bank) are removed, and no item goes to a Cashiering pick-up queue. Walkthrough A ends at the first collection effort (frames WT-A.5 and WT-A.6 are retired); a client who pays by check deposits it or sends it to Cashiering, which receipts it as any other payment.</t>
        </is>
      </c>
      <c r="G39" s="12" t="inlineStr">
        <is>
          <t>FRS BRD-04 v2.1, Proposed business rules and clarifications; FR-CL-030, 032; WT-A</t>
        </is>
      </c>
      <c r="H39" s="12" t="inlineStr">
        <is>
          <t>VP and Head, BDOI Operations (Collections)</t>
        </is>
      </c>
      <c r="I39" s="37" t="n">
        <v>46356</v>
      </c>
      <c r="J39" s="12" t="inlineStr">
        <is>
          <t>Medium</t>
        </is>
      </c>
      <c r="K39" s="38" t="inlineStr">
        <is>
          <t>Open</t>
        </is>
      </c>
      <c r="L39" s="12" t="n"/>
      <c r="M39" s="12" t="n"/>
    </row>
    <row r="40">
      <c r="A40" s="12" t="inlineStr">
        <is>
          <t>CLR-CL-34</t>
        </is>
      </c>
      <c r="B40" s="12" t="inlineStr">
        <is>
          <t>BRD-04 Collections</t>
        </is>
      </c>
      <c r="C40" s="12" t="inlineStr">
        <is>
          <t>Business rule confirmation</t>
        </is>
      </c>
      <c r="D40" s="12" t="inlineStr">
        <is>
          <t>Default escalation levels: Confirm the levels and their targets (CQ14).</t>
        </is>
      </c>
      <c r="E40" s="12" t="inlineStr">
        <is>
          <t>The minutes give 45, 60 and 120 days as example thresholds (CQ14).</t>
        </is>
      </c>
      <c r="F40" s="12" t="inlineStr">
        <is>
          <t>The delivered rules add a level of 120 days from booking to the Section Head to the 45-day (Team Lead) and 60th-day (Unit Head) levels; all stay configuration.</t>
        </is>
      </c>
      <c r="G40" s="12" t="inlineStr">
        <is>
          <t>FRS BRD-04 v2.1, Proposed business rules and clarifications; BRCLXN.049; FR-CL-050</t>
        </is>
      </c>
      <c r="H40" s="12" t="inlineStr">
        <is>
          <t>VP and Head, BDOI Operations (Collections)</t>
        </is>
      </c>
      <c r="I40" s="37" t="n">
        <v>46356</v>
      </c>
      <c r="J40" s="12" t="inlineStr">
        <is>
          <t>Medium</t>
        </is>
      </c>
      <c r="K40" s="38" t="inlineStr">
        <is>
          <t>Open</t>
        </is>
      </c>
      <c r="L40" s="12" t="n"/>
      <c r="M40" s="12" t="n"/>
    </row>
    <row r="41">
      <c r="A41" s="12" t="inlineStr">
        <is>
          <t>CLR-CL-35</t>
        </is>
      </c>
      <c r="B41" s="12" t="inlineStr">
        <is>
          <t>BRD-04 Collections</t>
        </is>
      </c>
      <c r="C41" s="12" t="inlineStr">
        <is>
          <t>Business rule confirmation</t>
        </is>
      </c>
      <c r="D41" s="12" t="inlineStr">
        <is>
          <t>Home tiles for promises, installments and escalations: Confirm the four tiles and who sees them (CQ21).</t>
        </is>
      </c>
      <c r="E41" s="12" t="inlineStr">
        <is>
          <t>The minutes ask for dashboard and report views of broken promises and overdue installments for handlers and supervisors (CQ21).</t>
        </is>
      </c>
      <c r="F41" s="12" t="inlineStr">
        <is>
          <t>Collections Home shows Broken Promises, Promises Due, Overdue Installments and Open Escalations to the handlers and team leads, each opening its list.</t>
        </is>
      </c>
      <c r="G41" s="12" t="inlineStr">
        <is>
          <t>FRS BRD-04 v2.1, Proposed business rules and clarifications; BRCLXN.054-055; FR-CL-085; also raised as CQ21 (open question)</t>
        </is>
      </c>
      <c r="H41" s="12" t="inlineStr">
        <is>
          <t>VP and Head, BDOI Operations (Collections)</t>
        </is>
      </c>
      <c r="I41" s="37" t="n">
        <v>46356</v>
      </c>
      <c r="J41" s="12" t="inlineStr">
        <is>
          <t>Medium</t>
        </is>
      </c>
      <c r="K41" s="38" t="inlineStr">
        <is>
          <t>Partly answered</t>
        </is>
      </c>
      <c r="L41" s="12" t="n"/>
      <c r="M41" s="12" t="n"/>
    </row>
    <row r="42">
      <c r="A42" s="12" t="inlineStr">
        <is>
          <t>CLR-CL-36</t>
        </is>
      </c>
      <c r="B42" s="12" t="inlineStr">
        <is>
          <t>BRD-04 Collections</t>
        </is>
      </c>
      <c r="C42" s="12" t="inlineStr">
        <is>
          <t>Clarification</t>
        </is>
      </c>
      <c r="D42" s="12" t="inlineStr">
        <is>
          <t>ICS: Say what ICS is and whether BIBS replaces it or exchanges data with it (CQ27).</t>
        </is>
      </c>
      <c r="E42" s="12" t="inlineStr">
        <is>
          <t>The minutes contrast the BRD with "ICS", which shows outstanding amounts only; the FRS has no other mention of ICS (CQ27).</t>
        </is>
      </c>
      <c r="F42" s="12" t="inlineStr">
        <is>
          <t>BIBS shows the full chronological payment history of every account until the outstanding is cleared; no exchange with ICS is proposed.</t>
        </is>
      </c>
      <c r="G42" s="12" t="inlineStr">
        <is>
          <t>FRS BRD-04 v2.1, Proposed business rules and clarifications; BRCLXN.054; FR-CL-041; also raised as CQ27 (open question)</t>
        </is>
      </c>
      <c r="H42" s="12" t="inlineStr">
        <is>
          <t>VP and Head, BDOI Operations (Collections)</t>
        </is>
      </c>
      <c r="I42" s="37" t="n">
        <v>46356</v>
      </c>
      <c r="J42" s="12" t="inlineStr">
        <is>
          <t>Medium</t>
        </is>
      </c>
      <c r="K42" s="38" t="inlineStr">
        <is>
          <t>Open</t>
        </is>
      </c>
      <c r="L42" s="12" t="n"/>
      <c r="M42" s="12" t="n"/>
    </row>
    <row r="43">
      <c r="A43" s="12" t="inlineStr">
        <is>
          <t>CLR-CL-37</t>
        </is>
      </c>
      <c r="B43" s="12" t="inlineStr">
        <is>
          <t>BRD-04 Collections</t>
        </is>
      </c>
      <c r="C43" s="12" t="inlineStr">
        <is>
          <t>Business rule confirmation</t>
        </is>
      </c>
      <c r="D43" s="12" t="inlineStr">
        <is>
          <t>Collections access under the Operations access matrix: Confirm the view access of the Collections roles to Remittance and the Production Register, and that they take no commission receivable action.</t>
        </is>
      </c>
      <c r="E43" s="12" t="inlineStr">
        <is>
          <t>The minutes place the Collections access level in the access matrix of the Operations BRD and ask that viewing and action permissions be documented in line with the BRDs.</t>
        </is>
      </c>
      <c r="F43" s="12" t="inlineStr">
        <is>
          <t>The Collections roles view Remittance (search and view) and the Production Register (view and filter) of Operations, read only; the commission receivable capabilities of the matrix stay with Commission Receivables (BRD-2), which Collections views. The grants are submitted through the role matrix of BRD-11.</t>
        </is>
      </c>
      <c r="G43" s="12" t="inlineStr">
        <is>
          <t>FRS BRD-04 v2.1, Proposed business rules and clarifications; FR-CL-001</t>
        </is>
      </c>
      <c r="H43" s="12" t="inlineStr">
        <is>
          <t>VP and Head, BDOI Operations (Collections)</t>
        </is>
      </c>
      <c r="I43" s="37" t="n">
        <v>46356</v>
      </c>
      <c r="J43" s="12" t="inlineStr">
        <is>
          <t>Medium</t>
        </is>
      </c>
      <c r="K43" s="38" t="inlineStr">
        <is>
          <t>Open</t>
        </is>
      </c>
      <c r="L43" s="12" t="n"/>
      <c r="M43" s="12" t="n"/>
    </row>
    <row r="44">
      <c r="A44" s="12" t="inlineStr">
        <is>
          <t>CLR-CL-38</t>
        </is>
      </c>
      <c r="B44" s="12" t="inlineStr">
        <is>
          <t>BRD-04 Collections</t>
        </is>
      </c>
      <c r="C44" s="12" t="inlineStr">
        <is>
          <t>Business rule confirmation</t>
        </is>
      </c>
      <c r="D44" s="12" t="inlineStr">
        <is>
          <t>Archiving of open accounts: Confirm the rule and provide the archiving criteria and retention periods (CQ26).</t>
        </is>
      </c>
      <c r="E44" s="12" t="inlineStr">
        <is>
          <t>The minutes ask for criteria that identify active accounts that should not be archived, with a follow-up to document the criteria (CQ26).</t>
        </is>
      </c>
      <c r="F44" s="12" t="inlineStr">
        <is>
          <t>An open, credit or escalated collection account, or one with an open promise or a live installment plan, is never archived even when it is due for archiving; the other criteria follow the enterprise retention policy.</t>
        </is>
      </c>
      <c r="G44" s="12" t="inlineStr">
        <is>
          <t>FRS BRD-04 v2.1, Proposed business rules and clarifications; NFR 16; section 8; also raised as CQ26 (open question)</t>
        </is>
      </c>
      <c r="H44" s="12" t="inlineStr">
        <is>
          <t>VP and Head, BDOI Operations (Collections)</t>
        </is>
      </c>
      <c r="I44" s="37" t="n">
        <v>46356</v>
      </c>
      <c r="J44" s="12" t="inlineStr">
        <is>
          <t>Medium</t>
        </is>
      </c>
      <c r="K44" s="38" t="inlineStr">
        <is>
          <t>Open</t>
        </is>
      </c>
      <c r="L44" s="12" t="n"/>
      <c r="M44" s="12" t="n"/>
    </row>
    <row r="45">
      <c r="A45" s="12" t="inlineStr">
        <is>
          <t>CLR-CL-39</t>
        </is>
      </c>
      <c r="B45" s="12" t="inlineStr">
        <is>
          <t>BRD-04 Collections</t>
        </is>
      </c>
      <c r="C45" s="12" t="inlineStr">
        <is>
          <t>Business rule confirmation</t>
        </is>
      </c>
      <c r="D45" s="12" t="inlineStr">
        <is>
          <t>Incentive campaigns: Confirm Marketing as owner and the relation of the campaigns to the early-remittance incentive and to the incentive criteria of Product Maintenance (CQ24).</t>
        </is>
      </c>
      <c r="E45" s="12" t="inlineStr">
        <is>
          <t>The minutes give the set-up to Marketing and visibility of the eligible transactions to Collections; the relation to the early-remittance incentive is open (CQ24).</t>
        </is>
      </c>
      <c r="F45" s="12" t="inlineStr">
        <is>
          <t>Marketing sets up and changes the campaigns; the Collections users see the eligible transactions only; the incentive service invoice is the one of BRD-5 (FR-DS-091).</t>
        </is>
      </c>
      <c r="G45" s="12" t="inlineStr">
        <is>
          <t>FRS BRD-04 v2.1, Proposed business rules and clarifications; BRCLXN.062; FR-CL-092; also raised as CQ24 (open question)</t>
        </is>
      </c>
      <c r="H45" s="12" t="inlineStr">
        <is>
          <t>VP and Head, BDOI Operations (Collections)</t>
        </is>
      </c>
      <c r="I45" s="37" t="n">
        <v>46356</v>
      </c>
      <c r="J45" s="12" t="inlineStr">
        <is>
          <t>Medium</t>
        </is>
      </c>
      <c r="K45" s="38" t="inlineStr">
        <is>
          <t>Open</t>
        </is>
      </c>
      <c r="L45" s="12" t="n"/>
      <c r="M45" s="12" t="n"/>
    </row>
    <row r="46">
      <c r="A46" s="12" t="inlineStr">
        <is>
          <t>CLR-CL-40</t>
        </is>
      </c>
      <c r="B46" s="12" t="inlineStr">
        <is>
          <t>BRD-04 Collections</t>
        </is>
      </c>
      <c r="C46" s="12" t="inlineStr">
        <is>
          <t>Configuration value</t>
        </is>
      </c>
      <c r="D46" s="12" t="inlineStr">
        <is>
          <t>Confirmation of fully paid accounts for commission billing: Confirm that the "Marketing Collections" of the minutes is the Commission Receivables Unit reviewer, or name the role that confirms.</t>
        </is>
      </c>
      <c r="E46" s="12" t="inlineStr">
        <is>
          <t>The minutes say that Marketing Collections confirms fully paid accounts and triggers the commission billing.</t>
        </is>
      </c>
      <c r="F46" s="12" t="inlineStr">
        <is>
          <t>The CRU reviewer of BRD-2 confirms an account fully paid to the insurer before it can be billed.</t>
        </is>
      </c>
      <c r="G46" s="12" t="inlineStr">
        <is>
          <t>FRS BRD-04 v2.1, Proposed business rules and clarifications; BRCLXN.059; FR-CL-090</t>
        </is>
      </c>
      <c r="H46" s="12" t="inlineStr">
        <is>
          <t>VP and Head, BDOI Operations (Collections)</t>
        </is>
      </c>
      <c r="I46" s="37" t="n">
        <v>46356</v>
      </c>
      <c r="J46" s="12" t="inlineStr">
        <is>
          <t>Medium</t>
        </is>
      </c>
      <c r="K46" s="38" t="inlineStr">
        <is>
          <t>Open</t>
        </is>
      </c>
      <c r="L46" s="12" t="n"/>
      <c r="M46" s="12" t="n"/>
    </row>
    <row r="47">
      <c r="A47" s="12" t="inlineStr">
        <is>
          <t>CLR-CL-41</t>
        </is>
      </c>
      <c r="B47" s="12" t="inlineStr">
        <is>
          <t>BRD-04 Collections</t>
        </is>
      </c>
      <c r="C47" s="12" t="inlineStr">
        <is>
          <t>Configuration value</t>
        </is>
      </c>
      <c r="D47" s="12" t="inlineStr">
        <is>
          <t>Numbering in the minutes: Confirm the numbering behind "BRD 48-49".</t>
        </is>
      </c>
      <c r="E47" s="12" t="inlineStr">
        <is>
          <t>The minutes discuss escalation under "BRD 48-49", while BRCLXN.048 of the renumbering addendum is the invoice validation.</t>
        </is>
      </c>
      <c r="F47" s="12" t="inlineStr">
        <is>
          <t>Escalation is traced to BRCLXN.049 and 050; BRCLXN.048 stays the invoice validation for application (FR-CL-075).</t>
        </is>
      </c>
      <c r="G47" s="12" t="inlineStr">
        <is>
          <t>FRS BRD-04 v2.1, Proposed business rules and clarifications; BRCLXN.048-049; FR-CL-050, 075</t>
        </is>
      </c>
      <c r="H47" s="12" t="inlineStr">
        <is>
          <t>VP and Head, BDOI Operations (Collections)</t>
        </is>
      </c>
      <c r="I47" s="37" t="n">
        <v>46356</v>
      </c>
      <c r="J47" s="12" t="inlineStr">
        <is>
          <t>Medium</t>
        </is>
      </c>
      <c r="K47" s="38" t="inlineStr">
        <is>
          <t>Open</t>
        </is>
      </c>
      <c r="L47" s="12" t="n"/>
      <c r="M47" s="12" t="n"/>
    </row>
    <row r="48">
      <c r="A48" s="12" t="inlineStr">
        <is>
          <t>CLR-CL-42</t>
        </is>
      </c>
      <c r="B48" s="12" t="inlineStr">
        <is>
          <t>BRD-04 Collections</t>
        </is>
      </c>
      <c r="C48" s="12" t="inlineStr">
        <is>
          <t>Business rule confirmation</t>
        </is>
      </c>
      <c r="D48" s="12" t="inlineStr">
        <is>
          <t>Receiving step of the PR 2307 hand-off: Confirm the receiving step of the PR 2307 accounts with the BRD-2 owners.</t>
        </is>
      </c>
      <c r="E48" s="12" t="inlineStr">
        <is>
          <t>The re-issued Operations BRD v1.01 removes Cashiering from the BIR 2307 processing (CSHID.026-027) and gives the whole PR 2307 reversal to Marketing Collection (MKTID.013).</t>
        </is>
      </c>
      <c r="F48" s="12" t="inlineStr">
        <is>
          <t>The disposition "PR 2307 for reversal" keeps handing the account to Operations; the step that receives it follows the BRD-2 FRS re-based on the re-issued Operations BRD v1.01.</t>
        </is>
      </c>
      <c r="G48" s="12" t="inlineStr">
        <is>
          <t>FRS BRD-04 v2.1, Proposed business rules and clarifications; BRCLXN.026; FR-CL-032</t>
        </is>
      </c>
      <c r="H48" s="12" t="inlineStr">
        <is>
          <t>VP and Head, BDOI Operations (Collections)</t>
        </is>
      </c>
      <c r="I48" s="37" t="n">
        <v>46356</v>
      </c>
      <c r="J48" s="12" t="inlineStr">
        <is>
          <t>Medium</t>
        </is>
      </c>
      <c r="K48" s="38" t="inlineStr">
        <is>
          <t>Open</t>
        </is>
      </c>
      <c r="L48" s="12" t="n"/>
      <c r="M48" s="12" t="n"/>
    </row>
    <row r="49">
      <c r="A49" s="12" t="inlineStr">
        <is>
          <t>CQ09</t>
        </is>
      </c>
      <c r="B49" s="12" t="inlineStr">
        <is>
          <t>BRD-04 Collections</t>
        </is>
      </c>
      <c r="C49" s="12" t="inlineStr">
        <is>
          <t>Report layout</t>
        </is>
      </c>
      <c r="D49" s="12" t="inlineStr">
        <is>
          <t>Report scope: "Weekly reports per unit per branch": which reports (p.59 lists DP PR and PR 2307 for reversal)? "PR Report" (045) = Outstanding PR List and / or Full Production Report?</t>
        </is>
      </c>
      <c r="E49" s="12" t="inlineStr">
        <is>
          <t>Open point of the FRS (FR-CL-082, 083): the requirement cannot be finalised or tested as BDOI intends until it is answered.</t>
        </is>
      </c>
      <c r="F49" s="12" t="n"/>
      <c r="G49" s="12" t="inlineStr">
        <is>
          <t>FRS BRD-04 v2.1, Open questions CQ09 (affects FR-CL-082, 083); Discrepancy and clarification register v1.2, open question CQ09; baseline BRCLXN.028/045</t>
        </is>
      </c>
      <c r="H49" s="12" t="inlineStr">
        <is>
          <t>VP and Head, BDOI Operations (Collections)</t>
        </is>
      </c>
      <c r="I49" s="37" t="n">
        <v>46356</v>
      </c>
      <c r="J49" s="12" t="inlineStr">
        <is>
          <t>Medium</t>
        </is>
      </c>
      <c r="K49" s="38" t="inlineStr">
        <is>
          <t>Partly answered</t>
        </is>
      </c>
      <c r="L49" s="12" t="n"/>
      <c r="M49" s="12" t="inlineStr">
        <is>
          <t>Answer so far: "Reports per Unit per Branch": daily / as needed, production-style columns. (Report List #59).</t>
        </is>
      </c>
    </row>
    <row r="50">
      <c r="A50" s="12" t="inlineStr">
        <is>
          <t>CQ19</t>
        </is>
      </c>
      <c r="B50" s="12" t="inlineStr">
        <is>
          <t>BRD-04 Collections</t>
        </is>
      </c>
      <c r="C50" s="12" t="inlineStr">
        <is>
          <t>Report layout</t>
        </is>
      </c>
      <c r="D50" s="12" t="inlineStr">
        <is>
          <t>Mixed payments: How is a partial direct-to-insurer payment on a non-DP invoice evidenced (insurer confirmation, production report)?</t>
        </is>
      </c>
      <c r="E50" s="12" t="inlineStr">
        <is>
          <t>Open point of the FRS (FR-CL-094): the requirement cannot be finalised or tested as BDOI intends until it is answered.</t>
        </is>
      </c>
      <c r="F50" s="12" t="n"/>
      <c r="G50" s="12" t="inlineStr">
        <is>
          <t>FRS BRD-04 v2.1, Open questions CQ19 (affects FR-CL-094); Discrepancy and clarification register v1.2, open question CQ19; baseline BRCLXN.064</t>
        </is>
      </c>
      <c r="H50" s="12" t="inlineStr">
        <is>
          <t>VP and Head, BDOI Operations (Collections)</t>
        </is>
      </c>
      <c r="I50" s="37" t="n">
        <v>46356</v>
      </c>
      <c r="J50" s="12" t="inlineStr">
        <is>
          <t>Medium</t>
        </is>
      </c>
      <c r="K50" s="38" t="inlineStr">
        <is>
          <t>Open</t>
        </is>
      </c>
      <c r="L50" s="12" t="n"/>
      <c r="M50" s="12" t="n"/>
    </row>
    <row r="51">
      <c r="A51" s="12" t="inlineStr">
        <is>
          <t>CQ22</t>
        </is>
      </c>
      <c r="B51" s="12" t="inlineStr">
        <is>
          <t>BRD-04 Collections</t>
        </is>
      </c>
      <c r="C51" s="12" t="inlineStr">
        <is>
          <t>Clarification</t>
        </is>
      </c>
      <c r="D51" s="12" t="inlineStr">
        <is>
          <t>Legacy fields: Mapping of cover no. / version, QPS reference, EBIX invoice no., "BDOI SYS REF", "booking category", "Corp Dep" to BIBS fields</t>
        </is>
      </c>
      <c r="E51" s="12" t="inlineStr">
        <is>
          <t>Open point of the FRS (Section 6.1): the requirement cannot be finalised or tested as BDOI intends until it is answered.</t>
        </is>
      </c>
      <c r="F51" s="12" t="n"/>
      <c r="G51" s="12" t="inlineStr">
        <is>
          <t>FRS BRD-04 v2.1, Open questions CQ22 (affects Section 6.1); Discrepancy and clarification register v1.2, open question CQ22; baseline p.59-61</t>
        </is>
      </c>
      <c r="H51" s="12" t="inlineStr">
        <is>
          <t>VP and Head, BDOI Operations (Collections)</t>
        </is>
      </c>
      <c r="I51" s="37" t="n">
        <v>46356</v>
      </c>
      <c r="J51" s="12" t="inlineStr">
        <is>
          <t>Medium</t>
        </is>
      </c>
      <c r="K51" s="38" t="inlineStr">
        <is>
          <t>Partly answered</t>
        </is>
      </c>
      <c r="L51" s="12" t="n"/>
      <c r="M51" s="12" t="inlineStr">
        <is>
          <t>Answer so far: Legacy invoices keep their legacy identifiers; the field mapping is not given. (BRD-13 BRID 6.1).</t>
        </is>
      </c>
    </row>
    <row r="52">
      <c r="A52" s="12" t="inlineStr">
        <is>
          <t>DCR-048</t>
        </is>
      </c>
      <c r="B52" s="12" t="inlineStr">
        <is>
          <t>BRD-04 Collections</t>
        </is>
      </c>
      <c r="C52" s="12" t="inlineStr">
        <is>
          <t>Clarification</t>
        </is>
      </c>
      <c r="D52" s="12" t="inlineStr">
        <is>
          <t>Please complete the regularization signature.</t>
        </is>
      </c>
      <c r="E52" s="12" t="inlineStr">
        <is>
          <t>Signed addendum: one Product Owner "for regularization - on leave", Head of Comptrollership "not required", two approvers "with signing". The CMS BRD sign-off approver block is unsigned; approval is by e-mail (p.64-65). Governance: approval evidence incomplete for one Product Owner.</t>
        </is>
      </c>
      <c r="F52" s="12" t="inlineStr">
        <is>
          <t>None for the system.</t>
        </is>
      </c>
      <c r="G52" s="12" t="inlineStr">
        <is>
          <t>Discrepancy and clarification register v1.2, DCR-048 (Document quality); Signed addendum approval (p.22); CMS BRD sign-off (p.62-65)</t>
        </is>
      </c>
      <c r="H52" s="12" t="inlineStr">
        <is>
          <t>Operations - Collections (Head of BDOI Operations)</t>
        </is>
      </c>
      <c r="I52" s="37" t="n">
        <v>46356</v>
      </c>
      <c r="J52" s="12" t="inlineStr">
        <is>
          <t>Medium</t>
        </is>
      </c>
      <c r="K52" s="38" t="inlineStr">
        <is>
          <t>Open</t>
        </is>
      </c>
      <c r="L52" s="12" t="n"/>
      <c r="M52" s="12" t="n"/>
    </row>
    <row r="53">
      <c r="A53" s="12" t="inlineStr">
        <is>
          <t>DCR-145</t>
        </is>
      </c>
      <c r="B53" s="12" t="inlineStr">
        <is>
          <t>BRD-04 Collections</t>
        </is>
      </c>
      <c r="C53" s="12" t="inlineStr">
        <is>
          <t>Clarification</t>
        </is>
      </c>
      <c r="D53" s="12" t="inlineStr">
        <is>
          <t>Note the proposed handling (no answer needed unless BDOI disagrees): Add source IP and resource to the audit record.</t>
        </is>
      </c>
      <c r="E53" s="12" t="inlineStr">
        <is>
          <t>The audit NFR requires the source IP address of each event and of back-office actions. The BIBS audit trail records user, time and change, not the source IP. Audit completeness.</t>
        </is>
      </c>
      <c r="F53" s="12" t="inlineStr">
        <is>
          <t>Add source IP and resource to the audit record.</t>
        </is>
      </c>
      <c r="G53" s="12" t="inlineStr">
        <is>
          <t>Discrepancy and clarification register v1.2, DCR-145 (BRD vs platform); NFR 4.x audit (p.52)</t>
        </is>
      </c>
      <c r="H53" s="12" t="inlineStr">
        <is>
          <t>Operations - Collections (Head of BDOI Operations)</t>
        </is>
      </c>
      <c r="I53" s="37" t="n">
        <v>46356</v>
      </c>
      <c r="J53" s="12" t="inlineStr">
        <is>
          <t>Medium</t>
        </is>
      </c>
      <c r="K53" s="38" t="inlineStr">
        <is>
          <t>Open</t>
        </is>
      </c>
      <c r="L53" s="12" t="n"/>
      <c r="M53" s="12" t="n"/>
    </row>
    <row r="54">
      <c r="A54" s="12" t="inlineStr">
        <is>
          <t>DCR-040</t>
        </is>
      </c>
      <c r="B54" s="12" t="inlineStr">
        <is>
          <t>BRD-04 Collections</t>
        </is>
      </c>
      <c r="C54" s="12" t="inlineStr">
        <is>
          <t>Clarification</t>
        </is>
      </c>
      <c r="D54" s="12" t="inlineStr">
        <is>
          <t>The Collections renumbering addendum has the page header "CLAIMS" and the heading "Addendum1: Claims". None; correct in the next revision.</t>
        </is>
      </c>
      <c r="E54" s="12" t="inlineStr">
        <is>
          <t>The Collections renumbering addendum has the page header "CLAIMS" and the heading "Addendum1: Claims". Approval record only.</t>
        </is>
      </c>
      <c r="F54" s="12" t="inlineStr">
        <is>
          <t>None.</t>
        </is>
      </c>
      <c r="G54" s="12" t="inlineStr">
        <is>
          <t>Discrepancy and clarification register v1.2, DCR-040 (Document quality); Renumbering addendum (p.24-25)</t>
        </is>
      </c>
      <c r="H54" s="12" t="inlineStr">
        <is>
          <t>Operations - Collections (Head of BDOI Operations)</t>
        </is>
      </c>
      <c r="I54" s="37" t="n">
        <v>46356</v>
      </c>
      <c r="J54" s="12" t="inlineStr">
        <is>
          <t>Low</t>
        </is>
      </c>
      <c r="K54" s="38" t="inlineStr">
        <is>
          <t>Open</t>
        </is>
      </c>
      <c r="L54" s="12" t="n"/>
      <c r="M54" s="12" t="n"/>
    </row>
    <row r="55">
      <c r="A55" s="12" t="inlineStr">
        <is>
          <t>DCR-047</t>
        </is>
      </c>
      <c r="B55" s="12" t="inlineStr">
        <is>
          <t>BRD-04 Collections</t>
        </is>
      </c>
      <c r="C55" s="12" t="inlineStr">
        <is>
          <t>Report layout</t>
        </is>
      </c>
      <c r="D55" s="12" t="inlineStr">
        <is>
          <t>Please confirm the weekly report volume.</t>
        </is>
      </c>
      <c r="E55" s="12" t="inlineStr">
        <is>
          <t>Typing errors in the NFR tables: "6,0000" weekly volume, "3 minuntes". Tables carry template numbers "15a" and "23b". Weekly volume target unclear (6,000 or 60,000).</t>
        </is>
      </c>
      <c r="F55" s="12" t="inlineStr">
        <is>
          <t>Read as 6,000 per week.</t>
        </is>
      </c>
      <c r="G55" s="12" t="inlineStr">
        <is>
          <t>Discrepancy and clarification register v1.2, DCR-047 (Document quality); Performance table (p.56-57); table numbers (p.58)</t>
        </is>
      </c>
      <c r="H55" s="12" t="inlineStr">
        <is>
          <t>Operations - Collections (Head of BDOI Operations)</t>
        </is>
      </c>
      <c r="I55" s="37" t="n">
        <v>46356</v>
      </c>
      <c r="J55" s="12" t="inlineStr">
        <is>
          <t>Low</t>
        </is>
      </c>
      <c r="K55" s="38" t="inlineStr">
        <is>
          <t>Open</t>
        </is>
      </c>
      <c r="L55" s="12" t="n"/>
      <c r="M55" s="12" t="n"/>
    </row>
    <row r="56">
      <c r="A56" s="12" t="inlineStr">
        <is>
          <t>SO-04-2</t>
        </is>
      </c>
      <c r="B56" s="12" t="inlineStr">
        <is>
          <t>BRD-04 Collections</t>
        </is>
      </c>
      <c r="C56" s="12" t="inlineStr">
        <is>
          <t>Sign-off</t>
        </is>
      </c>
      <c r="D56" s="12" t="inlineStr">
        <is>
          <t>Approve the test plan of BRD-04 Collections.</t>
        </is>
      </c>
      <c r="E56" s="12" t="inlineStr">
        <is>
          <t>The signed document fixes the scope for the next step of the plan; a late sign-off moves the dates that follow it.</t>
        </is>
      </c>
      <c r="F56" s="12" t="n"/>
      <c r="G56" s="12" t="inlineStr">
        <is>
          <t>Project plan v1.0 (8-Oct-2026), sign-offs and milestones</t>
        </is>
      </c>
      <c r="H56" s="12" t="inlineStr">
        <is>
          <t>VP and Head, BDOI Operations (Collections)</t>
        </is>
      </c>
      <c r="I56" s="37" t="n">
        <v>46374</v>
      </c>
      <c r="J56" s="12" t="inlineStr">
        <is>
          <t>High</t>
        </is>
      </c>
      <c r="K56" s="38" t="inlineStr">
        <is>
          <t>Open</t>
        </is>
      </c>
      <c r="L56" s="12" t="n"/>
      <c r="M56" s="12" t="n"/>
    </row>
    <row r="57">
      <c r="A57" s="12" t="inlineStr">
        <is>
          <t>CQ20</t>
        </is>
      </c>
      <c r="B57" s="12" t="inlineStr">
        <is>
          <t>BRD-04 Collections</t>
        </is>
      </c>
      <c r="C57" s="12" t="inlineStr">
        <is>
          <t>Integration detail</t>
        </is>
      </c>
      <c r="D57" s="12" t="inlineStr">
        <is>
          <t>Marketing Diary / CTE: Is the Marketing Diary kept in ISYS (then interface or link) or moved into BIBS? Are CTE requests tracked in BIBS?</t>
        </is>
      </c>
      <c r="E57" s="12" t="inlineStr">
        <is>
          <t>Open point of the FRS (FR-CL-033): the requirement cannot be finalised or tested as BDOI intends until it is answered.</t>
        </is>
      </c>
      <c r="F57" s="12" t="n"/>
      <c r="G57" s="12" t="inlineStr">
        <is>
          <t>FRS BRD-04 v2.1, Open questions CQ20 (affects FR-CL-033); Discrepancy and clarification register v1.2, open question CQ20; baseline p.38-42</t>
        </is>
      </c>
      <c r="H57" s="12" t="inlineStr">
        <is>
          <t>BDOI IT with the VP and Head, BDOI Operations (Collections)</t>
        </is>
      </c>
      <c r="I57" s="37" t="n">
        <v>46418</v>
      </c>
      <c r="J57" s="12" t="inlineStr">
        <is>
          <t>Medium</t>
        </is>
      </c>
      <c r="K57" s="38" t="inlineStr">
        <is>
          <t>Open</t>
        </is>
      </c>
      <c r="L57" s="12" t="n"/>
      <c r="M57" s="12" t="n"/>
    </row>
    <row r="58">
      <c r="A58" s="12" t="inlineStr">
        <is>
          <t>TD-04</t>
        </is>
      </c>
      <c r="B58" s="12" t="inlineStr">
        <is>
          <t>BRD-04 Collections</t>
        </is>
      </c>
      <c r="C58" s="12" t="inlineStr">
        <is>
          <t>Test data</t>
        </is>
      </c>
      <c r="D58" s="12" t="inlineStr">
        <is>
          <t>Name the UAT testers of BRD-04 Collections (at least two per business unit, with their user IDs and group profiles) and provide the business data of the UAT scenarios: the clients, policies, insurers and amounts each scenario of the test plan uses, from the migrated data of Trial migration 3 or as additional cases.</t>
        </is>
      </c>
      <c r="E58" s="12" t="inlineStr">
        <is>
          <t>UAT of Drop 1 runs on migrated data and the production values; testers without access or scenarios without data stop the UAT.</t>
        </is>
      </c>
      <c r="F58" s="12" t="inlineStr">
        <is>
          <t>The test plan (04 workbook of the set) names the scenarios; the BDOI testers choose the cases from the migrated data and add the cases the legacy data does not hold.</t>
        </is>
      </c>
      <c r="G58" s="12" t="inlineStr">
        <is>
          <t>Project plan: dependency DEP-20 (UAT testers), milestone MS-20 (UAT plans, values for UAT and testers, 16-Jul-2027)</t>
        </is>
      </c>
      <c r="H58" s="12" t="inlineStr">
        <is>
          <t>VP and Head, BDOI Operations (Collections) (UAT testers of the business units)</t>
        </is>
      </c>
      <c r="I58" s="37" t="n">
        <v>46584</v>
      </c>
      <c r="J58" s="12" t="inlineStr">
        <is>
          <t>High</t>
        </is>
      </c>
      <c r="K58" s="38" t="inlineStr">
        <is>
          <t>Open</t>
        </is>
      </c>
      <c r="L58" s="12" t="n"/>
      <c r="M58" s="12" t="n"/>
    </row>
    <row r="59">
      <c r="A59" s="12" t="inlineStr">
        <is>
          <t>CFG-122</t>
        </is>
      </c>
      <c r="B59" s="12" t="inlineStr">
        <is>
          <t>BRD-04 Collections</t>
        </is>
      </c>
      <c r="C59" s="12" t="inlineStr">
        <is>
          <t>Configuration value</t>
        </is>
      </c>
      <c r="D59" s="12" t="inlineStr">
        <is>
          <t>Commission incentive schemes: The commission incentive schemes and their rates</t>
        </is>
      </c>
      <c r="E59" s="12" t="inlineStr">
        <is>
          <t>Needed for: Values for UAT (UAT plans and sign-off forms due 16-Jul-2027; UAT Aug - Dec 2027 runs on the production values).</t>
        </is>
      </c>
      <c r="F59" s="12" t="inlineStr">
        <is>
          <t>Configured on the screen Finance › Commission Receivables › Incentive Schemes (sheet Configured on screens of the Master Data and Configuration Upload Templates workbook).</t>
        </is>
      </c>
      <c r="G59" s="12" t="inlineStr">
        <is>
          <t>Drop 0 configuration register CFG-122 (Drop 0 Configuration Inputs v2.0, area Module rules and set-up)</t>
        </is>
      </c>
      <c r="H59" s="12" t="inlineStr">
        <is>
          <t>VP and Head, BDOI Operations (Collections)</t>
        </is>
      </c>
      <c r="I59" s="37" t="n">
        <v>46584</v>
      </c>
      <c r="J59" s="12" t="inlineStr">
        <is>
          <t>Medium</t>
        </is>
      </c>
      <c r="K59" s="38" t="inlineStr">
        <is>
          <t>Open</t>
        </is>
      </c>
      <c r="L59" s="12" t="n"/>
      <c r="M59" s="12" t="n"/>
    </row>
    <row r="60">
      <c r="A60" s="12" t="inlineStr">
        <is>
          <t>CFG-123</t>
        </is>
      </c>
      <c r="B60" s="12" t="inlineStr">
        <is>
          <t>BRD-04 Collections</t>
        </is>
      </c>
      <c r="C60" s="12" t="inlineStr">
        <is>
          <t>Configuration value</t>
        </is>
      </c>
      <c r="D60" s="12" t="inlineStr">
        <is>
          <t>Collections assignment and escalation rules: How accounts are assigned to collectors and when they escalate to the team lead and the unit head</t>
        </is>
      </c>
      <c r="E60" s="12" t="inlineStr">
        <is>
          <t>Needed for: Values for UAT (UAT plans and sign-off forms due 16-Jul-2027; UAT Aug - Dec 2027 runs on the production values).</t>
        </is>
      </c>
      <c r="F60" s="12" t="inlineStr">
        <is>
          <t>Configured on the screen Finance › Collections › Collections Setup (sheet Configured on screens of the Master Data and Configuration Upload Templates workbook).</t>
        </is>
      </c>
      <c r="G60" s="12" t="inlineStr">
        <is>
          <t>Drop 0 configuration register CFG-123 (Drop 0 Configuration Inputs v2.0, area Module rules and set-up)</t>
        </is>
      </c>
      <c r="H60" s="12" t="inlineStr">
        <is>
          <t>VP and Head, BDOI Operations (Collections)</t>
        </is>
      </c>
      <c r="I60" s="37" t="n">
        <v>46584</v>
      </c>
      <c r="J60" s="12" t="inlineStr">
        <is>
          <t>Medium</t>
        </is>
      </c>
      <c r="K60" s="38" t="inlineStr">
        <is>
          <t>Open</t>
        </is>
      </c>
      <c r="L60" s="12" t="n"/>
      <c r="M60" s="12" t="n"/>
    </row>
    <row r="61">
      <c r="A61" s="12" t="inlineStr">
        <is>
          <t>DOC-03</t>
        </is>
      </c>
      <c r="B61" s="12" t="inlineStr">
        <is>
          <t>BRD-04 Collections</t>
        </is>
      </c>
      <c r="C61" s="12" t="inlineStr">
        <is>
          <t>Sample document or template</t>
        </is>
      </c>
      <c r="D61" s="12" t="inlineStr">
        <is>
          <t>Documents of Collections: give the BDOI layout, logo placement and wording of the 1 documents BIBS generates (Statement of account), as a filled-in sample of each.</t>
        </is>
      </c>
      <c r="E61" s="12" t="inlineStr">
        <is>
          <t>BIBS generates each document from its template; without the BDOI layout the documents keep the proposed layout in SIT and UAT.</t>
        </is>
      </c>
      <c r="F61" s="12" t="inlineStr">
        <is>
          <t>The proposed layouts are reviewed on the Document Templates screen; BDOI marks the changes on a printout or sends its current form.</t>
        </is>
      </c>
      <c r="G61" s="12" t="inlineStr">
        <is>
          <t>Document templates of the platform (Drop 0 Configuration Inputs, Ref Document templates); configuration register CFG-082</t>
        </is>
      </c>
      <c r="H61" s="12" t="inlineStr">
        <is>
          <t>VP and Head, BDOI Operations (Collections)</t>
        </is>
      </c>
      <c r="I61" s="37" t="n">
        <v>46584</v>
      </c>
      <c r="J61" s="12" t="inlineStr">
        <is>
          <t>Medium</t>
        </is>
      </c>
      <c r="K61" s="38" t="inlineStr">
        <is>
          <t>Open</t>
        </is>
      </c>
      <c r="L61" s="12" t="n"/>
      <c r="M61" s="12" t="inlineStr">
        <is>
          <t>Review sheet Document templates of the Master Data and Configuration Upload Templates workbook.</t>
        </is>
      </c>
    </row>
    <row r="62">
      <c r="A62" s="12" t="inlineStr">
        <is>
          <t>SO-04-3</t>
        </is>
      </c>
      <c r="B62" s="12" t="inlineStr">
        <is>
          <t>BRD-04 Collections</t>
        </is>
      </c>
      <c r="C62" s="12" t="inlineStr">
        <is>
          <t>Sign-off</t>
        </is>
      </c>
      <c r="D62" s="12" t="inlineStr">
        <is>
          <t>Sign the UAT sign-off certificate of BRD-04 Collections.</t>
        </is>
      </c>
      <c r="E62" s="12" t="inlineStr">
        <is>
          <t>The signed document fixes the scope for the next step of the plan; a late sign-off moves the dates that follow it.</t>
        </is>
      </c>
      <c r="F62" s="12" t="n"/>
      <c r="G62" s="12" t="inlineStr">
        <is>
          <t>Project plan v1.0 (8-Oct-2026), sign-offs and milestones</t>
        </is>
      </c>
      <c r="H62" s="12" t="inlineStr">
        <is>
          <t>VP and Head, BDOI Operations (Collections); BIBS Product Owner</t>
        </is>
      </c>
      <c r="I62" s="37" t="n">
        <v>46738</v>
      </c>
      <c r="J62" s="12" t="inlineStr">
        <is>
          <t>High</t>
        </is>
      </c>
      <c r="K62" s="38" t="inlineStr">
        <is>
          <t>Open</t>
        </is>
      </c>
      <c r="L62" s="12" t="n"/>
      <c r="M62" s="12" t="n"/>
    </row>
  </sheetData>
  <autoFilter ref="A4:M62"/>
  <mergeCells count="1">
    <mergeCell ref="A2:M2"/>
  </mergeCells>
  <conditionalFormatting sqref="K5:K562">
    <cfRule type="cellIs" priority="1" operator="equal" dxfId="0" stopIfTrue="1">
      <formula>"Open"</formula>
    </cfRule>
    <cfRule type="cellIs" priority="2" operator="equal" dxfId="1" stopIfTrue="1">
      <formula>"Answered"</formula>
    </cfRule>
  </conditionalFormatting>
  <conditionalFormatting sqref="A5:M562">
    <cfRule type="expression" priority="3" dxfId="2">
      <formula>AND(MOD(ROW(),2)=0,$A5&lt;&gt;"")</formula>
    </cfRule>
  </conditionalFormatting>
  <conditionalFormatting sqref="K5:K563">
    <cfRule type="cellIs" priority="4" operator="equal" dxfId="3" stopIfTrue="1">
      <formula>"Partly answered"</formula>
    </cfRule>
  </conditionalFormatting>
  <dataValidations count="3">
    <dataValidation sqref="C5:C562" showDropDown="0" showInputMessage="0" showErrorMessage="1" allowBlank="1" errorTitle="Type" error="Choose a value from the list (Type)." type="list">
      <formula1>'_lists'!$M$1:$M$10</formula1>
    </dataValidation>
    <dataValidation sqref="J5:J562" showDropDown="0" showInputMessage="0" showErrorMessage="1" allowBlank="1" errorTitle="Priority" error="Choose a value from the list (Priority)." type="list">
      <formula1>'_lists'!$N$1:$N$3</formula1>
    </dataValidation>
    <dataValidation sqref="K5:K562" showDropDown="0" showInputMessage="0" showErrorMessage="1" allowBlank="1" errorTitle="Status" error="Choose a value from the list (Status)." type="list">
      <formula1>'_lists'!$O$1:$O$3</formula1>
    </dataValidation>
  </dataValidations>
  <printOptions horizontalCentered="1"/>
  <pageMargins left="0.4" right="0.4" top="0.6" bottom="0.6" header="0.5" footer="0.5"/>
  <pageSetup orientation="landscape" paperSize="1" fitToHeight="0" fitToWidth="1"/>
  <headerFooter>
    <oddHeader>&amp;L&amp;8 &amp;K004EA8BDOI Requirements and Inputs by BRD&amp;R&amp;8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M8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6" customWidth="1" min="3" max="3"/>
    <col width="60" customWidth="1" min="4" max="4"/>
    <col width="46" customWidth="1" min="5" max="5"/>
    <col width="46" customWidth="1" min="6" max="6"/>
    <col width="40" customWidth="1" min="7" max="7"/>
    <col width="26" customWidth="1" min="8" max="8"/>
    <col width="12" customWidth="1" min="9" max="9"/>
    <col width="10" customWidth="1" min="10" max="10"/>
    <col width="14" customWidth="1" min="11" max="11"/>
    <col width="40" customWidth="1" min="12" max="12"/>
    <col width="34" customWidth="1" min="13" max="13"/>
  </cols>
  <sheetData>
    <row r="1" ht="24" customHeight="1">
      <c r="A1" s="34" t="inlineStr">
        <is>
          <t>BRD-05 Accounting and ACSL</t>
        </is>
      </c>
    </row>
    <row r="2">
      <c r="A2" s="21" t="inlineStr">
        <is>
          <t>BRD-05 Accounting, Disbursement and ACSL: what BDOI provides; owner Head, Comptrollership</t>
        </is>
      </c>
    </row>
    <row r="3" ht="6" customHeight="1">
      <c r="A3" s="35" t="n"/>
      <c r="B3" s="35" t="n"/>
      <c r="C3" s="35" t="n"/>
      <c r="D3" s="35" t="n"/>
      <c r="E3" s="35" t="n"/>
      <c r="F3" s="35" t="n"/>
      <c r="G3" s="35" t="n"/>
      <c r="H3" s="35" t="n"/>
      <c r="I3" s="35" t="n"/>
      <c r="J3" s="35" t="n"/>
      <c r="K3" s="35" t="n"/>
      <c r="L3" s="35" t="n"/>
      <c r="M3" s="35" t="n"/>
    </row>
    <row r="4" ht="30" customHeight="1">
      <c r="A4" s="36" t="inlineStr">
        <is>
          <t>Ref</t>
        </is>
      </c>
      <c r="B4" s="36" t="inlineStr">
        <is>
          <t>BRD / module</t>
        </is>
      </c>
      <c r="C4" s="36" t="inlineStr">
        <is>
          <t>Type</t>
        </is>
      </c>
      <c r="D4" s="36" t="inlineStr">
        <is>
          <t>What we need from BDOI</t>
        </is>
      </c>
      <c r="E4" s="36" t="inlineStr">
        <is>
          <t>Why / impact if not provided</t>
        </is>
      </c>
      <c r="F4" s="36" t="inlineStr">
        <is>
          <t>Our proposal (if any)</t>
        </is>
      </c>
      <c r="G4" s="36" t="inlineStr">
        <is>
          <t>Source (FRS section / CLR / BRD page)</t>
        </is>
      </c>
      <c r="H4" s="36" t="inlineStr">
        <is>
          <t>BDOI owner (role)</t>
        </is>
      </c>
      <c r="I4" s="36" t="inlineStr">
        <is>
          <t>Needed by</t>
        </is>
      </c>
      <c r="J4" s="36" t="inlineStr">
        <is>
          <t>Priority</t>
        </is>
      </c>
      <c r="K4" s="36" t="inlineStr">
        <is>
          <t>Status</t>
        </is>
      </c>
      <c r="L4" s="36" t="inlineStr">
        <is>
          <t>BDOI response</t>
        </is>
      </c>
      <c r="M4" s="36" t="inlineStr">
        <is>
          <t>Remarks</t>
        </is>
      </c>
    </row>
    <row r="5">
      <c r="A5" s="12" t="inlineStr">
        <is>
          <t>CLR-DS-11</t>
        </is>
      </c>
      <c r="B5" s="12" t="inlineStr">
        <is>
          <t>BRD-05 Accounting, Disbursement and ACSL</t>
        </is>
      </c>
      <c r="C5" s="12" t="inlineStr">
        <is>
          <t>Business rule confirmation</t>
        </is>
      </c>
      <c r="D5" s="12" t="inlineStr">
        <is>
          <t>One invoice number for related transactions: Confirm the root invoice number (AQ29).</t>
        </is>
      </c>
      <c r="E5" s="12" t="inlineStr">
        <is>
          <t>Each BIR invoice needs its own number (AQ29).</t>
        </is>
      </c>
      <c r="F5" s="12" t="inlineStr">
        <is>
          <t>Endorsements and cancellations keep their own BIR invoice number and carry the root invoice number; booking sets the root invoice number and Invoice 360 shows the family.</t>
        </is>
      </c>
      <c r="G5" s="12" t="inlineStr">
        <is>
          <t>FRS BRD-05 v2.1, Proposed business rules and clarifications; DIS 3.27.2, ACSL 2.16.0; FR-DS-093; also raised as AQ29 (open question), DCR-058 (register item)</t>
        </is>
      </c>
      <c r="H5" s="12" t="inlineStr">
        <is>
          <t>Comptrollership - FRBS, Disbursement and ACSL</t>
        </is>
      </c>
      <c r="I5" s="37" t="n">
        <v>46356</v>
      </c>
      <c r="J5" s="12" t="inlineStr">
        <is>
          <t>High</t>
        </is>
      </c>
      <c r="K5" s="38" t="inlineStr">
        <is>
          <t>Partly answered</t>
        </is>
      </c>
      <c r="L5" s="12" t="n"/>
      <c r="M5" s="12" t="n"/>
    </row>
    <row r="6">
      <c r="A6" s="12" t="inlineStr">
        <is>
          <t>SO-05-1</t>
        </is>
      </c>
      <c r="B6" s="12" t="inlineStr">
        <is>
          <t>BRD-05 Accounting, Disbursement and ACSL</t>
        </is>
      </c>
      <c r="C6" s="12" t="inlineStr">
        <is>
          <t>Sign-off</t>
        </is>
      </c>
      <c r="D6" s="12" t="inlineStr">
        <is>
          <t>Sign the FRS and sign-off set of BRD-05 Accounting, Disbursement and ACSL.</t>
        </is>
      </c>
      <c r="E6" s="12" t="inlineStr">
        <is>
          <t>The signed document fixes the scope for the next step of the plan; a late sign-off moves the dates that follow it.</t>
        </is>
      </c>
      <c r="F6" s="12" t="n"/>
      <c r="G6" s="12" t="inlineStr">
        <is>
          <t>Project plan v1.0 (8-Oct-2026), sign-offs and milestones</t>
        </is>
      </c>
      <c r="H6" s="12" t="inlineStr">
        <is>
          <t>Head, Comptrollership; Business Project Services (traceability)</t>
        </is>
      </c>
      <c r="I6" s="37" t="n">
        <v>46356</v>
      </c>
      <c r="J6" s="12" t="inlineStr">
        <is>
          <t>High</t>
        </is>
      </c>
      <c r="K6" s="38" t="inlineStr">
        <is>
          <t>Open</t>
        </is>
      </c>
      <c r="L6" s="12" t="n"/>
      <c r="M6" s="12" t="n"/>
    </row>
    <row r="7">
      <c r="A7" s="12" t="inlineStr">
        <is>
          <t>CLR-AC-01</t>
        </is>
      </c>
      <c r="B7" s="12" t="inlineStr">
        <is>
          <t>BRD-05 Accounting, Disbursement and ACSL</t>
        </is>
      </c>
      <c r="C7" s="12" t="inlineStr">
        <is>
          <t>Configuration value</t>
        </is>
      </c>
      <c r="D7" s="12" t="inlineStr">
        <is>
          <t>Revaluation rate: Confirm the CLOSING and BOOK rates (AQ03, OQ08).</t>
        </is>
      </c>
      <c r="E7" s="12" t="inlineStr">
        <is>
          <t>The BRD asks for a monthly input without saying which rate is used for booking (AQ03, OQ08).</t>
        </is>
      </c>
      <c r="F7" s="12" t="inlineStr">
        <is>
          <t>The monthly revaluation rate is the CLOSING rate of the month end; a job copies it as the BOOK rate of the next month.</t>
        </is>
      </c>
      <c r="G7" s="12" t="inlineStr">
        <is>
          <t>FRS BRD-05 v2.1, Proposed business rules and clarifications; FRBS 2.2.0; FR-AC-010; also raised as AQ03 (open question)</t>
        </is>
      </c>
      <c r="H7" s="12" t="inlineStr">
        <is>
          <t>Head, Comptrollership</t>
        </is>
      </c>
      <c r="I7" s="37" t="n">
        <v>46356</v>
      </c>
      <c r="J7" s="12" t="inlineStr">
        <is>
          <t>Medium</t>
        </is>
      </c>
      <c r="K7" s="38" t="inlineStr">
        <is>
          <t>Open</t>
        </is>
      </c>
      <c r="L7" s="12" t="n"/>
      <c r="M7" s="12" t="n"/>
    </row>
    <row r="8">
      <c r="A8" s="12" t="inlineStr">
        <is>
          <t>CLR-AC-02</t>
        </is>
      </c>
      <c r="B8" s="12" t="inlineStr">
        <is>
          <t>BRD-05 Accounting, Disbursement and ACSL</t>
        </is>
      </c>
      <c r="C8" s="12" t="inlineStr">
        <is>
          <t>Configuration value</t>
        </is>
      </c>
      <c r="D8" s="12" t="inlineStr">
        <is>
          <t>Account number: Give the numbering convention (AQ01).</t>
        </is>
      </c>
      <c r="E8" s="12" t="inlineStr">
        <is>
          <t>BDOI's numbering convention is not given (AQ01).</t>
        </is>
      </c>
      <c r="F8" s="12" t="inlineStr">
        <is>
          <t>A number is proposed from the numbering scheme of the parent when the code is left blank; a user may still key the code.</t>
        </is>
      </c>
      <c r="G8" s="12" t="inlineStr">
        <is>
          <t>FRS BRD-05 v2.1, Proposed business rules and clarifications; FRBS 2.3.2; FR-AC-013; also raised as AQ01 (open question)</t>
        </is>
      </c>
      <c r="H8" s="12" t="inlineStr">
        <is>
          <t>Head, Comptrollership</t>
        </is>
      </c>
      <c r="I8" s="37" t="n">
        <v>46356</v>
      </c>
      <c r="J8" s="12" t="inlineStr">
        <is>
          <t>Medium</t>
        </is>
      </c>
      <c r="K8" s="38" t="inlineStr">
        <is>
          <t>Partly answered</t>
        </is>
      </c>
      <c r="L8" s="12" t="n"/>
      <c r="M8" s="12" t="inlineStr">
        <is>
          <t>Answer so far: Legacy sub-ledgers for PR, commission receivable, DTIP and UPP imply legacy control accounts; the chart mapping is not given (DMQ18). (BRD-13 BRID 5-8).</t>
        </is>
      </c>
    </row>
    <row r="9">
      <c r="A9" s="12" t="inlineStr">
        <is>
          <t>CLR-AC-03</t>
        </is>
      </c>
      <c r="B9" s="12" t="inlineStr">
        <is>
          <t>BRD-05 Accounting, Disbursement and ACSL</t>
        </is>
      </c>
      <c r="C9" s="12" t="inlineStr">
        <is>
          <t>Clarification</t>
        </is>
      </c>
      <c r="D9" s="12" t="inlineStr">
        <is>
          <t>Negative balances: Name the accounts that may never be negative (AQ30).</t>
        </is>
      </c>
      <c r="E9" s="12" t="inlineStr">
        <is>
          <t>The BRD does not name the accounts that may never be negative (AQ30).</t>
        </is>
      </c>
      <c r="F9" s="12" t="inlineStr">
        <is>
          <t>Each account has a policy ALLOW, WARN or BLOCK; only BLOCK accounts refuse the journal.</t>
        </is>
      </c>
      <c r="G9" s="12" t="inlineStr">
        <is>
          <t>FRS BRD-05 v2.1, Proposed business rules and clarifications; FRBS 2.5.4, 2.8.4; FR-AC-034; also raised as AQ30 (open question)</t>
        </is>
      </c>
      <c r="H9" s="12" t="inlineStr">
        <is>
          <t>Head, Comptrollership</t>
        </is>
      </c>
      <c r="I9" s="37" t="n">
        <v>46356</v>
      </c>
      <c r="J9" s="12" t="inlineStr">
        <is>
          <t>Medium</t>
        </is>
      </c>
      <c r="K9" s="38" t="inlineStr">
        <is>
          <t>Open</t>
        </is>
      </c>
      <c r="L9" s="12" t="n"/>
      <c r="M9" s="12" t="n"/>
    </row>
    <row r="10">
      <c r="A10" s="12" t="inlineStr">
        <is>
          <t>CLR-AC-04</t>
        </is>
      </c>
      <c r="B10" s="12" t="inlineStr">
        <is>
          <t>BRD-05 Accounting, Disbursement and ACSL</t>
        </is>
      </c>
      <c r="C10" s="12" t="inlineStr">
        <is>
          <t>Business rule confirmation</t>
        </is>
      </c>
      <c r="D10" s="12" t="inlineStr">
        <is>
          <t>Return of a posting request: Confirm the label.</t>
        </is>
      </c>
      <c r="E10" s="12" t="inlineStr">
        <is>
          <t>The BRD says "return"; the label says to whom the journal goes.</t>
        </is>
      </c>
      <c r="F10" s="12" t="inlineStr">
        <is>
          <t>The journal action is labelled "Return to Maker"; a returned journal is edited and resubmitted.</t>
        </is>
      </c>
      <c r="G10" s="12" t="inlineStr">
        <is>
          <t>FRS BRD-05 v2.1, Proposed business rules and clarifications; FRBS 2.5.7; FR-AC-036</t>
        </is>
      </c>
      <c r="H10" s="12" t="inlineStr">
        <is>
          <t>Head, Comptrollership</t>
        </is>
      </c>
      <c r="I10" s="37" t="n">
        <v>46356</v>
      </c>
      <c r="J10" s="12" t="inlineStr">
        <is>
          <t>Medium</t>
        </is>
      </c>
      <c r="K10" s="38" t="inlineStr">
        <is>
          <t>Open</t>
        </is>
      </c>
      <c r="L10" s="12" t="n"/>
      <c r="M10" s="12" t="n"/>
    </row>
    <row r="11">
      <c r="A11" s="12" t="inlineStr">
        <is>
          <t>CLR-AC-05</t>
        </is>
      </c>
      <c r="B11" s="12" t="inlineStr">
        <is>
          <t>BRD-05 Accounting, Disbursement and ACSL</t>
        </is>
      </c>
      <c r="C11" s="12" t="inlineStr">
        <is>
          <t>Clarification</t>
        </is>
      </c>
      <c r="D11" s="12" t="inlineStr">
        <is>
          <t>GL close: Give the date and time of the close (AQ04).</t>
        </is>
      </c>
      <c r="E11" s="12" t="inlineStr">
        <is>
          <t>The preferred date and time are not given (AQ04).</t>
        </is>
      </c>
      <c r="F11" s="12" t="inlineStr">
        <is>
          <t>FRBS schedules the close (proposal: 2nd banking day, 17:00); the job runs the checklist and closes, or records the failure.</t>
        </is>
      </c>
      <c r="G11" s="12" t="inlineStr">
        <is>
          <t>FRS BRD-05 v2.1, Proposed business rules and clarifications; FRBS 2.6.0 Add.1; FR-AC-040; also raised as AQ04 (open question), DCR-054 (register item)</t>
        </is>
      </c>
      <c r="H11" s="12" t="inlineStr">
        <is>
          <t>Comptrollership - FRBS, Disbursement and ACSL</t>
        </is>
      </c>
      <c r="I11" s="37" t="n">
        <v>46356</v>
      </c>
      <c r="J11" s="12" t="inlineStr">
        <is>
          <t>Medium</t>
        </is>
      </c>
      <c r="K11" s="38" t="inlineStr">
        <is>
          <t>Open</t>
        </is>
      </c>
      <c r="L11" s="12" t="n"/>
      <c r="M11" s="12" t="n"/>
    </row>
    <row r="12">
      <c r="A12" s="12" t="inlineStr">
        <is>
          <t>CLR-AC-06</t>
        </is>
      </c>
      <c r="B12" s="12" t="inlineStr">
        <is>
          <t>BRD-05 Accounting, Disbursement and ACSL</t>
        </is>
      </c>
      <c r="C12" s="12" t="inlineStr">
        <is>
          <t>Business rule confirmation</t>
        </is>
      </c>
      <c r="D12" s="12" t="inlineStr">
        <is>
          <t>Reversal of a manual journal: Confirm the reversal in the GL only.</t>
        </is>
      </c>
      <c r="E12" s="12" t="inlineStr">
        <is>
          <t>The BRD reverses in the GL and the sub-ledger.</t>
        </is>
      </c>
      <c r="F12" s="12" t="inlineStr">
        <is>
          <t>The reversal posts in the GL; manual journals record no sub-ledger open items, so there is none to reverse.</t>
        </is>
      </c>
      <c r="G12" s="12" t="inlineStr">
        <is>
          <t>FRS BRD-05 v2.1, Proposed business rules and clarifications; FRBS 2.8.1; FR-AC-032, 033</t>
        </is>
      </c>
      <c r="H12" s="12" t="inlineStr">
        <is>
          <t>Head, Comptrollership</t>
        </is>
      </c>
      <c r="I12" s="37" t="n">
        <v>46356</v>
      </c>
      <c r="J12" s="12" t="inlineStr">
        <is>
          <t>Medium</t>
        </is>
      </c>
      <c r="K12" s="38" t="inlineStr">
        <is>
          <t>Open</t>
        </is>
      </c>
      <c r="L12" s="12" t="n"/>
      <c r="M12" s="12" t="n"/>
    </row>
    <row r="13">
      <c r="A13" s="12" t="inlineStr">
        <is>
          <t>CLR-AC-07</t>
        </is>
      </c>
      <c r="B13" s="12" t="inlineStr">
        <is>
          <t>BRD-05 Accounting, Disbursement and ACSL</t>
        </is>
      </c>
      <c r="C13" s="12" t="inlineStr">
        <is>
          <t>Business rule confirmation</t>
        </is>
      </c>
      <c r="D13" s="12" t="inlineStr">
        <is>
          <t>Broking-books close: Confirm the close time and the reopening (AQ04).</t>
        </is>
      </c>
      <c r="E13" s="12" t="inlineStr">
        <is>
          <t>The close time and whether a closed month may be reopened are open (AQ04).</t>
        </is>
      </c>
      <c r="F13" s="12" t="inlineStr">
        <is>
          <t>The broking books close on the last day of the month at 23:00 Manila; the list of pending broking items shows what the broking modules report; the TL may reopen the books with a reason.</t>
        </is>
      </c>
      <c r="G13" s="12" t="inlineStr">
        <is>
          <t>FRS BRD-05 v2.1, Proposed business rules and clarifications; FRBS 3.4.0-3.4.1; FR-AC-042</t>
        </is>
      </c>
      <c r="H13" s="12" t="inlineStr">
        <is>
          <t>Head, Comptrollership</t>
        </is>
      </c>
      <c r="I13" s="37" t="n">
        <v>46356</v>
      </c>
      <c r="J13" s="12" t="inlineStr">
        <is>
          <t>Medium</t>
        </is>
      </c>
      <c r="K13" s="38" t="inlineStr">
        <is>
          <t>Open</t>
        </is>
      </c>
      <c r="L13" s="12" t="n"/>
      <c r="M13" s="12" t="n"/>
    </row>
    <row r="14">
      <c r="A14" s="12" t="inlineStr">
        <is>
          <t>CLR-AC-08</t>
        </is>
      </c>
      <c r="B14" s="12" t="inlineStr">
        <is>
          <t>BRD-05 Accounting, Disbursement and ACSL</t>
        </is>
      </c>
      <c r="C14" s="12" t="inlineStr">
        <is>
          <t>Decision</t>
        </is>
      </c>
      <c r="D14" s="12" t="inlineStr">
        <is>
          <t>Revaluation frequency: Choose monthly or daily revaluation (AQ03).</t>
        </is>
      </c>
      <c r="E14" s="12" t="inlineStr">
        <is>
          <t>The BRD says "previous date versus current date", which reads as daily (AQ03).</t>
        </is>
      </c>
      <c r="F14" s="12" t="inlineStr">
        <is>
          <t>Revaluation runs per period at the CLOSING rate with automatic reversal; daily revaluation is added only if BDOI confirms it.</t>
        </is>
      </c>
      <c r="G14" s="12" t="inlineStr">
        <is>
          <t>FRS BRD-05 v2.1, Proposed business rules and clarifications; FRBS 3.5.0; FR-AC-043</t>
        </is>
      </c>
      <c r="H14" s="12" t="inlineStr">
        <is>
          <t>Head, Comptrollership</t>
        </is>
      </c>
      <c r="I14" s="37" t="n">
        <v>46356</v>
      </c>
      <c r="J14" s="12" t="inlineStr">
        <is>
          <t>Medium</t>
        </is>
      </c>
      <c r="K14" s="38" t="inlineStr">
        <is>
          <t>Open</t>
        </is>
      </c>
      <c r="L14" s="12" t="n"/>
      <c r="M14" s="12" t="n"/>
    </row>
    <row r="15">
      <c r="A15" s="12" t="inlineStr">
        <is>
          <t>CLR-AC-09</t>
        </is>
      </c>
      <c r="B15" s="12" t="inlineStr">
        <is>
          <t>BRD-05 Accounting, Disbursement and ACSL</t>
        </is>
      </c>
      <c r="C15" s="12" t="inlineStr">
        <is>
          <t>Business rule confirmation</t>
        </is>
      </c>
      <c r="D15" s="12" t="inlineStr">
        <is>
          <t>Early incentives: Confirm the account of the early incentives in BDOI's chart (AQ01).</t>
        </is>
      </c>
      <c r="E15" s="12" t="inlineStr">
        <is>
          <t>The seed chart does not place 4130 under Other Income (AQ01).</t>
        </is>
      </c>
      <c r="F15" s="12" t="inlineStr">
        <is>
          <t>The incentive component posts to its own account (4130); placing 4130 under Other Income is a change to BDOI's chart.</t>
        </is>
      </c>
      <c r="G15" s="12" t="inlineStr">
        <is>
          <t>FRS BRD-05 v2.1, Proposed business rules and clarifications; FRBS 3.1.2; FR-AC-055</t>
        </is>
      </c>
      <c r="H15" s="12" t="inlineStr">
        <is>
          <t>Head, Comptrollership</t>
        </is>
      </c>
      <c r="I15" s="37" t="n">
        <v>46356</v>
      </c>
      <c r="J15" s="12" t="inlineStr">
        <is>
          <t>Medium</t>
        </is>
      </c>
      <c r="K15" s="38" t="inlineStr">
        <is>
          <t>Open</t>
        </is>
      </c>
      <c r="L15" s="12" t="n"/>
      <c r="M15" s="12" t="n"/>
    </row>
    <row r="16">
      <c r="A16" s="12" t="inlineStr">
        <is>
          <t>CLR-AC-10</t>
        </is>
      </c>
      <c r="B16" s="12" t="inlineStr">
        <is>
          <t>BRD-05 Accounting, Disbursement and ACSL</t>
        </is>
      </c>
      <c r="C16" s="12" t="inlineStr">
        <is>
          <t>Configuration value</t>
        </is>
      </c>
      <c r="D16" s="12" t="inlineStr">
        <is>
          <t>Board schedules in Word: Confirm PDF and Excel, or ask for Word output as a change.</t>
        </is>
      </c>
      <c r="E16" s="12" t="inlineStr">
        <is>
          <t>The report platform issues the listed formats; Word output would be an addition.</t>
        </is>
      </c>
      <c r="F16" s="12" t="inlineStr">
        <is>
          <t>Schedules export to Excel, PDF, ODS and CSV; the GARD, subsidiaries and Mancom schedules flagged "Word requested" are issued in PDF and Excel.</t>
        </is>
      </c>
      <c r="G16" s="12" t="inlineStr">
        <is>
          <t>FRS BRD-05 v2.1, Proposed business rules and clarifications; FRBS 3.2.0; FR-AC-060</t>
        </is>
      </c>
      <c r="H16" s="12" t="inlineStr">
        <is>
          <t>Head, Comptrollership</t>
        </is>
      </c>
      <c r="I16" s="37" t="n">
        <v>46356</v>
      </c>
      <c r="J16" s="12" t="inlineStr">
        <is>
          <t>Medium</t>
        </is>
      </c>
      <c r="K16" s="38" t="inlineStr">
        <is>
          <t>Open</t>
        </is>
      </c>
      <c r="L16" s="12" t="n"/>
      <c r="M16" s="12" t="n"/>
    </row>
    <row r="17">
      <c r="A17" s="12" t="inlineStr">
        <is>
          <t>CLR-AC-11</t>
        </is>
      </c>
      <c r="B17" s="12" t="inlineStr">
        <is>
          <t>BRD-05 Accounting, Disbursement and ACSL</t>
        </is>
      </c>
      <c r="C17" s="12" t="inlineStr">
        <is>
          <t>Report layout</t>
        </is>
      </c>
      <c r="D17" s="12" t="inlineStr">
        <is>
          <t>Appendix A reports: Give the layouts and confirm the data out of scope (AQ05, AQ06).</t>
        </is>
      </c>
      <c r="E17" s="12" t="inlineStr">
        <is>
          <t>BDOI has not given the layouts (AQ05, AQ06).</t>
        </is>
      </c>
      <c r="F17" s="12" t="inlineStr">
        <is>
          <t>28 schedule definitions and 58 report-pack entries have draft layouts; lease, DTA, ECL and placement data are not held in BIBS; payroll outputs are out of scope.</t>
        </is>
      </c>
      <c r="G17" s="12" t="inlineStr">
        <is>
          <t>FRS BRD-05 v2.1, Proposed business rules and clarifications; FRBS 3.2.0; FR-AC-060 to 063; also raised as AQ05 (open question), AQ06 (open question), DCR-055 (register item)</t>
        </is>
      </c>
      <c r="H17" s="12" t="inlineStr">
        <is>
          <t>Comptrollership - FRBS, Disbursement and ACSL</t>
        </is>
      </c>
      <c r="I17" s="37" t="n">
        <v>46356</v>
      </c>
      <c r="J17" s="12" t="inlineStr">
        <is>
          <t>Medium</t>
        </is>
      </c>
      <c r="K17" s="38" t="inlineStr">
        <is>
          <t>Partly answered</t>
        </is>
      </c>
      <c r="L17" s="12" t="n"/>
      <c r="M17" s="12" t="inlineStr">
        <is>
          <t>Answer so far: Fields of the FRBS reports listed. (Report List #1-31).</t>
        </is>
      </c>
    </row>
    <row r="18">
      <c r="A18" s="12" t="inlineStr">
        <is>
          <t>CLR-AC-12</t>
        </is>
      </c>
      <c r="B18" s="12" t="inlineStr">
        <is>
          <t>BRD-05 Accounting, Disbursement and ACSL</t>
        </is>
      </c>
      <c r="C18" s="12" t="inlineStr">
        <is>
          <t>Business rule confirmation</t>
        </is>
      </c>
      <c r="D18" s="12" t="inlineStr">
        <is>
          <t>BIR books and forms: Confirm the worksheets (AQ07).</t>
        </is>
      </c>
      <c r="E18" s="12" t="inlineStr">
        <is>
          <t>Electronic filing is not specified (AQ07).</t>
        </is>
      </c>
      <c r="F18" s="12" t="inlineStr">
        <is>
          <t>Worksheets and loose-leaf books; they are not eFPS, DAT or CAS files.</t>
        </is>
      </c>
      <c r="G18" s="12" t="inlineStr">
        <is>
          <t>FRS BRD-05 v2.1, Proposed business rules and clarifications; FRBS 3.2.0 VII; FR-AC-063; also raised as AQ07 (open question)</t>
        </is>
      </c>
      <c r="H18" s="12" t="inlineStr">
        <is>
          <t>Head, Comptrollership</t>
        </is>
      </c>
      <c r="I18" s="37" t="n">
        <v>46356</v>
      </c>
      <c r="J18" s="12" t="inlineStr">
        <is>
          <t>Medium</t>
        </is>
      </c>
      <c r="K18" s="38" t="inlineStr">
        <is>
          <t>Open</t>
        </is>
      </c>
      <c r="L18" s="12" t="n"/>
      <c r="M18" s="12" t="n"/>
    </row>
    <row r="19">
      <c r="A19" s="12" t="inlineStr">
        <is>
          <t>CLR-AC-13</t>
        </is>
      </c>
      <c r="B19" s="12" t="inlineStr">
        <is>
          <t>BRD-05 Accounting, Disbursement and ACSL</t>
        </is>
      </c>
      <c r="C19" s="12" t="inlineStr">
        <is>
          <t>Business rule confirmation</t>
        </is>
      </c>
      <c r="D19" s="12" t="inlineStr">
        <is>
          <t>Role permissions: Confirm the approval (PQ17).</t>
        </is>
      </c>
      <c r="E19" s="12" t="inlineStr">
        <is>
          <t>Four eyes on access changes (PQ17).</t>
        </is>
      </c>
      <c r="F19" s="12" t="inlineStr">
        <is>
          <t>A change of role permissions is an access request approved by a second user.</t>
        </is>
      </c>
      <c r="G19" s="12" t="inlineStr">
        <is>
          <t>FRS BRD-05 v2.1, Proposed business rules and clarifications; BASAU 2.3.2; FR-AC-071</t>
        </is>
      </c>
      <c r="H19" s="12" t="inlineStr">
        <is>
          <t>Head, Comptrollership</t>
        </is>
      </c>
      <c r="I19" s="37" t="n">
        <v>46356</v>
      </c>
      <c r="J19" s="12" t="inlineStr">
        <is>
          <t>Medium</t>
        </is>
      </c>
      <c r="K19" s="38" t="inlineStr">
        <is>
          <t>Open</t>
        </is>
      </c>
      <c r="L19" s="12" t="n"/>
      <c r="M19" s="12" t="n"/>
    </row>
    <row r="20">
      <c r="A20" s="12" t="inlineStr">
        <is>
          <t>CLR-AC-14</t>
        </is>
      </c>
      <c r="B20" s="12" t="inlineStr">
        <is>
          <t>BRD-05 Accounting, Disbursement and ACSL</t>
        </is>
      </c>
      <c r="C20" s="12" t="inlineStr">
        <is>
          <t>Business rule confirmation</t>
        </is>
      </c>
      <c r="D20" s="12" t="inlineStr">
        <is>
          <t>Return and bulk approval of requests: Confirm Return, Resubmit and bulk approval.</t>
        </is>
      </c>
      <c r="E20" s="12" t="inlineStr">
        <is>
          <t>The BRD asks to return requests and to select several requests.</t>
        </is>
      </c>
      <c r="F20" s="12" t="inlineStr">
        <is>
          <t>The approver returns an access request with remarks; the requester edits and resubmits it; My Approvals approves several items at once. Journals have their own bulk posting.</t>
        </is>
      </c>
      <c r="G20" s="12" t="inlineStr">
        <is>
          <t>FRS BRD-05 v2.1, Proposed business rules and clarifications; BASAU 2.4.1, 2.5.3, 2.6.x; FR-AC-072</t>
        </is>
      </c>
      <c r="H20" s="12" t="inlineStr">
        <is>
          <t>Head, Comptrollership</t>
        </is>
      </c>
      <c r="I20" s="37" t="n">
        <v>46356</v>
      </c>
      <c r="J20" s="12" t="inlineStr">
        <is>
          <t>Medium</t>
        </is>
      </c>
      <c r="K20" s="38" t="inlineStr">
        <is>
          <t>Open</t>
        </is>
      </c>
      <c r="L20" s="12" t="n"/>
      <c r="M20" s="12" t="n"/>
    </row>
    <row r="21">
      <c r="A21" s="12" t="inlineStr">
        <is>
          <t>CLR-DS-01</t>
        </is>
      </c>
      <c r="B21" s="12" t="inlineStr">
        <is>
          <t>BRD-05 Accounting, Disbursement and ACSL</t>
        </is>
      </c>
      <c r="C21" s="12" t="inlineStr">
        <is>
          <t>Decision</t>
        </is>
      </c>
      <c r="D21" s="12" t="inlineStr">
        <is>
          <t>Request without a maintained payee: Choose HOLD or RETURN (AQ11, AQ12).</t>
        </is>
      </c>
      <c r="E21" s="12" t="inlineStr">
        <is>
          <t>Waiting avoids the source sending the request again (AQ11, AQ12).</t>
        </is>
      </c>
      <c r="F21" s="12" t="inlineStr">
        <is>
          <t>By default the request waits as No Payee, a payee request is raised and the alert disb payee no match is sent; it resumes when the payee is authorised. disb no payee action = RETURN returns it at once, as the BRD says.</t>
        </is>
      </c>
      <c r="G21" s="12" t="inlineStr">
        <is>
          <t>FRS BRD-05 v2.1, Proposed business rules and clarifications; DIS 3.25.0; FR-DS-020; also raised as AQ11 (open question), AQ12 (open question)</t>
        </is>
      </c>
      <c r="H21" s="12" t="inlineStr">
        <is>
          <t>Head, Comptrollership</t>
        </is>
      </c>
      <c r="I21" s="37" t="n">
        <v>46356</v>
      </c>
      <c r="J21" s="12" t="inlineStr">
        <is>
          <t>Medium</t>
        </is>
      </c>
      <c r="K21" s="38" t="inlineStr">
        <is>
          <t>Open</t>
        </is>
      </c>
      <c r="L21" s="12" t="n"/>
      <c r="M21" s="12" t="n"/>
    </row>
    <row r="22">
      <c r="A22" s="12" t="inlineStr">
        <is>
          <t>CLR-DS-02</t>
        </is>
      </c>
      <c r="B22" s="12" t="inlineStr">
        <is>
          <t>BRD-05 Accounting, Disbursement and ACSL</t>
        </is>
      </c>
      <c r="C22" s="12" t="inlineStr">
        <is>
          <t>Business rule confirmation</t>
        </is>
      </c>
      <c r="D22" s="12" t="inlineStr">
        <is>
          <t>Delete payee details: Confirm deactivation in place of deletion.</t>
        </is>
      </c>
      <c r="E22" s="12" t="inlineStr">
        <is>
          <t>A payee used on a voucher must stay for audit (AQ11).</t>
        </is>
      </c>
      <c r="F22" s="12" t="inlineStr">
        <is>
          <t>Only a draft payee never used is deleted; any other payee is deactivated with authorisation.</t>
        </is>
      </c>
      <c r="G22" s="12" t="inlineStr">
        <is>
          <t>FRS BRD-05 v2.1, Proposed business rules and clarifications; DIS 2.2.4; FR-DS-013</t>
        </is>
      </c>
      <c r="H22" s="12" t="inlineStr">
        <is>
          <t>Head, Comptrollership</t>
        </is>
      </c>
      <c r="I22" s="37" t="n">
        <v>46356</v>
      </c>
      <c r="J22" s="12" t="inlineStr">
        <is>
          <t>Medium</t>
        </is>
      </c>
      <c r="K22" s="38" t="inlineStr">
        <is>
          <t>Open</t>
        </is>
      </c>
      <c r="L22" s="12" t="n"/>
      <c r="M22" s="12" t="n"/>
    </row>
    <row r="23">
      <c r="A23" s="12" t="inlineStr">
        <is>
          <t>CLR-DS-03</t>
        </is>
      </c>
      <c r="B23" s="12" t="inlineStr">
        <is>
          <t>BRD-05 Accounting, Disbursement and ACSL</t>
        </is>
      </c>
      <c r="C23" s="12" t="inlineStr">
        <is>
          <t>Business rule confirmation</t>
        </is>
      </c>
      <c r="D23" s="12" t="inlineStr">
        <is>
          <t>Editable proforma entry: Confirm the edit until approval (AQ13).</t>
        </is>
      </c>
      <c r="E23" s="12" t="inlineStr">
        <is>
          <t>The BRD does not say who may edit and until when (AQ13).</t>
        </is>
      </c>
      <c r="F23" s="12" t="inlineStr">
        <is>
          <t>Lines are editable until approval; edited lines are marked Edited and shown to the approver.</t>
        </is>
      </c>
      <c r="G23" s="12" t="inlineStr">
        <is>
          <t>FRS BRD-05 v2.1, Proposed business rules and clarifications; DIS 2.7.6, 3.27.0; FR-DS-031; also raised as AQ13 (open question)</t>
        </is>
      </c>
      <c r="H23" s="12" t="inlineStr">
        <is>
          <t>Head, Comptrollership</t>
        </is>
      </c>
      <c r="I23" s="37" t="n">
        <v>46356</v>
      </c>
      <c r="J23" s="12" t="inlineStr">
        <is>
          <t>Medium</t>
        </is>
      </c>
      <c r="K23" s="38" t="inlineStr">
        <is>
          <t>Open</t>
        </is>
      </c>
      <c r="L23" s="12" t="n"/>
      <c r="M23" s="12" t="n"/>
    </row>
    <row r="24">
      <c r="A24" s="12" t="inlineStr">
        <is>
          <t>CLR-DS-04</t>
        </is>
      </c>
      <c r="B24" s="12" t="inlineStr">
        <is>
          <t>BRD-05 Accounting, Disbursement and ACSL</t>
        </is>
      </c>
      <c r="C24" s="12" t="inlineStr">
        <is>
          <t>Clarification</t>
        </is>
      </c>
      <c r="D24" s="12" t="inlineStr">
        <is>
          <t>Check leaves and layout: Give the check layout (AQ14).</t>
        </is>
      </c>
      <c r="E24" s="12" t="inlineStr">
        <is>
          <t>The check layout is not given (AQ14).</t>
        </is>
      </c>
      <c r="F24" s="12" t="inlineStr">
        <is>
          <t>A check takes the next leaf of the paying account's cheque book when printed; the layout is a draft template until BDOI gives it.</t>
        </is>
      </c>
      <c r="G24" s="12" t="inlineStr">
        <is>
          <t>FRS BRD-05 v2.1, Proposed business rules and clarifications; DIS 2.8.1, 2.16.2; FR-DS-050; also raised as AQ14 (open question), DCR-053 (register item)</t>
        </is>
      </c>
      <c r="H24" s="12" t="inlineStr">
        <is>
          <t>Comptrollership - FRBS, Disbursement and ACSL</t>
        </is>
      </c>
      <c r="I24" s="37" t="n">
        <v>46356</v>
      </c>
      <c r="J24" s="12" t="inlineStr">
        <is>
          <t>Medium</t>
        </is>
      </c>
      <c r="K24" s="38" t="inlineStr">
        <is>
          <t>Open</t>
        </is>
      </c>
      <c r="L24" s="12" t="n"/>
      <c r="M24" s="12" t="n"/>
    </row>
    <row r="25">
      <c r="A25" s="12" t="inlineStr">
        <is>
          <t>CLR-DS-05</t>
        </is>
      </c>
      <c r="B25" s="12" t="inlineStr">
        <is>
          <t>BRD-05 Accounting, Disbursement and ACSL</t>
        </is>
      </c>
      <c r="C25" s="12" t="inlineStr">
        <is>
          <t>Clarification</t>
        </is>
      </c>
      <c r="D25" s="12" t="inlineStr">
        <is>
          <t>DCTF file: Give the trailer and totals (AQ09).</t>
        </is>
      </c>
      <c r="E25" s="12" t="inlineStr">
        <is>
          <t>The trailer is not specified (AQ09).</t>
        </is>
      </c>
      <c r="F25" s="12" t="inlineStr">
        <is>
          <t>Header and 89-character details as Appendix B; no trailer or totals until BDOI gives them.</t>
        </is>
      </c>
      <c r="G25" s="12" t="inlineStr">
        <is>
          <t>FRS BRD-05 v2.1, Proposed business rules and clarifications; DIS 2.16.1; FR-DS-061; also raised as AQ09 (open question)</t>
        </is>
      </c>
      <c r="H25" s="12" t="inlineStr">
        <is>
          <t>Head, Comptrollership</t>
        </is>
      </c>
      <c r="I25" s="37" t="n">
        <v>46356</v>
      </c>
      <c r="J25" s="12" t="inlineStr">
        <is>
          <t>Medium</t>
        </is>
      </c>
      <c r="K25" s="38" t="inlineStr">
        <is>
          <t>Open</t>
        </is>
      </c>
      <c r="L25" s="12" t="n"/>
      <c r="M25" s="12" t="n"/>
    </row>
    <row r="26">
      <c r="A26" s="12" t="inlineStr">
        <is>
          <t>CLR-DS-06</t>
        </is>
      </c>
      <c r="B26" s="12" t="inlineStr">
        <is>
          <t>BRD-05 Accounting, Disbursement and ACSL</t>
        </is>
      </c>
      <c r="C26" s="12" t="inlineStr">
        <is>
          <t>Master data</t>
        </is>
      </c>
      <c r="D26" s="12" t="inlineStr">
        <is>
          <t>Bank file uploads: Give the bank layouts (AQ09).</t>
        </is>
      </c>
      <c r="E26" s="12" t="inlineStr">
        <is>
          <t>The bank layouts are not given (AQ09).</t>
        </is>
      </c>
      <c r="F26" s="12" t="inlineStr">
        <is>
          <t>The uploads take a minimal CSV (DV or check number, amount, date) until the bank layouts are given.</t>
        </is>
      </c>
      <c r="G26" s="12" t="inlineStr">
        <is>
          <t>FRS BRD-05 v2.1, Proposed business rules and clarifications; DIS 2.22.0, 3.26.4, 3.26.7; FR-DS-053</t>
        </is>
      </c>
      <c r="H26" s="12" t="inlineStr">
        <is>
          <t>Head, Comptrollership</t>
        </is>
      </c>
      <c r="I26" s="37" t="n">
        <v>46356</v>
      </c>
      <c r="J26" s="12" t="inlineStr">
        <is>
          <t>Medium</t>
        </is>
      </c>
      <c r="K26" s="38" t="inlineStr">
        <is>
          <t>Open</t>
        </is>
      </c>
      <c r="L26" s="12" t="n"/>
      <c r="M26" s="12" t="n"/>
    </row>
    <row r="27">
      <c r="A27" s="12" t="inlineStr">
        <is>
          <t>CLR-DS-07</t>
        </is>
      </c>
      <c r="B27" s="12" t="inlineStr">
        <is>
          <t>BRD-05 Accounting, Disbursement and ACSL</t>
        </is>
      </c>
      <c r="C27" s="12" t="inlineStr">
        <is>
          <t>Business rule confirmation</t>
        </is>
      </c>
      <c r="D27" s="12" t="inlineStr">
        <is>
          <t>Cancel an approved DV: Confirm the regularisation (AQ15).</t>
        </is>
      </c>
      <c r="E27" s="12" t="inlineStr">
        <is>
          <t>The BRD asks to regularise the source data without the steps (AQ15).</t>
        </is>
      </c>
      <c r="F27" s="12" t="inlineStr">
        <is>
          <t>The DV journal is reversed and the request goes back to its source; for a remittance DV, Remittance reverses the batch postings, gives the deductions back and returns the batch to review; it is sent again under a new cycle.</t>
        </is>
      </c>
      <c r="G27" s="12" t="inlineStr">
        <is>
          <t>FRS BRD-05 v2.1, Proposed business rules and clarifications; DIS 2.20.0; FR-DS-044; also raised as AQ15 (open question)</t>
        </is>
      </c>
      <c r="H27" s="12" t="inlineStr">
        <is>
          <t>Head, Comptrollership</t>
        </is>
      </c>
      <c r="I27" s="37" t="n">
        <v>46356</v>
      </c>
      <c r="J27" s="12" t="inlineStr">
        <is>
          <t>Medium</t>
        </is>
      </c>
      <c r="K27" s="38" t="inlineStr">
        <is>
          <t>Open</t>
        </is>
      </c>
      <c r="L27" s="12" t="n"/>
      <c r="M27" s="12" t="n"/>
    </row>
    <row r="28">
      <c r="A28" s="12" t="inlineStr">
        <is>
          <t>CLR-DS-08</t>
        </is>
      </c>
      <c r="B28" s="12" t="inlineStr">
        <is>
          <t>BRD-05 Accounting, Disbursement and ACSL</t>
        </is>
      </c>
      <c r="C28" s="12" t="inlineStr">
        <is>
          <t>Business rule confirmation</t>
        </is>
      </c>
      <c r="D28" s="12" t="inlineStr">
        <is>
          <t>Account funding: Confirm the funding workflow (AQ10).</t>
        </is>
      </c>
      <c r="E28" s="12" t="inlineStr">
        <is>
          <t>BOB is outside BIBS (AQ10).</t>
        </is>
      </c>
      <c r="F28" s="12" t="inlineStr">
        <is>
          <t>A BIBS workflow with four eyes; the BOB transaction itself is done in BOB and its reference recorded.</t>
        </is>
      </c>
      <c r="G28" s="12" t="inlineStr">
        <is>
          <t>FRS BRD-05 v2.1, Proposed business rules and clarifications; DIS 2.17.x; FR-DS-064; also raised as AQ10 (open question), DCR-056 (register item)</t>
        </is>
      </c>
      <c r="H28" s="12" t="inlineStr">
        <is>
          <t>Comptrollership - FRBS, Disbursement and ACSL</t>
        </is>
      </c>
      <c r="I28" s="37" t="n">
        <v>46356</v>
      </c>
      <c r="J28" s="12" t="inlineStr">
        <is>
          <t>Medium</t>
        </is>
      </c>
      <c r="K28" s="38" t="inlineStr">
        <is>
          <t>Open</t>
        </is>
      </c>
      <c r="L28" s="12" t="n"/>
      <c r="M28" s="12" t="n"/>
    </row>
    <row r="29">
      <c r="A29" s="12" t="inlineStr">
        <is>
          <t>CLR-DS-09</t>
        </is>
      </c>
      <c r="B29" s="12" t="inlineStr">
        <is>
          <t>BRD-05 Accounting, Disbursement and ACSL</t>
        </is>
      </c>
      <c r="C29" s="12" t="inlineStr">
        <is>
          <t>Clarification</t>
        </is>
      </c>
      <c r="D29" s="12" t="inlineStr">
        <is>
          <t>OR / AR tagging: Name the DV types that need an OR / AR (AQ17).</t>
        </is>
      </c>
      <c r="E29" s="12" t="inlineStr">
        <is>
          <t>Which DVs need an OR / AR back is open (AQ17).</t>
        </is>
      </c>
      <c r="F29" s="12" t="inlineStr">
        <is>
          <t>Every approved DV counts as unregularised until tagged.</t>
        </is>
      </c>
      <c r="G29" s="12" t="inlineStr">
        <is>
          <t>FRS BRD-05 v2.1, Proposed business rules and clarifications; DIS 2.10.x; FR-DS-056; also raised as AQ17 (open question)</t>
        </is>
      </c>
      <c r="H29" s="12" t="inlineStr">
        <is>
          <t>Head, Comptrollership</t>
        </is>
      </c>
      <c r="I29" s="37" t="n">
        <v>46356</v>
      </c>
      <c r="J29" s="12" t="inlineStr">
        <is>
          <t>Medium</t>
        </is>
      </c>
      <c r="K29" s="38" t="inlineStr">
        <is>
          <t>Open</t>
        </is>
      </c>
      <c r="L29" s="12" t="n"/>
      <c r="M29" s="12" t="n"/>
    </row>
    <row r="30">
      <c r="A30" s="12" t="inlineStr">
        <is>
          <t>CLR-DS-10</t>
        </is>
      </c>
      <c r="B30" s="12" t="inlineStr">
        <is>
          <t>BRD-05 Accounting, Disbursement and ACSL</t>
        </is>
      </c>
      <c r="C30" s="12" t="inlineStr">
        <is>
          <t>Business rule confirmation</t>
        </is>
      </c>
      <c r="D30" s="12" t="inlineStr">
        <is>
          <t>CWT tagging: Confirm the register (AQ16).</t>
        </is>
      </c>
      <c r="E30" s="12" t="inlineStr">
        <is>
          <t>One register avoids keeping the same certificate twice (AQ16).</t>
        </is>
      </c>
      <c r="F30" s="12" t="inlineStr">
        <is>
          <t>The tag records the certificate on the DV; the insurer certificates on commission are kept in one register in Tax (Certificates Received).</t>
        </is>
      </c>
      <c r="G30" s="12" t="inlineStr">
        <is>
          <t>FRS BRD-05 v2.1, Proposed business rules and clarifications; DIS 2.11.x; FR-DS-057; also raised as AQ16 (open question)</t>
        </is>
      </c>
      <c r="H30" s="12" t="inlineStr">
        <is>
          <t>Head, Comptrollership</t>
        </is>
      </c>
      <c r="I30" s="37" t="n">
        <v>46356</v>
      </c>
      <c r="J30" s="12" t="inlineStr">
        <is>
          <t>Medium</t>
        </is>
      </c>
      <c r="K30" s="38" t="inlineStr">
        <is>
          <t>Open</t>
        </is>
      </c>
      <c r="L30" s="12" t="n"/>
      <c r="M30" s="12" t="n"/>
    </row>
    <row r="31">
      <c r="A31" s="12" t="inlineStr">
        <is>
          <t>CLR-DS-12</t>
        </is>
      </c>
      <c r="B31" s="12" t="inlineStr">
        <is>
          <t>BRD-05 Accounting, Disbursement and ACSL</t>
        </is>
      </c>
      <c r="C31" s="12" t="inlineStr">
        <is>
          <t>Business rule confirmation</t>
        </is>
      </c>
      <c r="D31" s="12" t="inlineStr">
        <is>
          <t>CPC2 incentive: Confirm the base, VAT and criteria (AQ24, OQ39, PQ04).</t>
        </is>
      </c>
      <c r="E31" s="12" t="inlineStr">
        <is>
          <t>The base, VAT treatment, fixed-amount and rule criteria are open (AQ24, OQ39, PQ04).</t>
        </is>
      </c>
      <c r="F31" s="12" t="inlineStr">
        <is>
          <t>CPC2 is computed at the rate of the CPC2 tag of the booked transaction on the basic premium remitted, with output VAT, deducted from the remittance and posted as income (CLR-DS-16).</t>
        </is>
      </c>
      <c r="G31" s="12" t="inlineStr">
        <is>
          <t>FRS BRD-05 v2.1, Proposed business rules and clarifications; DIS 3.29.2; FR-DS-090; also raised as AQ24 (open question)</t>
        </is>
      </c>
      <c r="H31" s="12" t="inlineStr">
        <is>
          <t>Head, Comptrollership</t>
        </is>
      </c>
      <c r="I31" s="37" t="n">
        <v>46356</v>
      </c>
      <c r="J31" s="12" t="inlineStr">
        <is>
          <t>Medium</t>
        </is>
      </c>
      <c r="K31" s="38" t="inlineStr">
        <is>
          <t>Open</t>
        </is>
      </c>
      <c r="L31" s="12" t="n"/>
      <c r="M31" s="12" t="n"/>
    </row>
    <row r="32">
      <c r="A32" s="12" t="inlineStr">
        <is>
          <t>CLR-DS-13</t>
        </is>
      </c>
      <c r="B32" s="12" t="inlineStr">
        <is>
          <t>BRD-05 Accounting, Disbursement and ACSL</t>
        </is>
      </c>
      <c r="C32" s="12" t="inlineStr">
        <is>
          <t>Clarification</t>
        </is>
      </c>
      <c r="D32" s="12" t="inlineStr">
        <is>
          <t>Early-incentive service invoice: Give the accounting of the 2% withholding (AQ25).</t>
        </is>
      </c>
      <c r="E32" s="12" t="inlineStr">
        <is>
          <t>The accounting of the insurer's 2% withholding is open (AQ25).</t>
        </is>
      </c>
      <c r="F32" s="12" t="inlineStr">
        <is>
          <t>One service invoice per batch with 2% withholding; until AQ25 is answered the incentive is deducted in full from the remittance and the insurer's 2% is not posted.</t>
        </is>
      </c>
      <c r="G32" s="12" t="inlineStr">
        <is>
          <t>FRS BRD-05 v2.1, Proposed business rules and clarifications; DIS 3.29.1; FR-DS-091; also raised as AQ25 (open question)</t>
        </is>
      </c>
      <c r="H32" s="12" t="inlineStr">
        <is>
          <t>Head, Comptrollership</t>
        </is>
      </c>
      <c r="I32" s="37" t="n">
        <v>46356</v>
      </c>
      <c r="J32" s="12" t="inlineStr">
        <is>
          <t>Medium</t>
        </is>
      </c>
      <c r="K32" s="38" t="inlineStr">
        <is>
          <t>Open</t>
        </is>
      </c>
      <c r="L32" s="12" t="n"/>
      <c r="M32" s="12" t="n"/>
    </row>
    <row r="33">
      <c r="A33" s="12" t="inlineStr">
        <is>
          <t>CLR-DS-14</t>
        </is>
      </c>
      <c r="B33" s="12" t="inlineStr">
        <is>
          <t>BRD-05 Accounting, Disbursement and ACSL</t>
        </is>
      </c>
      <c r="C33" s="12" t="inlineStr">
        <is>
          <t>Report layout</t>
        </is>
      </c>
      <c r="D33" s="12" t="inlineStr">
        <is>
          <t>CPC2 report: Give the CPC2 report layout (AQ24).</t>
        </is>
      </c>
      <c r="E33" s="12" t="inlineStr">
        <is>
          <t>The layout depends on the CPC2 definition (AQ24).</t>
        </is>
      </c>
      <c r="F33" s="12" t="inlineStr">
        <is>
          <t>A CPC2 report in Disbursement Reports lists the CPC2 lines of a period with the breakdown and totals that agree with the ledger.</t>
        </is>
      </c>
      <c r="G33" s="12" t="inlineStr">
        <is>
          <t>FRS BRD-05 v2.1, Proposed business rules and clarifications; DIS 3.29.0; FR-DS-092</t>
        </is>
      </c>
      <c r="H33" s="12" t="inlineStr">
        <is>
          <t>Head, Comptrollership</t>
        </is>
      </c>
      <c r="I33" s="37" t="n">
        <v>46356</v>
      </c>
      <c r="J33" s="12" t="inlineStr">
        <is>
          <t>Medium</t>
        </is>
      </c>
      <c r="K33" s="38" t="inlineStr">
        <is>
          <t>Open</t>
        </is>
      </c>
      <c r="L33" s="12" t="n"/>
      <c r="M33" s="12" t="n"/>
    </row>
    <row r="34">
      <c r="A34" s="12" t="inlineStr">
        <is>
          <t>CLR-DS-16</t>
        </is>
      </c>
      <c r="B34" s="12" t="inlineStr">
        <is>
          <t>BRD-05 Accounting, Disbursement and ACSL</t>
        </is>
      </c>
      <c r="C34" s="12" t="inlineStr">
        <is>
          <t>Report layout</t>
        </is>
      </c>
      <c r="D34" s="12" t="inlineStr">
        <is>
          <t>CPC2 follows the incentive tag of the booked transaction: Confirm the tag as the basis of CPC2 and of its report; give the CPC2 criteria, base and rate (AQ24); confirm with the New Business and Operations owners that an endorsement re-evaluates the incentive tag.</t>
        </is>
      </c>
      <c r="E34" s="12" t="inlineStr">
        <is>
          <t>The minutes of 4-May-2026 state that CPC2 depends on the transaction tagging, that endorsement impacts are handled through the tagging and documented in the other BRDs, and that the CPC2 report is based only on the incentive tag of the booked transaction; they also confirm that the CPC2 criteria differ from the other incentives without stating them (AQ24, PQ04).</t>
        </is>
      </c>
      <c r="F34" s="12" t="inlineStr">
        <is>
          <t>A remittance line qualifies for CPC2 only when its booked transaction carries the CPC2 incentive tag set at booking by the CPC2 criteria of Product Maintenance; the CPC2 report lists only those lines. An endorsement that changes the qualification re-tags the transaction in New Business and Operations; Disbursement does not re-evaluate the criteria.</t>
        </is>
      </c>
      <c r="G34" s="12" t="inlineStr">
        <is>
          <t>FRS BRD-05 v2.1, Proposed business rules and clarifications; DIS 3.29.2; FR-DS-090, 092</t>
        </is>
      </c>
      <c r="H34" s="12" t="inlineStr">
        <is>
          <t>Head, Comptrollership</t>
        </is>
      </c>
      <c r="I34" s="37" t="n">
        <v>46356</v>
      </c>
      <c r="J34" s="12" t="inlineStr">
        <is>
          <t>Medium</t>
        </is>
      </c>
      <c r="K34" s="38" t="inlineStr">
        <is>
          <t>Open</t>
        </is>
      </c>
      <c r="L34" s="12" t="n"/>
      <c r="M34" s="12" t="n"/>
    </row>
    <row r="35">
      <c r="A35" s="12" t="inlineStr">
        <is>
          <t>CLR-DS-17</t>
        </is>
      </c>
      <c r="B35" s="12" t="inlineStr">
        <is>
          <t>BRD-05 Accounting, Disbursement and ACSL</t>
        </is>
      </c>
      <c r="C35" s="12" t="inlineStr">
        <is>
          <t>Business rule confirmation</t>
        </is>
      </c>
      <c r="D35" s="12" t="inlineStr">
        <is>
          <t>Granularity and trigger of the incentive service invoice: Confirm the granularity: one invoice per batch with a line per transaction (proposed), or one invoice per qualified transaction; and the trigger: automatic on approval of the batch (proposed), or generated by a user in one click from the list.</t>
        </is>
      </c>
      <c r="E35" s="12" t="inlineStr">
        <is>
          <t>DIS 3.29.1 asks for a service invoice for each qualified transaction, linked to it. The minutes of 4-May-2026 say that service invoices are generated per remittance batch with the amount of the batch incentive and its taxes, and also record a question on a screen that lists the transactions needing a service invoice and generates individual invoices per qualified transaction in one click. The two readings give different numbers of BIR invoices.</t>
        </is>
      </c>
      <c r="F35" s="12" t="inlineStr">
        <is>
          <t>One early incentive service invoice per remittance batch, issued automatically when the batch is approved, with one line per qualified transaction linked to its originating transaction; the amount is the incentive of the batch with VAT and withholding tax. The batch lists its qualified transactions with the service invoice number.</t>
        </is>
      </c>
      <c r="G35" s="12" t="inlineStr">
        <is>
          <t>FRS BRD-05 v2.1, Proposed business rules and clarifications; DIS 3.29.1; FR-DS-091</t>
        </is>
      </c>
      <c r="H35" s="12" t="inlineStr">
        <is>
          <t>Head, Comptrollership</t>
        </is>
      </c>
      <c r="I35" s="37" t="n">
        <v>46356</v>
      </c>
      <c r="J35" s="12" t="inlineStr">
        <is>
          <t>Medium</t>
        </is>
      </c>
      <c r="K35" s="38" t="inlineStr">
        <is>
          <t>Open</t>
        </is>
      </c>
      <c r="L35" s="12" t="n"/>
      <c r="M35" s="12" t="n"/>
    </row>
    <row r="36">
      <c r="A36" s="12" t="inlineStr">
        <is>
          <t>CLR-DS-18</t>
        </is>
      </c>
      <c r="B36" s="12" t="inlineStr">
        <is>
          <t>BRD-05 Accounting, Disbursement and ACSL</t>
        </is>
      </c>
      <c r="C36" s="12" t="inlineStr">
        <is>
          <t>Report layout</t>
        </is>
      </c>
      <c r="D36" s="12" t="inlineStr">
        <is>
          <t>Report of qualified invoices: Confirm that the CPC2 report and the batch listing meet the need, or give the layout of a separate report of qualified incentive transactions and their service invoices.</t>
        </is>
      </c>
      <c r="E36" s="12" t="inlineStr">
        <is>
          <t>The minutes say that a report of qualified invoices will be generated, without its content.</t>
        </is>
      </c>
      <c r="F36" s="12" t="inlineStr">
        <is>
          <t>The CPC2 report lists the qualified CPC2 lines per batch; the early-incentive qualified transactions are listed with their service invoice on the remittance batch and its service invoice. No separate report is proposed.</t>
        </is>
      </c>
      <c r="G36" s="12" t="inlineStr">
        <is>
          <t>FRS BRD-05 v2.1, Proposed business rules and clarifications; DIS 3.29.0; FR-DS-091, 092</t>
        </is>
      </c>
      <c r="H36" s="12" t="inlineStr">
        <is>
          <t>Head, Comptrollership</t>
        </is>
      </c>
      <c r="I36" s="37" t="n">
        <v>46356</v>
      </c>
      <c r="J36" s="12" t="inlineStr">
        <is>
          <t>Medium</t>
        </is>
      </c>
      <c r="K36" s="38" t="inlineStr">
        <is>
          <t>Open</t>
        </is>
      </c>
      <c r="L36" s="12" t="n"/>
      <c r="M36" s="12" t="n"/>
    </row>
    <row r="37">
      <c r="A37" s="12" t="inlineStr">
        <is>
          <t>CLR-DS-15</t>
        </is>
      </c>
      <c r="B37" s="12" t="inlineStr">
        <is>
          <t>BRD-05 Accounting, Disbursement and ACSL</t>
        </is>
      </c>
      <c r="C37" s="12" t="inlineStr">
        <is>
          <t>Configuration value</t>
        </is>
      </c>
      <c r="D37" s="12" t="inlineStr">
        <is>
          <t>Insurer's payment advice: Confirm, or ask for the schedule to be attached.</t>
        </is>
      </c>
      <c r="E37" s="12" t="inlineStr">
        <is>
          <t>The BRD does not ask for the schedule with the advice; the insurer receives it from Remittance.</t>
        </is>
      </c>
      <c r="F37" s="12" t="inlineStr">
        <is>
          <t>The payment advice of the day is e-mailed to each payee; the remittance schedule is not attached to the insurer's advice.</t>
        </is>
      </c>
      <c r="G37" s="12" t="inlineStr">
        <is>
          <t>FRS BRD-05 v2.1, Proposed business rules and clarifications; FR-DS-063</t>
        </is>
      </c>
      <c r="H37" s="12" t="inlineStr">
        <is>
          <t>Head, Comptrollership</t>
        </is>
      </c>
      <c r="I37" s="37" t="n">
        <v>46356</v>
      </c>
      <c r="J37" s="12" t="inlineStr">
        <is>
          <t>Medium</t>
        </is>
      </c>
      <c r="K37" s="38" t="inlineStr">
        <is>
          <t>Open</t>
        </is>
      </c>
      <c r="L37" s="12" t="n"/>
      <c r="M37" s="12" t="n"/>
    </row>
    <row r="38">
      <c r="A38" s="12" t="inlineStr">
        <is>
          <t>CLR-PQ-01</t>
        </is>
      </c>
      <c r="B38" s="12" t="inlineStr">
        <is>
          <t>BRD-05 Accounting, Disbursement and ACSL</t>
        </is>
      </c>
      <c r="C38" s="12" t="inlineStr">
        <is>
          <t>Report layout</t>
        </is>
      </c>
      <c r="D38" s="12" t="inlineStr">
        <is>
          <t>Unapplied payment report for Marketing: Confirm the Cashiering reports, or give the layout of a Marketing report (AQ18).</t>
        </is>
      </c>
      <c r="E38" s="12" t="inlineStr">
        <is>
          <t>A Marketing report per segment needs a layout (AQ18).</t>
        </is>
      </c>
      <c r="F38" s="12" t="inlineStr">
        <is>
          <t>Marketing runs the Cashiering reports without a segment filter.</t>
        </is>
      </c>
      <c r="G38" s="12" t="inlineStr">
        <is>
          <t>FRS BRD-05 v2.1, Proposed business rules and clarifications; MKT 1.7.0; FR-PQ-002; also raised as AQ18 (open question), DCR-052 (register item)</t>
        </is>
      </c>
      <c r="H38" s="12" t="inlineStr">
        <is>
          <t>Comptrollership - FRBS, Disbursement and ACSL</t>
        </is>
      </c>
      <c r="I38" s="37" t="n">
        <v>46356</v>
      </c>
      <c r="J38" s="12" t="inlineStr">
        <is>
          <t>Medium</t>
        </is>
      </c>
      <c r="K38" s="38" t="inlineStr">
        <is>
          <t>Open</t>
        </is>
      </c>
      <c r="L38" s="12" t="n"/>
      <c r="M38" s="12" t="n"/>
    </row>
    <row r="39">
      <c r="A39" s="12" t="inlineStr">
        <is>
          <t>CLR-PQ-02</t>
        </is>
      </c>
      <c r="B39" s="12" t="inlineStr">
        <is>
          <t>BRD-05 Accounting, Disbursement and ACSL</t>
        </is>
      </c>
      <c r="C39" s="12" t="inlineStr">
        <is>
          <t>Business rule confirmation</t>
        </is>
      </c>
      <c r="D39" s="12" t="inlineStr">
        <is>
          <t>Attachments: Confirm the attachment types and the viewer.</t>
        </is>
      </c>
      <c r="E39" s="12" t="inlineStr">
        <is>
          <t>The accepted types are those of the document store for all BIBS modules.</t>
        </is>
      </c>
      <c r="F39" s="12" t="inlineStr">
        <is>
          <t>.txt is not an accepted attachment type; files open one at a time in the viewer.</t>
        </is>
      </c>
      <c r="G39" s="12" t="inlineStr">
        <is>
          <t>FRS BRD-05 v2.1, Proposed business rules and clarifications; MKT 1.12.0, 1.13.0; FR-PQ-007</t>
        </is>
      </c>
      <c r="H39" s="12" t="inlineStr">
        <is>
          <t>Head, Comptrollership</t>
        </is>
      </c>
      <c r="I39" s="37" t="n">
        <v>46356</v>
      </c>
      <c r="J39" s="12" t="inlineStr">
        <is>
          <t>Medium</t>
        </is>
      </c>
      <c r="K39" s="38" t="inlineStr">
        <is>
          <t>Open</t>
        </is>
      </c>
      <c r="L39" s="12" t="n"/>
      <c r="M39" s="12" t="n"/>
    </row>
    <row r="40">
      <c r="A40" s="12" t="inlineStr">
        <is>
          <t>CLR-PQ-03</t>
        </is>
      </c>
      <c r="B40" s="12" t="inlineStr">
        <is>
          <t>BRD-05 Accounting, Disbursement and ACSL</t>
        </is>
      </c>
      <c r="C40" s="12" t="inlineStr">
        <is>
          <t>Clarification</t>
        </is>
      </c>
      <c r="D40" s="12" t="inlineStr">
        <is>
          <t>Details of the forms: Give the mandatory fields (AQ18).</t>
        </is>
      </c>
      <c r="E40" s="12" t="inlineStr">
        <is>
          <t>The BRD list of fields is empty (AQ18).</t>
        </is>
      </c>
      <c r="F40" s="12" t="inlineStr">
        <is>
          <t>The fields of Appendix D are used; all accounts of one refund request belong to one client.</t>
        </is>
      </c>
      <c r="G40" s="12" t="inlineStr">
        <is>
          <t>FRS BRD-05 v2.1, Proposed business rules and clarifications; MKT 1.10.0; FR-PQ-003, 004, 017</t>
        </is>
      </c>
      <c r="H40" s="12" t="inlineStr">
        <is>
          <t>Head, Comptrollership</t>
        </is>
      </c>
      <c r="I40" s="37" t="n">
        <v>46356</v>
      </c>
      <c r="J40" s="12" t="inlineStr">
        <is>
          <t>Medium</t>
        </is>
      </c>
      <c r="K40" s="38" t="inlineStr">
        <is>
          <t>Open</t>
        </is>
      </c>
      <c r="L40" s="12" t="n"/>
      <c r="M40" s="12" t="n"/>
    </row>
    <row r="41">
      <c r="A41" s="12" t="inlineStr">
        <is>
          <t>CLR-PQ-04</t>
        </is>
      </c>
      <c r="B41" s="12" t="inlineStr">
        <is>
          <t>BRD-05 Accounting, Disbursement and ACSL</t>
        </is>
      </c>
      <c r="C41" s="12" t="inlineStr">
        <is>
          <t>Business rule confirmation</t>
        </is>
      </c>
      <c r="D41" s="12" t="inlineStr">
        <is>
          <t>Cancellation of a disbursed check: Confirm the hand-off (AQ15).</t>
        </is>
      </c>
      <c r="E41" s="12" t="inlineStr">
        <is>
          <t>The BRD routes the request to Disbursement without the step (AQ15).</t>
        </is>
      </c>
      <c r="F41" s="12" t="inlineStr">
        <is>
          <t>After approval the request is handed to the Disbursement approvers (hand-off dv cancellation); the approver cancels the DV, which closes the hand-off.</t>
        </is>
      </c>
      <c r="G41" s="12" t="inlineStr">
        <is>
          <t>FRS BRD-05 v2.1, Proposed business rules and clarifications; MKT 1.19.0, 1.16.3; FR-PQ-011</t>
        </is>
      </c>
      <c r="H41" s="12" t="inlineStr">
        <is>
          <t>Head, Comptrollership</t>
        </is>
      </c>
      <c r="I41" s="37" t="n">
        <v>46356</v>
      </c>
      <c r="J41" s="12" t="inlineStr">
        <is>
          <t>Medium</t>
        </is>
      </c>
      <c r="K41" s="38" t="inlineStr">
        <is>
          <t>Open</t>
        </is>
      </c>
      <c r="L41" s="12" t="n"/>
      <c r="M41" s="12" t="n"/>
    </row>
    <row r="42">
      <c r="A42" s="12" t="inlineStr">
        <is>
          <t>CLR-PQ-05</t>
        </is>
      </c>
      <c r="B42" s="12" t="inlineStr">
        <is>
          <t>BRD-05 Accounting, Disbursement and ACSL</t>
        </is>
      </c>
      <c r="C42" s="12" t="inlineStr">
        <is>
          <t>Clarification</t>
        </is>
      </c>
      <c r="D42" s="12" t="inlineStr">
        <is>
          <t>CA / SA on the client record: Give the account number format (AQ19).</t>
        </is>
      </c>
      <c r="E42" s="12" t="inlineStr">
        <is>
          <t>The account number format is not given (AQ19).</t>
        </is>
      </c>
      <c r="F42" s="12" t="inlineStr">
        <is>
          <t>Recorded on approval without duplicates; the BDO account number is checked as 10 to 16 digits.</t>
        </is>
      </c>
      <c r="G42" s="12" t="inlineStr">
        <is>
          <t>FRS BRD-05 v2.1, Proposed business rules and clarifications; MKT 2.25.0; FR-PQ-016; also raised as AQ19 (open question)</t>
        </is>
      </c>
      <c r="H42" s="12" t="inlineStr">
        <is>
          <t>Head, Comptrollership</t>
        </is>
      </c>
      <c r="I42" s="37" t="n">
        <v>46356</v>
      </c>
      <c r="J42" s="12" t="inlineStr">
        <is>
          <t>Medium</t>
        </is>
      </c>
      <c r="K42" s="38" t="inlineStr">
        <is>
          <t>Open</t>
        </is>
      </c>
      <c r="L42" s="12" t="n"/>
      <c r="M42" s="12" t="n"/>
    </row>
    <row r="43">
      <c r="A43" s="12" t="inlineStr">
        <is>
          <t>CLR-PQ-06</t>
        </is>
      </c>
      <c r="B43" s="12" t="inlineStr">
        <is>
          <t>BRD-05 Accounting, Disbursement and ACSL</t>
        </is>
      </c>
      <c r="C43" s="12" t="inlineStr">
        <is>
          <t>Business rule confirmation</t>
        </is>
      </c>
      <c r="D43" s="12" t="inlineStr">
        <is>
          <t>Cash-advance liquidation: Confirm the scope of the liquidation (AQ18).</t>
        </is>
      </c>
      <c r="E43" s="12" t="inlineStr">
        <is>
          <t>The scope of the liquidation form is to be confirmed (AQ18).</t>
        </is>
      </c>
      <c r="F43" s="12" t="inlineStr">
        <is>
          <t>Liquidation, return of the excess and posting of the expenses are proposed as in FR-PQ-017.</t>
        </is>
      </c>
      <c r="G43" s="12" t="inlineStr">
        <is>
          <t>FRS BRD-05 v2.1, Proposed business rules and clarifications; Appendix D; FR-PQ-017</t>
        </is>
      </c>
      <c r="H43" s="12" t="inlineStr">
        <is>
          <t>Head, Comptrollership</t>
        </is>
      </c>
      <c r="I43" s="37" t="n">
        <v>46356</v>
      </c>
      <c r="J43" s="12" t="inlineStr">
        <is>
          <t>Medium</t>
        </is>
      </c>
      <c r="K43" s="38" t="inlineStr">
        <is>
          <t>Open</t>
        </is>
      </c>
      <c r="L43" s="12" t="n"/>
      <c r="M43" s="12" t="n"/>
    </row>
    <row r="44">
      <c r="A44" s="12" t="inlineStr">
        <is>
          <t>CLR-AS-01</t>
        </is>
      </c>
      <c r="B44" s="12" t="inlineStr">
        <is>
          <t>BRD-05 Accounting, Disbursement and ACSL</t>
        </is>
      </c>
      <c r="C44" s="12" t="inlineStr">
        <is>
          <t>Clarification</t>
        </is>
      </c>
      <c r="D44" s="12" t="inlineStr">
        <is>
          <t>SOA files: Give the SOA layouts (AQ21).</t>
        </is>
      </c>
      <c r="E44" s="12" t="inlineStr">
        <is>
          <t>The insurer SOA layouts are not given (AQ21).</t>
        </is>
      </c>
      <c r="F44" s="12" t="inlineStr">
        <is>
          <t>The SOA file is read in one request (up to acsl soa max rows rows) and reconciled once loaded; layouts per insurer are configuration.</t>
        </is>
      </c>
      <c r="G44" s="12" t="inlineStr">
        <is>
          <t>FRS BRD-05 v2.1, Proposed business rules and clarifications; ACSL 2.4.0; FR-AS-002; also raised as AQ21 (open question)</t>
        </is>
      </c>
      <c r="H44" s="12" t="inlineStr">
        <is>
          <t>Head, Comptrollership</t>
        </is>
      </c>
      <c r="I44" s="37" t="n">
        <v>46356</v>
      </c>
      <c r="J44" s="12" t="inlineStr">
        <is>
          <t>Medium</t>
        </is>
      </c>
      <c r="K44" s="38" t="inlineStr">
        <is>
          <t>Partly answered</t>
        </is>
      </c>
      <c r="L44" s="12" t="n"/>
      <c r="M44" s="12" t="inlineStr">
        <is>
          <t>Answer so far: For EB, the direct-billed indicator comes from the AO's upload. (BRD-8 BRID-025).</t>
        </is>
      </c>
    </row>
    <row r="45">
      <c r="A45" s="12" t="inlineStr">
        <is>
          <t>CLR-AS-02</t>
        </is>
      </c>
      <c r="B45" s="12" t="inlineStr">
        <is>
          <t>BRD-05 Accounting, Disbursement and ACSL</t>
        </is>
      </c>
      <c r="C45" s="12" t="inlineStr">
        <is>
          <t>Business rule confirmation</t>
        </is>
      </c>
      <c r="D45" s="12" t="inlineStr">
        <is>
          <t>Remittance deduction: Give the sources and confirm the spanning rule (AQ23).</t>
        </is>
      </c>
      <c r="E45" s="12" t="inlineStr">
        <is>
          <t>The sources of deductions and deductions spanning batches are open (AQ23).</t>
        </is>
      </c>
      <c r="F45" s="12" t="inlineStr">
        <is>
          <t>The deduction stays Confirmed while batches consume it and is Applied when every batch that used it has the insurer OR.</t>
        </is>
      </c>
      <c r="G45" s="12" t="inlineStr">
        <is>
          <t>FRS BRD-05 v2.1, Proposed business rules and clarifications; ACSL 2.9.2; FR-AS-025; also raised as AQ23 (open question)</t>
        </is>
      </c>
      <c r="H45" s="12" t="inlineStr">
        <is>
          <t>Head, Comptrollership</t>
        </is>
      </c>
      <c r="I45" s="37" t="n">
        <v>46356</v>
      </c>
      <c r="J45" s="12" t="inlineStr">
        <is>
          <t>Medium</t>
        </is>
      </c>
      <c r="K45" s="38" t="inlineStr">
        <is>
          <t>Open</t>
        </is>
      </c>
      <c r="L45" s="12" t="n"/>
      <c r="M45" s="12" t="n"/>
    </row>
    <row r="46">
      <c r="A46" s="12" t="inlineStr">
        <is>
          <t>CLR-AS-03</t>
        </is>
      </c>
      <c r="B46" s="12" t="inlineStr">
        <is>
          <t>BRD-05 Accounting, Disbursement and ACSL</t>
        </is>
      </c>
      <c r="C46" s="12" t="inlineStr">
        <is>
          <t>Report layout</t>
        </is>
      </c>
      <c r="D46" s="12" t="inlineStr">
        <is>
          <t>Aging and schedule reports: Confirm the slots and layouts (OQ43).</t>
        </is>
      </c>
      <c r="E46" s="12" t="inlineStr">
        <is>
          <t>The ageing slots and layouts are not given (OQ43).</t>
        </is>
      </c>
      <c r="F46" s="12" t="inlineStr">
        <is>
          <t>The ACSL aging and schedule reports age the open items per party in eight slots, in PHP and USD, with the GL balance and the SL-GL difference.</t>
        </is>
      </c>
      <c r="G46" s="12" t="inlineStr">
        <is>
          <t>FRS BRD-05 v2.1, Proposed business rules and clarifications; ACSL 2.14.3, 2.14.4; FR-AS-005</t>
        </is>
      </c>
      <c r="H46" s="12" t="inlineStr">
        <is>
          <t>Head, Comptrollership</t>
        </is>
      </c>
      <c r="I46" s="37" t="n">
        <v>46356</v>
      </c>
      <c r="J46" s="12" t="inlineStr">
        <is>
          <t>Medium</t>
        </is>
      </c>
      <c r="K46" s="38" t="inlineStr">
        <is>
          <t>Open</t>
        </is>
      </c>
      <c r="L46" s="12" t="n"/>
      <c r="M46" s="12" t="n"/>
    </row>
    <row r="47">
      <c r="A47" s="12" t="inlineStr">
        <is>
          <t>CLR-AS-04</t>
        </is>
      </c>
      <c r="B47" s="12" t="inlineStr">
        <is>
          <t>BRD-05 Accounting, Disbursement and ACSL</t>
        </is>
      </c>
      <c r="C47" s="12" t="inlineStr">
        <is>
          <t>Business rule confirmation</t>
        </is>
      </c>
      <c r="D47" s="12" t="inlineStr">
        <is>
          <t>GL-SL reconciliation at period end: Confirm the alert, or ask for the close to be stopped.</t>
        </is>
      </c>
      <c r="E47" s="12" t="inlineStr">
        <is>
          <t>The BRD includes a period-end check without saying whether it stops the close.</t>
        </is>
      </c>
      <c r="F47" s="12" t="inlineStr">
        <is>
          <t>The reconciliation runs nightly and on demand; a difference raises an alert but does not stop the period close.</t>
        </is>
      </c>
      <c r="G47" s="12" t="inlineStr">
        <is>
          <t>FRS BRD-05 v2.1, Proposed business rules and clarifications; ACSL 2.13.2; FR-AS-004</t>
        </is>
      </c>
      <c r="H47" s="12" t="inlineStr">
        <is>
          <t>Head, Comptrollership</t>
        </is>
      </c>
      <c r="I47" s="37" t="n">
        <v>46356</v>
      </c>
      <c r="J47" s="12" t="inlineStr">
        <is>
          <t>Medium</t>
        </is>
      </c>
      <c r="K47" s="38" t="inlineStr">
        <is>
          <t>Open</t>
        </is>
      </c>
      <c r="L47" s="12" t="n"/>
      <c r="M47" s="12" t="n"/>
    </row>
    <row r="48">
      <c r="A48" s="12" t="inlineStr">
        <is>
          <t>CLR-AC-15</t>
        </is>
      </c>
      <c r="B48" s="12" t="inlineStr">
        <is>
          <t>BRD-05 Accounting, Disbursement and ACSL</t>
        </is>
      </c>
      <c r="C48" s="12" t="inlineStr">
        <is>
          <t>Business rule confirmation</t>
        </is>
      </c>
      <c r="D48" s="12" t="inlineStr">
        <is>
          <t>Bank reconciliation by the GL team: Confirm who reconciles the bank accounts, and the grant of the bank reconciliation permission to the GL Officer and the GL Team Lead.</t>
        </is>
      </c>
      <c r="E48" s="12" t="inlineStr">
        <is>
          <t>The FR names the GL Officer as the actor, and the role matrix is to be confirmed (AQ28).</t>
        </is>
      </c>
      <c r="F48" s="12" t="inlineStr">
        <is>
          <t>The bank statements, the statement layouts and the bank reconciliation are opened with the bank reconciliation permission, held today by the Accountant and the Finance Manager roles; the GL roles do not hold it.</t>
        </is>
      </c>
      <c r="G48" s="12" t="inlineStr">
        <is>
          <t>FRS BRD-05 v2.1, Proposed business rules and clarifications; FRBS 3.3.0; FR-AC-050; also raised as AQ28 (open question), DCR-059 (register item)</t>
        </is>
      </c>
      <c r="H48" s="12" t="inlineStr">
        <is>
          <t>Comptrollership - FRBS, Disbursement and ACSL</t>
        </is>
      </c>
      <c r="I48" s="37" t="n">
        <v>46356</v>
      </c>
      <c r="J48" s="12" t="inlineStr">
        <is>
          <t>Medium</t>
        </is>
      </c>
      <c r="K48" s="38" t="inlineStr">
        <is>
          <t>Partly answered</t>
        </is>
      </c>
      <c r="L48" s="12" t="n"/>
      <c r="M48" s="12" t="inlineStr">
        <is>
          <t>Answer so far: As OQ48. (BRD-6 to BRD-12).</t>
        </is>
      </c>
    </row>
    <row r="49">
      <c r="A49" s="12" t="inlineStr">
        <is>
          <t>AQ20</t>
        </is>
      </c>
      <c r="B49" s="12" t="inlineStr">
        <is>
          <t>BRD-05 Accounting, Disbursement and ACSL</t>
        </is>
      </c>
      <c r="C49" s="12" t="inlineStr">
        <is>
          <t>Report layout</t>
        </is>
      </c>
      <c r="D49" s="12" t="inlineStr">
        <is>
          <t>Service fee: Definition and computation (2.5% / 1% of fully paid commission, net of taxes, per segment); recipients (BDO branches / referrers); liquidation report content; who releases</t>
        </is>
      </c>
      <c r="E49" s="12" t="inlineStr">
        <is>
          <t>Open point of the FRS (FR-AC-052, 053): the requirement cannot be finalised or tested as BDOI intends until it is answered.</t>
        </is>
      </c>
      <c r="F49" s="12" t="n"/>
      <c r="G49" s="12" t="inlineStr">
        <is>
          <t>FRS BRD-05 v2.1, Open questions AQ20 (affects FR-AC-052, 053); Discrepancy and clarification register v1.2, open question AQ20; baseline FRBS 2.10.x, Appendix A VI</t>
        </is>
      </c>
      <c r="H49" s="12" t="inlineStr">
        <is>
          <t>Head, Comptrollership</t>
        </is>
      </c>
      <c r="I49" s="37" t="n">
        <v>46356</v>
      </c>
      <c r="J49" s="12" t="inlineStr">
        <is>
          <t>Medium</t>
        </is>
      </c>
      <c r="K49" s="38" t="inlineStr">
        <is>
          <t>Open</t>
        </is>
      </c>
      <c r="L49" s="12" t="n"/>
      <c r="M49" s="12" t="n"/>
    </row>
    <row r="50">
      <c r="A50" s="12" t="inlineStr">
        <is>
          <t>AQ26</t>
        </is>
      </c>
      <c r="B50" s="12" t="inlineStr">
        <is>
          <t>BRD-05 Accounting, Disbursement and ACSL</t>
        </is>
      </c>
      <c r="C50" s="12" t="inlineStr">
        <is>
          <t>Clarification</t>
        </is>
      </c>
      <c r="D50" s="12" t="inlineStr">
        <is>
          <t>Cost centres: Rules "when and how" per transaction type; is a cost centre an employee-level record (DIS 3.30.1 lists employee number, name, position) or a unit; headcount basis date</t>
        </is>
      </c>
      <c r="E50" s="12" t="inlineStr">
        <is>
          <t>Open point of the FRS (FR-AC-054): the requirement cannot be finalised or tested as BDOI intends until it is answered.</t>
        </is>
      </c>
      <c r="F50" s="12" t="n"/>
      <c r="G50" s="12" t="inlineStr">
        <is>
          <t>FRS BRD-05 v2.1, Open questions AQ26 (affects FR-AC-054); Discrepancy and clarification register v1.2, open question AQ26; baseline FRBS 3.1.1, DIS 3.30.x</t>
        </is>
      </c>
      <c r="H50" s="12" t="inlineStr">
        <is>
          <t>Head, Comptrollership</t>
        </is>
      </c>
      <c r="I50" s="37" t="n">
        <v>46356</v>
      </c>
      <c r="J50" s="12" t="inlineStr">
        <is>
          <t>Medium</t>
        </is>
      </c>
      <c r="K50" s="38" t="inlineStr">
        <is>
          <t>Open</t>
        </is>
      </c>
      <c r="L50" s="12" t="n"/>
      <c r="M50" s="12" t="n"/>
    </row>
    <row r="51">
      <c r="A51" s="12" t="inlineStr">
        <is>
          <t>AQ31</t>
        </is>
      </c>
      <c r="B51" s="12" t="inlineStr">
        <is>
          <t>BRD-05 Accounting, Disbursement and ACSL</t>
        </is>
      </c>
      <c r="C51" s="12" t="inlineStr">
        <is>
          <t>Report layout</t>
        </is>
      </c>
      <c r="D51" s="12" t="inlineStr">
        <is>
          <t>BDO Unibank reporting: Are GARD reports submitted as files to BDO Unibank (format) or as printed reports; reciprocal accounts with BDO</t>
        </is>
      </c>
      <c r="E51" s="12" t="inlineStr">
        <is>
          <t>Open point of the FRS (FR-AC-060): the requirement cannot be finalised or tested as BDOI intends until it is answered.</t>
        </is>
      </c>
      <c r="F51" s="12" t="n"/>
      <c r="G51" s="12" t="inlineStr">
        <is>
          <t>FRS BRD-05 v2.1, Open questions AQ31 (affects FR-AC-060); Discrepancy and clarification register v1.2, open question AQ31; baseline Appendix A II</t>
        </is>
      </c>
      <c r="H51" s="12" t="inlineStr">
        <is>
          <t>Head, Comptrollership</t>
        </is>
      </c>
      <c r="I51" s="37" t="n">
        <v>46356</v>
      </c>
      <c r="J51" s="12" t="inlineStr">
        <is>
          <t>Medium</t>
        </is>
      </c>
      <c r="K51" s="38" t="inlineStr">
        <is>
          <t>Open</t>
        </is>
      </c>
      <c r="L51" s="12" t="n"/>
      <c r="M51" s="12" t="n"/>
    </row>
    <row r="52">
      <c r="A52" s="12" t="inlineStr">
        <is>
          <t>AQ22</t>
        </is>
      </c>
      <c r="B52" s="12" t="inlineStr">
        <is>
          <t>BRD-05 Accounting, Disbursement and ACSL</t>
        </is>
      </c>
      <c r="C52" s="12" t="inlineStr">
        <is>
          <t>Decision</t>
        </is>
      </c>
      <c r="D52" s="12" t="inlineStr">
        <is>
          <t>Corrections: Which accounts ACSL may correct; effect on the sub-ledger and on invoice components; reviewer / approver; the "separate unit" that posts today</t>
        </is>
      </c>
      <c r="E52" s="12" t="inlineStr">
        <is>
          <t>Open point of the FRS (FR-AS-021): the requirement cannot be finalised or tested as BDOI intends until it is answered.</t>
        </is>
      </c>
      <c r="F52" s="12" t="n"/>
      <c r="G52" s="12" t="inlineStr">
        <is>
          <t>FRS BRD-05 v2.1, Open questions AQ22 (affects FR-AS-021); Discrepancy and clarification register v1.2, open question AQ22; baseline ACSL 2.9.x</t>
        </is>
      </c>
      <c r="H52" s="12" t="inlineStr">
        <is>
          <t>Head, Comptrollership</t>
        </is>
      </c>
      <c r="I52" s="37" t="n">
        <v>46356</v>
      </c>
      <c r="J52" s="12" t="inlineStr">
        <is>
          <t>Medium</t>
        </is>
      </c>
      <c r="K52" s="38" t="inlineStr">
        <is>
          <t>Open</t>
        </is>
      </c>
      <c r="L52" s="12" t="n"/>
      <c r="M52" s="12" t="n"/>
    </row>
    <row r="53">
      <c r="A53" s="12" t="inlineStr">
        <is>
          <t>DCR-050</t>
        </is>
      </c>
      <c r="B53" s="12" t="inlineStr">
        <is>
          <t>BRD-05 Accounting, Disbursement and ACSL</t>
        </is>
      </c>
      <c r="C53" s="12" t="inlineStr">
        <is>
          <t>Business rule confirmation</t>
        </is>
      </c>
      <c r="D53" s="12" t="inlineStr">
        <is>
          <t>Please confirm the renumbering of the remaining duplicates.</t>
        </is>
      </c>
      <c r="E53" s="12" t="inlineStr">
        <is>
          <t>Duplicate IDs: FRBS 3.6.0 (items p and q), DIS 2.17.3 (verify / approve), DIS 2.24.1 (add / tag status), ACSL 2.5.4 (receive request / provide result), DIS 3.30.1 (cost centre / headcount report). Addendum 1 renames some (2.17.4, 2.24.2, 2.5.5); FRBS 3.6.0 and DIS 3.30.1 remain duplicated. Access rows in the Accounting and Disbursement tables are all "BRD 1.1.0-1.1.3". Traceability and test references are ambiguous.</t>
        </is>
      </c>
      <c r="F53" s="12" t="inlineStr">
        <is>
          <t>Baseline uses FRBS 1.1.x / DIS 1.1.x for access rows and DIS 3.30.2 for the second DIS 3.30.1.</t>
        </is>
      </c>
      <c r="G53" s="12" t="inlineStr">
        <is>
          <t>Discrepancy and clarification register v1.2, DCR-050 (Data / numbering issue); FRBS 3.6.0 (p.65-66); DIS 2.17.3 (p.90); DIS 2.24.1 (p.93-94); ACSL 2.5.4 (p.117-118); DIS 3.30.1 (workshop addendum); Addendum 1 (p.33-34)</t>
        </is>
      </c>
      <c r="H53" s="12" t="inlineStr">
        <is>
          <t>Comptrollership - FRBS, Disbursement and ACSL</t>
        </is>
      </c>
      <c r="I53" s="37" t="n">
        <v>46356</v>
      </c>
      <c r="J53" s="12" t="inlineStr">
        <is>
          <t>Medium</t>
        </is>
      </c>
      <c r="K53" s="38" t="inlineStr">
        <is>
          <t>Open</t>
        </is>
      </c>
      <c r="L53" s="12" t="n"/>
      <c r="M53" s="12" t="n"/>
    </row>
    <row r="54">
      <c r="A54" s="12" t="inlineStr">
        <is>
          <t>DCR-049</t>
        </is>
      </c>
      <c r="B54" s="12" t="inlineStr">
        <is>
          <t>BRD-05 Accounting, Disbursement and ACSL</t>
        </is>
      </c>
      <c r="C54" s="12" t="inlineStr">
        <is>
          <t>Business rule confirmation</t>
        </is>
      </c>
      <c r="D54" s="12" t="inlineStr">
        <is>
          <t>Confirm the approvals apply to the Accounting, Disbursement and ACSL BRD.</t>
        </is>
      </c>
      <c r="E54" s="12" t="inlineStr">
        <is>
          <t>The workshop addendum is titled "Financial Reporting, Disbursement and ACSL" and its purpose says "Business Requirements for New Business"; Addendum 1 approval text refers to "New Business Fire and Motor" (p.38). Page 13 of the scan is upside down. Approval record refers to another BRD.</t>
        </is>
      </c>
      <c r="F54" s="12" t="inlineStr">
        <is>
          <t>None.</t>
        </is>
      </c>
      <c r="G54" s="12" t="inlineStr">
        <is>
          <t>Discrepancy and clarification register v1.2, DCR-049 (Document quality); Workshop addendum (p.1-15, scanned); Addendum 1 approval text (p.38)</t>
        </is>
      </c>
      <c r="H54" s="12" t="inlineStr">
        <is>
          <t>Comptrollership - FRBS, Disbursement and ACSL</t>
        </is>
      </c>
      <c r="I54" s="37" t="n">
        <v>46356</v>
      </c>
      <c r="J54" s="12" t="inlineStr">
        <is>
          <t>Low</t>
        </is>
      </c>
      <c r="K54" s="38" t="inlineStr">
        <is>
          <t>Open</t>
        </is>
      </c>
      <c r="L54" s="12" t="n"/>
      <c r="M54" s="12" t="n"/>
    </row>
    <row r="55">
      <c r="A55" s="12" t="inlineStr">
        <is>
          <t>DCR-051</t>
        </is>
      </c>
      <c r="B55" s="12" t="inlineStr">
        <is>
          <t>BRD-05 Accounting, Disbursement and ACSL</t>
        </is>
      </c>
      <c r="C55" s="12" t="inlineStr">
        <is>
          <t>Business rule confirmation</t>
        </is>
      </c>
      <c r="D55" s="12" t="inlineStr">
        <is>
          <t>Marketing request IDs jump from MKT 1.20.0 to MKT 2.22.0; there is no 2.21.0. Confirm no requirement is missing.</t>
        </is>
      </c>
      <c r="E55" s="12" t="inlineStr">
        <is>
          <t>Marketing request IDs jump from MKT 1.20.0 to MKT 2.22.0; there is no 2.21.0. Traceability only.</t>
        </is>
      </c>
      <c r="F55" s="12" t="inlineStr">
        <is>
          <t>None.</t>
        </is>
      </c>
      <c r="G55" s="12" t="inlineStr">
        <is>
          <t>Discrepancy and clarification register v1.2, DCR-051 (Data / numbering issue); MKT 1.20.0 (p.111); MKT 2.22.0 (p.111)</t>
        </is>
      </c>
      <c r="H55" s="12" t="inlineStr">
        <is>
          <t>Comptrollership - FRBS, Disbursement and ACSL</t>
        </is>
      </c>
      <c r="I55" s="37" t="n">
        <v>46356</v>
      </c>
      <c r="J55" s="12" t="inlineStr">
        <is>
          <t>Low</t>
        </is>
      </c>
      <c r="K55" s="38" t="inlineStr">
        <is>
          <t>Open</t>
        </is>
      </c>
      <c r="L55" s="12" t="n"/>
      <c r="M55" s="12" t="n"/>
    </row>
    <row r="56">
      <c r="A56" s="12" t="inlineStr">
        <is>
          <t>DCR-060</t>
        </is>
      </c>
      <c r="B56" s="12" t="inlineStr">
        <is>
          <t>BRD-05 Accounting, Disbursement and ACSL</t>
        </is>
      </c>
      <c r="C56" s="12" t="inlineStr">
        <is>
          <t>Clarification</t>
        </is>
      </c>
      <c r="D56" s="12" t="inlineStr">
        <is>
          <t>The Business and System Administration table is headed "Accounting Controls and Subsidiary Ledger (ACSL) Unit Business Requirements". "Edit beginning check series" reads "User should be able to add edit series". None; correct in the next revision.</t>
        </is>
      </c>
      <c r="E56" s="12" t="inlineStr">
        <is>
          <t>The Business and System Administration table is headed "Accounting Controls and Subsidiary Ledger (ACSL) Unit Business Requirements". "Edit beginning check series" reads "User should be able to add edit series". None on the system.</t>
        </is>
      </c>
      <c r="F56" s="12" t="inlineStr">
        <is>
          <t>None.</t>
        </is>
      </c>
      <c r="G56" s="12" t="inlineStr">
        <is>
          <t>Discrepancy and clarification register v1.2, DCR-060 (Document quality); Business / System Admin table heading (p.127); DIS 2.23.x "Edit beginning check series" (p.93)</t>
        </is>
      </c>
      <c r="H56" s="12" t="inlineStr">
        <is>
          <t>Comptrollership - FRBS, Disbursement and ACSL</t>
        </is>
      </c>
      <c r="I56" s="37" t="n">
        <v>46356</v>
      </c>
      <c r="J56" s="12" t="inlineStr">
        <is>
          <t>Low</t>
        </is>
      </c>
      <c r="K56" s="38" t="inlineStr">
        <is>
          <t>Open</t>
        </is>
      </c>
      <c r="L56" s="12" t="n"/>
      <c r="M56" s="12" t="n"/>
    </row>
    <row r="57">
      <c r="A57" s="12" t="inlineStr">
        <is>
          <t>CFG-023</t>
        </is>
      </c>
      <c r="B57" s="12" t="inlineStr">
        <is>
          <t>BRD-05 Organisation and finance set-up</t>
        </is>
      </c>
      <c r="C57" s="12" t="inlineStr">
        <is>
          <t>Master data</t>
        </is>
      </c>
      <c r="D57" s="12" t="inlineStr">
        <is>
          <t>Legacy control accounts and Migration Clearing: The account codes of the legacy control accounts and of Migration Clearing in the production chart (proposed rule PR-DM-02)</t>
        </is>
      </c>
      <c r="E57" s="12" t="inlineStr">
        <is>
          <t>Needed for: Drafts with the Drop 0 sign-off (Sign-off of BRD-11 on 1-Dec-2026, the last of the three Drop 0 sets).</t>
        </is>
      </c>
      <c r="F57" s="12" t="inlineStr">
        <is>
          <t>Fill in the template D0-09 of the Master Data and Configuration Upload Templates workbook.</t>
        </is>
      </c>
      <c r="G57" s="12" t="inlineStr">
        <is>
          <t>Drop 0 configuration register CFG-023 (Drop 0 Configuration Inputs v2.0, area Chart of accounts and accounting)</t>
        </is>
      </c>
      <c r="H57" s="12" t="inlineStr">
        <is>
          <t>Head, Comptrollership</t>
        </is>
      </c>
      <c r="I57" s="37" t="n">
        <v>46357</v>
      </c>
      <c r="J57" s="12" t="inlineStr">
        <is>
          <t>High</t>
        </is>
      </c>
      <c r="K57" s="38" t="inlineStr">
        <is>
          <t>Open</t>
        </is>
      </c>
      <c r="L57" s="12" t="n"/>
      <c r="M57" s="12" t="n"/>
    </row>
    <row r="58">
      <c r="A58" s="12" t="inlineStr">
        <is>
          <t>SO-05-2</t>
        </is>
      </c>
      <c r="B58" s="12" t="inlineStr">
        <is>
          <t>BRD-05 Accounting, Disbursement and ACSL</t>
        </is>
      </c>
      <c r="C58" s="12" t="inlineStr">
        <is>
          <t>Sign-off</t>
        </is>
      </c>
      <c r="D58" s="12" t="inlineStr">
        <is>
          <t>Approve the test plan of BRD-05 Accounting, Disbursement and ACSL.</t>
        </is>
      </c>
      <c r="E58" s="12" t="inlineStr">
        <is>
          <t>The signed document fixes the scope for the next step of the plan; a late sign-off moves the dates that follow it.</t>
        </is>
      </c>
      <c r="F58" s="12" t="n"/>
      <c r="G58" s="12" t="inlineStr">
        <is>
          <t>Project plan v1.0 (8-Oct-2026), sign-offs and milestones</t>
        </is>
      </c>
      <c r="H58" s="12" t="inlineStr">
        <is>
          <t>Head, Comptrollership</t>
        </is>
      </c>
      <c r="I58" s="37" t="n">
        <v>46374</v>
      </c>
      <c r="J58" s="12" t="inlineStr">
        <is>
          <t>High</t>
        </is>
      </c>
      <c r="K58" s="38" t="inlineStr">
        <is>
          <t>Open</t>
        </is>
      </c>
      <c r="L58" s="12" t="n"/>
      <c r="M58" s="12" t="n"/>
    </row>
    <row r="59">
      <c r="A59" s="12" t="inlineStr">
        <is>
          <t>CFG-001</t>
        </is>
      </c>
      <c r="B59" s="12" t="inlineStr">
        <is>
          <t>BRD-05 Organisation and finance set-up</t>
        </is>
      </c>
      <c r="C59" s="12" t="inlineStr">
        <is>
          <t>Master data</t>
        </is>
      </c>
      <c r="D59" s="12" t="inlineStr">
        <is>
          <t>Company: The BDOI company record: code, registered name, TIN, address, base currency, fiscal year start and the value-date window of postings</t>
        </is>
      </c>
      <c r="E59" s="12" t="inlineStr">
        <is>
          <t>Needed for: Platform set-up for Drop 1 SIT (Drop 1 SIT runs Jan - Jul 2027 on the BDOI organisation, chart of accounts and banks).</t>
        </is>
      </c>
      <c r="F59" s="12" t="inlineStr">
        <is>
          <t>Fill in the template D0-01 of the Master Data and Configuration Upload Templates workbook.</t>
        </is>
      </c>
      <c r="G59" s="12" t="inlineStr">
        <is>
          <t>Drop 0 configuration register CFG-001 (Drop 0 Configuration Inputs v2.0, area Organisation)</t>
        </is>
      </c>
      <c r="H59" s="12" t="inlineStr">
        <is>
          <t>Head, Comptrollership</t>
        </is>
      </c>
      <c r="I59" s="37" t="n">
        <v>46391</v>
      </c>
      <c r="J59" s="12" t="inlineStr">
        <is>
          <t>High</t>
        </is>
      </c>
      <c r="K59" s="38" t="inlineStr">
        <is>
          <t>Open</t>
        </is>
      </c>
      <c r="L59" s="12" t="n"/>
      <c r="M59" s="12" t="n"/>
    </row>
    <row r="60">
      <c r="A60" s="12" t="inlineStr">
        <is>
          <t>CFG-002</t>
        </is>
      </c>
      <c r="B60" s="12" t="inlineStr">
        <is>
          <t>BRD-05 Organisation and finance set-up</t>
        </is>
      </c>
      <c r="C60" s="12" t="inlineStr">
        <is>
          <t>Master data</t>
        </is>
      </c>
      <c r="D60" s="12" t="inlineStr">
        <is>
          <t>Branches and invoicing branches: Every BDOI branch with its region, address, opening date, head-office flag, contact and weekly rest days; the legacy branch codes are mapped to them by the migration (R02, check only)</t>
        </is>
      </c>
      <c r="E60" s="12" t="inlineStr">
        <is>
          <t>Needed for: Platform set-up for Drop 1 SIT (Drop 1 SIT runs Jan - Jul 2027 on the BDOI organisation, chart of accounts and banks).</t>
        </is>
      </c>
      <c r="F60" s="12" t="inlineStr">
        <is>
          <t>Fill in the template D0-02 of the Master Data and Configuration Upload Templates workbook.</t>
        </is>
      </c>
      <c r="G60" s="12" t="inlineStr">
        <is>
          <t>Drop 0 configuration register CFG-002 (Drop 0 Configuration Inputs v2.0, area Organisation)</t>
        </is>
      </c>
      <c r="H60" s="12" t="inlineStr">
        <is>
          <t>Head, Comptrollership</t>
        </is>
      </c>
      <c r="I60" s="37" t="n">
        <v>46391</v>
      </c>
      <c r="J60" s="12" t="inlineStr">
        <is>
          <t>High</t>
        </is>
      </c>
      <c r="K60" s="38" t="inlineStr">
        <is>
          <t>Open</t>
        </is>
      </c>
      <c r="L60" s="12" t="n"/>
      <c r="M60" s="12" t="n"/>
    </row>
    <row r="61">
      <c r="A61" s="12" t="inlineStr">
        <is>
          <t>CFG-003</t>
        </is>
      </c>
      <c r="B61" s="12" t="inlineStr">
        <is>
          <t>BRD-05 Organisation and finance set-up</t>
        </is>
      </c>
      <c r="C61" s="12" t="inlineStr">
        <is>
          <t>Master data</t>
        </is>
      </c>
      <c r="D61" s="12" t="inlineStr">
        <is>
          <t>Holiday calendar: Public and company holidays of 2027 and 2028, company-wide or per branch; they drive the working days of service levels, value dates and jobs</t>
        </is>
      </c>
      <c r="E61" s="12" t="inlineStr">
        <is>
          <t>Needed for: Platform set-up for Drop 1 SIT (Drop 1 SIT runs Jan - Jul 2027 on the BDOI organisation, chart of accounts and banks).</t>
        </is>
      </c>
      <c r="F61" s="12" t="inlineStr">
        <is>
          <t>Fill in the template D0-03 of the Master Data and Configuration Upload Templates workbook.</t>
        </is>
      </c>
      <c r="G61" s="12" t="inlineStr">
        <is>
          <t>Drop 0 configuration register CFG-003 (Drop 0 Configuration Inputs v2.0, area Organisation)</t>
        </is>
      </c>
      <c r="H61" s="12" t="inlineStr">
        <is>
          <t>Head, Comptrollership; Human Resources</t>
        </is>
      </c>
      <c r="I61" s="37" t="n">
        <v>46391</v>
      </c>
      <c r="J61" s="12" t="inlineStr">
        <is>
          <t>High</t>
        </is>
      </c>
      <c r="K61" s="38" t="inlineStr">
        <is>
          <t>Open</t>
        </is>
      </c>
      <c r="L61" s="12" t="n"/>
      <c r="M61" s="12" t="n"/>
    </row>
    <row r="62">
      <c r="A62" s="12" t="inlineStr">
        <is>
          <t>CFG-004</t>
        </is>
      </c>
      <c r="B62" s="12" t="inlineStr">
        <is>
          <t>BRD-05 Organisation and finance set-up</t>
        </is>
      </c>
      <c r="C62" s="12" t="inlineStr">
        <is>
          <t>Master data</t>
        </is>
      </c>
      <c r="D62" s="12" t="inlineStr">
        <is>
          <t>Cost centres and business lines: The cost centres and business lines used on journal lines and in the cost-centre rules; the legacy cost centres are mapped by code map cost center</t>
        </is>
      </c>
      <c r="E62" s="12" t="inlineStr">
        <is>
          <t>Needed for: Platform set-up for Drop 1 SIT (Drop 1 SIT runs Jan - Jul 2027 on the BDOI organisation, chart of accounts and banks).</t>
        </is>
      </c>
      <c r="F62" s="12" t="inlineStr">
        <is>
          <t>Fill in the template D0-04 of the Master Data and Configuration Upload Templates workbook.</t>
        </is>
      </c>
      <c r="G62" s="12" t="inlineStr">
        <is>
          <t>Drop 0 configuration register CFG-004 (Drop 0 Configuration Inputs v2.0, area Organisation)</t>
        </is>
      </c>
      <c r="H62" s="12" t="inlineStr">
        <is>
          <t>Head, Comptrollership</t>
        </is>
      </c>
      <c r="I62" s="37" t="n">
        <v>46391</v>
      </c>
      <c r="J62" s="12" t="inlineStr">
        <is>
          <t>High</t>
        </is>
      </c>
      <c r="K62" s="38" t="inlineStr">
        <is>
          <t>Open</t>
        </is>
      </c>
      <c r="L62" s="12" t="n"/>
      <c r="M62" s="12" t="n"/>
    </row>
    <row r="63">
      <c r="A63" s="12" t="inlineStr">
        <is>
          <t>CFG-020</t>
        </is>
      </c>
      <c r="B63" s="12" t="inlineStr">
        <is>
          <t>BRD-05 Organisation and finance set-up</t>
        </is>
      </c>
      <c r="C63" s="12" t="inlineStr">
        <is>
          <t>Master data</t>
        </is>
      </c>
      <c r="D63" s="12" t="inlineStr">
        <is>
          <t>Chart of accounts: The production chart of accounts of BDOI in the chart upload template: every account with its parent, class, level, control and sub-ledger flags, currencies and report group</t>
        </is>
      </c>
      <c r="E63" s="12" t="inlineStr">
        <is>
          <t>Needed for: Platform set-up for Drop 1 SIT (Drop 1 SIT runs Jan - Jul 2027 on the BDOI organisation, chart of accounts and banks).</t>
        </is>
      </c>
      <c r="F63" s="12" t="inlineStr">
        <is>
          <t>Fill in the template D0-06 of the Master Data and Configuration Upload Templates workbook.</t>
        </is>
      </c>
      <c r="G63" s="12" t="inlineStr">
        <is>
          <t>Drop 0 configuration register CFG-020 (Drop 0 Configuration Inputs v2.0, area Chart of accounts and accounting)</t>
        </is>
      </c>
      <c r="H63" s="12" t="inlineStr">
        <is>
          <t>Head, Comptrollership</t>
        </is>
      </c>
      <c r="I63" s="37" t="n">
        <v>46391</v>
      </c>
      <c r="J63" s="12" t="inlineStr">
        <is>
          <t>High</t>
        </is>
      </c>
      <c r="K63" s="38" t="inlineStr">
        <is>
          <t>Open</t>
        </is>
      </c>
      <c r="L63" s="12" t="n"/>
      <c r="M63" s="12" t="n"/>
    </row>
    <row r="64">
      <c r="A64" s="12" t="inlineStr">
        <is>
          <t>CFG-021</t>
        </is>
      </c>
      <c r="B64" s="12" t="inlineStr">
        <is>
          <t>BRD-05 Organisation and finance set-up</t>
        </is>
      </c>
      <c r="C64" s="12" t="inlineStr">
        <is>
          <t>Master data</t>
        </is>
      </c>
      <c r="D64" s="12" t="inlineStr">
        <is>
          <t>Account categories and numbering scheme: The GL categories (with the bank categories) and the numbering scheme under each parent (separator and width)</t>
        </is>
      </c>
      <c r="E64" s="12" t="inlineStr">
        <is>
          <t>Needed for: Platform set-up for Drop 1 SIT (Drop 1 SIT runs Jan - Jul 2027 on the BDOI organisation, chart of accounts and banks).</t>
        </is>
      </c>
      <c r="F64" s="12" t="inlineStr">
        <is>
          <t>Fill in the template D0-07 of the Master Data and Configuration Upload Templates workbook.</t>
        </is>
      </c>
      <c r="G64" s="12" t="inlineStr">
        <is>
          <t>Drop 0 configuration register CFG-021 (Drop 0 Configuration Inputs v2.0, area Chart of accounts and accounting)</t>
        </is>
      </c>
      <c r="H64" s="12" t="inlineStr">
        <is>
          <t>Head, Comptrollership</t>
        </is>
      </c>
      <c r="I64" s="37" t="n">
        <v>46391</v>
      </c>
      <c r="J64" s="12" t="inlineStr">
        <is>
          <t>High</t>
        </is>
      </c>
      <c r="K64" s="38" t="inlineStr">
        <is>
          <t>Open</t>
        </is>
      </c>
      <c r="L64" s="12" t="n"/>
      <c r="M64" s="12" t="n"/>
    </row>
    <row r="65">
      <c r="A65" s="12" t="inlineStr">
        <is>
          <t>CFG-022</t>
        </is>
      </c>
      <c r="B65" s="12" t="inlineStr">
        <is>
          <t>BRD-05 Organisation and finance set-up</t>
        </is>
      </c>
      <c r="C65" s="12" t="inlineStr">
        <is>
          <t>Master data</t>
        </is>
      </c>
      <c r="D65" s="12" t="inlineStr">
        <is>
          <t>Accounting rules per event: For each accounting event of the platform, the debit and credit accounts per amount component, business line and currency</t>
        </is>
      </c>
      <c r="E65" s="12" t="inlineStr">
        <is>
          <t>Needed for: Platform set-up for Drop 1 SIT (Drop 1 SIT runs Jan - Jul 2027 on the BDOI organisation, chart of accounts and banks).</t>
        </is>
      </c>
      <c r="F65" s="12" t="inlineStr">
        <is>
          <t>Fill in the template D0-08 of the Master Data and Configuration Upload Templates workbook.</t>
        </is>
      </c>
      <c r="G65" s="12" t="inlineStr">
        <is>
          <t>Drop 0 configuration register CFG-022 (Drop 0 Configuration Inputs v2.0, area Chart of accounts and accounting)</t>
        </is>
      </c>
      <c r="H65" s="12" t="inlineStr">
        <is>
          <t>Head, Comptrollership</t>
        </is>
      </c>
      <c r="I65" s="37" t="n">
        <v>46391</v>
      </c>
      <c r="J65" s="12" t="inlineStr">
        <is>
          <t>High</t>
        </is>
      </c>
      <c r="K65" s="38" t="inlineStr">
        <is>
          <t>Open</t>
        </is>
      </c>
      <c r="L65" s="12" t="n"/>
      <c r="M65" s="12" t="n"/>
    </row>
    <row r="66">
      <c r="A66" s="12" t="inlineStr">
        <is>
          <t>CFG-040</t>
        </is>
      </c>
      <c r="B66" s="12" t="inlineStr">
        <is>
          <t>BRD-05 Organisation and finance set-up</t>
        </is>
      </c>
      <c r="C66" s="12" t="inlineStr">
        <is>
          <t>Master data</t>
        </is>
      </c>
      <c r="D66" s="12" t="inlineStr">
        <is>
          <t>Company bank accounts: Every BDOI bank account used for collections and disbursements: bank, account number, currency, branch, GL account and PDC clearing account</t>
        </is>
      </c>
      <c r="E66" s="12" t="inlineStr">
        <is>
          <t>Needed for: Platform set-up for Drop 1 SIT (Drop 1 SIT runs Jan - Jul 2027 on the BDOI organisation, chart of accounts and banks).</t>
        </is>
      </c>
      <c r="F66" s="12" t="inlineStr">
        <is>
          <t>Fill in the template D0-11 of the Master Data and Configuration Upload Templates workbook.</t>
        </is>
      </c>
      <c r="G66" s="12" t="inlineStr">
        <is>
          <t>Drop 0 configuration register CFG-040 (Drop 0 Configuration Inputs v2.0, area Banks and bank accounts)</t>
        </is>
      </c>
      <c r="H66" s="12" t="inlineStr">
        <is>
          <t>Head, Comptrollership; Treasury</t>
        </is>
      </c>
      <c r="I66" s="37" t="n">
        <v>46391</v>
      </c>
      <c r="J66" s="12" t="inlineStr">
        <is>
          <t>High</t>
        </is>
      </c>
      <c r="K66" s="38" t="inlineStr">
        <is>
          <t>Open</t>
        </is>
      </c>
      <c r="L66" s="12" t="n"/>
      <c r="M66" s="12" t="n"/>
    </row>
    <row r="67">
      <c r="A67" s="12" t="inlineStr">
        <is>
          <t>CFG-052</t>
        </is>
      </c>
      <c r="B67" s="12" t="inlineStr">
        <is>
          <t>BRD-05 Organisation and finance set-up</t>
        </is>
      </c>
      <c r="C67" s="12" t="inlineStr">
        <is>
          <t>Configuration value</t>
        </is>
      </c>
      <c r="D67" s="12" t="inlineStr">
        <is>
          <t>Account numbering scheme: Covered by CFG-021: the separator and width of the account codes under each parent</t>
        </is>
      </c>
      <c r="E67" s="12" t="inlineStr">
        <is>
          <t>Needed for: Platform set-up for Drop 1 SIT (Drop 1 SIT runs Jan - Jul 2027 on the BDOI organisation, chart of accounts and banks).</t>
        </is>
      </c>
      <c r="F67" s="12" t="inlineStr">
        <is>
          <t>Fill in the template D0-07 of the Master Data and Configuration Upload Templates workbook.</t>
        </is>
      </c>
      <c r="G67" s="12" t="inlineStr">
        <is>
          <t>Drop 0 configuration register CFG-052 (Drop 0 Configuration Inputs v2.0, area Document numbering)</t>
        </is>
      </c>
      <c r="H67" s="12" t="inlineStr">
        <is>
          <t>Head, Comptrollership</t>
        </is>
      </c>
      <c r="I67" s="37" t="n">
        <v>46391</v>
      </c>
      <c r="J67" s="12" t="inlineStr">
        <is>
          <t>High</t>
        </is>
      </c>
      <c r="K67" s="38" t="inlineStr">
        <is>
          <t>Open</t>
        </is>
      </c>
      <c r="L67" s="12" t="n"/>
      <c r="M67" s="12" t="n"/>
    </row>
    <row r="68">
      <c r="A68" s="12" t="inlineStr">
        <is>
          <t>DEP-05</t>
        </is>
      </c>
      <c r="B68" s="12" t="inlineStr">
        <is>
          <t>BRD-05 Accounting, Disbursement and ACSL</t>
        </is>
      </c>
      <c r="C68" s="12" t="inlineStr">
        <is>
          <t>Master data</t>
        </is>
      </c>
      <c r="D68" s="12" t="inlineStr">
        <is>
          <t>Organisation, chart of accounts, accounting rules and bank accounts for Drop 1 SIT (D2)</t>
        </is>
      </c>
      <c r="E68" s="12" t="inlineStr">
        <is>
          <t>Needed for: Drop 1 SIT postings. If late: SIT runs on seed values; postings retested.</t>
        </is>
      </c>
      <c r="F68" s="12" t="n"/>
      <c r="G68" s="12" t="inlineStr">
        <is>
          <t>Project plan v1.0 (8-Oct-2026), dependency DEP-05 (Data)</t>
        </is>
      </c>
      <c r="H68" s="12" t="inlineStr">
        <is>
          <t>Head, Comptrollership</t>
        </is>
      </c>
      <c r="I68" s="37" t="n">
        <v>46391</v>
      </c>
      <c r="J68" s="12" t="inlineStr">
        <is>
          <t>High</t>
        </is>
      </c>
      <c r="K68" s="38" t="inlineStr">
        <is>
          <t>Open</t>
        </is>
      </c>
      <c r="L68" s="12" t="n"/>
      <c r="M68" s="12" t="n"/>
    </row>
    <row r="69">
      <c r="A69" s="12" t="inlineStr">
        <is>
          <t>AQ08</t>
        </is>
      </c>
      <c r="B69" s="12" t="inlineStr">
        <is>
          <t>BRD-05 Accounting, Disbursement and ACSL</t>
        </is>
      </c>
      <c r="C69" s="12" t="inlineStr">
        <is>
          <t>Integration detail</t>
        </is>
      </c>
      <c r="D69" s="12" t="inlineStr">
        <is>
          <t>Bank reconciliation: Bank file layouts (.xlsx per bank); which accounts; matching of lines without check numbers; meaning of "reconcile cash balance per books with broking books" (FRBS 3.3.2)</t>
        </is>
      </c>
      <c r="E69" s="12" t="inlineStr">
        <is>
          <t>Open point of the FRS (FR-AC-050): the requirement cannot be finalised or tested as BDOI intends until it is answered.</t>
        </is>
      </c>
      <c r="F69" s="12" t="n"/>
      <c r="G69" s="12" t="inlineStr">
        <is>
          <t>FRS BRD-05 v2.1, Open questions AQ08 (affects FR-AC-050); Discrepancy and clarification register v1.2, open question AQ08; baseline FRBS 3.3.x</t>
        </is>
      </c>
      <c r="H69" s="12" t="inlineStr">
        <is>
          <t>BDOI IT with the Head, Comptrollership</t>
        </is>
      </c>
      <c r="I69" s="37" t="n">
        <v>46418</v>
      </c>
      <c r="J69" s="12" t="inlineStr">
        <is>
          <t>Medium</t>
        </is>
      </c>
      <c r="K69" s="38" t="inlineStr">
        <is>
          <t>Open</t>
        </is>
      </c>
      <c r="L69" s="12" t="n"/>
      <c r="M69" s="12" t="n"/>
    </row>
    <row r="70">
      <c r="A70" s="12" t="inlineStr">
        <is>
          <t>CFG-103</t>
        </is>
      </c>
      <c r="B70" s="12" t="inlineStr">
        <is>
          <t>BRD-05 Accounting, Disbursement and ACSL</t>
        </is>
      </c>
      <c r="C70" s="12" t="inlineStr">
        <is>
          <t>Master data</t>
        </is>
      </c>
      <c r="D70" s="12" t="inlineStr">
        <is>
          <t>Payees: Active payees of EBIX, loaded by the payee registration of Disbursement if BDOI brings R09 into scope (conditional object, DMQ30); otherwise registered on Payees</t>
        </is>
      </c>
      <c r="E70" s="12" t="inlineStr">
        <is>
          <t>Needed for: Reference data for Trial migration 1 (M4) (Extracts for Trial migration 1; reference data and clients first).</t>
        </is>
      </c>
      <c r="F70" s="12" t="inlineStr">
        <is>
          <t>Fill in the template UP-02 of the Master Data and Configuration Upload Templates workbook.</t>
        </is>
      </c>
      <c r="G70" s="12" t="inlineStr">
        <is>
          <t>Drop 0 configuration register CFG-103 (Drop 0 Configuration Inputs v2.0, area Insurers and partners)</t>
        </is>
      </c>
      <c r="H70" s="12" t="inlineStr">
        <is>
          <t>Head, Comptrollership</t>
        </is>
      </c>
      <c r="I70" s="37" t="n">
        <v>46486</v>
      </c>
      <c r="J70" s="12" t="inlineStr">
        <is>
          <t>High</t>
        </is>
      </c>
      <c r="K70" s="38" t="inlineStr">
        <is>
          <t>Open</t>
        </is>
      </c>
      <c r="L70" s="12" t="n"/>
      <c r="M70" s="12" t="n"/>
    </row>
    <row r="71">
      <c r="A71" s="12" t="inlineStr">
        <is>
          <t>TD-05</t>
        </is>
      </c>
      <c r="B71" s="12" t="inlineStr">
        <is>
          <t>BRD-05 Accounting, Disbursement and ACSL</t>
        </is>
      </c>
      <c r="C71" s="12" t="inlineStr">
        <is>
          <t>Test data</t>
        </is>
      </c>
      <c r="D71" s="12" t="inlineStr">
        <is>
          <t>Name the UAT testers of BRD-05 Accounting, Disbursement and ACSL (at least two per business unit, with their user IDs and group profiles) and provide the business data of the UAT scenarios: the clients, policies, insurers and amounts each scenario of the test plan uses, from the migrated data of Trial migration 3 or as additional cases.</t>
        </is>
      </c>
      <c r="E71" s="12" t="inlineStr">
        <is>
          <t>UAT of Drop 1 runs on migrated data and the production values; testers without access or scenarios without data stop the UAT.</t>
        </is>
      </c>
      <c r="F71" s="12" t="inlineStr">
        <is>
          <t>The test plan (04 workbook of the set) names the scenarios; the BDOI testers choose the cases from the migrated data and add the cases the legacy data does not hold.</t>
        </is>
      </c>
      <c r="G71" s="12" t="inlineStr">
        <is>
          <t>Project plan: dependency DEP-20 (UAT testers), milestone MS-20 (UAT plans, values for UAT and testers, 16-Jul-2027)</t>
        </is>
      </c>
      <c r="H71" s="12" t="inlineStr">
        <is>
          <t>Head, Comptrollership (UAT testers of the business units)</t>
        </is>
      </c>
      <c r="I71" s="37" t="n">
        <v>46584</v>
      </c>
      <c r="J71" s="12" t="inlineStr">
        <is>
          <t>High</t>
        </is>
      </c>
      <c r="K71" s="38" t="inlineStr">
        <is>
          <t>Open</t>
        </is>
      </c>
      <c r="L71" s="12" t="n"/>
      <c r="M71" s="12" t="n"/>
    </row>
    <row r="72">
      <c r="A72" s="12" t="inlineStr">
        <is>
          <t>CFG-005</t>
        </is>
      </c>
      <c r="B72" s="12" t="inlineStr">
        <is>
          <t>BRD-05 Organisation and finance set-up</t>
        </is>
      </c>
      <c r="C72" s="12" t="inlineStr">
        <is>
          <t>Master data</t>
        </is>
      </c>
      <c r="D72" s="12" t="inlineStr">
        <is>
          <t>Employees: Employees with their branch and cost centre, for the cost-centre rules, petty cash custodians and staff advances</t>
        </is>
      </c>
      <c r="E72" s="12" t="inlineStr">
        <is>
          <t>Needed for: Values for UAT (UAT plans and sign-off forms due 16-Jul-2027; UAT Aug - Dec 2027 runs on the production values).</t>
        </is>
      </c>
      <c r="F72" s="12" t="inlineStr">
        <is>
          <t>Fill in the template D0-05 of the Master Data and Configuration Upload Templates workbook.</t>
        </is>
      </c>
      <c r="G72" s="12" t="inlineStr">
        <is>
          <t>Drop 0 configuration register CFG-005 (Drop 0 Configuration Inputs v2.0, area Organisation)</t>
        </is>
      </c>
      <c r="H72" s="12" t="inlineStr">
        <is>
          <t>Human Resources; Head, Comptrollership</t>
        </is>
      </c>
      <c r="I72" s="37" t="n">
        <v>46584</v>
      </c>
      <c r="J72" s="12" t="inlineStr">
        <is>
          <t>Medium</t>
        </is>
      </c>
      <c r="K72" s="38" t="inlineStr">
        <is>
          <t>Open</t>
        </is>
      </c>
      <c r="L72" s="12" t="n"/>
      <c r="M72" s="12" t="n"/>
    </row>
    <row r="73">
      <c r="A73" s="12" t="inlineStr">
        <is>
          <t>CFG-006</t>
        </is>
      </c>
      <c r="B73" s="12" t="inlineStr">
        <is>
          <t>BRD-05 Organisation and finance set-up</t>
        </is>
      </c>
      <c r="C73" s="12" t="inlineStr">
        <is>
          <t>Configuration value</t>
        </is>
      </c>
      <c r="D73" s="12" t="inlineStr">
        <is>
          <t>Cost-centre rules: Which cost centre an automatic posting takes by module, event, branch, party or account</t>
        </is>
      </c>
      <c r="E73" s="12" t="inlineStr">
        <is>
          <t>Needed for: Values for UAT (UAT plans and sign-off forms due 16-Jul-2027; UAT Aug - Dec 2027 runs on the production values).</t>
        </is>
      </c>
      <c r="F73" s="12" t="inlineStr">
        <is>
          <t>Configured on the screen Setup &amp; Administration › Setup › Cost-Centre Rules (sheet Configured on screens of the Master Data and Configuration Upload Templates workbook).</t>
        </is>
      </c>
      <c r="G73" s="12" t="inlineStr">
        <is>
          <t>Drop 0 configuration register CFG-006 (Drop 0 Configuration Inputs v2.0, area Organisation)</t>
        </is>
      </c>
      <c r="H73" s="12" t="inlineStr">
        <is>
          <t>Head, Comptrollership</t>
        </is>
      </c>
      <c r="I73" s="37" t="n">
        <v>46584</v>
      </c>
      <c r="J73" s="12" t="inlineStr">
        <is>
          <t>Medium</t>
        </is>
      </c>
      <c r="K73" s="38" t="inlineStr">
        <is>
          <t>Open</t>
        </is>
      </c>
      <c r="L73" s="12" t="n"/>
      <c r="M73" s="12" t="n"/>
    </row>
    <row r="74">
      <c r="A74" s="12" t="inlineStr">
        <is>
          <t>CFG-010</t>
        </is>
      </c>
      <c r="B74" s="12" t="inlineStr">
        <is>
          <t>BRD-05 Organisation and finance set-up</t>
        </is>
      </c>
      <c r="C74" s="12" t="inlineStr">
        <is>
          <t>Configuration value</t>
        </is>
      </c>
      <c r="D74" s="12" t="inlineStr">
        <is>
          <t>Currencies and exchange rates: The currencies in use and the source and owner of the daily BOOK rate; the legacy currency codes are mapped by code map CURRENCY</t>
        </is>
      </c>
      <c r="E74" s="12" t="inlineStr">
        <is>
          <t>Needed for: Values for UAT (UAT plans and sign-off forms due 16-Jul-2027; UAT Aug - Dec 2027 runs on the production values).</t>
        </is>
      </c>
      <c r="F74" s="12" t="inlineStr">
        <is>
          <t>Configured on the screen Setup &amp; Administration › Setup › Currencies &amp; Rates (sheet Configured on screens of the Master Data and Configuration Upload Templates workbook).</t>
        </is>
      </c>
      <c r="G74" s="12" t="inlineStr">
        <is>
          <t>Drop 0 configuration register CFG-010 (Drop 0 Configuration Inputs v2.0, area Organisation)</t>
        </is>
      </c>
      <c r="H74" s="12" t="inlineStr">
        <is>
          <t>Head, Comptrollership</t>
        </is>
      </c>
      <c r="I74" s="37" t="n">
        <v>46584</v>
      </c>
      <c r="J74" s="12" t="inlineStr">
        <is>
          <t>Medium</t>
        </is>
      </c>
      <c r="K74" s="38" t="inlineStr">
        <is>
          <t>Open</t>
        </is>
      </c>
      <c r="L74" s="12" t="n"/>
      <c r="M74" s="12" t="n"/>
    </row>
    <row r="75">
      <c r="A75" s="12" t="inlineStr">
        <is>
          <t>CFG-011</t>
        </is>
      </c>
      <c r="B75" s="12" t="inlineStr">
        <is>
          <t>BRD-05 Organisation and finance set-up</t>
        </is>
      </c>
      <c r="C75" s="12" t="inlineStr">
        <is>
          <t>Configuration value</t>
        </is>
      </c>
      <c r="D75" s="12" t="inlineStr">
        <is>
          <t>Group, subsidiaries and inter-company relationships: Whether BIBS consolidates other BDO entities, and the inter-company relationships and their accounts; blank when BDOI keeps one company</t>
        </is>
      </c>
      <c r="E75" s="12" t="inlineStr">
        <is>
          <t>Needed for: Values for UAT (UAT plans and sign-off forms due 16-Jul-2027; UAT Aug - Dec 2027 runs on the production values).</t>
        </is>
      </c>
      <c r="F75" s="12" t="inlineStr">
        <is>
          <t>Configured on the screen Finance › Planning &amp; Closing › Inter-company (sheet Configured on screens of the Master Data and Configuration Upload Templates workbook).</t>
        </is>
      </c>
      <c r="G75" s="12" t="inlineStr">
        <is>
          <t>Drop 0 configuration register CFG-011 (Drop 0 Configuration Inputs v2.0, area Organisation)</t>
        </is>
      </c>
      <c r="H75" s="12" t="inlineStr">
        <is>
          <t>Head, Comptrollership</t>
        </is>
      </c>
      <c r="I75" s="37" t="n">
        <v>46584</v>
      </c>
      <c r="J75" s="12" t="inlineStr">
        <is>
          <t>Medium</t>
        </is>
      </c>
      <c r="K75" s="38" t="inlineStr">
        <is>
          <t>Open</t>
        </is>
      </c>
      <c r="L75" s="12" t="n"/>
      <c r="M75" s="12" t="n"/>
    </row>
    <row r="76">
      <c r="A76" s="12" t="inlineStr">
        <is>
          <t>CFG-025</t>
        </is>
      </c>
      <c r="B76" s="12" t="inlineStr">
        <is>
          <t>BRD-05 Accounting, Disbursement and ACSL</t>
        </is>
      </c>
      <c r="C76" s="12" t="inlineStr">
        <is>
          <t>Master data</t>
        </is>
      </c>
      <c r="D76" s="12" t="inlineStr">
        <is>
          <t>Tax codes and forms: The withholding, VAT and percentage tax codes with their ATC, rate, GL account and effective dates; the RDO code</t>
        </is>
      </c>
      <c r="E76" s="12" t="inlineStr">
        <is>
          <t>Needed for: Values for UAT (UAT plans and sign-off forms due 16-Jul-2027; UAT Aug - Dec 2027 runs on the production values).</t>
        </is>
      </c>
      <c r="F76" s="12" t="inlineStr">
        <is>
          <t>Fill in the template D0-10 of the Master Data and Configuration Upload Templates workbook.</t>
        </is>
      </c>
      <c r="G76" s="12" t="inlineStr">
        <is>
          <t>Drop 0 configuration register CFG-025 (Drop 0 Configuration Inputs v2.0, area Chart of accounts and accounting)</t>
        </is>
      </c>
      <c r="H76" s="12" t="inlineStr">
        <is>
          <t>Head, Comptrollership (Tax)</t>
        </is>
      </c>
      <c r="I76" s="37" t="n">
        <v>46584</v>
      </c>
      <c r="J76" s="12" t="inlineStr">
        <is>
          <t>Medium</t>
        </is>
      </c>
      <c r="K76" s="38" t="inlineStr">
        <is>
          <t>Open</t>
        </is>
      </c>
      <c r="L76" s="12" t="n"/>
      <c r="M76" s="12" t="n"/>
    </row>
    <row r="77">
      <c r="A77" s="12" t="inlineStr">
        <is>
          <t>CFG-026</t>
        </is>
      </c>
      <c r="B77" s="12" t="inlineStr">
        <is>
          <t>BRD-05 Accounting, Disbursement and ACSL</t>
        </is>
      </c>
      <c r="C77" s="12" t="inlineStr">
        <is>
          <t>Configuration value</t>
        </is>
      </c>
      <c r="D77" s="12" t="inlineStr">
        <is>
          <t>Financial statement formats and account schedules: The lines of the financial statements and MIS formats and the accounts in each, as Comptrollership reports them</t>
        </is>
      </c>
      <c r="E77" s="12" t="inlineStr">
        <is>
          <t>Needed for: Values for UAT (UAT plans and sign-off forms due 16-Jul-2027; UAT Aug - Dec 2027 runs on the production values).</t>
        </is>
      </c>
      <c r="F77" s="12" t="inlineStr">
        <is>
          <t>Configured on the screen Finance › Accounting Reports › Account Schedules (sheet Configured on screens of the Master Data and Configuration Upload Templates workbook).</t>
        </is>
      </c>
      <c r="G77" s="12" t="inlineStr">
        <is>
          <t>Drop 0 configuration register CFG-026 (Drop 0 Configuration Inputs v2.0, area Chart of accounts and accounting)</t>
        </is>
      </c>
      <c r="H77" s="12" t="inlineStr">
        <is>
          <t>Head, Comptrollership</t>
        </is>
      </c>
      <c r="I77" s="37" t="n">
        <v>46584</v>
      </c>
      <c r="J77" s="12" t="inlineStr">
        <is>
          <t>Medium</t>
        </is>
      </c>
      <c r="K77" s="38" t="inlineStr">
        <is>
          <t>Open</t>
        </is>
      </c>
      <c r="L77" s="12" t="n"/>
      <c r="M77" s="12" t="n"/>
    </row>
    <row r="78">
      <c r="A78" s="12" t="inlineStr">
        <is>
          <t>CFG-028</t>
        </is>
      </c>
      <c r="B78" s="12" t="inlineStr">
        <is>
          <t>BRD-05 Accounting, Disbursement and ACSL</t>
        </is>
      </c>
      <c r="C78" s="12" t="inlineStr">
        <is>
          <t>Configuration value</t>
        </is>
      </c>
      <c r="D78" s="12" t="inlineStr">
        <is>
          <t>Asset categories: Fixed-asset categories with their useful life, method and accounts</t>
        </is>
      </c>
      <c r="E78" s="12" t="inlineStr">
        <is>
          <t>Needed for: Values for UAT (UAT plans and sign-off forms due 16-Jul-2027; UAT Aug - Dec 2027 runs on the production values).</t>
        </is>
      </c>
      <c r="F78" s="12" t="inlineStr">
        <is>
          <t>Configured on the screen Finance › Assets &amp; Investments › Asset Categories (sheet Configured on screens of the Master Data and Configuration Upload Templates workbook).</t>
        </is>
      </c>
      <c r="G78" s="12" t="inlineStr">
        <is>
          <t>Drop 0 configuration register CFG-028 (Drop 0 Configuration Inputs v2.0, area Chart of accounts and accounting)</t>
        </is>
      </c>
      <c r="H78" s="12" t="inlineStr">
        <is>
          <t>Head, Comptrollership</t>
        </is>
      </c>
      <c r="I78" s="37" t="n">
        <v>46584</v>
      </c>
      <c r="J78" s="12" t="inlineStr">
        <is>
          <t>Medium</t>
        </is>
      </c>
      <c r="K78" s="38" t="inlineStr">
        <is>
          <t>Open</t>
        </is>
      </c>
      <c r="L78" s="12" t="n"/>
      <c r="M78" s="12" t="n"/>
    </row>
    <row r="79">
      <c r="A79" s="12" t="inlineStr">
        <is>
          <t>CFG-029</t>
        </is>
      </c>
      <c r="B79" s="12" t="inlineStr">
        <is>
          <t>BRD-05 Accounting, Disbursement and ACSL</t>
        </is>
      </c>
      <c r="C79" s="12" t="inlineStr">
        <is>
          <t>Configuration value</t>
        </is>
      </c>
      <c r="D79" s="12" t="inlineStr">
        <is>
          <t>Investment portfolios: The investment portfolios and their accounts, when BDOI keeps investments in BIBS</t>
        </is>
      </c>
      <c r="E79" s="12" t="inlineStr">
        <is>
          <t>Needed for: Values for UAT (UAT plans and sign-off forms due 16-Jul-2027; UAT Aug - Dec 2027 runs on the production values).</t>
        </is>
      </c>
      <c r="F79" s="12" t="inlineStr">
        <is>
          <t>Configured on the screen Finance › Assets &amp; Investments › Investment Portfolios (sheet Configured on screens of the Master Data and Configuration Upload Templates workbook).</t>
        </is>
      </c>
      <c r="G79" s="12" t="inlineStr">
        <is>
          <t>Drop 0 configuration register CFG-029 (Drop 0 Configuration Inputs v2.0, area Chart of accounts and accounting)</t>
        </is>
      </c>
      <c r="H79" s="12" t="inlineStr">
        <is>
          <t>Head, Comptrollership</t>
        </is>
      </c>
      <c r="I79" s="37" t="n">
        <v>46584</v>
      </c>
      <c r="J79" s="12" t="inlineStr">
        <is>
          <t>Medium</t>
        </is>
      </c>
      <c r="K79" s="38" t="inlineStr">
        <is>
          <t>Open</t>
        </is>
      </c>
      <c r="L79" s="12" t="n"/>
      <c r="M79" s="12" t="n"/>
    </row>
    <row r="80">
      <c r="A80" s="12" t="inlineStr">
        <is>
          <t>CFG-030</t>
        </is>
      </c>
      <c r="B80" s="12" t="inlineStr">
        <is>
          <t>BRD-05 Accounting, Disbursement and ACSL</t>
        </is>
      </c>
      <c r="C80" s="12" t="inlineStr">
        <is>
          <t>Configuration value</t>
        </is>
      </c>
      <c r="D80" s="12" t="inlineStr">
        <is>
          <t>GL-SL reconciliation controls (ACSL): The control accounts reconciled against their sub-ledgers and the tolerance of each</t>
        </is>
      </c>
      <c r="E80" s="12" t="inlineStr">
        <is>
          <t>Needed for: Values for UAT (UAT plans and sign-off forms due 16-Jul-2027; UAT Aug - Dec 2027 runs on the production values).</t>
        </is>
      </c>
      <c r="F80" s="12" t="inlineStr">
        <is>
          <t>Configured on the screen Finance › ACSL › GL-SL Reconciliation (sheet Configured on screens of the Master Data and Configuration Upload Templates workbook).</t>
        </is>
      </c>
      <c r="G80" s="12" t="inlineStr">
        <is>
          <t>Drop 0 configuration register CFG-030 (Drop 0 Configuration Inputs v2.0, area Chart of accounts and accounting)</t>
        </is>
      </c>
      <c r="H80" s="12" t="inlineStr">
        <is>
          <t>Head, Comptrollership</t>
        </is>
      </c>
      <c r="I80" s="37" t="n">
        <v>46584</v>
      </c>
      <c r="J80" s="12" t="inlineStr">
        <is>
          <t>Medium</t>
        </is>
      </c>
      <c r="K80" s="38" t="inlineStr">
        <is>
          <t>Open</t>
        </is>
      </c>
      <c r="L80" s="12" t="n"/>
      <c r="M80" s="12" t="n"/>
    </row>
    <row r="81">
      <c r="A81" s="12" t="inlineStr">
        <is>
          <t>CFG-031</t>
        </is>
      </c>
      <c r="B81" s="12" t="inlineStr">
        <is>
          <t>BRD-05 Accounting, Disbursement and ACSL</t>
        </is>
      </c>
      <c r="C81" s="12" t="inlineStr">
        <is>
          <t>Configuration value</t>
        </is>
      </c>
      <c r="D81" s="12" t="inlineStr">
        <is>
          <t>Service fee rates: The service fee rates per segment and their recipients</t>
        </is>
      </c>
      <c r="E81" s="12" t="inlineStr">
        <is>
          <t>Needed for: Values for UAT (UAT plans and sign-off forms due 16-Jul-2027; UAT Aug - Dec 2027 runs on the production values).</t>
        </is>
      </c>
      <c r="F81" s="12" t="inlineStr">
        <is>
          <t>Configured on the screen Finance › Accounting Reports › Service Fee Rates (sheet Configured on screens of the Master Data and Configuration Upload Templates workbook).</t>
        </is>
      </c>
      <c r="G81" s="12" t="inlineStr">
        <is>
          <t>Drop 0 configuration register CFG-031 (Drop 0 Configuration Inputs v2.0, area Chart of accounts and accounting)</t>
        </is>
      </c>
      <c r="H81" s="12" t="inlineStr">
        <is>
          <t>Head, Comptrollership</t>
        </is>
      </c>
      <c r="I81" s="37" t="n">
        <v>46584</v>
      </c>
      <c r="J81" s="12" t="inlineStr">
        <is>
          <t>Medium</t>
        </is>
      </c>
      <c r="K81" s="38" t="inlineStr">
        <is>
          <t>Open</t>
        </is>
      </c>
      <c r="L81" s="12" t="n"/>
      <c r="M81" s="12" t="n"/>
    </row>
    <row r="82">
      <c r="A82" s="12" t="inlineStr">
        <is>
          <t>CFG-043</t>
        </is>
      </c>
      <c r="B82" s="12" t="inlineStr">
        <is>
          <t>BRD-05 Organisation and finance set-up</t>
        </is>
      </c>
      <c r="C82" s="12" t="inlineStr">
        <is>
          <t>Master data</t>
        </is>
      </c>
      <c r="D82" s="12" t="inlineStr">
        <is>
          <t>Bank statement layouts: The column layout of the statement file of each bank account for the bank reconciliation</t>
        </is>
      </c>
      <c r="E82" s="12" t="inlineStr">
        <is>
          <t>Needed for: Values for UAT (UAT plans and sign-off forms due 16-Jul-2027; UAT Aug - Dec 2027 runs on the production values).</t>
        </is>
      </c>
      <c r="F82" s="12" t="inlineStr">
        <is>
          <t>Fill in the template D0-14 of the Master Data and Configuration Upload Templates workbook.</t>
        </is>
      </c>
      <c r="G82" s="12" t="inlineStr">
        <is>
          <t>Drop 0 configuration register CFG-043 (Drop 0 Configuration Inputs v2.0, area Banks and bank accounts)</t>
        </is>
      </c>
      <c r="H82" s="12" t="inlineStr">
        <is>
          <t>Head, Comptrollership; Treasury</t>
        </is>
      </c>
      <c r="I82" s="37" t="n">
        <v>46584</v>
      </c>
      <c r="J82" s="12" t="inlineStr">
        <is>
          <t>Medium</t>
        </is>
      </c>
      <c r="K82" s="38" t="inlineStr">
        <is>
          <t>Open</t>
        </is>
      </c>
      <c r="L82" s="12" t="n"/>
      <c r="M82" s="12" t="n"/>
    </row>
    <row r="83">
      <c r="A83" s="12" t="inlineStr">
        <is>
          <t>CFG-102</t>
        </is>
      </c>
      <c r="B83" s="12" t="inlineStr">
        <is>
          <t>BRD-05 Accounting, Disbursement and ACSL</t>
        </is>
      </c>
      <c r="C83" s="12" t="inlineStr">
        <is>
          <t>Configuration value</t>
        </is>
      </c>
      <c r="D83" s="12" t="inlineStr">
        <is>
          <t>Business partners other than insurers (suppliers, service providers): Suppliers and other partners paid through Payables, with TIN, address and bank details</t>
        </is>
      </c>
      <c r="E83" s="12" t="inlineStr">
        <is>
          <t>Needed for: Values for UAT (UAT plans and sign-off forms due 16-Jul-2027; UAT Aug - Dec 2027 runs on the production values).</t>
        </is>
      </c>
      <c r="F83" s="12" t="inlineStr">
        <is>
          <t>Configured on the screen Setup &amp; Administration › Setup › Business Partners (sheet Configured on screens of the Master Data and Configuration Upload Templates workbook).</t>
        </is>
      </c>
      <c r="G83" s="12" t="inlineStr">
        <is>
          <t>Drop 0 configuration register CFG-102 (Drop 0 Configuration Inputs v2.0, area Insurers and partners)</t>
        </is>
      </c>
      <c r="H83" s="12" t="inlineStr">
        <is>
          <t>Head, Comptrollership</t>
        </is>
      </c>
      <c r="I83" s="37" t="n">
        <v>46584</v>
      </c>
      <c r="J83" s="12" t="inlineStr">
        <is>
          <t>Medium</t>
        </is>
      </c>
      <c r="K83" s="38" t="inlineStr">
        <is>
          <t>Open</t>
        </is>
      </c>
      <c r="L83" s="12" t="n"/>
      <c r="M83" s="12" t="n"/>
    </row>
    <row r="84">
      <c r="A84" s="12" t="inlineStr">
        <is>
          <t>DOC-01</t>
        </is>
      </c>
      <c r="B84" s="12" t="inlineStr">
        <is>
          <t>BRD-05 Accounting, Disbursement and ACSL</t>
        </is>
      </c>
      <c r="C84" s="12" t="inlineStr">
        <is>
          <t>Sample document or template</t>
        </is>
      </c>
      <c r="D84" s="12" t="inlineStr">
        <is>
          <t>Documents of Accounting, Disbursement and ACSL: give the BDOI layout, logo placement and wording of the 11 documents BIBS generates (Authority to debit; Authority to debit {{dvNo}}; Check; Credit ticket; Manager's check / demand draft request; Payment advice {{dvNo}}; Telegraphic transfer; Disbursement voucher; Cash Advance Liquidation Form; Request for Payment; Refund Request Form), as a filled-in sample of each.</t>
        </is>
      </c>
      <c r="E84" s="12" t="inlineStr">
        <is>
          <t>BIBS generates each document from its template; without the BDOI layout the documents keep the proposed layout in SIT and UAT.</t>
        </is>
      </c>
      <c r="F84" s="12" t="inlineStr">
        <is>
          <t>The proposed layouts are reviewed on the Document Templates screen; BDOI marks the changes on a printout or sends its current form.</t>
        </is>
      </c>
      <c r="G84" s="12" t="inlineStr">
        <is>
          <t>Document templates of the platform (Drop 0 Configuration Inputs, Ref Document templates); configuration register CFG-082</t>
        </is>
      </c>
      <c r="H84" s="12" t="inlineStr">
        <is>
          <t>Head, Comptrollership</t>
        </is>
      </c>
      <c r="I84" s="37" t="n">
        <v>46584</v>
      </c>
      <c r="J84" s="12" t="inlineStr">
        <is>
          <t>Medium</t>
        </is>
      </c>
      <c r="K84" s="38" t="inlineStr">
        <is>
          <t>Open</t>
        </is>
      </c>
      <c r="L84" s="12" t="n"/>
      <c r="M84" s="12" t="inlineStr">
        <is>
          <t>Review sheet Document templates of the Master Data and Configuration Upload Templates workbook.</t>
        </is>
      </c>
    </row>
    <row r="85">
      <c r="A85" s="12" t="inlineStr">
        <is>
          <t>CFG-009</t>
        </is>
      </c>
      <c r="B85" s="12" t="inlineStr">
        <is>
          <t>BRD-05 Organisation and finance set-up</t>
        </is>
      </c>
      <c r="C85" s="12" t="inlineStr">
        <is>
          <t>Configuration value</t>
        </is>
      </c>
      <c r="D85" s="12" t="inlineStr">
        <is>
          <t>Financial year and periods: Financial year 2028 and its periods, opened by Comptrollership; FY2027 stays in legacy (year-end option A)</t>
        </is>
      </c>
      <c r="E85" s="12" t="inlineStr">
        <is>
          <t>Needed for: Production values before the dress rehearsal (Dress rehearsal in November 2027; the values loaded for it are the go-live values).</t>
        </is>
      </c>
      <c r="F85" s="12" t="inlineStr">
        <is>
          <t>Configured on the screen Finance › General Ledger › Financial Periods (sheet Configured on screens of the Master Data and Configuration Upload Templates workbook).</t>
        </is>
      </c>
      <c r="G85" s="12" t="inlineStr">
        <is>
          <t>Drop 0 configuration register CFG-009 (Drop 0 Configuration Inputs v2.0, area Organisation)</t>
        </is>
      </c>
      <c r="H85" s="12" t="inlineStr">
        <is>
          <t>Head, Comptrollership</t>
        </is>
      </c>
      <c r="I85" s="37" t="n">
        <v>46692</v>
      </c>
      <c r="J85" s="12" t="inlineStr">
        <is>
          <t>Medium</t>
        </is>
      </c>
      <c r="K85" s="38" t="inlineStr">
        <is>
          <t>Open</t>
        </is>
      </c>
      <c r="L85" s="12" t="n"/>
      <c r="M85" s="12" t="n"/>
    </row>
    <row r="86">
      <c r="A86" s="12" t="inlineStr">
        <is>
          <t>CFG-027</t>
        </is>
      </c>
      <c r="B86" s="12" t="inlineStr">
        <is>
          <t>BRD-05 Accounting, Disbursement and ACSL</t>
        </is>
      </c>
      <c r="C86" s="12" t="inlineStr">
        <is>
          <t>Configuration value</t>
        </is>
      </c>
      <c r="D86" s="12" t="inlineStr">
        <is>
          <t>Recurring journals: The monthly accruals and allocations Comptrollership posts as recurring journals from January 2028</t>
        </is>
      </c>
      <c r="E86" s="12" t="inlineStr">
        <is>
          <t>Needed for: Production values before the dress rehearsal (Dress rehearsal in November 2027; the values loaded for it are the go-live values).</t>
        </is>
      </c>
      <c r="F86" s="12" t="inlineStr">
        <is>
          <t>Configured on the screen Finance › General Ledger › Recurring Journals (sheet Configured on screens of the Master Data and Configuration Upload Templates workbook).</t>
        </is>
      </c>
      <c r="G86" s="12" t="inlineStr">
        <is>
          <t>Drop 0 configuration register CFG-027 (Drop 0 Configuration Inputs v2.0, area Chart of accounts and accounting)</t>
        </is>
      </c>
      <c r="H86" s="12" t="inlineStr">
        <is>
          <t>Head, Comptrollership</t>
        </is>
      </c>
      <c r="I86" s="37" t="n">
        <v>46692</v>
      </c>
      <c r="J86" s="12" t="inlineStr">
        <is>
          <t>Medium</t>
        </is>
      </c>
      <c r="K86" s="38" t="inlineStr">
        <is>
          <t>Open</t>
        </is>
      </c>
      <c r="L86" s="12" t="n"/>
      <c r="M86" s="12" t="n"/>
    </row>
    <row r="87">
      <c r="A87" s="12" t="inlineStr">
        <is>
          <t>CFG-041</t>
        </is>
      </c>
      <c r="B87" s="12" t="inlineStr">
        <is>
          <t>BRD-05 Accounting, Disbursement and ACSL</t>
        </is>
      </c>
      <c r="C87" s="12" t="inlineStr">
        <is>
          <t>Master data</t>
        </is>
      </c>
      <c r="D87" s="12" t="inlineStr">
        <is>
          <t>Check books: The check books in stock per bank account at go-live: first, last and next check number</t>
        </is>
      </c>
      <c r="E87" s="12" t="inlineStr">
        <is>
          <t>Needed for: Production values before the dress rehearsal (Dress rehearsal in November 2027; the values loaded for it are the go-live values).</t>
        </is>
      </c>
      <c r="F87" s="12" t="inlineStr">
        <is>
          <t>Fill in the template D0-12 of the Master Data and Configuration Upload Templates workbook.</t>
        </is>
      </c>
      <c r="G87" s="12" t="inlineStr">
        <is>
          <t>Drop 0 configuration register CFG-041 (Drop 0 Configuration Inputs v2.0, area Banks and bank accounts)</t>
        </is>
      </c>
      <c r="H87" s="12" t="inlineStr">
        <is>
          <t>Treasury; Product Owner, Comptrollership - Disbursement</t>
        </is>
      </c>
      <c r="I87" s="37" t="n">
        <v>46692</v>
      </c>
      <c r="J87" s="12" t="inlineStr">
        <is>
          <t>Medium</t>
        </is>
      </c>
      <c r="K87" s="38" t="inlineStr">
        <is>
          <t>Open</t>
        </is>
      </c>
      <c r="L87" s="12" t="n"/>
      <c r="M87" s="12" t="n"/>
    </row>
    <row r="88">
      <c r="A88" s="12" t="inlineStr">
        <is>
          <t>CFG-042</t>
        </is>
      </c>
      <c r="B88" s="12" t="inlineStr">
        <is>
          <t>BRD-05 Accounting, Disbursement and ACSL</t>
        </is>
      </c>
      <c r="C88" s="12" t="inlineStr">
        <is>
          <t>Master data</t>
        </is>
      </c>
      <c r="D88" s="12" t="inlineStr">
        <is>
          <t>Petty cash funds: Each petty cash fund: branch, custodian, imprest amount, GL account and replenishment bank account</t>
        </is>
      </c>
      <c r="E88" s="12" t="inlineStr">
        <is>
          <t>Needed for: Production values before the dress rehearsal (Dress rehearsal in November 2027; the values loaded for it are the go-live values).</t>
        </is>
      </c>
      <c r="F88" s="12" t="inlineStr">
        <is>
          <t>Fill in the template D0-13 of the Master Data and Configuration Upload Templates workbook.</t>
        </is>
      </c>
      <c r="G88" s="12" t="inlineStr">
        <is>
          <t>Drop 0 configuration register CFG-042 (Drop 0 Configuration Inputs v2.0, area Banks and bank accounts)</t>
        </is>
      </c>
      <c r="H88" s="12" t="inlineStr">
        <is>
          <t>Head, Comptrollership</t>
        </is>
      </c>
      <c r="I88" s="37" t="n">
        <v>46692</v>
      </c>
      <c r="J88" s="12" t="inlineStr">
        <is>
          <t>Medium</t>
        </is>
      </c>
      <c r="K88" s="38" t="inlineStr">
        <is>
          <t>Open</t>
        </is>
      </c>
      <c r="L88" s="12" t="n"/>
      <c r="M88" s="12" t="n"/>
    </row>
    <row r="89">
      <c r="A89" s="12" t="inlineStr">
        <is>
          <t>SO-05-3</t>
        </is>
      </c>
      <c r="B89" s="12" t="inlineStr">
        <is>
          <t>BRD-05 Accounting, Disbursement and ACSL</t>
        </is>
      </c>
      <c r="C89" s="12" t="inlineStr">
        <is>
          <t>Sign-off</t>
        </is>
      </c>
      <c r="D89" s="12" t="inlineStr">
        <is>
          <t>Sign the UAT sign-off certificate of BRD-05 Accounting, Disbursement and ACSL.</t>
        </is>
      </c>
      <c r="E89" s="12" t="inlineStr">
        <is>
          <t>The signed document fixes the scope for the next step of the plan; a late sign-off moves the dates that follow it.</t>
        </is>
      </c>
      <c r="F89" s="12" t="n"/>
      <c r="G89" s="12" t="inlineStr">
        <is>
          <t>Project plan v1.0 (8-Oct-2026), sign-offs and milestones</t>
        </is>
      </c>
      <c r="H89" s="12" t="inlineStr">
        <is>
          <t>Head, Comptrollership; BIBS Product Owner</t>
        </is>
      </c>
      <c r="I89" s="37" t="n">
        <v>46738</v>
      </c>
      <c r="J89" s="12" t="inlineStr">
        <is>
          <t>High</t>
        </is>
      </c>
      <c r="K89" s="38" t="inlineStr">
        <is>
          <t>Open</t>
        </is>
      </c>
      <c r="L89" s="12" t="n"/>
      <c r="M89" s="12" t="n"/>
    </row>
  </sheetData>
  <autoFilter ref="A4:M89"/>
  <mergeCells count="1">
    <mergeCell ref="A2:M2"/>
  </mergeCells>
  <conditionalFormatting sqref="K5:K589">
    <cfRule type="cellIs" priority="1" operator="equal" dxfId="0" stopIfTrue="1">
      <formula>"Open"</formula>
    </cfRule>
    <cfRule type="cellIs" priority="2" operator="equal" dxfId="1" stopIfTrue="1">
      <formula>"Answered"</formula>
    </cfRule>
  </conditionalFormatting>
  <conditionalFormatting sqref="A5:M589">
    <cfRule type="expression" priority="3" dxfId="2">
      <formula>AND(MOD(ROW(),2)=0,$A5&lt;&gt;"")</formula>
    </cfRule>
  </conditionalFormatting>
  <conditionalFormatting sqref="K5:K590">
    <cfRule type="cellIs" priority="4" operator="equal" dxfId="3" stopIfTrue="1">
      <formula>"Partly answered"</formula>
    </cfRule>
  </conditionalFormatting>
  <dataValidations count="3">
    <dataValidation sqref="C5:C589" showDropDown="0" showInputMessage="0" showErrorMessage="1" allowBlank="1" errorTitle="Type" error="Choose a value from the list (Type)." type="list">
      <formula1>'_lists'!$P$1:$P$10</formula1>
    </dataValidation>
    <dataValidation sqref="J5:J589" showDropDown="0" showInputMessage="0" showErrorMessage="1" allowBlank="1" errorTitle="Priority" error="Choose a value from the list (Priority)." type="list">
      <formula1>'_lists'!$Q$1:$Q$3</formula1>
    </dataValidation>
    <dataValidation sqref="K5:K589" showDropDown="0" showInputMessage="0" showErrorMessage="1" allowBlank="1" errorTitle="Status" error="Choose a value from the list (Status)." type="list">
      <formula1>'_lists'!$R$1:$R$3</formula1>
    </dataValidation>
  </dataValidations>
  <printOptions horizontalCentered="1"/>
  <pageMargins left="0.4" right="0.4" top="0.6" bottom="0.6" header="0.5" footer="0.5"/>
  <pageSetup orientation="landscape" paperSize="1" fitToHeight="0" fitToWidth="1"/>
  <headerFooter>
    <oddHeader>&amp;L&amp;8 &amp;K004EA8BDOI Requirements and Inputs by BRD&amp;R&amp;8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M6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6" customWidth="1" min="3" max="3"/>
    <col width="60" customWidth="1" min="4" max="4"/>
    <col width="46" customWidth="1" min="5" max="5"/>
    <col width="46" customWidth="1" min="6" max="6"/>
    <col width="40" customWidth="1" min="7" max="7"/>
    <col width="26" customWidth="1" min="8" max="8"/>
    <col width="12" customWidth="1" min="9" max="9"/>
    <col width="10" customWidth="1" min="10" max="10"/>
    <col width="14" customWidth="1" min="11" max="11"/>
    <col width="40" customWidth="1" min="12" max="12"/>
    <col width="34" customWidth="1" min="13" max="13"/>
  </cols>
  <sheetData>
    <row r="1" ht="24" customHeight="1">
      <c r="A1" s="34" t="inlineStr">
        <is>
          <t>BRD-06 Renewal</t>
        </is>
      </c>
    </row>
    <row r="2">
      <c r="A2" s="21" t="inlineStr">
        <is>
          <t>BRD-06 Renewal: what BDOI provides; owner Product Owner, Renewal</t>
        </is>
      </c>
    </row>
    <row r="3" ht="6" customHeight="1">
      <c r="A3" s="35" t="n"/>
      <c r="B3" s="35" t="n"/>
      <c r="C3" s="35" t="n"/>
      <c r="D3" s="35" t="n"/>
      <c r="E3" s="35" t="n"/>
      <c r="F3" s="35" t="n"/>
      <c r="G3" s="35" t="n"/>
      <c r="H3" s="35" t="n"/>
      <c r="I3" s="35" t="n"/>
      <c r="J3" s="35" t="n"/>
      <c r="K3" s="35" t="n"/>
      <c r="L3" s="35" t="n"/>
      <c r="M3" s="35" t="n"/>
    </row>
    <row r="4" ht="30" customHeight="1">
      <c r="A4" s="36" t="inlineStr">
        <is>
          <t>Ref</t>
        </is>
      </c>
      <c r="B4" s="36" t="inlineStr">
        <is>
          <t>BRD / module</t>
        </is>
      </c>
      <c r="C4" s="36" t="inlineStr">
        <is>
          <t>Type</t>
        </is>
      </c>
      <c r="D4" s="36" t="inlineStr">
        <is>
          <t>What we need from BDOI</t>
        </is>
      </c>
      <c r="E4" s="36" t="inlineStr">
        <is>
          <t>Why / impact if not provided</t>
        </is>
      </c>
      <c r="F4" s="36" t="inlineStr">
        <is>
          <t>Our proposal (if any)</t>
        </is>
      </c>
      <c r="G4" s="36" t="inlineStr">
        <is>
          <t>Source (FRS section / CLR / BRD page)</t>
        </is>
      </c>
      <c r="H4" s="36" t="inlineStr">
        <is>
          <t>BDOI owner (role)</t>
        </is>
      </c>
      <c r="I4" s="36" t="inlineStr">
        <is>
          <t>Needed by</t>
        </is>
      </c>
      <c r="J4" s="36" t="inlineStr">
        <is>
          <t>Priority</t>
        </is>
      </c>
      <c r="K4" s="36" t="inlineStr">
        <is>
          <t>Status</t>
        </is>
      </c>
      <c r="L4" s="36" t="inlineStr">
        <is>
          <t>BDOI response</t>
        </is>
      </c>
      <c r="M4" s="36" t="inlineStr">
        <is>
          <t>Remarks</t>
        </is>
      </c>
    </row>
    <row r="5">
      <c r="A5" s="12" t="inlineStr">
        <is>
          <t>RQ02</t>
        </is>
      </c>
      <c r="B5" s="12" t="inlineStr">
        <is>
          <t>BRD-06 Renewal</t>
        </is>
      </c>
      <c r="C5" s="12" t="inlineStr">
        <is>
          <t>Decision</t>
        </is>
      </c>
      <c r="D5" s="12" t="inlineStr">
        <is>
          <t>Initiation: Which segments are initiated in bulk (CLG) and which individually (Non-Mortgage); who initiates (TL, processor); is CBG STP initiated automatically?</t>
        </is>
      </c>
      <c r="E5" s="12" t="inlineStr">
        <is>
          <t>Open point of the FRS (FR-RN-015): the requirement cannot be finalised or tested as BDOI intends until it is answered.</t>
        </is>
      </c>
      <c r="F5" s="12" t="inlineStr">
        <is>
          <t>Explicit initiation step after extraction (CLG in bulk, Non-Mortgage individually); straight-through processing only after initiation.</t>
        </is>
      </c>
      <c r="G5" s="12" t="inlineStr">
        <is>
          <t>FRS BRD-06 v2.0, Open questions RQ02 (affects FR-RN-015); Discrepancy and clarification register v1.2, open question RQ02; baseline BRRN.021/039; also raised as DCR-063 (register item)</t>
        </is>
      </c>
      <c r="H5" s="12" t="inlineStr">
        <is>
          <t>Marketing and Processing - Renewal (RMEL)</t>
        </is>
      </c>
      <c r="I5" s="37" t="n">
        <v>46356</v>
      </c>
      <c r="J5" s="12" t="inlineStr">
        <is>
          <t>High</t>
        </is>
      </c>
      <c r="K5" s="38" t="inlineStr">
        <is>
          <t>Open</t>
        </is>
      </c>
      <c r="L5" s="12" t="n"/>
      <c r="M5" s="12" t="n"/>
    </row>
    <row r="6">
      <c r="A6" s="12" t="inlineStr">
        <is>
          <t>RQ14</t>
        </is>
      </c>
      <c r="B6" s="12" t="inlineStr">
        <is>
          <t>BRD-06 Renewal</t>
        </is>
      </c>
      <c r="C6" s="12" t="inlineStr">
        <is>
          <t>Clarification</t>
        </is>
      </c>
      <c r="D6" s="12" t="inlineStr">
        <is>
          <t>Dispositioned file: BRRN.018 says dispositioning happens outside the system, but the main BRD is "Online Dispositioning" (2.004). Are both needed? Who prepares the file (CLG bulk, insurer)? Layout of the file; scope for the "not in file" tag (3.004.4)</t>
        </is>
      </c>
      <c r="E6" s="12" t="inlineStr">
        <is>
          <t>Open point of the FRS (FR-RN-060): the requirement cannot be finalised or tested as BDOI intends until it is answered.</t>
        </is>
      </c>
      <c r="F6" s="12" t="inlineStr">
        <is>
          <t>Provide both: online disposition for AOs and batch upload for bulk segments (CLG, insurer files).</t>
        </is>
      </c>
      <c r="G6" s="12" t="inlineStr">
        <is>
          <t>FRS BRD-06 v2.0, Open questions RQ14 (affects FR-RN-060); Discrepancy and clarification register v1.2, open question RQ14; baseline BRRN.018, 3.004; also raised as DCR-062 (register item)</t>
        </is>
      </c>
      <c r="H6" s="12" t="inlineStr">
        <is>
          <t>Marketing and Processing - Renewal (RMEL)</t>
        </is>
      </c>
      <c r="I6" s="37" t="n">
        <v>46356</v>
      </c>
      <c r="J6" s="12" t="inlineStr">
        <is>
          <t>High</t>
        </is>
      </c>
      <c r="K6" s="38" t="inlineStr">
        <is>
          <t>Open</t>
        </is>
      </c>
      <c r="L6" s="12" t="n"/>
      <c r="M6" s="12" t="n"/>
    </row>
    <row r="7">
      <c r="A7" s="12" t="inlineStr">
        <is>
          <t>SO-06-1</t>
        </is>
      </c>
      <c r="B7" s="12" t="inlineStr">
        <is>
          <t>BRD-06 Renewal</t>
        </is>
      </c>
      <c r="C7" s="12" t="inlineStr">
        <is>
          <t>Sign-off</t>
        </is>
      </c>
      <c r="D7" s="12" t="inlineStr">
        <is>
          <t>Sign the FRS and sign-off set of BRD-06 Renewal.</t>
        </is>
      </c>
      <c r="E7" s="12" t="inlineStr">
        <is>
          <t>The signed document fixes the scope for the next step of the plan; a late sign-off moves the dates that follow it.</t>
        </is>
      </c>
      <c r="F7" s="12" t="n"/>
      <c r="G7" s="12" t="inlineStr">
        <is>
          <t>Project plan v1.0 (8-Oct-2026), sign-offs and milestones</t>
        </is>
      </c>
      <c r="H7" s="12" t="inlineStr">
        <is>
          <t>Product Owner, Renewal; Business Project Services (traceability)</t>
        </is>
      </c>
      <c r="I7" s="37" t="n">
        <v>46356</v>
      </c>
      <c r="J7" s="12" t="inlineStr">
        <is>
          <t>High</t>
        </is>
      </c>
      <c r="K7" s="38" t="inlineStr">
        <is>
          <t>Open</t>
        </is>
      </c>
      <c r="L7" s="12" t="n"/>
      <c r="M7" s="12" t="n"/>
    </row>
    <row r="8">
      <c r="A8" s="12" t="inlineStr">
        <is>
          <t>CLR-RN-01</t>
        </is>
      </c>
      <c r="B8" s="12" t="inlineStr">
        <is>
          <t>BRD-06 Renewal</t>
        </is>
      </c>
      <c r="C8" s="12" t="inlineStr">
        <is>
          <t>Business rule confirmation</t>
        </is>
      </c>
      <c r="D8" s="12" t="inlineStr">
        <is>
          <t>Several roles per user: Confirm decision D5 for Renewal.</t>
        </is>
      </c>
      <c r="E8" s="12" t="inlineStr">
        <is>
          <t>Cross-BRD decision D5.</t>
        </is>
      </c>
      <c r="F8" s="12" t="inlineStr">
        <is>
          <t>A user may hold several roles; there is no single-role check.</t>
        </is>
      </c>
      <c r="G8" s="12" t="inlineStr">
        <is>
          <t>FRS BRD-06 v2.0, Proposed business rules and clarifications; NFR; FR-RN-003</t>
        </is>
      </c>
      <c r="H8" s="12" t="inlineStr">
        <is>
          <t>Product Owner, Renewal</t>
        </is>
      </c>
      <c r="I8" s="37" t="n">
        <v>46356</v>
      </c>
      <c r="J8" s="12" t="inlineStr">
        <is>
          <t>Medium</t>
        </is>
      </c>
      <c r="K8" s="38" t="inlineStr">
        <is>
          <t>Open</t>
        </is>
      </c>
      <c r="L8" s="12" t="n"/>
      <c r="M8" s="12" t="n"/>
    </row>
    <row r="9">
      <c r="A9" s="12" t="inlineStr">
        <is>
          <t>CLR-RN-03</t>
        </is>
      </c>
      <c r="B9" s="12" t="inlineStr">
        <is>
          <t>BRD-06 Renewal</t>
        </is>
      </c>
      <c r="C9" s="12" t="inlineStr">
        <is>
          <t>Business rule confirmation</t>
        </is>
      </c>
      <c r="D9" s="12" t="inlineStr">
        <is>
          <t>Employee Benefits renewals: Confirm the exclusion.</t>
        </is>
      </c>
      <c r="E9" s="12" t="inlineStr">
        <is>
          <t>Cross-BRD decision D3.</t>
        </is>
      </c>
      <c r="F9" s="12" t="inlineStr">
        <is>
          <t>HMO, GLI and GPA lines are excluded from the renewal lists; they are renewed in the Employee Benefits module (BRD-8).</t>
        </is>
      </c>
      <c r="G9" s="12" t="inlineStr">
        <is>
          <t>FRS BRD-06 v2.0, Proposed business rules and clarifications; FR-RN-010</t>
        </is>
      </c>
      <c r="H9" s="12" t="inlineStr">
        <is>
          <t>Product Owner, Renewal</t>
        </is>
      </c>
      <c r="I9" s="37" t="n">
        <v>46356</v>
      </c>
      <c r="J9" s="12" t="inlineStr">
        <is>
          <t>Medium</t>
        </is>
      </c>
      <c r="K9" s="38" t="inlineStr">
        <is>
          <t>Open</t>
        </is>
      </c>
      <c r="L9" s="12" t="n"/>
      <c r="M9" s="12" t="n"/>
    </row>
    <row r="10">
      <c r="A10" s="12" t="inlineStr">
        <is>
          <t>CLR-RN-04</t>
        </is>
      </c>
      <c r="B10" s="12" t="inlineStr">
        <is>
          <t>BRD-06 Renewal</t>
        </is>
      </c>
      <c r="C10" s="12" t="inlineStr">
        <is>
          <t>Business rule confirmation</t>
        </is>
      </c>
      <c r="D10" s="12" t="inlineStr">
        <is>
          <t>Unbooked accounts: Confirm the meaning of unbooked (RQ06).</t>
        </is>
      </c>
      <c r="E10" s="12" t="inlineStr">
        <is>
          <t>The meaning of "unbooked" is open (RQ06).</t>
        </is>
      </c>
      <c r="F10" s="12" t="inlineStr">
        <is>
          <t>Placed or issued accounts not yet booked are included when their period ends in the window.</t>
        </is>
      </c>
      <c r="G10" s="12" t="inlineStr">
        <is>
          <t>FRS BRD-06 v2.0, Proposed business rules and clarifications; BRRN.005; FR-RN-010; also raised as RQ06 (open question)</t>
        </is>
      </c>
      <c r="H10" s="12" t="inlineStr">
        <is>
          <t>Product Owner, Renewal</t>
        </is>
      </c>
      <c r="I10" s="37" t="n">
        <v>46356</v>
      </c>
      <c r="J10" s="12" t="inlineStr">
        <is>
          <t>Medium</t>
        </is>
      </c>
      <c r="K10" s="38" t="inlineStr">
        <is>
          <t>Open</t>
        </is>
      </c>
      <c r="L10" s="12" t="n"/>
      <c r="M10" s="12" t="n"/>
    </row>
    <row r="11">
      <c r="A11" s="12" t="inlineStr">
        <is>
          <t>CLR-RN-05</t>
        </is>
      </c>
      <c r="B11" s="12" t="inlineStr">
        <is>
          <t>BRD-06 Renewal</t>
        </is>
      </c>
      <c r="C11" s="12" t="inlineStr">
        <is>
          <t>Business rule confirmation</t>
        </is>
      </c>
      <c r="D11" s="12" t="inlineStr">
        <is>
          <t>Expiring list without paging: Confirm one scrollable view (RQ05).</t>
        </is>
      </c>
      <c r="E11" s="12" t="inlineStr">
        <is>
          <t>The BRD asks for one view; the BDO UX guidelines use a pager (RQ05).</t>
        </is>
      </c>
      <c r="F11" s="12" t="inlineStr">
        <is>
          <t>The list is one scrollable view with a row count and no pager.</t>
        </is>
      </c>
      <c r="G11" s="12" t="inlineStr">
        <is>
          <t>FRS BRD-06 v2.0, Proposed business rules and clarifications; BRRN.004; FR-RN-013; also raised as RQ05 (open question), DCR-074 (register item)</t>
        </is>
      </c>
      <c r="H11" s="12" t="inlineStr">
        <is>
          <t>Marketing and Processing - Renewal (RMEL)</t>
        </is>
      </c>
      <c r="I11" s="37" t="n">
        <v>46356</v>
      </c>
      <c r="J11" s="12" t="inlineStr">
        <is>
          <t>Medium</t>
        </is>
      </c>
      <c r="K11" s="38" t="inlineStr">
        <is>
          <t>Open</t>
        </is>
      </c>
      <c r="L11" s="12" t="n"/>
      <c r="M11" s="12" t="n"/>
    </row>
    <row r="12">
      <c r="A12" s="12" t="inlineStr">
        <is>
          <t>CLR-RN-06</t>
        </is>
      </c>
      <c r="B12" s="12" t="inlineStr">
        <is>
          <t>BRD-06 Renewal</t>
        </is>
      </c>
      <c r="C12" s="12" t="inlineStr">
        <is>
          <t>Business rule confirmation</t>
        </is>
      </c>
      <c r="D12" s="12" t="inlineStr">
        <is>
          <t>Renewals at go-live: Confirm the go-live transition.</t>
        </is>
      </c>
      <c r="E12" s="12" t="inlineStr">
        <is>
          <t>BDOI decision of 26-Sep-2026 (DMQ37, DMQ38).</t>
        </is>
      </c>
      <c r="F12" s="12" t="inlineStr">
        <is>
          <t>Every renewal expiring from go-live to 31 May 2028 is processed in BIBS after go-live; January expiries are urgent; Renewal Advices sent by hand before go-live are recorded by a one-time upload.</t>
        </is>
      </c>
      <c r="G12" s="12" t="inlineStr">
        <is>
          <t>FRS BRD-06 v2.0, Proposed business rules and clarifications; FR-RN-016</t>
        </is>
      </c>
      <c r="H12" s="12" t="inlineStr">
        <is>
          <t>Product Owner, Renewal</t>
        </is>
      </c>
      <c r="I12" s="37" t="n">
        <v>46356</v>
      </c>
      <c r="J12" s="12" t="inlineStr">
        <is>
          <t>Medium</t>
        </is>
      </c>
      <c r="K12" s="38" t="inlineStr">
        <is>
          <t>Partly answered</t>
        </is>
      </c>
      <c r="L12" s="12" t="n"/>
      <c r="M12" s="12" t="inlineStr">
        <is>
          <t>Answer so far: BDOI decision of 26-Sep-2026 (DMQ37, DMQ38).</t>
        </is>
      </c>
    </row>
    <row r="13">
      <c r="A13" s="12" t="inlineStr">
        <is>
          <t>CLR-RN-07</t>
        </is>
      </c>
      <c r="B13" s="12" t="inlineStr">
        <is>
          <t>BRD-06 Renewal</t>
        </is>
      </c>
      <c r="C13" s="12" t="inlineStr">
        <is>
          <t>Business rule confirmation</t>
        </is>
      </c>
      <c r="D13" s="12" t="inlineStr">
        <is>
          <t>Package of a migrated policy: Confirm the maker-checker choice of the package.</t>
        </is>
      </c>
      <c r="E13" s="12" t="inlineStr">
        <is>
          <t>BDOI decision of 26-Sep-2026 (DMQ36).</t>
        </is>
      </c>
      <c r="F13" s="12" t="inlineStr">
        <is>
          <t>The legacy package is remapped at sanitation from the package code map; when the map gives no single active version, a Processing member chooses the version and another member approves it.</t>
        </is>
      </c>
      <c r="G13" s="12" t="inlineStr">
        <is>
          <t>FRS BRD-06 v2.0, Proposed business rules and clarifications; FR-RN-028</t>
        </is>
      </c>
      <c r="H13" s="12" t="inlineStr">
        <is>
          <t>Product Owner, Renewal</t>
        </is>
      </c>
      <c r="I13" s="37" t="n">
        <v>46356</v>
      </c>
      <c r="J13" s="12" t="inlineStr">
        <is>
          <t>Medium</t>
        </is>
      </c>
      <c r="K13" s="38" t="inlineStr">
        <is>
          <t>Partly answered</t>
        </is>
      </c>
      <c r="L13" s="12" t="n"/>
      <c r="M13" s="12" t="inlineStr">
        <is>
          <t>Answer so far: BDOI decision of 26-Sep-2026 (DMQ36).</t>
        </is>
      </c>
    </row>
    <row r="14">
      <c r="A14" s="12" t="inlineStr">
        <is>
          <t>CLR-RN-08</t>
        </is>
      </c>
      <c r="B14" s="12" t="inlineStr">
        <is>
          <t>BRD-06 Renewal</t>
        </is>
      </c>
      <c r="C14" s="12" t="inlineStr">
        <is>
          <t>Business rule confirmation</t>
        </is>
      </c>
      <c r="D14" s="12" t="inlineStr">
        <is>
          <t>Endorsements before renewal: Confirm the block while an endorsement is open.</t>
        </is>
      </c>
      <c r="E14" s="12" t="inlineStr">
        <is>
          <t>The BRD asks that endorsements reflect on the mother policy before approval.</t>
        </is>
      </c>
      <c r="F14" s="12" t="inlineStr">
        <is>
          <t>The renewal account is created from the policy as of the last posted endorsement; an endorsement in progress blocks the post and the Renewal Advice.</t>
        </is>
      </c>
      <c r="G14" s="12" t="inlineStr">
        <is>
          <t>FRS BRD-06 v2.0, Proposed business rules and clarifications; BRRN.032; FR-RN-027</t>
        </is>
      </c>
      <c r="H14" s="12" t="inlineStr">
        <is>
          <t>Product Owner, Renewal</t>
        </is>
      </c>
      <c r="I14" s="37" t="n">
        <v>46356</v>
      </c>
      <c r="J14" s="12" t="inlineStr">
        <is>
          <t>Medium</t>
        </is>
      </c>
      <c r="K14" s="38" t="inlineStr">
        <is>
          <t>Open</t>
        </is>
      </c>
      <c r="L14" s="12" t="n"/>
      <c r="M14" s="12" t="n"/>
    </row>
    <row r="15">
      <c r="A15" s="12" t="inlineStr">
        <is>
          <t>CLR-RN-09</t>
        </is>
      </c>
      <c r="B15" s="12" t="inlineStr">
        <is>
          <t>BRD-06 Renewal</t>
        </is>
      </c>
      <c r="C15" s="12" t="inlineStr">
        <is>
          <t>Clarification</t>
        </is>
      </c>
      <c r="D15" s="12" t="inlineStr">
        <is>
          <t>CBG accounts: Give the definition of CBG (RQ08).</t>
        </is>
      </c>
      <c r="E15" s="12" t="inlineStr">
        <is>
          <t>The definition of CBG is open (RQ08).</t>
        </is>
      </c>
      <c r="F15" s="12" t="inlineStr">
        <is>
          <t>CBG accounts are not assigned to AOs and follow straight-through processing when Clean.</t>
        </is>
      </c>
      <c r="G15" s="12" t="inlineStr">
        <is>
          <t>FRS BRD-06 v2.0, Proposed business rules and clarifications; FR-RN-030; also raised as RQ08 (open question)</t>
        </is>
      </c>
      <c r="H15" s="12" t="inlineStr">
        <is>
          <t>Product Owner, Renewal</t>
        </is>
      </c>
      <c r="I15" s="37" t="n">
        <v>46356</v>
      </c>
      <c r="J15" s="12" t="inlineStr">
        <is>
          <t>Medium</t>
        </is>
      </c>
      <c r="K15" s="38" t="inlineStr">
        <is>
          <t>Open</t>
        </is>
      </c>
      <c r="L15" s="12" t="n"/>
      <c r="M15" s="12" t="n"/>
    </row>
    <row r="16">
      <c r="A16" s="12" t="inlineStr">
        <is>
          <t>CLR-RN-10</t>
        </is>
      </c>
      <c r="B16" s="12" t="inlineStr">
        <is>
          <t>BRD-06 Renewal</t>
        </is>
      </c>
      <c r="C16" s="12" t="inlineStr">
        <is>
          <t>Configuration value</t>
        </is>
      </c>
      <c r="D16" s="12" t="inlineStr">
        <is>
          <t>Checks and buckets: Give the checks, severities and matrix content (RQ01, RQ24).</t>
        </is>
      </c>
      <c r="E16" s="12" t="inlineStr">
        <is>
          <t>The list of checks, their severities and the matrix content are open (RQ01, RQ24).</t>
        </is>
      </c>
      <c r="F16" s="12" t="inlineStr">
        <is>
          <t>The checks of section 5 run with the default severities; the decision matrix starts with the proposed content and is maintained by the Business Administrator with maker-checker.</t>
        </is>
      </c>
      <c r="G16" s="12" t="inlineStr">
        <is>
          <t>FRS BRD-06 v2.0, Proposed business rules and clarifications; FR-RN-020, 022, 023; also raised as RQ01 (open question), RQ24 (open question)</t>
        </is>
      </c>
      <c r="H16" s="12" t="inlineStr">
        <is>
          <t>Product Owner, Renewal</t>
        </is>
      </c>
      <c r="I16" s="37" t="n">
        <v>46356</v>
      </c>
      <c r="J16" s="12" t="inlineStr">
        <is>
          <t>Medium</t>
        </is>
      </c>
      <c r="K16" s="38" t="inlineStr">
        <is>
          <t>Partly answered</t>
        </is>
      </c>
      <c r="L16" s="12" t="n"/>
      <c r="M16" s="12" t="inlineStr">
        <is>
          <t>Answer so far: Walkthrough addendum annex: SC-01 to SC-13, R23-01 to 05; TSI above PHP 250M to TSU.</t>
        </is>
      </c>
    </row>
    <row r="17">
      <c r="A17" s="12" t="inlineStr">
        <is>
          <t>CLR-RN-11</t>
        </is>
      </c>
      <c r="B17" s="12" t="inlineStr">
        <is>
          <t>BRD-06 Renewal</t>
        </is>
      </c>
      <c r="C17" s="12" t="inlineStr">
        <is>
          <t>Business rule confirmation</t>
        </is>
      </c>
      <c r="D17" s="12" t="inlineStr">
        <is>
          <t>Claims summary: Confirm the claims summary and the manual Total Loss reason (RQ13).</t>
        </is>
      </c>
      <c r="E17" s="12" t="inlineStr">
        <is>
          <t>Cross-BRD decision D4; CLQ28.</t>
        </is>
      </c>
      <c r="F17" s="12" t="inlineStr">
        <is>
          <t>The claims section reads the Claims module; when the claims cannot be read it says so and the claims check does not block. Total Loss Claim stays a manual reason until Claims defines a total-loss indicator.</t>
        </is>
      </c>
      <c r="G17" s="12" t="inlineStr">
        <is>
          <t>FRS BRD-06 v2.0, Proposed business rules and clarifications; BRRN.027, 031, 034; FR-RN-042, 043; also raised as RQ13 (open question), CLQ28 (open question)</t>
        </is>
      </c>
      <c r="H17" s="12" t="inlineStr">
        <is>
          <t>Product Owner, Renewal</t>
        </is>
      </c>
      <c r="I17" s="37" t="n">
        <v>46356</v>
      </c>
      <c r="J17" s="12" t="inlineStr">
        <is>
          <t>Medium</t>
        </is>
      </c>
      <c r="K17" s="38" t="inlineStr">
        <is>
          <t>Open</t>
        </is>
      </c>
      <c r="L17" s="12" t="n"/>
      <c r="M17" s="12" t="n"/>
    </row>
    <row r="18">
      <c r="A18" s="12" t="inlineStr">
        <is>
          <t>CLR-RN-12</t>
        </is>
      </c>
      <c r="B18" s="12" t="inlineStr">
        <is>
          <t>BRD-06 Renewal</t>
        </is>
      </c>
      <c r="C18" s="12" t="inlineStr">
        <is>
          <t>Clarification</t>
        </is>
      </c>
      <c r="D18" s="12" t="inlineStr">
        <is>
          <t>Recipients of the Renewal Advice: Give the approved domains and the password convention (RQ16, Q07).</t>
        </is>
      </c>
      <c r="E18" s="12" t="inlineStr">
        <is>
          <t>The approved domains and TLS rule are open (RQ16, Q07).</t>
        </is>
      </c>
      <c r="F18" s="12" t="inlineStr">
        <is>
          <t>Every recipient domain is allowed until BDOI defines the approved domains; RAs are always sent protected, with the password in a separate e-mail.</t>
        </is>
      </c>
      <c r="G18" s="12" t="inlineStr">
        <is>
          <t>FRS BRD-06 v2.0, Proposed business rules and clarifications; FR-RN-081; also raised as RQ16 (open question), DCR-072 (register item)</t>
        </is>
      </c>
      <c r="H18" s="12" t="inlineStr">
        <is>
          <t>Marketing and Processing - Renewal (RMEL)</t>
        </is>
      </c>
      <c r="I18" s="37" t="n">
        <v>46356</v>
      </c>
      <c r="J18" s="12" t="inlineStr">
        <is>
          <t>Medium</t>
        </is>
      </c>
      <c r="K18" s="38" t="inlineStr">
        <is>
          <t>Open</t>
        </is>
      </c>
      <c r="L18" s="12" t="n"/>
      <c r="M18" s="12" t="n"/>
    </row>
    <row r="19">
      <c r="A19" s="12" t="inlineStr">
        <is>
          <t>CLR-RN-13</t>
        </is>
      </c>
      <c r="B19" s="12" t="inlineStr">
        <is>
          <t>BRD-06 Renewal</t>
        </is>
      </c>
      <c r="C19" s="12" t="inlineStr">
        <is>
          <t>Sample document or template</t>
        </is>
      </c>
      <c r="D19" s="12" t="inlineStr">
        <is>
          <t>No Advice Letter: Confirm the NAL-eligible reasons (RQ17).</t>
        </is>
      </c>
      <c r="E19" s="12" t="inlineStr">
        <is>
          <t>Which accounts are NAL-eligible was open (RQ17).</t>
        </is>
      </c>
      <c r="F19" s="12" t="inlineStr">
        <is>
          <t>Eligibility comes from the NAL-eligible attribute of the non-renewal reason and from the routing at the effective expiry date (CLR-RN-32).</t>
        </is>
      </c>
      <c r="G19" s="12" t="inlineStr">
        <is>
          <t>FRS BRD-06 v2.0, Proposed business rules and clarifications; FR-RN-082; also raised as RQ17 (open question)</t>
        </is>
      </c>
      <c r="H19" s="12" t="inlineStr">
        <is>
          <t>Product Owner, Renewal</t>
        </is>
      </c>
      <c r="I19" s="37" t="n">
        <v>46356</v>
      </c>
      <c r="J19" s="12" t="inlineStr">
        <is>
          <t>Medium</t>
        </is>
      </c>
      <c r="K19" s="38" t="inlineStr">
        <is>
          <t>Partly answered</t>
        </is>
      </c>
      <c r="L19" s="12" t="n"/>
      <c r="M19" s="12" t="inlineStr">
        <is>
          <t>Answer so far: NAL when an RA exists, R37-HC-07; CLR-RN-32.</t>
        </is>
      </c>
    </row>
    <row r="20">
      <c r="A20" s="12" t="inlineStr">
        <is>
          <t>CLR-RN-14</t>
        </is>
      </c>
      <c r="B20" s="12" t="inlineStr">
        <is>
          <t>BRD-06 Renewal</t>
        </is>
      </c>
      <c r="C20" s="12" t="inlineStr">
        <is>
          <t>Business rule confirmation</t>
        </is>
      </c>
      <c r="D20" s="12" t="inlineStr">
        <is>
          <t>NRNS and non-acceptance: Confirm the definition and the timing (RQ18).</t>
        </is>
      </c>
      <c r="E20" s="12" t="inlineStr">
        <is>
          <t>The definition, checkpoint and letter timing are open (RQ18).</t>
        </is>
      </c>
      <c r="F20" s="12" t="inlineStr">
        <is>
          <t>Accounts not yet submitted at the checkpoint (90 days before expiry by default) are NRNS; reminders and non-acceptance letters follow the default days.</t>
        </is>
      </c>
      <c r="G20" s="12" t="inlineStr">
        <is>
          <t>FRS BRD-06 v2.0, Proposed business rules and clarifications; FR-RN-083; also raised as RQ18 (open question), DCR-064 (register item)</t>
        </is>
      </c>
      <c r="H20" s="12" t="inlineStr">
        <is>
          <t>Marketing and Processing - Renewal (RMEL)</t>
        </is>
      </c>
      <c r="I20" s="37" t="n">
        <v>46356</v>
      </c>
      <c r="J20" s="12" t="inlineStr">
        <is>
          <t>Medium</t>
        </is>
      </c>
      <c r="K20" s="38" t="inlineStr">
        <is>
          <t>Partly answered</t>
        </is>
      </c>
      <c r="L20" s="12" t="n"/>
      <c r="M20" s="12" t="inlineStr">
        <is>
          <t>Answer so far: effective expiry date and waiting period, Annex BRRN.037; CLR-RN-33.</t>
        </is>
      </c>
    </row>
    <row r="21">
      <c r="A21" s="12" t="inlineStr">
        <is>
          <t>CLR-RN-15</t>
        </is>
      </c>
      <c r="B21" s="12" t="inlineStr">
        <is>
          <t>BRD-06 Renewal</t>
        </is>
      </c>
      <c r="C21" s="12" t="inlineStr">
        <is>
          <t>Business rule confirmation</t>
        </is>
      </c>
      <c r="D21" s="12" t="inlineStr">
        <is>
          <t>Lock after the Renewal Advice: Confirm the lock and the unlock (RQ12).</t>
        </is>
      </c>
      <c r="E21" s="12" t="inlineStr">
        <is>
          <t>What unlocks an account is open (RQ12).</t>
        </is>
      </c>
      <c r="F21" s="12" t="inlineStr">
        <is>
          <t>An account is locked for changes once its Renewal Advice is generated; cancelling the RA through the controlled override unlocks it.</t>
        </is>
      </c>
      <c r="G21" s="12" t="inlineStr">
        <is>
          <t>FRS BRD-06 v2.0, Proposed business rules and clarifications; FR-RN-080; also raised as RQ12 (open question), DCR-067 (register item)</t>
        </is>
      </c>
      <c r="H21" s="12" t="inlineStr">
        <is>
          <t>Marketing and Processing - Renewal (RMEL)</t>
        </is>
      </c>
      <c r="I21" s="37" t="n">
        <v>46356</v>
      </c>
      <c r="J21" s="12" t="inlineStr">
        <is>
          <t>Medium</t>
        </is>
      </c>
      <c r="K21" s="38" t="inlineStr">
        <is>
          <t>Open</t>
        </is>
      </c>
      <c r="L21" s="12" t="n"/>
      <c r="M21" s="12" t="n"/>
    </row>
    <row r="22">
      <c r="A22" s="12" t="inlineStr">
        <is>
          <t>CLR-RN-16</t>
        </is>
      </c>
      <c r="B22" s="12" t="inlineStr">
        <is>
          <t>BRD-06 Renewal</t>
        </is>
      </c>
      <c r="C22" s="12" t="inlineStr">
        <is>
          <t>Business rule confirmation</t>
        </is>
      </c>
      <c r="D22" s="12" t="inlineStr">
        <is>
          <t>Submitted policies: Confirm decision D2 for Renewal.</t>
        </is>
      </c>
      <c r="E22" s="12" t="inlineStr">
        <is>
          <t>Cross-BRD decision D2.</t>
        </is>
      </c>
      <c r="F22" s="12" t="inlineStr">
        <is>
          <t>Renewal takes over the renewal of submitted policies from the hand-off of Submitted Policies, with one candidate per SBM number and the RA 90 days before expiry.</t>
        </is>
      </c>
      <c r="G22" s="12" t="inlineStr">
        <is>
          <t>FRS BRD-06 v2.0, Proposed business rules and clarifications; BRD-12; FR-RN-090</t>
        </is>
      </c>
      <c r="H22" s="12" t="inlineStr">
        <is>
          <t>Product Owner, Renewal</t>
        </is>
      </c>
      <c r="I22" s="37" t="n">
        <v>46356</v>
      </c>
      <c r="J22" s="12" t="inlineStr">
        <is>
          <t>Medium</t>
        </is>
      </c>
      <c r="K22" s="38" t="inlineStr">
        <is>
          <t>Open</t>
        </is>
      </c>
      <c r="L22" s="12" t="n"/>
      <c r="M22" s="12" t="n"/>
    </row>
    <row r="23">
      <c r="A23" s="12" t="inlineStr">
        <is>
          <t>CLR-RN-17</t>
        </is>
      </c>
      <c r="B23" s="12" t="inlineStr">
        <is>
          <t>BRD-06 Renewal</t>
        </is>
      </c>
      <c r="C23" s="12" t="inlineStr">
        <is>
          <t>Business rule confirmation</t>
        </is>
      </c>
      <c r="D23" s="12" t="inlineStr">
        <is>
          <t>Upload of dispositioned files: Confirm the place of the upload.</t>
        </is>
      </c>
      <c r="E23" s="12" t="inlineStr">
        <is>
          <t>The BRD gives the upload to the Processing Team Leader and Officer (BRD 3.004, 4.003).</t>
        </is>
      </c>
      <c r="F23" s="12" t="inlineStr">
        <is>
          <t>The Upload Dispositions action is on the Processing Worklist, where the Processing team works, and not on My Dispositions of the AO.</t>
        </is>
      </c>
      <c r="G23" s="12" t="inlineStr">
        <is>
          <t>FRS BRD-06 v2.0, Proposed business rules and clarifications; BRRN.018; FR-RN-060</t>
        </is>
      </c>
      <c r="H23" s="12" t="inlineStr">
        <is>
          <t>Product Owner, Renewal</t>
        </is>
      </c>
      <c r="I23" s="37" t="n">
        <v>46356</v>
      </c>
      <c r="J23" s="12" t="inlineStr">
        <is>
          <t>Medium</t>
        </is>
      </c>
      <c r="K23" s="38" t="inlineStr">
        <is>
          <t>Open</t>
        </is>
      </c>
      <c r="L23" s="12" t="n"/>
      <c r="M23" s="12" t="n"/>
    </row>
    <row r="24">
      <c r="A24" s="12" t="inlineStr">
        <is>
          <t>CLR-RN-18</t>
        </is>
      </c>
      <c r="B24" s="12" t="inlineStr">
        <is>
          <t>BRD-06 Renewal</t>
        </is>
      </c>
      <c r="C24" s="12" t="inlineStr">
        <is>
          <t>Business rule confirmation</t>
        </is>
      </c>
      <c r="D24" s="12" t="inlineStr">
        <is>
          <t>Go-live uploads: Confirm who loads and who approves the go-live data.</t>
        </is>
      </c>
      <c r="E24" s="12" t="inlineStr">
        <is>
          <t>The BRD does not name who loads the go-live data (DMQ37, DMQ38).</t>
        </is>
      </c>
      <c r="F24" s="12" t="inlineStr">
        <is>
          <t>The Go-live tab of Renewal Setup (upload of the migrated policies and of the Renewal Advices already sent) is open to the Processing team and the Business Administrator; the corrections are approved by a second user.</t>
        </is>
      </c>
      <c r="G24" s="12" t="inlineStr">
        <is>
          <t>FRS BRD-06 v2.0, Proposed business rules and clarifications; FR-RN-016</t>
        </is>
      </c>
      <c r="H24" s="12" t="inlineStr">
        <is>
          <t>Product Owner, Renewal</t>
        </is>
      </c>
      <c r="I24" s="37" t="n">
        <v>46356</v>
      </c>
      <c r="J24" s="12" t="inlineStr">
        <is>
          <t>Medium</t>
        </is>
      </c>
      <c r="K24" s="38" t="inlineStr">
        <is>
          <t>Open</t>
        </is>
      </c>
      <c r="L24" s="12" t="n"/>
      <c r="M24" s="12" t="n"/>
    </row>
    <row r="25">
      <c r="A25" s="12" t="inlineStr">
        <is>
          <t>CLR-RN-19</t>
        </is>
      </c>
      <c r="B25" s="12" t="inlineStr">
        <is>
          <t>BRD-06 Renewal</t>
        </is>
      </c>
      <c r="C25" s="12" t="inlineStr">
        <is>
          <t>Business rule confirmation</t>
        </is>
      </c>
      <c r="D25" s="12" t="inlineStr">
        <is>
          <t>Contact Center and LAMD on the record: Confirm what these users see on the record.</t>
        </is>
      </c>
      <c r="E25" s="12" t="inlineStr">
        <is>
          <t>Their roles do not read the work queues of Marketing and Processing.</t>
        </is>
      </c>
      <c r="F25" s="12" t="inlineStr">
        <is>
          <t>The Contact Center and LAMD users see the renewal record without the work queue header (stage, due date, owner) and with the actions of their role only (Add Follow-up; the LAMD validation).</t>
        </is>
      </c>
      <c r="G25" s="12" t="inlineStr">
        <is>
          <t>FRS BRD-06 v2.0, Proposed business rules and clarifications; BRRN.024, 026; FR-RN-085</t>
        </is>
      </c>
      <c r="H25" s="12" t="inlineStr">
        <is>
          <t>Product Owner, Renewal</t>
        </is>
      </c>
      <c r="I25" s="37" t="n">
        <v>46356</v>
      </c>
      <c r="J25" s="12" t="inlineStr">
        <is>
          <t>Medium</t>
        </is>
      </c>
      <c r="K25" s="38" t="inlineStr">
        <is>
          <t>Open</t>
        </is>
      </c>
      <c r="L25" s="12" t="n"/>
      <c r="M25" s="12" t="n"/>
    </row>
    <row r="26">
      <c r="A26" s="12" t="inlineStr">
        <is>
          <t>CLR-RN-20</t>
        </is>
      </c>
      <c r="B26" s="12" t="inlineStr">
        <is>
          <t>BRD-06 Renewal</t>
        </is>
      </c>
      <c r="C26" s="12" t="inlineStr">
        <is>
          <t>Sample document or template</t>
        </is>
      </c>
      <c r="D26" s="12" t="inlineStr">
        <is>
          <t>Letter names on the screens: Confirm the letter names and the tab label (see CLR-RN-32).</t>
        </is>
      </c>
      <c r="E26" s="12" t="inlineStr">
        <is>
          <t>The BRD uses NAL, NFR and NRL; users read the full names.</t>
        </is>
      </c>
      <c r="F26" s="12" t="inlineStr">
        <is>
          <t>The screens write the letters in full: Renewal Advice, No Advice Letter, Not for Renewal Letter; the tab of the closing letters is "NAL / NFR".</t>
        </is>
      </c>
      <c r="G26" s="12" t="inlineStr">
        <is>
          <t>FRS BRD-06 v2.0, Proposed business rules and clarifications; BRRN.001; FR-RN-082</t>
        </is>
      </c>
      <c r="H26" s="12" t="inlineStr">
        <is>
          <t>Product Owner, Renewal</t>
        </is>
      </c>
      <c r="I26" s="37" t="n">
        <v>46356</v>
      </c>
      <c r="J26" s="12" t="inlineStr">
        <is>
          <t>Medium</t>
        </is>
      </c>
      <c r="K26" s="38" t="inlineStr">
        <is>
          <t>Open</t>
        </is>
      </c>
      <c r="L26" s="12" t="n"/>
      <c r="M26" s="12" t="n"/>
    </row>
    <row r="27">
      <c r="A27" s="12" t="inlineStr">
        <is>
          <t>CLR-RN-21</t>
        </is>
      </c>
      <c r="B27" s="12" t="inlineStr">
        <is>
          <t>BRD-06 Renewal</t>
        </is>
      </c>
      <c r="C27" s="12" t="inlineStr">
        <is>
          <t>Business rule confirmation</t>
        </is>
      </c>
      <c r="D27" s="12" t="inlineStr">
        <is>
          <t>Codes typed in Renewal Setup: Confirm, or ask for drop-downs by name in the set-up dialogs.</t>
        </is>
      </c>
      <c r="E27" s="12" t="inlineStr">
        <is>
          <t>The set-up dialogs follow the catalogue codes the Business Administrator knows.</t>
        </is>
      </c>
      <c r="F27" s="12" t="inlineStr">
        <is>
          <t>The new non-renewable risk code takes the risk code and the line of business as typed codes, checked against the catalogue; the decision matrix shows its segments, lines and products by name.</t>
        </is>
      </c>
      <c r="G27" s="12" t="inlineStr">
        <is>
          <t>FRS BRD-06 v2.0, Proposed business rules and clarifications; FR-RN-024, 112</t>
        </is>
      </c>
      <c r="H27" s="12" t="inlineStr">
        <is>
          <t>Product Owner, Renewal</t>
        </is>
      </c>
      <c r="I27" s="37" t="n">
        <v>46356</v>
      </c>
      <c r="J27" s="12" t="inlineStr">
        <is>
          <t>Medium</t>
        </is>
      </c>
      <c r="K27" s="38" t="inlineStr">
        <is>
          <t>Open</t>
        </is>
      </c>
      <c r="L27" s="12" t="n"/>
      <c r="M27" s="12" t="n"/>
    </row>
    <row r="28">
      <c r="A28" s="12" t="inlineStr">
        <is>
          <t>CLR-RN-22</t>
        </is>
      </c>
      <c r="B28" s="12" t="inlineStr">
        <is>
          <t>BRD-06 Renewal</t>
        </is>
      </c>
      <c r="C28" s="12" t="inlineStr">
        <is>
          <t>Business rule confirmation</t>
        </is>
      </c>
      <c r="D28" s="12" t="inlineStr">
        <is>
          <t>Side stages on the step bar: Confirm the step bar.</t>
        </is>
      </c>
      <c r="E28" s="12" t="inlineStr">
        <is>
          <t>They are detours, not steps every renewal passes.</t>
        </is>
      </c>
      <c r="F28" s="12" t="inlineStr">
        <is>
          <t>Transfer Pending, the New Business path and Letter Pending show apart from the main stages of the step bar, after the stage they come from.</t>
        </is>
      </c>
      <c r="G28" s="12" t="inlineStr">
        <is>
          <t>FRS BRD-06 v2.0, Proposed business rules and clarifications; FR-RN-031, 048, 082</t>
        </is>
      </c>
      <c r="H28" s="12" t="inlineStr">
        <is>
          <t>Product Owner, Renewal</t>
        </is>
      </c>
      <c r="I28" s="37" t="n">
        <v>46356</v>
      </c>
      <c r="J28" s="12" t="inlineStr">
        <is>
          <t>Medium</t>
        </is>
      </c>
      <c r="K28" s="38" t="inlineStr">
        <is>
          <t>Open</t>
        </is>
      </c>
      <c r="L28" s="12" t="n"/>
      <c r="M28" s="12" t="n"/>
    </row>
    <row r="29">
      <c r="A29" s="12" t="inlineStr">
        <is>
          <t>CLR-RN-23</t>
        </is>
      </c>
      <c r="B29" s="12" t="inlineStr">
        <is>
          <t>BRD-06 Renewal</t>
        </is>
      </c>
      <c r="C29" s="12" t="inlineStr">
        <is>
          <t>Business rule confirmation</t>
        </is>
      </c>
      <c r="D29" s="12" t="inlineStr">
        <is>
          <t>Renewal account of a migrated policy: Confirm that Processing completes the missing fields before the RA.</t>
        </is>
      </c>
      <c r="E29" s="12" t="inlineStr">
        <is>
          <t>Migrated policies may lack fields BIBS needs for the RA and the booking.</t>
        </is>
      </c>
      <c r="F29" s="12" t="inlineStr">
        <is>
          <t>The renewal account of a migrated policy is created from the migrated data; when mandatory fields of the product are missing, the Renewal Advice is refused with the list of fields until Processing completes them.</t>
        </is>
      </c>
      <c r="G29" s="12" t="inlineStr">
        <is>
          <t>FRS BRD-06 v2.0, Proposed business rules and clarifications; FR-RN-016, 063, 080</t>
        </is>
      </c>
      <c r="H29" s="12" t="inlineStr">
        <is>
          <t>Product Owner, Renewal</t>
        </is>
      </c>
      <c r="I29" s="37" t="n">
        <v>46356</v>
      </c>
      <c r="J29" s="12" t="inlineStr">
        <is>
          <t>Medium</t>
        </is>
      </c>
      <c r="K29" s="38" t="inlineStr">
        <is>
          <t>Open</t>
        </is>
      </c>
      <c r="L29" s="12" t="n"/>
      <c r="M29" s="12" t="n"/>
    </row>
    <row r="30">
      <c r="A30" s="12" t="inlineStr">
        <is>
          <t>CLR-RN-24</t>
        </is>
      </c>
      <c r="B30" s="12" t="inlineStr">
        <is>
          <t>BRD-06 Renewal</t>
        </is>
      </c>
      <c r="C30" s="12" t="inlineStr">
        <is>
          <t>Business rule confirmation</t>
        </is>
      </c>
      <c r="D30" s="12" t="inlineStr">
        <is>
          <t>Short stage labels in lists: Confirm the short forms.</t>
        </is>
      </c>
      <c r="E30" s="12" t="inlineStr">
        <is>
          <t>One pill size in the lists (screen standards).</t>
        </is>
      </c>
      <c r="F30" s="12" t="inlineStr">
        <is>
          <t>In lists the stage pill shows "Unassigned" for Unassigned Disposition and "For Placement" for For Placement and Booking; the full label is in the tooltip and on the record.</t>
        </is>
      </c>
      <c r="G30" s="12" t="inlineStr">
        <is>
          <t>FRS BRD-06 v2.0, Proposed business rules and clarifications; FR-RN-013</t>
        </is>
      </c>
      <c r="H30" s="12" t="inlineStr">
        <is>
          <t>Product Owner, Renewal</t>
        </is>
      </c>
      <c r="I30" s="37" t="n">
        <v>46356</v>
      </c>
      <c r="J30" s="12" t="inlineStr">
        <is>
          <t>Medium</t>
        </is>
      </c>
      <c r="K30" s="38" t="inlineStr">
        <is>
          <t>Open</t>
        </is>
      </c>
      <c r="L30" s="12" t="n"/>
      <c r="M30" s="12" t="n"/>
    </row>
    <row r="31">
      <c r="A31" s="12" t="inlineStr">
        <is>
          <t>CLR-RN-25</t>
        </is>
      </c>
      <c r="B31" s="12" t="inlineStr">
        <is>
          <t>BRD-06 Renewal</t>
        </is>
      </c>
      <c r="C31" s="12" t="inlineStr">
        <is>
          <t>Report layout</t>
        </is>
      </c>
      <c r="D31" s="12" t="inlineStr">
        <is>
          <t>Insurer extract: Confirm the 28 columns, or name the columns to keep on screen.</t>
        </is>
      </c>
      <c r="E31" s="12" t="inlineStr">
        <is>
          <t>The insurers read the 28 columns; the screen shows the same file.</t>
        </is>
      </c>
      <c r="F31" s="12" t="inlineStr">
        <is>
          <t>The extract per insurer keeps the 28 columns of the BRD in one sheet; on screen the batch shows them in a table that scrolls sideways.</t>
        </is>
      </c>
      <c r="G31" s="12" t="inlineStr">
        <is>
          <t>FRS BRD-06 v2.0, Proposed business rules and clarifications; BRD 3.009; FR-RN-070</t>
        </is>
      </c>
      <c r="H31" s="12" t="inlineStr">
        <is>
          <t>Product Owner, Renewal</t>
        </is>
      </c>
      <c r="I31" s="37" t="n">
        <v>46356</v>
      </c>
      <c r="J31" s="12" t="inlineStr">
        <is>
          <t>Medium</t>
        </is>
      </c>
      <c r="K31" s="38" t="inlineStr">
        <is>
          <t>Open</t>
        </is>
      </c>
      <c r="L31" s="12" t="n"/>
      <c r="M31" s="12" t="n"/>
    </row>
    <row r="32">
      <c r="A32" s="12" t="inlineStr">
        <is>
          <t>CLR-RN-26</t>
        </is>
      </c>
      <c r="B32" s="12" t="inlineStr">
        <is>
          <t>BRD-06 Renewal</t>
        </is>
      </c>
      <c r="C32" s="12" t="inlineStr">
        <is>
          <t>Business rule confirmation</t>
        </is>
      </c>
      <c r="D32" s="12" t="inlineStr">
        <is>
          <t>Landing page of the Renewal users: Confirm, or land the Renewal personas on Renewal Home.</t>
        </is>
      </c>
      <c r="E32" s="12" t="inlineStr">
        <is>
          <t>The landing page is that of every broking role.</t>
        </is>
      </c>
      <c r="F32" s="12" t="inlineStr">
        <is>
          <t>After sign-in the Marketing and Processing users land on the New Business dashboard, the Contact Center and LAMD users on My Approvals; Renewal Home is one click away.</t>
        </is>
      </c>
      <c r="G32" s="12" t="inlineStr">
        <is>
          <t>FRS BRD-06 v2.0, Proposed business rules and clarifications; FR-RN-100</t>
        </is>
      </c>
      <c r="H32" s="12" t="inlineStr">
        <is>
          <t>Product Owner, Renewal</t>
        </is>
      </c>
      <c r="I32" s="37" t="n">
        <v>46356</v>
      </c>
      <c r="J32" s="12" t="inlineStr">
        <is>
          <t>Medium</t>
        </is>
      </c>
      <c r="K32" s="38" t="inlineStr">
        <is>
          <t>Open</t>
        </is>
      </c>
      <c r="L32" s="12" t="n"/>
      <c r="M32" s="12" t="n"/>
    </row>
    <row r="33">
      <c r="A33" s="12" t="inlineStr">
        <is>
          <t>CLR-RN-27</t>
        </is>
      </c>
      <c r="B33" s="12" t="inlineStr">
        <is>
          <t>BRD-06 Renewal</t>
        </is>
      </c>
      <c r="C33" s="12" t="inlineStr">
        <is>
          <t>Configuration value</t>
        </is>
      </c>
      <c r="D33" s="12" t="inlineStr">
        <is>
          <t>Exception ageing: Give the ageing days and the recipients.</t>
        </is>
      </c>
      <c r="E33" s="12" t="inlineStr">
        <is>
          <t>The SLA and the recipient of the escalation are not given.</t>
        </is>
      </c>
      <c r="F33" s="12" t="inlineStr">
        <is>
          <t>An exception open beyond 5 working days raises one alert to the owner of the stage; the record is not moved.</t>
        </is>
      </c>
      <c r="G33" s="12" t="inlineStr">
        <is>
          <t>FRS BRD-06 v2.0, Proposed business rules and clarifications; Annex BRRN.029 R29-05; FR-RN-022</t>
        </is>
      </c>
      <c r="H33" s="12" t="inlineStr">
        <is>
          <t>Product Owner, Renewal</t>
        </is>
      </c>
      <c r="I33" s="37" t="n">
        <v>46356</v>
      </c>
      <c r="J33" s="12" t="inlineStr">
        <is>
          <t>Medium</t>
        </is>
      </c>
      <c r="K33" s="38" t="inlineStr">
        <is>
          <t>Open</t>
        </is>
      </c>
      <c r="L33" s="12" t="n"/>
      <c r="M33" s="12" t="n"/>
    </row>
    <row r="34">
      <c r="A34" s="12" t="inlineStr">
        <is>
          <t>CLR-RN-28</t>
        </is>
      </c>
      <c r="B34" s="12" t="inlineStr">
        <is>
          <t>BRD-06 Renewal</t>
        </is>
      </c>
      <c r="C34" s="12" t="inlineStr">
        <is>
          <t>Business rule confirmation</t>
        </is>
      </c>
      <c r="D34" s="12" t="inlineStr">
        <is>
          <t>Claims before the Claims module: Confirm how the claims of migrated policies are found (migrated claims data or a manual flag).</t>
        </is>
      </c>
      <c r="E34" s="12" t="inlineStr">
        <is>
          <t>The annex requires manual evaluation of claims; the claims of migrated policies are not yet in BIBS (decision D4).</t>
        </is>
      </c>
      <c r="F34" s="12" t="inlineStr">
        <is>
          <t>Open claims of a booked account fail the claims check with severity Review (manual evaluation, never automatic); for a migrated policy without a BIBS account the check is Not applicable until its claims are migrated.</t>
        </is>
      </c>
      <c r="G34" s="12" t="inlineStr">
        <is>
          <t>FRS BRD-06 v2.0, Proposed business rules and clarifications; R23-05, R28-05; FR-RN-020, 023</t>
        </is>
      </c>
      <c r="H34" s="12" t="inlineStr">
        <is>
          <t>Product Owner, Renewal</t>
        </is>
      </c>
      <c r="I34" s="37" t="n">
        <v>46356</v>
      </c>
      <c r="J34" s="12" t="inlineStr">
        <is>
          <t>Medium</t>
        </is>
      </c>
      <c r="K34" s="38" t="inlineStr">
        <is>
          <t>Open</t>
        </is>
      </c>
      <c r="L34" s="12" t="n"/>
      <c r="M34" s="12" t="n"/>
    </row>
    <row r="35">
      <c r="A35" s="12" t="inlineStr">
        <is>
          <t>CLR-RN-29</t>
        </is>
      </c>
      <c r="B35" s="12" t="inlineStr">
        <is>
          <t>BRD-06 Renewal</t>
        </is>
      </c>
      <c r="C35" s="12" t="inlineStr">
        <is>
          <t>Configuration value</t>
        </is>
      </c>
      <c r="D35" s="12" t="inlineStr">
        <is>
          <t>TSI threshold and TSU: Confirm the threshold, the routing to TSU and the reading of R24-04 and R24-05 (RQ01, RQ10).</t>
        </is>
      </c>
      <c r="E35" s="12" t="inlineStr">
        <is>
          <t>The annex adds the TSU routing, a hold status and a second "bucket" set.</t>
        </is>
      </c>
      <c r="F35" s="12" t="inlineStr">
        <is>
          <t>Above PHP 250M of total sum insured the renewal is Review and the decision matrix proposes For Proposal to TSU; there is no separate TSU queue or "Pending Insurer Validation" status: a missing insurer answer keeps the renewal With Insurer. Auto / Manual / Proposal (R24-05) is read as the automation of the matrix, not a second classification.</t>
        </is>
      </c>
      <c r="G35" s="12" t="inlineStr">
        <is>
          <t>FRS BRD-06 v2.0, Proposed business rules and clarifications; SC-12, SC-13, R23-02, R24-02; FR-RN-020, 023; also raised as RQ10 (open question), DCR-070 (register item)</t>
        </is>
      </c>
      <c r="H35" s="12" t="inlineStr">
        <is>
          <t>Marketing and Processing - Renewal (RMEL)</t>
        </is>
      </c>
      <c r="I35" s="37" t="n">
        <v>46356</v>
      </c>
      <c r="J35" s="12" t="inlineStr">
        <is>
          <t>Medium</t>
        </is>
      </c>
      <c r="K35" s="38" t="inlineStr">
        <is>
          <t>Open</t>
        </is>
      </c>
      <c r="L35" s="12" t="n"/>
      <c r="M35" s="12" t="n"/>
    </row>
    <row r="36">
      <c r="A36" s="12" t="inlineStr">
        <is>
          <t>CLR-RN-30</t>
        </is>
      </c>
      <c r="B36" s="12" t="inlineStr">
        <is>
          <t>BRD-06 Renewal</t>
        </is>
      </c>
      <c r="C36" s="12" t="inlineStr">
        <is>
          <t>Decision</t>
        </is>
      </c>
      <c r="D36" s="12" t="inlineStr">
        <is>
          <t>KYC at renewal: BDOI Compliance and the Product Owner: decide whether KYC blocks the renewal; if it does, the KYC queue, EDD and override are added by change request.</t>
        </is>
      </c>
      <c r="E36" s="12" t="inlineStr">
        <is>
          <t>The annex KYC-01 to KYC-06 blocks a renewal with a missing, incomplete or expired KYC; BRRN.028 says KYC gating needs a separate approved compliance requirement.</t>
        </is>
      </c>
      <c r="F36" s="12" t="inlineStr">
        <is>
          <t>KYC stays for visibility only and never blocks the renewal (BRRN.028, scope of the Walkthrough addendum).</t>
        </is>
      </c>
      <c r="G36" s="12" t="inlineStr">
        <is>
          <t>FRS BRD-06 v2.0, Proposed business rules and clarifications; BRRN.028 and its annex; FR-RN-026</t>
        </is>
      </c>
      <c r="H36" s="12" t="inlineStr">
        <is>
          <t>Product Owner, Renewal</t>
        </is>
      </c>
      <c r="I36" s="37" t="n">
        <v>46356</v>
      </c>
      <c r="J36" s="12" t="inlineStr">
        <is>
          <t>Medium</t>
        </is>
      </c>
      <c r="K36" s="38" t="inlineStr">
        <is>
          <t>Open</t>
        </is>
      </c>
      <c r="L36" s="12" t="n"/>
      <c r="M36" s="12" t="n"/>
    </row>
    <row r="37">
      <c r="A37" s="12" t="inlineStr">
        <is>
          <t>CLR-RN-31</t>
        </is>
      </c>
      <c r="B37" s="12" t="inlineStr">
        <is>
          <t>BRD-06 Renewal</t>
        </is>
      </c>
      <c r="C37" s="12" t="inlineStr">
        <is>
          <t>Clarification</t>
        </is>
      </c>
      <c r="D37" s="12" t="inlineStr">
        <is>
          <t>Structural change and the NB path: Define a structural change and say whether the routing must be automatic.</t>
        </is>
      </c>
      <c r="E37" s="12" t="inlineStr">
        <is>
          <t>The BRD asks for routing on "structural changes" when "defined criteria" are met, without defining them.</t>
        </is>
      </c>
      <c r="F37" s="12" t="inlineStr">
        <is>
          <t>The financial change is the financial-impact check; the NB path starts with Start NB Path by the AO or with a For Quotation or For Proposal disposition.</t>
        </is>
      </c>
      <c r="G37" s="12" t="inlineStr">
        <is>
          <t>FRS BRD-06 v2.0, Proposed business rules and clarifications; BRRN.033; FR-RN-048</t>
        </is>
      </c>
      <c r="H37" s="12" t="inlineStr">
        <is>
          <t>Product Owner, Renewal</t>
        </is>
      </c>
      <c r="I37" s="37" t="n">
        <v>46356</v>
      </c>
      <c r="J37" s="12" t="inlineStr">
        <is>
          <t>Medium</t>
        </is>
      </c>
      <c r="K37" s="38" t="inlineStr">
        <is>
          <t>Open</t>
        </is>
      </c>
      <c r="L37" s="12" t="n"/>
      <c r="M37" s="12" t="n"/>
    </row>
    <row r="38">
      <c r="A38" s="12" t="inlineStr">
        <is>
          <t>CLR-RN-32</t>
        </is>
      </c>
      <c r="B38" s="12" t="inlineStr">
        <is>
          <t>BRD-06 Renewal</t>
        </is>
      </c>
      <c r="C38" s="12" t="inlineStr">
        <is>
          <t>Sample document or template</t>
        </is>
      </c>
      <c r="D38" s="12" t="inlineStr">
        <is>
          <t>NAL and NRL: Confirm the NAL definition and that the NRL is the Not for Renewal Letter (RQ07, RQ17).</t>
        </is>
      </c>
      <c r="E38" s="12" t="inlineStr">
        <is>
          <t>The earlier BRRN.001 sent the NAL when there was no RA; the annex sends it when an RA exists.</t>
        </is>
      </c>
      <c r="F38" s="12" t="inlineStr">
        <is>
          <t>At the effective expiry date an unrenewed account with an RA sent goes to Operations for the NAL; one without RA goes to its Marketing AO for the NRL, which is the Not for Renewal Letter; the two letters exclude each other.</t>
        </is>
      </c>
      <c r="G38" s="12" t="inlineStr">
        <is>
          <t>FRS BRD-06 v2.0, Proposed business rules and clarifications; updated BRRN.001, R37-HC-07 to 10; FR-RN-024, 082; also raised as RQ07 (open question), DCR-073 (register item)</t>
        </is>
      </c>
      <c r="H38" s="12" t="inlineStr">
        <is>
          <t>Marketing and Processing - Renewal (RMEL)</t>
        </is>
      </c>
      <c r="I38" s="37" t="n">
        <v>46356</v>
      </c>
      <c r="J38" s="12" t="inlineStr">
        <is>
          <t>Medium</t>
        </is>
      </c>
      <c r="K38" s="38" t="inlineStr">
        <is>
          <t>Partly answered</t>
        </is>
      </c>
      <c r="L38" s="12" t="n"/>
      <c r="M38" s="12" t="inlineStr">
        <is>
          <t>Answer so far: NRL by the Marketing AO when no RA exists, R37-HC-08; CLR-RN-32.</t>
        </is>
      </c>
    </row>
    <row r="39">
      <c r="A39" s="12" t="inlineStr">
        <is>
          <t>CLR-RN-33</t>
        </is>
      </c>
      <c r="B39" s="12" t="inlineStr">
        <is>
          <t>BRD-06 Renewal</t>
        </is>
      </c>
      <c r="C39" s="12" t="inlineStr">
        <is>
          <t>Configuration value</t>
        </is>
      </c>
      <c r="D39" s="12" t="inlineStr">
        <is>
          <t>NRNS waiting period: Give the waiting days per segment (RQ18).</t>
        </is>
      </c>
      <c r="E39" s="12" t="inlineStr">
        <is>
          <t>The annex mentions a waiting period and a CBG / non-CBG variation without values.</t>
        </is>
      </c>
      <c r="F39" s="12" t="inlineStr">
        <is>
          <t>NRNS is tagged at the effective expiry date with no waiting period by default; the waiting days are a parameter per segment (CBG, non-CBG).</t>
        </is>
      </c>
      <c r="G39" s="12" t="inlineStr">
        <is>
          <t>FRS BRD-06 v2.0, Proposed business rules and clarifications; Annex BRRN.037; FR-RN-083</t>
        </is>
      </c>
      <c r="H39" s="12" t="inlineStr">
        <is>
          <t>Product Owner, Renewal</t>
        </is>
      </c>
      <c r="I39" s="37" t="n">
        <v>46356</v>
      </c>
      <c r="J39" s="12" t="inlineStr">
        <is>
          <t>Medium</t>
        </is>
      </c>
      <c r="K39" s="38" t="inlineStr">
        <is>
          <t>Open</t>
        </is>
      </c>
      <c r="L39" s="12" t="n"/>
      <c r="M39" s="12" t="n"/>
    </row>
    <row r="40">
      <c r="A40" s="12" t="inlineStr">
        <is>
          <t>CLR-RN-34</t>
        </is>
      </c>
      <c r="B40" s="12" t="inlineStr">
        <is>
          <t>BRD-06 Renewal</t>
        </is>
      </c>
      <c r="C40" s="12" t="inlineStr">
        <is>
          <t>Business rule confirmation</t>
        </is>
      </c>
      <c r="D40" s="12" t="inlineStr">
        <is>
          <t>Placement and booking after acceptance: Confirm that automatic placement of BRRN.040 is superseded (RQ19).</t>
        </is>
      </c>
      <c r="E40" s="12" t="inlineStr">
        <is>
          <t>The Workshop addendum moved an accepted renewal to placement and booking automatically; the Walkthrough addendum keeps them under manual control.</t>
        </is>
      </c>
      <c r="F40" s="12" t="inlineStr">
        <is>
          <t>The AO records the client's confirmation; placement and booking are user actions (automatic placement off for renewals); the account moves on without re-keying.</t>
        </is>
      </c>
      <c r="G40" s="12" t="inlineStr">
        <is>
          <t>FRS BRD-06 v2.0, Proposed business rules and clarifications; BRRN.035, 040; FR-RN-084; also raised as RQ19 (open question)</t>
        </is>
      </c>
      <c r="H40" s="12" t="inlineStr">
        <is>
          <t>Product Owner, Renewal</t>
        </is>
      </c>
      <c r="I40" s="37" t="n">
        <v>46356</v>
      </c>
      <c r="J40" s="12" t="inlineStr">
        <is>
          <t>Medium</t>
        </is>
      </c>
      <c r="K40" s="38" t="inlineStr">
        <is>
          <t>Open</t>
        </is>
      </c>
      <c r="L40" s="12" t="n"/>
      <c r="M40" s="12" t="n"/>
    </row>
    <row r="41">
      <c r="A41" s="12" t="inlineStr">
        <is>
          <t>CLR-RN-35</t>
        </is>
      </c>
      <c r="B41" s="12" t="inlineStr">
        <is>
          <t>BRD-06 Renewal</t>
        </is>
      </c>
      <c r="C41" s="12" t="inlineStr">
        <is>
          <t>Configuration value</t>
        </is>
      </c>
      <c r="D41" s="12" t="inlineStr">
        <is>
          <t>Attention flags without escalation: Give the ageing, overdue and high-risk criteria and say whether the AO may be notified (RQ11).</t>
        </is>
      </c>
      <c r="E41" s="12" t="inlineStr">
        <is>
          <t>The annex lists the criteria without thresholds and forbids automatic escalation.</t>
        </is>
      </c>
      <c r="F41" s="12" t="inlineStr">
        <is>
          <t>The listing flags accounts by ageing (escalation days 60 for IBG and Leasing, 30 for the others), overdue and high risk, each with its rule; no alert goes to the unit head.</t>
        </is>
      </c>
      <c r="G41" s="12" t="inlineStr">
        <is>
          <t>FRS BRD-06 v2.0, Proposed business rules and clarifications; BRRN.036; FR-RN-102; also raised as RQ11 (open question)</t>
        </is>
      </c>
      <c r="H41" s="12" t="inlineStr">
        <is>
          <t>Product Owner, Renewal</t>
        </is>
      </c>
      <c r="I41" s="37" t="n">
        <v>46356</v>
      </c>
      <c r="J41" s="12" t="inlineStr">
        <is>
          <t>Medium</t>
        </is>
      </c>
      <c r="K41" s="38" t="inlineStr">
        <is>
          <t>Partly answered</t>
        </is>
      </c>
      <c r="L41" s="12" t="n"/>
      <c r="M41" s="12" t="inlineStr">
        <is>
          <t>Answer so far: criteria of Annex BRRN.036, escalation by the AO outside the system; thresholds open, CLR-RN-35.</t>
        </is>
      </c>
    </row>
    <row r="42">
      <c r="A42" s="12" t="inlineStr">
        <is>
          <t>CLR-RN-36</t>
        </is>
      </c>
      <c r="B42" s="12" t="inlineStr">
        <is>
          <t>BRD-06 Renewal</t>
        </is>
      </c>
      <c r="C42" s="12" t="inlineStr">
        <is>
          <t>Business rule confirmation</t>
        </is>
      </c>
      <c r="D42" s="12" t="inlineStr">
        <is>
          <t>Hold cover of a renewal: Confirm who requests and who records the hold cover, and the durations.</t>
        </is>
      </c>
      <c r="E42" s="12" t="inlineStr">
        <is>
          <t>The annex has the AO tag the hold cover; New Business gives the request to Processing (FR-NB-082).</t>
        </is>
      </c>
      <c r="F42" s="12" t="inlineStr">
        <is>
          <t>The Marketing AO requests the hold cover from the renewal (30 or 60 days); Processing records the insurer's confirmation; the confirmed end date is the effective expiry date.</t>
        </is>
      </c>
      <c r="G42" s="12" t="inlineStr">
        <is>
          <t>FRS BRD-06 v2.0, Proposed business rules and clarifications; BRRN.042, R37-HC-01; FR-RN-086</t>
        </is>
      </c>
      <c r="H42" s="12" t="inlineStr">
        <is>
          <t>Product Owner, Renewal</t>
        </is>
      </c>
      <c r="I42" s="37" t="n">
        <v>46356</v>
      </c>
      <c r="J42" s="12" t="inlineStr">
        <is>
          <t>Medium</t>
        </is>
      </c>
      <c r="K42" s="38" t="inlineStr">
        <is>
          <t>Open</t>
        </is>
      </c>
      <c r="L42" s="12" t="n"/>
      <c r="M42" s="12" t="n"/>
    </row>
    <row r="43">
      <c r="A43" s="12" t="inlineStr">
        <is>
          <t>CLR-RN-37</t>
        </is>
      </c>
      <c r="B43" s="12" t="inlineStr">
        <is>
          <t>BRD-06 Renewal</t>
        </is>
      </c>
      <c r="C43" s="12" t="inlineStr">
        <is>
          <t>Business rule confirmation</t>
        </is>
      </c>
      <c r="D43" s="12" t="inlineStr">
        <is>
          <t>Incentive eligibility: Confirm the shared evaluation and give the incentive criteria (Q33).</t>
        </is>
      </c>
      <c r="E43" s="12" t="inlineStr">
        <is>
          <t>New Business sets the indicator at booking (FR-NB-118); the criteria are not given (Q33).</t>
        </is>
      </c>
      <c r="F43" s="12" t="inlineStr">
        <is>
          <t>One evaluation shared with New Business, run after booking, confirmed acceptance and full payment, on the incentive criteria of Product Maintenance; re-evaluated on endorsement, invalidated on cancellation.</t>
        </is>
      </c>
      <c r="G43" s="12" t="inlineStr">
        <is>
          <t>FRS BRD-06 v2.0, Proposed business rules and clarifications; BRRN.041; FR-RN-087</t>
        </is>
      </c>
      <c r="H43" s="12" t="inlineStr">
        <is>
          <t>Product Owner, Renewal</t>
        </is>
      </c>
      <c r="I43" s="37" t="n">
        <v>46356</v>
      </c>
      <c r="J43" s="12" t="inlineStr">
        <is>
          <t>Medium</t>
        </is>
      </c>
      <c r="K43" s="38" t="inlineStr">
        <is>
          <t>Open</t>
        </is>
      </c>
      <c r="L43" s="12" t="n"/>
      <c r="M43" s="12" t="n"/>
    </row>
    <row r="44">
      <c r="A44" s="12" t="inlineStr">
        <is>
          <t>CLR-RN-38</t>
        </is>
      </c>
      <c r="B44" s="12" t="inlineStr">
        <is>
          <t>BRD-06 Renewal</t>
        </is>
      </c>
      <c r="C44" s="12" t="inlineStr">
        <is>
          <t>Clarification</t>
        </is>
      </c>
      <c r="D44" s="12" t="inlineStr">
        <is>
          <t>Insurer renewable list: Say how the insurers provide the list and who maintains it.</t>
        </is>
      </c>
      <c r="E44" s="12" t="inlineStr">
        <is>
          <t>The annex names the list without its source or format.</t>
        </is>
      </c>
      <c r="F44" s="12" t="inlineStr">
        <is>
          <t>The insurer's renewable list is kept per insurer as a list of risk codes in Renewal Setup; a risk outside it fails insurer renewable list with severity Review.</t>
        </is>
      </c>
      <c r="G44" s="12" t="inlineStr">
        <is>
          <t>FRS BRD-06 v2.0, Proposed business rules and clarifications; SC-10; FR-RN-020</t>
        </is>
      </c>
      <c r="H44" s="12" t="inlineStr">
        <is>
          <t>Product Owner, Renewal</t>
        </is>
      </c>
      <c r="I44" s="37" t="n">
        <v>46356</v>
      </c>
      <c r="J44" s="12" t="inlineStr">
        <is>
          <t>Medium</t>
        </is>
      </c>
      <c r="K44" s="38" t="inlineStr">
        <is>
          <t>Open</t>
        </is>
      </c>
      <c r="L44" s="12" t="n"/>
      <c r="M44" s="12" t="n"/>
    </row>
    <row r="45">
      <c r="A45" s="12" t="inlineStr">
        <is>
          <t>CLR-RN-39</t>
        </is>
      </c>
      <c r="B45" s="12" t="inlineStr">
        <is>
          <t>BRD-06 Renewal</t>
        </is>
      </c>
      <c r="C45" s="12" t="inlineStr">
        <is>
          <t>Business rule confirmation</t>
        </is>
      </c>
      <c r="D45" s="12" t="inlineStr">
        <is>
          <t>Filter and export by classification: Confirm that the filter and export stay.</t>
        </is>
      </c>
      <c r="E45" s="12" t="inlineStr">
        <is>
          <t>The Walkthrough addendum no longer lists the filter and export by bucket of the Workshop addendum.</t>
        </is>
      </c>
      <c r="F45" s="12" t="inlineStr">
        <is>
          <t>The Expiry List keeps the classification filter, the Exceptions tab and the export by classification.</t>
        </is>
      </c>
      <c r="G45" s="12" t="inlineStr">
        <is>
          <t>FRS BRD-06 v2.0, Proposed business rules and clarifications; BRRN.023; FR-RN-022</t>
        </is>
      </c>
      <c r="H45" s="12" t="inlineStr">
        <is>
          <t>Product Owner, Renewal</t>
        </is>
      </c>
      <c r="I45" s="37" t="n">
        <v>46356</v>
      </c>
      <c r="J45" s="12" t="inlineStr">
        <is>
          <t>Medium</t>
        </is>
      </c>
      <c r="K45" s="38" t="inlineStr">
        <is>
          <t>Open</t>
        </is>
      </c>
      <c r="L45" s="12" t="n"/>
      <c r="M45" s="12" t="n"/>
    </row>
    <row r="46">
      <c r="A46" s="12" t="inlineStr">
        <is>
          <t>CLR-RN-40</t>
        </is>
      </c>
      <c r="B46" s="12" t="inlineStr">
        <is>
          <t>BRD-06 Renewal</t>
        </is>
      </c>
      <c r="C46" s="12" t="inlineStr">
        <is>
          <t>Business rule confirmation</t>
        </is>
      </c>
      <c r="D46" s="12" t="inlineStr">
        <is>
          <t>Signatories: Confirm the signatories.</t>
        </is>
      </c>
      <c r="E46" s="12" t="inlineStr">
        <is>
          <t>A renewal books through the New Business booking and posts nothing itself.</t>
        </is>
      </c>
      <c r="F46" s="12" t="inlineStr">
        <is>
          <t>The set is signed by the approvers of the Renewal BRD and its addenda; Comptrollership is informed but does not sign, as the approval sheets mark it not required.</t>
        </is>
      </c>
      <c r="G46" s="12" t="inlineStr">
        <is>
          <t>FRS BRD-06 v2.0, Proposed business rules and clarifications; approval sheets</t>
        </is>
      </c>
      <c r="H46" s="12" t="inlineStr">
        <is>
          <t>Product Owner, Renewal</t>
        </is>
      </c>
      <c r="I46" s="37" t="n">
        <v>46356</v>
      </c>
      <c r="J46" s="12" t="inlineStr">
        <is>
          <t>Medium</t>
        </is>
      </c>
      <c r="K46" s="38" t="inlineStr">
        <is>
          <t>Open</t>
        </is>
      </c>
      <c r="L46" s="12" t="n"/>
      <c r="M46" s="12" t="n"/>
    </row>
    <row r="47">
      <c r="A47" s="12" t="inlineStr">
        <is>
          <t>RQ04</t>
        </is>
      </c>
      <c r="B47" s="12" t="inlineStr">
        <is>
          <t>BRD-06 Renewal</t>
        </is>
      </c>
      <c r="C47" s="12" t="inlineStr">
        <is>
          <t>Configuration value</t>
        </is>
      </c>
      <c r="D47" s="12" t="inlineStr">
        <is>
          <t>Extraction: Lead days per segment or line (140 as the default?); is extraction run daily for the new expiry day, or monthly for a month? Can users still extract on demand for any range (BRRN.002)?</t>
        </is>
      </c>
      <c r="E47" s="12" t="inlineStr">
        <is>
          <t>Open point of the FRS (FR-RN-010, 011): the requirement cannot be finalised or tested as BDOI intends until it is answered.</t>
        </is>
      </c>
      <c r="F47" s="12" t="n"/>
      <c r="G47" s="12" t="inlineStr">
        <is>
          <t>FRS BRD-06 v2.0, Open questions RQ04 (affects FR-RN-010, 011); Discrepancy and clarification register v1.2, open question RQ04; baseline BRRN.002/030</t>
        </is>
      </c>
      <c r="H47" s="12" t="inlineStr">
        <is>
          <t>Product Owner, Renewal</t>
        </is>
      </c>
      <c r="I47" s="37" t="n">
        <v>46356</v>
      </c>
      <c r="J47" s="12" t="inlineStr">
        <is>
          <t>Medium</t>
        </is>
      </c>
      <c r="K47" s="38" t="inlineStr">
        <is>
          <t>Open</t>
        </is>
      </c>
      <c r="L47" s="12" t="n"/>
      <c r="M47" s="12" t="n"/>
    </row>
    <row r="48">
      <c r="A48" s="12" t="inlineStr">
        <is>
          <t>RQ09</t>
        </is>
      </c>
      <c r="B48" s="12" t="inlineStr">
        <is>
          <t>BRD-06 Renewal</t>
        </is>
      </c>
      <c r="C48" s="12" t="inlineStr">
        <is>
          <t>Configuration value</t>
        </is>
      </c>
      <c r="D48" s="12" t="inlineStr">
        <is>
          <t>Outstanding balance: Threshold and scope for the outstanding-balance flag: which invoices (the expiring one, the whole client, all years)? Who may override, and is it one level (TL)?</t>
        </is>
      </c>
      <c r="E48" s="12" t="inlineStr">
        <is>
          <t>Open point of the FRS (FR-RN-051): the requirement cannot be finalised or tested as BDOI intends until it is answered.</t>
        </is>
      </c>
      <c r="F48" s="12" t="n"/>
      <c r="G48" s="12" t="inlineStr">
        <is>
          <t>FRS BRD-06 v2.0, Open questions RQ09 (affects FR-RN-051); Discrepancy and clarification register v1.2, open question RQ09; baseline 1.011, BRRN.031</t>
        </is>
      </c>
      <c r="H48" s="12" t="inlineStr">
        <is>
          <t>Product Owner, Renewal</t>
        </is>
      </c>
      <c r="I48" s="37" t="n">
        <v>46356</v>
      </c>
      <c r="J48" s="12" t="inlineStr">
        <is>
          <t>Medium</t>
        </is>
      </c>
      <c r="K48" s="38" t="inlineStr">
        <is>
          <t>Open</t>
        </is>
      </c>
      <c r="L48" s="12" t="n"/>
      <c r="M48" s="12" t="n"/>
    </row>
    <row r="49">
      <c r="A49" s="12" t="inlineStr">
        <is>
          <t>RQ15</t>
        </is>
      </c>
      <c r="B49" s="12" t="inlineStr">
        <is>
          <t>BRD-06 Renewal</t>
        </is>
      </c>
      <c r="C49" s="12" t="inlineStr">
        <is>
          <t>Configuration value</t>
        </is>
      </c>
      <c r="D49" s="12" t="inlineStr">
        <is>
          <t>Insurer response: Layout of the insurer's dispositioned file; response codes; insurer reference; cut-off for "late" responses; is Reject followed by another insurer (re-marketing) or Not for Renewal?</t>
        </is>
      </c>
      <c r="E49" s="12" t="inlineStr">
        <is>
          <t>Open point of the FRS (FR-RN-070, 071): the requirement cannot be finalised or tested as BDOI intends until it is answered.</t>
        </is>
      </c>
      <c r="F49" s="12" t="n"/>
      <c r="G49" s="12" t="inlineStr">
        <is>
          <t>FRS BRD-06 v2.0, Open questions RQ15 (affects FR-RN-070, 071); Discrepancy and clarification register v1.2, open question RQ15; baseline 3.009.6, BRRN.035</t>
        </is>
      </c>
      <c r="H49" s="12" t="inlineStr">
        <is>
          <t>Product Owner, Renewal</t>
        </is>
      </c>
      <c r="I49" s="37" t="n">
        <v>46356</v>
      </c>
      <c r="J49" s="12" t="inlineStr">
        <is>
          <t>Medium</t>
        </is>
      </c>
      <c r="K49" s="38" t="inlineStr">
        <is>
          <t>Open</t>
        </is>
      </c>
      <c r="L49" s="12" t="n"/>
      <c r="M49" s="12" t="n"/>
    </row>
    <row r="50">
      <c r="A50" s="12" t="inlineStr">
        <is>
          <t>RQ23</t>
        </is>
      </c>
      <c r="B50" s="12" t="inlineStr">
        <is>
          <t>BRD-06 Renewal</t>
        </is>
      </c>
      <c r="C50" s="12" t="inlineStr">
        <is>
          <t>Report layout</t>
        </is>
      </c>
      <c r="D50" s="12" t="inlineStr">
        <is>
          <t>Paid-off loans: After LAMD reports a fully paid loan, is the account Not for Renewal (reason "Loan fully paid"), or offered as a non-mortgaged renewal to the client? RMU: tag or route to Corporate RMU, and who decides?</t>
        </is>
      </c>
      <c r="E50" s="12" t="inlineStr">
        <is>
          <t>Open point of the FRS (FR-RN-025): the requirement cannot be finalised or tested as BDOI intends until it is answered.</t>
        </is>
      </c>
      <c r="F50" s="12" t="n"/>
      <c r="G50" s="12" t="inlineStr">
        <is>
          <t>FRS BRD-06 v2.0, Open questions RQ23 (affects FR-RN-025); Discrepancy and clarification register v1.2, open question RQ23; baseline BRRN.029, 2.004.4</t>
        </is>
      </c>
      <c r="H50" s="12" t="inlineStr">
        <is>
          <t>Product Owner, Renewal</t>
        </is>
      </c>
      <c r="I50" s="37" t="n">
        <v>46356</v>
      </c>
      <c r="J50" s="12" t="inlineStr">
        <is>
          <t>Medium</t>
        </is>
      </c>
      <c r="K50" s="38" t="inlineStr">
        <is>
          <t>Open</t>
        </is>
      </c>
      <c r="L50" s="12" t="n"/>
      <c r="M50" s="12" t="n"/>
    </row>
    <row r="51">
      <c r="A51" s="12" t="inlineStr">
        <is>
          <t>RQ25</t>
        </is>
      </c>
      <c r="B51" s="12" t="inlineStr">
        <is>
          <t>BRD-06 Renewal</t>
        </is>
      </c>
      <c r="C51" s="12" t="inlineStr">
        <is>
          <t>Configuration value</t>
        </is>
      </c>
      <c r="D51" s="12" t="inlineStr">
        <is>
          <t>Financial impact: Tolerance for "financial impact" (any change, or above an amount or %); does a revised insurer premium on renew-as-is terms need the NB path or only explicit client acceptance?</t>
        </is>
      </c>
      <c r="E51" s="12" t="inlineStr">
        <is>
          <t>Open point of the FRS (FR-RN-048, 064): the requirement cannot be finalised or tested as BDOI intends until it is answered.</t>
        </is>
      </c>
      <c r="F51" s="12" t="n"/>
      <c r="G51" s="12" t="inlineStr">
        <is>
          <t>FRS BRD-06 v2.0, Open questions RQ25 (affects FR-RN-048, 064); Discrepancy and clarification register v1.2, open question RQ25; baseline BRRN.038/033</t>
        </is>
      </c>
      <c r="H51" s="12" t="inlineStr">
        <is>
          <t>Product Owner, Renewal</t>
        </is>
      </c>
      <c r="I51" s="37" t="n">
        <v>46356</v>
      </c>
      <c r="J51" s="12" t="inlineStr">
        <is>
          <t>Medium</t>
        </is>
      </c>
      <c r="K51" s="38" t="inlineStr">
        <is>
          <t>Open</t>
        </is>
      </c>
      <c r="L51" s="12" t="n"/>
      <c r="M51" s="12" t="n"/>
    </row>
    <row r="52">
      <c r="A52" s="12" t="inlineStr">
        <is>
          <t>OOS-1</t>
        </is>
      </c>
      <c r="B52" s="12" t="inlineStr">
        <is>
          <t>BRD-06 Renewal</t>
        </is>
      </c>
      <c r="C52" s="12" t="inlineStr">
        <is>
          <t>Clarification</t>
        </is>
      </c>
      <c r="D52" s="12" t="inlineStr">
        <is>
          <t>Renewal overrides deferred by BRD-1</t>
        </is>
      </c>
      <c r="E52" s="12" t="inlineStr">
        <is>
          <t>Open point of the FRS (FR-RN-051): the requirement cannot be finalised or tested as BDOI intends until it is answered.</t>
        </is>
      </c>
      <c r="F52" s="12" t="n"/>
      <c r="G52" s="12" t="inlineStr">
        <is>
          <t>FRS BRD-06 v2.0, Open questions OOS-1 (affects FR-RN-051)</t>
        </is>
      </c>
      <c r="H52" s="12" t="inlineStr">
        <is>
          <t>Product Owner, Renewal</t>
        </is>
      </c>
      <c r="I52" s="37" t="n">
        <v>46356</v>
      </c>
      <c r="J52" s="12" t="inlineStr">
        <is>
          <t>Medium</t>
        </is>
      </c>
      <c r="K52" s="38" t="inlineStr">
        <is>
          <t>Answered</t>
        </is>
      </c>
      <c r="L52" s="12" t="n"/>
      <c r="M52" s="12" t="n"/>
    </row>
    <row r="53">
      <c r="A53" s="12" t="inlineStr">
        <is>
          <t>RQ31</t>
        </is>
      </c>
      <c r="B53" s="12" t="inlineStr">
        <is>
          <t>BRD-06 Renewal</t>
        </is>
      </c>
      <c r="C53" s="12" t="inlineStr">
        <is>
          <t>Clarification</t>
        </is>
      </c>
      <c r="D53" s="12" t="inlineStr">
        <is>
          <t>KYC at renewal: blocking (annex KYC-01 to 06) or visibility only (BRRN.028)</t>
        </is>
      </c>
      <c r="E53" s="12" t="inlineStr">
        <is>
          <t>Open point of the FRS (FR-RN-026): the requirement cannot be finalised or tested as BDOI intends until it is answered.</t>
        </is>
      </c>
      <c r="F53" s="12" t="n"/>
      <c r="G53" s="12" t="inlineStr">
        <is>
          <t>FRS BRD-06 v2.0, Open questions RQ31 (affects FR-RN-026)</t>
        </is>
      </c>
      <c r="H53" s="12" t="inlineStr">
        <is>
          <t>Product Owner, Renewal</t>
        </is>
      </c>
      <c r="I53" s="37" t="n">
        <v>46356</v>
      </c>
      <c r="J53" s="12" t="inlineStr">
        <is>
          <t>Medium</t>
        </is>
      </c>
      <c r="K53" s="38" t="inlineStr">
        <is>
          <t>Open</t>
        </is>
      </c>
      <c r="L53" s="12" t="n"/>
      <c r="M53" s="12" t="inlineStr">
        <is>
          <t>Answer so far: CLR-RN-30.</t>
        </is>
      </c>
    </row>
    <row r="54">
      <c r="A54" s="12" t="inlineStr">
        <is>
          <t>RQ32</t>
        </is>
      </c>
      <c r="B54" s="12" t="inlineStr">
        <is>
          <t>BRD-06 Renewal</t>
        </is>
      </c>
      <c r="C54" s="12" t="inlineStr">
        <is>
          <t>Clarification</t>
        </is>
      </c>
      <c r="D54" s="12" t="inlineStr">
        <is>
          <t>Who requests the hold cover of a renewal; durations</t>
        </is>
      </c>
      <c r="E54" s="12" t="inlineStr">
        <is>
          <t>Open point of the FRS (FR-RN-086): the requirement cannot be finalised or tested as BDOI intends until it is answered.</t>
        </is>
      </c>
      <c r="F54" s="12" t="n"/>
      <c r="G54" s="12" t="inlineStr">
        <is>
          <t>FRS BRD-06 v2.0, Open questions RQ32 (affects FR-RN-086)</t>
        </is>
      </c>
      <c r="H54" s="12" t="inlineStr">
        <is>
          <t>Product Owner, Renewal</t>
        </is>
      </c>
      <c r="I54" s="37" t="n">
        <v>46356</v>
      </c>
      <c r="J54" s="12" t="inlineStr">
        <is>
          <t>Medium</t>
        </is>
      </c>
      <c r="K54" s="38" t="inlineStr">
        <is>
          <t>Open</t>
        </is>
      </c>
      <c r="L54" s="12" t="n"/>
      <c r="M54" s="12" t="inlineStr">
        <is>
          <t>Answer so far: CLR-RN-36.</t>
        </is>
      </c>
    </row>
    <row r="55">
      <c r="A55" s="12" t="inlineStr">
        <is>
          <t>RQ33</t>
        </is>
      </c>
      <c r="B55" s="12" t="inlineStr">
        <is>
          <t>BRD-06 Renewal</t>
        </is>
      </c>
      <c r="C55" s="12" t="inlineStr">
        <is>
          <t>Clarification</t>
        </is>
      </c>
      <c r="D55" s="12" t="inlineStr">
        <is>
          <t>Incentive criteria and the shared evaluation with New Business (Q33)</t>
        </is>
      </c>
      <c r="E55" s="12" t="inlineStr">
        <is>
          <t>Open point of the FRS (FR-RN-087): the requirement cannot be finalised or tested as BDOI intends until it is answered.</t>
        </is>
      </c>
      <c r="F55" s="12" t="n"/>
      <c r="G55" s="12" t="inlineStr">
        <is>
          <t>FRS BRD-06 v2.0, Open questions RQ33 (affects FR-RN-087)</t>
        </is>
      </c>
      <c r="H55" s="12" t="inlineStr">
        <is>
          <t>Product Owner, Renewal</t>
        </is>
      </c>
      <c r="I55" s="37" t="n">
        <v>46356</v>
      </c>
      <c r="J55" s="12" t="inlineStr">
        <is>
          <t>Medium</t>
        </is>
      </c>
      <c r="K55" s="38" t="inlineStr">
        <is>
          <t>Open</t>
        </is>
      </c>
      <c r="L55" s="12" t="n"/>
      <c r="M55" s="12" t="inlineStr">
        <is>
          <t>Answer so far: CLR-RN-37.</t>
        </is>
      </c>
    </row>
    <row r="56">
      <c r="A56" s="12" t="inlineStr">
        <is>
          <t>DCR-066</t>
        </is>
      </c>
      <c r="B56" s="12" t="inlineStr">
        <is>
          <t>BRD-06 Renewal</t>
        </is>
      </c>
      <c r="C56" s="12" t="inlineStr">
        <is>
          <t>Business rule confirmation</t>
        </is>
      </c>
      <c r="D56" s="12" t="inlineStr">
        <is>
          <t>Confirm the Processing Officer profile and that RA encryption applies to Processing Officers.</t>
        </is>
      </c>
      <c r="E56" s="12" t="inlineStr">
        <is>
          <t>In the Processing Officer section the requirement reads "Log in with a Operations Team Leader user profile" and the result "Processing Team Leader user profile". The RA encryption item (x.010.7.1) exists for the other personas but not for the Processing Officer, although BRRN.010 applies to all. System: role of the Processing Officer; RA protection. Test: access and encryption cases.</t>
        </is>
      </c>
      <c r="F56" s="12" t="inlineStr">
        <is>
          <t>Processing Officer logs in with its own profile; RA encryption applies to every persona (BRRN.010).</t>
        </is>
      </c>
      <c r="G56" s="12" t="inlineStr">
        <is>
          <t>Discrepancy and clarification register v1.2, DCR-066 (Contradiction within BRD); BRD 4.001.1.1 (p.148); 4.09.x (p.177-178); BRRN.010</t>
        </is>
      </c>
      <c r="H56" s="12" t="inlineStr">
        <is>
          <t>Marketing and Processing - Renewal (RMEL)</t>
        </is>
      </c>
      <c r="I56" s="37" t="n">
        <v>46356</v>
      </c>
      <c r="J56" s="12" t="inlineStr">
        <is>
          <t>Medium</t>
        </is>
      </c>
      <c r="K56" s="38" t="inlineStr">
        <is>
          <t>Open</t>
        </is>
      </c>
      <c r="L56" s="12" t="n"/>
      <c r="M56" s="12" t="n"/>
    </row>
    <row r="57">
      <c r="A57" s="12" t="inlineStr">
        <is>
          <t>DCR-069</t>
        </is>
      </c>
      <c r="B57" s="12" t="inlineStr">
        <is>
          <t>BRD-06 Renewal</t>
        </is>
      </c>
      <c r="C57" s="12" t="inlineStr">
        <is>
          <t>Clarification</t>
        </is>
      </c>
      <c r="D57" s="12" t="inlineStr">
        <is>
          <t>Please add the approval e-mail to the pack.</t>
        </is>
      </c>
      <c r="E57" s="12" t="inlineStr">
        <is>
          <t>The Unit Head Combank / Corbank approved the main BRD "with email approval (see attached)"; the e-mail is not in the pack. The Head of Comptrollership line is blank (p.189). Governance: approval evidence incomplete.</t>
        </is>
      </c>
      <c r="F57" s="12" t="inlineStr">
        <is>
          <t>None for the system.</t>
        </is>
      </c>
      <c r="G57" s="12" t="inlineStr">
        <is>
          <t>Discrepancy and clarification register v1.2, DCR-069 (Document quality); Main BRD approval (p.188)</t>
        </is>
      </c>
      <c r="H57" s="12" t="inlineStr">
        <is>
          <t>Marketing and Processing - Renewal (RMEL)</t>
        </is>
      </c>
      <c r="I57" s="37" t="n">
        <v>46356</v>
      </c>
      <c r="J57" s="12" t="inlineStr">
        <is>
          <t>Medium</t>
        </is>
      </c>
      <c r="K57" s="38" t="inlineStr">
        <is>
          <t>Open</t>
        </is>
      </c>
      <c r="L57" s="12" t="n"/>
      <c r="M57" s="12" t="n"/>
    </row>
    <row r="58">
      <c r="A58" s="12" t="inlineStr">
        <is>
          <t>DCR-061</t>
        </is>
      </c>
      <c r="B58" s="12" t="inlineStr">
        <is>
          <t>BRD-06 Renewal</t>
        </is>
      </c>
      <c r="C58" s="12" t="inlineStr">
        <is>
          <t>Business rule confirmation</t>
        </is>
      </c>
      <c r="D58" s="12" t="inlineStr">
        <is>
          <t>Please confirm that the signed text is final and remove the notes in the next revision.</t>
        </is>
      </c>
      <c r="E58" s="12" t="inlineStr">
        <is>
          <t>Working notes are left in the signed main BRD: "Discussed - 11/20/2025" (p.58), "Start here - next meeting" (p.76), "Type text here" (p.78), "Resume here" (p.84). None on the system; shows the text was edited after the May 2025 signature.</t>
        </is>
      </c>
      <c r="F58" s="12" t="inlineStr">
        <is>
          <t>None.</t>
        </is>
      </c>
      <c r="G58" s="12" t="inlineStr">
        <is>
          <t>Discrepancy and clarification register v1.2, DCR-061 (Document quality); BRD 1.009.1 (p.58), BRD 1.010.1 (p.76), BRD 1.011.1 (p.78), BRD 2.005.1 (p.84)</t>
        </is>
      </c>
      <c r="H58" s="12" t="inlineStr">
        <is>
          <t>Marketing and Processing - Renewal (RMEL)</t>
        </is>
      </c>
      <c r="I58" s="37" t="n">
        <v>46356</v>
      </c>
      <c r="J58" s="12" t="inlineStr">
        <is>
          <t>Low</t>
        </is>
      </c>
      <c r="K58" s="38" t="inlineStr">
        <is>
          <t>Open</t>
        </is>
      </c>
      <c r="L58" s="12" t="n"/>
      <c r="M58" s="12" t="n"/>
    </row>
    <row r="59">
      <c r="A59" s="12" t="inlineStr">
        <is>
          <t>DCR-065</t>
        </is>
      </c>
      <c r="B59" s="12" t="inlineStr">
        <is>
          <t>BRD-06 Renewal</t>
        </is>
      </c>
      <c r="C59" s="12" t="inlineStr">
        <is>
          <t>Report layout</t>
        </is>
      </c>
      <c r="D59" s="12" t="inlineStr">
        <is>
          <t>Requirement IDs 1.003.4.1.1.21-24 are all labelled "1.21"; labels of 3.003.4.1.8-21 restart at 1.2; RA IDs use "4.09.x" instead of "4.009.x"; section "XI. Generate Renewal Advice" follows "VIII. Generate Report" (IX and X missing). None; correct in the next revision.</t>
        </is>
      </c>
      <c r="E59" s="12" t="inlineStr">
        <is>
          <t>Requirement IDs 1.003.4.1.1.21-24 are all labelled "1.21"; labels of 3.003.4.1.8-21 restart at 1.2; RA IDs use "4.09.x" instead of "4.009.x"; section "XI. Generate Renewal Advice" follows "VIII. Generate Report" (IX and X missing). Traceability of the expiring-list columns and RA rows.</t>
        </is>
      </c>
      <c r="F59" s="12" t="inlineStr">
        <is>
          <t>Baseline numbers the rows in page order.</t>
        </is>
      </c>
      <c r="G59" s="12" t="inlineStr">
        <is>
          <t>Discrepancy and clarification register v1.2, DCR-065 (Data / numbering issue); 1.003.4.1.1.21-24 (p.49-50); 3.003.4.1.8-21 (p.112-114); RA IDs 4.09.x (p.177-178); sections VIII / XI (p.145, p.177)</t>
        </is>
      </c>
      <c r="H59" s="12" t="inlineStr">
        <is>
          <t>Marketing and Processing - Renewal (RMEL)</t>
        </is>
      </c>
      <c r="I59" s="37" t="n">
        <v>46356</v>
      </c>
      <c r="J59" s="12" t="inlineStr">
        <is>
          <t>Low</t>
        </is>
      </c>
      <c r="K59" s="38" t="inlineStr">
        <is>
          <t>Open</t>
        </is>
      </c>
      <c r="L59" s="12" t="n"/>
      <c r="M59" s="12" t="n"/>
    </row>
    <row r="60">
      <c r="A60" s="12" t="inlineStr">
        <is>
          <t>DCR-068</t>
        </is>
      </c>
      <c r="B60" s="12" t="inlineStr">
        <is>
          <t>BRD-06 Renewal</t>
        </is>
      </c>
      <c r="C60" s="12" t="inlineStr">
        <is>
          <t>Business rule confirmation</t>
        </is>
      </c>
      <c r="D60" s="12" t="inlineStr">
        <is>
          <t>Confirm the recipient of a returned account (3.008.2.5).</t>
        </is>
      </c>
      <c r="E60" s="12" t="inlineStr">
        <is>
          <t>Wording slips: "Transfer to account to other units" (1.006); "processing office (PO)" (3.005.1); 3.008.2.5 title "Return to the assigned Marketing TL" but result "Marketing AO or Marketing TL"; BRRN.002 cites source "BRD 3.003.4.1.1", an EBIX column that Addendum 1 puts out of scope. Minor; 3.008.2.5 recipient needs confirming.</t>
        </is>
      </c>
      <c r="F60" s="12" t="inlineStr">
        <is>
          <t>Return to the AO or TL who last handled the account.</t>
        </is>
      </c>
      <c r="G60" s="12" t="inlineStr">
        <is>
          <t>Discrepancy and clarification register v1.2, DCR-068 (Document quality); BRD 1.006 (p.54); 3.005.1 (p.117); 3.008.2.5; Addendum 1 BRRN.002 sources (p.22)</t>
        </is>
      </c>
      <c r="H60" s="12" t="inlineStr">
        <is>
          <t>Marketing and Processing - Renewal (RMEL)</t>
        </is>
      </c>
      <c r="I60" s="37" t="n">
        <v>46356</v>
      </c>
      <c r="J60" s="12" t="inlineStr">
        <is>
          <t>Low</t>
        </is>
      </c>
      <c r="K60" s="38" t="inlineStr">
        <is>
          <t>Open</t>
        </is>
      </c>
      <c r="L60" s="12" t="n"/>
      <c r="M60" s="12" t="n"/>
    </row>
    <row r="61">
      <c r="A61" s="12" t="inlineStr">
        <is>
          <t>DCR-076</t>
        </is>
      </c>
      <c r="B61" s="12" t="inlineStr">
        <is>
          <t>BRD-06 Renewal</t>
        </is>
      </c>
      <c r="C61" s="12" t="inlineStr">
        <is>
          <t>Clarification</t>
        </is>
      </c>
      <c r="D61" s="12" t="inlineStr">
        <is>
          <t>The Renewal workshop addendum table is titled "Table of New Business Requirements" (p.4). Addendum 1 pages are headed "Renewal Addendum" while the approval text says "RMEL Phase 2 - Online Dispositioning request". None; correct in the next revision.</t>
        </is>
      </c>
      <c r="E61" s="12" t="inlineStr">
        <is>
          <t>The Renewal workshop addendum table is titled "Table of New Business Requirements" (p.4). Addendum 1 pages are headed "Renewal Addendum" while the approval text says "RMEL Phase 2 - Online Dispositioning request". None on the system.</t>
        </is>
      </c>
      <c r="F61" s="12" t="inlineStr">
        <is>
          <t>None.</t>
        </is>
      </c>
      <c r="G61" s="12" t="inlineStr">
        <is>
          <t>Discrepancy and clarification register v1.2, DCR-076 (Document quality); Workshop addendum heading (p.4); Addendum 1 page header vs approval text (p.19-38)</t>
        </is>
      </c>
      <c r="H61" s="12" t="inlineStr">
        <is>
          <t>Marketing and Processing - Renewal (RMEL)</t>
        </is>
      </c>
      <c r="I61" s="37" t="n">
        <v>46356</v>
      </c>
      <c r="J61" s="12" t="inlineStr">
        <is>
          <t>Low</t>
        </is>
      </c>
      <c r="K61" s="38" t="inlineStr">
        <is>
          <t>Open</t>
        </is>
      </c>
      <c r="L61" s="12" t="n"/>
      <c r="M61" s="12" t="n"/>
    </row>
    <row r="62">
      <c r="A62" s="12" t="inlineStr">
        <is>
          <t>DCR-077</t>
        </is>
      </c>
      <c r="B62" s="12" t="inlineStr">
        <is>
          <t>BRD-06 Renewal</t>
        </is>
      </c>
      <c r="C62" s="12" t="inlineStr">
        <is>
          <t>Clarification</t>
        </is>
      </c>
      <c r="D62" s="12" t="inlineStr">
        <is>
          <t>Please provide the process flow and the source IDs of BRRN.020-040.</t>
        </is>
      </c>
      <c r="E62" s="12" t="inlineStr">
        <is>
          <t>Main BRD rows carry a "Process Step" (1-6) but the process flow they refer to is not in the pack. The workshop addendum leaves "Source BRD ID" empty for BRRN.020-040. Traceability of BRRN.020-040 to the persona steps is inferred.</t>
        </is>
      </c>
      <c r="F62" s="12" t="inlineStr">
        <is>
          <t>Mapping in the Renewal spec, section 4.</t>
        </is>
      </c>
      <c r="G62" s="12" t="inlineStr">
        <is>
          <t>Discrepancy and clarification register v1.2, DCR-077 (Gap / missing detail); Main BRD rows, column "Process Step" (p.44-185); workshop addendum "Source BRD ID" column (p.4-15)</t>
        </is>
      </c>
      <c r="H62" s="12" t="inlineStr">
        <is>
          <t>Marketing and Processing - Renewal (RMEL)</t>
        </is>
      </c>
      <c r="I62" s="37" t="n">
        <v>46356</v>
      </c>
      <c r="J62" s="12" t="inlineStr">
        <is>
          <t>Low</t>
        </is>
      </c>
      <c r="K62" s="38" t="inlineStr">
        <is>
          <t>Open</t>
        </is>
      </c>
      <c r="L62" s="12" t="n"/>
      <c r="M62" s="12" t="n"/>
    </row>
    <row r="63">
      <c r="A63" s="12" t="inlineStr">
        <is>
          <t>SO-06-2</t>
        </is>
      </c>
      <c r="B63" s="12" t="inlineStr">
        <is>
          <t>BRD-06 Renewal</t>
        </is>
      </c>
      <c r="C63" s="12" t="inlineStr">
        <is>
          <t>Sign-off</t>
        </is>
      </c>
      <c r="D63" s="12" t="inlineStr">
        <is>
          <t>Approve the test plan of BRD-06 Renewal.</t>
        </is>
      </c>
      <c r="E63" s="12" t="inlineStr">
        <is>
          <t>The signed document fixes the scope for the next step of the plan; a late sign-off moves the dates that follow it.</t>
        </is>
      </c>
      <c r="F63" s="12" t="n"/>
      <c r="G63" s="12" t="inlineStr">
        <is>
          <t>Project plan v1.0 (8-Oct-2026), sign-offs and milestones</t>
        </is>
      </c>
      <c r="H63" s="12" t="inlineStr">
        <is>
          <t>Product Owner, Renewal</t>
        </is>
      </c>
      <c r="I63" s="37" t="n">
        <v>46374</v>
      </c>
      <c r="J63" s="12" t="inlineStr">
        <is>
          <t>High</t>
        </is>
      </c>
      <c r="K63" s="38" t="inlineStr">
        <is>
          <t>Open</t>
        </is>
      </c>
      <c r="L63" s="12" t="n"/>
      <c r="M63" s="12" t="n"/>
    </row>
    <row r="64">
      <c r="A64" s="12" t="inlineStr">
        <is>
          <t>CLR-RN-02</t>
        </is>
      </c>
      <c r="B64" s="12" t="inlineStr">
        <is>
          <t>BRD-06 Renewal</t>
        </is>
      </c>
      <c r="C64" s="12" t="inlineStr">
        <is>
          <t>Integration detail</t>
        </is>
      </c>
      <c r="D64" s="12" t="inlineStr">
        <is>
          <t>Log-in: Confirm the sign-in until the directory interface is given.</t>
        </is>
      </c>
      <c r="E64" s="12" t="inlineStr">
        <is>
          <t>Cross-BRD decisions D5 and D6.</t>
        </is>
      </c>
      <c r="F64" s="12" t="inlineStr">
        <is>
          <t>The BIBS sign-in applies, with an account lock after 3 failed attempts for all users; directory sign-in (BDO EUA / Windows ID) is added when BDO supplies the interface.</t>
        </is>
      </c>
      <c r="G64" s="12" t="inlineStr">
        <is>
          <t>FRS BRD-06 v2.0, Proposed business rules and clarifications; BRD x.001; FR-RN-001</t>
        </is>
      </c>
      <c r="H64" s="12" t="inlineStr">
        <is>
          <t>BDOI IT with the Product Owner, Renewal</t>
        </is>
      </c>
      <c r="I64" s="37" t="n">
        <v>46418</v>
      </c>
      <c r="J64" s="12" t="inlineStr">
        <is>
          <t>Medium</t>
        </is>
      </c>
      <c r="K64" s="38" t="inlineStr">
        <is>
          <t>Open</t>
        </is>
      </c>
      <c r="L64" s="12" t="n"/>
      <c r="M64" s="12" t="n"/>
    </row>
    <row r="65">
      <c r="A65" s="12" t="inlineStr">
        <is>
          <t>TD-06</t>
        </is>
      </c>
      <c r="B65" s="12" t="inlineStr">
        <is>
          <t>BRD-06 Renewal</t>
        </is>
      </c>
      <c r="C65" s="12" t="inlineStr">
        <is>
          <t>Test data</t>
        </is>
      </c>
      <c r="D65" s="12" t="inlineStr">
        <is>
          <t>Name the UAT testers of BRD-06 Renewal (at least two per business unit, with their user IDs and group profiles) and provide the business data of the UAT scenarios: the clients, policies, insurers and amounts each scenario of the test plan uses, from the migrated data of Trial migration 3 or as additional cases.</t>
        </is>
      </c>
      <c r="E65" s="12" t="inlineStr">
        <is>
          <t>UAT of Drop 1 runs on migrated data and the production values; testers without access or scenarios without data stop the UAT.</t>
        </is>
      </c>
      <c r="F65" s="12" t="inlineStr">
        <is>
          <t>The test plan (04 workbook of the set) names the scenarios; the BDOI testers choose the cases from the migrated data and add the cases the legacy data does not hold.</t>
        </is>
      </c>
      <c r="G65" s="12" t="inlineStr">
        <is>
          <t>Project plan: dependency DEP-20 (UAT testers), milestone MS-20 (UAT plans, values for UAT and testers, 16-Jul-2027)</t>
        </is>
      </c>
      <c r="H65" s="12" t="inlineStr">
        <is>
          <t>Product Owner, Renewal (UAT testers of the business units)</t>
        </is>
      </c>
      <c r="I65" s="37" t="n">
        <v>46584</v>
      </c>
      <c r="J65" s="12" t="inlineStr">
        <is>
          <t>High</t>
        </is>
      </c>
      <c r="K65" s="38" t="inlineStr">
        <is>
          <t>Open</t>
        </is>
      </c>
      <c r="L65" s="12" t="n"/>
      <c r="M65" s="12" t="n"/>
    </row>
    <row r="66">
      <c r="A66" s="12" t="inlineStr">
        <is>
          <t>CFG-124</t>
        </is>
      </c>
      <c r="B66" s="12" t="inlineStr">
        <is>
          <t>BRD-06 Renewal</t>
        </is>
      </c>
      <c r="C66" s="12" t="inlineStr">
        <is>
          <t>Configuration value</t>
        </is>
      </c>
      <c r="D66" s="12" t="inlineStr">
        <is>
          <t>Renewal buckets and decision matrix: The renewal bucket rules, the decision matrix and the non-renewable risk codes</t>
        </is>
      </c>
      <c r="E66" s="12" t="inlineStr">
        <is>
          <t>Needed for: Values for UAT (UAT plans and sign-off forms due 16-Jul-2027; UAT Aug - Dec 2027 runs on the production values).</t>
        </is>
      </c>
      <c r="F66" s="12" t="inlineStr">
        <is>
          <t>Configured on the screen Client &amp; Policy › Renewal › Renewal Setup (sheet Configured on screens of the Master Data and Configuration Upload Templates workbook).</t>
        </is>
      </c>
      <c r="G66" s="12" t="inlineStr">
        <is>
          <t>Drop 0 configuration register CFG-124 (Drop 0 Configuration Inputs v2.0, area Module rules and set-up)</t>
        </is>
      </c>
      <c r="H66" s="12" t="inlineStr">
        <is>
          <t>Product Owner, Renewal</t>
        </is>
      </c>
      <c r="I66" s="37" t="n">
        <v>46584</v>
      </c>
      <c r="J66" s="12" t="inlineStr">
        <is>
          <t>Medium</t>
        </is>
      </c>
      <c r="K66" s="38" t="inlineStr">
        <is>
          <t>Open</t>
        </is>
      </c>
      <c r="L66" s="12" t="n"/>
      <c r="M66" s="12" t="n"/>
    </row>
    <row r="67">
      <c r="A67" s="12" t="inlineStr">
        <is>
          <t>DOC-08</t>
        </is>
      </c>
      <c r="B67" s="12" t="inlineStr">
        <is>
          <t>BRD-06 Renewal</t>
        </is>
      </c>
      <c r="C67" s="12" t="inlineStr">
        <is>
          <t>Sample document or template</t>
        </is>
      </c>
      <c r="D67" s="12" t="inlineStr">
        <is>
          <t>Documents of Renewal: give the BDOI layout, logo placement and wording of the 10 documents BIBS generates (Renewal account details - {{renewalRef}}; Renewals for your decision - batch {{batchNo}}; Notice on your policy {{policyNo}}; Your policy {{policyNo}} will not be renewed; Your policy {{policyNo}} has expired; Reminder: renewal of your policy {{policyNo}}; Renewal Advice (first year free) - {{assuredName}} - policy {{policyNo}}; Renewal Advice - {{assuredName}} - policy {{policyNo}}; Second notice: Renewal Advice - {{assuredName}} - policy {{policyNo}}; Follow-up on the renewal of your mortgaged property - policy {{policyNo}}), as a filled-in sample of each.</t>
        </is>
      </c>
      <c r="E67" s="12" t="inlineStr">
        <is>
          <t>BIBS generates each document from its template; without the BDOI layout the documents keep the proposed layout in SIT and UAT.</t>
        </is>
      </c>
      <c r="F67" s="12" t="inlineStr">
        <is>
          <t>The proposed layouts are reviewed on the Document Templates screen; BDOI marks the changes on a printout or sends its current form.</t>
        </is>
      </c>
      <c r="G67" s="12" t="inlineStr">
        <is>
          <t>Document templates of the platform (Drop 0 Configuration Inputs, Ref Document templates); configuration register CFG-082</t>
        </is>
      </c>
      <c r="H67" s="12" t="inlineStr">
        <is>
          <t>Product Owner, Renewal</t>
        </is>
      </c>
      <c r="I67" s="37" t="n">
        <v>46584</v>
      </c>
      <c r="J67" s="12" t="inlineStr">
        <is>
          <t>Medium</t>
        </is>
      </c>
      <c r="K67" s="38" t="inlineStr">
        <is>
          <t>Open</t>
        </is>
      </c>
      <c r="L67" s="12" t="n"/>
      <c r="M67" s="12" t="inlineStr">
        <is>
          <t>Review sheet Document templates of the Master Data and Configuration Upload Templates workbook.</t>
        </is>
      </c>
    </row>
    <row r="68">
      <c r="A68" s="12" t="inlineStr">
        <is>
          <t>SO-06-3</t>
        </is>
      </c>
      <c r="B68" s="12" t="inlineStr">
        <is>
          <t>BRD-06 Renewal</t>
        </is>
      </c>
      <c r="C68" s="12" t="inlineStr">
        <is>
          <t>Sign-off</t>
        </is>
      </c>
      <c r="D68" s="12" t="inlineStr">
        <is>
          <t>Sign the UAT sign-off certificate of BRD-06 Renewal.</t>
        </is>
      </c>
      <c r="E68" s="12" t="inlineStr">
        <is>
          <t>The signed document fixes the scope for the next step of the plan; a late sign-off moves the dates that follow it.</t>
        </is>
      </c>
      <c r="F68" s="12" t="n"/>
      <c r="G68" s="12" t="inlineStr">
        <is>
          <t>Project plan v1.0 (8-Oct-2026), sign-offs and milestones</t>
        </is>
      </c>
      <c r="H68" s="12" t="inlineStr">
        <is>
          <t>Product Owner, Renewal; BIBS Product Owner</t>
        </is>
      </c>
      <c r="I68" s="37" t="n">
        <v>46738</v>
      </c>
      <c r="J68" s="12" t="inlineStr">
        <is>
          <t>High</t>
        </is>
      </c>
      <c r="K68" s="38" t="inlineStr">
        <is>
          <t>Open</t>
        </is>
      </c>
      <c r="L68" s="12" t="n"/>
      <c r="M68" s="12" t="n"/>
    </row>
  </sheetData>
  <autoFilter ref="A4:M68"/>
  <mergeCells count="1">
    <mergeCell ref="A2:M2"/>
  </mergeCells>
  <conditionalFormatting sqref="K5:K568">
    <cfRule type="cellIs" priority="1" operator="equal" dxfId="0" stopIfTrue="1">
      <formula>"Open"</formula>
    </cfRule>
    <cfRule type="cellIs" priority="2" operator="equal" dxfId="1" stopIfTrue="1">
      <formula>"Answered"</formula>
    </cfRule>
  </conditionalFormatting>
  <conditionalFormatting sqref="A5:M568">
    <cfRule type="expression" priority="3" dxfId="2">
      <formula>AND(MOD(ROW(),2)=0,$A5&lt;&gt;"")</formula>
    </cfRule>
  </conditionalFormatting>
  <conditionalFormatting sqref="K5:K569">
    <cfRule type="cellIs" priority="4" operator="equal" dxfId="3" stopIfTrue="1">
      <formula>"Partly answered"</formula>
    </cfRule>
  </conditionalFormatting>
  <dataValidations count="3">
    <dataValidation sqref="C5:C568" showDropDown="0" showInputMessage="0" showErrorMessage="1" allowBlank="1" errorTitle="Type" error="Choose a value from the list (Type)." type="list">
      <formula1>'_lists'!$S$1:$S$10</formula1>
    </dataValidation>
    <dataValidation sqref="J5:J568" showDropDown="0" showInputMessage="0" showErrorMessage="1" allowBlank="1" errorTitle="Priority" error="Choose a value from the list (Priority)." type="list">
      <formula1>'_lists'!$T$1:$T$3</formula1>
    </dataValidation>
    <dataValidation sqref="K5:K568" showDropDown="0" showInputMessage="0" showErrorMessage="1" allowBlank="1" errorTitle="Status" error="Choose a value from the list (Status)." type="list">
      <formula1>'_lists'!$U$1:$U$3</formula1>
    </dataValidation>
  </dataValidations>
  <printOptions horizontalCentered="1"/>
  <pageMargins left="0.4" right="0.4" top="0.6" bottom="0.6" header="0.5" footer="0.5"/>
  <pageSetup orientation="landscape" paperSize="1" fitToHeight="0" fitToWidth="1"/>
  <headerFooter>
    <oddHeader>&amp;L&amp;8 &amp;K004EA8BDOI Requirements and Inputs by BRD&amp;R&amp;8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M4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6" customWidth="1" min="3" max="3"/>
    <col width="60" customWidth="1" min="4" max="4"/>
    <col width="46" customWidth="1" min="5" max="5"/>
    <col width="46" customWidth="1" min="6" max="6"/>
    <col width="40" customWidth="1" min="7" max="7"/>
    <col width="26" customWidth="1" min="8" max="8"/>
    <col width="12" customWidth="1" min="9" max="9"/>
    <col width="10" customWidth="1" min="10" max="10"/>
    <col width="14" customWidth="1" min="11" max="11"/>
    <col width="40" customWidth="1" min="12" max="12"/>
    <col width="34" customWidth="1" min="13" max="13"/>
  </cols>
  <sheetData>
    <row r="1" ht="24" customHeight="1">
      <c r="A1" s="34" t="inlineStr">
        <is>
          <t>BRD-07 Claims</t>
        </is>
      </c>
    </row>
    <row r="2">
      <c r="A2" s="21" t="inlineStr">
        <is>
          <t>BRD-07 Claims: what BDOI provides; owner Product Owner, Claims</t>
        </is>
      </c>
    </row>
    <row r="3" ht="6" customHeight="1">
      <c r="A3" s="35" t="n"/>
      <c r="B3" s="35" t="n"/>
      <c r="C3" s="35" t="n"/>
      <c r="D3" s="35" t="n"/>
      <c r="E3" s="35" t="n"/>
      <c r="F3" s="35" t="n"/>
      <c r="G3" s="35" t="n"/>
      <c r="H3" s="35" t="n"/>
      <c r="I3" s="35" t="n"/>
      <c r="J3" s="35" t="n"/>
      <c r="K3" s="35" t="n"/>
      <c r="L3" s="35" t="n"/>
      <c r="M3" s="35" t="n"/>
    </row>
    <row r="4" ht="30" customHeight="1">
      <c r="A4" s="36" t="inlineStr">
        <is>
          <t>Ref</t>
        </is>
      </c>
      <c r="B4" s="36" t="inlineStr">
        <is>
          <t>BRD / module</t>
        </is>
      </c>
      <c r="C4" s="36" t="inlineStr">
        <is>
          <t>Type</t>
        </is>
      </c>
      <c r="D4" s="36" t="inlineStr">
        <is>
          <t>What we need from BDOI</t>
        </is>
      </c>
      <c r="E4" s="36" t="inlineStr">
        <is>
          <t>Why / impact if not provided</t>
        </is>
      </c>
      <c r="F4" s="36" t="inlineStr">
        <is>
          <t>Our proposal (if any)</t>
        </is>
      </c>
      <c r="G4" s="36" t="inlineStr">
        <is>
          <t>Source (FRS section / CLR / BRD page)</t>
        </is>
      </c>
      <c r="H4" s="36" t="inlineStr">
        <is>
          <t>BDOI owner (role)</t>
        </is>
      </c>
      <c r="I4" s="36" t="inlineStr">
        <is>
          <t>Needed by</t>
        </is>
      </c>
      <c r="J4" s="36" t="inlineStr">
        <is>
          <t>Priority</t>
        </is>
      </c>
      <c r="K4" s="36" t="inlineStr">
        <is>
          <t>Status</t>
        </is>
      </c>
      <c r="L4" s="36" t="inlineStr">
        <is>
          <t>BDOI response</t>
        </is>
      </c>
      <c r="M4" s="36" t="inlineStr">
        <is>
          <t>Remarks</t>
        </is>
      </c>
    </row>
    <row r="5">
      <c r="A5" s="12" t="inlineStr">
        <is>
          <t>CLR-CM-03</t>
        </is>
      </c>
      <c r="B5" s="12" t="inlineStr">
        <is>
          <t>BRD-07 Claims</t>
        </is>
      </c>
      <c r="C5" s="12" t="inlineStr">
        <is>
          <t>Configuration value</t>
        </is>
      </c>
      <c r="D5" s="12" t="inlineStr">
        <is>
          <t>Requested type of settlement: Confirm the outcomes and give the status values (CLQ05).</t>
        </is>
      </c>
      <c r="E5" s="12" t="inlineStr">
        <is>
          <t>The BRD lists the values without their effect; the separate "Settlement Type Status" list (p.30) has no values (CLQ05).</t>
        </is>
      </c>
      <c r="F5" s="12" t="inlineStr">
        <is>
          <t>The values are outcomes; each carries whether it closes the claim and whether it needs a settlement amount and date. The Unit Head maintains them with maker-checker.</t>
        </is>
      </c>
      <c r="G5" s="12" t="inlineStr">
        <is>
          <t>FRS BRD-07 v1.1, Proposed business rules and clarifications; BRCLM.014; FR-CM-043; also raised as CLQ05 (open question), DCR-078 (register item)</t>
        </is>
      </c>
      <c r="H5" s="12" t="inlineStr">
        <is>
          <t>Claims and Risk Management</t>
        </is>
      </c>
      <c r="I5" s="37" t="n">
        <v>46444</v>
      </c>
      <c r="J5" s="12" t="inlineStr">
        <is>
          <t>High</t>
        </is>
      </c>
      <c r="K5" s="38" t="inlineStr">
        <is>
          <t>Open</t>
        </is>
      </c>
      <c r="L5" s="12" t="n"/>
      <c r="M5" s="12" t="n"/>
    </row>
    <row r="6">
      <c r="A6" s="12" t="inlineStr">
        <is>
          <t>CLQ01</t>
        </is>
      </c>
      <c r="B6" s="12" t="inlineStr">
        <is>
          <t>BRD-07 Claims</t>
        </is>
      </c>
      <c r="C6" s="12" t="inlineStr">
        <is>
          <t>Clarification</t>
        </is>
      </c>
      <c r="D6" s="12" t="inlineStr">
        <is>
          <t>Authorization code: What is the "Claims Authorization Code" (an EBIX function, a code sent to the insurer, an internal approval)? When and by whom is it generated? Does "unpaid" mean any unpaid invoice of the policy year, only the invoice covering the loss date, or also unpaid endorsements? Partly paid and installment accounts? Direct-payment accounts (premium paid to the insurer)? May a TL / TH override the block with a reason?</t>
        </is>
      </c>
      <c r="E6" s="12" t="inlineStr">
        <is>
          <t>Open point of the FRS (FR-CM-016): the requirement cannot be finalised or tested as BDOI intends until it is answered.</t>
        </is>
      </c>
      <c r="F6" s="12" t="inlineStr">
        <is>
          <t>Block when the invoice covering the loss date has an outstanding balance, with TL / TH override and reason.</t>
        </is>
      </c>
      <c r="G6" s="12" t="inlineStr">
        <is>
          <t>FRS BRD-07 v1.1, Open questions CLQ01 (affects FR-CM-016); Discrepancy and clarification register v1.2, open question CLQ01; baseline BRCLM.001, NFR 15.05; also raised as DCR-085 (register item)</t>
        </is>
      </c>
      <c r="H6" s="12" t="inlineStr">
        <is>
          <t>Claims and Risk Management</t>
        </is>
      </c>
      <c r="I6" s="37" t="n">
        <v>46444</v>
      </c>
      <c r="J6" s="12" t="inlineStr">
        <is>
          <t>High</t>
        </is>
      </c>
      <c r="K6" s="38" t="inlineStr">
        <is>
          <t>Open</t>
        </is>
      </c>
      <c r="L6" s="12" t="n"/>
      <c r="M6" s="12" t="n"/>
    </row>
    <row r="7">
      <c r="A7" s="12" t="inlineStr">
        <is>
          <t>SO-07-1</t>
        </is>
      </c>
      <c r="B7" s="12" t="inlineStr">
        <is>
          <t>BRD-07 Claims</t>
        </is>
      </c>
      <c r="C7" s="12" t="inlineStr">
        <is>
          <t>Sign-off</t>
        </is>
      </c>
      <c r="D7" s="12" t="inlineStr">
        <is>
          <t>Sign the FRS of BRD-07 Claims.</t>
        </is>
      </c>
      <c r="E7" s="12" t="inlineStr">
        <is>
          <t>The signed document fixes the scope for the next step of the plan; a late sign-off moves the dates that follow it.</t>
        </is>
      </c>
      <c r="F7" s="12" t="n"/>
      <c r="G7" s="12" t="inlineStr">
        <is>
          <t>Project plan v1.0 (8-Oct-2026), sign-offs and milestones</t>
        </is>
      </c>
      <c r="H7" s="12" t="inlineStr">
        <is>
          <t>Product Owner, Claims; Business Project Services</t>
        </is>
      </c>
      <c r="I7" s="37" t="n">
        <v>46444</v>
      </c>
      <c r="J7" s="12" t="inlineStr">
        <is>
          <t>High</t>
        </is>
      </c>
      <c r="K7" s="38" t="inlineStr">
        <is>
          <t>Open</t>
        </is>
      </c>
      <c r="L7" s="12" t="n"/>
      <c r="M7" s="12" t="n"/>
    </row>
    <row r="8">
      <c r="A8" s="12" t="inlineStr">
        <is>
          <t>CLR-CM-01</t>
        </is>
      </c>
      <c r="B8" s="12" t="inlineStr">
        <is>
          <t>BRD-07 Claims</t>
        </is>
      </c>
      <c r="C8" s="12" t="inlineStr">
        <is>
          <t>Business rule confirmation</t>
        </is>
      </c>
      <c r="D8" s="12" t="inlineStr">
        <is>
          <t>Claims module: Confirm the broker claims module.</t>
        </is>
      </c>
      <c r="E8" s="12" t="inlineStr">
        <is>
          <t>The BRD assumed an enhancement of the EBIX claims module; the insurer-side functions do not apply to a broker (Q44).</t>
        </is>
      </c>
      <c r="F8" s="12" t="inlineStr">
        <is>
          <t>Claims is a BIBS module for a broker: BDOI records the insurer's reserve and settlement as information and posts nothing.</t>
        </is>
      </c>
      <c r="G8" s="12" t="inlineStr">
        <is>
          <t>FRS BRD-07 v1.1, Proposed business rules and clarifications; p.25, assumption 1; also raised as Q44 (open question)</t>
        </is>
      </c>
      <c r="H8" s="12" t="inlineStr">
        <is>
          <t>Product Owner, Claims</t>
        </is>
      </c>
      <c r="I8" s="37" t="n">
        <v>46444</v>
      </c>
      <c r="J8" s="12" t="inlineStr">
        <is>
          <t>Medium</t>
        </is>
      </c>
      <c r="K8" s="38" t="inlineStr">
        <is>
          <t>Answered</t>
        </is>
      </c>
      <c r="L8" s="12" t="n"/>
      <c r="M8" s="12" t="inlineStr">
        <is>
          <t>Answer so far: Claims: insurer reserve and settlement are information only. Reinsurance is a BDOI business line whose BRD is phase 2; in phase 1 the insurer-side modules stay hidden. (BRD-7 BRCLM.023 / 024; BRD-00 goal 1, capability 15).</t>
        </is>
      </c>
    </row>
    <row r="9">
      <c r="A9" s="12" t="inlineStr">
        <is>
          <t>CLR-CM-02</t>
        </is>
      </c>
      <c r="B9" s="12" t="inlineStr">
        <is>
          <t>BRD-07 Claims</t>
        </is>
      </c>
      <c r="C9" s="12" t="inlineStr">
        <is>
          <t>Business rule confirmation</t>
        </is>
      </c>
      <c r="D9" s="12" t="inlineStr">
        <is>
          <t>Policy number: Confirm the copy from the account.</t>
        </is>
      </c>
      <c r="E9" s="12" t="inlineStr">
        <is>
          <t>The BRD describes an upload from EBIX (CLQ14).</t>
        </is>
      </c>
      <c r="F9" s="12" t="inlineStr">
        <is>
          <t>The policy number is copied from the BIBS account; there is no upload from EBIX. Legacy numbers enter through the migration.</t>
        </is>
      </c>
      <c r="G9" s="12" t="inlineStr">
        <is>
          <t>FRS BRD-07 v1.1, Proposed business rules and clarifications; BRCLM.007; FR-CM-013; also raised as CLQ14 (open question), DCR-081 (register item)</t>
        </is>
      </c>
      <c r="H9" s="12" t="inlineStr">
        <is>
          <t>Claims and Risk Management</t>
        </is>
      </c>
      <c r="I9" s="37" t="n">
        <v>46444</v>
      </c>
      <c r="J9" s="12" t="inlineStr">
        <is>
          <t>Medium</t>
        </is>
      </c>
      <c r="K9" s="38" t="inlineStr">
        <is>
          <t>Partly answered</t>
        </is>
      </c>
      <c r="L9" s="12" t="n"/>
      <c r="M9" s="12" t="inlineStr">
        <is>
          <t>Answer so far: Historical claims are not migrated (read-only legacy or archive); open claims not addressed (DMQ30). (BRD-13 p.3, BRID 11.1).</t>
        </is>
      </c>
    </row>
    <row r="10">
      <c r="A10" s="12" t="inlineStr">
        <is>
          <t>CLR-CM-04</t>
        </is>
      </c>
      <c r="B10" s="12" t="inlineStr">
        <is>
          <t>BRD-07 Claims</t>
        </is>
      </c>
      <c r="C10" s="12" t="inlineStr">
        <is>
          <t>Business rule confirmation</t>
        </is>
      </c>
      <c r="D10" s="12" t="inlineStr">
        <is>
          <t>Closures: Confirm the split (CLQ06).</t>
        </is>
      </c>
      <c r="E10" s="12" t="inlineStr">
        <is>
          <t>The BRD lets officers tag closures and TL / TH close (CLQ06).</t>
        </is>
      </c>
      <c r="F10" s="12" t="inlineStr">
        <is>
          <t>Officers set temporary closures; TL / TH close permanently.</t>
        </is>
      </c>
      <c r="G10" s="12" t="inlineStr">
        <is>
          <t>FRS BRD-07 v1.1, Proposed business rules and clarifications; BRCLM.005, 035; FR-CM-045; also raised as CLQ06 (open question), DCR-079 (register item)</t>
        </is>
      </c>
      <c r="H10" s="12" t="inlineStr">
        <is>
          <t>Claims and Risk Management</t>
        </is>
      </c>
      <c r="I10" s="37" t="n">
        <v>46444</v>
      </c>
      <c r="J10" s="12" t="inlineStr">
        <is>
          <t>Medium</t>
        </is>
      </c>
      <c r="K10" s="38" t="inlineStr">
        <is>
          <t>Open</t>
        </is>
      </c>
      <c r="L10" s="12" t="n"/>
      <c r="M10" s="12" t="n"/>
    </row>
    <row r="11">
      <c r="A11" s="12" t="inlineStr">
        <is>
          <t>CLR-CM-05</t>
        </is>
      </c>
      <c r="B11" s="12" t="inlineStr">
        <is>
          <t>BRD-07 Claims</t>
        </is>
      </c>
      <c r="C11" s="12" t="inlineStr">
        <is>
          <t>Clarification</t>
        </is>
      </c>
      <c r="D11" s="12" t="inlineStr">
        <is>
          <t>Status access matrix: Give the matrix (CLQ04).</t>
        </is>
      </c>
      <c r="E11" s="12" t="inlineStr">
        <is>
          <t>The allowed statuses per role and unit are open (CLQ04).</t>
        </is>
      </c>
      <c r="F11" s="12" t="inlineStr">
        <is>
          <t>The proposed default gives TL and TH every status and officers the newly filed and temporary closure statuses; the Unit Head maintains the matrix.</t>
        </is>
      </c>
      <c r="G11" s="12" t="inlineStr">
        <is>
          <t>FRS BRD-07 v1.1, Proposed business rules and clarifications; BRCLM.012, 013; FR-CM-041; also raised as CLQ04 (open question)</t>
        </is>
      </c>
      <c r="H11" s="12" t="inlineStr">
        <is>
          <t>Product Owner, Claims</t>
        </is>
      </c>
      <c r="I11" s="37" t="n">
        <v>46444</v>
      </c>
      <c r="J11" s="12" t="inlineStr">
        <is>
          <t>Medium</t>
        </is>
      </c>
      <c r="K11" s="38" t="inlineStr">
        <is>
          <t>Open</t>
        </is>
      </c>
      <c r="L11" s="12" t="n"/>
      <c r="M11" s="12" t="n"/>
    </row>
    <row r="12">
      <c r="A12" s="12" t="inlineStr">
        <is>
          <t>CLR-CM-06</t>
        </is>
      </c>
      <c r="B12" s="12" t="inlineStr">
        <is>
          <t>BRD-07 Claims</t>
        </is>
      </c>
      <c r="C12" s="12" t="inlineStr">
        <is>
          <t>Business rule confirmation</t>
        </is>
      </c>
      <c r="D12" s="12" t="inlineStr">
        <is>
          <t>Log-in and session: Confirm the sign-in and the idle timeout (CLQ24).</t>
        </is>
      </c>
      <c r="E12" s="12" t="inlineStr">
        <is>
          <t>Cross-BRD decisions D5 and D6; the Claims NFR asks for 15 minutes, which differs from other BRDs (CLQ24).</t>
        </is>
      </c>
      <c r="F12" s="12" t="inlineStr">
        <is>
          <t>The BIBS sign-in applies, with lockout after 3 attempts for every user; directory sign-in (Windows ID) is added when BDO supplies the interface. The idle timeout follows the BIBS session policy.</t>
        </is>
      </c>
      <c r="G12" s="12" t="inlineStr">
        <is>
          <t>FRS BRD-07 v1.1, Proposed business rules and clarifications; NFR 1.01, 10.01; FR-CM-001; also raised as CLQ24 (open question), DCR-080 (register item)</t>
        </is>
      </c>
      <c r="H12" s="12" t="inlineStr">
        <is>
          <t>Claims and Risk Management</t>
        </is>
      </c>
      <c r="I12" s="37" t="n">
        <v>46444</v>
      </c>
      <c r="J12" s="12" t="inlineStr">
        <is>
          <t>Medium</t>
        </is>
      </c>
      <c r="K12" s="38" t="inlineStr">
        <is>
          <t>Open</t>
        </is>
      </c>
      <c r="L12" s="12" t="n"/>
      <c r="M12" s="12" t="n"/>
    </row>
    <row r="13">
      <c r="A13" s="12" t="inlineStr">
        <is>
          <t>CLR-CM-07</t>
        </is>
      </c>
      <c r="B13" s="12" t="inlineStr">
        <is>
          <t>BRD-07 Claims</t>
        </is>
      </c>
      <c r="C13" s="12" t="inlineStr">
        <is>
          <t>Business rule confirmation</t>
        </is>
      </c>
      <c r="D13" s="12" t="inlineStr">
        <is>
          <t>Branch users: Confirm the data scope of branch users (CLQ27).</t>
        </is>
      </c>
      <c r="E13" s="12" t="inlineStr">
        <is>
          <t>Whether branch users see only their branch is open (CLQ27).</t>
        </is>
      </c>
      <c r="F13" s="12" t="inlineStr">
        <is>
          <t>All covers and claims are visible to the Claims roles, with no portfolio or branch restriction.</t>
        </is>
      </c>
      <c r="G13" s="12" t="inlineStr">
        <is>
          <t>FRS BRD-07 v1.1, Proposed business rules and clarifications; FR-CM-010; also raised as CLQ27 (open question)</t>
        </is>
      </c>
      <c r="H13" s="12" t="inlineStr">
        <is>
          <t>Product Owner, Claims</t>
        </is>
      </c>
      <c r="I13" s="37" t="n">
        <v>46444</v>
      </c>
      <c r="J13" s="12" t="inlineStr">
        <is>
          <t>Medium</t>
        </is>
      </c>
      <c r="K13" s="38" t="inlineStr">
        <is>
          <t>Open</t>
        </is>
      </c>
      <c r="L13" s="12" t="n"/>
      <c r="M13" s="12" t="n"/>
    </row>
    <row r="14">
      <c r="A14" s="12" t="inlineStr">
        <is>
          <t>CLR-CM-08</t>
        </is>
      </c>
      <c r="B14" s="12" t="inlineStr">
        <is>
          <t>BRD-07 Claims</t>
        </is>
      </c>
      <c r="C14" s="12" t="inlineStr">
        <is>
          <t>Business rule confirmation</t>
        </is>
      </c>
      <c r="D14" s="12" t="inlineStr">
        <is>
          <t>Insurer updates: Confirm that the optional upload is kept.</t>
        </is>
      </c>
      <c r="E14" s="12" t="inlineStr">
        <is>
          <t>The minutes of 27-Apr-2026 confirm manual recording; the BRD does not ask for the upload (CLQ17).</t>
        </is>
      </c>
      <c r="F14" s="12" t="inlineStr">
        <is>
          <t>Insurer updates are recorded by the handler; an optional upload of insurer claim numbers and updates is offered; there is no insurer portal or system feed.</t>
        </is>
      </c>
      <c r="G14" s="12" t="inlineStr">
        <is>
          <t>FRS BRD-07 v1.1, Proposed business rules and clarifications; BRCLM.041, 043; FR-CM-022; also raised as CLQ17 (open question), DCR-083 (register item)</t>
        </is>
      </c>
      <c r="H14" s="12" t="inlineStr">
        <is>
          <t>Claims and Risk Management</t>
        </is>
      </c>
      <c r="I14" s="37" t="n">
        <v>46444</v>
      </c>
      <c r="J14" s="12" t="inlineStr">
        <is>
          <t>Medium</t>
        </is>
      </c>
      <c r="K14" s="38" t="inlineStr">
        <is>
          <t>Partly answered</t>
        </is>
      </c>
      <c r="L14" s="12" t="n"/>
      <c r="M14" s="12" t="inlineStr">
        <is>
          <t>Answer so far: minutes: manual recording by Claims users; upload to confirm, CLR-CM-08.</t>
        </is>
      </c>
    </row>
    <row r="15">
      <c r="A15" s="12" t="inlineStr">
        <is>
          <t>CLR-CM-09</t>
        </is>
      </c>
      <c r="B15" s="12" t="inlineStr">
        <is>
          <t>BRD-07 Claims</t>
        </is>
      </c>
      <c r="C15" s="12" t="inlineStr">
        <is>
          <t>Business rule confirmation</t>
        </is>
      </c>
      <c r="D15" s="12" t="inlineStr">
        <is>
          <t>Claim money through BDOI: Confirm that BDOI handles no claim money (CLQ10).</t>
        </is>
      </c>
      <c r="E15" s="12" t="inlineStr">
        <is>
          <t>The BRD has no flow for claim money through BDOI (CLQ10).</t>
        </is>
      </c>
      <c r="F15" s="12" t="inlineStr">
        <is>
          <t>The insurer pays the assured or the repair shop; BDOI receives and pays no claim money. If BDOI handles proceeds, the Cashiering and Disbursement paths are used with a new receipt type and payee class.</t>
        </is>
      </c>
      <c r="G15" s="12" t="inlineStr">
        <is>
          <t>FRS BRD-07 v1.1, Proposed business rules and clarifications; BRCLM.010 status 12; section 7; also raised as CLQ10 (open question)</t>
        </is>
      </c>
      <c r="H15" s="12" t="inlineStr">
        <is>
          <t>Product Owner, Claims</t>
        </is>
      </c>
      <c r="I15" s="37" t="n">
        <v>46444</v>
      </c>
      <c r="J15" s="12" t="inlineStr">
        <is>
          <t>Medium</t>
        </is>
      </c>
      <c r="K15" s="38" t="inlineStr">
        <is>
          <t>Open</t>
        </is>
      </c>
      <c r="L15" s="12" t="n"/>
      <c r="M15" s="12" t="n"/>
    </row>
    <row r="16">
      <c r="A16" s="12" t="inlineStr">
        <is>
          <t>CLR-CM-10</t>
        </is>
      </c>
      <c r="B16" s="12" t="inlineStr">
        <is>
          <t>BRD-07 Claims</t>
        </is>
      </c>
      <c r="C16" s="12" t="inlineStr">
        <is>
          <t>Business rule confirmation</t>
        </is>
      </c>
      <c r="D16" s="12" t="inlineStr">
        <is>
          <t>Escalation: Confirm, or give the escalation rule.</t>
        </is>
      </c>
      <c r="E16" s="12" t="inlineStr">
        <is>
          <t>The BRD sets response times but no handling SLA or escalation.</t>
        </is>
      </c>
      <c r="F16" s="12" t="inlineStr">
        <is>
          <t>The follow-up date and the 90-day past due alert drive the monitoring; supervisors see overdue follow-ups on Claims Home; there is no escalation to the TL or UH.</t>
        </is>
      </c>
      <c r="G16" s="12" t="inlineStr">
        <is>
          <t>FRS BRD-07 v1.1, Proposed business rules and clarifications; section 5</t>
        </is>
      </c>
      <c r="H16" s="12" t="inlineStr">
        <is>
          <t>Product Owner, Claims</t>
        </is>
      </c>
      <c r="I16" s="37" t="n">
        <v>46444</v>
      </c>
      <c r="J16" s="12" t="inlineStr">
        <is>
          <t>Medium</t>
        </is>
      </c>
      <c r="K16" s="38" t="inlineStr">
        <is>
          <t>Open</t>
        </is>
      </c>
      <c r="L16" s="12" t="n"/>
      <c r="M16" s="12" t="n"/>
    </row>
    <row r="17">
      <c r="A17" s="12" t="inlineStr">
        <is>
          <t>CLR-CM-11</t>
        </is>
      </c>
      <c r="B17" s="12" t="inlineStr">
        <is>
          <t>BRD-07 Claims</t>
        </is>
      </c>
      <c r="C17" s="12" t="inlineStr">
        <is>
          <t>Clarification</t>
        </is>
      </c>
      <c r="D17" s="12" t="inlineStr">
        <is>
          <t>Migration of claims: Give the scope and format (CLQ14).</t>
        </is>
      </c>
      <c r="E17" s="12" t="inlineStr">
        <is>
          <t>The scope and format of the migration are open (CLQ14).</t>
        </is>
      </c>
      <c r="F17" s="12" t="inlineStr">
        <is>
          <t>Open and historical EBIX / ISYS claims are migrated with the source "migrated" and their legacy reference.</t>
        </is>
      </c>
      <c r="G17" s="12" t="inlineStr">
        <is>
          <t>FRS BRD-07 v1.1, Proposed business rules and clarifications; p.25; section 7</t>
        </is>
      </c>
      <c r="H17" s="12" t="inlineStr">
        <is>
          <t>Product Owner, Claims</t>
        </is>
      </c>
      <c r="I17" s="37" t="n">
        <v>46444</v>
      </c>
      <c r="J17" s="12" t="inlineStr">
        <is>
          <t>Medium</t>
        </is>
      </c>
      <c r="K17" s="38" t="inlineStr">
        <is>
          <t>Open</t>
        </is>
      </c>
      <c r="L17" s="12" t="n"/>
      <c r="M17" s="12" t="n"/>
    </row>
    <row r="18">
      <c r="A18" s="12" t="inlineStr">
        <is>
          <t>CLR-CM-12</t>
        </is>
      </c>
      <c r="B18" s="12" t="inlineStr">
        <is>
          <t>BRD-07 Claims</t>
        </is>
      </c>
      <c r="C18" s="12" t="inlineStr">
        <is>
          <t>Business rule confirmation</t>
        </is>
      </c>
      <c r="D18" s="12" t="inlineStr">
        <is>
          <t>Claims special remittance: Confirm the refusal (OQ46).</t>
        </is>
      </c>
      <c r="E18" s="12" t="inlineStr">
        <is>
          <t>Agreed with the Remittance owner (OQ46).</t>
        </is>
      </c>
      <c r="F18" s="12" t="inlineStr">
        <is>
          <t>Operations refuses a claims special remittance for an invoice without an eligible claim.</t>
        </is>
      </c>
      <c r="G18" s="12" t="inlineStr">
        <is>
          <t>FRS BRD-07 v1.1, Proposed business rules and clarifications; BRCLM.010; FR-CM-046</t>
        </is>
      </c>
      <c r="H18" s="12" t="inlineStr">
        <is>
          <t>Product Owner, Claims</t>
        </is>
      </c>
      <c r="I18" s="37" t="n">
        <v>46444</v>
      </c>
      <c r="J18" s="12" t="inlineStr">
        <is>
          <t>Medium</t>
        </is>
      </c>
      <c r="K18" s="38" t="inlineStr">
        <is>
          <t>Open</t>
        </is>
      </c>
      <c r="L18" s="12" t="n"/>
      <c r="M18" s="12" t="n"/>
    </row>
    <row r="19">
      <c r="A19" s="12" t="inlineStr">
        <is>
          <t>CLR-CM-13</t>
        </is>
      </c>
      <c r="B19" s="12" t="inlineStr">
        <is>
          <t>BRD-07 Claims</t>
        </is>
      </c>
      <c r="C19" s="12" t="inlineStr">
        <is>
          <t>Business rule confirmation</t>
        </is>
      </c>
      <c r="D19" s="12" t="inlineStr">
        <is>
          <t>Duplicate insurer claim numbers: Confirm that no exception is needed (for example an insurer that reuses numbers across years).</t>
        </is>
      </c>
      <c r="E19" s="12" t="inlineStr">
        <is>
          <t>The minutes of 27-Apr-2026 state that duplicate claim numbers for the same insurer are not allowed.</t>
        </is>
      </c>
      <c r="F19" s="12" t="inlineStr">
        <is>
          <t>An insurer claim number already recorded for the same insurer on another claim is refused; the same number of another insurer is accepted. Version 1.0 only warned.</t>
        </is>
      </c>
      <c r="G19" s="12" t="inlineStr">
        <is>
          <t>FRS BRD-07 v1.1, Proposed business rules and clarifications; BRCLM.043; FR-CM-021</t>
        </is>
      </c>
      <c r="H19" s="12" t="inlineStr">
        <is>
          <t>Product Owner, Claims</t>
        </is>
      </c>
      <c r="I19" s="37" t="n">
        <v>46444</v>
      </c>
      <c r="J19" s="12" t="inlineStr">
        <is>
          <t>Medium</t>
        </is>
      </c>
      <c r="K19" s="38" t="inlineStr">
        <is>
          <t>Open</t>
        </is>
      </c>
      <c r="L19" s="12" t="n"/>
      <c r="M19" s="12" t="n"/>
    </row>
    <row r="20">
      <c r="A20" s="12" t="inlineStr">
        <is>
          <t>CLR-CM-14</t>
        </is>
      </c>
      <c r="B20" s="12" t="inlineStr">
        <is>
          <t>BRD-07 Claims</t>
        </is>
      </c>
      <c r="C20" s="12" t="inlineStr">
        <is>
          <t>Business rule confirmation</t>
        </is>
      </c>
      <c r="D20" s="12" t="inlineStr">
        <is>
          <t>Latest cover version: Confirm that an endorsement effective after the loss date (for example a location added later) is used for the validation of the claim (CLQ02).</t>
        </is>
      </c>
      <c r="E20" s="12" t="inlineStr">
        <is>
          <t>The minutes of 27-Apr-2026 state that validation must always use the latest endorsement or cover version.</t>
        </is>
      </c>
      <c r="F20" s="12" t="inlineStr">
        <is>
          <t>Every validation of a claim uses the latest booked version of the policy year, including endorsements effective after the loss date, which are marked on the cover panel. Version 1.0 used the version in force at the loss date.</t>
        </is>
      </c>
      <c r="G20" s="12" t="inlineStr">
        <is>
          <t>FRS BRD-07 v1.1, Proposed business rules and clarifications; BRCLM.039; FR-CM-015; also raised as CLQ02 (open question)</t>
        </is>
      </c>
      <c r="H20" s="12" t="inlineStr">
        <is>
          <t>Product Owner, Claims</t>
        </is>
      </c>
      <c r="I20" s="37" t="n">
        <v>46444</v>
      </c>
      <c r="J20" s="12" t="inlineStr">
        <is>
          <t>Medium</t>
        </is>
      </c>
      <c r="K20" s="38" t="inlineStr">
        <is>
          <t>Partly answered</t>
        </is>
      </c>
      <c r="L20" s="12" t="n"/>
      <c r="M20" s="12" t="inlineStr">
        <is>
          <t>Answer so far: minutes of 27-Apr-2026: latest version; CLR-CM-14.</t>
        </is>
      </c>
    </row>
    <row r="21">
      <c r="A21" s="12" t="inlineStr">
        <is>
          <t>CLR-CM-15</t>
        </is>
      </c>
      <c r="B21" s="12" t="inlineStr">
        <is>
          <t>BRD-07 Claims</t>
        </is>
      </c>
      <c r="C21" s="12" t="inlineStr">
        <is>
          <t>Business rule confirmation</t>
        </is>
      </c>
      <c r="D21" s="12" t="inlineStr">
        <is>
          <t>Marketing loss summary: Confirm the loss summary on the account page.</t>
        </is>
      </c>
      <c r="E21" s="12" t="inlineStr">
        <is>
          <t>The minutes say that no new report is required; the account-page summary goes slightly beyond the existing reports.</t>
        </is>
      </c>
      <c r="F21" s="12" t="inlineStr">
        <is>
          <t>Marketing sees loss information read-only through the Loss Experience, Loss Ratio and Claims Aging reports, and the account page shows a loss summary of the account.</t>
        </is>
      </c>
      <c r="G21" s="12" t="inlineStr">
        <is>
          <t>FRS BRD-07 v1.1, Proposed business rules and clarifications; BRCLM.040; FR-CM-065</t>
        </is>
      </c>
      <c r="H21" s="12" t="inlineStr">
        <is>
          <t>Product Owner, Claims</t>
        </is>
      </c>
      <c r="I21" s="37" t="n">
        <v>46444</v>
      </c>
      <c r="J21" s="12" t="inlineStr">
        <is>
          <t>Medium</t>
        </is>
      </c>
      <c r="K21" s="38" t="inlineStr">
        <is>
          <t>Open</t>
        </is>
      </c>
      <c r="L21" s="12" t="n"/>
      <c r="M21" s="12" t="n"/>
    </row>
    <row r="22">
      <c r="A22" s="12" t="inlineStr">
        <is>
          <t>CLQ03</t>
        </is>
      </c>
      <c r="B22" s="12" t="inlineStr">
        <is>
          <t>BRD-07 Claims</t>
        </is>
      </c>
      <c r="C22" s="12" t="inlineStr">
        <is>
          <t>Configuration value</t>
        </is>
      </c>
      <c r="D22" s="12" t="inlineStr">
        <is>
          <t>Reported date: Meaning of "maintain the Reported Date only": is it the date the loss was reported to BDOI or to the insurer; may it be corrected, by whom; is it the start of every ageing?</t>
        </is>
      </c>
      <c r="E22" s="12" t="inlineStr">
        <is>
          <t>Open point of the FRS (FR-CM-012, 053): the requirement cannot be finalised or tested as BDOI intends until it is answered.</t>
        </is>
      </c>
      <c r="F22" s="12" t="n"/>
      <c r="G22" s="12" t="inlineStr">
        <is>
          <t>FRS BRD-07 v1.1, Open questions CLQ03 (affects FR-CM-012, 053); Discrepancy and clarification register v1.2, open question CLQ03; baseline BRCLM.004/025</t>
        </is>
      </c>
      <c r="H22" s="12" t="inlineStr">
        <is>
          <t>Product Owner, Claims</t>
        </is>
      </c>
      <c r="I22" s="37" t="n">
        <v>46444</v>
      </c>
      <c r="J22" s="12" t="inlineStr">
        <is>
          <t>Medium</t>
        </is>
      </c>
      <c r="K22" s="38" t="inlineStr">
        <is>
          <t>Open</t>
        </is>
      </c>
      <c r="L22" s="12" t="n"/>
      <c r="M22" s="12" t="n"/>
    </row>
    <row r="23">
      <c r="A23" s="12" t="inlineStr">
        <is>
          <t>CLQ07</t>
        </is>
      </c>
      <c r="B23" s="12" t="inlineStr">
        <is>
          <t>BRD-07 Claims</t>
        </is>
      </c>
      <c r="C23" s="12" t="inlineStr">
        <is>
          <t>Configuration value</t>
        </is>
      </c>
      <c r="D23" s="12" t="inlineStr">
        <is>
          <t>Follow-up and diary: How is the Next Follow-up Date computed (per status, fixed days)? Diary features expected: reminders, assignment to another handler, e-mail notification, private entries?</t>
        </is>
      </c>
      <c r="E23" s="12" t="inlineStr">
        <is>
          <t>Open point of the FRS (FR-CM-050, 052): the requirement cannot be finalised or tested as BDOI intends until it is answered.</t>
        </is>
      </c>
      <c r="F23" s="12" t="n"/>
      <c r="G23" s="12" t="inlineStr">
        <is>
          <t>FRS BRD-07 v1.1, Open questions CLQ07 (affects FR-CM-050, 052); Discrepancy and clarification register v1.2, open question CLQ07; baseline BRCLM.019-022/034</t>
        </is>
      </c>
      <c r="H23" s="12" t="inlineStr">
        <is>
          <t>Product Owner, Claims</t>
        </is>
      </c>
      <c r="I23" s="37" t="n">
        <v>46444</v>
      </c>
      <c r="J23" s="12" t="inlineStr">
        <is>
          <t>Medium</t>
        </is>
      </c>
      <c r="K23" s="38" t="inlineStr">
        <is>
          <t>Open</t>
        </is>
      </c>
      <c r="L23" s="12" t="n"/>
      <c r="M23" s="12" t="n"/>
    </row>
    <row r="24">
      <c r="A24" s="12" t="inlineStr">
        <is>
          <t>CLQ08</t>
        </is>
      </c>
      <c r="B24" s="12" t="inlineStr">
        <is>
          <t>BRD-07 Claims</t>
        </is>
      </c>
      <c r="C24" s="12" t="inlineStr">
        <is>
          <t>Clarification</t>
        </is>
      </c>
      <c r="D24" s="12" t="inlineStr">
        <is>
          <t>Insurer reserve: One reserve per claim or per insurer for co-insured claims? Is the O/S of the loss experience "reserve - paid" or "claim amount - paid" when no reserve is given? Do amendments need approval?</t>
        </is>
      </c>
      <c r="E24" s="12" t="inlineStr">
        <is>
          <t>Open point of the FRS (FR-CM-032, 062): the requirement cannot be finalised or tested as BDOI intends until it is answered.</t>
        </is>
      </c>
      <c r="F24" s="12" t="n"/>
      <c r="G24" s="12" t="inlineStr">
        <is>
          <t>FRS BRD-07 v1.1, Open questions CLQ08 (affects FR-CM-032, 062); Discrepancy and clarification register v1.2, open question CLQ08; baseline BRCLM.023/024/030</t>
        </is>
      </c>
      <c r="H24" s="12" t="inlineStr">
        <is>
          <t>Product Owner, Claims</t>
        </is>
      </c>
      <c r="I24" s="37" t="n">
        <v>46444</v>
      </c>
      <c r="J24" s="12" t="inlineStr">
        <is>
          <t>Medium</t>
        </is>
      </c>
      <c r="K24" s="38" t="inlineStr">
        <is>
          <t>Open</t>
        </is>
      </c>
      <c r="L24" s="12" t="n"/>
      <c r="M24" s="12" t="n"/>
    </row>
    <row r="25">
      <c r="A25" s="12" t="inlineStr">
        <is>
          <t>CLQ09</t>
        </is>
      </c>
      <c r="B25" s="12" t="inlineStr">
        <is>
          <t>BRD-07 Claims</t>
        </is>
      </c>
      <c r="C25" s="12" t="inlineStr">
        <is>
          <t>Clarification</t>
        </is>
      </c>
      <c r="D25" s="12" t="inlineStr">
        <is>
          <t>Amounts: Definitions of Claim Amount, Deductible, Settlement Amount and Date Settled; partial or several payments per claim; settlement per insurer</t>
        </is>
      </c>
      <c r="E25" s="12" t="inlineStr">
        <is>
          <t>Open point of the FRS (FR-CM-044, 061): the requirement cannot be finalised or tested as BDOI intends until it is answered.</t>
        </is>
      </c>
      <c r="F25" s="12" t="n"/>
      <c r="G25" s="12" t="inlineStr">
        <is>
          <t>FRS BRD-07 v1.1, Open questions CLQ09 (affects FR-CM-044, 061); Discrepancy and clarification register v1.2, open question CLQ09; baseline BRCLM.029-032, p.42</t>
        </is>
      </c>
      <c r="H25" s="12" t="inlineStr">
        <is>
          <t>Product Owner, Claims</t>
        </is>
      </c>
      <c r="I25" s="37" t="n">
        <v>46444</v>
      </c>
      <c r="J25" s="12" t="inlineStr">
        <is>
          <t>Medium</t>
        </is>
      </c>
      <c r="K25" s="38" t="inlineStr">
        <is>
          <t>Open</t>
        </is>
      </c>
      <c r="L25" s="12" t="n"/>
      <c r="M25" s="12" t="n"/>
    </row>
    <row r="26">
      <c r="A26" s="12" t="inlineStr">
        <is>
          <t>CLQ11</t>
        </is>
      </c>
      <c r="B26" s="12" t="inlineStr">
        <is>
          <t>BRD-07 Claims</t>
        </is>
      </c>
      <c r="C26" s="12" t="inlineStr">
        <is>
          <t>Decision</t>
        </is>
      </c>
      <c r="D26" s="12" t="inlineStr">
        <is>
          <t>Adjusters: Is a plain list enough, or are contacts and e-mail needed (notifications, formal loss advice copy)? Accreditation per insurer? Appraisers (motor) in the same list?</t>
        </is>
      </c>
      <c r="E26" s="12" t="inlineStr">
        <is>
          <t>Open point of the FRS (FR-CM-031): the requirement cannot be finalised or tested as BDOI intends until it is answered.</t>
        </is>
      </c>
      <c r="F26" s="12" t="n"/>
      <c r="G26" s="12" t="inlineStr">
        <is>
          <t>FRS BRD-07 v1.1, Open questions CLQ11 (affects FR-CM-031); Discrepancy and clarification register v1.2, open question CLQ11; baseline BRCLM.017/018</t>
        </is>
      </c>
      <c r="H26" s="12" t="inlineStr">
        <is>
          <t>Product Owner, Claims</t>
        </is>
      </c>
      <c r="I26" s="37" t="n">
        <v>46444</v>
      </c>
      <c r="J26" s="12" t="inlineStr">
        <is>
          <t>Medium</t>
        </is>
      </c>
      <c r="K26" s="38" t="inlineStr">
        <is>
          <t>Open</t>
        </is>
      </c>
      <c r="L26" s="12" t="n"/>
      <c r="M26" s="12" t="n"/>
    </row>
    <row r="27">
      <c r="A27" s="12" t="inlineStr">
        <is>
          <t>CLQ12</t>
        </is>
      </c>
      <c r="B27" s="12" t="inlineStr">
        <is>
          <t>BRD-07 Claims</t>
        </is>
      </c>
      <c r="C27" s="12" t="inlineStr">
        <is>
          <t>Report layout</t>
        </is>
      </c>
      <c r="D27" s="12" t="inlineStr">
        <is>
          <t>Codes: Values for Claim Type and Nature / Type of Loss (report fields); meaning of "CNR"; whether "Others" catastrophe needs a free-text event and whether events are named (e.g. typhoon name)</t>
        </is>
      </c>
      <c r="E27" s="12" t="inlineStr">
        <is>
          <t>Open point of the FRS (FR-CM-011; section 5.2): the requirement cannot be finalised or tested as BDOI intends until it is answered.</t>
        </is>
      </c>
      <c r="F27" s="12" t="inlineStr">
        <is>
          <t>None.</t>
        </is>
      </c>
      <c r="G27" s="12" t="inlineStr">
        <is>
          <t>FRS BRD-07 v1.1, Open questions CLQ12 (affects FR-CM-011; section 5.2); Discrepancy and clarification register v1.2, open question CLQ12; baseline BRCLM.010/036, p.42; also raised as DCR-082 (register item), DCR-160 (register item)</t>
        </is>
      </c>
      <c r="H27" s="12" t="inlineStr">
        <is>
          <t>Claims and Risk Management</t>
        </is>
      </c>
      <c r="I27" s="37" t="n">
        <v>46444</v>
      </c>
      <c r="J27" s="12" t="inlineStr">
        <is>
          <t>Medium</t>
        </is>
      </c>
      <c r="K27" s="38" t="inlineStr">
        <is>
          <t>Open</t>
        </is>
      </c>
      <c r="L27" s="12" t="n"/>
      <c r="M27" s="12" t="inlineStr">
        <is>
          <t>Also affects BRD-06, BRD-12.</t>
        </is>
      </c>
    </row>
    <row r="28">
      <c r="A28" s="12" t="inlineStr">
        <is>
          <t>CLQ13</t>
        </is>
      </c>
      <c r="B28" s="12" t="inlineStr">
        <is>
          <t>BRD-07 Claims</t>
        </is>
      </c>
      <c r="C28" s="12" t="inlineStr">
        <is>
          <t>Clarification</t>
        </is>
      </c>
      <c r="D28" s="12" t="inlineStr">
        <is>
          <t>Claim number: Format of the BDOI claim number (proposal BCL-&lt;yyyy&gt;-nnnnnn); keep EBIX / ISYS numbers of migrated claims as legacy references?</t>
        </is>
      </c>
      <c r="E28" s="12" t="inlineStr">
        <is>
          <t>Open point of the FRS (FR-CM-011): the requirement cannot be finalised or tested as BDOI intends until it is answered.</t>
        </is>
      </c>
      <c r="F28" s="12" t="n"/>
      <c r="G28" s="12" t="inlineStr">
        <is>
          <t>FRS BRD-07 v1.1, Open questions CLQ13 (affects FR-CM-011); Discrepancy and clarification register v1.2, open question CLQ13; baseline p.42</t>
        </is>
      </c>
      <c r="H28" s="12" t="inlineStr">
        <is>
          <t>Product Owner, Claims</t>
        </is>
      </c>
      <c r="I28" s="37" t="n">
        <v>46444</v>
      </c>
      <c r="J28" s="12" t="inlineStr">
        <is>
          <t>Medium</t>
        </is>
      </c>
      <c r="K28" s="38" t="inlineStr">
        <is>
          <t>Partly answered</t>
        </is>
      </c>
      <c r="L28" s="12" t="n"/>
      <c r="M28" s="12" t="inlineStr">
        <is>
          <t>Answer so far: Claims history stays in legacy or the archive; open claims not mentioned (DMQ30). (BRD-13 BRID 11.1).</t>
        </is>
      </c>
    </row>
    <row r="29">
      <c r="A29" s="12" t="inlineStr">
        <is>
          <t>CLQ15</t>
        </is>
      </c>
      <c r="B29" s="12" t="inlineStr">
        <is>
          <t>BRD-07 Claims</t>
        </is>
      </c>
      <c r="C29" s="12" t="inlineStr">
        <is>
          <t>Decision</t>
        </is>
      </c>
      <c r="D29" s="12" t="inlineStr">
        <is>
          <t>Marketing access: Which Marketing roles see loss information; all accounts or only their own portfolio / unit; which may export</t>
        </is>
      </c>
      <c r="E29" s="12" t="inlineStr">
        <is>
          <t>Open point of the FRS (FR-CM-065): the requirement cannot be finalised or tested as BDOI intends until it is answered.</t>
        </is>
      </c>
      <c r="F29" s="12" t="n"/>
      <c r="G29" s="12" t="inlineStr">
        <is>
          <t>FRS BRD-07 v1.1, Open questions CLQ15 (affects FR-CM-065); Discrepancy and clarification register v1.2, open question CLQ15; baseline BRCLM.040</t>
        </is>
      </c>
      <c r="H29" s="12" t="inlineStr">
        <is>
          <t>Product Owner, Claims</t>
        </is>
      </c>
      <c r="I29" s="37" t="n">
        <v>46444</v>
      </c>
      <c r="J29" s="12" t="inlineStr">
        <is>
          <t>Medium</t>
        </is>
      </c>
      <c r="K29" s="38" t="inlineStr">
        <is>
          <t>Partly answered</t>
        </is>
      </c>
      <c r="L29" s="12" t="n"/>
      <c r="M29" s="12" t="inlineStr">
        <is>
          <t>Answer so far: minutes: read-only through the existing reports, export as granted.</t>
        </is>
      </c>
    </row>
    <row r="30">
      <c r="A30" s="12" t="inlineStr">
        <is>
          <t>CLQ16</t>
        </is>
      </c>
      <c r="B30" s="12" t="inlineStr">
        <is>
          <t>BRD-07 Claims</t>
        </is>
      </c>
      <c r="C30" s="12" t="inlineStr">
        <is>
          <t>Configuration value</t>
        </is>
      </c>
      <c r="D30" s="12" t="inlineStr">
        <is>
          <t>Claims-prone areas: Granularity (exact location, barangay, city / municipality, province, region); period and threshold for "frequent"; mapping or hazard data (flood zones) expected?</t>
        </is>
      </c>
      <c r="E30" s="12" t="inlineStr">
        <is>
          <t>Open point of the FRS (FR-CM-063): the requirement cannot be finalised or tested as BDOI intends until it is answered.</t>
        </is>
      </c>
      <c r="F30" s="12" t="n"/>
      <c r="G30" s="12" t="inlineStr">
        <is>
          <t>FRS BRD-07 v1.1, Open questions CLQ16 (affects FR-CM-063); Discrepancy and clarification register v1.2, open question CLQ16; baseline BRCLM.038</t>
        </is>
      </c>
      <c r="H30" s="12" t="inlineStr">
        <is>
          <t>Product Owner, Claims</t>
        </is>
      </c>
      <c r="I30" s="37" t="n">
        <v>46444</v>
      </c>
      <c r="J30" s="12" t="inlineStr">
        <is>
          <t>Medium</t>
        </is>
      </c>
      <c r="K30" s="38" t="inlineStr">
        <is>
          <t>Open</t>
        </is>
      </c>
      <c r="L30" s="12" t="n"/>
      <c r="M30" s="12" t="n"/>
    </row>
    <row r="31">
      <c r="A31" s="12" t="inlineStr">
        <is>
          <t>CLQ18</t>
        </is>
      </c>
      <c r="B31" s="12" t="inlineStr">
        <is>
          <t>BRD-07 Claims</t>
        </is>
      </c>
      <c r="C31" s="12" t="inlineStr">
        <is>
          <t>Configuration value</t>
        </is>
      </c>
      <c r="D31" s="12" t="inlineStr">
        <is>
          <t>Insurer location references: Where do insurer location references come from (policy schedule, placement, the insurer at claim time)? One per insurer for co-insured risks? Should placement / issuance capture them rather than Claims?</t>
        </is>
      </c>
      <c r="E31" s="12" t="inlineStr">
        <is>
          <t>Open point of the FRS (FR-CM-020, 023): the requirement cannot be finalised or tested as BDOI intends until it is answered.</t>
        </is>
      </c>
      <c r="F31" s="12" t="n"/>
      <c r="G31" s="12" t="inlineStr">
        <is>
          <t>FRS BRD-07 v1.1, Open questions CLQ18 (affects FR-CM-020, 023); Discrepancy and clarification register v1.2, open question CLQ18; baseline BRCLM.042</t>
        </is>
      </c>
      <c r="H31" s="12" t="inlineStr">
        <is>
          <t>Product Owner, Claims</t>
        </is>
      </c>
      <c r="I31" s="37" t="n">
        <v>46444</v>
      </c>
      <c r="J31" s="12" t="inlineStr">
        <is>
          <t>Medium</t>
        </is>
      </c>
      <c r="K31" s="38" t="inlineStr">
        <is>
          <t>Open</t>
        </is>
      </c>
      <c r="L31" s="12" t="n"/>
      <c r="M31" s="12" t="n"/>
    </row>
    <row r="32">
      <c r="A32" s="12" t="inlineStr">
        <is>
          <t>CLQ19</t>
        </is>
      </c>
      <c r="B32" s="12" t="inlineStr">
        <is>
          <t>BRD-07 Claims</t>
        </is>
      </c>
      <c r="C32" s="12" t="inlineStr">
        <is>
          <t>Decision</t>
        </is>
      </c>
      <c r="D32" s="12" t="inlineStr">
        <is>
          <t>Multi-insurer incidents: Is the case co-insurance on one policy, several policies of one client (e.g. property and business interruption with different insurers), or both? Can one incident span several ARNs?</t>
        </is>
      </c>
      <c r="E32" s="12" t="inlineStr">
        <is>
          <t>Open point of the FRS (FR-CM-021): the requirement cannot be finalised or tested as BDOI intends until it is answered.</t>
        </is>
      </c>
      <c r="F32" s="12" t="n"/>
      <c r="G32" s="12" t="inlineStr">
        <is>
          <t>FRS BRD-07 v1.1, Open questions CLQ19 (affects FR-CM-021); Discrepancy and clarification register v1.2, open question CLQ19; baseline BRCLM.043</t>
        </is>
      </c>
      <c r="H32" s="12" t="inlineStr">
        <is>
          <t>Product Owner, Claims</t>
        </is>
      </c>
      <c r="I32" s="37" t="n">
        <v>46444</v>
      </c>
      <c r="J32" s="12" t="inlineStr">
        <is>
          <t>Medium</t>
        </is>
      </c>
      <c r="K32" s="38" t="inlineStr">
        <is>
          <t>Partly answered</t>
        </is>
      </c>
      <c r="L32" s="12" t="n"/>
      <c r="M32" s="12" t="inlineStr">
        <is>
          <t>Answer so far: minutes: grouping per client and per risk code; no duplicate number per insurer.</t>
        </is>
      </c>
    </row>
    <row r="33">
      <c r="A33" s="12" t="inlineStr">
        <is>
          <t>CLQ20</t>
        </is>
      </c>
      <c r="B33" s="12" t="inlineStr">
        <is>
          <t>BRD-07 Claims</t>
        </is>
      </c>
      <c r="C33" s="12" t="inlineStr">
        <is>
          <t>Clarification</t>
        </is>
      </c>
      <c r="D33" s="12" t="inlineStr">
        <is>
          <t>Loss ratio: Premium basis (gross with taxes, basic premium, net of cancellations; written vs earned), period basis (policy year, loss date, booking date) and grouping (client, account, product line, insurer, Marketing unit)</t>
        </is>
      </c>
      <c r="E33" s="12" t="inlineStr">
        <is>
          <t>Open point of the FRS (FR-CM-062): the requirement cannot be finalised or tested as BDOI intends until it is answered.</t>
        </is>
      </c>
      <c r="F33" s="12" t="n"/>
      <c r="G33" s="12" t="inlineStr">
        <is>
          <t>FRS BRD-07 v1.1, Open questions CLQ20 (affects FR-CM-062); Discrepancy and clarification register v1.2, open question CLQ20; baseline BRCLM.032</t>
        </is>
      </c>
      <c r="H33" s="12" t="inlineStr">
        <is>
          <t>Product Owner, Claims</t>
        </is>
      </c>
      <c r="I33" s="37" t="n">
        <v>46444</v>
      </c>
      <c r="J33" s="12" t="inlineStr">
        <is>
          <t>Medium</t>
        </is>
      </c>
      <c r="K33" s="38" t="inlineStr">
        <is>
          <t>Open</t>
        </is>
      </c>
      <c r="L33" s="12" t="n"/>
      <c r="M33" s="12" t="n"/>
    </row>
    <row r="34">
      <c r="A34" s="12" t="inlineStr">
        <is>
          <t>CLQ22</t>
        </is>
      </c>
      <c r="B34" s="12" t="inlineStr">
        <is>
          <t>BRD-07 Claims</t>
        </is>
      </c>
      <c r="C34" s="12" t="inlineStr">
        <is>
          <t>Sample document or template</t>
        </is>
      </c>
      <c r="D34" s="12" t="inlineStr">
        <is>
          <t>Notifications: NFR 15.14 counts e-mail notifications to the client, AO or insurer (50 per week). Which events notify whom, and the templates (PLA, formal loss advice, offer to the assured)?</t>
        </is>
      </c>
      <c r="E34" s="12" t="inlineStr">
        <is>
          <t>Open point of the FRS (FR-CM-024, 042): the requirement cannot be finalised or tested as BDOI intends until it is answered.</t>
        </is>
      </c>
      <c r="F34" s="12" t="n"/>
      <c r="G34" s="12" t="inlineStr">
        <is>
          <t>FRS BRD-07 v1.1, Open questions CLQ22 (affects FR-CM-024, 042); Discrepancy and clarification register v1.2, open question CLQ22; baseline NFR 15.14, p.24-26</t>
        </is>
      </c>
      <c r="H34" s="12" t="inlineStr">
        <is>
          <t>Product Owner, Claims</t>
        </is>
      </c>
      <c r="I34" s="37" t="n">
        <v>46444</v>
      </c>
      <c r="J34" s="12" t="inlineStr">
        <is>
          <t>Medium</t>
        </is>
      </c>
      <c r="K34" s="38" t="inlineStr">
        <is>
          <t>Open</t>
        </is>
      </c>
      <c r="L34" s="12" t="n"/>
      <c r="M34" s="12" t="n"/>
    </row>
    <row r="35">
      <c r="A35" s="12" t="inlineStr">
        <is>
          <t>CLQ23</t>
        </is>
      </c>
      <c r="B35" s="12" t="inlineStr">
        <is>
          <t>BRD-07 Claims</t>
        </is>
      </c>
      <c r="C35" s="12" t="inlineStr">
        <is>
          <t>Clarification</t>
        </is>
      </c>
      <c r="D35" s="12" t="inlineStr">
        <is>
          <t>Notice of loss intake: In the current process Marketing / branches prepare the PLA / CRF. Should the AO record the notice in BIBS (with Claims validating), or only Claims users?</t>
        </is>
      </c>
      <c r="E35" s="12" t="inlineStr">
        <is>
          <t>Open point of the FRS (FR-CM-011): the requirement cannot be finalised or tested as BDOI intends until it is answered.</t>
        </is>
      </c>
      <c r="F35" s="12" t="n"/>
      <c r="G35" s="12" t="inlineStr">
        <is>
          <t>FRS BRD-07 v1.1, Open questions CLQ23 (affects FR-CM-011); Discrepancy and clarification register v1.2, open question CLQ23; baseline p.24-25</t>
        </is>
      </c>
      <c r="H35" s="12" t="inlineStr">
        <is>
          <t>Product Owner, Claims</t>
        </is>
      </c>
      <c r="I35" s="37" t="n">
        <v>46444</v>
      </c>
      <c r="J35" s="12" t="inlineStr">
        <is>
          <t>Medium</t>
        </is>
      </c>
      <c r="K35" s="38" t="inlineStr">
        <is>
          <t>Open</t>
        </is>
      </c>
      <c r="L35" s="12" t="n"/>
      <c r="M35" s="12" t="n"/>
    </row>
    <row r="36">
      <c r="A36" s="12" t="inlineStr">
        <is>
          <t>CLQ25</t>
        </is>
      </c>
      <c r="B36" s="12" t="inlineStr">
        <is>
          <t>BRD-07 Claims</t>
        </is>
      </c>
      <c r="C36" s="12" t="inlineStr">
        <is>
          <t>Clarification</t>
        </is>
      </c>
      <c r="D36" s="12" t="inlineStr">
        <is>
          <t>Claimants: Third-party claimants (motor TP) and claimant contact details: is a name override enough, or a claimant record with contacts and payee details?</t>
        </is>
      </c>
      <c r="E36" s="12" t="inlineStr">
        <is>
          <t>Open point of the FRS (FR-CM-030): the requirement cannot be finalised or tested as BDOI intends until it is answered.</t>
        </is>
      </c>
      <c r="F36" s="12" t="n"/>
      <c r="G36" s="12" t="inlineStr">
        <is>
          <t>FRS BRD-07 v1.1, Open questions CLQ25 (affects FR-CM-030); Discrepancy and clarification register v1.2, open question CLQ25; baseline BRCLM.006</t>
        </is>
      </c>
      <c r="H36" s="12" t="inlineStr">
        <is>
          <t>Product Owner, Claims</t>
        </is>
      </c>
      <c r="I36" s="37" t="n">
        <v>46444</v>
      </c>
      <c r="J36" s="12" t="inlineStr">
        <is>
          <t>Medium</t>
        </is>
      </c>
      <c r="K36" s="38" t="inlineStr">
        <is>
          <t>Open</t>
        </is>
      </c>
      <c r="L36" s="12" t="n"/>
      <c r="M36" s="12" t="n"/>
    </row>
    <row r="37">
      <c r="A37" s="12" t="inlineStr">
        <is>
          <t>SO-07-2</t>
        </is>
      </c>
      <c r="B37" s="12" t="inlineStr">
        <is>
          <t>BRD-07 Claims</t>
        </is>
      </c>
      <c r="C37" s="12" t="inlineStr">
        <is>
          <t>Sign-off</t>
        </is>
      </c>
      <c r="D37" s="12" t="inlineStr">
        <is>
          <t>Approve the test plan of BRD-07 Claims.</t>
        </is>
      </c>
      <c r="E37" s="12" t="inlineStr">
        <is>
          <t>The signed document fixes the scope for the next step of the plan; a late sign-off moves the dates that follow it.</t>
        </is>
      </c>
      <c r="F37" s="12" t="n"/>
      <c r="G37" s="12" t="inlineStr">
        <is>
          <t>Project plan v1.0 (8-Oct-2026), sign-offs and milestones</t>
        </is>
      </c>
      <c r="H37" s="12" t="inlineStr">
        <is>
          <t>Product Owner, Claims</t>
        </is>
      </c>
      <c r="I37" s="37" t="n">
        <v>46568</v>
      </c>
      <c r="J37" s="12" t="inlineStr">
        <is>
          <t>High</t>
        </is>
      </c>
      <c r="K37" s="38" t="inlineStr">
        <is>
          <t>Open</t>
        </is>
      </c>
      <c r="L37" s="12" t="n"/>
      <c r="M37" s="12" t="n"/>
    </row>
    <row r="38">
      <c r="A38" s="12" t="inlineStr">
        <is>
          <t>TD-07</t>
        </is>
      </c>
      <c r="B38" s="12" t="inlineStr">
        <is>
          <t>BRD-07 Claims</t>
        </is>
      </c>
      <c r="C38" s="12" t="inlineStr">
        <is>
          <t>Test data</t>
        </is>
      </c>
      <c r="D38" s="12" t="inlineStr">
        <is>
          <t>Name the UAT testers of BRD-07 Claims (at least two per business unit, with their user IDs and group profiles) and provide the business data of the UAT scenarios: the clients, policies, insurers and amounts each scenario of the test plan uses, from the migrated data of Trial migration 3 or as additional cases.</t>
        </is>
      </c>
      <c r="E38" s="12" t="inlineStr">
        <is>
          <t>UAT of Drop 2 runs on migrated data and the production values; testers without access or scenarios without data stop the UAT.</t>
        </is>
      </c>
      <c r="F38" s="12" t="inlineStr">
        <is>
          <t>The test plan (04 workbook of the set) names the scenarios; the BDOI testers choose the cases from the migrated data and add the cases the legacy data does not hold.</t>
        </is>
      </c>
      <c r="G38" s="12" t="inlineStr">
        <is>
          <t>Project plan: dependency DEP-20 (UAT testers), milestone MS-20 (UAT plans, values for UAT and testers, 16-Jul-2027)</t>
        </is>
      </c>
      <c r="H38" s="12" t="inlineStr">
        <is>
          <t>Product Owner, Claims (UAT testers of the business units)</t>
        </is>
      </c>
      <c r="I38" s="37" t="n">
        <v>46584</v>
      </c>
      <c r="J38" s="12" t="inlineStr">
        <is>
          <t>High</t>
        </is>
      </c>
      <c r="K38" s="38" t="inlineStr">
        <is>
          <t>Open</t>
        </is>
      </c>
      <c r="L38" s="12" t="n"/>
      <c r="M38" s="12" t="n"/>
    </row>
    <row r="39">
      <c r="A39" s="12" t="inlineStr">
        <is>
          <t>CFG-104</t>
        </is>
      </c>
      <c r="B39" s="12" t="inlineStr">
        <is>
          <t>BRD-07 Claims</t>
        </is>
      </c>
      <c r="C39" s="12" t="inlineStr">
        <is>
          <t>Configuration value</t>
        </is>
      </c>
      <c r="D39" s="12" t="inlineStr">
        <is>
          <t>Insurer location references (claims): The claim location references of each insurer, entered or uploaded on Insurer Location References</t>
        </is>
      </c>
      <c r="E39" s="12" t="inlineStr">
        <is>
          <t>Needed for: Values for UAT (UAT plans and sign-off forms due 16-Jul-2027; UAT Aug - Dec 2027 runs on the production values).</t>
        </is>
      </c>
      <c r="F39" s="12" t="inlineStr">
        <is>
          <t>Configured on the screen Claims &amp; Insurance › Claims Handling › Insurer Location References (sheet Configured on screens of the Master Data and Configuration Upload Templates workbook).</t>
        </is>
      </c>
      <c r="G39" s="12" t="inlineStr">
        <is>
          <t>Drop 0 configuration register CFG-104 (Drop 0 Configuration Inputs v2.0, area Insurers and partners)</t>
        </is>
      </c>
      <c r="H39" s="12" t="inlineStr">
        <is>
          <t>Product Owner, Claims</t>
        </is>
      </c>
      <c r="I39" s="37" t="n">
        <v>46584</v>
      </c>
      <c r="J39" s="12" t="inlineStr">
        <is>
          <t>Medium</t>
        </is>
      </c>
      <c r="K39" s="38" t="inlineStr">
        <is>
          <t>Open</t>
        </is>
      </c>
      <c r="L39" s="12" t="n"/>
      <c r="M39" s="12" t="n"/>
    </row>
    <row r="40">
      <c r="A40" s="12" t="inlineStr">
        <is>
          <t>CFG-129</t>
        </is>
      </c>
      <c r="B40" s="12" t="inlineStr">
        <is>
          <t>BRD-07 Claims</t>
        </is>
      </c>
      <c r="C40" s="12" t="inlineStr">
        <is>
          <t>Configuration value</t>
        </is>
      </c>
      <c r="D40" s="12" t="inlineStr">
        <is>
          <t>Claims handlers and set-up: The claims handlers per unit and the Claims settings</t>
        </is>
      </c>
      <c r="E40" s="12" t="inlineStr">
        <is>
          <t>Needed for: Values for UAT (UAT plans and sign-off forms due 16-Jul-2027; UAT Aug - Dec 2027 runs on the production values).</t>
        </is>
      </c>
      <c r="F40" s="12" t="inlineStr">
        <is>
          <t>Configured on the screen Claims &amp; Insurance › Claims Handling › Claims Setup (sheet Configured on screens of the Master Data and Configuration Upload Templates workbook).</t>
        </is>
      </c>
      <c r="G40" s="12" t="inlineStr">
        <is>
          <t>Drop 0 configuration register CFG-129 (Drop 0 Configuration Inputs v2.0, area Module rules and set-up)</t>
        </is>
      </c>
      <c r="H40" s="12" t="inlineStr">
        <is>
          <t>Product Owner, Claims</t>
        </is>
      </c>
      <c r="I40" s="37" t="n">
        <v>46584</v>
      </c>
      <c r="J40" s="12" t="inlineStr">
        <is>
          <t>Medium</t>
        </is>
      </c>
      <c r="K40" s="38" t="inlineStr">
        <is>
          <t>Open</t>
        </is>
      </c>
      <c r="L40" s="12" t="n"/>
      <c r="M40" s="12" t="n"/>
    </row>
    <row r="41">
      <c r="A41" s="12" t="inlineStr">
        <is>
          <t>DOC-02</t>
        </is>
      </c>
      <c r="B41" s="12" t="inlineStr">
        <is>
          <t>BRD-07 Claims</t>
        </is>
      </c>
      <c r="C41" s="12" t="inlineStr">
        <is>
          <t>Sample document or template</t>
        </is>
      </c>
      <c r="D41" s="12" t="inlineStr">
        <is>
          <t>Documents of Claims: give the BDOI layout, logo placement and wording of the 1 documents BIBS generates (Loss advice {{claimNo}} - {{assuredName}}), as a filled-in sample of each.</t>
        </is>
      </c>
      <c r="E41" s="12" t="inlineStr">
        <is>
          <t>BIBS generates each document from its template; without the BDOI layout the documents keep the proposed layout in SIT and UAT.</t>
        </is>
      </c>
      <c r="F41" s="12" t="inlineStr">
        <is>
          <t>The proposed layouts are reviewed on the Document Templates screen; BDOI marks the changes on a printout or sends its current form.</t>
        </is>
      </c>
      <c r="G41" s="12" t="inlineStr">
        <is>
          <t>Document templates of the platform (Drop 0 Configuration Inputs, Ref Document templates); configuration register CFG-082</t>
        </is>
      </c>
      <c r="H41" s="12" t="inlineStr">
        <is>
          <t>Product Owner, Claims</t>
        </is>
      </c>
      <c r="I41" s="37" t="n">
        <v>46584</v>
      </c>
      <c r="J41" s="12" t="inlineStr">
        <is>
          <t>Medium</t>
        </is>
      </c>
      <c r="K41" s="38" t="inlineStr">
        <is>
          <t>Open</t>
        </is>
      </c>
      <c r="L41" s="12" t="n"/>
      <c r="M41" s="12" t="inlineStr">
        <is>
          <t>Review sheet Document templates of the Master Data and Configuration Upload Templates workbook.</t>
        </is>
      </c>
    </row>
    <row r="42">
      <c r="A42" s="12" t="inlineStr">
        <is>
          <t>SO-07-3</t>
        </is>
      </c>
      <c r="B42" s="12" t="inlineStr">
        <is>
          <t>BRD-07 Claims</t>
        </is>
      </c>
      <c r="C42" s="12" t="inlineStr">
        <is>
          <t>Sign-off</t>
        </is>
      </c>
      <c r="D42" s="12" t="inlineStr">
        <is>
          <t>Sign the UAT sign-off certificate of BRD-07 Claims.</t>
        </is>
      </c>
      <c r="E42" s="12" t="inlineStr">
        <is>
          <t>The signed document fixes the scope for the next step of the plan; a late sign-off moves the dates that follow it.</t>
        </is>
      </c>
      <c r="F42" s="12" t="n"/>
      <c r="G42" s="12" t="inlineStr">
        <is>
          <t>Project plan v1.0 (8-Oct-2026), sign-offs and milestones</t>
        </is>
      </c>
      <c r="H42" s="12" t="inlineStr">
        <is>
          <t>Product Owner, Claims</t>
        </is>
      </c>
      <c r="I42" s="37" t="n">
        <v>46721</v>
      </c>
      <c r="J42" s="12" t="inlineStr">
        <is>
          <t>High</t>
        </is>
      </c>
      <c r="K42" s="38" t="inlineStr">
        <is>
          <t>Open</t>
        </is>
      </c>
      <c r="L42" s="12" t="n"/>
      <c r="M42" s="12" t="n"/>
    </row>
  </sheetData>
  <autoFilter ref="A4:M42"/>
  <mergeCells count="1">
    <mergeCell ref="A2:M2"/>
  </mergeCells>
  <conditionalFormatting sqref="K5:K542">
    <cfRule type="cellIs" priority="1" operator="equal" dxfId="0" stopIfTrue="1">
      <formula>"Open"</formula>
    </cfRule>
    <cfRule type="cellIs" priority="2" operator="equal" dxfId="1" stopIfTrue="1">
      <formula>"Answered"</formula>
    </cfRule>
  </conditionalFormatting>
  <conditionalFormatting sqref="A5:M542">
    <cfRule type="expression" priority="3" dxfId="2">
      <formula>AND(MOD(ROW(),2)=0,$A5&lt;&gt;"")</formula>
    </cfRule>
  </conditionalFormatting>
  <conditionalFormatting sqref="K5:K543">
    <cfRule type="cellIs" priority="4" operator="equal" dxfId="3" stopIfTrue="1">
      <formula>"Partly answered"</formula>
    </cfRule>
  </conditionalFormatting>
  <dataValidations count="3">
    <dataValidation sqref="C5:C542" showDropDown="0" showInputMessage="0" showErrorMessage="1" allowBlank="1" errorTitle="Type" error="Choose a value from the list (Type)." type="list">
      <formula1>'_lists'!$V$1:$V$10</formula1>
    </dataValidation>
    <dataValidation sqref="J5:J542" showDropDown="0" showInputMessage="0" showErrorMessage="1" allowBlank="1" errorTitle="Priority" error="Choose a value from the list (Priority)." type="list">
      <formula1>'_lists'!$W$1:$W$3</formula1>
    </dataValidation>
    <dataValidation sqref="K5:K542" showDropDown="0" showInputMessage="0" showErrorMessage="1" allowBlank="1" errorTitle="Status" error="Choose a value from the list (Status)." type="list">
      <formula1>'_lists'!$X$1:$X$3</formula1>
    </dataValidation>
  </dataValidations>
  <printOptions horizontalCentered="1"/>
  <pageMargins left="0.4" right="0.4" top="0.6" bottom="0.6" header="0.5" footer="0.5"/>
  <pageSetup orientation="landscape" paperSize="1" fitToHeight="0" fitToWidth="1"/>
  <headerFooter>
    <oddHeader>&amp;L&amp;8 &amp;K004EA8BDOI Requirements and Inputs by BRD&amp;R&amp;8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M3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6" customWidth="1" min="3" max="3"/>
    <col width="60" customWidth="1" min="4" max="4"/>
    <col width="46" customWidth="1" min="5" max="5"/>
    <col width="46" customWidth="1" min="6" max="6"/>
    <col width="40" customWidth="1" min="7" max="7"/>
    <col width="26" customWidth="1" min="8" max="8"/>
    <col width="12" customWidth="1" min="9" max="9"/>
    <col width="10" customWidth="1" min="10" max="10"/>
    <col width="14" customWidth="1" min="11" max="11"/>
    <col width="40" customWidth="1" min="12" max="12"/>
    <col width="34" customWidth="1" min="13" max="13"/>
  </cols>
  <sheetData>
    <row r="1" ht="24" customHeight="1">
      <c r="A1" s="34" t="inlineStr">
        <is>
          <t>BRD-08 Employee Benefits</t>
        </is>
      </c>
    </row>
    <row r="2">
      <c r="A2" s="21" t="inlineStr">
        <is>
          <t>BRD-08 Employee Benefits: what BDOI provides; owner Product Owner, Employee Benefits</t>
        </is>
      </c>
    </row>
    <row r="3" ht="6" customHeight="1">
      <c r="A3" s="35" t="n"/>
      <c r="B3" s="35" t="n"/>
      <c r="C3" s="35" t="n"/>
      <c r="D3" s="35" t="n"/>
      <c r="E3" s="35" t="n"/>
      <c r="F3" s="35" t="n"/>
      <c r="G3" s="35" t="n"/>
      <c r="H3" s="35" t="n"/>
      <c r="I3" s="35" t="n"/>
      <c r="J3" s="35" t="n"/>
      <c r="K3" s="35" t="n"/>
      <c r="L3" s="35" t="n"/>
      <c r="M3" s="35" t="n"/>
    </row>
    <row r="4" ht="30" customHeight="1">
      <c r="A4" s="36" t="inlineStr">
        <is>
          <t>Ref</t>
        </is>
      </c>
      <c r="B4" s="36" t="inlineStr">
        <is>
          <t>BRD / module</t>
        </is>
      </c>
      <c r="C4" s="36" t="inlineStr">
        <is>
          <t>Type</t>
        </is>
      </c>
      <c r="D4" s="36" t="inlineStr">
        <is>
          <t>What we need from BDOI</t>
        </is>
      </c>
      <c r="E4" s="36" t="inlineStr">
        <is>
          <t>Why / impact if not provided</t>
        </is>
      </c>
      <c r="F4" s="36" t="inlineStr">
        <is>
          <t>Our proposal (if any)</t>
        </is>
      </c>
      <c r="G4" s="36" t="inlineStr">
        <is>
          <t>Source (FRS section / CLR / BRD page)</t>
        </is>
      </c>
      <c r="H4" s="36" t="inlineStr">
        <is>
          <t>BDOI owner (role)</t>
        </is>
      </c>
      <c r="I4" s="36" t="inlineStr">
        <is>
          <t>Needed by</t>
        </is>
      </c>
      <c r="J4" s="36" t="inlineStr">
        <is>
          <t>Priority</t>
        </is>
      </c>
      <c r="K4" s="36" t="inlineStr">
        <is>
          <t>Status</t>
        </is>
      </c>
      <c r="L4" s="36" t="inlineStr">
        <is>
          <t>BDOI response</t>
        </is>
      </c>
      <c r="M4" s="36" t="inlineStr">
        <is>
          <t>Remarks</t>
        </is>
      </c>
    </row>
    <row r="5">
      <c r="A5" s="12" t="inlineStr">
        <is>
          <t>SO-08-1</t>
        </is>
      </c>
      <c r="B5" s="12" t="inlineStr">
        <is>
          <t>BRD-08 Employee Benefits</t>
        </is>
      </c>
      <c r="C5" s="12" t="inlineStr">
        <is>
          <t>Sign-off</t>
        </is>
      </c>
      <c r="D5" s="12" t="inlineStr">
        <is>
          <t>Sign the FRS of BRD-08 Employee Benefits.</t>
        </is>
      </c>
      <c r="E5" s="12" t="inlineStr">
        <is>
          <t>The signed document fixes the scope for the next step of the plan; a late sign-off moves the dates that follow it.</t>
        </is>
      </c>
      <c r="F5" s="12" t="n"/>
      <c r="G5" s="12" t="inlineStr">
        <is>
          <t>Project plan v1.0 (8-Oct-2026), sign-offs and milestones</t>
        </is>
      </c>
      <c r="H5" s="12" t="inlineStr">
        <is>
          <t>Product Owner, Employee Benefits; Business Project Services</t>
        </is>
      </c>
      <c r="I5" s="37" t="n">
        <v>46444</v>
      </c>
      <c r="J5" s="12" t="inlineStr">
        <is>
          <t>High</t>
        </is>
      </c>
      <c r="K5" s="38" t="inlineStr">
        <is>
          <t>Open</t>
        </is>
      </c>
      <c r="L5" s="12" t="n"/>
      <c r="M5" s="12" t="n"/>
    </row>
    <row r="6">
      <c r="A6" s="12" t="inlineStr">
        <is>
          <t>CLR-EB-01</t>
        </is>
      </c>
      <c r="B6" s="12" t="inlineStr">
        <is>
          <t>BRD-08 Employee Benefits</t>
        </is>
      </c>
      <c r="C6" s="12" t="inlineStr">
        <is>
          <t>Business rule confirmation</t>
        </is>
      </c>
      <c r="D6" s="12" t="inlineStr">
        <is>
          <t>BOR on renewal: Confirm when a renewal needs a BOR (EBQ05) before the Drop 2 sign-off; FR-EB-031 is aligned to the answer.</t>
        </is>
      </c>
      <c r="E6" s="12" t="inlineStr">
        <is>
          <t>The negative scenario of BRID-008 calls a BOR for a renewal invalid, while both flow charts ask for a BOR in the renewal lane (EBQ05).</t>
        </is>
      </c>
      <c r="F6" s="12" t="inlineStr">
        <is>
          <t>A BOR is required for new business and for renewals that remarket.</t>
        </is>
      </c>
      <c r="G6" s="12" t="inlineStr">
        <is>
          <t>FRS BRD-08 v1.1, Proposed business rules and clarifications; BRID-008; FR-EB-031; also raised as EBQ05 (open question), DCR-088 (register item)</t>
        </is>
      </c>
      <c r="H6" s="12" t="inlineStr">
        <is>
          <t>Employee Benefits - Marketing, Processing and Collection</t>
        </is>
      </c>
      <c r="I6" s="37" t="n">
        <v>46444</v>
      </c>
      <c r="J6" s="12" t="inlineStr">
        <is>
          <t>Medium</t>
        </is>
      </c>
      <c r="K6" s="38" t="inlineStr">
        <is>
          <t>Open</t>
        </is>
      </c>
      <c r="L6" s="12" t="n"/>
      <c r="M6" s="12" t="n"/>
    </row>
    <row r="7">
      <c r="A7" s="12" t="inlineStr">
        <is>
          <t>CLR-EB-02</t>
        </is>
      </c>
      <c r="B7" s="12" t="inlineStr">
        <is>
          <t>BRD-08 Employee Benefits</t>
        </is>
      </c>
      <c r="C7" s="12" t="inlineStr">
        <is>
          <t>Business rule confirmation</t>
        </is>
      </c>
      <c r="D7" s="12" t="inlineStr">
        <is>
          <t>BOR signature: Confirm the attestation, or give the verification method (EBQ06), before the Drop 2 sign-off.</t>
        </is>
      </c>
      <c r="E7" s="12" t="inlineStr">
        <is>
          <t>The BRD asks the system to validate the signature; the verification method is open (EBQ06).</t>
        </is>
      </c>
      <c r="F7" s="12" t="inlineStr">
        <is>
          <t>The validator attests the signature with a checklist; e-signature verification is added if BDOI specifies it.</t>
        </is>
      </c>
      <c r="G7" s="12" t="inlineStr">
        <is>
          <t>FRS BRD-08 v1.1, Proposed business rules and clarifications; BRID-008; FR-EB-031; also raised as EBQ06 (open question)</t>
        </is>
      </c>
      <c r="H7" s="12" t="inlineStr">
        <is>
          <t>Product Owner, Employee Benefits</t>
        </is>
      </c>
      <c r="I7" s="37" t="n">
        <v>46444</v>
      </c>
      <c r="J7" s="12" t="inlineStr">
        <is>
          <t>Medium</t>
        </is>
      </c>
      <c r="K7" s="38" t="inlineStr">
        <is>
          <t>Open</t>
        </is>
      </c>
      <c r="L7" s="12" t="n"/>
      <c r="M7" s="12" t="n"/>
    </row>
    <row r="8">
      <c r="A8" s="12" t="inlineStr">
        <is>
          <t>CLR-EB-03</t>
        </is>
      </c>
      <c r="B8" s="12" t="inlineStr">
        <is>
          <t>BRD-08 Employee Benefits</t>
        </is>
      </c>
      <c r="C8" s="12" t="inlineStr">
        <is>
          <t>Decision</t>
        </is>
      </c>
      <c r="D8" s="12" t="inlineStr">
        <is>
          <t>Renewal Advice lead time: Choose the lead time (EBQ02); it is a parameter, so the answer needs no change to the system.</t>
        </is>
      </c>
      <c r="E8" s="12" t="inlineStr">
        <is>
          <t>The BRD gives 180 days as an example; the TAT annex gives 135 (EBQ02).</t>
        </is>
      </c>
      <c r="F8" s="12" t="inlineStr">
        <is>
          <t>The Renewal Advice is sent 135 days before expiry (default from the TAT annex).</t>
        </is>
      </c>
      <c r="G8" s="12" t="inlineStr">
        <is>
          <t>FRS BRD-08 v1.1, Proposed business rules and clarifications; BRID-001; FR-EB-022; also raised as EBQ02 (open question), DCR-087 (register item)</t>
        </is>
      </c>
      <c r="H8" s="12" t="inlineStr">
        <is>
          <t>Employee Benefits - Marketing, Processing and Collection</t>
        </is>
      </c>
      <c r="I8" s="37" t="n">
        <v>46444</v>
      </c>
      <c r="J8" s="12" t="inlineStr">
        <is>
          <t>Medium</t>
        </is>
      </c>
      <c r="K8" s="38" t="inlineStr">
        <is>
          <t>Open</t>
        </is>
      </c>
      <c r="L8" s="12" t="n"/>
      <c r="M8" s="12" t="n"/>
    </row>
    <row r="9">
      <c r="A9" s="12" t="inlineStr">
        <is>
          <t>CLR-EB-04</t>
        </is>
      </c>
      <c r="B9" s="12" t="inlineStr">
        <is>
          <t>BRD-08 Employee Benefits</t>
        </is>
      </c>
      <c r="C9" s="12" t="inlineStr">
        <is>
          <t>Integration detail</t>
        </is>
      </c>
      <c r="D9" s="12" t="inlineStr">
        <is>
          <t>Secure portal or system-to-system interface: Confirm the portal.</t>
        </is>
      </c>
      <c r="E9" s="12" t="inlineStr">
        <is>
          <t>No insurer has asked for a system interface.</t>
        </is>
      </c>
      <c r="F9" s="12" t="inlineStr">
        <is>
          <t>Insurers and clients use the secure partner portal; a system-to-system interface is added when an insurer asks for it.</t>
        </is>
      </c>
      <c r="G9" s="12" t="inlineStr">
        <is>
          <t>FRS BRD-08 v1.1, Proposed business rules and clarifications; BRID-005; FR-EB-010</t>
        </is>
      </c>
      <c r="H9" s="12" t="inlineStr">
        <is>
          <t>BDOI IT with the Product Owner, Employee Benefits</t>
        </is>
      </c>
      <c r="I9" s="37" t="n">
        <v>46444</v>
      </c>
      <c r="J9" s="12" t="inlineStr">
        <is>
          <t>Medium</t>
        </is>
      </c>
      <c r="K9" s="38" t="inlineStr">
        <is>
          <t>Open</t>
        </is>
      </c>
      <c r="L9" s="12" t="n"/>
      <c r="M9" s="12" t="n"/>
    </row>
    <row r="10">
      <c r="A10" s="12" t="inlineStr">
        <is>
          <t>CLR-EB-05</t>
        </is>
      </c>
      <c r="B10" s="12" t="inlineStr">
        <is>
          <t>BRD-08 Employee Benefits</t>
        </is>
      </c>
      <c r="C10" s="12" t="inlineStr">
        <is>
          <t>Business rule confirmation</t>
        </is>
      </c>
      <c r="D10" s="12" t="inlineStr">
        <is>
          <t>Booking: Confirm booking in BIBS.</t>
        </is>
      </c>
      <c r="E10" s="12" t="inlineStr">
        <is>
          <t>The TAT annex refers to booking in EBIX, which BIBS replaces.</t>
        </is>
      </c>
      <c r="F10" s="12" t="inlineStr">
        <is>
          <t>Booking is done in BIBS.</t>
        </is>
      </c>
      <c r="G10" s="12" t="inlineStr">
        <is>
          <t>FRS BRD-08 v1.1, Proposed business rules and clarifications; TAT annex; FR-EB-052</t>
        </is>
      </c>
      <c r="H10" s="12" t="inlineStr">
        <is>
          <t>Product Owner, Employee Benefits</t>
        </is>
      </c>
      <c r="I10" s="37" t="n">
        <v>46444</v>
      </c>
      <c r="J10" s="12" t="inlineStr">
        <is>
          <t>Medium</t>
        </is>
      </c>
      <c r="K10" s="38" t="inlineStr">
        <is>
          <t>Open</t>
        </is>
      </c>
      <c r="L10" s="12" t="n"/>
      <c r="M10" s="12" t="n"/>
    </row>
    <row r="11">
      <c r="A11" s="12" t="inlineStr">
        <is>
          <t>CLR-EB-06</t>
        </is>
      </c>
      <c r="B11" s="12" t="inlineStr">
        <is>
          <t>BRD-08 Employee Benefits</t>
        </is>
      </c>
      <c r="C11" s="12" t="inlineStr">
        <is>
          <t>Integration detail</t>
        </is>
      </c>
      <c r="D11" s="12" t="inlineStr">
        <is>
          <t>Portal users: Confirm the provisioning (decision D7).</t>
        </is>
      </c>
      <c r="E11" s="12" t="inlineStr">
        <is>
          <t>The BRD does not say how portal users are created (decision D7).</t>
        </is>
      </c>
      <c r="F11" s="12" t="inlineStr">
        <is>
          <t>Portal users are provisioned through User Access requests of user type External.</t>
        </is>
      </c>
      <c r="G11" s="12" t="inlineStr">
        <is>
          <t>FRS BRD-08 v1.1, Proposed business rules and clarifications</t>
        </is>
      </c>
      <c r="H11" s="12" t="inlineStr">
        <is>
          <t>BDOI IT with the Product Owner, Employee Benefits</t>
        </is>
      </c>
      <c r="I11" s="37" t="n">
        <v>46444</v>
      </c>
      <c r="J11" s="12" t="inlineStr">
        <is>
          <t>Medium</t>
        </is>
      </c>
      <c r="K11" s="38" t="inlineStr">
        <is>
          <t>Open</t>
        </is>
      </c>
      <c r="L11" s="12" t="n"/>
      <c r="M11" s="12" t="n"/>
    </row>
    <row r="12">
      <c r="A12" s="12" t="inlineStr">
        <is>
          <t>CLR-EB-07</t>
        </is>
      </c>
      <c r="B12" s="12" t="inlineStr">
        <is>
          <t>BRD-08 Employee Benefits</t>
        </is>
      </c>
      <c r="C12" s="12" t="inlineStr">
        <is>
          <t>Business rule confirmation</t>
        </is>
      </c>
      <c r="D12" s="12" t="inlineStr">
        <is>
          <t>High-risk accounts: Confirm the exclusion (EBQ26).</t>
        </is>
      </c>
      <c r="E12" s="12" t="inlineStr">
        <is>
          <t>The addendum states that high-risk accounts do not apply to Employee Benefits (Add. p.13; EBQ26).</t>
        </is>
      </c>
      <c r="F12" s="12" t="inlineStr">
        <is>
          <t>Out of scope; there is no high-risk handling for EB.</t>
        </is>
      </c>
      <c r="G12" s="12" t="inlineStr">
        <is>
          <t>FRS BRD-08 v1.1, Proposed business rules and clarifications; BRID-028; also raised as EBQ26 (open question), DCR-089 (register item)</t>
        </is>
      </c>
      <c r="H12" s="12" t="inlineStr">
        <is>
          <t>Employee Benefits - Marketing, Processing and Collection</t>
        </is>
      </c>
      <c r="I12" s="37" t="n">
        <v>46444</v>
      </c>
      <c r="J12" s="12" t="inlineStr">
        <is>
          <t>Medium</t>
        </is>
      </c>
      <c r="K12" s="38" t="inlineStr">
        <is>
          <t>Partly answered</t>
        </is>
      </c>
      <c r="L12" s="12" t="n"/>
      <c r="M12" s="12" t="n"/>
    </row>
    <row r="13">
      <c r="A13" s="12" t="inlineStr">
        <is>
          <t>CLR-EB-08</t>
        </is>
      </c>
      <c r="B13" s="12" t="inlineStr">
        <is>
          <t>BRD-08 Employee Benefits</t>
        </is>
      </c>
      <c r="C13" s="12" t="inlineStr">
        <is>
          <t>Business rule confirmation</t>
        </is>
      </c>
      <c r="D13" s="12" t="inlineStr">
        <is>
          <t>EB renewals: Confirm decision D3.</t>
        </is>
      </c>
      <c r="E13" s="12" t="inlineStr">
        <is>
          <t>Cross-BRD decision D3.</t>
        </is>
      </c>
      <c r="F13" s="12" t="inlineStr">
        <is>
          <t>EB programmes are renewed in this module; EB lines are excluded from the general Renewal lists.</t>
        </is>
      </c>
      <c r="G13" s="12" t="inlineStr">
        <is>
          <t>FRS BRD-08 v1.1, Proposed business rules and clarifications; FR-EB-022</t>
        </is>
      </c>
      <c r="H13" s="12" t="inlineStr">
        <is>
          <t>Product Owner, Employee Benefits</t>
        </is>
      </c>
      <c r="I13" s="37" t="n">
        <v>46444</v>
      </c>
      <c r="J13" s="12" t="inlineStr">
        <is>
          <t>Medium</t>
        </is>
      </c>
      <c r="K13" s="38" t="inlineStr">
        <is>
          <t>Open</t>
        </is>
      </c>
      <c r="L13" s="12" t="n"/>
      <c r="M13" s="12" t="n"/>
    </row>
    <row r="14">
      <c r="A14" s="12" t="inlineStr">
        <is>
          <t>CLR-EB-09</t>
        </is>
      </c>
      <c r="B14" s="12" t="inlineStr">
        <is>
          <t>BRD-08 Employee Benefits</t>
        </is>
      </c>
      <c r="C14" s="12" t="inlineStr">
        <is>
          <t>Report layout</t>
        </is>
      </c>
      <c r="D14" s="12" t="inlineStr">
        <is>
          <t>EB report layouts: Supply the template and confirm the schedules.</t>
        </is>
      </c>
      <c r="E14" s="12" t="inlineStr">
        <is>
          <t>The Report List of 13-May-2026 changes the frequencies and the source to BIBS and refers to a template the project has not received (EBQ21).</t>
        </is>
      </c>
      <c r="F14" s="12" t="inlineStr">
        <is>
          <t>Production, Renewal and New Business run weekly and Placement monthly, each also on request. Placement shows the key fields of the Report List. Renewal and New Business share one layout, the template "EB Sales Report n 2026 PRODUCTION"; until BDOI supplies it, the columns of section 6.1 apply.</t>
        </is>
      </c>
      <c r="G14" s="12" t="inlineStr">
        <is>
          <t>FRS BRD-08 v1.1, Proposed business rules and clarifications; BRID-022; FR-EB-060; also raised as EBQ21 (open question), DCR-161 (register item)</t>
        </is>
      </c>
      <c r="H14" s="12" t="inlineStr">
        <is>
          <t>Employee Benefits - Marketing, Processing and Collection</t>
        </is>
      </c>
      <c r="I14" s="37" t="n">
        <v>46444</v>
      </c>
      <c r="J14" s="12" t="inlineStr">
        <is>
          <t>Medium</t>
        </is>
      </c>
      <c r="K14" s="38" t="inlineStr">
        <is>
          <t>Open</t>
        </is>
      </c>
      <c r="L14" s="12" t="n"/>
      <c r="M14" s="12" t="inlineStr">
        <is>
          <t>Also affects BRD-01, BRD-02, BRD-05, BRD-12.</t>
        </is>
      </c>
    </row>
    <row r="15">
      <c r="A15" s="12" t="inlineStr">
        <is>
          <t>EBQ03</t>
        </is>
      </c>
      <c r="B15" s="12" t="inlineStr">
        <is>
          <t>BRD-08 Employee Benefits</t>
        </is>
      </c>
      <c r="C15" s="12" t="inlineStr">
        <is>
          <t>Sample document or template</t>
        </is>
      </c>
      <c r="D15" s="12" t="inlineStr">
        <is>
          <t>Renewal flag: Who flags a programme "for renewal" and when? Relation to the Renewal BRD dispositions (For Renewal / Not for Renewal, NAL / NFR letters)</t>
        </is>
      </c>
      <c r="E15" s="12" t="inlineStr">
        <is>
          <t>Open point of the FRS (FR-EB-022, 024): the requirement cannot be finalised or tested as BDOI intends until it is answered.</t>
        </is>
      </c>
      <c r="F15" s="12" t="inlineStr">
        <is>
          <t>EB renewals stay in EB; the general renewal lists exclude EB benefit lines; one renewal advice document type (decision D3).</t>
        </is>
      </c>
      <c r="G15" s="12" t="inlineStr">
        <is>
          <t>FRS BRD-08 v1.1, Open questions EBQ03 (affects FR-EB-022, 024); Discrepancy and clarification register v1.2, open question EBQ03; baseline BRID-001, 003, 004; also raised as DCR-151 (register item)</t>
        </is>
      </c>
      <c r="H15" s="12" t="inlineStr">
        <is>
          <t>BIBS Product Owner, with the owners of the BRDs involved</t>
        </is>
      </c>
      <c r="I15" s="37" t="n">
        <v>46444</v>
      </c>
      <c r="J15" s="12" t="inlineStr">
        <is>
          <t>Medium</t>
        </is>
      </c>
      <c r="K15" s="38" t="inlineStr">
        <is>
          <t>Open</t>
        </is>
      </c>
      <c r="L15" s="12" t="n"/>
      <c r="M15" s="12" t="inlineStr">
        <is>
          <t>Also affects BRD-06.</t>
        </is>
      </c>
    </row>
    <row r="16">
      <c r="A16" s="12" t="inlineStr">
        <is>
          <t>EBQ04</t>
        </is>
      </c>
      <c r="B16" s="12" t="inlineStr">
        <is>
          <t>BRD-08 Employee Benefits</t>
        </is>
      </c>
      <c r="C16" s="12" t="inlineStr">
        <is>
          <t>Integration detail</t>
        </is>
      </c>
      <c r="D16" s="12" t="inlineStr">
        <is>
          <t>Incumbent proposal: Does the incumbent submit the indicative renewal terms through the portal, or does the AO encode them? Which rates are "latest incumbent rates"?</t>
        </is>
      </c>
      <c r="E16" s="12" t="inlineStr">
        <is>
          <t>Open point of the FRS (FR-EB-024): the requirement cannot be finalised or tested as BDOI intends until it is answered.</t>
        </is>
      </c>
      <c r="F16" s="12" t="n"/>
      <c r="G16" s="12" t="inlineStr">
        <is>
          <t>FRS BRD-08 v1.1, Open questions EBQ04 (affects FR-EB-024); Discrepancy and clarification register v1.2, open question EBQ04; baseline BRID-003</t>
        </is>
      </c>
      <c r="H16" s="12" t="inlineStr">
        <is>
          <t>BDOI IT with the Product Owner, Employee Benefits</t>
        </is>
      </c>
      <c r="I16" s="37" t="n">
        <v>46444</v>
      </c>
      <c r="J16" s="12" t="inlineStr">
        <is>
          <t>Medium</t>
        </is>
      </c>
      <c r="K16" s="38" t="inlineStr">
        <is>
          <t>Open</t>
        </is>
      </c>
      <c r="L16" s="12" t="n"/>
      <c r="M16" s="12" t="n"/>
    </row>
    <row r="17">
      <c r="A17" s="12" t="inlineStr">
        <is>
          <t>EBQ07</t>
        </is>
      </c>
      <c r="B17" s="12" t="inlineStr">
        <is>
          <t>BRD-08 Employee Benefits</t>
        </is>
      </c>
      <c r="C17" s="12" t="inlineStr">
        <is>
          <t>Configuration value</t>
        </is>
      </c>
      <c r="D17" s="12" t="inlineStr">
        <is>
          <t>Franchise: Definition of "franchise" (the insurer's accreditation of BDOI for the account?); is it needed for the incumbent; per insurer or once per cycle; content of the ISO franchise form; "high-value triggers" in the TAT annex</t>
        </is>
      </c>
      <c r="E17" s="12" t="inlineStr">
        <is>
          <t>Open point of the FRS (FR-EB-032): the requirement cannot be finalised or tested as BDOI intends until it is answered.</t>
        </is>
      </c>
      <c r="F17" s="12" t="inlineStr">
        <is>
          <t>Franchise approval and ISACOM approval as optional workflow steps, off until defined.</t>
        </is>
      </c>
      <c r="G17" s="12" t="inlineStr">
        <is>
          <t>FRS BRD-08 v1.1, Open questions EBQ07 (affects FR-EB-032); Discrepancy and clarification register v1.2, open question EBQ07; baseline BRID-026, 027, 029; also raised as DCR-090 (register item)</t>
        </is>
      </c>
      <c r="H17" s="12" t="inlineStr">
        <is>
          <t>Employee Benefits - Marketing, Processing and Collection</t>
        </is>
      </c>
      <c r="I17" s="37" t="n">
        <v>46444</v>
      </c>
      <c r="J17" s="12" t="inlineStr">
        <is>
          <t>Medium</t>
        </is>
      </c>
      <c r="K17" s="38" t="inlineStr">
        <is>
          <t>Open</t>
        </is>
      </c>
      <c r="L17" s="12" t="n"/>
      <c r="M17" s="12" t="n"/>
    </row>
    <row r="18">
      <c r="A18" s="12" t="inlineStr">
        <is>
          <t>EBQ10</t>
        </is>
      </c>
      <c r="B18" s="12" t="inlineStr">
        <is>
          <t>BRD-08 Employee Benefits</t>
        </is>
      </c>
      <c r="C18" s="12" t="inlineStr">
        <is>
          <t>Configuration value</t>
        </is>
      </c>
      <c r="D18" s="12" t="inlineStr">
        <is>
          <t>Comparative: Factors and scoring (coverage, premium, exclusions, capabilities: company stability, clinic providers, hospitals, technology); "within three days"; who are the authorised signatories; is this approval separate from the value-threshold approval?</t>
        </is>
      </c>
      <c r="E18" s="12" t="inlineStr">
        <is>
          <t>Open point of the FRS (FR-EB-041): the requirement cannot be finalised or tested as BDOI intends until it is answered.</t>
        </is>
      </c>
      <c r="F18" s="12" t="n"/>
      <c r="G18" s="12" t="inlineStr">
        <is>
          <t>FRS BRD-08 v1.1, Open questions EBQ10 (affects FR-EB-041); Discrepancy and clarification register v1.2, open question EBQ10; baseline BRID-010, 016</t>
        </is>
      </c>
      <c r="H18" s="12" t="inlineStr">
        <is>
          <t>Product Owner, Employee Benefits</t>
        </is>
      </c>
      <c r="I18" s="37" t="n">
        <v>46444</v>
      </c>
      <c r="J18" s="12" t="inlineStr">
        <is>
          <t>Medium</t>
        </is>
      </c>
      <c r="K18" s="38" t="inlineStr">
        <is>
          <t>Open</t>
        </is>
      </c>
      <c r="L18" s="12" t="n"/>
      <c r="M18" s="12" t="n"/>
    </row>
    <row r="19">
      <c r="A19" s="12" t="inlineStr">
        <is>
          <t>EBQ11</t>
        </is>
      </c>
      <c r="B19" s="12" t="inlineStr">
        <is>
          <t>BRD-08 Employee Benefits</t>
        </is>
      </c>
      <c r="C19" s="12" t="inlineStr">
        <is>
          <t>Configuration value</t>
        </is>
      </c>
      <c r="D19" s="12" t="inlineStr">
        <is>
          <t>Threshold: Threshold values (TSI &gt;= 500M, premium &gt;= 20M are examples); measured per benefit line or per programme; annual premium or total; approver levels ("level of authority", BDOI Management)</t>
        </is>
      </c>
      <c r="E19" s="12" t="inlineStr">
        <is>
          <t>Open point of the FRS (FR-EB-042): the requirement cannot be finalised or tested as BDOI intends until it is answered.</t>
        </is>
      </c>
      <c r="F19" s="12" t="n"/>
      <c r="G19" s="12" t="inlineStr">
        <is>
          <t>FRS BRD-08 v1.1, Open questions EBQ11 (affects FR-EB-042); Discrepancy and clarification register v1.2, open question EBQ11; baseline BRID-016</t>
        </is>
      </c>
      <c r="H19" s="12" t="inlineStr">
        <is>
          <t>Product Owner, Employee Benefits</t>
        </is>
      </c>
      <c r="I19" s="37" t="n">
        <v>46444</v>
      </c>
      <c r="J19" s="12" t="inlineStr">
        <is>
          <t>Medium</t>
        </is>
      </c>
      <c r="K19" s="38" t="inlineStr">
        <is>
          <t>Open</t>
        </is>
      </c>
      <c r="L19" s="12" t="n"/>
      <c r="M19" s="12" t="n"/>
    </row>
    <row r="20">
      <c r="A20" s="12" t="inlineStr">
        <is>
          <t>EBQ12</t>
        </is>
      </c>
      <c r="B20" s="12" t="inlineStr">
        <is>
          <t>BRD-08 Employee Benefits</t>
        </is>
      </c>
      <c r="C20" s="12" t="inlineStr">
        <is>
          <t>Integration detail</t>
        </is>
      </c>
      <c r="D20" s="12" t="inlineStr">
        <is>
          <t>Client decision: Accepted evidence of client confirmation (portal click, e-mail, signed document); does the client approve placement separately from the proposal (Add. p.16 note)?</t>
        </is>
      </c>
      <c r="E20" s="12" t="inlineStr">
        <is>
          <t>Open point of the FRS (FR-EB-043, 046): the requirement cannot be finalised or tested as BDOI intends until it is answered.</t>
        </is>
      </c>
      <c r="F20" s="12" t="n"/>
      <c r="G20" s="12" t="inlineStr">
        <is>
          <t>FRS BRD-08 v1.1, Open questions EBQ12 (affects FR-EB-043, 046); Discrepancy and clarification register v1.2, open question EBQ12; baseline BRID-011, 017</t>
        </is>
      </c>
      <c r="H20" s="12" t="inlineStr">
        <is>
          <t>BDOI IT with the Product Owner, Employee Benefits</t>
        </is>
      </c>
      <c r="I20" s="37" t="n">
        <v>46444</v>
      </c>
      <c r="J20" s="12" t="inlineStr">
        <is>
          <t>Medium</t>
        </is>
      </c>
      <c r="K20" s="38" t="inlineStr">
        <is>
          <t>Open</t>
        </is>
      </c>
      <c r="L20" s="12" t="n"/>
      <c r="M20" s="12" t="n"/>
    </row>
    <row r="21">
      <c r="A21" s="12" t="inlineStr">
        <is>
          <t>EBQ13</t>
        </is>
      </c>
      <c r="B21" s="12" t="inlineStr">
        <is>
          <t>BRD-08 Employee Benefits</t>
        </is>
      </c>
      <c r="C21" s="12" t="inlineStr">
        <is>
          <t>Integration detail</t>
        </is>
      </c>
      <c r="D21" s="12" t="inlineStr">
        <is>
          <t>Portal: Hosting (internet-facing, DMZ) and BDO Information Security approval; authentication (MFA, password policy, SSO for insurers?); who creates and approves insurer and client users (BDOI admin or delegated insurer / HR admin); several users per insurer / client; Interface for insurers now or later; virus scanning product</t>
        </is>
      </c>
      <c r="E21" s="12" t="inlineStr">
        <is>
          <t>Open point of the FRS (FR-EB-010-012): the requirement cannot be finalised or tested as BDOI intends until it is answered.</t>
        </is>
      </c>
      <c r="F21" s="12" t="inlineStr">
        <is>
          <t>Apply the BIBS response-time target; size the portal after EBQ13.</t>
        </is>
      </c>
      <c r="G21" s="12" t="inlineStr">
        <is>
          <t>FRS BRD-08 v1.1, Open questions EBQ13 (affects FR-EB-010-012); Discrepancy and clarification register v1.2, open question EBQ13; baseline BRID-005, 005.01-005.03, 014; also raised as DCR-092 (register item)</t>
        </is>
      </c>
      <c r="H21" s="12" t="inlineStr">
        <is>
          <t>BDOI IT with the Employee Benefits - Marketing, Processing and Collection</t>
        </is>
      </c>
      <c r="I21" s="37" t="n">
        <v>46444</v>
      </c>
      <c r="J21" s="12" t="inlineStr">
        <is>
          <t>Medium</t>
        </is>
      </c>
      <c r="K21" s="38" t="inlineStr">
        <is>
          <t>Partly answered</t>
        </is>
      </c>
      <c r="L21" s="12" t="n"/>
      <c r="M21" s="12" t="inlineStr">
        <is>
          <t>Answer so far: Portal users requested and approved through User Access as external users (project decision). Hosting, MFA and identity provider open. (Decision D7 on BRD-11 request flow).</t>
        </is>
      </c>
    </row>
    <row r="22">
      <c r="A22" s="12" t="inlineStr">
        <is>
          <t>EBQ14</t>
        </is>
      </c>
      <c r="B22" s="12" t="inlineStr">
        <is>
          <t>BRD-08 Employee Benefits</t>
        </is>
      </c>
      <c r="C22" s="12" t="inlineStr">
        <is>
          <t>Integration detail</t>
        </is>
      </c>
      <c r="D22" s="12" t="inlineStr">
        <is>
          <t>Client portal scope: BRID-014 limits clients to viewing and uploading, while the target matrix says "view / upload / manage policy": what does "manage" include?</t>
        </is>
      </c>
      <c r="E22" s="12" t="inlineStr">
        <is>
          <t>Open point of the FRS (FR-EB-015): the requirement cannot be finalised or tested as BDOI intends until it is answered.</t>
        </is>
      </c>
      <c r="F22" s="12" t="n"/>
      <c r="G22" s="12" t="inlineStr">
        <is>
          <t>FRS BRD-08 v1.1, Open questions EBQ14 (affects FR-EB-015); Discrepancy and clarification register v1.2, open question EBQ14; baseline BRID-014, Add. p.15</t>
        </is>
      </c>
      <c r="H22" s="12" t="inlineStr">
        <is>
          <t>BDOI IT with the Product Owner, Employee Benefits</t>
        </is>
      </c>
      <c r="I22" s="37" t="n">
        <v>46444</v>
      </c>
      <c r="J22" s="12" t="inlineStr">
        <is>
          <t>Medium</t>
        </is>
      </c>
      <c r="K22" s="38" t="inlineStr">
        <is>
          <t>Open</t>
        </is>
      </c>
      <c r="L22" s="12" t="n"/>
      <c r="M22" s="12" t="n"/>
    </row>
    <row r="23">
      <c r="A23" s="12" t="inlineStr">
        <is>
          <t>EBQ16</t>
        </is>
      </c>
      <c r="B23" s="12" t="inlineStr">
        <is>
          <t>BRD-08 Employee Benefits</t>
        </is>
      </c>
      <c r="C23" s="12" t="inlineStr">
        <is>
          <t>Clarification</t>
        </is>
      </c>
      <c r="D23" s="12" t="inlineStr">
        <is>
          <t>Member movements: Movement types (inclusion, deletion, plan change, salary change for GLI); pro-rata basis; financial effect booked as endorsement per movement or per monthly billing; meaning of "MIS Credit" and "no payment no booking on adjustment" (p.3)</t>
        </is>
      </c>
      <c r="E23" s="12" t="inlineStr">
        <is>
          <t>Open point of the FRS (FR-EB-055): the requirement cannot be finalised or tested as BDOI intends until it is answered.</t>
        </is>
      </c>
      <c r="F23" s="12" t="inlineStr">
        <is>
          <t>Book a member-movement adjustment only after payment, when the guideline applies.</t>
        </is>
      </c>
      <c r="G23" s="12" t="inlineStr">
        <is>
          <t>FRS BRD-08 v1.1, Open questions EBQ16 (affects FR-EB-055); Discrepancy and clarification register v1.2, open question EBQ16; baseline BRID-013, exec summary; also raised as DCR-093 (register item)</t>
        </is>
      </c>
      <c r="H23" s="12" t="inlineStr">
        <is>
          <t>Employee Benefits - Marketing, Processing and Collection</t>
        </is>
      </c>
      <c r="I23" s="37" t="n">
        <v>46444</v>
      </c>
      <c r="J23" s="12" t="inlineStr">
        <is>
          <t>Medium</t>
        </is>
      </c>
      <c r="K23" s="38" t="inlineStr">
        <is>
          <t>Open</t>
        </is>
      </c>
      <c r="L23" s="12" t="n"/>
      <c r="M23" s="12" t="n"/>
    </row>
    <row r="24">
      <c r="A24" s="12" t="inlineStr">
        <is>
          <t>EBQ18</t>
        </is>
      </c>
      <c r="B24" s="12" t="inlineStr">
        <is>
          <t>BRD-08 Employee Benefits</t>
        </is>
      </c>
      <c r="C24" s="12" t="inlineStr">
        <is>
          <t>Decision</t>
        </is>
      </c>
      <c r="D24" s="12" t="inlineStr">
        <is>
          <t>Billing number: Which number is the "billing number" (insurer SOA / billing no.)? Duplicate key scope: per insurer or global? Is it mandatory for every EB booking?</t>
        </is>
      </c>
      <c r="E24" s="12" t="inlineStr">
        <is>
          <t>Open point of the FRS (FR-EB-052): the requirement cannot be finalised or tested as BDOI intends until it is answered.</t>
        </is>
      </c>
      <c r="F24" s="12" t="n"/>
      <c r="G24" s="12" t="inlineStr">
        <is>
          <t>FRS BRD-08 v1.1, Open questions EBQ18 (affects FR-EB-052); Discrepancy and clarification register v1.2, open question EBQ18; baseline BRID-020</t>
        </is>
      </c>
      <c r="H24" s="12" t="inlineStr">
        <is>
          <t>Product Owner, Employee Benefits</t>
        </is>
      </c>
      <c r="I24" s="37" t="n">
        <v>46444</v>
      </c>
      <c r="J24" s="12" t="inlineStr">
        <is>
          <t>Medium</t>
        </is>
      </c>
      <c r="K24" s="38" t="inlineStr">
        <is>
          <t>Open</t>
        </is>
      </c>
      <c r="L24" s="12" t="n"/>
      <c r="M24" s="12" t="n"/>
    </row>
    <row r="25">
      <c r="A25" s="12" t="inlineStr">
        <is>
          <t>EBQ19</t>
        </is>
      </c>
      <c r="B25" s="12" t="inlineStr">
        <is>
          <t>BRD-08 Employee Benefits</t>
        </is>
      </c>
      <c r="C25" s="12" t="inlineStr">
        <is>
          <t>Clarification</t>
        </is>
      </c>
      <c r="D25" s="12" t="inlineStr">
        <is>
          <t>SOA: SOA formats per insurer; validation rules (against placement terms, headcount); recipients of the released SOA (client HR, Collection)</t>
        </is>
      </c>
      <c r="E25" s="12" t="inlineStr">
        <is>
          <t>Open point of the FRS (FR-EB-053): the requirement cannot be finalised or tested as BDOI intends until it is answered.</t>
        </is>
      </c>
      <c r="F25" s="12" t="n"/>
      <c r="G25" s="12" t="inlineStr">
        <is>
          <t>FRS BRD-08 v1.1, Open questions EBQ19 (affects FR-EB-053); Discrepancy and clarification register v1.2, open question EBQ19; baseline BRID-021</t>
        </is>
      </c>
      <c r="H25" s="12" t="inlineStr">
        <is>
          <t>Product Owner, Employee Benefits</t>
        </is>
      </c>
      <c r="I25" s="37" t="n">
        <v>46444</v>
      </c>
      <c r="J25" s="12" t="inlineStr">
        <is>
          <t>Medium</t>
        </is>
      </c>
      <c r="K25" s="38" t="inlineStr">
        <is>
          <t>Open</t>
        </is>
      </c>
      <c r="L25" s="12" t="n"/>
      <c r="M25" s="12" t="n"/>
    </row>
    <row r="26">
      <c r="A26" s="12" t="inlineStr">
        <is>
          <t>EBQ20</t>
        </is>
      </c>
      <c r="B26" s="12" t="inlineStr">
        <is>
          <t>BRD-08 Employee Benefits</t>
        </is>
      </c>
      <c r="C26" s="12" t="inlineStr">
        <is>
          <t>Configuration value</t>
        </is>
      </c>
      <c r="D26" s="12" t="inlineStr">
        <is>
          <t>Monitoring: Statuses of contracts, HMO cards (loss / replacement) and billing; follow-up dates and thresholds; recipients of automatic follow-ups (insurer, client, internal)</t>
        </is>
      </c>
      <c r="E26" s="12" t="inlineStr">
        <is>
          <t>Open point of the FRS (FR-EB-057): the requirement cannot be finalised or tested as BDOI intends until it is answered.</t>
        </is>
      </c>
      <c r="F26" s="12" t="n"/>
      <c r="G26" s="12" t="inlineStr">
        <is>
          <t>FRS BRD-08 v1.1, Open questions EBQ20 (affects FR-EB-057); Discrepancy and clarification register v1.2, open question EBQ20; baseline BRID-030</t>
        </is>
      </c>
      <c r="H26" s="12" t="inlineStr">
        <is>
          <t>Product Owner, Employee Benefits</t>
        </is>
      </c>
      <c r="I26" s="37" t="n">
        <v>46444</v>
      </c>
      <c r="J26" s="12" t="inlineStr">
        <is>
          <t>Medium</t>
        </is>
      </c>
      <c r="K26" s="38" t="inlineStr">
        <is>
          <t>Open</t>
        </is>
      </c>
      <c r="L26" s="12" t="n"/>
      <c r="M26" s="12" t="n"/>
    </row>
    <row r="27">
      <c r="A27" s="12" t="inlineStr">
        <is>
          <t>EBQ22</t>
        </is>
      </c>
      <c r="B27" s="12" t="inlineStr">
        <is>
          <t>BRD-08 Employee Benefits</t>
        </is>
      </c>
      <c r="C27" s="12" t="inlineStr">
        <is>
          <t>Decision</t>
        </is>
      </c>
      <c r="D27" s="12" t="inlineStr">
        <is>
          <t>Teams: Are the five teams (BDO, SM, Voluntary, Solicited, New Business) a programme attribute or units of the sales organisation?</t>
        </is>
      </c>
      <c r="E27" s="12" t="inlineStr">
        <is>
          <t>Open point of the FRS (FR-EB-021): the requirement cannot be finalised or tested as BDOI intends until it is answered.</t>
        </is>
      </c>
      <c r="F27" s="12" t="n"/>
      <c r="G27" s="12" t="inlineStr">
        <is>
          <t>FRS BRD-08 v1.1, Open questions EBQ22 (affects FR-EB-021); Discrepancy and clarification register v1.2, open question EBQ22; baseline Add. p.14</t>
        </is>
      </c>
      <c r="H27" s="12" t="inlineStr">
        <is>
          <t>Product Owner, Employee Benefits</t>
        </is>
      </c>
      <c r="I27" s="37" t="n">
        <v>46444</v>
      </c>
      <c r="J27" s="12" t="inlineStr">
        <is>
          <t>Medium</t>
        </is>
      </c>
      <c r="K27" s="38" t="inlineStr">
        <is>
          <t>Open</t>
        </is>
      </c>
      <c r="L27" s="12" t="n"/>
      <c r="M27" s="12" t="n"/>
    </row>
    <row r="28">
      <c r="A28" s="12" t="inlineStr">
        <is>
          <t>EBQ23</t>
        </is>
      </c>
      <c r="B28" s="12" t="inlineStr">
        <is>
          <t>BRD-08 Employee Benefits</t>
        </is>
      </c>
      <c r="C28" s="12" t="inlineStr">
        <is>
          <t>Clarification</t>
        </is>
      </c>
      <c r="D28" s="12" t="inlineStr">
        <is>
          <t>Processing supervisor: When does the Processing Supervisor approve ("if applicable")?</t>
        </is>
      </c>
      <c r="E28" s="12" t="inlineStr">
        <is>
          <t>Open point of the FRS (FR-EB-050): the requirement cannot be finalised or tested as BDOI intends until it is answered.</t>
        </is>
      </c>
      <c r="F28" s="12" t="n"/>
      <c r="G28" s="12" t="inlineStr">
        <is>
          <t>FRS BRD-08 v1.1, Open questions EBQ23 (affects FR-EB-050); Discrepancy and clarification register v1.2, open question EBQ23; baseline Add. p.15, BRID-018</t>
        </is>
      </c>
      <c r="H28" s="12" t="inlineStr">
        <is>
          <t>Product Owner, Employee Benefits</t>
        </is>
      </c>
      <c r="I28" s="37" t="n">
        <v>46444</v>
      </c>
      <c r="J28" s="12" t="inlineStr">
        <is>
          <t>Medium</t>
        </is>
      </c>
      <c r="K28" s="38" t="inlineStr">
        <is>
          <t>Open</t>
        </is>
      </c>
      <c r="L28" s="12" t="n"/>
      <c r="M28" s="12" t="n"/>
    </row>
    <row r="29">
      <c r="A29" s="12" t="inlineStr">
        <is>
          <t>EBQ24</t>
        </is>
      </c>
      <c r="B29" s="12" t="inlineStr">
        <is>
          <t>BRD-08 Employee Benefits</t>
        </is>
      </c>
      <c r="C29" s="12" t="inlineStr">
        <is>
          <t>Clarification</t>
        </is>
      </c>
      <c r="D29" s="12" t="inlineStr">
        <is>
          <t>ISACOM: What is ISACOM, and when is its approval needed ("if the policy will be awarded to a non-accredited provider", Add. p.4)? Document and approver</t>
        </is>
      </c>
      <c r="E29" s="12" t="inlineStr">
        <is>
          <t>Open point of the FRS (FR-EB-046): the requirement cannot be finalised or tested as BDOI intends until it is answered.</t>
        </is>
      </c>
      <c r="F29" s="12" t="n"/>
      <c r="G29" s="12" t="inlineStr">
        <is>
          <t>FRS BRD-08 v1.1, Open questions EBQ24 (affects FR-EB-046); Discrepancy and clarification register v1.2, open question EBQ24; baseline Flow</t>
        </is>
      </c>
      <c r="H29" s="12" t="inlineStr">
        <is>
          <t>Product Owner, Employee Benefits</t>
        </is>
      </c>
      <c r="I29" s="37" t="n">
        <v>46444</v>
      </c>
      <c r="J29" s="12" t="inlineStr">
        <is>
          <t>Medium</t>
        </is>
      </c>
      <c r="K29" s="38" t="inlineStr">
        <is>
          <t>Open</t>
        </is>
      </c>
      <c r="L29" s="12" t="n"/>
      <c r="M29" s="12" t="n"/>
    </row>
    <row r="30">
      <c r="A30" s="12" t="inlineStr">
        <is>
          <t>EBQ27</t>
        </is>
      </c>
      <c r="B30" s="12" t="inlineStr">
        <is>
          <t>BRD-08 Employee Benefits</t>
        </is>
      </c>
      <c r="C30" s="12" t="inlineStr">
        <is>
          <t>Clarification</t>
        </is>
      </c>
      <c r="D30" s="12" t="inlineStr">
        <is>
          <t>Voluntary plans: Team 3 Voluntary: do employees pay individually (billing and collection per member), or does the employer pay?</t>
        </is>
      </c>
      <c r="E30" s="12" t="inlineStr">
        <is>
          <t>Open point of the FRS (FR-EB-021): the requirement cannot be finalised or tested as BDOI intends until it is answered.</t>
        </is>
      </c>
      <c r="F30" s="12" t="n"/>
      <c r="G30" s="12" t="inlineStr">
        <is>
          <t>FRS BRD-08 v1.1, Open questions EBQ27 (affects FR-EB-021); Discrepancy and clarification register v1.2, open question EBQ27; baseline Add. p.14</t>
        </is>
      </c>
      <c r="H30" s="12" t="inlineStr">
        <is>
          <t>Product Owner, Employee Benefits</t>
        </is>
      </c>
      <c r="I30" s="37" t="n">
        <v>46444</v>
      </c>
      <c r="J30" s="12" t="inlineStr">
        <is>
          <t>Medium</t>
        </is>
      </c>
      <c r="K30" s="38" t="inlineStr">
        <is>
          <t>Open</t>
        </is>
      </c>
      <c r="L30" s="12" t="n"/>
      <c r="M30" s="12" t="n"/>
    </row>
    <row r="31">
      <c r="A31" s="12" t="inlineStr">
        <is>
          <t>EBQ28</t>
        </is>
      </c>
      <c r="B31" s="12" t="inlineStr">
        <is>
          <t>BRD-08 Employee Benefits</t>
        </is>
      </c>
      <c r="C31" s="12" t="inlineStr">
        <is>
          <t>Sample document or template</t>
        </is>
      </c>
      <c r="D31" s="12" t="inlineStr">
        <is>
          <t>Renewal BRD boundary: Are EB renewals handled only by this BRD (own RA, own cycle), with the Renewal BRD covering the other lines? Shared RA template?</t>
        </is>
      </c>
      <c r="E31" s="12" t="inlineStr">
        <is>
          <t>Open point of the FRS (FR-EB-022): the requirement cannot be finalised or tested as BDOI intends until it is answered.</t>
        </is>
      </c>
      <c r="F31" s="12" t="n"/>
      <c r="G31" s="12" t="inlineStr">
        <is>
          <t>FRS BRD-08 v1.1, Open questions EBQ28 (affects FR-EB-022); Discrepancy and clarification register v1.2, open question EBQ28; baseline BRID-001, Renewal BRD</t>
        </is>
      </c>
      <c r="H31" s="12" t="inlineStr">
        <is>
          <t>Product Owner, Employee Benefits</t>
        </is>
      </c>
      <c r="I31" s="37" t="n">
        <v>46444</v>
      </c>
      <c r="J31" s="12" t="inlineStr">
        <is>
          <t>Medium</t>
        </is>
      </c>
      <c r="K31" s="38" t="inlineStr">
        <is>
          <t>Answered</t>
        </is>
      </c>
      <c r="L31" s="12" t="n"/>
      <c r="M31" s="12" t="inlineStr">
        <is>
          <t>Answer so far: The Renewal BRD covers no group benefit programmes; EB renewals stay in EB (project decision). Shared RA template open. (BRD-6 scope; decision D3).</t>
        </is>
      </c>
    </row>
    <row r="32">
      <c r="A32" s="12" t="inlineStr">
        <is>
          <t>DCR-091</t>
        </is>
      </c>
      <c r="B32" s="12" t="inlineStr">
        <is>
          <t>BRD-08 Employee Benefits</t>
        </is>
      </c>
      <c r="C32" s="12" t="inlineStr">
        <is>
          <t>Clarification</t>
        </is>
      </c>
      <c r="D32" s="12" t="inlineStr">
        <is>
          <t>Note the proposed handling (no answer needed unless BDOI disagrees): Use the absolute figures.</t>
        </is>
      </c>
      <c r="E32" s="12" t="inlineStr">
        <is>
          <t>Growth percentages do not match the figures: Voluntary 550 to 560 is shown as 3% (1.8%); BDO 400 to 550 as 38% (37.5%); Solicited 700 to 900 as 29% (28.6%). Sizing only.</t>
        </is>
      </c>
      <c r="F32" s="12" t="inlineStr">
        <is>
          <t>Use the absolute figures.</t>
        </is>
      </c>
      <c r="G32" s="12" t="inlineStr">
        <is>
          <t>Discrepancy and clarification register v1.2, DCR-091 (Data / numbering issue); Volumes per team (Add. p.14)</t>
        </is>
      </c>
      <c r="H32" s="12" t="inlineStr">
        <is>
          <t>Employee Benefits - Marketing, Processing and Collection</t>
        </is>
      </c>
      <c r="I32" s="37" t="n">
        <v>46444</v>
      </c>
      <c r="J32" s="12" t="inlineStr">
        <is>
          <t>Low</t>
        </is>
      </c>
      <c r="K32" s="38" t="inlineStr">
        <is>
          <t>Open</t>
        </is>
      </c>
      <c r="L32" s="12" t="n"/>
      <c r="M32" s="12" t="n"/>
    </row>
    <row r="33">
      <c r="A33" s="12" t="inlineStr">
        <is>
          <t>DCR-095</t>
        </is>
      </c>
      <c r="B33" s="12" t="inlineStr">
        <is>
          <t>BRD-08 Employee Benefits</t>
        </is>
      </c>
      <c r="C33" s="12" t="inlineStr">
        <is>
          <t>Configuration value</t>
        </is>
      </c>
      <c r="D33" s="12" t="inlineStr">
        <is>
          <t>Revision log starts "February 04,2025" (other entries 2026); an input date reads "11/124/2025"; the TAT annex still says "Booking in EBIX". None; correct in the next revision.</t>
        </is>
      </c>
      <c r="E33" s="12" t="inlineStr">
        <is>
          <t>Revision log starts "February 04,2025" (other entries 2026); an input date reads "11/124/2025"; the TAT annex still says "Booking in EBIX". None on the system.</t>
        </is>
      </c>
      <c r="F33" s="12" t="inlineStr">
        <is>
          <t>None.</t>
        </is>
      </c>
      <c r="G33" s="12" t="inlineStr">
        <is>
          <t>Discrepancy and clarification register v1.2, DCR-095 (Document quality); Addendum revision log (Add. p.2); approval (p.55); TAT annex (p.59)</t>
        </is>
      </c>
      <c r="H33" s="12" t="inlineStr">
        <is>
          <t>Employee Benefits - Marketing, Processing and Collection</t>
        </is>
      </c>
      <c r="I33" s="37" t="n">
        <v>46444</v>
      </c>
      <c r="J33" s="12" t="inlineStr">
        <is>
          <t>Low</t>
        </is>
      </c>
      <c r="K33" s="38" t="inlineStr">
        <is>
          <t>Open</t>
        </is>
      </c>
      <c r="L33" s="12" t="n"/>
      <c r="M33" s="12" t="n"/>
    </row>
    <row r="34">
      <c r="A34" s="12" t="inlineStr">
        <is>
          <t>SO-08-2</t>
        </is>
      </c>
      <c r="B34" s="12" t="inlineStr">
        <is>
          <t>BRD-08 Employee Benefits</t>
        </is>
      </c>
      <c r="C34" s="12" t="inlineStr">
        <is>
          <t>Sign-off</t>
        </is>
      </c>
      <c r="D34" s="12" t="inlineStr">
        <is>
          <t>Approve the test plan of BRD-08 Employee Benefits.</t>
        </is>
      </c>
      <c r="E34" s="12" t="inlineStr">
        <is>
          <t>The signed document fixes the scope for the next step of the plan; a late sign-off moves the dates that follow it.</t>
        </is>
      </c>
      <c r="F34" s="12" t="n"/>
      <c r="G34" s="12" t="inlineStr">
        <is>
          <t>Project plan v1.0 (8-Oct-2026), sign-offs and milestones</t>
        </is>
      </c>
      <c r="H34" s="12" t="inlineStr">
        <is>
          <t>Product Owner, Employee Benefits</t>
        </is>
      </c>
      <c r="I34" s="37" t="n">
        <v>46568</v>
      </c>
      <c r="J34" s="12" t="inlineStr">
        <is>
          <t>High</t>
        </is>
      </c>
      <c r="K34" s="38" t="inlineStr">
        <is>
          <t>Open</t>
        </is>
      </c>
      <c r="L34" s="12" t="n"/>
      <c r="M34" s="12" t="n"/>
    </row>
    <row r="35">
      <c r="A35" s="12" t="inlineStr">
        <is>
          <t>TD-08</t>
        </is>
      </c>
      <c r="B35" s="12" t="inlineStr">
        <is>
          <t>BRD-08 Employee Benefits</t>
        </is>
      </c>
      <c r="C35" s="12" t="inlineStr">
        <is>
          <t>Test data</t>
        </is>
      </c>
      <c r="D35" s="12" t="inlineStr">
        <is>
          <t>Name the UAT testers of BRD-08 Employee Benefits (at least two per business unit, with their user IDs and group profiles) and provide the business data of the UAT scenarios: the clients, policies, insurers and amounts each scenario of the test plan uses, from the migrated data of Trial migration 3 or as additional cases.</t>
        </is>
      </c>
      <c r="E35" s="12" t="inlineStr">
        <is>
          <t>UAT of Drop 2 runs on migrated data and the production values; testers without access or scenarios without data stop the UAT.</t>
        </is>
      </c>
      <c r="F35" s="12" t="inlineStr">
        <is>
          <t>The test plan (04 workbook of the set) names the scenarios; the BDOI testers choose the cases from the migrated data and add the cases the legacy data does not hold.</t>
        </is>
      </c>
      <c r="G35" s="12" t="inlineStr">
        <is>
          <t>Project plan: dependency DEP-20 (UAT testers), milestone MS-20 (UAT plans, values for UAT and testers, 16-Jul-2027)</t>
        </is>
      </c>
      <c r="H35" s="12" t="inlineStr">
        <is>
          <t>Product Owner, Employee Benefits (UAT testers of the business units)</t>
        </is>
      </c>
      <c r="I35" s="37" t="n">
        <v>46584</v>
      </c>
      <c r="J35" s="12" t="inlineStr">
        <is>
          <t>High</t>
        </is>
      </c>
      <c r="K35" s="38" t="inlineStr">
        <is>
          <t>Open</t>
        </is>
      </c>
      <c r="L35" s="12" t="n"/>
      <c r="M35" s="12" t="n"/>
    </row>
    <row r="36">
      <c r="A36" s="12" t="inlineStr">
        <is>
          <t>CFG-128</t>
        </is>
      </c>
      <c r="B36" s="12" t="inlineStr">
        <is>
          <t>BRD-08 Employee Benefits</t>
        </is>
      </c>
      <c r="C36" s="12" t="inlineStr">
        <is>
          <t>Configuration value</t>
        </is>
      </c>
      <c r="D36" s="12" t="inlineStr">
        <is>
          <t>Employee Benefits set-up: The required documents per process and the other Employee Benefits settings</t>
        </is>
      </c>
      <c r="E36" s="12" t="inlineStr">
        <is>
          <t>Needed for: Values for UAT (UAT plans and sign-off forms due 16-Jul-2027; UAT Aug - Dec 2027 runs on the production values).</t>
        </is>
      </c>
      <c r="F36" s="12" t="inlineStr">
        <is>
          <t>Configured on the screen Client &amp; Policy › Employee Benefits › EB Setup (sheet Configured on screens of the Master Data and Configuration Upload Templates workbook).</t>
        </is>
      </c>
      <c r="G36" s="12" t="inlineStr">
        <is>
          <t>Drop 0 configuration register CFG-128 (Drop 0 Configuration Inputs v2.0, area Module rules and set-up)</t>
        </is>
      </c>
      <c r="H36" s="12" t="inlineStr">
        <is>
          <t>Product Owner, Employee Benefits</t>
        </is>
      </c>
      <c r="I36" s="37" t="n">
        <v>46584</v>
      </c>
      <c r="J36" s="12" t="inlineStr">
        <is>
          <t>Medium</t>
        </is>
      </c>
      <c r="K36" s="38" t="inlineStr">
        <is>
          <t>Open</t>
        </is>
      </c>
      <c r="L36" s="12" t="n"/>
      <c r="M36" s="12" t="n"/>
    </row>
    <row r="37">
      <c r="A37" s="12" t="inlineStr">
        <is>
          <t>DOC-04</t>
        </is>
      </c>
      <c r="B37" s="12" t="inlineStr">
        <is>
          <t>BRD-08 Employee Benefits</t>
        </is>
      </c>
      <c r="C37" s="12" t="inlineStr">
        <is>
          <t>Sample document or template</t>
        </is>
      </c>
      <c r="D37" s="12" t="inlineStr">
        <is>
          <t>Documents of Employee Benefits: give the BDOI layout, logo placement and wording of the 13 documents BIBS generates (Comparative analysis - {{programmeName}} ({{policyYear}}); Franchise outcome - {{programmeName}}; Franchise request {{franchiseNo}} - {{clientName}}; Indicative renewal terms - {{programmeName}}; Follow-up: {{itemType}} for {{programmeName}}; Member change {{changeNo}} - {{clientName}}; Reminder: renewal of {{programmeName}}; Renewal advice - {{programmeName}} ({{policyYear}}); Revision request - {{clientName}}; Request for proposal {{requestNo}} - {{clientName}}; Statement of account {{soaNo}} - {{programmeName}}; {{process}} documents - {{clientName}}; Terms of Reference - {{programmeName}} ({{policyYear}})), as a filled-in sample of each.</t>
        </is>
      </c>
      <c r="E37" s="12" t="inlineStr">
        <is>
          <t>BIBS generates each document from its template; without the BDOI layout the documents keep the proposed layout in SIT and UAT.</t>
        </is>
      </c>
      <c r="F37" s="12" t="inlineStr">
        <is>
          <t>The proposed layouts are reviewed on the Document Templates screen; BDOI marks the changes on a printout or sends its current form.</t>
        </is>
      </c>
      <c r="G37" s="12" t="inlineStr">
        <is>
          <t>Document templates of the platform (Drop 0 Configuration Inputs, Ref Document templates); configuration register CFG-082</t>
        </is>
      </c>
      <c r="H37" s="12" t="inlineStr">
        <is>
          <t>Product Owner, Employee Benefits</t>
        </is>
      </c>
      <c r="I37" s="37" t="n">
        <v>46584</v>
      </c>
      <c r="J37" s="12" t="inlineStr">
        <is>
          <t>Medium</t>
        </is>
      </c>
      <c r="K37" s="38" t="inlineStr">
        <is>
          <t>Open</t>
        </is>
      </c>
      <c r="L37" s="12" t="n"/>
      <c r="M37" s="12" t="inlineStr">
        <is>
          <t>Review sheet Document templates of the Master Data and Configuration Upload Templates workbook.</t>
        </is>
      </c>
    </row>
    <row r="38">
      <c r="A38" s="12" t="inlineStr">
        <is>
          <t>SO-08-3</t>
        </is>
      </c>
      <c r="B38" s="12" t="inlineStr">
        <is>
          <t>BRD-08 Employee Benefits</t>
        </is>
      </c>
      <c r="C38" s="12" t="inlineStr">
        <is>
          <t>Sign-off</t>
        </is>
      </c>
      <c r="D38" s="12" t="inlineStr">
        <is>
          <t>Sign the UAT sign-off certificate of BRD-08 Employee Benefits.</t>
        </is>
      </c>
      <c r="E38" s="12" t="inlineStr">
        <is>
          <t>The signed document fixes the scope for the next step of the plan; a late sign-off moves the dates that follow it.</t>
        </is>
      </c>
      <c r="F38" s="12" t="n"/>
      <c r="G38" s="12" t="inlineStr">
        <is>
          <t>Project plan v1.0 (8-Oct-2026), sign-offs and milestones</t>
        </is>
      </c>
      <c r="H38" s="12" t="inlineStr">
        <is>
          <t>Product Owner, Employee Benefits</t>
        </is>
      </c>
      <c r="I38" s="37" t="n">
        <v>46721</v>
      </c>
      <c r="J38" s="12" t="inlineStr">
        <is>
          <t>High</t>
        </is>
      </c>
      <c r="K38" s="38" t="inlineStr">
        <is>
          <t>Open</t>
        </is>
      </c>
      <c r="L38" s="12" t="n"/>
      <c r="M38" s="12" t="n"/>
    </row>
  </sheetData>
  <autoFilter ref="A4:M38"/>
  <mergeCells count="1">
    <mergeCell ref="A2:M2"/>
  </mergeCells>
  <conditionalFormatting sqref="K5:K538">
    <cfRule type="cellIs" priority="1" operator="equal" dxfId="0" stopIfTrue="1">
      <formula>"Open"</formula>
    </cfRule>
    <cfRule type="cellIs" priority="2" operator="equal" dxfId="1" stopIfTrue="1">
      <formula>"Answered"</formula>
    </cfRule>
  </conditionalFormatting>
  <conditionalFormatting sqref="A5:M538">
    <cfRule type="expression" priority="3" dxfId="2">
      <formula>AND(MOD(ROW(),2)=0,$A5&lt;&gt;"")</formula>
    </cfRule>
  </conditionalFormatting>
  <conditionalFormatting sqref="K5:K539">
    <cfRule type="cellIs" priority="4" operator="equal" dxfId="3" stopIfTrue="1">
      <formula>"Partly answered"</formula>
    </cfRule>
  </conditionalFormatting>
  <dataValidations count="3">
    <dataValidation sqref="C5:C538" showDropDown="0" showInputMessage="0" showErrorMessage="1" allowBlank="1" errorTitle="Type" error="Choose a value from the list (Type)." type="list">
      <formula1>'_lists'!$Y$1:$Y$10</formula1>
    </dataValidation>
    <dataValidation sqref="J5:J538" showDropDown="0" showInputMessage="0" showErrorMessage="1" allowBlank="1" errorTitle="Priority" error="Choose a value from the list (Priority)." type="list">
      <formula1>'_lists'!$Z$1:$Z$3</formula1>
    </dataValidation>
    <dataValidation sqref="K5:K538" showDropDown="0" showInputMessage="0" showErrorMessage="1" allowBlank="1" errorTitle="Status" error="Choose a value from the list (Status)." type="list">
      <formula1>'_lists'!$AA$1:$AA$3</formula1>
    </dataValidation>
  </dataValidations>
  <printOptions horizontalCentered="1"/>
  <pageMargins left="0.4" right="0.4" top="0.6" bottom="0.6" header="0.5" footer="0.5"/>
  <pageSetup orientation="landscape" paperSize="1" fitToHeight="0" fitToWidth="1"/>
  <headerFooter>
    <oddHeader>&amp;L&amp;8 &amp;K004EA8BDOI Requirements and Inputs by BRD&amp;R&amp;8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3.xml><?xml version="1.0" encoding="utf-8"?>
<worksheet xmlns="http://schemas.openxmlformats.org/spreadsheetml/2006/main">
  <sheetPr>
    <outlinePr summaryBelow="1" summaryRight="1"/>
    <pageSetUpPr fitToPage="1"/>
  </sheetPr>
  <dimension ref="A1:M3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6" customWidth="1" min="3" max="3"/>
    <col width="60" customWidth="1" min="4" max="4"/>
    <col width="46" customWidth="1" min="5" max="5"/>
    <col width="46" customWidth="1" min="6" max="6"/>
    <col width="40" customWidth="1" min="7" max="7"/>
    <col width="26" customWidth="1" min="8" max="8"/>
    <col width="12" customWidth="1" min="9" max="9"/>
    <col width="10" customWidth="1" min="10" max="10"/>
    <col width="14" customWidth="1" min="11" max="11"/>
    <col width="40" customWidth="1" min="12" max="12"/>
    <col width="34" customWidth="1" min="13" max="13"/>
  </cols>
  <sheetData>
    <row r="1" ht="24" customHeight="1">
      <c r="A1" s="34" t="inlineStr">
        <is>
          <t>BRD-09 Customer Servicing</t>
        </is>
      </c>
    </row>
    <row r="2">
      <c r="A2" s="21" t="inlineStr">
        <is>
          <t>BRD-09 Customer Servicing Facility: what BDOI provides; owner Product Owner, Customer Servicing Facility</t>
        </is>
      </c>
    </row>
    <row r="3" ht="6" customHeight="1">
      <c r="A3" s="35" t="n"/>
      <c r="B3" s="35" t="n"/>
      <c r="C3" s="35" t="n"/>
      <c r="D3" s="35" t="n"/>
      <c r="E3" s="35" t="n"/>
      <c r="F3" s="35" t="n"/>
      <c r="G3" s="35" t="n"/>
      <c r="H3" s="35" t="n"/>
      <c r="I3" s="35" t="n"/>
      <c r="J3" s="35" t="n"/>
      <c r="K3" s="35" t="n"/>
      <c r="L3" s="35" t="n"/>
      <c r="M3" s="35" t="n"/>
    </row>
    <row r="4" ht="30" customHeight="1">
      <c r="A4" s="36" t="inlineStr">
        <is>
          <t>Ref</t>
        </is>
      </c>
      <c r="B4" s="36" t="inlineStr">
        <is>
          <t>BRD / module</t>
        </is>
      </c>
      <c r="C4" s="36" t="inlineStr">
        <is>
          <t>Type</t>
        </is>
      </c>
      <c r="D4" s="36" t="inlineStr">
        <is>
          <t>What we need from BDOI</t>
        </is>
      </c>
      <c r="E4" s="36" t="inlineStr">
        <is>
          <t>Why / impact if not provided</t>
        </is>
      </c>
      <c r="F4" s="36" t="inlineStr">
        <is>
          <t>Our proposal (if any)</t>
        </is>
      </c>
      <c r="G4" s="36" t="inlineStr">
        <is>
          <t>Source (FRS section / CLR / BRD page)</t>
        </is>
      </c>
      <c r="H4" s="36" t="inlineStr">
        <is>
          <t>BDOI owner (role)</t>
        </is>
      </c>
      <c r="I4" s="36" t="inlineStr">
        <is>
          <t>Needed by</t>
        </is>
      </c>
      <c r="J4" s="36" t="inlineStr">
        <is>
          <t>Priority</t>
        </is>
      </c>
      <c r="K4" s="36" t="inlineStr">
        <is>
          <t>Status</t>
        </is>
      </c>
      <c r="L4" s="36" t="inlineStr">
        <is>
          <t>BDOI response</t>
        </is>
      </c>
      <c r="M4" s="36" t="inlineStr">
        <is>
          <t>Remarks</t>
        </is>
      </c>
    </row>
    <row r="5">
      <c r="A5" s="12" t="inlineStr">
        <is>
          <t>DEP-03</t>
        </is>
      </c>
      <c r="B5" s="12" t="inlineStr">
        <is>
          <t>BRD-09 Customer Servicing Facility</t>
        </is>
      </c>
      <c r="C5" s="12" t="inlineStr">
        <is>
          <t>Decision</t>
        </is>
      </c>
      <c r="D5" s="12" t="inlineStr">
        <is>
          <t>Scope and drop of Customer Servicing Case Management (CSF addendum, BRCSFCM.001-.012)</t>
        </is>
      </c>
      <c r="E5" s="12" t="inlineStr">
        <is>
          <t>Needed for: FRS BRD-09 extension and the Drop 2 plan. If late: Case Management cannot be delivered for go-live.</t>
        </is>
      </c>
      <c r="F5" s="12" t="n"/>
      <c r="G5" s="12" t="inlineStr">
        <is>
          <t>Project plan v1.0 (8-Oct-2026), dependency DEP-03 (Decision)</t>
        </is>
      </c>
      <c r="H5" s="12" t="inlineStr">
        <is>
          <t>Product Owner, CSF; Change Control Board</t>
        </is>
      </c>
      <c r="I5" s="37" t="n">
        <v>46325</v>
      </c>
      <c r="J5" s="12" t="inlineStr">
        <is>
          <t>High</t>
        </is>
      </c>
      <c r="K5" s="38" t="inlineStr">
        <is>
          <t>Open</t>
        </is>
      </c>
      <c r="L5" s="12" t="n"/>
      <c r="M5" s="12" t="n"/>
    </row>
    <row r="6">
      <c r="A6" s="12" t="inlineStr">
        <is>
          <t>CLR-CSF-01</t>
        </is>
      </c>
      <c r="B6" s="12" t="inlineStr">
        <is>
          <t>BRD-09 Customer Servicing Facility</t>
        </is>
      </c>
      <c r="C6" s="12" t="inlineStr">
        <is>
          <t>Clarification</t>
        </is>
      </c>
      <c r="D6" s="12" t="inlineStr">
        <is>
          <t>Data source and write-back: Say until when QPS and EBIX stay systems of record and whether a write-back is needed (CSQ01).</t>
        </is>
      </c>
      <c r="E6" s="12" t="inlineStr">
        <is>
          <t>The BRD reads QPS and EBIX and writes updates back to them; how long they stay systems of record is open (CSQ01).</t>
        </is>
      </c>
      <c r="F6" s="12" t="inlineStr">
        <is>
          <t>BIBS is the source of the client and account data. A contact change updates the BIBS client master at once and is kept for QPS and EBIX with the status "not configured"; it is sent when BDOI specifies the interface.</t>
        </is>
      </c>
      <c r="G6" s="12" t="inlineStr">
        <is>
          <t>FRS BRD-09 v1.1, Proposed business rules and clarifications; BRCSF-002, p.20, p.22; FR-CSF-022; also raised as CSQ01 (open question), DCR-104 (register item)</t>
        </is>
      </c>
      <c r="H6" s="12" t="inlineStr">
        <is>
          <t>Contact Center Management / Alternative Distribution</t>
        </is>
      </c>
      <c r="I6" s="37" t="n">
        <v>46356</v>
      </c>
      <c r="J6" s="12" t="inlineStr">
        <is>
          <t>High</t>
        </is>
      </c>
      <c r="K6" s="38" t="inlineStr">
        <is>
          <t>Partly answered</t>
        </is>
      </c>
      <c r="L6" s="12" t="n"/>
      <c r="M6" s="12" t="inlineStr">
        <is>
          <t>Answer so far: Legacy read-only after cutover; the new Core is the system of record for the migrated client master; no write-back required by BRD-13 (conflict with BRD-9, DCR-202). (BRD-13 p.5, BRID 2.1).</t>
        </is>
      </c>
    </row>
    <row r="7">
      <c r="A7" s="12" t="inlineStr">
        <is>
          <t>CLR-CSF-04</t>
        </is>
      </c>
      <c r="B7" s="12" t="inlineStr">
        <is>
          <t>BRD-09 Customer Servicing Facility</t>
        </is>
      </c>
      <c r="C7" s="12" t="inlineStr">
        <is>
          <t>Configuration value</t>
        </is>
      </c>
      <c r="D7" s="12" t="inlineStr">
        <is>
          <t>Backup every 15 minutes: Confirm the backup interval (CSQ11).</t>
        </is>
      </c>
      <c r="E7" s="12" t="inlineStr">
        <is>
          <t>The 15-minute backup conflicts with the 4-hour backup of the retention table (CSQ11, XQ08).</t>
        </is>
      </c>
      <c r="F7" s="12" t="inlineStr">
        <is>
          <t>The changes are saved to the backup storage at least every 15 minutes, as an infrastructure requirement for all BIBS data.</t>
        </is>
      </c>
      <c r="G7" s="12" t="inlineStr">
        <is>
          <t>FRS BRD-09 v1.1, Proposed business rules and clarifications; BRCSF-011 / 11.001; FR-CSF-043; also raised as CSQ11 (open question), DCR-102 (register item)</t>
        </is>
      </c>
      <c r="H7" s="12" t="inlineStr">
        <is>
          <t>Contact Center Management / Alternative Distribution</t>
        </is>
      </c>
      <c r="I7" s="37" t="n">
        <v>46356</v>
      </c>
      <c r="J7" s="12" t="inlineStr">
        <is>
          <t>High</t>
        </is>
      </c>
      <c r="K7" s="38" t="inlineStr">
        <is>
          <t>Open</t>
        </is>
      </c>
      <c r="L7" s="12" t="n"/>
      <c r="M7" s="12" t="n"/>
    </row>
    <row r="8">
      <c r="A8" s="12" t="inlineStr">
        <is>
          <t>DCR-098</t>
        </is>
      </c>
      <c r="B8" s="12" t="inlineStr">
        <is>
          <t>BRD-09 Customer Servicing Facility</t>
        </is>
      </c>
      <c r="C8" s="12" t="inlineStr">
        <is>
          <t>Clarification</t>
        </is>
      </c>
      <c r="D8" s="12" t="inlineStr">
        <is>
          <t>Please provide a redacted copy of the CSF pack for wider circulation.</t>
        </is>
      </c>
      <c r="E8" s="12" t="inlineStr">
        <is>
          <t>The printed e-mail attached to the CSF BRD contains a Microsoft Teams meeting link with its meeting ID and passcode. The credentials are not reproduced in this register. Security: meeting credentials circulate with the requirements pack.</t>
        </is>
      </c>
      <c r="F8" s="12" t="inlineStr">
        <is>
          <t>Circulate the pack only within the project; issue a copy with the meeting details redacted.</t>
        </is>
      </c>
      <c r="G8" s="12" t="inlineStr">
        <is>
          <t>Discrepancy and clarification register v1.2, DCR-098 (Document quality); E-mail thread attached to the BRD (p.18)</t>
        </is>
      </c>
      <c r="H8" s="12" t="inlineStr">
        <is>
          <t>Contact Center Management / Alternative Distribution</t>
        </is>
      </c>
      <c r="I8" s="37" t="n">
        <v>46356</v>
      </c>
      <c r="J8" s="12" t="inlineStr">
        <is>
          <t>High</t>
        </is>
      </c>
      <c r="K8" s="38" t="inlineStr">
        <is>
          <t>Open</t>
        </is>
      </c>
      <c r="L8" s="12" t="n"/>
      <c r="M8" s="12" t="n"/>
    </row>
    <row r="9">
      <c r="A9" s="12" t="inlineStr">
        <is>
          <t>SO-09-1</t>
        </is>
      </c>
      <c r="B9" s="12" t="inlineStr">
        <is>
          <t>BRD-09 Customer Servicing Facility</t>
        </is>
      </c>
      <c r="C9" s="12" t="inlineStr">
        <is>
          <t>Sign-off</t>
        </is>
      </c>
      <c r="D9" s="12" t="inlineStr">
        <is>
          <t>Sign the FRS and sign-off set of BRD-09 Customer Servicing Facility.</t>
        </is>
      </c>
      <c r="E9" s="12" t="inlineStr">
        <is>
          <t>The signed document fixes the scope for the next step of the plan; a late sign-off moves the dates that follow it.</t>
        </is>
      </c>
      <c r="F9" s="12" t="n"/>
      <c r="G9" s="12" t="inlineStr">
        <is>
          <t>Project plan v1.0 (8-Oct-2026), sign-offs and milestones</t>
        </is>
      </c>
      <c r="H9" s="12" t="inlineStr">
        <is>
          <t>Product Owner, Customer Servicing Facility; Business Project Services (traceability)</t>
        </is>
      </c>
      <c r="I9" s="37" t="n">
        <v>46356</v>
      </c>
      <c r="J9" s="12" t="inlineStr">
        <is>
          <t>High</t>
        </is>
      </c>
      <c r="K9" s="38" t="inlineStr">
        <is>
          <t>Open</t>
        </is>
      </c>
      <c r="L9" s="12" t="n"/>
      <c r="M9" s="12" t="n"/>
    </row>
    <row r="10">
      <c r="A10" s="12" t="inlineStr">
        <is>
          <t>CLR-CSF-02</t>
        </is>
      </c>
      <c r="B10" s="12" t="inlineStr">
        <is>
          <t>BRD-09 Customer Servicing Facility</t>
        </is>
      </c>
      <c r="C10" s="12" t="inlineStr">
        <is>
          <t>Business rule confirmation</t>
        </is>
      </c>
      <c r="D10" s="12" t="inlineStr">
        <is>
          <t>Accounts not in BIBS: Specify the lookup, or confirm the search in BIBS only (CSQ02).</t>
        </is>
      </c>
      <c r="E10" s="12" t="inlineStr">
        <is>
          <t>The legacy lookup interface is not specified (CSQ01, CSQ02).</t>
        </is>
      </c>
      <c r="F10" s="12" t="inlineStr">
        <is>
          <t>The search by PN or application number finds the accounts in BIBS; accounts that exist only in QPS, EBIX or the loan system are found once they are connected.</t>
        </is>
      </c>
      <c r="G10" s="12" t="inlineStr">
        <is>
          <t>FRS BRD-09 v1.1, Proposed business rules and clarifications; BRCSF-003; FR-CSF-010; also raised as CSQ02 (open question)</t>
        </is>
      </c>
      <c r="H10" s="12" t="inlineStr">
        <is>
          <t>Product Owner, Customer Servicing Facility</t>
        </is>
      </c>
      <c r="I10" s="37" t="n">
        <v>46356</v>
      </c>
      <c r="J10" s="12" t="inlineStr">
        <is>
          <t>Medium</t>
        </is>
      </c>
      <c r="K10" s="38" t="inlineStr">
        <is>
          <t>Partly answered</t>
        </is>
      </c>
      <c r="L10" s="12" t="n"/>
      <c r="M10" s="12" t="inlineStr">
        <is>
          <t>Answer so far: Legacy references are retained and searchable. (BRD-13 BRID 4.1, 11.1).</t>
        </is>
      </c>
    </row>
    <row r="11">
      <c r="A11" s="12" t="inlineStr">
        <is>
          <t>CLR-CSF-03</t>
        </is>
      </c>
      <c r="B11" s="12" t="inlineStr">
        <is>
          <t>BRD-09 Customer Servicing Facility</t>
        </is>
      </c>
      <c r="C11" s="12" t="inlineStr">
        <is>
          <t>Business rule confirmation</t>
        </is>
      </c>
      <c r="D11" s="12" t="inlineStr">
        <is>
          <t>Contact details: Confirm the verification checks (CSQ03) and additional contacts (CSQ15).</t>
        </is>
      </c>
      <c r="E11" s="12" t="inlineStr">
        <is>
          <t>E-mail topic 5 asks for verification; additional contacts are open (CSQ15).</t>
        </is>
      </c>
      <c r="F11" s="12" t="inlineStr">
        <is>
          <t>Contact details are updated after a recorded verification of the caller; "add" means additional contacts only if BDOI confirms it.</t>
        </is>
      </c>
      <c r="G11" s="12" t="inlineStr">
        <is>
          <t>FRS BRD-09 v1.1, Proposed business rules and clarifications; BRCSF-004; also raised as CSQ03 (open question), CSQ15 (open question)</t>
        </is>
      </c>
      <c r="H11" s="12" t="inlineStr">
        <is>
          <t>Product Owner, Customer Servicing Facility</t>
        </is>
      </c>
      <c r="I11" s="37" t="n">
        <v>46356</v>
      </c>
      <c r="J11" s="12" t="inlineStr">
        <is>
          <t>Medium</t>
        </is>
      </c>
      <c r="K11" s="38" t="inlineStr">
        <is>
          <t>Open</t>
        </is>
      </c>
      <c r="L11" s="12" t="n"/>
      <c r="M11" s="12" t="n"/>
    </row>
    <row r="12">
      <c r="A12" s="12" t="inlineStr">
        <is>
          <t>CLR-CSF-05</t>
        </is>
      </c>
      <c r="B12" s="12" t="inlineStr">
        <is>
          <t>BRD-09 Customer Servicing Facility</t>
        </is>
      </c>
      <c r="C12" s="12" t="inlineStr">
        <is>
          <t>Business rule confirmation</t>
        </is>
      </c>
      <c r="D12" s="12" t="inlineStr">
        <is>
          <t>Log-in: Confirm decision D6.</t>
        </is>
      </c>
      <c r="E12" s="12" t="inlineStr">
        <is>
          <t>Cross-BRD decision D6.</t>
        </is>
      </c>
      <c r="F12" s="12" t="inlineStr">
        <is>
          <t>The BIBS sign-in applies; directory sign-in (Windows ID) is added for all BIBS users when BDO supplies the interface.</t>
        </is>
      </c>
      <c r="G12" s="12" t="inlineStr">
        <is>
          <t>FRS BRD-09 v1.1, Proposed business rules and clarifications; BRCSF-001; FR-CSF-001</t>
        </is>
      </c>
      <c r="H12" s="12" t="inlineStr">
        <is>
          <t>Product Owner, Customer Servicing Facility</t>
        </is>
      </c>
      <c r="I12" s="37" t="n">
        <v>46356</v>
      </c>
      <c r="J12" s="12" t="inlineStr">
        <is>
          <t>Medium</t>
        </is>
      </c>
      <c r="K12" s="38" t="inlineStr">
        <is>
          <t>Open</t>
        </is>
      </c>
      <c r="L12" s="12" t="n"/>
      <c r="M12" s="12" t="n"/>
    </row>
    <row r="13">
      <c r="A13" s="12" t="inlineStr">
        <is>
          <t>CLR-CSF-06</t>
        </is>
      </c>
      <c r="B13" s="12" t="inlineStr">
        <is>
          <t>BRD-09 Customer Servicing Facility</t>
        </is>
      </c>
      <c r="C13" s="12" t="inlineStr">
        <is>
          <t>Clarification</t>
        </is>
      </c>
      <c r="D13" s="12" t="inlineStr">
        <is>
          <t>Case management: None; the delivery drop is CLR-CSF-07.</t>
        </is>
      </c>
      <c r="E13" s="12" t="inlineStr">
        <is>
          <t>The addendum is the requirement document the e-mail of 13-Feb-2026 asked for.</t>
        </is>
      </c>
      <c r="F13" s="12" t="inlineStr">
        <is>
          <t>Superseded. Case management is specified in section 4.6 (FR-CSF-050 to 061) from the signed Case Management Addendum.</t>
        </is>
      </c>
      <c r="G13" s="12" t="inlineStr">
        <is>
          <t>FRS BRD-09 v1.1, Proposed business rules and clarifications; CSF-EM10</t>
        </is>
      </c>
      <c r="H13" s="12" t="inlineStr">
        <is>
          <t>Product Owner, Customer Servicing Facility</t>
        </is>
      </c>
      <c r="I13" s="37" t="n">
        <v>46356</v>
      </c>
      <c r="J13" s="12" t="inlineStr">
        <is>
          <t>Medium</t>
        </is>
      </c>
      <c r="K13" s="38" t="inlineStr">
        <is>
          <t>Open</t>
        </is>
      </c>
      <c r="L13" s="12" t="n"/>
      <c r="M13" s="12" t="n"/>
    </row>
    <row r="14">
      <c r="A14" s="12" t="inlineStr">
        <is>
          <t>CLR-CSF-07</t>
        </is>
      </c>
      <c r="B14" s="12" t="inlineStr">
        <is>
          <t>BRD-09 Customer Servicing Facility</t>
        </is>
      </c>
      <c r="C14" s="12" t="inlineStr">
        <is>
          <t>Decision</t>
        </is>
      </c>
      <c r="D14" s="12" t="inlineStr">
        <is>
          <t>Delivery drop and plan of the Case Management module: BDOI and the Change Control Board decide the drop in which the Case Management module is delivered and approve its plan and effort; DCR-163 and CR-0005 are then closed against that decision.</t>
        </is>
      </c>
      <c r="E14" s="12" t="inlineStr">
        <is>
          <t>The signed addendum (approved 31-Mar to 22-Apr-2026) makes case management BDOI scope after FRS v1.0 placed it out of scope. It settles the cross-BRD question XQ12 (DCR-163) - Core Replacement BR-165 against BRD-9 CSF-EM10 - and change request CR-0005, which kept case resolution out of phase 1.</t>
        </is>
      </c>
      <c r="F14" s="12" t="inlineStr">
        <is>
          <t>The Case Management module is specified in full in this FRS and its cases are in the test plan. It is a new module: case record, routing table, fulfilment unit role and queues, SLA check and notifications, dashboard and reports, and the case lists. It is proposed for delivery as a change to the BRD-9 scope of Drop 1, assessed and planned through the Change Management Register; the other CSF functions keep their Drop 1 plan.</t>
        </is>
      </c>
      <c r="G14" s="12" t="inlineStr">
        <is>
          <t>FRS BRD-09 v1.1, Proposed business rules and clarifications; BRCSFCM.001-012; CSQ24; also raised as CSQ24 (open question)</t>
        </is>
      </c>
      <c r="H14" s="12" t="inlineStr">
        <is>
          <t>Product Owner, Customer Servicing Facility</t>
        </is>
      </c>
      <c r="I14" s="37" t="n">
        <v>46356</v>
      </c>
      <c r="J14" s="12" t="inlineStr">
        <is>
          <t>Medium</t>
        </is>
      </c>
      <c r="K14" s="38" t="inlineStr">
        <is>
          <t>Open</t>
        </is>
      </c>
      <c r="L14" s="12" t="n"/>
      <c r="M14" s="12" t="n"/>
    </row>
    <row r="15">
      <c r="A15" s="12" t="inlineStr">
        <is>
          <t>CLR-CSF-08</t>
        </is>
      </c>
      <c r="B15" s="12" t="inlineStr">
        <is>
          <t>BRD-09 Customer Servicing Facility</t>
        </is>
      </c>
      <c r="C15" s="12" t="inlineStr">
        <is>
          <t>Business rule confirmation</t>
        </is>
      </c>
      <c r="D15" s="12" t="inlineStr">
        <is>
          <t>Case statuses: Confirm the status list, the transitions of section 5.3 and the escalation indicator.</t>
        </is>
      </c>
      <c r="E15" s="12" t="inlineStr">
        <is>
          <t>The addendum gives two different status lists.</t>
        </is>
      </c>
      <c r="F15" s="12" t="inlineStr">
        <is>
          <t>The five statuses of BRCSFCM.003 are the statuses of a case; Open, In Progress, Pending and Closed of p.4 are shown as their status group and Escalated as an indicator on the open case (section 5.3).</t>
        </is>
      </c>
      <c r="G15" s="12" t="inlineStr">
        <is>
          <t>FRS BRD-09 v1.1, Proposed business rules and clarifications; BRCSFCM.003, p.4; CSQ17; also raised as CSQ17 (open question)</t>
        </is>
      </c>
      <c r="H15" s="12" t="inlineStr">
        <is>
          <t>Product Owner, Customer Servicing Facility</t>
        </is>
      </c>
      <c r="I15" s="37" t="n">
        <v>46356</v>
      </c>
      <c r="J15" s="12" t="inlineStr">
        <is>
          <t>Medium</t>
        </is>
      </c>
      <c r="K15" s="38" t="inlineStr">
        <is>
          <t>Open</t>
        </is>
      </c>
      <c r="L15" s="12" t="n"/>
      <c r="M15" s="12" t="n"/>
    </row>
    <row r="16">
      <c r="A16" s="12" t="inlineStr">
        <is>
          <t>CLR-CSF-09</t>
        </is>
      </c>
      <c r="B16" s="12" t="inlineStr">
        <is>
          <t>BRD-09 Customer Servicing Facility</t>
        </is>
      </c>
      <c r="C16" s="12" t="inlineStr">
        <is>
          <t>Configuration value</t>
        </is>
      </c>
      <c r="D16" s="12" t="inlineStr">
        <is>
          <t>Turnaround time and ageing: Confirm the unit, the pause rule, the near-breach threshold and the automatic escalation per case type.</t>
        </is>
      </c>
      <c r="E16" s="12" t="inlineStr">
        <is>
          <t>The addendum gives the numbers without a unit or a near-breach threshold.</t>
        </is>
      </c>
      <c r="F16" s="12" t="inlineStr">
        <is>
          <t>The turnaround times of p.11 are working days on the BIBS holiday calendar; ageing runs from the creation time without stopping; a case is Approaching breach 1 working day before its due date; a breached case of a type set for it is escalated automatically with the reason Past TAT.</t>
        </is>
      </c>
      <c r="G16" s="12" t="inlineStr">
        <is>
          <t>FRS BRD-09 v1.1, Proposed business rules and clarifications; BRCSFCM.002, 008; p.11; CSQ18; also raised as CSQ18 (open question)</t>
        </is>
      </c>
      <c r="H16" s="12" t="inlineStr">
        <is>
          <t>Product Owner, Customer Servicing Facility</t>
        </is>
      </c>
      <c r="I16" s="37" t="n">
        <v>46356</v>
      </c>
      <c r="J16" s="12" t="inlineStr">
        <is>
          <t>Medium</t>
        </is>
      </c>
      <c r="K16" s="38" t="inlineStr">
        <is>
          <t>Open</t>
        </is>
      </c>
      <c r="L16" s="12" t="n"/>
      <c r="M16" s="12" t="n"/>
    </row>
    <row r="17">
      <c r="A17" s="12" t="inlineStr">
        <is>
          <t>CLR-CSF-10</t>
        </is>
      </c>
      <c r="B17" s="12" t="inlineStr">
        <is>
          <t>BRD-09 Customer Servicing Facility</t>
        </is>
      </c>
      <c r="C17" s="12" t="inlineStr">
        <is>
          <t>Business rule confirmation</t>
        </is>
      </c>
      <c r="D17" s="12" t="inlineStr">
        <is>
          <t>Fulfilment units, routing and lists: Confirm the lists as CSF lists, provide the members and escalation group of each unit and the first routing table.</t>
        </is>
      </c>
      <c r="E17" s="12" t="inlineStr">
        <is>
          <t>The case lists do not match the BIBS market segments and product catalogue, and the addendum does not say who belongs to each unit or how the BU/AO ownership applies.</t>
        </is>
      </c>
      <c r="F17" s="12" t="inlineStr">
        <is>
          <t>The case market segments, product types and fulfilment units are the contact centre's own lists, each value optionally linked to the BIBS market segment or product line. The fulfilment unit is proposed from a routing table of case type, market segment and nature of transaction; the account officer of the account receives a copy. Fulfilment unit users get the csf fulfilment role with the membership of their units through User Access requests.</t>
        </is>
      </c>
      <c r="G17" s="12" t="inlineStr">
        <is>
          <t>FRS BRD-09 v1.1, Proposed business rules and clarifications; BRCSFCM.012, p.4, p.14-17; CSQ19; also raised as CSQ19 (open question)</t>
        </is>
      </c>
      <c r="H17" s="12" t="inlineStr">
        <is>
          <t>Product Owner, Customer Servicing Facility</t>
        </is>
      </c>
      <c r="I17" s="37" t="n">
        <v>46356</v>
      </c>
      <c r="J17" s="12" t="inlineStr">
        <is>
          <t>Medium</t>
        </is>
      </c>
      <c r="K17" s="38" t="inlineStr">
        <is>
          <t>Open</t>
        </is>
      </c>
      <c r="L17" s="12" t="n"/>
      <c r="M17" s="12" t="n"/>
    </row>
    <row r="18">
      <c r="A18" s="12" t="inlineStr">
        <is>
          <t>CLR-CSF-11</t>
        </is>
      </c>
      <c r="B18" s="12" t="inlineStr">
        <is>
          <t>BRD-09 Customer Servicing Facility</t>
        </is>
      </c>
      <c r="C18" s="12" t="inlineStr">
        <is>
          <t>Configuration value</t>
        </is>
      </c>
      <c r="D18" s="12" t="inlineStr">
        <is>
          <t>Case capture rules: Confirm the duplicate rule, the non-client cases, the notification recipients, the priority values and the retention.</t>
        </is>
      </c>
      <c r="E18" s="12" t="inlineStr">
        <is>
          <t>The addendum asks to prevent duplicates "where applicable", names priority changes and filters without values, and does not name the notification recipients.</t>
        </is>
      </c>
      <c r="F18" s="12" t="inlineStr">
        <is>
          <t>A second open case for the same client, account and nature of transaction is refused and the open case is shown. A caller who is not a client is logged with name and contact. The case notification goes to the fulfilment unit and the account officer; no acknowledgement e-mail goes to the client unless BDOI asks for one. Priority values High, Normal (default) and Low; case records are kept as the other CSF records (5 years online, 15 years archive).</t>
        </is>
      </c>
      <c r="G18" s="12" t="inlineStr">
        <is>
          <t>FRS BRD-09 v1.1, Proposed business rules and clarifications; BRCSFCM.001, 006, 011; CSQ20, CSQ21; also raised as CSQ20 (open question), CSQ21 (open question)</t>
        </is>
      </c>
      <c r="H18" s="12" t="inlineStr">
        <is>
          <t>Product Owner, Customer Servicing Facility</t>
        </is>
      </c>
      <c r="I18" s="37" t="n">
        <v>46356</v>
      </c>
      <c r="J18" s="12" t="inlineStr">
        <is>
          <t>Medium</t>
        </is>
      </c>
      <c r="K18" s="38" t="inlineStr">
        <is>
          <t>Open</t>
        </is>
      </c>
      <c r="L18" s="12" t="n"/>
      <c r="M18" s="12" t="n"/>
    </row>
    <row r="19">
      <c r="A19" s="12" t="inlineStr">
        <is>
          <t>CLR-CSF-12</t>
        </is>
      </c>
      <c r="B19" s="12" t="inlineStr">
        <is>
          <t>BRD-09 Customer Servicing Facility</t>
        </is>
      </c>
      <c r="C19" s="12" t="inlineStr">
        <is>
          <t>Configuration value</t>
        </is>
      </c>
      <c r="D19" s="12" t="inlineStr">
        <is>
          <t>Requirement numbering of the addendum: Confirm both.</t>
        </is>
      </c>
      <c r="E19" s="12" t="inlineStr">
        <is>
          <t>The addendum skips BRCSFCM.009 and leaves the priority of BRCSFCM.012 blank.</t>
        </is>
      </c>
      <c r="F19" s="12" t="inlineStr">
        <is>
          <t>BRCSFCM.009 is treated as not used; BRCSFCM.012 is treated as Must have, like the other rows.</t>
        </is>
      </c>
      <c r="G19" s="12" t="inlineStr">
        <is>
          <t>FRS BRD-09 v1.1, Proposed business rules and clarifications; CSQ22; also raised as CSQ22 (open question)</t>
        </is>
      </c>
      <c r="H19" s="12" t="inlineStr">
        <is>
          <t>Product Owner, Customer Servicing Facility</t>
        </is>
      </c>
      <c r="I19" s="37" t="n">
        <v>46356</v>
      </c>
      <c r="J19" s="12" t="inlineStr">
        <is>
          <t>Medium</t>
        </is>
      </c>
      <c r="K19" s="38" t="inlineStr">
        <is>
          <t>Open</t>
        </is>
      </c>
      <c r="L19" s="12" t="n"/>
      <c r="M19" s="12" t="n"/>
    </row>
    <row r="20">
      <c r="A20" s="12" t="inlineStr">
        <is>
          <t>CSQ04</t>
        </is>
      </c>
      <c r="B20" s="12" t="inlineStr">
        <is>
          <t>BRD-09 Customer Servicing Facility</t>
        </is>
      </c>
      <c r="C20" s="12" t="inlineStr">
        <is>
          <t>Clarification</t>
        </is>
      </c>
      <c r="D20" s="12" t="inlineStr">
        <is>
          <t>Statuses: Definitions of Pending, Awaiting, Booked, Open and Closed agreed by Marketing, Processing and Operations (e-mail open item 3), and their mapping to BIBS account and invoice states</t>
        </is>
      </c>
      <c r="E20" s="12" t="inlineStr">
        <is>
          <t>Open point of the FRS (FR-CSF-012): the requirement cannot be finalised or tested as BDOI intends until it is answered.</t>
        </is>
      </c>
      <c r="F20" s="12" t="inlineStr">
        <is>
          <t>Map to BIBS account and invoice states in the CSF design; BDOI confirms.</t>
        </is>
      </c>
      <c r="G20" s="12" t="inlineStr">
        <is>
          <t>FRS BRD-09 v1.1, Open questions CSQ04 (affects FR-CSF-012); Discrepancy and clarification register v1.2, open question CSQ04; baseline BRCSF-005.001, e-mail item 7; also raised as DCR-101 (register item)</t>
        </is>
      </c>
      <c r="H20" s="12" t="inlineStr">
        <is>
          <t>Contact Center Management / Alternative Distribution</t>
        </is>
      </c>
      <c r="I20" s="37" t="n">
        <v>46356</v>
      </c>
      <c r="J20" s="12" t="inlineStr">
        <is>
          <t>Medium</t>
        </is>
      </c>
      <c r="K20" s="38" t="inlineStr">
        <is>
          <t>Open</t>
        </is>
      </c>
      <c r="L20" s="12" t="n"/>
      <c r="M20" s="12" t="n"/>
    </row>
    <row r="21">
      <c r="A21" s="12" t="inlineStr">
        <is>
          <t>CSQ05</t>
        </is>
      </c>
      <c r="B21" s="12" t="inlineStr">
        <is>
          <t>BRD-09 Customer Servicing Facility</t>
        </is>
      </c>
      <c r="C21" s="12" t="inlineStr">
        <is>
          <t>Clarification</t>
        </is>
      </c>
      <c r="D21" s="12" t="inlineStr">
        <is>
          <t>Payment history: Content (receipts, applications, remittances to insurers?) and depth (11-12 months online, older on request?)</t>
        </is>
      </c>
      <c r="E21" s="12" t="inlineStr">
        <is>
          <t>Open point of the FRS (FR-CSF-013): the requirement cannot be finalised or tested as BDOI intends until it is answered.</t>
        </is>
      </c>
      <c r="F21" s="12" t="n"/>
      <c r="G21" s="12" t="inlineStr">
        <is>
          <t>FRS BRD-09 v1.1, Open questions CSQ05 (affects FR-CSF-013); Discrepancy and clarification register v1.2, open question CSQ05; baseline BRCSF-005, e-mail topic 6</t>
        </is>
      </c>
      <c r="H21" s="12" t="inlineStr">
        <is>
          <t>Product Owner, Customer Servicing Facility</t>
        </is>
      </c>
      <c r="I21" s="37" t="n">
        <v>46356</v>
      </c>
      <c r="J21" s="12" t="inlineStr">
        <is>
          <t>Medium</t>
        </is>
      </c>
      <c r="K21" s="38" t="inlineStr">
        <is>
          <t>Open</t>
        </is>
      </c>
      <c r="L21" s="12" t="n"/>
      <c r="M21" s="12" t="n"/>
    </row>
    <row r="22">
      <c r="A22" s="12" t="inlineStr">
        <is>
          <t>CSQ13</t>
        </is>
      </c>
      <c r="B22" s="12" t="inlineStr">
        <is>
          <t>BRD-09 Customer Servicing Facility</t>
        </is>
      </c>
      <c r="C22" s="12" t="inlineStr">
        <is>
          <t>Clarification</t>
        </is>
      </c>
      <c r="D22" s="12" t="inlineStr">
        <is>
          <t>E-policy resend: Only the confirmed e-policy of the account to the registered e-mail? Password as for the original dispatch?</t>
        </is>
      </c>
      <c r="E22" s="12" t="inlineStr">
        <is>
          <t>Open point of the FRS (FR-CSF-031): the requirement cannot be finalised or tested as BDOI intends until it is answered.</t>
        </is>
      </c>
      <c r="F22" s="12" t="inlineStr">
        <is>
          <t>Items 7 and 9 baselined from the e-mail; case management (item 10) out of scope.</t>
        </is>
      </c>
      <c r="G22" s="12" t="inlineStr">
        <is>
          <t>FRS BRD-09 v1.1, Open questions CSQ13 (affects FR-CSF-031); Discrepancy and clarification register v1.2, open question CSQ13; baseline E-mail item 9; also raised as DCR-100 (register item)</t>
        </is>
      </c>
      <c r="H22" s="12" t="inlineStr">
        <is>
          <t>Contact Center Management / Alternative Distribution</t>
        </is>
      </c>
      <c r="I22" s="37" t="n">
        <v>46356</v>
      </c>
      <c r="J22" s="12" t="inlineStr">
        <is>
          <t>Medium</t>
        </is>
      </c>
      <c r="K22" s="38" t="inlineStr">
        <is>
          <t>Open</t>
        </is>
      </c>
      <c r="L22" s="12" t="n"/>
      <c r="M22" s="12" t="n"/>
    </row>
    <row r="23">
      <c r="A23" s="12" t="inlineStr">
        <is>
          <t>CSQ14</t>
        </is>
      </c>
      <c r="B23" s="12" t="inlineStr">
        <is>
          <t>BRD-09 Customer Servicing Facility</t>
        </is>
      </c>
      <c r="C23" s="12" t="inlineStr">
        <is>
          <t>Clarification</t>
        </is>
      </c>
      <c r="D23" s="12" t="inlineStr">
        <is>
          <t>Account contacts: Accounts have their own contact data in BIBS: should a CSF contact update also change the contacts of open accounts, or only the client master?</t>
        </is>
      </c>
      <c r="E23" s="12" t="inlineStr">
        <is>
          <t>Open point of the FRS (FR-CSF-021): the requirement cannot be finalised or tested as BDOI intends until it is answered.</t>
        </is>
      </c>
      <c r="F23" s="12" t="n"/>
      <c r="G23" s="12" t="inlineStr">
        <is>
          <t>FRS BRD-09 v1.1, Open questions CSQ14 (affects FR-CSF-021); Discrepancy and clarification register v1.2, open question CSQ14; baseline BRCSF-004</t>
        </is>
      </c>
      <c r="H23" s="12" t="inlineStr">
        <is>
          <t>Product Owner, Customer Servicing Facility</t>
        </is>
      </c>
      <c r="I23" s="37" t="n">
        <v>46356</v>
      </c>
      <c r="J23" s="12" t="inlineStr">
        <is>
          <t>Medium</t>
        </is>
      </c>
      <c r="K23" s="38" t="inlineStr">
        <is>
          <t>Open</t>
        </is>
      </c>
      <c r="L23" s="12" t="n"/>
      <c r="M23" s="12" t="n"/>
    </row>
    <row r="24">
      <c r="A24" s="12" t="inlineStr">
        <is>
          <t>CSQ16</t>
        </is>
      </c>
      <c r="B24" s="12" t="inlineStr">
        <is>
          <t>BRD-09 Customer Servicing Facility</t>
        </is>
      </c>
      <c r="C24" s="12" t="inlineStr">
        <is>
          <t>Configuration value</t>
        </is>
      </c>
      <c r="D24" s="12" t="inlineStr">
        <is>
          <t>Priorities: "Priority order for servicing (payments vs claims)" and "parameter alignment between the loan system and the insurance system" (e-mail open items): what is expected from CSF?</t>
        </is>
      </c>
      <c r="E24" s="12" t="inlineStr">
        <is>
          <t>Open point of the FRS (Section 1.2): the requirement cannot be finalised or tested as BDOI intends until it is answered.</t>
        </is>
      </c>
      <c r="F24" s="12" t="n"/>
      <c r="G24" s="12" t="inlineStr">
        <is>
          <t>FRS BRD-09 v1.1, Open questions CSQ16 (affects Section 1.2); Discrepancy and clarification register v1.2, open question CSQ16; baseline E-mail topic 11</t>
        </is>
      </c>
      <c r="H24" s="12" t="inlineStr">
        <is>
          <t>Product Owner, Customer Servicing Facility</t>
        </is>
      </c>
      <c r="I24" s="37" t="n">
        <v>46356</v>
      </c>
      <c r="J24" s="12" t="inlineStr">
        <is>
          <t>Medium</t>
        </is>
      </c>
      <c r="K24" s="38" t="inlineStr">
        <is>
          <t>Open</t>
        </is>
      </c>
      <c r="L24" s="12" t="n"/>
      <c r="M24" s="12" t="n"/>
    </row>
    <row r="25">
      <c r="A25" s="12" t="inlineStr">
        <is>
          <t>CSQ23</t>
        </is>
      </c>
      <c r="B25" s="12" t="inlineStr">
        <is>
          <t>BRD-09 Customer Servicing Facility</t>
        </is>
      </c>
      <c r="C25" s="12" t="inlineStr">
        <is>
          <t>Clarification</t>
        </is>
      </c>
      <c r="D25" s="12" t="inlineStr">
        <is>
          <t>Case volumes and peak; migration of the open SharePoint cases at go-live</t>
        </is>
      </c>
      <c r="E25" s="12" t="inlineStr">
        <is>
          <t>Open point of the FRS (Sections 1.2, 8): the requirement cannot be finalised or tested as BDOI intends until it is answered.</t>
        </is>
      </c>
      <c r="F25" s="12" t="n"/>
      <c r="G25" s="12" t="inlineStr">
        <is>
          <t>FRS BRD-09 v1.1, Open questions CSQ23 (affects Sections 1.2, 8)</t>
        </is>
      </c>
      <c r="H25" s="12" t="inlineStr">
        <is>
          <t>Product Owner, Customer Servicing Facility</t>
        </is>
      </c>
      <c r="I25" s="37" t="n">
        <v>46356</v>
      </c>
      <c r="J25" s="12" t="inlineStr">
        <is>
          <t>Medium</t>
        </is>
      </c>
      <c r="K25" s="38" t="inlineStr">
        <is>
          <t>Open</t>
        </is>
      </c>
      <c r="L25" s="12" t="n"/>
      <c r="M25" s="12" t="n"/>
    </row>
    <row r="26">
      <c r="A26" s="12" t="inlineStr">
        <is>
          <t>DCR-099</t>
        </is>
      </c>
      <c r="B26" s="12" t="inlineStr">
        <is>
          <t>BRD-09 Customer Servicing Facility</t>
        </is>
      </c>
      <c r="C26" s="12" t="inlineStr">
        <is>
          <t>Clarification</t>
        </is>
      </c>
      <c r="D26" s="12" t="inlineStr">
        <is>
          <t>Note the proposed handling (no answer needed unless BDOI disagrees): Cite as BRCSF-001 / 1.001.</t>
        </is>
      </c>
      <c r="E26" s="12" t="inlineStr">
        <is>
          <t>BRCSF-001 is used for the System Admin requirement (process 1) and for the agent log-in step (1.001). Process steps reuse the parent ID. Traceability only.</t>
        </is>
      </c>
      <c r="F26" s="12" t="inlineStr">
        <is>
          <t>Cite as BRCSF-001 / 1.001.</t>
        </is>
      </c>
      <c r="G26" s="12" t="inlineStr">
        <is>
          <t>Discrepancy and clarification register v1.2, DCR-099 (Data / numbering issue); BRCSF-001 (p.6)</t>
        </is>
      </c>
      <c r="H26" s="12" t="inlineStr">
        <is>
          <t>Contact Center Management / Alternative Distribution</t>
        </is>
      </c>
      <c r="I26" s="37" t="n">
        <v>46356</v>
      </c>
      <c r="J26" s="12" t="inlineStr">
        <is>
          <t>Low</t>
        </is>
      </c>
      <c r="K26" s="38" t="inlineStr">
        <is>
          <t>Open</t>
        </is>
      </c>
      <c r="L26" s="12" t="n"/>
      <c r="M26" s="12" t="n"/>
    </row>
    <row r="27">
      <c r="A27" s="12" t="inlineStr">
        <is>
          <t>DCR-105</t>
        </is>
      </c>
      <c r="B27" s="12" t="inlineStr">
        <is>
          <t>BRD-09 Customer Servicing Facility</t>
        </is>
      </c>
      <c r="C27" s="12" t="inlineStr">
        <is>
          <t>Business rule confirmation</t>
        </is>
      </c>
      <c r="D27" s="12" t="inlineStr">
        <is>
          <t>Confirm both names refer to the same system.</t>
        </is>
      </c>
      <c r="E27" s="12" t="inlineStr">
        <is>
          <t>The current system is called "BDO-Insure Front-End System" in the BRD and "IBS" in the e-mail ("The CSF BRD aims to replace IBS"). None.</t>
        </is>
      </c>
      <c r="F27" s="12" t="inlineStr">
        <is>
          <t>None.</t>
        </is>
      </c>
      <c r="G27" s="12" t="inlineStr">
        <is>
          <t>Discrepancy and clarification register v1.2, DCR-105 (Document quality); Current process (p.4); e-mail (p.17)</t>
        </is>
      </c>
      <c r="H27" s="12" t="inlineStr">
        <is>
          <t>Contact Center Management / Alternative Distribution</t>
        </is>
      </c>
      <c r="I27" s="37" t="n">
        <v>46356</v>
      </c>
      <c r="J27" s="12" t="inlineStr">
        <is>
          <t>Low</t>
        </is>
      </c>
      <c r="K27" s="38" t="inlineStr">
        <is>
          <t>Open</t>
        </is>
      </c>
      <c r="L27" s="12" t="n"/>
      <c r="M27" s="12" t="n"/>
    </row>
    <row r="28">
      <c r="A28" s="12" t="inlineStr">
        <is>
          <t>SO-09-2</t>
        </is>
      </c>
      <c r="B28" s="12" t="inlineStr">
        <is>
          <t>BRD-09 Customer Servicing Facility</t>
        </is>
      </c>
      <c r="C28" s="12" t="inlineStr">
        <is>
          <t>Sign-off</t>
        </is>
      </c>
      <c r="D28" s="12" t="inlineStr">
        <is>
          <t>Approve the test plan of BRD-09 Customer Servicing Facility.</t>
        </is>
      </c>
      <c r="E28" s="12" t="inlineStr">
        <is>
          <t>The signed document fixes the scope for the next step of the plan; a late sign-off moves the dates that follow it.</t>
        </is>
      </c>
      <c r="F28" s="12" t="n"/>
      <c r="G28" s="12" t="inlineStr">
        <is>
          <t>Project plan v1.0 (8-Oct-2026), sign-offs and milestones</t>
        </is>
      </c>
      <c r="H28" s="12" t="inlineStr">
        <is>
          <t>Product Owner, Customer Servicing Facility</t>
        </is>
      </c>
      <c r="I28" s="37" t="n">
        <v>46374</v>
      </c>
      <c r="J28" s="12" t="inlineStr">
        <is>
          <t>High</t>
        </is>
      </c>
      <c r="K28" s="38" t="inlineStr">
        <is>
          <t>Open</t>
        </is>
      </c>
      <c r="L28" s="12" t="n"/>
      <c r="M28" s="12" t="n"/>
    </row>
    <row r="29">
      <c r="A29" s="12" t="inlineStr">
        <is>
          <t>TD-09</t>
        </is>
      </c>
      <c r="B29" s="12" t="inlineStr">
        <is>
          <t>BRD-09 Customer Servicing Facility</t>
        </is>
      </c>
      <c r="C29" s="12" t="inlineStr">
        <is>
          <t>Test data</t>
        </is>
      </c>
      <c r="D29" s="12" t="inlineStr">
        <is>
          <t>Name the UAT testers of BRD-09 Customer Servicing Facility (at least two per business unit, with their user IDs and group profiles) and provide the business data of the UAT scenarios: the clients, policies, insurers and amounts each scenario of the test plan uses, from the migrated data of Trial migration 3 or as additional cases.</t>
        </is>
      </c>
      <c r="E29" s="12" t="inlineStr">
        <is>
          <t>UAT of Drop 1 runs on migrated data and the production values; testers without access or scenarios without data stop the UAT.</t>
        </is>
      </c>
      <c r="F29" s="12" t="inlineStr">
        <is>
          <t>The test plan (04 workbook of the set) names the scenarios; the BDOI testers choose the cases from the migrated data and add the cases the legacy data does not hold.</t>
        </is>
      </c>
      <c r="G29" s="12" t="inlineStr">
        <is>
          <t>Project plan: dependency DEP-20 (UAT testers), milestone MS-20 (UAT plans, values for UAT and testers, 16-Jul-2027)</t>
        </is>
      </c>
      <c r="H29" s="12" t="inlineStr">
        <is>
          <t>Product Owner, Customer Servicing Facility (UAT testers of the business units)</t>
        </is>
      </c>
      <c r="I29" s="37" t="n">
        <v>46584</v>
      </c>
      <c r="J29" s="12" t="inlineStr">
        <is>
          <t>High</t>
        </is>
      </c>
      <c r="K29" s="38" t="inlineStr">
        <is>
          <t>Open</t>
        </is>
      </c>
      <c r="L29" s="12" t="n"/>
      <c r="M29" s="12" t="n"/>
    </row>
    <row r="30">
      <c r="A30" s="12" t="inlineStr">
        <is>
          <t>SO-09-3</t>
        </is>
      </c>
      <c r="B30" s="12" t="inlineStr">
        <is>
          <t>BRD-09 Customer Servicing Facility</t>
        </is>
      </c>
      <c r="C30" s="12" t="inlineStr">
        <is>
          <t>Sign-off</t>
        </is>
      </c>
      <c r="D30" s="12" t="inlineStr">
        <is>
          <t>Sign the UAT sign-off certificate of BRD-09 Customer Servicing Facility.</t>
        </is>
      </c>
      <c r="E30" s="12" t="inlineStr">
        <is>
          <t>The signed document fixes the scope for the next step of the plan; a late sign-off moves the dates that follow it.</t>
        </is>
      </c>
      <c r="F30" s="12" t="n"/>
      <c r="G30" s="12" t="inlineStr">
        <is>
          <t>Project plan v1.0 (8-Oct-2026), sign-offs and milestones</t>
        </is>
      </c>
      <c r="H30" s="12" t="inlineStr">
        <is>
          <t>Product Owner, Customer Servicing Facility; BIBS Product Owner</t>
        </is>
      </c>
      <c r="I30" s="37" t="n">
        <v>46738</v>
      </c>
      <c r="J30" s="12" t="inlineStr">
        <is>
          <t>High</t>
        </is>
      </c>
      <c r="K30" s="38" t="inlineStr">
        <is>
          <t>Open</t>
        </is>
      </c>
      <c r="L30" s="12" t="n"/>
      <c r="M30" s="12" t="n"/>
    </row>
  </sheetData>
  <autoFilter ref="A4:M30"/>
  <mergeCells count="1">
    <mergeCell ref="A2:M2"/>
  </mergeCells>
  <conditionalFormatting sqref="K5:K530">
    <cfRule type="cellIs" priority="1" operator="equal" dxfId="0" stopIfTrue="1">
      <formula>"Open"</formula>
    </cfRule>
    <cfRule type="cellIs" priority="2" operator="equal" dxfId="1" stopIfTrue="1">
      <formula>"Answered"</formula>
    </cfRule>
  </conditionalFormatting>
  <conditionalFormatting sqref="A5:M530">
    <cfRule type="expression" priority="3" dxfId="2">
      <formula>AND(MOD(ROW(),2)=0,$A5&lt;&gt;"")</formula>
    </cfRule>
  </conditionalFormatting>
  <conditionalFormatting sqref="K5:K531">
    <cfRule type="cellIs" priority="4" operator="equal" dxfId="3" stopIfTrue="1">
      <formula>"Partly answered"</formula>
    </cfRule>
  </conditionalFormatting>
  <dataValidations count="3">
    <dataValidation sqref="C5:C530" showDropDown="0" showInputMessage="0" showErrorMessage="1" allowBlank="1" errorTitle="Type" error="Choose a value from the list (Type)." type="list">
      <formula1>'_lists'!$AB$1:$AB$10</formula1>
    </dataValidation>
    <dataValidation sqref="J5:J530" showDropDown="0" showInputMessage="0" showErrorMessage="1" allowBlank="1" errorTitle="Priority" error="Choose a value from the list (Priority)." type="list">
      <formula1>'_lists'!$AC$1:$AC$3</formula1>
    </dataValidation>
    <dataValidation sqref="K5:K530" showDropDown="0" showInputMessage="0" showErrorMessage="1" allowBlank="1" errorTitle="Status" error="Choose a value from the list (Status)." type="list">
      <formula1>'_lists'!$AD$1:$AD$3</formula1>
    </dataValidation>
  </dataValidations>
  <printOptions horizontalCentered="1"/>
  <pageMargins left="0.4" right="0.4" top="0.6" bottom="0.6" header="0.5" footer="0.5"/>
  <pageSetup orientation="landscape" paperSize="1" fitToHeight="0" fitToWidth="1"/>
  <headerFooter>
    <oddHeader>&amp;L&amp;8 &amp;K004EA8BDOI Requirements and Inputs by BRD&amp;R&amp;8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4.xml><?xml version="1.0" encoding="utf-8"?>
<worksheet xmlns="http://schemas.openxmlformats.org/spreadsheetml/2006/main">
  <sheetPr>
    <outlinePr summaryBelow="1" summaryRight="1"/>
    <pageSetUpPr fitToPage="1"/>
  </sheetPr>
  <dimension ref="A1:M2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6" customWidth="1" min="3" max="3"/>
    <col width="60" customWidth="1" min="4" max="4"/>
    <col width="46" customWidth="1" min="5" max="5"/>
    <col width="46" customWidth="1" min="6" max="6"/>
    <col width="40" customWidth="1" min="7" max="7"/>
    <col width="26" customWidth="1" min="8" max="8"/>
    <col width="12" customWidth="1" min="9" max="9"/>
    <col width="10" customWidth="1" min="10" max="10"/>
    <col width="14" customWidth="1" min="11" max="11"/>
    <col width="40" customWidth="1" min="12" max="12"/>
    <col width="34" customWidth="1" min="13" max="13"/>
  </cols>
  <sheetData>
    <row r="1" ht="24" customHeight="1">
      <c r="A1" s="34" t="inlineStr">
        <is>
          <t>BRD-10 Sanction Screening</t>
        </is>
      </c>
    </row>
    <row r="2">
      <c r="A2" s="21" t="inlineStr">
        <is>
          <t>BRD-10 Sanction Screening and Risk Profiling: what BDOI provides; owner Chief Compliance Officer (Compliance)</t>
        </is>
      </c>
    </row>
    <row r="3" ht="6" customHeight="1">
      <c r="A3" s="35" t="n"/>
      <c r="B3" s="35" t="n"/>
      <c r="C3" s="35" t="n"/>
      <c r="D3" s="35" t="n"/>
      <c r="E3" s="35" t="n"/>
      <c r="F3" s="35" t="n"/>
      <c r="G3" s="35" t="n"/>
      <c r="H3" s="35" t="n"/>
      <c r="I3" s="35" t="n"/>
      <c r="J3" s="35" t="n"/>
      <c r="K3" s="35" t="n"/>
      <c r="L3" s="35" t="n"/>
      <c r="M3" s="35" t="n"/>
    </row>
    <row r="4" ht="30" customHeight="1">
      <c r="A4" s="36" t="inlineStr">
        <is>
          <t>Ref</t>
        </is>
      </c>
      <c r="B4" s="36" t="inlineStr">
        <is>
          <t>BRD / module</t>
        </is>
      </c>
      <c r="C4" s="36" t="inlineStr">
        <is>
          <t>Type</t>
        </is>
      </c>
      <c r="D4" s="36" t="inlineStr">
        <is>
          <t>What we need from BDOI</t>
        </is>
      </c>
      <c r="E4" s="36" t="inlineStr">
        <is>
          <t>Why / impact if not provided</t>
        </is>
      </c>
      <c r="F4" s="36" t="inlineStr">
        <is>
          <t>Our proposal (if any)</t>
        </is>
      </c>
      <c r="G4" s="36" t="inlineStr">
        <is>
          <t>Source (FRS section / CLR / BRD page)</t>
        </is>
      </c>
      <c r="H4" s="36" t="inlineStr">
        <is>
          <t>BDOI owner (role)</t>
        </is>
      </c>
      <c r="I4" s="36" t="inlineStr">
        <is>
          <t>Needed by</t>
        </is>
      </c>
      <c r="J4" s="36" t="inlineStr">
        <is>
          <t>Priority</t>
        </is>
      </c>
      <c r="K4" s="36" t="inlineStr">
        <is>
          <t>Status</t>
        </is>
      </c>
      <c r="L4" s="36" t="inlineStr">
        <is>
          <t>BDOI response</t>
        </is>
      </c>
      <c r="M4" s="36" t="inlineStr">
        <is>
          <t>Remarks</t>
        </is>
      </c>
    </row>
    <row r="5">
      <c r="A5" s="12" t="inlineStr">
        <is>
          <t>SO-10-1</t>
        </is>
      </c>
      <c r="B5" s="12" t="inlineStr">
        <is>
          <t>BRD-10 Sanction Screening and Risk Profiling</t>
        </is>
      </c>
      <c r="C5" s="12" t="inlineStr">
        <is>
          <t>Sign-off</t>
        </is>
      </c>
      <c r="D5" s="12" t="inlineStr">
        <is>
          <t>Sign the FRS and sign-off set of BRD-10 Sanction Screening and Risk Profiling.</t>
        </is>
      </c>
      <c r="E5" s="12" t="inlineStr">
        <is>
          <t>The signed document fixes the scope for the next step of the plan; a late sign-off moves the dates that follow it.</t>
        </is>
      </c>
      <c r="F5" s="12" t="n"/>
      <c r="G5" s="12" t="inlineStr">
        <is>
          <t>Project plan v1.0 (8-Oct-2026), sign-offs and milestones</t>
        </is>
      </c>
      <c r="H5" s="12" t="inlineStr">
        <is>
          <t>Chief Compliance Officer (Compliance); Business Project Services (traceability)</t>
        </is>
      </c>
      <c r="I5" s="37" t="n">
        <v>46356</v>
      </c>
      <c r="J5" s="12" t="inlineStr">
        <is>
          <t>High</t>
        </is>
      </c>
      <c r="K5" s="38" t="inlineStr">
        <is>
          <t>Open</t>
        </is>
      </c>
      <c r="L5" s="12" t="n"/>
      <c r="M5" s="12" t="n"/>
    </row>
    <row r="6">
      <c r="A6" s="12" t="inlineStr">
        <is>
          <t>CLR-SS-02</t>
        </is>
      </c>
      <c r="B6" s="12" t="inlineStr">
        <is>
          <t>BRD-10 Sanction Screening and Risk Profiling</t>
        </is>
      </c>
      <c r="C6" s="12" t="inlineStr">
        <is>
          <t>Configuration value</t>
        </is>
      </c>
      <c r="D6" s="12" t="inlineStr">
        <is>
          <t>Matching thresholds: Give the thresholds and the fields compared (SANC-SQ02).</t>
        </is>
      </c>
      <c r="E6" s="12" t="inlineStr">
        <is>
          <t>The BRD gives no values (SANC-SQ02).</t>
        </is>
      </c>
      <c r="F6" s="12" t="inlineStr">
        <is>
          <t>BIBS starts with seed thresholds per method; Compliance enters the production values before go-live.</t>
        </is>
      </c>
      <c r="G6" s="12" t="inlineStr">
        <is>
          <t>FRS BRD-10 v1.1, Proposed business rules and clarifications; FR-SS-011, 031; also raised as SANC-SQ02 (open question)</t>
        </is>
      </c>
      <c r="H6" s="12" t="inlineStr">
        <is>
          <t>Chief Compliance Officer (Compliance)</t>
        </is>
      </c>
      <c r="I6" s="37" t="n">
        <v>46356</v>
      </c>
      <c r="J6" s="12" t="inlineStr">
        <is>
          <t>Medium</t>
        </is>
      </c>
      <c r="K6" s="38" t="inlineStr">
        <is>
          <t>Open</t>
        </is>
      </c>
      <c r="L6" s="12" t="n"/>
      <c r="M6" s="12" t="n"/>
    </row>
    <row r="7">
      <c r="A7" s="12" t="inlineStr">
        <is>
          <t>CLR-SS-03</t>
        </is>
      </c>
      <c r="B7" s="12" t="inlineStr">
        <is>
          <t>BRD-10 Sanction Screening and Risk Profiling</t>
        </is>
      </c>
      <c r="C7" s="12" t="inlineStr">
        <is>
          <t>Clarification</t>
        </is>
      </c>
      <c r="D7" s="12" t="inlineStr">
        <is>
          <t>Screening does not block business: BDOI Compliance chooses inform or block before the sign-off of this FRS and of FRS BRD-1 (SANC-SQ07).</t>
        </is>
      </c>
      <c r="E7" s="12" t="inlineStr">
        <is>
          <t>The BRD does not say whether an open match blocks business (SANC-SQ07). The choice changes the New Business journey (FRS BRD-1).</t>
        </is>
      </c>
      <c r="F7" s="12" t="inlineStr">
        <is>
          <t>Screening informs and does not block quotation, account submission, placement or booking; a block is added only if BDOI asks.</t>
        </is>
      </c>
      <c r="G7" s="12" t="inlineStr">
        <is>
          <t>FRS BRD-10 v1.1, Proposed business rules and clarifications; FR-SS-033; also raised as SANC-SQ07 (open question)</t>
        </is>
      </c>
      <c r="H7" s="12" t="inlineStr">
        <is>
          <t>Chief Compliance Officer (Compliance)</t>
        </is>
      </c>
      <c r="I7" s="37" t="n">
        <v>46356</v>
      </c>
      <c r="J7" s="12" t="inlineStr">
        <is>
          <t>Medium</t>
        </is>
      </c>
      <c r="K7" s="38" t="inlineStr">
        <is>
          <t>Open</t>
        </is>
      </c>
      <c r="L7" s="12" t="n"/>
      <c r="M7" s="12" t="n"/>
    </row>
    <row r="8">
      <c r="A8" s="12" t="inlineStr">
        <is>
          <t>CLR-SS-04</t>
        </is>
      </c>
      <c r="B8" s="12" t="inlineStr">
        <is>
          <t>BRD-10 Sanction Screening and Risk Profiling</t>
        </is>
      </c>
      <c r="C8" s="12" t="inlineStr">
        <is>
          <t>Clarification</t>
        </is>
      </c>
      <c r="D8" s="12" t="inlineStr">
        <is>
          <t>Active policy: Give the definition of an active policy (SANC-SQ10).</t>
        </is>
      </c>
      <c r="E8" s="12" t="inlineStr">
        <is>
          <t>The BRD does not define an active policy (SANC-SQ10).</t>
        </is>
      </c>
      <c r="F8" s="12" t="inlineStr">
        <is>
          <t>A client has an active policy when one of the client's accounts is policy issued or BOOKED; only such clients require a KYC review or EDD.</t>
        </is>
      </c>
      <c r="G8" s="12" t="inlineStr">
        <is>
          <t>FRS BRD-10 v1.1, Proposed business rules and clarifications; SNSRP-303; FR-SS-034; also raised as SANC-SQ10 (open question)</t>
        </is>
      </c>
      <c r="H8" s="12" t="inlineStr">
        <is>
          <t>Chief Compliance Officer (Compliance)</t>
        </is>
      </c>
      <c r="I8" s="37" t="n">
        <v>46356</v>
      </c>
      <c r="J8" s="12" t="inlineStr">
        <is>
          <t>Medium</t>
        </is>
      </c>
      <c r="K8" s="38" t="inlineStr">
        <is>
          <t>Open</t>
        </is>
      </c>
      <c r="L8" s="12" t="n"/>
      <c r="M8" s="12" t="n"/>
    </row>
    <row r="9">
      <c r="A9" s="12" t="inlineStr">
        <is>
          <t>CLR-SS-05</t>
        </is>
      </c>
      <c r="B9" s="12" t="inlineStr">
        <is>
          <t>BRD-10 Sanction Screening and Risk Profiling</t>
        </is>
      </c>
      <c r="C9" s="12" t="inlineStr">
        <is>
          <t>Business rule confirmation</t>
        </is>
      </c>
      <c r="D9" s="12" t="inlineStr">
        <is>
          <t>Approver: Confirm the Approver and the matrix dimensions (SANC-SQ04).</t>
        </is>
      </c>
      <c r="E9" s="12" t="inlineStr">
        <is>
          <t>The BRD does not name the Approver (SANC-SQ04).</t>
        </is>
      </c>
      <c r="F9" s="12" t="inlineStr">
        <is>
          <t>The Approver is the Unit Head of the client's marketing unit.</t>
        </is>
      </c>
      <c r="G9" s="12" t="inlineStr">
        <is>
          <t>FRS BRD-10 v1.1, Proposed business rules and clarifications; FR-SS-013; also raised as SANC-SQ04 (open question)</t>
        </is>
      </c>
      <c r="H9" s="12" t="inlineStr">
        <is>
          <t>Chief Compliance Officer (Compliance)</t>
        </is>
      </c>
      <c r="I9" s="37" t="n">
        <v>46356</v>
      </c>
      <c r="J9" s="12" t="inlineStr">
        <is>
          <t>Medium</t>
        </is>
      </c>
      <c r="K9" s="38" t="inlineStr">
        <is>
          <t>Open</t>
        </is>
      </c>
      <c r="L9" s="12" t="n"/>
      <c r="M9" s="12" t="n"/>
    </row>
    <row r="10">
      <c r="A10" s="12" t="inlineStr">
        <is>
          <t>CLR-SS-06</t>
        </is>
      </c>
      <c r="B10" s="12" t="inlineStr">
        <is>
          <t>BRD-10 Sanction Screening and Risk Profiling</t>
        </is>
      </c>
      <c r="C10" s="12" t="inlineStr">
        <is>
          <t>Clarification</t>
        </is>
      </c>
      <c r="D10" s="12" t="inlineStr">
        <is>
          <t>AML Committee: Give the decision rule (SANC-SQ15).</t>
        </is>
      </c>
      <c r="E10" s="12" t="inlineStr">
        <is>
          <t>The decision rule is not given (SANC-SQ15).</t>
        </is>
      </c>
      <c r="F10" s="12" t="inlineStr">
        <is>
          <t>The AML Committee decides by majority of five members.</t>
        </is>
      </c>
      <c r="G10" s="12" t="inlineStr">
        <is>
          <t>FRS BRD-10 v1.1, Proposed business rules and clarifications; FR-SS-064; also raised as SANC-SQ15 (open question), DCR-108 (register item)</t>
        </is>
      </c>
      <c r="H10" s="12" t="inlineStr">
        <is>
          <t>Compliance (Chief Compliance Officer)</t>
        </is>
      </c>
      <c r="I10" s="37" t="n">
        <v>46356</v>
      </c>
      <c r="J10" s="12" t="inlineStr">
        <is>
          <t>Medium</t>
        </is>
      </c>
      <c r="K10" s="38" t="inlineStr">
        <is>
          <t>Open</t>
        </is>
      </c>
      <c r="L10" s="12" t="n"/>
      <c r="M10" s="12" t="n"/>
    </row>
    <row r="11">
      <c r="A11" s="12" t="inlineStr">
        <is>
          <t>CLR-SS-07</t>
        </is>
      </c>
      <c r="B11" s="12" t="inlineStr">
        <is>
          <t>BRD-10 Sanction Screening and Risk Profiling</t>
        </is>
      </c>
      <c r="C11" s="12" t="inlineStr">
        <is>
          <t>Clarification</t>
        </is>
      </c>
      <c r="D11" s="12" t="inlineStr">
        <is>
          <t>STR file: Give the AMLC format and the folder (SANC-SQ09, SANC-SQ16).</t>
        </is>
      </c>
      <c r="E11" s="12" t="inlineStr">
        <is>
          <t>The AMLC format and the designated folder are not given (SANC-SQ09, SANC-SQ16).</t>
        </is>
      </c>
      <c r="F11" s="12" t="inlineStr">
        <is>
          <t>The STR file is created with a provisional layout of the case fields and saved in the BIBS report archive, from which Compliance downloads it; the AMLC layout is entered as a new version when BDOI supplies it.</t>
        </is>
      </c>
      <c r="G11" s="12" t="inlineStr">
        <is>
          <t>FRS BRD-10 v1.1, Proposed business rules and clarifications; SNSRP-706; FR-SS-017, 071; also raised as SANC-SQ09 (open question), SANC-SQ16 (open question)</t>
        </is>
      </c>
      <c r="H11" s="12" t="inlineStr">
        <is>
          <t>Chief Compliance Officer (Compliance)</t>
        </is>
      </c>
      <c r="I11" s="37" t="n">
        <v>46356</v>
      </c>
      <c r="J11" s="12" t="inlineStr">
        <is>
          <t>Medium</t>
        </is>
      </c>
      <c r="K11" s="38" t="inlineStr">
        <is>
          <t>Open</t>
        </is>
      </c>
      <c r="L11" s="12" t="n"/>
      <c r="M11" s="12" t="n"/>
    </row>
    <row r="12">
      <c r="A12" s="12" t="inlineStr">
        <is>
          <t>CLR-SS-08</t>
        </is>
      </c>
      <c r="B12" s="12" t="inlineStr">
        <is>
          <t>BRD-10 Sanction Screening and Risk Profiling</t>
        </is>
      </c>
      <c r="C12" s="12" t="inlineStr">
        <is>
          <t>Sample document or template</t>
        </is>
      </c>
      <c r="D12" s="12" t="inlineStr">
        <is>
          <t>Templates: Give the field lists (SANC-SQ05).</t>
        </is>
      </c>
      <c r="E12" s="12" t="inlineStr">
        <is>
          <t>The field lists are not given (SANC-SQ05).</t>
        </is>
      </c>
      <c r="F12" s="12" t="inlineStr">
        <is>
          <t>BIBS starts with seed KYC review, transaction review, EDD and STR templates; Compliance maintains them as versions.</t>
        </is>
      </c>
      <c r="G12" s="12" t="inlineStr">
        <is>
          <t>FRS BRD-10 v1.1, Proposed business rules and clarifications; FR-SS-016, 050, 070; also raised as SANC-SQ05 (open question), DCR-111 (register item)</t>
        </is>
      </c>
      <c r="H12" s="12" t="inlineStr">
        <is>
          <t>Compliance (Chief Compliance Officer)</t>
        </is>
      </c>
      <c r="I12" s="37" t="n">
        <v>46356</v>
      </c>
      <c r="J12" s="12" t="inlineStr">
        <is>
          <t>Medium</t>
        </is>
      </c>
      <c r="K12" s="38" t="inlineStr">
        <is>
          <t>Open</t>
        </is>
      </c>
      <c r="L12" s="12" t="n"/>
      <c r="M12" s="12" t="n"/>
    </row>
    <row r="13">
      <c r="A13" s="12" t="inlineStr">
        <is>
          <t>CLR-SS-09</t>
        </is>
      </c>
      <c r="B13" s="12" t="inlineStr">
        <is>
          <t>BRD-10 Sanction Screening and Risk Profiling</t>
        </is>
      </c>
      <c r="C13" s="12" t="inlineStr">
        <is>
          <t>Business rule confirmation</t>
        </is>
      </c>
      <c r="D13" s="12" t="inlineStr">
        <is>
          <t>Dispositions: Confirm the dispositions (SANC-SQ06).</t>
        </is>
      </c>
      <c r="E13" s="12" t="inlineStr">
        <is>
          <t>The dispositions and validation criteria are not given (SANC-SQ06).</t>
        </is>
      </c>
      <c r="F13" s="12" t="inlineStr">
        <is>
          <t>The dispositions per stage start with the values provided in section 9 and are maintained as a list of values with maker-checker.</t>
        </is>
      </c>
      <c r="G13" s="12" t="inlineStr">
        <is>
          <t>FRS BRD-10 v1.1, Proposed business rules and clarifications; FR-SS-018, 060; also raised as SANC-SQ06 (open question)</t>
        </is>
      </c>
      <c r="H13" s="12" t="inlineStr">
        <is>
          <t>Chief Compliance Officer (Compliance)</t>
        </is>
      </c>
      <c r="I13" s="37" t="n">
        <v>46356</v>
      </c>
      <c r="J13" s="12" t="inlineStr">
        <is>
          <t>Medium</t>
        </is>
      </c>
      <c r="K13" s="38" t="inlineStr">
        <is>
          <t>Open</t>
        </is>
      </c>
      <c r="L13" s="12" t="n"/>
      <c r="M13" s="12" t="n"/>
    </row>
    <row r="14">
      <c r="A14" s="12" t="inlineStr">
        <is>
          <t>CLR-SS-10</t>
        </is>
      </c>
      <c r="B14" s="12" t="inlineStr">
        <is>
          <t>BRD-10 Sanction Screening and Risk Profiling</t>
        </is>
      </c>
      <c r="C14" s="12" t="inlineStr">
        <is>
          <t>Business rule confirmation</t>
        </is>
      </c>
      <c r="D14" s="12" t="inlineStr">
        <is>
          <t>Investigators: Confirm the investigators (SANC-SQ19).</t>
        </is>
      </c>
      <c r="E14" s="12" t="inlineStr">
        <is>
          <t>Who the 287 investigators are is open (SANC-SQ19); cross-BRD decision D5.</t>
        </is>
      </c>
      <c r="F14" s="12" t="inlineStr">
        <is>
          <t>Investigators may be existing Marketing Account Officers; BDOI grants scr investigator in addition to their role, as a user may hold several roles.</t>
        </is>
      </c>
      <c r="G14" s="12" t="inlineStr">
        <is>
          <t>FRS BRD-10 v1.1, Proposed business rules and clarifications; section 3; also raised as SANC-SQ19 (open question), DCR-110 (register item)</t>
        </is>
      </c>
      <c r="H14" s="12" t="inlineStr">
        <is>
          <t>Compliance (Chief Compliance Officer)</t>
        </is>
      </c>
      <c r="I14" s="37" t="n">
        <v>46356</v>
      </c>
      <c r="J14" s="12" t="inlineStr">
        <is>
          <t>Medium</t>
        </is>
      </c>
      <c r="K14" s="38" t="inlineStr">
        <is>
          <t>Open</t>
        </is>
      </c>
      <c r="L14" s="12" t="n"/>
      <c r="M14" s="12" t="n"/>
    </row>
    <row r="15">
      <c r="A15" s="12" t="inlineStr">
        <is>
          <t>CLR-SS-11</t>
        </is>
      </c>
      <c r="B15" s="12" t="inlineStr">
        <is>
          <t>BRD-10 Sanction Screening and Risk Profiling</t>
        </is>
      </c>
      <c r="C15" s="12" t="inlineStr">
        <is>
          <t>Business rule confirmation</t>
        </is>
      </c>
      <c r="D15" s="12" t="inlineStr">
        <is>
          <t>Adverse media: Confirm the scope (SANC-SQ20).</t>
        </is>
      </c>
      <c r="E15" s="12" t="inlineStr">
        <is>
          <t>BSP M-2025-017 is cited in the objectives, but no requirement asks for it (SANC-SQ20).</t>
        </is>
      </c>
      <c r="F15" s="12" t="inlineStr">
        <is>
          <t>Adverse-media screening is out of scope; the list type adverse media is available if BDOI adds a source.</t>
        </is>
      </c>
      <c r="G15" s="12" t="inlineStr">
        <is>
          <t>FRS BRD-10 v1.1, Proposed business rules and clarifications; section 1.2; also raised as SANC-SQ20 (open question)</t>
        </is>
      </c>
      <c r="H15" s="12" t="inlineStr">
        <is>
          <t>Chief Compliance Officer (Compliance)</t>
        </is>
      </c>
      <c r="I15" s="37" t="n">
        <v>46356</v>
      </c>
      <c r="J15" s="12" t="inlineStr">
        <is>
          <t>Medium</t>
        </is>
      </c>
      <c r="K15" s="38" t="inlineStr">
        <is>
          <t>Open</t>
        </is>
      </c>
      <c r="L15" s="12" t="n"/>
      <c r="M15" s="12" t="n"/>
    </row>
    <row r="16">
      <c r="A16" s="12" t="inlineStr">
        <is>
          <t>SANC-SQ08</t>
        </is>
      </c>
      <c r="B16" s="12" t="inlineStr">
        <is>
          <t>BRD-10 Sanction Screening and Risk Profiling</t>
        </is>
      </c>
      <c r="C16" s="12" t="inlineStr">
        <is>
          <t>Master data</t>
        </is>
      </c>
      <c r="D16" s="12" t="inlineStr">
        <is>
          <t>SLA matrix: SLA hours per stage, reminder lead time and escalation targets; working hours or calendar hours; the holiday calendar</t>
        </is>
      </c>
      <c r="E16" s="12" t="inlineStr">
        <is>
          <t>Open point of the FRS (FR-SS-015, 044): the requirement cannot be finalised or tested as BDOI intends until it is answered.</t>
        </is>
      </c>
      <c r="F16" s="12" t="n"/>
      <c r="G16" s="12" t="inlineStr">
        <is>
          <t>FRS BRD-10 v1.1, Open questions SANC-SQ08 (affects FR-SS-015, 044); Discrepancy and clarification register v1.2, open question SANC-SQ08; baseline SNSRP-108, 405, 802</t>
        </is>
      </c>
      <c r="H16" s="12" t="inlineStr">
        <is>
          <t>Chief Compliance Officer (Compliance)</t>
        </is>
      </c>
      <c r="I16" s="37" t="n">
        <v>46356</v>
      </c>
      <c r="J16" s="12" t="inlineStr">
        <is>
          <t>Medium</t>
        </is>
      </c>
      <c r="K16" s="38" t="inlineStr">
        <is>
          <t>Open</t>
        </is>
      </c>
      <c r="L16" s="12" t="n"/>
      <c r="M16" s="12" t="n"/>
    </row>
    <row r="17">
      <c r="A17" s="12" t="inlineStr">
        <is>
          <t>SANC-SQ11</t>
        </is>
      </c>
      <c r="B17" s="12" t="inlineStr">
        <is>
          <t>BRD-10 Sanction Screening and Risk Profiling</t>
        </is>
      </c>
      <c r="C17" s="12" t="inlineStr">
        <is>
          <t>Configuration value</t>
        </is>
      </c>
      <c r="D17" s="12" t="inlineStr">
        <is>
          <t>Screening scope and window: Which clients are screened in the periodic run (prospects, confirmed, inactive, bank clients already screened by BDO)? Batch window and frequency; also screen other parties (beneficial owners, authorised signatories, beneficiaries, insurers) which BIBS does not hold today?</t>
        </is>
      </c>
      <c r="E17" s="12" t="inlineStr">
        <is>
          <t>Open point of the FRS (FR-SS-030): the requirement cannot be finalised or tested as BDOI intends until it is answered.</t>
        </is>
      </c>
      <c r="F17" s="12" t="inlineStr">
        <is>
          <t>Trace SNSRP-602 to matching.</t>
        </is>
      </c>
      <c r="G17" s="12" t="inlineStr">
        <is>
          <t>FRS BRD-10 v1.1, Open questions SANC-SQ11 (affects FR-SS-030); Discrepancy and clarification register v1.2, open question SANC-SQ11; baseline SNSRP-602; also raised as DCR-106 (register item)</t>
        </is>
      </c>
      <c r="H17" s="12" t="inlineStr">
        <is>
          <t>Compliance (Chief Compliance Officer)</t>
        </is>
      </c>
      <c r="I17" s="37" t="n">
        <v>46356</v>
      </c>
      <c r="J17" s="12" t="inlineStr">
        <is>
          <t>Medium</t>
        </is>
      </c>
      <c r="K17" s="38" t="inlineStr">
        <is>
          <t>Open</t>
        </is>
      </c>
      <c r="L17" s="12" t="n"/>
      <c r="M17" s="12" t="n"/>
    </row>
    <row r="18">
      <c r="A18" s="12" t="inlineStr">
        <is>
          <t>SANC-SQ12</t>
        </is>
      </c>
      <c r="B18" s="12" t="inlineStr">
        <is>
          <t>BRD-10 Sanction Screening and Risk Profiling</t>
        </is>
      </c>
      <c r="C18" s="12" t="inlineStr">
        <is>
          <t>Clarification</t>
        </is>
      </c>
      <c r="D18" s="12" t="inlineStr">
        <is>
          <t>False-positive suppression: After a validated false positive, is the client exempt from the same entry until the entry changes, or re-screened each run?</t>
        </is>
      </c>
      <c r="E18" s="12" t="inlineStr">
        <is>
          <t>Open point of the FRS (FR-SS-035): the requirement cannot be finalised or tested as BDOI intends until it is answered.</t>
        </is>
      </c>
      <c r="F18" s="12" t="n"/>
      <c r="G18" s="12" t="inlineStr">
        <is>
          <t>FRS BRD-10 v1.1, Open questions SANC-SQ12 (affects FR-SS-035); Discrepancy and clarification register v1.2, open question SANC-SQ12; baseline SNSRP-304</t>
        </is>
      </c>
      <c r="H18" s="12" t="inlineStr">
        <is>
          <t>Chief Compliance Officer (Compliance)</t>
        </is>
      </c>
      <c r="I18" s="37" t="n">
        <v>46356</v>
      </c>
      <c r="J18" s="12" t="inlineStr">
        <is>
          <t>Medium</t>
        </is>
      </c>
      <c r="K18" s="38" t="inlineStr">
        <is>
          <t>Open</t>
        </is>
      </c>
      <c r="L18" s="12" t="n"/>
      <c r="M18" s="12" t="n"/>
    </row>
    <row r="19">
      <c r="A19" s="12" t="inlineStr">
        <is>
          <t>SANC-SQ13</t>
        </is>
      </c>
      <c r="B19" s="12" t="inlineStr">
        <is>
          <t>BRD-10 Sanction Screening and Risk Profiling</t>
        </is>
      </c>
      <c r="C19" s="12" t="inlineStr">
        <is>
          <t>Clarification</t>
        </is>
      </c>
      <c r="D19" s="12" t="inlineStr">
        <is>
          <t>Re-assignment rights: SNSRP-404 persona is Investigator: may investigators re-assign their own cases, or only the UCC / team lead?</t>
        </is>
      </c>
      <c r="E19" s="12" t="inlineStr">
        <is>
          <t>Open point of the FRS (FR-SS-043): the requirement cannot be finalised or tested as BDOI intends until it is answered.</t>
        </is>
      </c>
      <c r="F19" s="12" t="inlineStr">
        <is>
          <t>Re-assignment by the Unit Compliance Coordinator; investigators may hand back their own cases.</t>
        </is>
      </c>
      <c r="G19" s="12" t="inlineStr">
        <is>
          <t>FRS BRD-10 v1.1, Open questions SANC-SQ13 (affects FR-SS-043); Discrepancy and clarification register v1.2, open question SANC-SQ13; baseline SNSRP-404; also raised as DCR-107 (register item)</t>
        </is>
      </c>
      <c r="H19" s="12" t="inlineStr">
        <is>
          <t>Compliance (Chief Compliance Officer)</t>
        </is>
      </c>
      <c r="I19" s="37" t="n">
        <v>46356</v>
      </c>
      <c r="J19" s="12" t="inlineStr">
        <is>
          <t>Medium</t>
        </is>
      </c>
      <c r="K19" s="38" t="inlineStr">
        <is>
          <t>Open</t>
        </is>
      </c>
      <c r="L19" s="12" t="n"/>
      <c r="M19" s="12" t="n"/>
    </row>
    <row r="20">
      <c r="A20" s="12" t="inlineStr">
        <is>
          <t>SANC-SQ14</t>
        </is>
      </c>
      <c r="B20" s="12" t="inlineStr">
        <is>
          <t>BRD-10 Sanction Screening and Risk Profiling</t>
        </is>
      </c>
      <c r="C20" s="12" t="inlineStr">
        <is>
          <t>Sample document or template</t>
        </is>
      </c>
      <c r="D20" s="12" t="inlineStr">
        <is>
          <t>Form Type: Meaning of "Form Type" in the naming convention (review template type? KYC form code?)</t>
        </is>
      </c>
      <c r="E20" s="12" t="inlineStr">
        <is>
          <t>Open point of the FRS (FR-SS-052): the requirement cannot be finalised or tested as BDOI intends until it is answered.</t>
        </is>
      </c>
      <c r="F20" s="12" t="n"/>
      <c r="G20" s="12" t="inlineStr">
        <is>
          <t>FRS BRD-10 v1.1, Open questions SANC-SQ14 (affects FR-SS-052); Discrepancy and clarification register v1.2, open question SANC-SQ14; baseline SNSRP-601</t>
        </is>
      </c>
      <c r="H20" s="12" t="inlineStr">
        <is>
          <t>Chief Compliance Officer (Compliance)</t>
        </is>
      </c>
      <c r="I20" s="37" t="n">
        <v>46356</v>
      </c>
      <c r="J20" s="12" t="inlineStr">
        <is>
          <t>Medium</t>
        </is>
      </c>
      <c r="K20" s="38" t="inlineStr">
        <is>
          <t>Open</t>
        </is>
      </c>
      <c r="L20" s="12" t="n"/>
      <c r="M20" s="12" t="n"/>
    </row>
    <row r="21">
      <c r="A21" s="12" t="inlineStr">
        <is>
          <t>DCR-113</t>
        </is>
      </c>
      <c r="B21" s="12" t="inlineStr">
        <is>
          <t>BRD-10 Sanction Screening and Risk Profiling</t>
        </is>
      </c>
      <c r="C21" s="12" t="inlineStr">
        <is>
          <t>Clarification</t>
        </is>
      </c>
      <c r="D21" s="12" t="inlineStr">
        <is>
          <t>Please complete the regularization signature.</t>
        </is>
      </c>
      <c r="E21" s="12" t="inlineStr">
        <is>
          <t>The Unit Head - Processing approval reads "for regularization - on leave", without a signature. Governance only.</t>
        </is>
      </c>
      <c r="F21" s="12" t="inlineStr">
        <is>
          <t>None.</t>
        </is>
      </c>
      <c r="G21" s="12" t="inlineStr">
        <is>
          <t>Discrepancy and clarification register v1.2, DCR-113 (Document quality); Approval sheet (p.29)</t>
        </is>
      </c>
      <c r="H21" s="12" t="inlineStr">
        <is>
          <t>Compliance (Chief Compliance Officer)</t>
        </is>
      </c>
      <c r="I21" s="37" t="n">
        <v>46356</v>
      </c>
      <c r="J21" s="12" t="inlineStr">
        <is>
          <t>Low</t>
        </is>
      </c>
      <c r="K21" s="38" t="inlineStr">
        <is>
          <t>Open</t>
        </is>
      </c>
      <c r="L21" s="12" t="n"/>
      <c r="M21" s="12" t="n"/>
    </row>
    <row r="22">
      <c r="A22" s="12" t="inlineStr">
        <is>
          <t>SO-10-2</t>
        </is>
      </c>
      <c r="B22" s="12" t="inlineStr">
        <is>
          <t>BRD-10 Sanction Screening and Risk Profiling</t>
        </is>
      </c>
      <c r="C22" s="12" t="inlineStr">
        <is>
          <t>Sign-off</t>
        </is>
      </c>
      <c r="D22" s="12" t="inlineStr">
        <is>
          <t>Approve the test plan of BRD-10 Sanction Screening and Risk Profiling.</t>
        </is>
      </c>
      <c r="E22" s="12" t="inlineStr">
        <is>
          <t>The signed document fixes the scope for the next step of the plan; a late sign-off moves the dates that follow it.</t>
        </is>
      </c>
      <c r="F22" s="12" t="n"/>
      <c r="G22" s="12" t="inlineStr">
        <is>
          <t>Project plan v1.0 (8-Oct-2026), sign-offs and milestones</t>
        </is>
      </c>
      <c r="H22" s="12" t="inlineStr">
        <is>
          <t>Chief Compliance Officer (Compliance)</t>
        </is>
      </c>
      <c r="I22" s="37" t="n">
        <v>46374</v>
      </c>
      <c r="J22" s="12" t="inlineStr">
        <is>
          <t>High</t>
        </is>
      </c>
      <c r="K22" s="38" t="inlineStr">
        <is>
          <t>Open</t>
        </is>
      </c>
      <c r="L22" s="12" t="n"/>
      <c r="M22" s="12" t="n"/>
    </row>
    <row r="23">
      <c r="A23" s="12" t="inlineStr">
        <is>
          <t>CLR-SS-01</t>
        </is>
      </c>
      <c r="B23" s="12" t="inlineStr">
        <is>
          <t>BRD-10 Sanction Screening and Risk Profiling</t>
        </is>
      </c>
      <c r="C23" s="12" t="inlineStr">
        <is>
          <t>Integration detail</t>
        </is>
      </c>
      <c r="D23" s="12" t="inlineStr">
        <is>
          <t>Lists screened: Name the lists, formats, frequency and transport (SANC-SQ01).</t>
        </is>
      </c>
      <c r="E23" s="12" t="inlineStr">
        <is>
          <t>The lists, formats, frequency and transport are not given (SANC-SQ01).</t>
        </is>
      </c>
      <c r="F23" s="12" t="inlineStr">
        <is>
          <t>The AML advisory and NLDS-PEP lists are loaded by file upload (CSV or XLSX) on a schedule; system-to-system feeds and a direct NLDS query are added when BDOI names them.</t>
        </is>
      </c>
      <c r="G23" s="12" t="inlineStr">
        <is>
          <t>FRS BRD-10 v1.1, Proposed business rules and clarifications; SNSRP-201; FR-SS-020, 021; also raised as SANC-SQ01 (open question), DCR-109 (register item)</t>
        </is>
      </c>
      <c r="H23" s="12" t="inlineStr">
        <is>
          <t>BDOI IT with the Compliance (Chief Compliance Officer)</t>
        </is>
      </c>
      <c r="I23" s="37" t="n">
        <v>46418</v>
      </c>
      <c r="J23" s="12" t="inlineStr">
        <is>
          <t>Medium</t>
        </is>
      </c>
      <c r="K23" s="38" t="inlineStr">
        <is>
          <t>Open</t>
        </is>
      </c>
      <c r="L23" s="12" t="n"/>
      <c r="M23" s="12" t="n"/>
    </row>
    <row r="24">
      <c r="A24" s="12" t="inlineStr">
        <is>
          <t>TD-10</t>
        </is>
      </c>
      <c r="B24" s="12" t="inlineStr">
        <is>
          <t>BRD-10 Sanction Screening and Risk Profiling</t>
        </is>
      </c>
      <c r="C24" s="12" t="inlineStr">
        <is>
          <t>Test data</t>
        </is>
      </c>
      <c r="D24" s="12" t="inlineStr">
        <is>
          <t>Name the UAT testers of BRD-10 Sanction Screening and Risk Profiling (at least two per business unit, with their user IDs and group profiles) and provide the business data of the UAT scenarios: the clients, policies, insurers and amounts each scenario of the test plan uses, from the migrated data of Trial migration 3 or as additional cases.</t>
        </is>
      </c>
      <c r="E24" s="12" t="inlineStr">
        <is>
          <t>UAT of Drop 1 runs on migrated data and the production values; testers without access or scenarios without data stop the UAT.</t>
        </is>
      </c>
      <c r="F24" s="12" t="inlineStr">
        <is>
          <t>The test plan (04 workbook of the set) names the scenarios; the BDOI testers choose the cases from the migrated data and add the cases the legacy data does not hold.</t>
        </is>
      </c>
      <c r="G24" s="12" t="inlineStr">
        <is>
          <t>Project plan: dependency DEP-20 (UAT testers), milestone MS-20 (UAT plans, values for UAT and testers, 16-Jul-2027)</t>
        </is>
      </c>
      <c r="H24" s="12" t="inlineStr">
        <is>
          <t>Chief Compliance Officer (Compliance) (UAT testers of the business units)</t>
        </is>
      </c>
      <c r="I24" s="37" t="n">
        <v>46584</v>
      </c>
      <c r="J24" s="12" t="inlineStr">
        <is>
          <t>High</t>
        </is>
      </c>
      <c r="K24" s="38" t="inlineStr">
        <is>
          <t>Open</t>
        </is>
      </c>
      <c r="L24" s="12" t="n"/>
      <c r="M24" s="12" t="n"/>
    </row>
    <row r="25">
      <c r="A25" s="12" t="inlineStr">
        <is>
          <t>CFG-074</t>
        </is>
      </c>
      <c r="B25" s="12" t="inlineStr">
        <is>
          <t>BRD-10 Sanction Screening</t>
        </is>
      </c>
      <c r="C25" s="12" t="inlineStr">
        <is>
          <t>Configuration value</t>
        </is>
      </c>
      <c r="D25" s="12" t="inlineStr">
        <is>
          <t>Data retention rules: Years online and in the archive per record type, and the action at the end, as Compliance sets them</t>
        </is>
      </c>
      <c r="E25" s="12" t="inlineStr">
        <is>
          <t>Needed for: Values for UAT (UAT plans and sign-off forms due 16-Jul-2027; UAT Aug - Dec 2027 runs on the production values).</t>
        </is>
      </c>
      <c r="F25" s="12" t="inlineStr">
        <is>
          <t>Configured on the screen Setup &amp; Administration › Broking Setup › Data Retention (sheet Configured on screens of the Master Data and Configuration Upload Templates workbook).</t>
        </is>
      </c>
      <c r="G25" s="12" t="inlineStr">
        <is>
          <t>Drop 0 configuration register CFG-074 (Drop 0 Configuration Inputs v2.0, area System and security parameters)</t>
        </is>
      </c>
      <c r="H25" s="12" t="inlineStr">
        <is>
          <t>Compliance</t>
        </is>
      </c>
      <c r="I25" s="37" t="n">
        <v>46584</v>
      </c>
      <c r="J25" s="12" t="inlineStr">
        <is>
          <t>Medium</t>
        </is>
      </c>
      <c r="K25" s="38" t="inlineStr">
        <is>
          <t>Open</t>
        </is>
      </c>
      <c r="L25" s="12" t="n"/>
      <c r="M25" s="12" t="n"/>
    </row>
    <row r="26">
      <c r="A26" s="12" t="inlineStr">
        <is>
          <t>CFG-083</t>
        </is>
      </c>
      <c r="B26" s="12" t="inlineStr">
        <is>
          <t>BRD-10 Sanction Screening</t>
        </is>
      </c>
      <c r="C26" s="12" t="inlineStr">
        <is>
          <t>Sample document or template</t>
        </is>
      </c>
      <c r="D26" s="12" t="inlineStr">
        <is>
          <t>Screening forms and STR layout: The screening forms and the STR report layout Compliance submits</t>
        </is>
      </c>
      <c r="E26" s="12" t="inlineStr">
        <is>
          <t>Needed for: Values for UAT (UAT plans and sign-off forms due 16-Jul-2027; UAT Aug - Dec 2027 runs on the production values).</t>
        </is>
      </c>
      <c r="F26" s="12" t="inlineStr">
        <is>
          <t>Configured on the screen Setup &amp; Administration › Compliance Setup › Templates (sheet Configured on screens of the Master Data and Configuration Upload Templates workbook).</t>
        </is>
      </c>
      <c r="G26" s="12" t="inlineStr">
        <is>
          <t>Drop 0 configuration register CFG-083 (Drop 0 Configuration Inputs v2.0, area Notifications and documents)</t>
        </is>
      </c>
      <c r="H26" s="12" t="inlineStr">
        <is>
          <t>Compliance</t>
        </is>
      </c>
      <c r="I26" s="37" t="n">
        <v>46584</v>
      </c>
      <c r="J26" s="12" t="inlineStr">
        <is>
          <t>Medium</t>
        </is>
      </c>
      <c r="K26" s="38" t="inlineStr">
        <is>
          <t>Open</t>
        </is>
      </c>
      <c r="L26" s="12" t="n"/>
      <c r="M26" s="12" t="n"/>
    </row>
    <row r="27">
      <c r="A27" s="12" t="inlineStr">
        <is>
          <t>CFG-126</t>
        </is>
      </c>
      <c r="B27" s="12" t="inlineStr">
        <is>
          <t>BRD-10 Sanction Screening</t>
        </is>
      </c>
      <c r="C27" s="12" t="inlineStr">
        <is>
          <t>Configuration value</t>
        </is>
      </c>
      <c r="D27" s="12" t="inlineStr">
        <is>
          <t>Screening configuration: Match rules, risk categories and rules, assignment, service levels and validation rules of Sanction Screening</t>
        </is>
      </c>
      <c r="E27" s="12" t="inlineStr">
        <is>
          <t>Needed for: Values for UAT (UAT plans and sign-off forms due 16-Jul-2027; UAT Aug - Dec 2027 runs on the production values).</t>
        </is>
      </c>
      <c r="F27" s="12" t="inlineStr">
        <is>
          <t>Configured on the screen Setup &amp; Administration › Compliance Setup › Configuration Versions (sheet Configured on screens of the Master Data and Configuration Upload Templates workbook).</t>
        </is>
      </c>
      <c r="G27" s="12" t="inlineStr">
        <is>
          <t>Drop 0 configuration register CFG-126 (Drop 0 Configuration Inputs v2.0, area Module rules and set-up)</t>
        </is>
      </c>
      <c r="H27" s="12" t="inlineStr">
        <is>
          <t>Compliance</t>
        </is>
      </c>
      <c r="I27" s="37" t="n">
        <v>46584</v>
      </c>
      <c r="J27" s="12" t="inlineStr">
        <is>
          <t>Medium</t>
        </is>
      </c>
      <c r="K27" s="38" t="inlineStr">
        <is>
          <t>Open</t>
        </is>
      </c>
      <c r="L27" s="12" t="n"/>
      <c r="M27" s="12" t="n"/>
    </row>
    <row r="28">
      <c r="A28" s="12" t="inlineStr">
        <is>
          <t>CFG-127</t>
        </is>
      </c>
      <c r="B28" s="12" t="inlineStr">
        <is>
          <t>BRD-10 Sanction Screening</t>
        </is>
      </c>
      <c r="C28" s="12" t="inlineStr">
        <is>
          <t>Configuration value</t>
        </is>
      </c>
      <c r="D28" s="12" t="inlineStr">
        <is>
          <t>Watchlist sources and entries: The sanctions and PEP list sources, their load schedule and the first load</t>
        </is>
      </c>
      <c r="E28" s="12" t="inlineStr">
        <is>
          <t>Needed for: Values for UAT (UAT plans and sign-off forms due 16-Jul-2027; UAT Aug - Dec 2027 runs on the production values).</t>
        </is>
      </c>
      <c r="F28" s="12" t="inlineStr">
        <is>
          <t>Configured on the screen Setup &amp; Administration › Compliance Setup › List Sources and Runs (sheet Configured on screens of the Master Data and Configuration Upload Templates workbook).</t>
        </is>
      </c>
      <c r="G28" s="12" t="inlineStr">
        <is>
          <t>Drop 0 configuration register CFG-127 (Drop 0 Configuration Inputs v2.0, area Module rules and set-up)</t>
        </is>
      </c>
      <c r="H28" s="12" t="inlineStr">
        <is>
          <t>Compliance</t>
        </is>
      </c>
      <c r="I28" s="37" t="n">
        <v>46584</v>
      </c>
      <c r="J28" s="12" t="inlineStr">
        <is>
          <t>Medium</t>
        </is>
      </c>
      <c r="K28" s="38" t="inlineStr">
        <is>
          <t>Open</t>
        </is>
      </c>
      <c r="L28" s="12" t="n"/>
      <c r="M28" s="12" t="n"/>
    </row>
    <row r="29">
      <c r="A29" s="12" t="inlineStr">
        <is>
          <t>SO-10-3</t>
        </is>
      </c>
      <c r="B29" s="12" t="inlineStr">
        <is>
          <t>BRD-10 Sanction Screening and Risk Profiling</t>
        </is>
      </c>
      <c r="C29" s="12" t="inlineStr">
        <is>
          <t>Sign-off</t>
        </is>
      </c>
      <c r="D29" s="12" t="inlineStr">
        <is>
          <t>Sign the UAT sign-off certificate of BRD-10 Sanction Screening and Risk Profiling.</t>
        </is>
      </c>
      <c r="E29" s="12" t="inlineStr">
        <is>
          <t>The signed document fixes the scope for the next step of the plan; a late sign-off moves the dates that follow it.</t>
        </is>
      </c>
      <c r="F29" s="12" t="n"/>
      <c r="G29" s="12" t="inlineStr">
        <is>
          <t>Project plan v1.0 (8-Oct-2026), sign-offs and milestones</t>
        </is>
      </c>
      <c r="H29" s="12" t="inlineStr">
        <is>
          <t>Chief Compliance Officer (Compliance); BIBS Product Owner</t>
        </is>
      </c>
      <c r="I29" s="37" t="n">
        <v>46738</v>
      </c>
      <c r="J29" s="12" t="inlineStr">
        <is>
          <t>High</t>
        </is>
      </c>
      <c r="K29" s="38" t="inlineStr">
        <is>
          <t>Open</t>
        </is>
      </c>
      <c r="L29" s="12" t="n"/>
      <c r="M29" s="12" t="n"/>
    </row>
  </sheetData>
  <autoFilter ref="A4:M29"/>
  <mergeCells count="1">
    <mergeCell ref="A2:M2"/>
  </mergeCells>
  <conditionalFormatting sqref="K5:K529">
    <cfRule type="cellIs" priority="1" operator="equal" dxfId="0" stopIfTrue="1">
      <formula>"Open"</formula>
    </cfRule>
    <cfRule type="cellIs" priority="2" operator="equal" dxfId="1" stopIfTrue="1">
      <formula>"Answered"</formula>
    </cfRule>
  </conditionalFormatting>
  <conditionalFormatting sqref="A5:M529">
    <cfRule type="expression" priority="3" dxfId="2">
      <formula>AND(MOD(ROW(),2)=0,$A5&lt;&gt;"")</formula>
    </cfRule>
  </conditionalFormatting>
  <conditionalFormatting sqref="K5:K530">
    <cfRule type="cellIs" priority="4" operator="equal" dxfId="3" stopIfTrue="1">
      <formula>"Partly answered"</formula>
    </cfRule>
  </conditionalFormatting>
  <dataValidations count="3">
    <dataValidation sqref="C5:C529" showDropDown="0" showInputMessage="0" showErrorMessage="1" allowBlank="1" errorTitle="Type" error="Choose a value from the list (Type)." type="list">
      <formula1>'_lists'!$AE$1:$AE$10</formula1>
    </dataValidation>
    <dataValidation sqref="J5:J529" showDropDown="0" showInputMessage="0" showErrorMessage="1" allowBlank="1" errorTitle="Priority" error="Choose a value from the list (Priority)." type="list">
      <formula1>'_lists'!$AF$1:$AF$3</formula1>
    </dataValidation>
    <dataValidation sqref="K5:K529" showDropDown="0" showInputMessage="0" showErrorMessage="1" allowBlank="1" errorTitle="Status" error="Choose a value from the list (Status)." type="list">
      <formula1>'_lists'!$AG$1:$AG$3</formula1>
    </dataValidation>
  </dataValidations>
  <printOptions horizontalCentered="1"/>
  <pageMargins left="0.4" right="0.4" top="0.6" bottom="0.6" header="0.5" footer="0.5"/>
  <pageSetup orientation="landscape" paperSize="1" fitToHeight="0" fitToWidth="1"/>
  <headerFooter>
    <oddHeader>&amp;L&amp;8 &amp;K004EA8BDOI Requirements and Inputs by BRD&amp;R&amp;8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5.xml><?xml version="1.0" encoding="utf-8"?>
<worksheet xmlns="http://schemas.openxmlformats.org/spreadsheetml/2006/main">
  <sheetPr>
    <outlinePr summaryBelow="1" summaryRight="1"/>
    <pageSetUpPr fitToPage="1"/>
  </sheetPr>
  <dimension ref="A1:M8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6" customWidth="1" min="3" max="3"/>
    <col width="60" customWidth="1" min="4" max="4"/>
    <col width="46" customWidth="1" min="5" max="5"/>
    <col width="46" customWidth="1" min="6" max="6"/>
    <col width="40" customWidth="1" min="7" max="7"/>
    <col width="26" customWidth="1" min="8" max="8"/>
    <col width="12" customWidth="1" min="9" max="9"/>
    <col width="10" customWidth="1" min="10" max="10"/>
    <col width="14" customWidth="1" min="11" max="11"/>
    <col width="40" customWidth="1" min="12" max="12"/>
    <col width="34" customWidth="1" min="13" max="13"/>
  </cols>
  <sheetData>
    <row r="1" ht="24" customHeight="1">
      <c r="A1" s="34" t="inlineStr">
        <is>
          <t>BRD-11 User Access</t>
        </is>
      </c>
    </row>
    <row r="2">
      <c r="A2" s="21" t="inlineStr">
        <is>
          <t>BRD-11 User Access Maintenance: what BDOI provides; owner Product Owner, MBS, with Business Administration (User Access)</t>
        </is>
      </c>
    </row>
    <row r="3" ht="6" customHeight="1">
      <c r="A3" s="35" t="n"/>
      <c r="B3" s="35" t="n"/>
      <c r="C3" s="35" t="n"/>
      <c r="D3" s="35" t="n"/>
      <c r="E3" s="35" t="n"/>
      <c r="F3" s="35" t="n"/>
      <c r="G3" s="35" t="n"/>
      <c r="H3" s="35" t="n"/>
      <c r="I3" s="35" t="n"/>
      <c r="J3" s="35" t="n"/>
      <c r="K3" s="35" t="n"/>
      <c r="L3" s="35" t="n"/>
      <c r="M3" s="35" t="n"/>
    </row>
    <row r="4" ht="30" customHeight="1">
      <c r="A4" s="36" t="inlineStr">
        <is>
          <t>Ref</t>
        </is>
      </c>
      <c r="B4" s="36" t="inlineStr">
        <is>
          <t>BRD / module</t>
        </is>
      </c>
      <c r="C4" s="36" t="inlineStr">
        <is>
          <t>Type</t>
        </is>
      </c>
      <c r="D4" s="36" t="inlineStr">
        <is>
          <t>What we need from BDOI</t>
        </is>
      </c>
      <c r="E4" s="36" t="inlineStr">
        <is>
          <t>Why / impact if not provided</t>
        </is>
      </c>
      <c r="F4" s="36" t="inlineStr">
        <is>
          <t>Our proposal (if any)</t>
        </is>
      </c>
      <c r="G4" s="36" t="inlineStr">
        <is>
          <t>Source (FRS section / CLR / BRD page)</t>
        </is>
      </c>
      <c r="H4" s="36" t="inlineStr">
        <is>
          <t>BDOI owner (role)</t>
        </is>
      </c>
      <c r="I4" s="36" t="inlineStr">
        <is>
          <t>Needed by</t>
        </is>
      </c>
      <c r="J4" s="36" t="inlineStr">
        <is>
          <t>Priority</t>
        </is>
      </c>
      <c r="K4" s="36" t="inlineStr">
        <is>
          <t>Status</t>
        </is>
      </c>
      <c r="L4" s="36" t="inlineStr">
        <is>
          <t>BDOI response</t>
        </is>
      </c>
      <c r="M4" s="36" t="inlineStr">
        <is>
          <t>Remarks</t>
        </is>
      </c>
    </row>
    <row r="5">
      <c r="A5" s="12" t="inlineStr">
        <is>
          <t>UA-Q03</t>
        </is>
      </c>
      <c r="B5" s="12" t="inlineStr">
        <is>
          <t>BRD-11 User Access Maintenance</t>
        </is>
      </c>
      <c r="C5" s="12" t="inlineStr">
        <is>
          <t>Business rule confirmation</t>
        </is>
      </c>
      <c r="D5" s="12" t="inlineStr">
        <is>
          <t>Please confirm the signatories of the BRD-11 set. The BRD approval sheet (p.38-39) was signed by the Product Owner, the Unit Heads of Claims and Risk Management, Combank and Corbank Marketing / Corporate Processing (by e-mail on 28-Apr-2025), Comptrollership, Retail Marketing and Corporate and Retail Marketing; the FRS sign-off block adds BDOI Information Security and BDOI IT and does not list the unit heads..</t>
        </is>
      </c>
      <c r="E5" s="12" t="inlineStr">
        <is>
          <t>Information Security signs the role matrix, separation of duties and security values; BDOI IT signs the sign-in and identity integration assumptions (FRS chapter 21). The unit heads who approved the BRD are reviewers of their personas' menus only. If not provided: The sign-off of 1-Dec-2026 may be challenged if an approver of the BRD is not part of the FRS sign-off.</t>
        </is>
      </c>
      <c r="F5" s="12" t="inlineStr">
        <is>
          <t>Signatories: Product Owner (approver), Process Owner Business Administration, Head of Information Security, Head of BDOI IT, Program Manager Business Project Services; the BRD approvers of the other units review the menus of their personas and may sign as reviewers.</t>
        </is>
      </c>
      <c r="G5" s="12" t="inlineStr">
        <is>
          <t>Drop 0 requirements and questions list v1.0 (8-Oct-2026), UA-Q03; BRD User Access Maintenance p.38-39 (approval sheet and e-mail sign-off); FRS BRD-11 v2.0 sections 21.3 and 21.6; Start Here BRD-11 'Who signs what'</t>
        </is>
      </c>
      <c r="H5" s="12" t="inlineStr">
        <is>
          <t>Program Manager, Business Project Services (BDO Unibank ESG)</t>
        </is>
      </c>
      <c r="I5" s="37" t="n">
        <v>46350</v>
      </c>
      <c r="J5" s="12" t="inlineStr">
        <is>
          <t>Medium</t>
        </is>
      </c>
      <c r="K5" s="38" t="inlineStr">
        <is>
          <t>Open</t>
        </is>
      </c>
      <c r="L5" s="12" t="n"/>
      <c r="M5" s="12" t="n"/>
    </row>
    <row r="6">
      <c r="A6" s="12" t="inlineStr">
        <is>
          <t>CLR-UA-01</t>
        </is>
      </c>
      <c r="B6" s="12" t="inlineStr">
        <is>
          <t>BRD-11 User Access Maintenance</t>
        </is>
      </c>
      <c r="C6" s="12" t="inlineStr">
        <is>
          <t>Integration detail</t>
        </is>
      </c>
      <c r="D6" s="12" t="inlineStr">
        <is>
          <t>Single sign-on through EIAM: BDOI IT to choose the protocol and to register BIBS in EIAM for each environment, with test accounts for SIT and UAT (UA-Q06, UA-Q07, IQ04).</t>
        </is>
      </c>
      <c r="E6" s="12" t="inlineStr">
        <is>
          <t>BDOI named EIAM on Microsoft Entra ID for Drop 0; the protocol details are in the Authentication and Identity Integration Requirements v1.0 (R9).</t>
        </is>
      </c>
      <c r="F6" s="12" t="inlineStr">
        <is>
          <t>Single sign-on with OpenID Connect against the BDO Entra ID tenant (EIAM), SAML 2.0 kept as the fall-back if the BDOI IT standards require it. It is part of BIBS and switched on by configuration (sign-in mode OIDC or SAML) once BDOI IT registers BIBS for each environment; SIT uses local sign-in until then. Not a change request.</t>
        </is>
      </c>
      <c r="G6" s="12" t="inlineStr">
        <is>
          <t>FRS BRD-11 v2.1, Proposed business rules and clarifications; UAM-NFR-11, 17, 33; FR-UA-003; also raised as UA-Q05 (Drop 0 list item), UA-Q07 (Drop 0 list item), IQ04 (open question), DCR-143 (register item), DCR-230 (register item)</t>
        </is>
      </c>
      <c r="H6" s="12" t="inlineStr">
        <is>
          <t>Head, BDOI IT (identity and access team)</t>
        </is>
      </c>
      <c r="I6" s="37" t="n">
        <v>46357</v>
      </c>
      <c r="J6" s="12" t="inlineStr">
        <is>
          <t>High</t>
        </is>
      </c>
      <c r="K6" s="38" t="inlineStr">
        <is>
          <t>Open</t>
        </is>
      </c>
      <c r="L6" s="12" t="n"/>
      <c r="M6" s="12" t="inlineStr">
        <is>
          <t>Also affects BRD-00, BRD-01, BRD-04, BRD-07, BRD-09.</t>
        </is>
      </c>
    </row>
    <row r="7">
      <c r="A7" s="12" t="inlineStr">
        <is>
          <t>CLR-UA-03</t>
        </is>
      </c>
      <c r="B7" s="12" t="inlineStr">
        <is>
          <t>BRD-11 User Access Maintenance</t>
        </is>
      </c>
      <c r="C7" s="12" t="inlineStr">
        <is>
          <t>Integration detail</t>
        </is>
      </c>
      <c r="D7" s="12" t="inlineStr">
        <is>
          <t>Provisioning from UIDM-ISC: BDOI IT to choose the UIDM-ISC option: accounts only, accounts and roles, or aggregation only (IQ05, UA-Q18 to UA-Q21).</t>
        </is>
      </c>
      <c r="E7" s="12" t="inlineStr">
        <is>
          <t>BDOI named UIDM-ISC for joiner, mover and leaver provisioning; the option is open (IQ05).</t>
        </is>
      </c>
      <c r="F7" s="12" t="inlineStr">
        <is>
          <t>Every access change is a BIBS request under four eyes. The reports give the user and profile lists for access certification.</t>
        </is>
      </c>
      <c r="G7" s="12" t="inlineStr">
        <is>
          <t>FRS BRD-11 v2.1, Proposed business rules and clarifications; p.6 request rule; Drop 0; FR-UA-010; also raised as UA-Q18 (Drop 0 list item)</t>
        </is>
      </c>
      <c r="H7" s="12" t="inlineStr">
        <is>
          <t>Head, BDOI IT (identity and access team)</t>
        </is>
      </c>
      <c r="I7" s="37" t="n">
        <v>46357</v>
      </c>
      <c r="J7" s="12" t="inlineStr">
        <is>
          <t>High</t>
        </is>
      </c>
      <c r="K7" s="38" t="inlineStr">
        <is>
          <t>Open</t>
        </is>
      </c>
      <c r="L7" s="12" t="n"/>
      <c r="M7" s="12" t="n"/>
    </row>
    <row r="8">
      <c r="A8" s="12" t="inlineStr">
        <is>
          <t>CLR-UA-04</t>
        </is>
      </c>
      <c r="B8" s="12" t="inlineStr">
        <is>
          <t>BRD-11 User Access Maintenance</t>
        </is>
      </c>
      <c r="C8" s="12" t="inlineStr">
        <is>
          <t>Integration detail</t>
        </is>
      </c>
      <c r="D8" s="12" t="inlineStr">
        <is>
          <t>External (portal) users: Confirm that external users stay switched off (UA-Q24).</t>
        </is>
      </c>
      <c r="E8" s="12" t="inlineStr">
        <is>
          <t>BDOI drops the EB portal (drop plan item 2.4, IQ22).</t>
        </is>
      </c>
      <c r="F8" s="12" t="inlineStr">
        <is>
          <t>The user type External is not offered while no portal is installed (uam external users = false), and a request of that type is refused. Setting the parameter to true, with the second approval of Information Security, offers it again.</t>
        </is>
      </c>
      <c r="G8" s="12" t="inlineStr">
        <is>
          <t>FRS BRD-11 v2.1, Proposed business rules and clarifications; decision D7; FR-UA-011, 013, 014; also raised as UA-Q14 (Drop 0 list item), UA-Q24 (Drop 0 list item), IQ22 (open question), DCR-096 (register item), DCR-235 (register item)</t>
        </is>
      </c>
      <c r="H8" s="12" t="inlineStr">
        <is>
          <t>Head, BDOI IT (identity and access team)</t>
        </is>
      </c>
      <c r="I8" s="37" t="n">
        <v>46357</v>
      </c>
      <c r="J8" s="12" t="inlineStr">
        <is>
          <t>High</t>
        </is>
      </c>
      <c r="K8" s="38" t="inlineStr">
        <is>
          <t>Open</t>
        </is>
      </c>
      <c r="L8" s="12" t="n"/>
      <c r="M8" s="12" t="inlineStr">
        <is>
          <t>Also affects BRD-01, BRD-08.</t>
        </is>
      </c>
    </row>
    <row r="9">
      <c r="A9" s="12" t="inlineStr">
        <is>
          <t>CLR-UA-09</t>
        </is>
      </c>
      <c r="B9" s="12" t="inlineStr">
        <is>
          <t>BRD-11 User Access Maintenance</t>
        </is>
      </c>
      <c r="C9" s="12" t="inlineStr">
        <is>
          <t>Decision</t>
        </is>
      </c>
      <c r="D9" s="12" t="inlineStr">
        <is>
          <t>One session per device: Decide whether one session per device must be enforced (UQ09, UA-Q44).</t>
        </is>
      </c>
      <c r="E9" s="12" t="inlineStr">
        <is>
          <t>The rule is not specified (UQ09).</t>
        </is>
      </c>
      <c r="F9" s="12" t="inlineStr">
        <is>
          <t>The session log records every session; one session per device is not enforced.</t>
        </is>
      </c>
      <c r="G9" s="12" t="inlineStr">
        <is>
          <t>FRS BRD-11 v2.1, Proposed business rules and clarifications; UAM-NFR-35; FR-UA-004; also raised as UA-Q44 (Drop 0 list item), UQ09 (open question), DCR-044 (register item)</t>
        </is>
      </c>
      <c r="H9" s="12" t="inlineStr">
        <is>
          <t>Head, BDOI Information Security</t>
        </is>
      </c>
      <c r="I9" s="37" t="n">
        <v>46357</v>
      </c>
      <c r="J9" s="12" t="inlineStr">
        <is>
          <t>High</t>
        </is>
      </c>
      <c r="K9" s="38" t="inlineStr">
        <is>
          <t>Partly answered</t>
        </is>
      </c>
      <c r="L9" s="12" t="n"/>
      <c r="M9" s="12" t="inlineStr">
        <is>
          <t>Also affects BRD-04.</t>
        </is>
      </c>
    </row>
    <row r="10">
      <c r="A10" s="12" t="inlineStr">
        <is>
          <t>CLR-UA-17</t>
        </is>
      </c>
      <c r="B10" s="12" t="inlineStr">
        <is>
          <t>BRD-11 User Access Maintenance</t>
        </is>
      </c>
      <c r="C10" s="12" t="inlineStr">
        <is>
          <t>Business rule confirmation</t>
        </is>
      </c>
      <c r="D10" s="12" t="inlineStr">
        <is>
          <t>Access from BDO-issued devices only: BDOI IT to confirm the network and device policy that enforces it (UA-Q10).</t>
        </is>
      </c>
      <c r="E10" s="12" t="inlineStr">
        <is>
          <t>BIBS cannot see the device a browser runs on.</t>
        </is>
      </c>
      <c r="F10" s="12" t="inlineStr">
        <is>
          <t>Access only from BDO-issued devices is enforced by the BDO network and device policy, not by BIBS.</t>
        </is>
      </c>
      <c r="G10" s="12" t="inlineStr">
        <is>
          <t>FRS BRD-11 v2.1, Proposed business rules and clarifications; 1.001.1; FR-UA-001; also raised as UA-Q10 (Drop 0 list item)</t>
        </is>
      </c>
      <c r="H10" s="12" t="inlineStr">
        <is>
          <t>Head, BDOI Information Security</t>
        </is>
      </c>
      <c r="I10" s="37" t="n">
        <v>46357</v>
      </c>
      <c r="J10" s="12" t="inlineStr">
        <is>
          <t>High</t>
        </is>
      </c>
      <c r="K10" s="38" t="inlineStr">
        <is>
          <t>Open</t>
        </is>
      </c>
      <c r="L10" s="12" t="n"/>
      <c r="M10" s="12" t="n"/>
    </row>
    <row r="11">
      <c r="A11" s="12" t="inlineStr">
        <is>
          <t>UA-Q01</t>
        </is>
      </c>
      <c r="B11" s="12" t="inlineStr">
        <is>
          <t>BRD-11 User Access Maintenance</t>
        </is>
      </c>
      <c r="C11" s="12" t="inlineStr">
        <is>
          <t>Business rule confirmation</t>
        </is>
      </c>
      <c r="D11" s="12" t="inlineStr">
        <is>
          <t>Please confirm that BRD-11, written in April 2025 for the QPS User Access Maintenance Module, governs user access for the whole of BIBS: every module, persona and user uses the same users, group profiles and permissions..</t>
        </is>
      </c>
      <c r="E11" s="12" t="inlineStr">
        <is>
          <t>The BRD cover, purpose and overview (p.1, p.4-5) refer to QPS only. The FRS applies it system-wide (FRS section 1.2, assumption A-UA-01, open question UQ19); this is provided, but BDOI has not confirmed it formally. If not provided: Without it, the menus of the personas of the other BRDs (FRS chapter 12) and the BIBS-wide role matrix have no agreed requirement basis.</t>
        </is>
      </c>
      <c r="F11" s="12" t="inlineStr">
        <is>
          <t>BRD-11 applies to all of BIBS; the QPS references are read as BIBS.</t>
        </is>
      </c>
      <c r="G11" s="12" t="inlineStr">
        <is>
          <t>Drop 0 requirements and questions list v1.0 (8-Oct-2026), UA-Q01; BRD User Access Maintenance p.1, p.4-5; FRS BRD-11 v2.0 section 1.2, A-UA-01, UQ19; Discrepancy register DCR-114; Change register CR-0164; also raised as UQ19 (open question), DCR-114 (register item)</t>
        </is>
      </c>
      <c r="H11" s="12" t="inlineStr">
        <is>
          <t>Product Owner, Marketing Business System</t>
        </is>
      </c>
      <c r="I11" s="37" t="n">
        <v>46357</v>
      </c>
      <c r="J11" s="12" t="inlineStr">
        <is>
          <t>High</t>
        </is>
      </c>
      <c r="K11" s="38" t="inlineStr">
        <is>
          <t>Open</t>
        </is>
      </c>
      <c r="L11" s="12" t="n"/>
      <c r="M11" s="12" t="n"/>
    </row>
    <row r="12">
      <c r="A12" s="12" t="inlineStr">
        <is>
          <t>UA-Q04</t>
        </is>
      </c>
      <c r="B12" s="12" t="inlineStr">
        <is>
          <t>BRD-11 User Access Maintenance</t>
        </is>
      </c>
      <c r="C12" s="12" t="inlineStr">
        <is>
          <t>Business rule confirmation</t>
        </is>
      </c>
      <c r="D12" s="12" t="inlineStr">
        <is>
          <t>Please concur with the acceptance criteria and the NFR numbering written by the project team, and confirm that BRD rows without a Mandatory flag are treated as 'Must have'..</t>
        </is>
      </c>
      <c r="E12" s="12" t="inlineStr">
        <is>
          <t>The 160 BRD lines have no acceptance criteria and the NFR ID column is empty (p.8-17). Rows without a flag include the System Administrator log-in rows 4.001.1.x, the reject remarks 2.002.6.1-2 and the approver and remark rows of 3.002.x. Duplicate IDs 2.002.7.1 and 3.003.1.1 are kept and marked '(2nd)'. If not provided: UAT acceptance could be disputed for rows whose priority or criteria were not agreed.</t>
        </is>
      </c>
      <c r="F12" s="12" t="inlineStr">
        <is>
          <t>Acceptance criteria as written in each FR; NFR IDs UAM-NFR-01 to 41; unflagged rows are 'Must have'; duplicate IDs marked '(2nd)'.</t>
        </is>
      </c>
      <c r="G12" s="12" t="inlineStr">
        <is>
          <t>Drop 0 requirements and questions list v1.0 (8-Oct-2026), UA-Q04; BRD User Access Maintenance p.8-17; FRS BRD-11 v2.0 section 1.5, A-UA-08; Discrepancy register DCR-115, DCR-116; also raised as DCR-115 (register item)</t>
        </is>
      </c>
      <c r="H12" s="12" t="inlineStr">
        <is>
          <t>Program Manager, Business Project Services (BDO Unibank ESG)</t>
        </is>
      </c>
      <c r="I12" s="37" t="n">
        <v>46357</v>
      </c>
      <c r="J12" s="12" t="inlineStr">
        <is>
          <t>High</t>
        </is>
      </c>
      <c r="K12" s="38" t="inlineStr">
        <is>
          <t>Open</t>
        </is>
      </c>
      <c r="L12" s="12" t="n"/>
      <c r="M12" s="12" t="n"/>
    </row>
    <row r="13">
      <c r="A13" s="12" t="inlineStr">
        <is>
          <t>UA-Q06</t>
        </is>
      </c>
      <c r="B13" s="12" t="inlineStr">
        <is>
          <t>BRD-11 User Access Maintenance</t>
        </is>
      </c>
      <c r="C13" s="12" t="inlineStr">
        <is>
          <t>Decision</t>
        </is>
      </c>
      <c r="D13" s="12" t="inlineStr">
        <is>
          <t>Single sign-on with OpenID Connect and with SAML 2.0 is already available in BIBS and is switched on by configuration. Please choose the protocol for EIAM (we propose OpenID Connect, authorisation code with PKCE) and confirm that the FRS interface table is updated from 'SSO ON HOLD' to 'IN SCOPE (configuration)' in version 2.1..</t>
        </is>
      </c>
      <c r="E13" s="12" t="inlineStr">
        <is>
          <t>The FRS interface table (chapter 7) and the guide deck caveat still treat SSO as on hold and as a later change request; the BIBS sign-in already supports both protocols, linking a directory identity to an existing active BIBS user only (no user is created by sign-in). If not provided: The FRS would sign a gap that no longer exists, and BDOI IT may register the application with the wrong protocol.</t>
        </is>
      </c>
      <c r="F13" s="12" t="inlineStr">
        <is>
          <t>OpenID Connect against the BDO Entra ID tenant; SAML 2.0 kept as the fall-back if BDOI IT standards require it; FRS v2.1 records SSO as configuration, not a change request.</t>
        </is>
      </c>
      <c r="G13" s="12" t="inlineStr">
        <is>
          <t>Drop 0 requirements and questions list v1.0 (8-Oct-2026), UA-Q06; FRS BRD-11 v2.0 chapter 7 (interfaces), FR-UA-003; User access design section 10.1 and platform sign-in section; Programme alignment INT-01, IQ04</t>
        </is>
      </c>
      <c r="H13" s="12" t="inlineStr">
        <is>
          <t>Head, BDOI IT (identity and access team)</t>
        </is>
      </c>
      <c r="I13" s="37" t="n">
        <v>46357</v>
      </c>
      <c r="J13" s="12" t="inlineStr">
        <is>
          <t>High</t>
        </is>
      </c>
      <c r="K13" s="38" t="inlineStr">
        <is>
          <t>Open</t>
        </is>
      </c>
      <c r="L13" s="12" t="n"/>
      <c r="M13" s="12" t="n"/>
    </row>
    <row r="14">
      <c r="A14" s="12" t="inlineStr">
        <is>
          <t>UA-Q08</t>
        </is>
      </c>
      <c r="B14" s="12" t="inlineStr">
        <is>
          <t>BRD-11 User Access Maintenance</t>
        </is>
      </c>
      <c r="C14" s="12" t="inlineStr">
        <is>
          <t>Decision</t>
        </is>
      </c>
      <c r="D14" s="12" t="inlineStr">
        <is>
          <t>Which claim identifies the user returned by EIAM: the Windows ID (on-premises account name), the user principal name (UPN), or the employee number? Please also give the format of the Windows ID and how it relates to the BIBS user ID (a999999999)..</t>
        </is>
      </c>
      <c r="E14" s="12" t="inlineStr">
        <is>
          <t>BIBS matches the signed-in identity to the BIBS user by the Windows ID or the UPN (FRS chapter 7). The BRD names the Windows ID as the sign-in key (p.14) and a separate user ID of format a999999999 (p.13). Entra ID gives the UPN by default; the Windows ID needs an extra claim. If not provided: Users cannot be linked to their BDO identity; the users list (CI-01) cannot be prepared with the right key.</t>
        </is>
      </c>
      <c r="F14" s="12" t="inlineStr">
        <is>
          <t>EIAM sends the Windows ID in a dedicated claim (or the UPN where the Windows ID is not released); BIBS matches it to the Windows ID held on each user; the BIBS user ID stays the employee-number format.</t>
        </is>
      </c>
      <c r="G14" s="12" t="inlineStr">
        <is>
          <t>Drop 0 requirements and questions list v1.0 (8-Oct-2026), UA-Q08; BRD User Access Maintenance p.13 (NFR 1.j), p.14; FRS BRD-11 v2.0 FR-UA-003, FR-UA-052, chapter 7; Programme alignment IQ04; Discrepancy register DCR-230</t>
        </is>
      </c>
      <c r="H14" s="12" t="inlineStr">
        <is>
          <t>Head, BDOI IT (identity and access team)</t>
        </is>
      </c>
      <c r="I14" s="37" t="n">
        <v>46357</v>
      </c>
      <c r="J14" s="12" t="inlineStr">
        <is>
          <t>High</t>
        </is>
      </c>
      <c r="K14" s="38" t="inlineStr">
        <is>
          <t>Open</t>
        </is>
      </c>
      <c r="L14" s="12" t="n"/>
      <c r="M14" s="12" t="n"/>
    </row>
    <row r="15">
      <c r="A15" s="12" t="inlineStr">
        <is>
          <t>UA-Q11</t>
        </is>
      </c>
      <c r="B15" s="12" t="inlineStr">
        <is>
          <t>BRD-11 User Access Maintenance</t>
        </is>
      </c>
      <c r="C15" s="12" t="inlineStr">
        <is>
          <t>Decision</t>
        </is>
      </c>
      <c r="D15" s="12" t="inlineStr">
        <is>
          <t>How must the Entra ID session and token lifetimes work with the BRD rule of a 15-minute inactivity warning and a 30-minute sign-out? After BIBS signs a user out for inactivity, must the user re-enter credentials at EIAM, or may Entra ID sign the user back in silently? Please also give the maximum length of a BIBS session (the 'fixed session expiry' before which BIBS warns 30 minutes ahead)..</t>
        </is>
      </c>
      <c r="E15" s="12" t="inlineStr">
        <is>
          <t>BIBS keeps its own inactivity warning (15 minutes) and sign-out (30 minutes) in every mode (FR-UA-002). If the Entra ID session is still open, a user returning after the BIBS time-out would be signed in again without a password, which weakens the 30-minute rule. The FRS does not state the value of the fixed session expiry. If not provided: The session rule cannot be tested end to end with EIAM; the fixed session expiry has no agreed value.</t>
        </is>
      </c>
      <c r="F15" s="12" t="inlineStr">
        <is>
          <t>BIBS asks EIAM to re-authenticate the user after an inactivity sign-out; BIBS inactivity 15 / 30 minutes; maximum session length 10 hours (one working day), to be confirmed by Information Security.</t>
        </is>
      </c>
      <c r="G15" s="12" t="inlineStr">
        <is>
          <t>Drop 0 requirements and questions list v1.0 (8-Oct-2026), UA-Q11; BRD User Access Maintenance p.8, p.17 (Other BU NFR 5); FRS BRD-11 v2.0 FR-UA-002, section 9.1; Programme alignment IQ04</t>
        </is>
      </c>
      <c r="H15" s="12" t="inlineStr">
        <is>
          <t>Head, BDOI Information Security</t>
        </is>
      </c>
      <c r="I15" s="37" t="n">
        <v>46357</v>
      </c>
      <c r="J15" s="12" t="inlineStr">
        <is>
          <t>High</t>
        </is>
      </c>
      <c r="K15" s="38" t="inlineStr">
        <is>
          <t>Open</t>
        </is>
      </c>
      <c r="L15" s="12" t="n"/>
      <c r="M15" s="12" t="n"/>
    </row>
    <row r="16">
      <c r="A16" s="12" t="inlineStr">
        <is>
          <t>UA-Q13</t>
        </is>
      </c>
      <c r="B16" s="12" t="inlineStr">
        <is>
          <t>BRD-11 User Access Maintenance</t>
        </is>
      </c>
      <c r="C16" s="12" t="inlineStr">
        <is>
          <t>Decision</t>
        </is>
      </c>
      <c r="D16" s="12" t="inlineStr">
        <is>
          <t>Are local break-glass administrator accounts allowed when EIAM is the sign-in? If yes: how many, who holds them, how the credentials are kept, and how each use is reviewed..</t>
        </is>
      </c>
      <c r="E16" s="12" t="inlineStr">
        <is>
          <t>When EIAM is down, nobody can sign in to administer BIBS unless a local account exists (FR-UA-003, UQ04). BIBS keeps a local password plus a mandatory authenticator code for named break-glass users. The System Administrator profile is exempt from the dormant-user job. If not provided: There is no recovery path if EIAM is unavailable, or an unreviewed local account remains.</t>
        </is>
      </c>
      <c r="F16" s="12" t="inlineStr">
        <is>
          <t>Two named break-glass System Administrator accounts, local password plus authenticator code, credentials sealed by Information Security, every sign-in alerted to Information Security and reviewed monthly; the switch to EIAM is made only once these accounts exist.</t>
        </is>
      </c>
      <c r="G16" s="12" t="inlineStr">
        <is>
          <t>Drop 0 requirements and questions list v1.0 (8-Oct-2026), UA-Q13; FRS BRD-11 v2.0 FR-UA-003, UQ04, FR-UA-006 rule R3; Discrepancy register DCR-143; Programme alignment IQ04; also raised as UQ04 (open question)</t>
        </is>
      </c>
      <c r="H16" s="12" t="inlineStr">
        <is>
          <t>Head, BDOI Information Security</t>
        </is>
      </c>
      <c r="I16" s="37" t="n">
        <v>46357</v>
      </c>
      <c r="J16" s="12" t="inlineStr">
        <is>
          <t>High</t>
        </is>
      </c>
      <c r="K16" s="38" t="inlineStr">
        <is>
          <t>Open</t>
        </is>
      </c>
      <c r="L16" s="12" t="n"/>
      <c r="M16" s="12" t="n"/>
    </row>
    <row r="17">
      <c r="A17" s="12" t="inlineStr">
        <is>
          <t>UA-Q20</t>
        </is>
      </c>
      <c r="B17" s="12" t="inlineStr">
        <is>
          <t>BRD-11 User Access Maintenance</t>
        </is>
      </c>
      <c r="C17" s="12" t="inlineStr">
        <is>
          <t>Decision</t>
        </is>
      </c>
      <c r="D17" s="12" t="inlineStr">
        <is>
          <t>If UIDM-ISC provisions changes, which approval and controls apply in BIBS: are UIDM-ISC-approved changes applied directly (as system requests with the UIDM-ISC number) or do they still need a BIBS approver; does BIBS refuse a change that breaks a BIBS separation-of-duties rule; how soon must a leaver be deactivated; and how are movers (change of unit or branch) handled.</t>
        </is>
      </c>
      <c r="E17" s="12" t="inlineStr">
        <is>
          <t>BIBS checks separation-of-duties rules on every request and bulk line (FR-UA-053) and needs a second approval for privileged or out-of-hours changes (FR-UA-034). An IGA normally owns approvals; two approvals of the same change would duplicate work. If not provided: The four-eyes, separation-of-duties and second-approval rules signed in this set may conflict with the IGA flow.</t>
        </is>
      </c>
      <c r="F17" s="12" t="inlineStr">
        <is>
          <t>Changes approved in UIDM-ISC are applied as system requests without a second BIBS approval; BIBS still refuses separation-of-duties conflicts and reports the refusal back; leavers are deactivated on receipt (same day); movers change only the unit data, and their group profiles change by BIBS request.</t>
        </is>
      </c>
      <c r="G17" s="12" t="inlineStr">
        <is>
          <t>Drop 0 requirements and questions list v1.0 (8-Oct-2026), UA-Q20; FRS BRD-11 v2.0 FR-UA-034, FR-UA-053, IQ05; Discrepancy register DCR-229; Programme alignment IQ05</t>
        </is>
      </c>
      <c r="H17" s="12" t="inlineStr">
        <is>
          <t>Head, BDOI Information Security</t>
        </is>
      </c>
      <c r="I17" s="37" t="n">
        <v>46357</v>
      </c>
      <c r="J17" s="12" t="inlineStr">
        <is>
          <t>High</t>
        </is>
      </c>
      <c r="K17" s="38" t="inlineStr">
        <is>
          <t>Open</t>
        </is>
      </c>
      <c r="L17" s="12" t="n"/>
      <c r="M17" s="12" t="n"/>
    </row>
    <row r="18">
      <c r="A18" s="12" t="inlineStr">
        <is>
          <t>UA-Q25</t>
        </is>
      </c>
      <c r="B18" s="12" t="inlineStr">
        <is>
          <t>BRD-11 User Access Maintenance</t>
        </is>
      </c>
      <c r="C18" s="12" t="inlineStr">
        <is>
          <t>Clarification</t>
        </is>
      </c>
      <c r="D18" s="12" t="inlineStr">
        <is>
          <t>Please confirm the user ID format. The BRD asks for 'at least ten (10) alphanumeric characters' and 'supports a999999999 format' (p.13). BIBS checks new user IDs against a letter followed by nine digits (for example a013000196). Is the user ID the employee number, and how does it relate to the Windows ID? Embedded service accounts follow p_appname_description (p.12-13)..</t>
        </is>
      </c>
      <c r="E18" s="12" t="inlineStr">
        <is>
          <t>'At least ten characters' and an exact a999999999 pattern are not the same rule. The parameter user id pattern sets the check; existing service and test users are exempt. If not provided: Users of template CI-01 cannot be prepared and the request screens' check cannot be frozen.</t>
        </is>
      </c>
      <c r="F18" s="12" t="inlineStr">
        <is>
          <t>The user ID is the employee number, letter plus nine digits; the Windows ID is held separately for EIAM; service accounts follow the BDO naming convention and are exempt from the pattern.</t>
        </is>
      </c>
      <c r="G18" s="12" t="inlineStr">
        <is>
          <t>Drop 0 requirements and questions list v1.0 (8-Oct-2026), UA-Q25; BRD User Access Maintenance p.12-13 (NFR 1.j, embedded IDs); FRS BRD-11 v2.0 FR-UA-011 rule R1, FR-UA-052, UQ05; Discrepancy register DCR-118; Change register CR-0163; also raised as DCR-118 (register item)</t>
        </is>
      </c>
      <c r="H18" s="12" t="inlineStr">
        <is>
          <t>Process Owner, User Access Maintenance (Business Administration)</t>
        </is>
      </c>
      <c r="I18" s="37" t="n">
        <v>46357</v>
      </c>
      <c r="J18" s="12" t="inlineStr">
        <is>
          <t>High</t>
        </is>
      </c>
      <c r="K18" s="38" t="inlineStr">
        <is>
          <t>Open</t>
        </is>
      </c>
      <c r="L18" s="12" t="n"/>
      <c r="M18" s="12" t="n"/>
    </row>
    <row r="19">
      <c r="A19" s="12" t="inlineStr">
        <is>
          <t>UA-Q29</t>
        </is>
      </c>
      <c r="B19" s="12" t="inlineStr">
        <is>
          <t>BRD-11 User Access Maintenance</t>
        </is>
      </c>
      <c r="C19" s="12" t="inlineStr">
        <is>
          <t>Configuration value</t>
        </is>
      </c>
      <c r="D19" s="12" t="inlineStr">
        <is>
          <t>The BRD assumes 'there's a defined User Access Matrix in place' (p.5), but no BIBS-wide matrix was supplied. Please provide it, or approve the proposed role catalogue (the group profiles and menus of every persona in FRS chapter 12 and the menu sheets of the sign-off workbook), including which profiles are High or Admin privilege..</t>
        </is>
      </c>
      <c r="E19" s="12" t="inlineStr">
        <is>
          <t>Each BRD gives its own personas; the project proposes about fifty group profiles across the modules. The privilege level of a profile decides when a second approval is required (UQ07). If not provided: Menus cannot be signed and the second-approval rule has no list of privileged profiles.</t>
        </is>
      </c>
      <c r="F19" s="12" t="inlineStr">
        <is>
          <t>BDOI approves the proposed catalogue at sign-off; System Administrator and Information Security Officer profiles are Admin; approver, Business Administrator and finance-posting profiles are High; the others Standard or Low.</t>
        </is>
      </c>
      <c r="G19" s="12" t="inlineStr">
        <is>
          <t>Drop 0 requirements and questions list v1.0 (8-Oct-2026), UA-Q29; BRD User Access Maintenance p.5 (assumption); FRS BRD-11 v2.0 chapter 3, chapter 12, A-UA-03, UQ01, UQ07; Discrepancy register DCR-121; also raised as DCR-121 (register item)</t>
        </is>
      </c>
      <c r="H19" s="12" t="inlineStr">
        <is>
          <t>Head, BDOI Information Security</t>
        </is>
      </c>
      <c r="I19" s="37" t="n">
        <v>46357</v>
      </c>
      <c r="J19" s="12" t="inlineStr">
        <is>
          <t>High</t>
        </is>
      </c>
      <c r="K19" s="38" t="inlineStr">
        <is>
          <t>Open</t>
        </is>
      </c>
      <c r="L19" s="12" t="n"/>
      <c r="M19" s="12" t="n"/>
    </row>
    <row r="20">
      <c r="A20" s="12" t="inlineStr">
        <is>
          <t>UA-Q34</t>
        </is>
      </c>
      <c r="B20" s="12" t="inlineStr">
        <is>
          <t>BRD-11 User Access Maintenance</t>
        </is>
      </c>
      <c r="C20" s="12" t="inlineStr">
        <is>
          <t>Decision</t>
        </is>
      </c>
      <c r="D20" s="12" t="inlineStr">
        <is>
          <t>Which users may be chosen as approver of a user access request: any holder of the approval right, or only the approver(s) of the requester's unit? May any approver decide a request, or only the one chosen? For group-profile requests, do the chosen approvers decide in sequence or in parallel, and must all approve.</t>
        </is>
      </c>
      <c r="E20" s="12" t="inlineStr">
        <is>
          <t>The BRD lets the requester select the approver (1.002.1.3) and 'approver/s' for group profiles (3.002.x) without rules (UQ02). BIBS default: the chosen approver only (uam any approver = false); group-profile approvers in sequence, all required (A-UA-05). If not provided: The approval routing and the configuration of CI-03 cannot be finalised.</t>
        </is>
      </c>
      <c r="F20" s="12" t="inlineStr">
        <is>
          <t>Approvers limited to holders of the approval right for the requester's unit; only the chosen approver decides; group-profile approvers in the order chosen, all required.</t>
        </is>
      </c>
      <c r="G20" s="12" t="inlineStr">
        <is>
          <t>Drop 0 requirements and questions list v1.0 (8-Oct-2026), UA-Q34; BRD User Access Maintenance p.8-9 (1.002.1.3, 3.002.1.2); FRS BRD-11 v2.0 FR-UA-015, FR-UA-044, A-UA-05, UQ02</t>
        </is>
      </c>
      <c r="H20" s="12" t="inlineStr">
        <is>
          <t>Process Owner, User Access Maintenance (Business Administration)</t>
        </is>
      </c>
      <c r="I20" s="37" t="n">
        <v>46357</v>
      </c>
      <c r="J20" s="12" t="inlineStr">
        <is>
          <t>High</t>
        </is>
      </c>
      <c r="K20" s="38" t="inlineStr">
        <is>
          <t>Open</t>
        </is>
      </c>
      <c r="L20" s="12" t="n"/>
      <c r="M20" s="12" t="n"/>
    </row>
    <row r="21">
      <c r="A21" s="12" t="inlineStr">
        <is>
          <t>SO-11-1</t>
        </is>
      </c>
      <c r="B21" s="12" t="inlineStr">
        <is>
          <t>BRD-11 User Access Maintenance</t>
        </is>
      </c>
      <c r="C21" s="12" t="inlineStr">
        <is>
          <t>Sign-off</t>
        </is>
      </c>
      <c r="D21" s="12" t="inlineStr">
        <is>
          <t>Sign the BRD-11 User Access Maintenance sign-off set.</t>
        </is>
      </c>
      <c r="E21" s="12" t="inlineStr">
        <is>
          <t>The signed document fixes the scope for the next step of the plan; a late sign-off moves the dates that follow it.</t>
        </is>
      </c>
      <c r="F21" s="12" t="n"/>
      <c r="G21" s="12" t="inlineStr">
        <is>
          <t>Project plan v1.0 (8-Oct-2026), sign-offs and milestones</t>
        </is>
      </c>
      <c r="H21" s="12" t="inlineStr">
        <is>
          <t>Product Owner, Marketing Business System; BDOI Information Security; BDOI IT; Business Administrators</t>
        </is>
      </c>
      <c r="I21" s="37" t="n">
        <v>46357</v>
      </c>
      <c r="J21" s="12" t="inlineStr">
        <is>
          <t>High</t>
        </is>
      </c>
      <c r="K21" s="38" t="inlineStr">
        <is>
          <t>Open</t>
        </is>
      </c>
      <c r="L21" s="12" t="n"/>
      <c r="M21" s="12" t="n"/>
    </row>
    <row r="22">
      <c r="A22" s="12" t="inlineStr">
        <is>
          <t>CLR-UA-02</t>
        </is>
      </c>
      <c r="B22" s="12" t="inlineStr">
        <is>
          <t>BRD-11 User Access Maintenance</t>
        </is>
      </c>
      <c r="C22" s="12" t="inlineStr">
        <is>
          <t>Business rule confirmation</t>
        </is>
      </c>
      <c r="D22" s="12" t="inlineStr">
        <is>
          <t>External access-control list: Confirm that authorisation stays in BIBS, or specify the external ACL (UQ14, UA-Q23).</t>
        </is>
      </c>
      <c r="E22" s="12" t="inlineStr">
        <is>
          <t>The external ACL is not specified (UQ14).</t>
        </is>
      </c>
      <c r="F22" s="12" t="inlineStr">
        <is>
          <t>Roles and permissions are kept in BIBS; there is no authorisation through an external access-control list.</t>
        </is>
      </c>
      <c r="G22" s="12" t="inlineStr">
        <is>
          <t>FRS BRD-11 v2.1, Proposed business rules and clarifications; UAM-NFR-12; FR-UA-003; also raised as UA-Q23 (Drop 0 list item), UQ14 (open question), DCR-120 (register item)</t>
        </is>
      </c>
      <c r="H22" s="12" t="inlineStr">
        <is>
          <t>Head, BDOI IT (identity and access team)</t>
        </is>
      </c>
      <c r="I22" s="37" t="n">
        <v>46357</v>
      </c>
      <c r="J22" s="12" t="inlineStr">
        <is>
          <t>Medium</t>
        </is>
      </c>
      <c r="K22" s="38" t="inlineStr">
        <is>
          <t>Open</t>
        </is>
      </c>
      <c r="L22" s="12" t="n"/>
      <c r="M22" s="12" t="n"/>
    </row>
    <row r="23">
      <c r="A23" s="12" t="inlineStr">
        <is>
          <t>CLR-UA-06</t>
        </is>
      </c>
      <c r="B23" s="12" t="inlineStr">
        <is>
          <t>BRD-11 User Access Maintenance</t>
        </is>
      </c>
      <c r="C23" s="12" t="inlineStr">
        <is>
          <t>Business rule confirmation</t>
        </is>
      </c>
      <c r="D23" s="12" t="inlineStr">
        <is>
          <t>Effective date of an enrolment: Confirm the handling of scheduled enrolments (UA-Q39).</t>
        </is>
      </c>
      <c r="E23" s="12" t="inlineStr">
        <is>
          <t>The temporary password is shown only once, to the approver of an immediate enrolment.</t>
        </is>
      </c>
      <c r="F23" s="12" t="inlineStr">
        <is>
          <t>A scheduled enrolment creates the user on its date with a password that is never shown; the System Administrator resets it and the user changes it at the first sign-in.</t>
        </is>
      </c>
      <c r="G23" s="12" t="inlineStr">
        <is>
          <t>FRS BRD-11 v2.1, Proposed business rules and clarifications; UAM-NFR-14; FR-UA-020</t>
        </is>
      </c>
      <c r="H23" s="12" t="inlineStr">
        <is>
          <t>Product Owner, MBS, with Business Administration (User Access)</t>
        </is>
      </c>
      <c r="I23" s="37" t="n">
        <v>46357</v>
      </c>
      <c r="J23" s="12" t="inlineStr">
        <is>
          <t>Medium</t>
        </is>
      </c>
      <c r="K23" s="38" t="inlineStr">
        <is>
          <t>Open</t>
        </is>
      </c>
      <c r="L23" s="12" t="n"/>
      <c r="M23" s="12" t="n"/>
    </row>
    <row r="24">
      <c r="A24" s="12" t="inlineStr">
        <is>
          <t>CLR-UA-07</t>
        </is>
      </c>
      <c r="B24" s="12" t="inlineStr">
        <is>
          <t>BRD-11 User Access Maintenance</t>
        </is>
      </c>
      <c r="C24" s="12" t="inlineStr">
        <is>
          <t>Decision</t>
        </is>
      </c>
      <c r="D24" s="12" t="inlineStr">
        <is>
          <t>Deactivation of a group profile with members: Decide whether members must be moved before a deactivation (UQ16, UA-Q40).</t>
        </is>
      </c>
      <c r="E24" s="12" t="inlineStr">
        <is>
          <t>The BRD does not say whether members must be moved first (UQ16).</t>
        </is>
      </c>
      <c r="F24" s="12" t="inlineStr">
        <is>
          <t>A profile with members can be deactivated; the members lose its screens when the request is implemented, are listed on the request and are each told (in the app and by e-mail).</t>
        </is>
      </c>
      <c r="G24" s="12" t="inlineStr">
        <is>
          <t>FRS BRD-11 v2.1, Proposed business rules and clarifications; 3.002.3; FR-UA-042; also raised as UA-Q40 (Drop 0 list item), UQ16 (open question)</t>
        </is>
      </c>
      <c r="H24" s="12" t="inlineStr">
        <is>
          <t>Process Owner, User Access Maintenance (Business Administration)</t>
        </is>
      </c>
      <c r="I24" s="37" t="n">
        <v>46357</v>
      </c>
      <c r="J24" s="12" t="inlineStr">
        <is>
          <t>Medium</t>
        </is>
      </c>
      <c r="K24" s="38" t="inlineStr">
        <is>
          <t>Open</t>
        </is>
      </c>
      <c r="L24" s="12" t="n"/>
      <c r="M24" s="12" t="n"/>
    </row>
    <row r="25">
      <c r="A25" s="12" t="inlineStr">
        <is>
          <t>CLR-UA-10</t>
        </is>
      </c>
      <c r="B25" s="12" t="inlineStr">
        <is>
          <t>BRD-11 User Access Maintenance</t>
        </is>
      </c>
      <c r="C25" s="12" t="inlineStr">
        <is>
          <t>Report layout</t>
        </is>
      </c>
      <c r="D25" s="12" t="inlineStr">
        <is>
          <t>Module and task names in the reports: Confirm the module and task names (UQ11, UA-Q50).</t>
        </is>
      </c>
      <c r="E25" s="12" t="inlineStr">
        <is>
          <t>The module and task names of sample B are not defined (UQ11).</t>
        </is>
      </c>
      <c r="F25" s="12" t="inlineStr">
        <is>
          <t>The User Group Profile Report shows the module as the permission area and the task as the permission name. The report parameters Group Profile and Module are offered as lists.</t>
        </is>
      </c>
      <c r="G25" s="12" t="inlineStr">
        <is>
          <t>FRS BRD-11 v2.1, Proposed business rules and clarifications; 3.003; FR-UA-060, 061; also raised as UA-Q50 (Drop 0 list item), UQ11 (open question), DCR-116 (register item)</t>
        </is>
      </c>
      <c r="H25" s="12" t="inlineStr">
        <is>
          <t>Process Owner, User Access Maintenance (Business Administration)</t>
        </is>
      </c>
      <c r="I25" s="37" t="n">
        <v>46357</v>
      </c>
      <c r="J25" s="12" t="inlineStr">
        <is>
          <t>Medium</t>
        </is>
      </c>
      <c r="K25" s="38" t="inlineStr">
        <is>
          <t>Open</t>
        </is>
      </c>
      <c r="L25" s="12" t="n"/>
      <c r="M25" s="12" t="n"/>
    </row>
    <row r="26">
      <c r="A26" s="12" t="inlineStr">
        <is>
          <t>CLR-UA-11</t>
        </is>
      </c>
      <c r="B26" s="12" t="inlineStr">
        <is>
          <t>BRD-11 User Access Maintenance</t>
        </is>
      </c>
      <c r="C26" s="12" t="inlineStr">
        <is>
          <t>Decision</t>
        </is>
      </c>
      <c r="D26" s="12" t="inlineStr">
        <is>
          <t>User Access Matrix for requesters: Decide whether requesters should read the User Access Matrix (UA-Q32).</t>
        </is>
      </c>
      <c r="E26" s="12" t="inlineStr">
        <is>
          <t>The BRD's view function does not name the matrix.</t>
        </is>
      </c>
      <c r="F26" s="12" t="inlineStr">
        <is>
          <t>The Requestor and the Second Approver do not open the User Access Matrix; the matrix serves the request, approval, role management and audit rights.</t>
        </is>
      </c>
      <c r="G26" s="12" t="inlineStr">
        <is>
          <t>FRS BRD-11 v2.1, Proposed business rules and clarifications; 4.002.2.7; FR-UA-051; also raised as UA-Q32 (Drop 0 list item)</t>
        </is>
      </c>
      <c r="H26" s="12" t="inlineStr">
        <is>
          <t>Process Owner, User Access Maintenance (Business Administration)</t>
        </is>
      </c>
      <c r="I26" s="37" t="n">
        <v>46357</v>
      </c>
      <c r="J26" s="12" t="inlineStr">
        <is>
          <t>Medium</t>
        </is>
      </c>
      <c r="K26" s="38" t="inlineStr">
        <is>
          <t>Open</t>
        </is>
      </c>
      <c r="L26" s="12" t="n"/>
      <c r="M26" s="12" t="n"/>
    </row>
    <row r="27">
      <c r="A27" s="12" t="inlineStr">
        <is>
          <t>CLR-UA-12</t>
        </is>
      </c>
      <c r="B27" s="12" t="inlineStr">
        <is>
          <t>BRD-11 User Access Maintenance</t>
        </is>
      </c>
      <c r="C27" s="12" t="inlineStr">
        <is>
          <t>Business rule confirmation</t>
        </is>
      </c>
      <c r="D27" s="12" t="inlineStr">
        <is>
          <t>Group-profile changes applied at implementation: Confirm the implementation step for every module (UQ03, UA-Q36).</t>
        </is>
      </c>
      <c r="E27" s="12" t="inlineStr">
        <is>
          <t>The BRD-11 diagram (p.6) has the System Administrator implement group-profile changes (PQ17 answered).</t>
        </is>
      </c>
      <c r="F27" s="12" t="inlineStr">
        <is>
          <t>An approved change of group-profile permissions is applied when the System Administrator implements it, for every module, including Product Maintenance (BRD-3 PMADD05).</t>
        </is>
      </c>
      <c r="G27" s="12" t="inlineStr">
        <is>
          <t>FRS BRD-11 v2.1, Proposed business rules and clarifications; UQ03; FR-UA-041, 045; also raised as UA-Q36 (Drop 0 list item), UQ03 (open question), DCR-117 (register item)</t>
        </is>
      </c>
      <c r="H27" s="12" t="inlineStr">
        <is>
          <t>Process Owner, User Access Maintenance (Business Administration)</t>
        </is>
      </c>
      <c r="I27" s="37" t="n">
        <v>46357</v>
      </c>
      <c r="J27" s="12" t="inlineStr">
        <is>
          <t>Medium</t>
        </is>
      </c>
      <c r="K27" s="38" t="inlineStr">
        <is>
          <t>Open</t>
        </is>
      </c>
      <c r="L27" s="12" t="n"/>
      <c r="M27" s="12" t="n"/>
    </row>
    <row r="28">
      <c r="A28" s="12" t="inlineStr">
        <is>
          <t>CLR-UA-13</t>
        </is>
      </c>
      <c r="B28" s="12" t="inlineStr">
        <is>
          <t>BRD-11 User Access Maintenance</t>
        </is>
      </c>
      <c r="C28" s="12" t="inlineStr">
        <is>
          <t>Decision</t>
        </is>
      </c>
      <c r="D28" s="12" t="inlineStr">
        <is>
          <t>Temporary access with an end date: Decide whether temporary access with an end date is needed (UQ06, UA-Q39).</t>
        </is>
      </c>
      <c r="E28" s="12" t="inlineStr">
        <is>
          <t>Temporary access is not specified in the BRD (UQ06).</t>
        </is>
      </c>
      <c r="F28" s="12" t="inlineStr">
        <is>
          <t>Access is given until it is removed by a request; there is no end date on a group profile of a user.</t>
        </is>
      </c>
      <c r="G28" s="12" t="inlineStr">
        <is>
          <t>FRS BRD-11 v2.1, Proposed business rules and clarifications; UQ06; FR-UA-017, 020; also raised as UA-Q39 (Drop 0 list item), UQ06 (open question)</t>
        </is>
      </c>
      <c r="H28" s="12" t="inlineStr">
        <is>
          <t>Process Owner, User Access Maintenance (Business Administration)</t>
        </is>
      </c>
      <c r="I28" s="37" t="n">
        <v>46357</v>
      </c>
      <c r="J28" s="12" t="inlineStr">
        <is>
          <t>Medium</t>
        </is>
      </c>
      <c r="K28" s="38" t="inlineStr">
        <is>
          <t>Open</t>
        </is>
      </c>
      <c r="L28" s="12" t="n"/>
      <c r="M28" s="12" t="n"/>
    </row>
    <row r="29">
      <c r="A29" s="12" t="inlineStr">
        <is>
          <t>CLR-UA-16</t>
        </is>
      </c>
      <c r="B29" s="12" t="inlineStr">
        <is>
          <t>BRD-11 User Access Maintenance</t>
        </is>
      </c>
      <c r="C29" s="12" t="inlineStr">
        <is>
          <t>Clarification</t>
        </is>
      </c>
      <c r="D29" s="12" t="inlineStr">
        <is>
          <t>Bulk requests: Give the bulk settings (UQ10, UA-Q41).</t>
        </is>
      </c>
      <c r="E29" s="12" t="inlineStr">
        <is>
          <t>The maximum number of rows, line-by-line decisions and mixed actions are not given (UQ10).</t>
        </is>
      </c>
      <c r="F29" s="12" t="inlineStr">
        <is>
          <t>A bulk request is decided as a whole.</t>
        </is>
      </c>
      <c r="G29" s="12" t="inlineStr">
        <is>
          <t>FRS BRD-11 v2.1, Proposed business rules and clarifications; 1.009; FR-UA-019; also raised as UA-Q41 (Drop 0 list item), UQ10 (open question)</t>
        </is>
      </c>
      <c r="H29" s="12" t="inlineStr">
        <is>
          <t>Process Owner, User Access Maintenance (Business Administration)</t>
        </is>
      </c>
      <c r="I29" s="37" t="n">
        <v>46357</v>
      </c>
      <c r="J29" s="12" t="inlineStr">
        <is>
          <t>Medium</t>
        </is>
      </c>
      <c r="K29" s="38" t="inlineStr">
        <is>
          <t>Open</t>
        </is>
      </c>
      <c r="L29" s="12" t="n"/>
      <c r="M29" s="12" t="n"/>
    </row>
    <row r="30">
      <c r="A30" s="12" t="inlineStr">
        <is>
          <t>CLR-UA-18</t>
        </is>
      </c>
      <c r="B30" s="12" t="inlineStr">
        <is>
          <t>BRD-11 User Access Maintenance</t>
        </is>
      </c>
      <c r="C30" s="12" t="inlineStr">
        <is>
          <t>Business rule confirmation</t>
        </is>
      </c>
      <c r="D30" s="12" t="inlineStr">
        <is>
          <t>Stage list of an access request: Confirm the stage list and its names (UA-Q36).</t>
        </is>
      </c>
      <c r="E30" s="12" t="inlineStr">
        <is>
          <t>The request is not in a configured workflow; its stages are fixed for the screen.</t>
        </is>
      </c>
      <c r="F30" s="12" t="inlineStr">
        <is>
          <t>The stepper of an access request shows Draft, Pending Approval, Second approval (only where one is needed), then Approved; a group-profile request ends with For implementation and Implemented. Scheduled shows while an approved change waits for its effective date; a returned request shows in amber, a rejected or cancelled one in red.</t>
        </is>
      </c>
      <c r="G30" s="12" t="inlineStr">
        <is>
          <t>FRS BRD-11 v2.1, Proposed business rules and clarifications</t>
        </is>
      </c>
      <c r="H30" s="12" t="inlineStr">
        <is>
          <t>Product Owner, MBS, with Business Administration (User Access)</t>
        </is>
      </c>
      <c r="I30" s="37" t="n">
        <v>46357</v>
      </c>
      <c r="J30" s="12" t="inlineStr">
        <is>
          <t>Medium</t>
        </is>
      </c>
      <c r="K30" s="38" t="inlineStr">
        <is>
          <t>Open</t>
        </is>
      </c>
      <c r="L30" s="12" t="n"/>
      <c r="M30" s="12" t="n"/>
    </row>
    <row r="31">
      <c r="A31" s="12" t="inlineStr">
        <is>
          <t>CLR-UA-19</t>
        </is>
      </c>
      <c r="B31" s="12" t="inlineStr">
        <is>
          <t>BRD-11 User Access Maintenance</t>
        </is>
      </c>
      <c r="C31" s="12" t="inlineStr">
        <is>
          <t>Business rule confirmation</t>
        </is>
      </c>
      <c r="D31" s="12" t="inlineStr">
        <is>
          <t>Main path with two good endings: Confirm the ending shown for each request type.</t>
        </is>
      </c>
      <c r="E31" s="12" t="inlineStr">
        <is>
          <t>Two endings on one line would read as two steps.</t>
        </is>
      </c>
      <c r="F31" s="12" t="inlineStr">
        <is>
          <t>A user request ends at Approved and a group-profile request at Implemented; the stepper shows only the ending of the request type.</t>
        </is>
      </c>
      <c r="G31" s="12" t="inlineStr">
        <is>
          <t>FRS BRD-11 v2.1, Proposed business rules and clarifications</t>
        </is>
      </c>
      <c r="H31" s="12" t="inlineStr">
        <is>
          <t>Product Owner, MBS, with Business Administration (User Access)</t>
        </is>
      </c>
      <c r="I31" s="37" t="n">
        <v>46357</v>
      </c>
      <c r="J31" s="12" t="inlineStr">
        <is>
          <t>Medium</t>
        </is>
      </c>
      <c r="K31" s="38" t="inlineStr">
        <is>
          <t>Open</t>
        </is>
      </c>
      <c r="L31" s="12" t="n"/>
      <c r="M31" s="12" t="n"/>
    </row>
    <row r="32">
      <c r="A32" s="12" t="inlineStr">
        <is>
          <t>CLR-UA-20</t>
        </is>
      </c>
      <c r="B32" s="12" t="inlineStr">
        <is>
          <t>BRD-11 User Access Maintenance</t>
        </is>
      </c>
      <c r="C32" s="12" t="inlineStr">
        <is>
          <t>Business rule confirmation</t>
        </is>
      </c>
      <c r="D32" s="12" t="inlineStr">
        <is>
          <t>Full status labels: Confirm full labels.</t>
        </is>
      </c>
      <c r="E32" s="12" t="inlineStr">
        <is>
          <t>The client asked for full labels where they fit (27-Sep-2026).</t>
        </is>
      </c>
      <c r="F32" s="12" t="inlineStr">
        <is>
          <t>Request and user statuses show their full label (for example Pending Approval, For implementation); a short form with the full label in the tooltip is used only above 21 characters.</t>
        </is>
      </c>
      <c r="G32" s="12" t="inlineStr">
        <is>
          <t>FRS BRD-11 v2.1, Proposed business rules and clarifications</t>
        </is>
      </c>
      <c r="H32" s="12" t="inlineStr">
        <is>
          <t>Product Owner, MBS, with Business Administration (User Access)</t>
        </is>
      </c>
      <c r="I32" s="37" t="n">
        <v>46357</v>
      </c>
      <c r="J32" s="12" t="inlineStr">
        <is>
          <t>Medium</t>
        </is>
      </c>
      <c r="K32" s="38" t="inlineStr">
        <is>
          <t>Open</t>
        </is>
      </c>
      <c r="L32" s="12" t="n"/>
      <c r="M32" s="12" t="n"/>
    </row>
    <row r="33">
      <c r="A33" s="12" t="inlineStr">
        <is>
          <t>CLR-UA-24</t>
        </is>
      </c>
      <c r="B33" s="12" t="inlineStr">
        <is>
          <t>BRD-11 User Access Maintenance</t>
        </is>
      </c>
      <c r="C33" s="12" t="inlineStr">
        <is>
          <t>Business rule confirmation</t>
        </is>
      </c>
      <c r="D33" s="12" t="inlineStr">
        <is>
          <t>Break-glass administrators: Information Security to confirm the number, the holders and the review (UA-Q13).</t>
        </is>
      </c>
      <c r="E33" s="12" t="inlineStr">
        <is>
          <t>BIBS must stay manageable when EIAM is not available.</t>
        </is>
      </c>
      <c r="F33" s="12" t="inlineStr">
        <is>
          <t>Two named System Administrator accounts keep a local password and the BIBS second factor; their credentials are sealed by Information Security, every sign-in is alerted to Information Security and reviewed monthly; single sign-on is switched on only once these accounts exist.</t>
        </is>
      </c>
      <c r="G33" s="12" t="inlineStr">
        <is>
          <t>FRS BRD-11 v2.1, Proposed business rules and clarifications; FR-UA-003, 006</t>
        </is>
      </c>
      <c r="H33" s="12" t="inlineStr">
        <is>
          <t>Product Owner, MBS, with Business Administration (User Access)</t>
        </is>
      </c>
      <c r="I33" s="37" t="n">
        <v>46357</v>
      </c>
      <c r="J33" s="12" t="inlineStr">
        <is>
          <t>Medium</t>
        </is>
      </c>
      <c r="K33" s="38" t="inlineStr">
        <is>
          <t>Open</t>
        </is>
      </c>
      <c r="L33" s="12" t="n"/>
      <c r="M33" s="12" t="n"/>
    </row>
    <row r="34">
      <c r="A34" s="12" t="inlineStr">
        <is>
          <t>CLR-UA-26</t>
        </is>
      </c>
      <c r="B34" s="12" t="inlineStr">
        <is>
          <t>BRD-11 User Access Maintenance</t>
        </is>
      </c>
      <c r="C34" s="12" t="inlineStr">
        <is>
          <t>Business rule confirmation</t>
        </is>
      </c>
      <c r="D34" s="12" t="inlineStr">
        <is>
          <t>Roles stay in BIBS with single sign-on: Confirm that roles are not taken from Entra ID groups (UA-Q09).</t>
        </is>
      </c>
      <c r="E34" s="12" t="inlineStr">
        <is>
          <t>The BRD keeps every access change under four eyes in BIBS (p.6).</t>
        </is>
      </c>
      <c r="F34" s="12" t="inlineStr">
        <is>
          <t>Group profiles and permissions stay in BIBS and change only by BIBS requests; no Entra ID group is mapped to a BIBS role. EIAM may restrict who reaches BIBS through an assignment to a 'BIBS users' group kept by BDOI IT.</t>
        </is>
      </c>
      <c r="G34" s="12" t="inlineStr">
        <is>
          <t>FRS BRD-11 v2.1, Proposed business rules and clarifications; FR-UA-003</t>
        </is>
      </c>
      <c r="H34" s="12" t="inlineStr">
        <is>
          <t>Product Owner, MBS, with Business Administration (User Access)</t>
        </is>
      </c>
      <c r="I34" s="37" t="n">
        <v>46357</v>
      </c>
      <c r="J34" s="12" t="inlineStr">
        <is>
          <t>Medium</t>
        </is>
      </c>
      <c r="K34" s="38" t="inlineStr">
        <is>
          <t>Open</t>
        </is>
      </c>
      <c r="L34" s="12" t="n"/>
      <c r="M34" s="12" t="n"/>
    </row>
    <row r="35">
      <c r="A35" s="12" t="inlineStr">
        <is>
          <t>CLR-UA-27</t>
        </is>
      </c>
      <c r="B35" s="12" t="inlineStr">
        <is>
          <t>BRD-11 User Access Maintenance</t>
        </is>
      </c>
      <c r="C35" s="12" t="inlineStr">
        <is>
          <t>Configuration value</t>
        </is>
      </c>
      <c r="D35" s="12" t="inlineStr">
        <is>
          <t>Acceptance criteria and NFR numbering written by the project team: Business Administration and Information Security to accept the acceptance criteria and the numbering (UA-Q04).</t>
        </is>
      </c>
      <c r="E35" s="12" t="inlineStr">
        <is>
          <t>The BRD has user-story lines but no acceptance criteria and no NFR IDs.</t>
        </is>
      </c>
      <c r="F35" s="12" t="inlineStr">
        <is>
          <t>The numbered acceptance criteria of each FR and the NFR IDs UAM-NFR-01 to 41 are the acceptance basis of BRD-11; rows without a Mandatory flag are treated as Must have; the duplicate IDs are marked "(2nd)". The appendix User-story view sets each BRD line next to its acceptance criteria.</t>
        </is>
      </c>
      <c r="G35" s="12" t="inlineStr">
        <is>
          <t>FRS BRD-11 v2.1, Proposed business rules and clarifications; all FRs; section 8</t>
        </is>
      </c>
      <c r="H35" s="12" t="inlineStr">
        <is>
          <t>Product Owner, MBS, with Business Administration (User Access)</t>
        </is>
      </c>
      <c r="I35" s="37" t="n">
        <v>46357</v>
      </c>
      <c r="J35" s="12" t="inlineStr">
        <is>
          <t>Medium</t>
        </is>
      </c>
      <c r="K35" s="38" t="inlineStr">
        <is>
          <t>Open</t>
        </is>
      </c>
      <c r="L35" s="12" t="n"/>
      <c r="M35" s="12" t="n"/>
    </row>
    <row r="36">
      <c r="A36" s="12" t="inlineStr">
        <is>
          <t>UA-Q02</t>
        </is>
      </c>
      <c r="B36" s="12" t="inlineStr">
        <is>
          <t>BRD-11 User Access Maintenance</t>
        </is>
      </c>
      <c r="C36" s="12" t="inlineStr">
        <is>
          <t>Clarification</t>
        </is>
      </c>
      <c r="D36" s="12" t="inlineStr">
        <is>
          <t>Drop 0 items 0.1 Accessibility &amp; Login, 0.2 Authorization and 0.3 User Maintenance have no BRD named in the drop plan. Please confirm that they are accepted against BRD-11 plus the EIAM sign-in, and state whether 'Accessibility' also means screen accessibility for impaired vision (WCAG)..</t>
        </is>
      </c>
      <c r="E36" s="12" t="inlineStr">
        <is>
          <t>The drop plan leaves the BRD column empty for these items. BRD-11 asks for accessibility options for impaired vision or colour blindness only as 'Follow existing QPS set up' (p.12, UAM-NFR-05). If not provided: The acceptance basis of three Drop 0 items stays undefined, and the Drop 0 closure cannot list them as signed.</t>
        </is>
      </c>
      <c r="F36" s="12" t="inlineStr">
        <is>
          <t>Items 0.1 to 0.3 are accepted against BRD-11 and the EIAM sign-in decisions of this list; screen accessibility is covered by the BIBS accessibility statement and the BDO UX contrast rules.</t>
        </is>
      </c>
      <c r="G36" s="12" t="inlineStr">
        <is>
          <t>Drop 0 requirements and questions list v1.0 (8-Oct-2026), UA-Q02; BDOI drop plan, Drop 0 items 1-3; Programme alignment IQ24; Discrepancy register DCR-214; FRS BRD-11 v2.0 UAM-NFR-05; also raised as IQ24 (open question)</t>
        </is>
      </c>
      <c r="H36" s="12" t="inlineStr">
        <is>
          <t>Program Manager, Business Project Services (BDO Unibank ESG)</t>
        </is>
      </c>
      <c r="I36" s="37" t="n">
        <v>46357</v>
      </c>
      <c r="J36" s="12" t="inlineStr">
        <is>
          <t>Medium</t>
        </is>
      </c>
      <c r="K36" s="38" t="inlineStr">
        <is>
          <t>Open</t>
        </is>
      </c>
      <c r="L36" s="12" t="n"/>
      <c r="M36" s="12" t="n"/>
    </row>
    <row r="37">
      <c r="A37" s="12" t="inlineStr">
        <is>
          <t>UA-Q09</t>
        </is>
      </c>
      <c r="B37" s="12" t="inlineStr">
        <is>
          <t>BRD-11 User Access Maintenance</t>
        </is>
      </c>
      <c r="C37" s="12" t="inlineStr">
        <is>
          <t>Decision</t>
        </is>
      </c>
      <c r="D37" s="12" t="inlineStr">
        <is>
          <t>Please confirm that roles and permissions stay in BIBS (group profiles) and are not taken from Entra ID groups, and decide whether EIAM should also restrict who may reach BIBS through an Entra ID group or application assignment..</t>
        </is>
      </c>
      <c r="E37" s="12" t="inlineStr">
        <is>
          <t>Authorisation is held in BIBS in every sign-in mode (FR-UA-003 rule R2). BIBS can optionally accept a sign-on only when the identity provider asserts an agreed group. If not provided: Two places could grant access, and the BRD-11 four-eyes rule could be bypassed.</t>
        </is>
      </c>
      <c r="F37" s="12" t="inlineStr">
        <is>
          <t>Roles stay in BIBS; EIAM assigns the BIBS application only to a 'BIBS users' group maintained by BDOI IT; no group-to-role mapping.</t>
        </is>
      </c>
      <c r="G37" s="12" t="inlineStr">
        <is>
          <t>Drop 0 requirements and questions list v1.0 (8-Oct-2026), UA-Q09; FRS BRD-11 v2.0 FR-UA-003 rule R2; User access design section 10.1; Programme alignment INT-01, IQ04</t>
        </is>
      </c>
      <c r="H37" s="12" t="inlineStr">
        <is>
          <t>Head, BDOI IT (identity and access team)</t>
        </is>
      </c>
      <c r="I37" s="37" t="n">
        <v>46357</v>
      </c>
      <c r="J37" s="12" t="inlineStr">
        <is>
          <t>Medium</t>
        </is>
      </c>
      <c r="K37" s="38" t="inlineStr">
        <is>
          <t>Open</t>
        </is>
      </c>
      <c r="L37" s="12" t="n"/>
      <c r="M37" s="12" t="n"/>
    </row>
    <row r="38">
      <c r="A38" s="12" t="inlineStr">
        <is>
          <t>UA-Q12</t>
        </is>
      </c>
      <c r="B38" s="12" t="inlineStr">
        <is>
          <t>BRD-11 User Access Maintenance</t>
        </is>
      </c>
      <c r="C38" s="12" t="inlineStr">
        <is>
          <t>Decision</t>
        </is>
      </c>
      <c r="D38" s="12" t="inlineStr">
        <is>
          <t>Should Log Out in BIBS also end the user's EIAM (Entra ID) session? Note that ending the Entra ID session also signs the user out of the other BDO applications opened with the same session..</t>
        </is>
      </c>
      <c r="E38" s="12" t="inlineStr">
        <is>
          <t>The FRS interface table states that 'log-out also ends the EIAM session' (chapter 7), but BDOI has not confirmed it. The BRD asks for log-in and log-out to be logged (p.17). If not provided: Users may stay signed in at EIAM on shared or unattended devices, or be signed out of other applications unexpectedly.</t>
        </is>
      </c>
      <c r="F38" s="12" t="inlineStr">
        <is>
          <t>Log Out ends the BIBS session, records it in the session log and sends the user to the Entra ID sign-out page; BDOI IT confirms that single sign-out is acceptable to the other BDO applications.</t>
        </is>
      </c>
      <c r="G38" s="12" t="inlineStr">
        <is>
          <t>Drop 0 requirements and questions list v1.0 (8-Oct-2026), UA-Q12; BRD User Access Maintenance p.17 (Other BU NFR 6); FRS BRD-11 v2.0 FR-UA-004, chapter 7; Programme alignment IQ04</t>
        </is>
      </c>
      <c r="H38" s="12" t="inlineStr">
        <is>
          <t>Head, BDOI IT (identity and access team)</t>
        </is>
      </c>
      <c r="I38" s="37" t="n">
        <v>46357</v>
      </c>
      <c r="J38" s="12" t="inlineStr">
        <is>
          <t>Medium</t>
        </is>
      </c>
      <c r="K38" s="38" t="inlineStr">
        <is>
          <t>Open</t>
        </is>
      </c>
      <c r="L38" s="12" t="n"/>
      <c r="M38" s="12" t="n"/>
    </row>
    <row r="39">
      <c r="A39" s="12" t="inlineStr">
        <is>
          <t>UA-Q15</t>
        </is>
      </c>
      <c r="B39" s="12" t="inlineStr">
        <is>
          <t>BRD-11 User Access Maintenance</t>
        </is>
      </c>
      <c r="C39" s="12" t="inlineStr">
        <is>
          <t>Clarification</t>
        </is>
      </c>
      <c r="D39" s="12" t="inlineStr">
        <is>
          <t>The BRD requires users to be locked out after 3 invalid attempts (p.14). With EIAM, password checks and lock-out happen in Entra ID, whose lock-out threshold is set by BDO IT. Please confirm whether the Entra ID lock-out policy meets this requirement, or state the threshold Entra ID must apply for BIBS users..</t>
        </is>
      </c>
      <c r="E39" s="12" t="inlineStr">
        <is>
          <t>BIBS applies login max failed attempts = 3 to local sign-in (answered, DCR-142). Once sign-in is through EIAM, BIBS never sees a wrong password, so the BIBS counter applies only to local accounts and to failed second-factor codes. If not provided: The BRD lock-out requirement (UAM-NFR-19) cannot be shown as met in UAT.</t>
        </is>
      </c>
      <c r="F39" s="12" t="inlineStr">
        <is>
          <t>The BDO Entra ID lock-out policy is accepted as meeting the BRD rule for directory users; the BIBS limit of 3 stays for local accounts.</t>
        </is>
      </c>
      <c r="G39" s="12" t="inlineStr">
        <is>
          <t>Drop 0 requirements and questions list v1.0 (8-Oct-2026), UA-Q15; BRD User Access Maintenance p.14 (lock-out); FRS BRD-11 v2.0 FR-UA-001 rule R1, UAM-NFR-19; Discrepancy register DCR-142, DCR-230</t>
        </is>
      </c>
      <c r="H39" s="12" t="inlineStr">
        <is>
          <t>Head, BDOI Information Security</t>
        </is>
      </c>
      <c r="I39" s="37" t="n">
        <v>46357</v>
      </c>
      <c r="J39" s="12" t="inlineStr">
        <is>
          <t>Medium</t>
        </is>
      </c>
      <c r="K39" s="38" t="inlineStr">
        <is>
          <t>Open</t>
        </is>
      </c>
      <c r="L39" s="12" t="n"/>
      <c r="M39" s="12" t="n"/>
    </row>
    <row r="40">
      <c r="A40" s="12" t="inlineStr">
        <is>
          <t>UA-Q16</t>
        </is>
      </c>
      <c r="B40" s="12" t="inlineStr">
        <is>
          <t>BRD-11 User Access Maintenance</t>
        </is>
      </c>
      <c r="C40" s="12" t="inlineStr">
        <is>
          <t>Decision</t>
        </is>
      </c>
      <c r="D40" s="12" t="inlineStr">
        <is>
          <t>Please confirm the password policy for local accounts (break-glass administrators and any user not signing in through EIAM): at least 10 characters with upper and lower case, a digit and a symbol; history of 8; change every 90 days; minimum age 1 day; forced change after a reset; self-service reset by an e-mailed single-use link valid 30 minutes..</t>
        </is>
      </c>
      <c r="E40" s="12" t="inlineStr">
        <is>
          <t>BRD-11 asks to 'enforce strong password policies' and self-service reset without values (p.17). BRD-4 and BRD-7 give minimum 8 characters, 12 for administrators, history 8, 90 days and minimum age 1 day. The length and complexity rule is fixed in BIBS; the other values are parameters (template CI-05). If not provided: Local accounts are signed off without an agreed password policy; the fixed length rule cannot change after sign-off without a change request.</t>
        </is>
      </c>
      <c r="F40" s="12" t="inlineStr">
        <is>
          <t>As listed above; the minimum length of 10 covers the BRD-4 administrator rule of 12 only if Information Security accepts 10, otherwise 12 for every local account.</t>
        </is>
      </c>
      <c r="G40" s="12" t="inlineStr">
        <is>
          <t>Drop 0 requirements and questions list v1.0 (8-Oct-2026), UA-Q16; BRD User Access Maintenance p.17 (Other BU NFR 1, 7, 8); FRS BRD-11 v2.0 FR-UA-005, UQ08; Configuration input templates BRD-11 CI-05; Discrepancy register DCR-144; Drop 0 closure DEC-06; also raised as UQ08 (open question), DCR-144 (register item)</t>
        </is>
      </c>
      <c r="H40" s="12" t="inlineStr">
        <is>
          <t>Head, BDOI Information Security</t>
        </is>
      </c>
      <c r="I40" s="37" t="n">
        <v>46357</v>
      </c>
      <c r="J40" s="12" t="inlineStr">
        <is>
          <t>Medium</t>
        </is>
      </c>
      <c r="K40" s="38" t="inlineStr">
        <is>
          <t>Open</t>
        </is>
      </c>
      <c r="L40" s="12" t="n"/>
      <c r="M40" s="12" t="inlineStr">
        <is>
          <t>Also affects BRD-04, BRD-07.</t>
        </is>
      </c>
    </row>
    <row r="41">
      <c r="A41" s="12" t="inlineStr">
        <is>
          <t>UA-Q38</t>
        </is>
      </c>
      <c r="B41" s="12" t="inlineStr">
        <is>
          <t>BRD-11 User Access Maintenance</t>
        </is>
      </c>
      <c r="C41" s="12" t="inlineStr">
        <is>
          <t>Decision</t>
        </is>
      </c>
      <c r="D41" s="12" t="inlineStr">
        <is>
          <t>May the System Administrator ever edit a group profile or a user directly in an emergency, outside the request flow? If yes, who must approve opening that path and who reviews each edit afterwards.</t>
        </is>
      </c>
      <c r="E41" s="12" t="inlineStr">
        <is>
          <t>Direct edits are refused unless the parameter uam direct role edit is switched on; switching it on needs the second approval of Information Security, and each edit is audited and alerted (FR-UA-045, FR-UA-054). If not provided: The emergency path signed in this set has no agreed owner or review.</t>
        </is>
      </c>
      <c r="F41" s="12" t="inlineStr">
        <is>
          <t>Off by default; opened only with Information Security approval for a stated incident; Information Security reviews every edit within one working day and closes the path.</t>
        </is>
      </c>
      <c r="G41" s="12" t="inlineStr">
        <is>
          <t>Drop 0 requirements and questions list v1.0 (8-Oct-2026), UA-Q38; FRS BRD-11 v2.0 FR-UA-045, FR-UA-054, section 9.1; User access design section 15</t>
        </is>
      </c>
      <c r="H41" s="12" t="inlineStr">
        <is>
          <t>Head, BDOI Information Security</t>
        </is>
      </c>
      <c r="I41" s="37" t="n">
        <v>46357</v>
      </c>
      <c r="J41" s="12" t="inlineStr">
        <is>
          <t>Medium</t>
        </is>
      </c>
      <c r="K41" s="38" t="inlineStr">
        <is>
          <t>Open</t>
        </is>
      </c>
      <c r="L41" s="12" t="n"/>
      <c r="M41" s="12" t="n"/>
    </row>
    <row r="42">
      <c r="A42" s="12" t="inlineStr">
        <is>
          <t>UA-Q43</t>
        </is>
      </c>
      <c r="B42" s="12" t="inlineStr">
        <is>
          <t>BRD-11 User Access Maintenance</t>
        </is>
      </c>
      <c r="C42" s="12" t="inlineStr">
        <is>
          <t>Clarification</t>
        </is>
      </c>
      <c r="D42" s="12" t="inlineStr">
        <is>
          <t>Please confirm that one inactivity rule (warning at 15 minutes, sign-out at 30 minutes) applies to every BIBS user. BRD-4 Collections and BRD-7 Claims state 'session timeout is set to 15 minutes'..</t>
        </is>
      </c>
      <c r="E42" s="12" t="inlineStr">
        <is>
          <t>BRD-11 (p.8, p.17) and BRD-1 give the 15 / 30-minute rule, applied BIBS-wide (answered for BRD-1, DCR-008); the conflict with BRD-4 and BRD-7 (DCR-140) is still open. If not provided: Collections and Claims could reject the session behaviour in their UAT.</t>
        </is>
      </c>
      <c r="F42" s="12" t="inlineStr">
        <is>
          <t>BRD-11 governs: 15-minute warning, 30-minute sign-out for all users.</t>
        </is>
      </c>
      <c r="G42" s="12" t="inlineStr">
        <is>
          <t>Drop 0 requirements and questions list v1.0 (8-Oct-2026), UA-Q43; BRD User Access Maintenance p.8, p.17; FRS BRD-11 v2.0 FR-UA-002; Discrepancy register DCR-008, DCR-140; Change register CR-0024; also raised as DCR-008 (register item)</t>
        </is>
      </c>
      <c r="H42" s="12" t="inlineStr">
        <is>
          <t>Product Owner, Marketing Business System</t>
        </is>
      </c>
      <c r="I42" s="37" t="n">
        <v>46357</v>
      </c>
      <c r="J42" s="12" t="inlineStr">
        <is>
          <t>Medium</t>
        </is>
      </c>
      <c r="K42" s="38" t="inlineStr">
        <is>
          <t>Partly answered</t>
        </is>
      </c>
      <c r="L42" s="12" t="n"/>
      <c r="M42" s="12" t="inlineStr">
        <is>
          <t>Answer so far: BRD-11 p.17 NFR 5: inactivity warning after 15 minutes, warning prior to system-triggered log out after 30 minutes. Also affects BRD-01.</t>
        </is>
      </c>
    </row>
    <row r="43">
      <c r="A43" s="12" t="inlineStr">
        <is>
          <t>UA-Q45</t>
        </is>
      </c>
      <c r="B43" s="12" t="inlineStr">
        <is>
          <t>BRD-11 User Access Maintenance</t>
        </is>
      </c>
      <c r="C43" s="12" t="inlineStr">
        <is>
          <t>Decision</t>
        </is>
      </c>
      <c r="D43" s="12" t="inlineStr">
        <is>
          <t>Every user can be limited to some companies and, within a company, to some branches; by default each user sees all companies and all branches. Who may narrow a user's data access: any user with the user-maintenance right through an approved Create or Modify user request (as delivered), or only holders of a dedicated permission.</t>
        </is>
      </c>
      <c r="E43" s="12" t="inlineStr">
        <is>
          <t>Data access travels on the Create user and Modify user requests and is applied on approval with the request number and approver; nobody can grant beyond his own data access or change his own. The BRD does not cover data access. If not provided: Data access rules for branches cannot be agreed or tested.</t>
        </is>
      </c>
      <c r="F43" s="12" t="inlineStr">
        <is>
          <t>Through approved requests as delivered; no dedicated permission.</t>
        </is>
      </c>
      <c r="G43" s="12" t="inlineStr">
        <is>
          <t>Drop 0 requirements and questions list v1.0 (8-Oct-2026), UA-Q45; Data scope design sections 2, 5 and 8 (decision 1); FRS BRD-11 v2.0 FR-UA-011, FR-UA-012</t>
        </is>
      </c>
      <c r="H43" s="12" t="inlineStr">
        <is>
          <t>Head, BDOI Information Security</t>
        </is>
      </c>
      <c r="I43" s="37" t="n">
        <v>46357</v>
      </c>
      <c r="J43" s="12" t="inlineStr">
        <is>
          <t>Medium</t>
        </is>
      </c>
      <c r="K43" s="38" t="inlineStr">
        <is>
          <t>Open</t>
        </is>
      </c>
      <c r="L43" s="12" t="n"/>
      <c r="M43" s="12" t="n"/>
    </row>
    <row r="44">
      <c r="A44" s="12" t="inlineStr">
        <is>
          <t>UA-Q46</t>
        </is>
      </c>
      <c r="B44" s="12" t="inlineStr">
        <is>
          <t>BRD-11 User Access Maintenance</t>
        </is>
      </c>
      <c r="C44" s="12" t="inlineStr">
        <is>
          <t>Decision</t>
        </is>
      </c>
      <c r="D44" s="12" t="inlineStr">
        <is>
          <t>Must a user limited to some branches see only those branches' lines in company-wide reports and inquiries, or does the branch limit apply only where a screen or report is run for a named branch (as delivered).</t>
        </is>
      </c>
      <c r="E44" s="12" t="inlineStr">
        <is>
          <t>The branch check applies where a request names a branch; company-wide reports show all branches of the allowed companies. If not provided: Branch users may see other branches' data in reports, or reports may need rework later.</t>
        </is>
      </c>
      <c r="F44" s="12" t="inlineStr">
        <is>
          <t>Branch-limited users see only their branches in reports and inquiries that list branch data; Head Office users keep all branches.</t>
        </is>
      </c>
      <c r="G44" s="12" t="inlineStr">
        <is>
          <t>Drop 0 requirements and questions list v1.0 (8-Oct-2026), UA-Q46; Data scope design section 7 and section 8 (decision 2)</t>
        </is>
      </c>
      <c r="H44" s="12" t="inlineStr">
        <is>
          <t>Head, BDOI Information Security</t>
        </is>
      </c>
      <c r="I44" s="37" t="n">
        <v>46357</v>
      </c>
      <c r="J44" s="12" t="inlineStr">
        <is>
          <t>Medium</t>
        </is>
      </c>
      <c r="K44" s="38" t="inlineStr">
        <is>
          <t>Open</t>
        </is>
      </c>
      <c r="L44" s="12" t="n"/>
      <c r="M44" s="12" t="n"/>
    </row>
    <row r="45">
      <c r="A45" s="12" t="inlineStr">
        <is>
          <t>UA-Q51</t>
        </is>
      </c>
      <c r="B45" s="12" t="inlineStr">
        <is>
          <t>BRD-11 User Access Maintenance</t>
        </is>
      </c>
      <c r="C45" s="12" t="inlineStr">
        <is>
          <t>Clarification</t>
        </is>
      </c>
      <c r="D45" s="12" t="inlineStr">
        <is>
          <t>The NFR volume table (p.11) lists an Event / Incident Report, a Device Status Report (daily, weekly, monthly, yearly), a Historical Events Report (weekly, monthly, yearly) and an Audit Log Report (weekly, monthly, yearly), which are not among the report samples (p.18). Are these reports required for BIBS, and must any report be produced on a schedule and sent to named recipients.</t>
        </is>
      </c>
      <c r="E45" s="12" t="inlineStr">
        <is>
          <t>The FRS covers the four sampled reports, run on demand, and a requests report. 'Device status' reports do not fit an application; they may be copied from another template. If not provided: A BRD line could be found untraced at UAT.</t>
        </is>
      </c>
      <c r="F45" s="12" t="inlineStr">
        <is>
          <t>Only the four sampled reports plus the requests report, on demand; the User Access Audit Log also produced monthly for Information Security if required.</t>
        </is>
      </c>
      <c r="G45" s="12" t="inlineStr">
        <is>
          <t>Drop 0 requirements and questions list v1.0 (8-Oct-2026), UA-Q51; BRD User Access Maintenance p.11 (Projected volume table), p.18; FRS BRD-11 v2.0 chapter 6, UAM-NFR-02, UAM-NFR-41</t>
        </is>
      </c>
      <c r="H45" s="12" t="inlineStr">
        <is>
          <t>Process Owner, User Access Maintenance (Business Administration)</t>
        </is>
      </c>
      <c r="I45" s="37" t="n">
        <v>46357</v>
      </c>
      <c r="J45" s="12" t="inlineStr">
        <is>
          <t>Medium</t>
        </is>
      </c>
      <c r="K45" s="38" t="inlineStr">
        <is>
          <t>Open</t>
        </is>
      </c>
      <c r="L45" s="12" t="n"/>
      <c r="M45" s="12" t="n"/>
    </row>
    <row r="46">
      <c r="A46" s="12" t="inlineStr">
        <is>
          <t>UQ13</t>
        </is>
      </c>
      <c r="B46" s="12" t="inlineStr">
        <is>
          <t>BRD-11 User Access Maintenance</t>
        </is>
      </c>
      <c r="C46" s="12" t="inlineStr">
        <is>
          <t>Clarification</t>
        </is>
      </c>
      <c r="D46" s="12" t="inlineStr">
        <is>
          <t>Online status: Must the user list show who is online in real time (active session), and must an administrator be able to end a session?</t>
        </is>
      </c>
      <c r="E46" s="12" t="inlineStr">
        <is>
          <t>Open point of the FRS (FR-UA-004, 052): the requirement cannot be finalised or tested as BDOI intends until it is answered.</t>
        </is>
      </c>
      <c r="F46" s="12" t="inlineStr">
        <is>
          <t>Add log-out and a session log (also used for the single-session question).</t>
        </is>
      </c>
      <c r="G46" s="12" t="inlineStr">
        <is>
          <t>FRS BRD-11 v2.1, Open questions UQ13 (affects FR-UA-004, 052); Discrepancy and clarification register v1.2, open question UQ13; baseline User ID maintenance; also raised as DCR-119 (register item)</t>
        </is>
      </c>
      <c r="H46" s="12" t="inlineStr">
        <is>
          <t>UAM process owner (Product Owner) with ITIO</t>
        </is>
      </c>
      <c r="I46" s="37" t="n">
        <v>46357</v>
      </c>
      <c r="J46" s="12" t="inlineStr">
        <is>
          <t>Medium</t>
        </is>
      </c>
      <c r="K46" s="38" t="inlineStr">
        <is>
          <t>Open</t>
        </is>
      </c>
      <c r="L46" s="12" t="n"/>
      <c r="M46" s="12" t="n"/>
    </row>
    <row r="47">
      <c r="A47" s="12" t="inlineStr">
        <is>
          <t>UA-Q17</t>
        </is>
      </c>
      <c r="B47" s="12" t="inlineStr">
        <is>
          <t>BRD-11 User Access Maintenance</t>
        </is>
      </c>
      <c r="C47" s="12" t="inlineStr">
        <is>
          <t>Clarification</t>
        </is>
      </c>
      <c r="D47" s="12" t="inlineStr">
        <is>
          <t>Which profile fields may users update themselves on My Profile (proposed: e-mail address and mobile number), and must such a change be approved? Once EIAM is used, should the name and e-mail be taken from Entra ID instead.</t>
        </is>
      </c>
      <c r="E47" s="12" t="inlineStr">
        <is>
          <t>The BRD asks that 'a defined user can update profile information' (p.17) without naming the fields (UQ17). If not provided: Notices and reset links could go to an address that was changed without control.</t>
        </is>
      </c>
      <c r="F47" s="12" t="inlineStr">
        <is>
          <t>Users update their mobile number themselves without approval; name and e-mail come from the user record (and from EIAM once enabled) and change only through a Modify user request.</t>
        </is>
      </c>
      <c r="G47" s="12" t="inlineStr">
        <is>
          <t>Drop 0 requirements and questions list v1.0 (8-Oct-2026), UA-Q17; BRD User Access Maintenance p.17 (Other BU NFR 8); FRS BRD-11 v2.0 FR-UA-005, UQ17; also raised as UQ17 (open question)</t>
        </is>
      </c>
      <c r="H47" s="12" t="inlineStr">
        <is>
          <t>Process Owner, User Access Maintenance (Business Administration)</t>
        </is>
      </c>
      <c r="I47" s="37" t="n">
        <v>46357</v>
      </c>
      <c r="J47" s="12" t="inlineStr">
        <is>
          <t>Low</t>
        </is>
      </c>
      <c r="K47" s="38" t="inlineStr">
        <is>
          <t>Open</t>
        </is>
      </c>
      <c r="L47" s="12" t="n"/>
      <c r="M47" s="12" t="n"/>
    </row>
    <row r="48">
      <c r="A48" s="12" t="inlineStr">
        <is>
          <t>UA-Q47</t>
        </is>
      </c>
      <c r="B48" s="12" t="inlineStr">
        <is>
          <t>BRD-11 User Access Maintenance</t>
        </is>
      </c>
      <c r="C48" s="12" t="inlineStr">
        <is>
          <t>Decision</t>
        </is>
      </c>
      <c r="D48" s="12" t="inlineStr">
        <is>
          <t>Must a user's home branch always be included in the branches the user may access.</t>
        </is>
      </c>
      <c r="E48" s="12" t="inlineStr">
        <is>
          <t>The home branch is captured on each user (FR-UA-011) but is not forced into the data access as delivered. If not provided: A user could be unable to work on his own branch's records.</t>
        </is>
      </c>
      <c r="F48" s="12" t="inlineStr">
        <is>
          <t>Yes: BIBS refuses a data access that excludes the user's home branch.</t>
        </is>
      </c>
      <c r="G48" s="12" t="inlineStr">
        <is>
          <t>Drop 0 requirements and questions list v1.0 (8-Oct-2026), UA-Q47; Data scope design section 7 and section 8 (decision 3); FRS BRD-11 v2.0 FR-UA-011</t>
        </is>
      </c>
      <c r="H48" s="12" t="inlineStr">
        <is>
          <t>Process Owner, User Access Maintenance (Business Administration)</t>
        </is>
      </c>
      <c r="I48" s="37" t="n">
        <v>46357</v>
      </c>
      <c r="J48" s="12" t="inlineStr">
        <is>
          <t>Low</t>
        </is>
      </c>
      <c r="K48" s="38" t="inlineStr">
        <is>
          <t>Open</t>
        </is>
      </c>
      <c r="L48" s="12" t="n"/>
      <c r="M48" s="12" t="n"/>
    </row>
    <row r="49">
      <c r="A49" s="12" t="inlineStr">
        <is>
          <t>UA-Q48</t>
        </is>
      </c>
      <c r="B49" s="12" t="inlineStr">
        <is>
          <t>BRD-11 User Access Maintenance</t>
        </is>
      </c>
      <c r="C49" s="12" t="inlineStr">
        <is>
          <t>Decision</t>
        </is>
      </c>
      <c r="D49" s="12" t="inlineStr">
        <is>
          <t>Should a change of a user's data access (company or branch) be flagged for a second approval, as a change to a high-privilege profile is.</t>
        </is>
      </c>
      <c r="E49" s="12" t="inlineStr">
        <is>
          <t>Today only privilege increases and out-of-hours changes need the second approval (FR-UA-034). If not provided: Widening of data access would pass with one approval.</t>
        </is>
      </c>
      <c r="F49" s="12" t="inlineStr">
        <is>
          <t>Yes for widening a limited user to all companies or all branches; no for narrowing.</t>
        </is>
      </c>
      <c r="G49" s="12" t="inlineStr">
        <is>
          <t>Drop 0 requirements and questions list v1.0 (8-Oct-2026), UA-Q48; Data scope design section 8 (decision 4); FRS BRD-11 v2.0 FR-UA-034</t>
        </is>
      </c>
      <c r="H49" s="12" t="inlineStr">
        <is>
          <t>Head, BDOI Information Security</t>
        </is>
      </c>
      <c r="I49" s="37" t="n">
        <v>46357</v>
      </c>
      <c r="J49" s="12" t="inlineStr">
        <is>
          <t>Low</t>
        </is>
      </c>
      <c r="K49" s="38" t="inlineStr">
        <is>
          <t>Open</t>
        </is>
      </c>
      <c r="L49" s="12" t="n"/>
      <c r="M49" s="12" t="n"/>
    </row>
    <row r="50">
      <c r="A50" s="12" t="inlineStr">
        <is>
          <t>UA-Q54</t>
        </is>
      </c>
      <c r="B50" s="12" t="inlineStr">
        <is>
          <t>BRD-11 User Access Maintenance</t>
        </is>
      </c>
      <c r="C50" s="12" t="inlineStr">
        <is>
          <t>Clarification</t>
        </is>
      </c>
      <c r="D50" s="12" t="inlineStr">
        <is>
          <t>Please clarify two incomplete BRD lines: the audit-trail requirement 'allow automatic save option' (p.14), and the documentation requirement 'instruction guide on how to manage users and extract users list and group profile list for...' which is cut off (p.17)..</t>
        </is>
      </c>
      <c r="E50" s="12" t="inlineStr">
        <is>
          <t>Both lines are open (UQ15, UQ18). If not provided: Two BRD lines cannot be traced to a test.</t>
        </is>
      </c>
      <c r="F50" s="12" t="inlineStr">
        <is>
          <t>'Automatic save option' read as the audit trail being saved automatically with every change; the guide covers user administration and the extraction of the users and group profile lists for audit.</t>
        </is>
      </c>
      <c r="G50" s="12" t="inlineStr">
        <is>
          <t>Drop 0 requirements and questions list v1.0 (8-Oct-2026), UA-Q54; BRD User Access Maintenance p.14, p.17; FRS BRD-11 v2.0 UAM-NFR-22, UAM-NFR-29, UQ15, UQ18; Discrepancy register DCR-120; also raised as UQ15 (open question), UQ18 (open question)</t>
        </is>
      </c>
      <c r="H50" s="12" t="inlineStr">
        <is>
          <t>Program Manager, Business Project Services (BDO Unibank ESG)</t>
        </is>
      </c>
      <c r="I50" s="37" t="n">
        <v>46357</v>
      </c>
      <c r="J50" s="12" t="inlineStr">
        <is>
          <t>Low</t>
        </is>
      </c>
      <c r="K50" s="38" t="inlineStr">
        <is>
          <t>Open</t>
        </is>
      </c>
      <c r="L50" s="12" t="n"/>
      <c r="M50" s="12" t="n"/>
    </row>
    <row r="51">
      <c r="A51" s="12" t="inlineStr">
        <is>
          <t>UA-Q57</t>
        </is>
      </c>
      <c r="B51" s="12" t="inlineStr">
        <is>
          <t>BRD-11 User Access Maintenance</t>
        </is>
      </c>
      <c r="C51" s="12" t="inlineStr">
        <is>
          <t>Business rule confirmation</t>
        </is>
      </c>
      <c r="D51" s="12" t="inlineStr">
        <is>
          <t>Please confirm that the infrastructure answers 'Follow existing QPS set up' (p.11-17) are replaced by the BIBS-wide standards agreed for all BRDs (availability, recovery, environments, response times, logging to the BDO log server), as specified in the Technical Specification reviewed by BDOI IT..</t>
        </is>
      </c>
      <c r="E51" s="12" t="inlineStr">
        <is>
          <t>QPS is replaced by BIBS and its values are not in the pack (A-UA-07). The BRD-11 targets (10 seconds per screen, 20 seconds per report, p.11) are met by the BIBS targets. If not provided: The non-functional acceptance of BRD-11 has no measurable target.</t>
        </is>
      </c>
      <c r="F51" s="12" t="inlineStr">
        <is>
          <t>BIBS-wide non-functional standards apply.</t>
        </is>
      </c>
      <c r="G51" s="12" t="inlineStr">
        <is>
          <t>Drop 0 requirements and questions list v1.0 (8-Oct-2026), UA-Q57; BRD User Access Maintenance p.11-17; FRS BRD-11 v2.0 chapter 8, A-UA-07; Discrepancy register DCR-134, DCR-137, DCR-139</t>
        </is>
      </c>
      <c r="H51" s="12" t="inlineStr">
        <is>
          <t>Head, BDOI IT (identity and access team)</t>
        </is>
      </c>
      <c r="I51" s="37" t="n">
        <v>46357</v>
      </c>
      <c r="J51" s="12" t="inlineStr">
        <is>
          <t>Low</t>
        </is>
      </c>
      <c r="K51" s="38" t="inlineStr">
        <is>
          <t>Open</t>
        </is>
      </c>
      <c r="L51" s="12" t="n"/>
      <c r="M51" s="12" t="n"/>
    </row>
    <row r="52">
      <c r="A52" s="12" t="inlineStr">
        <is>
          <t>SO-11-2</t>
        </is>
      </c>
      <c r="B52" s="12" t="inlineStr">
        <is>
          <t>BRD-11 User Access Maintenance</t>
        </is>
      </c>
      <c r="C52" s="12" t="inlineStr">
        <is>
          <t>Sign-off</t>
        </is>
      </c>
      <c r="D52" s="12" t="inlineStr">
        <is>
          <t>Approve the test plan of BRD-11 User Access Maintenance.</t>
        </is>
      </c>
      <c r="E52" s="12" t="inlineStr">
        <is>
          <t>The signed document fixes the scope for the next step of the plan; a late sign-off moves the dates that follow it.</t>
        </is>
      </c>
      <c r="F52" s="12" t="n"/>
      <c r="G52" s="12" t="inlineStr">
        <is>
          <t>Project plan v1.0 (8-Oct-2026), sign-offs and milestones</t>
        </is>
      </c>
      <c r="H52" s="12" t="inlineStr">
        <is>
          <t>Product Owner, MBS, with Business Administration (User Access)</t>
        </is>
      </c>
      <c r="I52" s="37" t="n">
        <v>46374</v>
      </c>
      <c r="J52" s="12" t="inlineStr">
        <is>
          <t>High</t>
        </is>
      </c>
      <c r="K52" s="38" t="inlineStr">
        <is>
          <t>Open</t>
        </is>
      </c>
      <c r="L52" s="12" t="n"/>
      <c r="M52" s="12" t="n"/>
    </row>
    <row r="53">
      <c r="A53" s="12" t="inlineStr">
        <is>
          <t>UA-Q22</t>
        </is>
      </c>
      <c r="B53" s="12" t="inlineStr">
        <is>
          <t>BRD-11 User Access Maintenance</t>
        </is>
      </c>
      <c r="C53" s="12" t="inlineStr">
        <is>
          <t>Decision</t>
        </is>
      </c>
      <c r="D53" s="12" t="inlineStr">
        <is>
          <t>Is Apigee X the BDO standard gateway in front of BIBS? If yes, please confirm (1) that the users' browser traffic does not pass through Apigee; (2) that the UIDM-ISC provisioning and aggregation interface is exposed through Apigee; and (3) the OAuth scopes, client and quotas for it..</t>
        </is>
      </c>
      <c r="E53" s="12" t="inlineStr">
        <is>
          <t>The infrastructure workbook shows Apigee X validating OpenID Connect tokens; BIBS issues its own session token after sign-in and protects system-to-system interfaces separately (Programme alignment IQ25). If not provided: The provisioning interface and the network path of the sign-in cannot be specified or penetration tested.</t>
        </is>
      </c>
      <c r="F53" s="12" t="inlineStr">
        <is>
          <t>Browser traffic through the load balancer and web application firewall, not Apigee; the provisioning interface through Apigee with one client for UIDM-ISC and two scopes (provisioning write, aggregation read only), which BIBS checks as well.</t>
        </is>
      </c>
      <c r="G53" s="12" t="inlineStr">
        <is>
          <t>Drop 0 requirements and questions list v1.0 (8-Oct-2026), UA-Q22; Programme alignment IQ25 (edge and ingress), INT-02; BDOI IER workbook (architecture diagram); also raised as IQ25 (open question), DCR-222 (register item)</t>
        </is>
      </c>
      <c r="H53" s="12" t="inlineStr">
        <is>
          <t>Head, BDOI IT (identity and access team)</t>
        </is>
      </c>
      <c r="I53" s="37" t="n">
        <v>46391</v>
      </c>
      <c r="J53" s="12" t="inlineStr">
        <is>
          <t>High</t>
        </is>
      </c>
      <c r="K53" s="38" t="inlineStr">
        <is>
          <t>Open</t>
        </is>
      </c>
      <c r="L53" s="12" t="n"/>
      <c r="M53" s="12" t="inlineStr">
        <is>
          <t>Also affects BRD-00.</t>
        </is>
      </c>
    </row>
    <row r="54">
      <c r="A54" s="12" t="inlineStr">
        <is>
          <t>UA-Q19</t>
        </is>
      </c>
      <c r="B54" s="12" t="inlineStr">
        <is>
          <t>BRD-11 User Access Maintenance</t>
        </is>
      </c>
      <c r="C54" s="12" t="inlineStr">
        <is>
          <t>Clarification</t>
        </is>
      </c>
      <c r="D54" s="12" t="inlineStr">
        <is>
          <t>Please confirm that UIDM-ISC is the SailPoint Identity Security Cloud product, and which connector it will use for BIBS: SCIM 2.0 (Users and Groups), a web-service connector, or a flat file. Please also state how often accounts and entitlements are aggregated..</t>
        </is>
      </c>
      <c r="E54" s="12" t="inlineStr">
        <is>
          <t>The product name is read as SailPoint Identity Security Cloud (to confirm). The connector type decides the interface BIBS exposes and its security set-up. If not provided: The provisioning interface cannot be specified in the Technical Specification.</t>
        </is>
      </c>
      <c r="F54" s="12" t="inlineStr">
        <is>
          <t>SCIM 2.0 with OAuth client credentials; daily aggregation of accounts, group profiles and last sign-in.</t>
        </is>
      </c>
      <c r="G54" s="12" t="inlineStr">
        <is>
          <t>Drop 0 requirements and questions list v1.0 (8-Oct-2026), UA-Q19; Programme alignment INT-02, IQ05; User access design section 10.1; FRS BRD-11 v2.0 IQ05</t>
        </is>
      </c>
      <c r="H54" s="12" t="inlineStr">
        <is>
          <t>Head, BDOI IT (identity and access team)</t>
        </is>
      </c>
      <c r="I54" s="37" t="n">
        <v>46391</v>
      </c>
      <c r="J54" s="12" t="inlineStr">
        <is>
          <t>Medium</t>
        </is>
      </c>
      <c r="K54" s="38" t="inlineStr">
        <is>
          <t>Open</t>
        </is>
      </c>
      <c r="L54" s="12" t="n"/>
      <c r="M54" s="12" t="n"/>
    </row>
    <row r="55">
      <c r="A55" s="12" t="inlineStr">
        <is>
          <t>UA-Q56</t>
        </is>
      </c>
      <c r="B55" s="12" t="inlineStr">
        <is>
          <t>BRD-11 User Access Maintenance</t>
        </is>
      </c>
      <c r="C55" s="12" t="inlineStr">
        <is>
          <t>Integration detail</t>
        </is>
      </c>
      <c r="D55" s="12" t="inlineStr">
        <is>
          <t>Please confirm the e-mail channel for user-access e-mails (access-changed notices, password reset links, dormant notices, batch failures): BDO Centralized Communications Management (CCM) or the M365 Exchange relay, with the sender address and the relay details for each environment..</t>
        </is>
      </c>
      <c r="E55" s="12" t="inlineStr">
        <is>
          <t>BIBS queues and sends e-mails through the relay of its environment (dependency D-UA-05, contract line IC-10). CCM and M365 are both Drop 0 integrations. If not provided: Notices and reset links cannot be tested in SIT.</t>
        </is>
      </c>
      <c r="F55" s="12" t="inlineStr">
        <is>
          <t>M365 Exchange relay for system notices, one sender address per environment.</t>
        </is>
      </c>
      <c r="G55" s="12" t="inlineStr">
        <is>
          <t>Drop 0 requirements and questions list v1.0 (8-Oct-2026), UA-Q56; FRS BRD-11 v2.0 D-UA-05, FR-UA-005, FR-UA-070, FR-UA-071; Sign-off workbook BRD-11 Cross-BRD contract IC-10; BDOI drop plan (integrations CCM, M365)</t>
        </is>
      </c>
      <c r="H55" s="12" t="inlineStr">
        <is>
          <t>Head, BDOI IT (identity and access team)</t>
        </is>
      </c>
      <c r="I55" s="37" t="n">
        <v>46391</v>
      </c>
      <c r="J55" s="12" t="inlineStr">
        <is>
          <t>Medium</t>
        </is>
      </c>
      <c r="K55" s="38" t="inlineStr">
        <is>
          <t>Open</t>
        </is>
      </c>
      <c r="L55" s="12" t="n"/>
      <c r="M55" s="12" t="n"/>
    </row>
    <row r="56">
      <c r="A56" s="12" t="inlineStr">
        <is>
          <t>CLR-UA-21</t>
        </is>
      </c>
      <c r="B56" s="12" t="inlineStr">
        <is>
          <t>BRD-11 User Access Maintenance</t>
        </is>
      </c>
      <c r="C56" s="12" t="inlineStr">
        <is>
          <t>Integration detail</t>
        </is>
      </c>
      <c r="D56" s="12" t="inlineStr">
        <is>
          <t>EIAM replaces the EUA and LDAP sign-in: Confirm that EIAM replaces EUA and LDAP / AD for every BDO user (UA-Q05).</t>
        </is>
      </c>
      <c r="E56" s="12" t="inlineStr">
        <is>
          <t>The BRD asks for EUA, LDAP / AD or single sign-on; BDOI named EIAM for Drop 0, which holds the BDO directory accounts.</t>
        </is>
      </c>
      <c r="F56" s="12" t="inlineStr">
        <is>
          <t>EIAM on Microsoft Entra ID is the only directory sign-in of BDO users; the EUA password check and the LDAP / Active Directory sign-in are closed as replaced by EIAM, and the sign-in mode DIRECTORY is not used. Local sign-in is kept only for the break-glass administrators (CLR-UA-24).</t>
        </is>
      </c>
      <c r="G56" s="12" t="inlineStr">
        <is>
          <t>FRS BRD-11 v2.1, Proposed business rules and clarifications; UAM-NFR-11, 17; FR-UA-003</t>
        </is>
      </c>
      <c r="H56" s="12" t="inlineStr">
        <is>
          <t>BDOI IT with the Product Owner, MBS, with Business Administration (User Access)</t>
        </is>
      </c>
      <c r="I56" s="37" t="n">
        <v>46418</v>
      </c>
      <c r="J56" s="12" t="inlineStr">
        <is>
          <t>Medium</t>
        </is>
      </c>
      <c r="K56" s="38" t="inlineStr">
        <is>
          <t>Open</t>
        </is>
      </c>
      <c r="L56" s="12" t="n"/>
      <c r="M56" s="12" t="n"/>
    </row>
    <row r="57">
      <c r="A57" s="12" t="inlineStr">
        <is>
          <t>CLR-UA-22</t>
        </is>
      </c>
      <c r="B57" s="12" t="inlineStr">
        <is>
          <t>BRD-11 User Access Maintenance</t>
        </is>
      </c>
      <c r="C57" s="12" t="inlineStr">
        <is>
          <t>Integration detail</t>
        </is>
      </c>
      <c r="D57" s="12" t="inlineStr">
        <is>
          <t>Matching the EIAM account to the BIBS user: BDOI IT to confirm the claim that identifies the user and the relation of the Windows ID to the user ID (UA-Q08, UA-Q25).</t>
        </is>
      </c>
      <c r="E57" s="12" t="inlineStr">
        <is>
          <t>The BRD identifies users by the Windows ID; Entra ID identifies them by the user principal name.</t>
        </is>
      </c>
      <c r="F57" s="12" t="inlineStr">
        <is>
          <t>EIAM returns the Windows ID in a dedicated claim (or the user principal name where the Windows ID is not released); BIBS matches it to the Windows ID held on each user. The BIBS user ID stays the employee-number format (a999999999). An account with no matching active user is refused with the message sso not linked.</t>
        </is>
      </c>
      <c r="G57" s="12" t="inlineStr">
        <is>
          <t>FRS BRD-11 v2.1, Proposed business rules and clarifications; UAM-NFR-15, 17; FR-UA-003, 052</t>
        </is>
      </c>
      <c r="H57" s="12" t="inlineStr">
        <is>
          <t>BDOI IT with the Product Owner, MBS, with Business Administration (User Access)</t>
        </is>
      </c>
      <c r="I57" s="37" t="n">
        <v>46418</v>
      </c>
      <c r="J57" s="12" t="inlineStr">
        <is>
          <t>Medium</t>
        </is>
      </c>
      <c r="K57" s="38" t="inlineStr">
        <is>
          <t>Open</t>
        </is>
      </c>
      <c r="L57" s="12" t="n"/>
      <c r="M57" s="12" t="n"/>
    </row>
    <row r="58">
      <c r="A58" s="12" t="inlineStr">
        <is>
          <t>CLR-UA-23</t>
        </is>
      </c>
      <c r="B58" s="12" t="inlineStr">
        <is>
          <t>BRD-11 User Access Maintenance</t>
        </is>
      </c>
      <c r="C58" s="12" t="inlineStr">
        <is>
          <t>Integration detail</t>
        </is>
      </c>
      <c r="D58" s="12" t="inlineStr">
        <is>
          <t>Log Out ends the EIAM session: BDOI IT to confirm that single sign-out is acceptable, and the re-authentication after an inactivity sign-out (UA-Q11, UA-Q12).</t>
        </is>
      </c>
      <c r="E58" s="12" t="inlineStr">
        <is>
          <t>Ending the Entra ID session also signs the user out of the other BDO applications opened with the same session.</t>
        </is>
      </c>
      <c r="F58" s="12" t="inlineStr">
        <is>
          <t>Log Out ends the BIBS session, records it in the session log and sends the user to the EIAM sign-out page, so the BDO session ends too; after an inactivity sign-out the next sign-in goes through EIAM again.</t>
        </is>
      </c>
      <c r="G58" s="12" t="inlineStr">
        <is>
          <t>FRS BRD-11 v2.1, Proposed business rules and clarifications; UAM-NFR-35; FR-UA-004</t>
        </is>
      </c>
      <c r="H58" s="12" t="inlineStr">
        <is>
          <t>BDOI IT with the Product Owner, MBS, with Business Administration (User Access)</t>
        </is>
      </c>
      <c r="I58" s="37" t="n">
        <v>46418</v>
      </c>
      <c r="J58" s="12" t="inlineStr">
        <is>
          <t>Medium</t>
        </is>
      </c>
      <c r="K58" s="38" t="inlineStr">
        <is>
          <t>Open</t>
        </is>
      </c>
      <c r="L58" s="12" t="n"/>
      <c r="M58" s="12" t="n"/>
    </row>
    <row r="59">
      <c r="A59" s="12" t="inlineStr">
        <is>
          <t>CLR-UA-25</t>
        </is>
      </c>
      <c r="B59" s="12" t="inlineStr">
        <is>
          <t>BRD-11 User Access Maintenance</t>
        </is>
      </c>
      <c r="C59" s="12" t="inlineStr">
        <is>
          <t>Integration detail</t>
        </is>
      </c>
      <c r="D59" s="12" t="inlineStr">
        <is>
          <t>Lock-out, second factor and BDO devices with EIAM: BDOI IT and Information Security to confirm that the Entra ID policies meet the BRD rules (UA-Q10, UA-Q15).</t>
        </is>
      </c>
      <c r="E59" s="12" t="inlineStr">
        <is>
          <t>With single sign-on BIBS no longer sees the password or the device.</t>
        </is>
      </c>
      <c r="F59" s="12" t="inlineStr">
        <is>
          <t>For users who sign in through EIAM, Entra ID enforces the password, the lock-out, the second factor and the BDO-device rule (conditional access); BIBS does not ask a second code after the single sign-on. The BIBS lock-out after 3 attempts and the BIBS second factor stay for local accounts.</t>
        </is>
      </c>
      <c r="G59" s="12" t="inlineStr">
        <is>
          <t>FRS BRD-11 v2.1, Proposed business rules and clarifications; BRD 1.001.1, UAM-NFR-19; FR-UA-001, 003</t>
        </is>
      </c>
      <c r="H59" s="12" t="inlineStr">
        <is>
          <t>BDOI IT with the Product Owner, MBS, with Business Administration (User Access)</t>
        </is>
      </c>
      <c r="I59" s="37" t="n">
        <v>46418</v>
      </c>
      <c r="J59" s="12" t="inlineStr">
        <is>
          <t>Medium</t>
        </is>
      </c>
      <c r="K59" s="38" t="inlineStr">
        <is>
          <t>Open</t>
        </is>
      </c>
      <c r="L59" s="12" t="n"/>
      <c r="M59" s="12" t="n"/>
    </row>
    <row r="60">
      <c r="A60" s="12" t="inlineStr">
        <is>
          <t>UA-Q27</t>
        </is>
      </c>
      <c r="B60" s="12" t="inlineStr">
        <is>
          <t>BRD-11 User Access Maintenance</t>
        </is>
      </c>
      <c r="C60" s="12" t="inlineStr">
        <is>
          <t>Configuration value</t>
        </is>
      </c>
      <c r="D60" s="12" t="inlineStr">
        <is>
          <t>Please provide the list of BIBS users: for the SIT and UAT reviewers first, then every user at go-live, with user ID, full name, e-mail, Windows ID, home branch, business unit group, user level and group profiles (template CI-01)..</t>
        </is>
      </c>
      <c r="E60" s="12" t="inlineStr">
        <is>
          <t>Users are not migrated from the legacy systems (data migration object R10 excluded); they are loaded with the bulk request and approved like single requests (IC-07). If not provided: Drop 1 SIT and UAT cannot run with named BDOI users; go-live users are not ready for the dress rehearsal.</t>
        </is>
      </c>
      <c r="F60" s="12" t="inlineStr">
        <is>
          <t>SIT and UAT reviewers by 9-Apr-2027; production users by 1-Nov-2027 for the dress rehearsal.</t>
        </is>
      </c>
      <c r="G60" s="12" t="inlineStr">
        <is>
          <t>Drop 0 requirements and questions list v1.0 (8-Oct-2026), UA-Q27; FRS BRD-11 v2.0 FR-UA-019; Configuration input templates BRD-11 CI-01; Sign-off workbook BRD-11 Cross-BRD contract IC-07; Drop 0 closure CFG-110, DEP-05</t>
        </is>
      </c>
      <c r="H60" s="12" t="inlineStr">
        <is>
          <t>Process Owner, User Access Maintenance (Business Administration)</t>
        </is>
      </c>
      <c r="I60" s="37" t="n">
        <v>46486</v>
      </c>
      <c r="J60" s="12" t="inlineStr">
        <is>
          <t>High</t>
        </is>
      </c>
      <c r="K60" s="38" t="inlineStr">
        <is>
          <t>Open</t>
        </is>
      </c>
      <c r="L60" s="12" t="n"/>
      <c r="M60" s="12" t="n"/>
    </row>
    <row r="61">
      <c r="A61" s="12" t="inlineStr">
        <is>
          <t>UA-Q30</t>
        </is>
      </c>
      <c r="B61" s="12" t="inlineStr">
        <is>
          <t>BRD-11 User Access Maintenance</t>
        </is>
      </c>
      <c r="C61" s="12" t="inlineStr">
        <is>
          <t>Configuration value</t>
        </is>
      </c>
      <c r="D61" s="12" t="inlineStr">
        <is>
          <t>Please complete the role-to-permission matrix (template CI-02): the group profiles BDOI keeps and the permissions of each, starting from the User Access Matrix as delivered..</t>
        </is>
      </c>
      <c r="E61" s="12" t="inlineStr">
        <is>
          <t>The matrix is implemented by group-profile requests and checked with the User Group Profile Report; it is needed before the first trial migration. If not provided: Trial migration 1 and Drop 1 SIT run on the proposed matrix instead of BDOI's.</t>
        </is>
      </c>
      <c r="F61" s="12" t="inlineStr">
        <is>
          <t>Business Administration fills CI-02 with the unit heads; Information Security reviews and signs it.</t>
        </is>
      </c>
      <c r="G61" s="12" t="inlineStr">
        <is>
          <t>Drop 0 requirements and questions list v1.0 (8-Oct-2026), UA-Q30; Configuration input templates BRD-11 CI-02; Drop 0 closure CFG-111, DEP-05; FRS BRD-11 v2.0 chapter 19</t>
        </is>
      </c>
      <c r="H61" s="12" t="inlineStr">
        <is>
          <t>Process Owner, User Access Maintenance (Business Administration)</t>
        </is>
      </c>
      <c r="I61" s="37" t="n">
        <v>46486</v>
      </c>
      <c r="J61" s="12" t="inlineStr">
        <is>
          <t>High</t>
        </is>
      </c>
      <c r="K61" s="38" t="inlineStr">
        <is>
          <t>Open</t>
        </is>
      </c>
      <c r="L61" s="12" t="n"/>
      <c r="M61" s="12" t="n"/>
    </row>
    <row r="62">
      <c r="A62" s="12" t="inlineStr">
        <is>
          <t>CFG-111</t>
        </is>
      </c>
      <c r="B62" s="12" t="inlineStr">
        <is>
          <t>BRD-11 User Access Maintenance</t>
        </is>
      </c>
      <c r="C62" s="12" t="inlineStr">
        <is>
          <t>Master data</t>
        </is>
      </c>
      <c r="D62" s="12" t="inlineStr">
        <is>
          <t>Role-to-permission matrix: BRD-11 template CI-02</t>
        </is>
      </c>
      <c r="E62" s="12" t="inlineStr">
        <is>
          <t>Needed for: Reference data for Trial migration 1 (M4) (Extracts for Trial migration 1; reference data and clients first).</t>
        </is>
      </c>
      <c r="F62" s="12" t="inlineStr">
        <is>
          <t>Fill in the template UA-02 of the Master Data and Configuration Upload Templates workbook.</t>
        </is>
      </c>
      <c r="G62" s="12" t="inlineStr">
        <is>
          <t>Drop 0 configuration register CFG-111 (Drop 0 Configuration Inputs v2.0, area Users, roles and approvals)</t>
        </is>
      </c>
      <c r="H62" s="12" t="inlineStr">
        <is>
          <t>Business Administration with the unit heads; reviewed and signed by BDOI Information Security</t>
        </is>
      </c>
      <c r="I62" s="37" t="n">
        <v>46486</v>
      </c>
      <c r="J62" s="12" t="inlineStr">
        <is>
          <t>High</t>
        </is>
      </c>
      <c r="K62" s="38" t="inlineStr">
        <is>
          <t>Open</t>
        </is>
      </c>
      <c r="L62" s="12" t="n"/>
      <c r="M62" s="12" t="n"/>
    </row>
    <row r="63">
      <c r="A63" s="12" t="inlineStr">
        <is>
          <t>DEP-16</t>
        </is>
      </c>
      <c r="B63" s="12" t="inlineStr">
        <is>
          <t>BRD-11 User Access Maintenance</t>
        </is>
      </c>
      <c r="C63" s="12" t="inlineStr">
        <is>
          <t>Master data</t>
        </is>
      </c>
      <c r="D63" s="12" t="inlineStr">
        <is>
          <t>Role-to-permission matrix and the users of the SIT and UAT testers (D3)</t>
        </is>
      </c>
      <c r="E63" s="12" t="inlineStr">
        <is>
          <t>Needed for: Access in SIT and UAT. If late: Testers without access; UAT starts late.</t>
        </is>
      </c>
      <c r="F63" s="12" t="n"/>
      <c r="G63" s="12" t="inlineStr">
        <is>
          <t>Project plan v1.0 (8-Oct-2026), dependency DEP-16 (Data)</t>
        </is>
      </c>
      <c r="H63" s="12" t="inlineStr">
        <is>
          <t>Business Administration; BDOI Information Security</t>
        </is>
      </c>
      <c r="I63" s="37" t="n">
        <v>46486</v>
      </c>
      <c r="J63" s="12" t="inlineStr">
        <is>
          <t>High</t>
        </is>
      </c>
      <c r="K63" s="38" t="inlineStr">
        <is>
          <t>Open</t>
        </is>
      </c>
      <c r="L63" s="12" t="n"/>
      <c r="M63" s="12" t="n"/>
    </row>
    <row r="64">
      <c r="A64" s="12" t="inlineStr">
        <is>
          <t>CLR-UA-05</t>
        </is>
      </c>
      <c r="B64" s="12" t="inlineStr">
        <is>
          <t>BRD-11 User Access Maintenance</t>
        </is>
      </c>
      <c r="C64" s="12" t="inlineStr">
        <is>
          <t>Clarification</t>
        </is>
      </c>
      <c r="D64" s="12" t="inlineStr">
        <is>
          <t>Business unit group and user level: Give the business unit groups and user levels (UQ05, UA-Q26).</t>
        </is>
      </c>
      <c r="E64" s="12" t="inlineStr">
        <is>
          <t>The values are not in the BRD (UQ05).</t>
        </is>
      </c>
      <c r="F64" s="12" t="inlineStr">
        <is>
          <t>Both are captured on the user; their lists stay empty until BDOI gives the values, and a value is not checked against a list until then.</t>
        </is>
      </c>
      <c r="G64" s="12" t="inlineStr">
        <is>
          <t>FRS BRD-11 v2.1, Proposed business rules and clarifications; 1.002.1.1.1, UAM-NFR-15; FR-UA-011, 052; also raised as UA-Q26 (Drop 0 list item), UQ05 (open question)</t>
        </is>
      </c>
      <c r="H64" s="12" t="inlineStr">
        <is>
          <t>Process Owner, User Access Maintenance (Business Administration)</t>
        </is>
      </c>
      <c r="I64" s="37" t="n">
        <v>46486</v>
      </c>
      <c r="J64" s="12" t="inlineStr">
        <is>
          <t>Medium</t>
        </is>
      </c>
      <c r="K64" s="38" t="inlineStr">
        <is>
          <t>Open</t>
        </is>
      </c>
      <c r="L64" s="12" t="n"/>
      <c r="M64" s="12" t="n"/>
    </row>
    <row r="65">
      <c r="A65" s="12" t="inlineStr">
        <is>
          <t>UA-Q49</t>
        </is>
      </c>
      <c r="B65" s="12" t="inlineStr">
        <is>
          <t>BRD-11 User Access Maintenance</t>
        </is>
      </c>
      <c r="C65" s="12" t="inlineStr">
        <is>
          <t>Configuration value</t>
        </is>
      </c>
      <c r="D65" s="12" t="inlineStr">
        <is>
          <t>Please identify which users must be limited to certain companies or branches and give their data access. The users template (CI-01) and the bulk request template have no data access column today; we propose to add one..</t>
        </is>
      </c>
      <c r="E65" s="12" t="inlineStr">
        <is>
          <t>Without an entry every user keeps access to all companies and branches. If not provided: All users would go live with access to every branch.</t>
        </is>
      </c>
      <c r="F65" s="12" t="inlineStr">
        <is>
          <t>Add a Data Access column to CI-01 and the bulk template (blank = all); BDOI fills it with the users list.</t>
        </is>
      </c>
      <c r="G65" s="12" t="inlineStr">
        <is>
          <t>Drop 0 requirements and questions list v1.0 (8-Oct-2026), UA-Q49; Configuration input templates BRD-11 CI-01; Sign-off workbook BRD-11 Upload templates; Data scope design section 5</t>
        </is>
      </c>
      <c r="H65" s="12" t="inlineStr">
        <is>
          <t>Process Owner, User Access Maintenance (Business Administration)</t>
        </is>
      </c>
      <c r="I65" s="37" t="n">
        <v>46486</v>
      </c>
      <c r="J65" s="12" t="inlineStr">
        <is>
          <t>Medium</t>
        </is>
      </c>
      <c r="K65" s="38" t="inlineStr">
        <is>
          <t>Open</t>
        </is>
      </c>
      <c r="L65" s="12" t="n"/>
      <c r="M65" s="12" t="n"/>
    </row>
    <row r="66">
      <c r="A66" s="12" t="inlineStr">
        <is>
          <t>CLR-UA-15</t>
        </is>
      </c>
      <c r="B66" s="12" t="inlineStr">
        <is>
          <t>BRD-11 User Access Maintenance</t>
        </is>
      </c>
      <c r="C66" s="12" t="inlineStr">
        <is>
          <t>Report layout</t>
        </is>
      </c>
      <c r="D66" s="12" t="inlineStr">
        <is>
          <t>Users who already hold both profiles of a new rule: Information Security to confirm that it reviews the report after each new rule and raises the requests (UA-Q31).</t>
        </is>
      </c>
      <c r="E66" s="12" t="inlineStr">
        <is>
          <t>Existing access is changed only through requests.</t>
        </is>
      </c>
      <c r="F66" s="12" t="inlineStr">
        <is>
          <t>A new separation-of-duties rule is checked on later requests; users who already hold both profiles are not changed and are found with the User Access Report.</t>
        </is>
      </c>
      <c r="G66" s="12" t="inlineStr">
        <is>
          <t>FRS BRD-11 v2.1, Proposed business rules and clarifications; FR-UA-053; also raised as UA-Q31 (Drop 0 list item), UQ01 (open question)</t>
        </is>
      </c>
      <c r="H66" s="12" t="inlineStr">
        <is>
          <t>Head, BDOI Information Security</t>
        </is>
      </c>
      <c r="I66" s="37" t="n">
        <v>46584</v>
      </c>
      <c r="J66" s="12" t="inlineStr">
        <is>
          <t>High</t>
        </is>
      </c>
      <c r="K66" s="38" t="inlineStr">
        <is>
          <t>Open</t>
        </is>
      </c>
      <c r="L66" s="12" t="n"/>
      <c r="M66" s="12" t="n"/>
    </row>
    <row r="67">
      <c r="A67" s="12" t="inlineStr">
        <is>
          <t>UA-Q33</t>
        </is>
      </c>
      <c r="B67" s="12" t="inlineStr">
        <is>
          <t>BRD-11 User Access Maintenance</t>
        </is>
      </c>
      <c r="C67" s="12" t="inlineStr">
        <is>
          <t>Configuration value</t>
        </is>
      </c>
      <c r="D67" s="12" t="inlineStr">
        <is>
          <t>Please name the users of each user-access role (template CI-03): the Requestors (BRD p.11: 14 users), Approvers (8), Business Administrators (4), the System Administrator (1), the Second Approvers, the Information Security Officers and the Auditors, with the unit each requests or approves for..</t>
        </is>
      </c>
      <c r="E67" s="12" t="inlineStr">
        <is>
          <t>UQ01 is open: who the 14 Requestors and 8 Approvers are, and whether the Requestor is separate from the Business Administrator. The UAT entry criteria need the answers to UQ01, UQ02, UQ05 and UQ07 applied. If not provided: UAT cannot start (test plan entry criteria); approvals cannot be routed.</t>
        </is>
      </c>
      <c r="F67" s="12" t="inlineStr">
        <is>
          <t>BDOI fills CI-03; the SIT and UAT reviewers are named first.</t>
        </is>
      </c>
      <c r="G67" s="12" t="inlineStr">
        <is>
          <t>Drop 0 requirements and questions list v1.0 (8-Oct-2026), UA-Q33; BRD User Access Maintenance p.7, p.11; FRS BRD-11 v2.0 UQ01; Configuration input templates BRD-11 CI-03; Test plan BRD-11 v2.0 section 3; Drop 0 closure CFG-112; also raised as UQ02 (open question)</t>
        </is>
      </c>
      <c r="H67" s="12" t="inlineStr">
        <is>
          <t>Process Owner, User Access Maintenance (Business Administration)</t>
        </is>
      </c>
      <c r="I67" s="37" t="n">
        <v>46584</v>
      </c>
      <c r="J67" s="12" t="inlineStr">
        <is>
          <t>High</t>
        </is>
      </c>
      <c r="K67" s="38" t="inlineStr">
        <is>
          <t>Open</t>
        </is>
      </c>
      <c r="L67" s="12" t="n"/>
      <c r="M67" s="12" t="n"/>
    </row>
    <row r="68">
      <c r="A68" s="12" t="inlineStr">
        <is>
          <t>TD-11</t>
        </is>
      </c>
      <c r="B68" s="12" t="inlineStr">
        <is>
          <t>BRD-11 User Access Maintenance</t>
        </is>
      </c>
      <c r="C68" s="12" t="inlineStr">
        <is>
          <t>Test data</t>
        </is>
      </c>
      <c r="D68" s="12" t="inlineStr">
        <is>
          <t>Name the UAT testers of BRD-11 User Access Maintenance (at least two per business unit, with their user IDs and group profiles) and provide the business data of the UAT scenarios: the clients, policies, insurers and amounts each scenario of the test plan uses, from the migrated data of Trial migration 3 or as additional cases.</t>
        </is>
      </c>
      <c r="E68" s="12" t="inlineStr">
        <is>
          <t>UAT of Drop 0 runs on migrated data and the production values; testers without access or scenarios without data stop the UAT.</t>
        </is>
      </c>
      <c r="F68" s="12" t="inlineStr">
        <is>
          <t>The test plan (04 workbook of the set) names the scenarios; the BDOI testers choose the cases from the migrated data and add the cases the legacy data does not hold.</t>
        </is>
      </c>
      <c r="G68" s="12" t="inlineStr">
        <is>
          <t>Project plan: dependency DEP-20 (UAT testers), milestone MS-20 (UAT plans, values for UAT and testers, 16-Jul-2027)</t>
        </is>
      </c>
      <c r="H68" s="12" t="inlineStr">
        <is>
          <t>Product Owner, MBS, with Business Administration (User Access) (UAT testers of the business units)</t>
        </is>
      </c>
      <c r="I68" s="37" t="n">
        <v>46584</v>
      </c>
      <c r="J68" s="12" t="inlineStr">
        <is>
          <t>High</t>
        </is>
      </c>
      <c r="K68" s="38" t="inlineStr">
        <is>
          <t>Open</t>
        </is>
      </c>
      <c r="L68" s="12" t="n"/>
      <c r="M68" s="12" t="n"/>
    </row>
    <row r="69">
      <c r="A69" s="12" t="inlineStr">
        <is>
          <t>CLR-UA-08</t>
        </is>
      </c>
      <c r="B69" s="12" t="inlineStr">
        <is>
          <t>BRD-11 User Access Maintenance</t>
        </is>
      </c>
      <c r="C69" s="12" t="inlineStr">
        <is>
          <t>Sample document or template</t>
        </is>
      </c>
      <c r="D69" s="12" t="inlineStr">
        <is>
          <t>Dormant accounts: Information Security to confirm the dormancy period and the notice (template CI-05, UA-Q42).</t>
        </is>
      </c>
      <c r="E69" s="12" t="inlineStr">
        <is>
          <t>The period and the notice are proposals; Information Security has not given its values.</t>
        </is>
      </c>
      <c r="F69" s="12" t="inlineStr">
        <is>
          <t>A daily deactivation of users with no sign-in for 90 days, with a notice 7 days before; the System Administrator profile is exempt.</t>
        </is>
      </c>
      <c r="G69" s="12" t="inlineStr">
        <is>
          <t>FRS BRD-11 v2.1, Proposed business rules and clarifications; information security practice; FR-UA-006; also raised as UA-Q42 (Drop 0 list item)</t>
        </is>
      </c>
      <c r="H69" s="12" t="inlineStr">
        <is>
          <t>Head, BDOI Information Security</t>
        </is>
      </c>
      <c r="I69" s="37" t="n">
        <v>46584</v>
      </c>
      <c r="J69" s="12" t="inlineStr">
        <is>
          <t>Medium</t>
        </is>
      </c>
      <c r="K69" s="38" t="inlineStr">
        <is>
          <t>Open</t>
        </is>
      </c>
      <c r="L69" s="12" t="n"/>
      <c r="M69" s="12" t="n"/>
    </row>
    <row r="70">
      <c r="A70" s="12" t="inlineStr">
        <is>
          <t>CLR-UA-14</t>
        </is>
      </c>
      <c r="B70" s="12" t="inlineStr">
        <is>
          <t>BRD-11 User Access Maintenance</t>
        </is>
      </c>
      <c r="C70" s="12" t="inlineStr">
        <is>
          <t>Decision</t>
        </is>
      </c>
      <c r="D70" s="12" t="inlineStr">
        <is>
          <t>Out-of-hours flag on public holidays: Decide whether public holidays count as out of hours (UA-Q37).</t>
        </is>
      </c>
      <c r="E70" s="12" t="inlineStr">
        <is>
          <t>The working hours have no holiday calendar.</t>
        </is>
      </c>
      <c r="F70" s="12" t="inlineStr">
        <is>
          <t>A request submitted or approved outside uam working hours is flagged for second approval; the flag is evaluated at submission and again at approval. Public holidays are not treated as out of hours.</t>
        </is>
      </c>
      <c r="G70" s="12" t="inlineStr">
        <is>
          <t>FRS BRD-11 v2.1, Proposed business rules and clarifications; NFR 11; FR-UA-034; also raised as UA-Q37 (Drop 0 list item), UQ07 (open question)</t>
        </is>
      </c>
      <c r="H70" s="12" t="inlineStr">
        <is>
          <t>Head, BDOI Information Security</t>
        </is>
      </c>
      <c r="I70" s="37" t="n">
        <v>46584</v>
      </c>
      <c r="J70" s="12" t="inlineStr">
        <is>
          <t>Medium</t>
        </is>
      </c>
      <c r="K70" s="38" t="inlineStr">
        <is>
          <t>Open</t>
        </is>
      </c>
      <c r="L70" s="12" t="n"/>
      <c r="M70" s="12" t="n"/>
    </row>
    <row r="71">
      <c r="A71" s="12" t="inlineStr">
        <is>
          <t>UA-Q21</t>
        </is>
      </c>
      <c r="B71" s="12" t="inlineStr">
        <is>
          <t>BRD-11 User Access Maintenance</t>
        </is>
      </c>
      <c r="C71" s="12" t="inlineStr">
        <is>
          <t>Decision</t>
        </is>
      </c>
      <c r="D71" s="12" t="inlineStr">
        <is>
          <t>How will access certification work: frequency, who certifies (unit heads or Information Security), the content of the extract (users, group profiles, data access, last sign-in), and how revocations decided in a certification campaign come back to BIBS (UIDM-ISC de-provisioning or BIBS requests).</t>
        </is>
      </c>
      <c r="E71" s="12" t="inlineStr">
        <is>
          <t>The BIBS reports give the user and profile lists for certification (User Access Report, Group Profile Membership). The BRD does not ask for certification; UIDM-ISC brings it. If not provided: Certification results may not be applied in BIBS, or be applied without an audit trail.</t>
        </is>
      </c>
      <c r="F71" s="12" t="inlineStr">
        <is>
          <t>Quarterly certification by unit heads in UIDM-ISC using the daily aggregation; revocations are sent back as deactivation or modification requests and recorded with the campaign reference.</t>
        </is>
      </c>
      <c r="G71" s="12" t="inlineStr">
        <is>
          <t>Drop 0 requirements and questions list v1.0 (8-Oct-2026), UA-Q21; FRS BRD-11 v2.0 FR-UA-060, FR-UA-062, IQ05; Sign-off workbook BRD-11 Cross-BRD contract IC-09; Programme alignment INT-02</t>
        </is>
      </c>
      <c r="H71" s="12" t="inlineStr">
        <is>
          <t>Head, BDOI Information Security</t>
        </is>
      </c>
      <c r="I71" s="37" t="n">
        <v>46584</v>
      </c>
      <c r="J71" s="12" t="inlineStr">
        <is>
          <t>Medium</t>
        </is>
      </c>
      <c r="K71" s="38" t="inlineStr">
        <is>
          <t>Open</t>
        </is>
      </c>
      <c r="L71" s="12" t="n"/>
      <c r="M71" s="12" t="n"/>
    </row>
    <row r="72">
      <c r="A72" s="12" t="inlineStr">
        <is>
          <t>UA-Q35</t>
        </is>
      </c>
      <c r="B72" s="12" t="inlineStr">
        <is>
          <t>BRD-11 User Access Maintenance</t>
        </is>
      </c>
      <c r="C72" s="12" t="inlineStr">
        <is>
          <t>Configuration value</t>
        </is>
      </c>
      <c r="D72" s="12" t="inlineStr">
        <is>
          <t>Please provide the authorisation limits (amount in PHP) of the users who approve by amount in other modules (journals, payables and similar), held on each user record..</t>
        </is>
      </c>
      <c r="E72" s="12" t="inlineStr">
        <is>
          <t>The authorisation limit is carried on Create user and Modify user requests and used by the modules that approve by amount (template CI-03). If not provided: Amount-based approvals in Accounting and Disbursement cannot be tested with real limits.</t>
        </is>
      </c>
      <c r="F72" s="12" t="inlineStr">
        <is>
          <t>Comptrollership provides the limits per user or per user level; blank means no amount approval.</t>
        </is>
      </c>
      <c r="G72" s="12" t="inlineStr">
        <is>
          <t>Drop 0 requirements and questions list v1.0 (8-Oct-2026), UA-Q35; FRS BRD-11 v2.0 FR-UA-011, FR-UA-012; Configuration input templates BRD-11 CI-03; Drop 0 closure CFG-112</t>
        </is>
      </c>
      <c r="H72" s="12" t="inlineStr">
        <is>
          <t>Head, Comptrollership</t>
        </is>
      </c>
      <c r="I72" s="37" t="n">
        <v>46584</v>
      </c>
      <c r="J72" s="12" t="inlineStr">
        <is>
          <t>Medium</t>
        </is>
      </c>
      <c r="K72" s="38" t="inlineStr">
        <is>
          <t>Open</t>
        </is>
      </c>
      <c r="L72" s="12" t="n"/>
      <c r="M72" s="12" t="n"/>
    </row>
    <row r="73">
      <c r="A73" s="12" t="inlineStr">
        <is>
          <t>UA-Q52</t>
        </is>
      </c>
      <c r="B73" s="12" t="inlineStr">
        <is>
          <t>BRD-11 User Access Maintenance</t>
        </is>
      </c>
      <c r="C73" s="12" t="inlineStr">
        <is>
          <t>Configuration value</t>
        </is>
      </c>
      <c r="D73" s="12" t="inlineStr">
        <is>
          <t>Please name the recipients of the operational notices: failed batch runs (BRD p.15; parameter job failure recipients, empty as delivered), the privileged-change alert, the summary of dormant-user deactivations, and any unit mailbox that must receive access-change notices besides the users concerned..</t>
        </is>
      </c>
      <c r="E73" s="12" t="inlineStr">
        <is>
          <t>The BRD asks that failed batch runs are e-mailed to 'designated users' (p.15) without naming them. If not provided: Failed jobs (for example the effective-date job) go unnoticed.</t>
        </is>
      </c>
      <c r="F73" s="12" t="inlineStr">
        <is>
          <t>Failed batch runs to the BIBS application support mailbox and the System Administrator; privileged-change alerts to Information Security; dormant summaries to the Business Administrators.</t>
        </is>
      </c>
      <c r="G73" s="12" t="inlineStr">
        <is>
          <t>Drop 0 requirements and questions list v1.0 (8-Oct-2026), UA-Q52; BRD User Access Maintenance p.15; FRS BRD-11 v2.0 FR-UA-006, FR-UA-034, FR-UA-071; Drop 0 closure CFG-080</t>
        </is>
      </c>
      <c r="H73" s="12" t="inlineStr">
        <is>
          <t>Process Owner, User Access Maintenance (Business Administration)</t>
        </is>
      </c>
      <c r="I73" s="37" t="n">
        <v>46584</v>
      </c>
      <c r="J73" s="12" t="inlineStr">
        <is>
          <t>Medium</t>
        </is>
      </c>
      <c r="K73" s="38" t="inlineStr">
        <is>
          <t>Open</t>
        </is>
      </c>
      <c r="L73" s="12" t="n"/>
      <c r="M73" s="12" t="n"/>
    </row>
    <row r="74">
      <c r="A74" s="12" t="inlineStr">
        <is>
          <t>UA-Q53</t>
        </is>
      </c>
      <c r="B74" s="12" t="inlineStr">
        <is>
          <t>BRD-11 User Access Maintenance</t>
        </is>
      </c>
      <c r="C74" s="12" t="inlineStr">
        <is>
          <t>Configuration value</t>
        </is>
      </c>
      <c r="D74" s="12" t="inlineStr">
        <is>
          <t>Please give the retention periods for access requests, the access-change log, the session log and the audit trail. The BRD says 'Follow QPS retention policy' (p.11, p.14), but the QPS values are not in the pack and the other BRDs give different periods..</t>
        </is>
      </c>
      <c r="E74" s="12" t="inlineStr">
        <is>
          <t>BIBS keeps these records at least as long as the audit trail; other BRDs give 5 years online and 15 years archive, or 10 and 15 (DCR-136). If not provided: Retention rules cannot be configured; the Data Privacy Act exposure stays open.</t>
        </is>
      </c>
      <c r="F74" s="12" t="inlineStr">
        <is>
          <t>5 years online and 15 years in the archive for every user-access record; no purge before the audit trail.</t>
        </is>
      </c>
      <c r="G74" s="12" t="inlineStr">
        <is>
          <t>Drop 0 requirements and questions list v1.0 (8-Oct-2026), UA-Q53; BRD User Access Maintenance p.11, p.14; FRS BRD-11 v2.0 FR-UA-064, UQ12; Discrepancy register DCR-115, DCR-136, DCR-139; Drop 0 closure CFG-074; also raised as UQ12 (open question)</t>
        </is>
      </c>
      <c r="H74" s="12" t="inlineStr">
        <is>
          <t>Head, Compliance (Data Protection Officer)</t>
        </is>
      </c>
      <c r="I74" s="37" t="n">
        <v>46584</v>
      </c>
      <c r="J74" s="12" t="inlineStr">
        <is>
          <t>Medium</t>
        </is>
      </c>
      <c r="K74" s="38" t="inlineStr">
        <is>
          <t>Open</t>
        </is>
      </c>
      <c r="L74" s="12" t="n"/>
      <c r="M74" s="12" t="n"/>
    </row>
    <row r="75">
      <c r="A75" s="12" t="inlineStr">
        <is>
          <t>UA-Q55</t>
        </is>
      </c>
      <c r="B75" s="12" t="inlineStr">
        <is>
          <t>BRD-11 User Access Maintenance</t>
        </is>
      </c>
      <c r="C75" s="12" t="inlineStr">
        <is>
          <t>Decision</t>
        </is>
      </c>
      <c r="D75" s="12" t="inlineStr">
        <is>
          <t>Please confirm the masking rules for user data: (1) in DEV, SIT and UAT, names, Windows IDs, e-mail addresses and mobile numbers of BDO staff are replaced and e-mails go to test mailboxes; (2) in production, the user-access screens and reports show the Windows ID, e-mail and mobile number in full to their authorised viewers only, or must some be masked (for example for the Auditor).</t>
        </is>
      </c>
      <c r="E75" s="12" t="inlineStr">
        <is>
          <t>The BRD lists the Data Privacy Act 2012 (p.12) without masking rules. The test plan requires masked user data in non-production; the security and data-protection mapping of Drop 0 covers masking. If not provided: UAT data preparation and the report layouts cannot be finalised; Data Privacy Act exposure.</t>
        </is>
      </c>
      <c r="F75" s="12" t="inlineStr">
        <is>
          <t>(1) as stated; (2) no masking in production for holders of the report right; exports limited to the same viewers.</t>
        </is>
      </c>
      <c r="G75" s="12" t="inlineStr">
        <is>
          <t>Drop 0 requirements and questions list v1.0 (8-Oct-2026), UA-Q55; BRD User Access Maintenance p.12 (Regulatory and compliance); Test plan BRD-11 v2.0 section 4.1; Programme alignment item 26 (security and data-protection mapping)</t>
        </is>
      </c>
      <c r="H75" s="12" t="inlineStr">
        <is>
          <t>Head, BDOI Information Security</t>
        </is>
      </c>
      <c r="I75" s="37" t="n">
        <v>46584</v>
      </c>
      <c r="J75" s="12" t="inlineStr">
        <is>
          <t>Medium</t>
        </is>
      </c>
      <c r="K75" s="38" t="inlineStr">
        <is>
          <t>Open</t>
        </is>
      </c>
      <c r="L75" s="12" t="n"/>
      <c r="M75" s="12" t="n"/>
    </row>
    <row r="76">
      <c r="A76" s="12" t="inlineStr">
        <is>
          <t>CFG-071</t>
        </is>
      </c>
      <c r="B76" s="12" t="inlineStr">
        <is>
          <t>BRD-11 Security settings</t>
        </is>
      </c>
      <c r="C76" s="12" t="inlineStr">
        <is>
          <t>Configuration value</t>
        </is>
      </c>
      <c r="D76" s="12" t="inlineStr">
        <is>
          <t>Sign-in, password, session and access-request parameters: The security values agreed with BDOI Information Security (BRD-11 template CI-05)</t>
        </is>
      </c>
      <c r="E76" s="12" t="inlineStr">
        <is>
          <t>Needed for: Values for UAT (UAT plans and sign-off forms due 16-Jul-2027; UAT Aug - Dec 2027 runs on the production values).</t>
        </is>
      </c>
      <c r="F76" s="12" t="inlineStr">
        <is>
          <t>Fill in the template UA-05 of the Master Data and Configuration Upload Templates workbook.</t>
        </is>
      </c>
      <c r="G76" s="12" t="inlineStr">
        <is>
          <t>Drop 0 configuration register CFG-071 (Drop 0 Configuration Inputs v2.0, area System and security parameters)</t>
        </is>
      </c>
      <c r="H76" s="12" t="inlineStr">
        <is>
          <t>BDOI Information Security; BDOI IT for the sign-in mode</t>
        </is>
      </c>
      <c r="I76" s="37" t="n">
        <v>46584</v>
      </c>
      <c r="J76" s="12" t="inlineStr">
        <is>
          <t>Medium</t>
        </is>
      </c>
      <c r="K76" s="38" t="inlineStr">
        <is>
          <t>Open</t>
        </is>
      </c>
      <c r="L76" s="12" t="n"/>
      <c r="M76" s="12" t="n"/>
    </row>
    <row r="77">
      <c r="A77" s="12" t="inlineStr">
        <is>
          <t>CFG-112</t>
        </is>
      </c>
      <c r="B77" s="12" t="inlineStr">
        <is>
          <t>BRD-11 User Access Maintenance</t>
        </is>
      </c>
      <c r="C77" s="12" t="inlineStr">
        <is>
          <t>Master data</t>
        </is>
      </c>
      <c r="D77" s="12" t="inlineStr">
        <is>
          <t>Approvers, approval rules and authorisation limits: BRD-11 template CI-03: the access approvers and the authorisation limit of each user who approves by amount</t>
        </is>
      </c>
      <c r="E77" s="12" t="inlineStr">
        <is>
          <t>Needed for: Values for UAT (UAT plans and sign-off forms due 16-Jul-2027; UAT Aug - Dec 2027 runs on the production values).</t>
        </is>
      </c>
      <c r="F77" s="12" t="inlineStr">
        <is>
          <t>Fill in the template UA-03 of the Master Data and Configuration Upload Templates workbook.</t>
        </is>
      </c>
      <c r="G77" s="12" t="inlineStr">
        <is>
          <t>Drop 0 configuration register CFG-112 (Drop 0 Configuration Inputs v2.0, area Users, roles and approvals)</t>
        </is>
      </c>
      <c r="H77" s="12" t="inlineStr">
        <is>
          <t>Business Administration; BDOI Information Security for the second approval; Comptrollership for the authorisation limits</t>
        </is>
      </c>
      <c r="I77" s="37" t="n">
        <v>46584</v>
      </c>
      <c r="J77" s="12" t="inlineStr">
        <is>
          <t>Medium</t>
        </is>
      </c>
      <c r="K77" s="38" t="inlineStr">
        <is>
          <t>Open</t>
        </is>
      </c>
      <c r="L77" s="12" t="n"/>
      <c r="M77" s="12" t="n"/>
    </row>
    <row r="78">
      <c r="A78" s="12" t="inlineStr">
        <is>
          <t>CFG-113</t>
        </is>
      </c>
      <c r="B78" s="12" t="inlineStr">
        <is>
          <t>BRD-11 Security settings</t>
        </is>
      </c>
      <c r="C78" s="12" t="inlineStr">
        <is>
          <t>Master data</t>
        </is>
      </c>
      <c r="D78" s="12" t="inlineStr">
        <is>
          <t>Separation-of-duties rules: BRD-11 template CI-04</t>
        </is>
      </c>
      <c r="E78" s="12" t="inlineStr">
        <is>
          <t>Needed for: Values for UAT (UAT plans and sign-off forms due 16-Jul-2027; UAT Aug - Dec 2027 runs on the production values).</t>
        </is>
      </c>
      <c r="F78" s="12" t="inlineStr">
        <is>
          <t>Fill in the template UA-04 of the Master Data and Configuration Upload Templates workbook.</t>
        </is>
      </c>
      <c r="G78" s="12" t="inlineStr">
        <is>
          <t>Drop 0 configuration register CFG-113 (Drop 0 Configuration Inputs v2.0, area Users, roles and approvals)</t>
        </is>
      </c>
      <c r="H78" s="12" t="inlineStr">
        <is>
          <t>BDOI Information Security</t>
        </is>
      </c>
      <c r="I78" s="37" t="n">
        <v>46584</v>
      </c>
      <c r="J78" s="12" t="inlineStr">
        <is>
          <t>Medium</t>
        </is>
      </c>
      <c r="K78" s="38" t="inlineStr">
        <is>
          <t>Open</t>
        </is>
      </c>
      <c r="L78" s="12" t="n"/>
      <c r="M78" s="12" t="n"/>
    </row>
    <row r="79">
      <c r="A79" s="12" t="inlineStr">
        <is>
          <t>CFG-110</t>
        </is>
      </c>
      <c r="B79" s="12" t="inlineStr">
        <is>
          <t>BRD-11 User Access Maintenance</t>
        </is>
      </c>
      <c r="C79" s="12" t="inlineStr">
        <is>
          <t>Master data</t>
        </is>
      </c>
      <c r="D79" s="12" t="inlineStr">
        <is>
          <t>Users at go-live: BRD-11 template CI-01, uploaded as a bulk request and approved; users are not migrated (R10 excluded, legacy user IDs only mapped)</t>
        </is>
      </c>
      <c r="E79" s="12" t="inlineStr">
        <is>
          <t>Needed for: Production values before the dress rehearsal (Dress rehearsal in November 2027; the values loaded for it are the go-live values).</t>
        </is>
      </c>
      <c r="F79" s="12" t="inlineStr">
        <is>
          <t>Fill in the template UA-01 of the Master Data and Configuration Upload Templates workbook.</t>
        </is>
      </c>
      <c r="G79" s="12" t="inlineStr">
        <is>
          <t>Drop 0 configuration register CFG-110 (Drop 0 Configuration Inputs v2.0, area Users, roles and approvals)</t>
        </is>
      </c>
      <c r="H79" s="12" t="inlineStr">
        <is>
          <t>Business Administration, with the unit heads who name their users</t>
        </is>
      </c>
      <c r="I79" s="37" t="n">
        <v>46692</v>
      </c>
      <c r="J79" s="12" t="inlineStr">
        <is>
          <t>Medium</t>
        </is>
      </c>
      <c r="K79" s="38" t="inlineStr">
        <is>
          <t>Open</t>
        </is>
      </c>
      <c r="L79" s="12" t="n"/>
      <c r="M79" s="12" t="n"/>
    </row>
    <row r="80">
      <c r="A80" s="12" t="inlineStr">
        <is>
          <t>SO-11-3</t>
        </is>
      </c>
      <c r="B80" s="12" t="inlineStr">
        <is>
          <t>BRD-11 User Access Maintenance</t>
        </is>
      </c>
      <c r="C80" s="12" t="inlineStr">
        <is>
          <t>Sign-off</t>
        </is>
      </c>
      <c r="D80" s="12" t="inlineStr">
        <is>
          <t>Sign the UAT sign-off certificate of BRD-11 User Access Maintenance.</t>
        </is>
      </c>
      <c r="E80" s="12" t="inlineStr">
        <is>
          <t>The signed document fixes the scope for the next step of the plan; a late sign-off moves the dates that follow it.</t>
        </is>
      </c>
      <c r="F80" s="12" t="n"/>
      <c r="G80" s="12" t="inlineStr">
        <is>
          <t>Project plan v1.0 (8-Oct-2026), sign-offs and milestones</t>
        </is>
      </c>
      <c r="H80" s="12" t="inlineStr">
        <is>
          <t>Product Owner, MBS, with Business Administration (User Access); BIBS Product Owner</t>
        </is>
      </c>
      <c r="I80" s="37" t="n">
        <v>46738</v>
      </c>
      <c r="J80" s="12" t="inlineStr">
        <is>
          <t>High</t>
        </is>
      </c>
      <c r="K80" s="38" t="inlineStr">
        <is>
          <t>Open</t>
        </is>
      </c>
      <c r="L80" s="12" t="n"/>
      <c r="M80" s="12" t="n"/>
    </row>
  </sheetData>
  <autoFilter ref="A4:M80"/>
  <mergeCells count="1">
    <mergeCell ref="A2:M2"/>
  </mergeCells>
  <conditionalFormatting sqref="K5:K580">
    <cfRule type="cellIs" priority="1" operator="equal" dxfId="0" stopIfTrue="1">
      <formula>"Open"</formula>
    </cfRule>
    <cfRule type="cellIs" priority="2" operator="equal" dxfId="1" stopIfTrue="1">
      <formula>"Answered"</formula>
    </cfRule>
  </conditionalFormatting>
  <conditionalFormatting sqref="A5:M580">
    <cfRule type="expression" priority="3" dxfId="2">
      <formula>AND(MOD(ROW(),2)=0,$A5&lt;&gt;"")</formula>
    </cfRule>
  </conditionalFormatting>
  <conditionalFormatting sqref="K5:K581">
    <cfRule type="cellIs" priority="4" operator="equal" dxfId="3" stopIfTrue="1">
      <formula>"Partly answered"</formula>
    </cfRule>
  </conditionalFormatting>
  <dataValidations count="3">
    <dataValidation sqref="C5:C580" showDropDown="0" showInputMessage="0" showErrorMessage="1" allowBlank="1" errorTitle="Type" error="Choose a value from the list (Type)." type="list">
      <formula1>'_lists'!$AH$1:$AH$10</formula1>
    </dataValidation>
    <dataValidation sqref="J5:J580" showDropDown="0" showInputMessage="0" showErrorMessage="1" allowBlank="1" errorTitle="Priority" error="Choose a value from the list (Priority)." type="list">
      <formula1>'_lists'!$AI$1:$AI$3</formula1>
    </dataValidation>
    <dataValidation sqref="K5:K580" showDropDown="0" showInputMessage="0" showErrorMessage="1" allowBlank="1" errorTitle="Status" error="Choose a value from the list (Status)." type="list">
      <formula1>'_lists'!$AJ$1:$AJ$3</formula1>
    </dataValidation>
  </dataValidations>
  <printOptions horizontalCentered="1"/>
  <pageMargins left="0.4" right="0.4" top="0.6" bottom="0.6" header="0.5" footer="0.5"/>
  <pageSetup orientation="landscape" paperSize="1" fitToHeight="0" fitToWidth="1"/>
  <headerFooter>
    <oddHeader>&amp;L&amp;8 &amp;K004EA8BDOI Requirements and Inputs by BRD&amp;R&amp;8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6.xml><?xml version="1.0" encoding="utf-8"?>
<worksheet xmlns="http://schemas.openxmlformats.org/spreadsheetml/2006/main">
  <sheetPr>
    <outlinePr summaryBelow="1" summaryRight="1"/>
    <pageSetUpPr fitToPage="1"/>
  </sheetPr>
  <dimension ref="A1:M4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6" customWidth="1" min="3" max="3"/>
    <col width="60" customWidth="1" min="4" max="4"/>
    <col width="46" customWidth="1" min="5" max="5"/>
    <col width="46" customWidth="1" min="6" max="6"/>
    <col width="40" customWidth="1" min="7" max="7"/>
    <col width="26" customWidth="1" min="8" max="8"/>
    <col width="12" customWidth="1" min="9" max="9"/>
    <col width="10" customWidth="1" min="10" max="10"/>
    <col width="14" customWidth="1" min="11" max="11"/>
    <col width="40" customWidth="1" min="12" max="12"/>
    <col width="34" customWidth="1" min="13" max="13"/>
  </cols>
  <sheetData>
    <row r="1" ht="24" customHeight="1">
      <c r="A1" s="34" t="inlineStr">
        <is>
          <t>BRD-12 Submitted Policies</t>
        </is>
      </c>
    </row>
    <row r="2">
      <c r="A2" s="21" t="inlineStr">
        <is>
          <t>BRD-12 Submitted Policies: what BDOI provides; owner Product Owner, Submitted Policies</t>
        </is>
      </c>
    </row>
    <row r="3" ht="6" customHeight="1">
      <c r="A3" s="35" t="n"/>
      <c r="B3" s="35" t="n"/>
      <c r="C3" s="35" t="n"/>
      <c r="D3" s="35" t="n"/>
      <c r="E3" s="35" t="n"/>
      <c r="F3" s="35" t="n"/>
      <c r="G3" s="35" t="n"/>
      <c r="H3" s="35" t="n"/>
      <c r="I3" s="35" t="n"/>
      <c r="J3" s="35" t="n"/>
      <c r="K3" s="35" t="n"/>
      <c r="L3" s="35" t="n"/>
      <c r="M3" s="35" t="n"/>
    </row>
    <row r="4" ht="30" customHeight="1">
      <c r="A4" s="36" t="inlineStr">
        <is>
          <t>Ref</t>
        </is>
      </c>
      <c r="B4" s="36" t="inlineStr">
        <is>
          <t>BRD / module</t>
        </is>
      </c>
      <c r="C4" s="36" t="inlineStr">
        <is>
          <t>Type</t>
        </is>
      </c>
      <c r="D4" s="36" t="inlineStr">
        <is>
          <t>What we need from BDOI</t>
        </is>
      </c>
      <c r="E4" s="36" t="inlineStr">
        <is>
          <t>Why / impact if not provided</t>
        </is>
      </c>
      <c r="F4" s="36" t="inlineStr">
        <is>
          <t>Our proposal (if any)</t>
        </is>
      </c>
      <c r="G4" s="36" t="inlineStr">
        <is>
          <t>Source (FRS section / CLR / BRD page)</t>
        </is>
      </c>
      <c r="H4" s="36" t="inlineStr">
        <is>
          <t>BDOI owner (role)</t>
        </is>
      </c>
      <c r="I4" s="36" t="inlineStr">
        <is>
          <t>Needed by</t>
        </is>
      </c>
      <c r="J4" s="36" t="inlineStr">
        <is>
          <t>Priority</t>
        </is>
      </c>
      <c r="K4" s="36" t="inlineStr">
        <is>
          <t>Status</t>
        </is>
      </c>
      <c r="L4" s="36" t="inlineStr">
        <is>
          <t>BDOI response</t>
        </is>
      </c>
      <c r="M4" s="36" t="inlineStr">
        <is>
          <t>Remarks</t>
        </is>
      </c>
    </row>
    <row r="5">
      <c r="A5" s="12" t="inlineStr">
        <is>
          <t>CLR-SP-01</t>
        </is>
      </c>
      <c r="B5" s="12" t="inlineStr">
        <is>
          <t>BRD-12 Submitted Policies</t>
        </is>
      </c>
      <c r="C5" s="12" t="inlineStr">
        <is>
          <t>Business rule confirmation</t>
        </is>
      </c>
      <c r="D5" s="12" t="inlineStr">
        <is>
          <t>Renewal of submitted policies: Confirm decision D2.</t>
        </is>
      </c>
      <c r="E5" s="12" t="inlineStr">
        <is>
          <t>Cross-BRD decision D2 (SP-SQ10).</t>
        </is>
      </c>
      <c r="F5" s="12" t="inlineStr">
        <is>
          <t>The expiry scan hands each For Renewal record to the Renewal module, which owns the renewal account, hold cover request and renewal letters; Submitted Policies follows the record to PLACED, BOOKED or not renewed.</t>
        </is>
      </c>
      <c r="G5" s="12" t="inlineStr">
        <is>
          <t>FRS BRD-12 v1.1, Proposed business rules and clarifications; BRIDSP-26, 27, 29, 30; FR-SP-060, 062; also raised as SP-SQ10 (open question), DCR-129 (register item)</t>
        </is>
      </c>
      <c r="H5" s="12" t="inlineStr">
        <is>
          <t>BIBS Product Owner, with the owners of the BRDs involved</t>
        </is>
      </c>
      <c r="I5" s="37" t="n">
        <v>46356</v>
      </c>
      <c r="J5" s="12" t="inlineStr">
        <is>
          <t>High</t>
        </is>
      </c>
      <c r="K5" s="38" t="inlineStr">
        <is>
          <t>Partly answered</t>
        </is>
      </c>
      <c r="L5" s="12" t="n"/>
      <c r="M5" s="12" t="inlineStr">
        <is>
          <t>Answer so far: Renewal owns the renewal of submitted policies from the hand-off (project decision, BDOI to confirm). Users who place and book submitted renewals open. (Decision D2 (Renewal design)). Also affects BRD-06.</t>
        </is>
      </c>
    </row>
    <row r="6">
      <c r="A6" s="12" t="inlineStr">
        <is>
          <t>SP-SQ04</t>
        </is>
      </c>
      <c r="B6" s="12" t="inlineStr">
        <is>
          <t>BRD-12 Submitted Policies</t>
        </is>
      </c>
      <c r="C6" s="12" t="inlineStr">
        <is>
          <t>Clarification</t>
        </is>
      </c>
      <c r="D6" s="12" t="inlineStr">
        <is>
          <t>Classification: Definitions of Inforced and Submitted. BRIDSP-12 says Submitted = matched PN vs LAMD and BRIDSP-15 says Inforced = unmatched PN; is "Inforced" a policy placed by BDOI?</t>
        </is>
      </c>
      <c r="E6" s="12" t="inlineStr">
        <is>
          <t>Open point of the FRS (FR-SP-030): the requirement cannot be finalised or tested as BDOI intends until it is answered.</t>
        </is>
      </c>
      <c r="F6" s="12" t="inlineStr">
        <is>
          <t>Bucket rules as data with precedence; renewal side decided per bucket by BDOI.</t>
        </is>
      </c>
      <c r="G6" s="12" t="inlineStr">
        <is>
          <t>FRS BRD-12 v1.1, Open questions SP-SQ04 (affects FR-SP-030); Discrepancy and clarification register v1.2, open question SP-SQ04; baseline BRIDSP-11/12/15; also raised as DCR-124 (register item)</t>
        </is>
      </c>
      <c r="H6" s="12" t="inlineStr">
        <is>
          <t>CBG and Non-CBG Marketing - Submitted Policies</t>
        </is>
      </c>
      <c r="I6" s="37" t="n">
        <v>46356</v>
      </c>
      <c r="J6" s="12" t="inlineStr">
        <is>
          <t>High</t>
        </is>
      </c>
      <c r="K6" s="38" t="inlineStr">
        <is>
          <t>Partly answered</t>
        </is>
      </c>
      <c r="L6" s="12" t="n"/>
      <c r="M6" s="12" t="inlineStr">
        <is>
          <t>Answer so far: Submitted defined on p.2.</t>
        </is>
      </c>
    </row>
    <row r="7">
      <c r="A7" s="12" t="inlineStr">
        <is>
          <t>SO-12-1</t>
        </is>
      </c>
      <c r="B7" s="12" t="inlineStr">
        <is>
          <t>BRD-12 Submitted Policies</t>
        </is>
      </c>
      <c r="C7" s="12" t="inlineStr">
        <is>
          <t>Sign-off</t>
        </is>
      </c>
      <c r="D7" s="12" t="inlineStr">
        <is>
          <t>Sign the FRS and sign-off set of BRD-12 Submitted Policies.</t>
        </is>
      </c>
      <c r="E7" s="12" t="inlineStr">
        <is>
          <t>The signed document fixes the scope for the next step of the plan; a late sign-off moves the dates that follow it.</t>
        </is>
      </c>
      <c r="F7" s="12" t="n"/>
      <c r="G7" s="12" t="inlineStr">
        <is>
          <t>Project plan v1.0 (8-Oct-2026), sign-offs and milestones</t>
        </is>
      </c>
      <c r="H7" s="12" t="inlineStr">
        <is>
          <t>Product Owner, Submitted Policies; Business Project Services (traceability)</t>
        </is>
      </c>
      <c r="I7" s="37" t="n">
        <v>46356</v>
      </c>
      <c r="J7" s="12" t="inlineStr">
        <is>
          <t>High</t>
        </is>
      </c>
      <c r="K7" s="38" t="inlineStr">
        <is>
          <t>Open</t>
        </is>
      </c>
      <c r="L7" s="12" t="n"/>
      <c r="M7" s="12" t="n"/>
    </row>
    <row r="8">
      <c r="A8" s="12" t="inlineStr">
        <is>
          <t>CLR-SP-03</t>
        </is>
      </c>
      <c r="B8" s="12" t="inlineStr">
        <is>
          <t>BRD-12 Submitted Policies</t>
        </is>
      </c>
      <c r="C8" s="12" t="inlineStr">
        <is>
          <t>Business rule confirmation</t>
        </is>
      </c>
      <c r="D8" s="12" t="inlineStr">
        <is>
          <t>Document extraction: Confirm that Release 1 runs without extraction, and the OCR need for Release 2 (SP-SQ03).</t>
        </is>
      </c>
      <c r="E8" s="12" t="inlineStr">
        <is>
          <t>BRIDSP-04 is marked Must Have (Release 2); OCR is open (SP-SQ03).</t>
        </is>
      </c>
      <c r="F8" s="12" t="inlineStr">
        <is>
          <t>Extraction from uploaded documents is delivered in Release 2, as the BRD now marks it. In Release 1 a policy document is attached and its details are keyed in (FR-SP-001, 003). In Release 2 text PDFs are read automatically and a scanned document without text is keyed in.</t>
        </is>
      </c>
      <c r="G8" s="12" t="inlineStr">
        <is>
          <t>FRS BRD-12 v1.1, Proposed business rules and clarifications; BRIDSP-04; FR-SP-002; also raised as SP-SQ03 (open question)</t>
        </is>
      </c>
      <c r="H8" s="12" t="inlineStr">
        <is>
          <t>Product Owner, Submitted Policies</t>
        </is>
      </c>
      <c r="I8" s="37" t="n">
        <v>46356</v>
      </c>
      <c r="J8" s="12" t="inlineStr">
        <is>
          <t>Medium</t>
        </is>
      </c>
      <c r="K8" s="38" t="inlineStr">
        <is>
          <t>Open</t>
        </is>
      </c>
      <c r="L8" s="12" t="n"/>
      <c r="M8" s="12" t="n"/>
    </row>
    <row r="9">
      <c r="A9" s="12" t="inlineStr">
        <is>
          <t>CLR-SP-04</t>
        </is>
      </c>
      <c r="B9" s="12" t="inlineStr">
        <is>
          <t>BRD-12 Submitted Policies</t>
        </is>
      </c>
      <c r="C9" s="12" t="inlineStr">
        <is>
          <t>Business rule confirmation</t>
        </is>
      </c>
      <c r="D9" s="12" t="inlineStr">
        <is>
          <t>IAAF signature: Confirm the signature method (SP-SQ07).</t>
        </is>
      </c>
      <c r="E9" s="12" t="inlineStr">
        <is>
          <t>The signature method is open (SP-SQ07).</t>
        </is>
      </c>
      <c r="F9" s="12" t="inlineStr">
        <is>
          <t>The IAAF carries a stamped signature until a qualified e-signature is connected.</t>
        </is>
      </c>
      <c r="G9" s="12" t="inlineStr">
        <is>
          <t>FRS BRD-12 v1.1, Proposed business rules and clarifications; FR-SP-041; also raised as SP-SQ07 (open question), DCR-125 (register item)</t>
        </is>
      </c>
      <c r="H9" s="12" t="inlineStr">
        <is>
          <t>CBG and Non-CBG Marketing - Submitted Policies</t>
        </is>
      </c>
      <c r="I9" s="37" t="n">
        <v>46356</v>
      </c>
      <c r="J9" s="12" t="inlineStr">
        <is>
          <t>Medium</t>
        </is>
      </c>
      <c r="K9" s="38" t="inlineStr">
        <is>
          <t>Open</t>
        </is>
      </c>
      <c r="L9" s="12" t="n"/>
      <c r="M9" s="12" t="n"/>
    </row>
    <row r="10">
      <c r="A10" s="12" t="inlineStr">
        <is>
          <t>CLR-SP-05</t>
        </is>
      </c>
      <c r="B10" s="12" t="inlineStr">
        <is>
          <t>BRD-12 Submitted Policies</t>
        </is>
      </c>
      <c r="C10" s="12" t="inlineStr">
        <is>
          <t>Master data</t>
        </is>
      </c>
      <c r="D10" s="12" t="inlineStr">
        <is>
          <t>Insurer assignment: Give the insurer rules (SP-SQ11).</t>
        </is>
      </c>
      <c r="E10" s="12" t="inlineStr">
        <is>
          <t>The insurer rules are open (SP-SQ11).</t>
        </is>
      </c>
      <c r="F10" s="12" t="inlineStr">
        <is>
          <t>The insurer is assigned by rules by segment, vehicle type or occupancy; for CBG Fire the expiring insurer is excluded.</t>
        </is>
      </c>
      <c r="G10" s="12" t="inlineStr">
        <is>
          <t>FRS BRD-12 v1.1, Proposed business rules and clarifications; FR-SP-060; also raised as SP-SQ11 (open question)</t>
        </is>
      </c>
      <c r="H10" s="12" t="inlineStr">
        <is>
          <t>Product Owner, Submitted Policies</t>
        </is>
      </c>
      <c r="I10" s="37" t="n">
        <v>46356</v>
      </c>
      <c r="J10" s="12" t="inlineStr">
        <is>
          <t>Medium</t>
        </is>
      </c>
      <c r="K10" s="38" t="inlineStr">
        <is>
          <t>Open</t>
        </is>
      </c>
      <c r="L10" s="12" t="n"/>
      <c r="M10" s="12" t="n"/>
    </row>
    <row r="11">
      <c r="A11" s="12" t="inlineStr">
        <is>
          <t>CLR-SP-06</t>
        </is>
      </c>
      <c r="B11" s="12" t="inlineStr">
        <is>
          <t>BRD-12 Submitted Policies</t>
        </is>
      </c>
      <c r="C11" s="12" t="inlineStr">
        <is>
          <t>Configuration value</t>
        </is>
      </c>
      <c r="D11" s="12" t="inlineStr">
        <is>
          <t>Hand-off lead days: Confirm the lead days.</t>
        </is>
      </c>
      <c r="E11" s="12" t="inlineStr">
        <is>
          <t>The lead days per segment are to be confirmed.</t>
        </is>
      </c>
      <c r="F11" s="12" t="inlineStr">
        <is>
          <t>Records are handed over 150 days before expiry for CBG Fire and 120 days for CBG Motor (defaults).</t>
        </is>
      </c>
      <c r="G11" s="12" t="inlineStr">
        <is>
          <t>FRS BRD-12 v1.1, Proposed business rules and clarifications; FR-SP-060</t>
        </is>
      </c>
      <c r="H11" s="12" t="inlineStr">
        <is>
          <t>Product Owner, Submitted Policies</t>
        </is>
      </c>
      <c r="I11" s="37" t="n">
        <v>46356</v>
      </c>
      <c r="J11" s="12" t="inlineStr">
        <is>
          <t>Medium</t>
        </is>
      </c>
      <c r="K11" s="38" t="inlineStr">
        <is>
          <t>Open</t>
        </is>
      </c>
      <c r="L11" s="12" t="n"/>
      <c r="M11" s="12" t="n"/>
    </row>
    <row r="12">
      <c r="A12" s="12" t="inlineStr">
        <is>
          <t>CLR-SP-07</t>
        </is>
      </c>
      <c r="B12" s="12" t="inlineStr">
        <is>
          <t>BRD-12 Submitted Policies</t>
        </is>
      </c>
      <c r="C12" s="12" t="inlineStr">
        <is>
          <t>Clarification</t>
        </is>
      </c>
      <c r="D12" s="12" t="inlineStr">
        <is>
          <t>Mail house: Give the COG format (SP-SQ09).</t>
        </is>
      </c>
      <c r="E12" s="12" t="inlineStr">
        <is>
          <t>The COG format and transfer are open (SP-SQ09, XQ03).</t>
        </is>
      </c>
      <c r="F12" s="12" t="inlineStr">
        <is>
          <t>Print letters are produced as a merged PDF batch with a control list for COG.</t>
        </is>
      </c>
      <c r="G12" s="12" t="inlineStr">
        <is>
          <t>FRS BRD-12 v1.1, Proposed business rules and clarifications; BRIDSP-26; FR-SP-062; also raised as SP-SQ09 (open question), XQ03 (open question)</t>
        </is>
      </c>
      <c r="H12" s="12" t="inlineStr">
        <is>
          <t>Product Owner, Submitted Policies</t>
        </is>
      </c>
      <c r="I12" s="37" t="n">
        <v>46356</v>
      </c>
      <c r="J12" s="12" t="inlineStr">
        <is>
          <t>Medium</t>
        </is>
      </c>
      <c r="K12" s="38" t="inlineStr">
        <is>
          <t>Open</t>
        </is>
      </c>
      <c r="L12" s="12" t="n"/>
      <c r="M12" s="12" t="n"/>
    </row>
    <row r="13">
      <c r="A13" s="12" t="inlineStr">
        <is>
          <t>CLR-SP-08</t>
        </is>
      </c>
      <c r="B13" s="12" t="inlineStr">
        <is>
          <t>BRD-12 Submitted Policies</t>
        </is>
      </c>
      <c r="C13" s="12" t="inlineStr">
        <is>
          <t>Report layout</t>
        </is>
      </c>
      <c r="D13" s="12" t="inlineStr">
        <is>
          <t>Report layouts: Confirm the columns of the two new reports.</t>
        </is>
      </c>
      <c r="E13" s="12" t="inlineStr">
        <is>
          <t>The Report List now defines the Submitted Policies reports (SP-SQ25 answered).</t>
        </is>
      </c>
      <c r="F13" s="12" t="inlineStr">
        <is>
          <t>The report columns and file names are those of the Report List of 13-May-2026 (section 6.2). The two reports that the list does not define (SBM-EXPIRING-UNINSURED, SBM-PROPOSALS) carry the proposed columns of section 6.1.</t>
        </is>
      </c>
      <c r="G13" s="12" t="inlineStr">
        <is>
          <t>FRS BRD-12 v1.1, Proposed business rules and clarifications; FR-SP-080; also raised as SP-SQ25 (open question)</t>
        </is>
      </c>
      <c r="H13" s="12" t="inlineStr">
        <is>
          <t>Product Owner, Submitted Policies</t>
        </is>
      </c>
      <c r="I13" s="37" t="n">
        <v>46356</v>
      </c>
      <c r="J13" s="12" t="inlineStr">
        <is>
          <t>Medium</t>
        </is>
      </c>
      <c r="K13" s="38" t="inlineStr">
        <is>
          <t>Answered</t>
        </is>
      </c>
      <c r="L13" s="12" t="n"/>
      <c r="M13" s="12" t="inlineStr">
        <is>
          <t>Answer so far: Report List of 13-May-2026.</t>
        </is>
      </c>
    </row>
    <row r="14">
      <c r="A14" s="12" t="inlineStr">
        <is>
          <t>CLR-SP-09</t>
        </is>
      </c>
      <c r="B14" s="12" t="inlineStr">
        <is>
          <t>BRD-12 Submitted Policies</t>
        </is>
      </c>
      <c r="C14" s="12" t="inlineStr">
        <is>
          <t>Business rule confirmation</t>
        </is>
      </c>
      <c r="D14" s="12" t="inlineStr">
        <is>
          <t>ISYS reference and ARF: Confirm the ARN (SP-SQ20).</t>
        </is>
      </c>
      <c r="E14" s="12" t="inlineStr">
        <is>
          <t>BIBS replaces ISYS (SP-SQ20).</t>
        </is>
      </c>
      <c r="F14" s="12" t="inlineStr">
        <is>
          <t>The BIBS ARN replaces the ISYS reference and the ARF.</t>
        </is>
      </c>
      <c r="G14" s="12" t="inlineStr">
        <is>
          <t>FRS BRD-12 v1.1, Proposed business rules and clarifications; section 7; also raised as SP-SQ20 (open question)</t>
        </is>
      </c>
      <c r="H14" s="12" t="inlineStr">
        <is>
          <t>Product Owner, Submitted Policies</t>
        </is>
      </c>
      <c r="I14" s="37" t="n">
        <v>46356</v>
      </c>
      <c r="J14" s="12" t="inlineStr">
        <is>
          <t>Medium</t>
        </is>
      </c>
      <c r="K14" s="38" t="inlineStr">
        <is>
          <t>Open</t>
        </is>
      </c>
      <c r="L14" s="12" t="n"/>
      <c r="M14" s="12" t="n"/>
    </row>
    <row r="15">
      <c r="A15" s="12" t="inlineStr">
        <is>
          <t>CLR-SP-10</t>
        </is>
      </c>
      <c r="B15" s="12" t="inlineStr">
        <is>
          <t>BRD-12 Submitted Policies</t>
        </is>
      </c>
      <c r="C15" s="12" t="inlineStr">
        <is>
          <t>Business rule confirmation</t>
        </is>
      </c>
      <c r="D15" s="12" t="inlineStr">
        <is>
          <t>Response time and retention: Confirm the response time and retention (SP-SQ21, SP-SQ22).</t>
        </is>
      </c>
      <c r="E15" s="12" t="inlineStr">
        <is>
          <t>The BRD gives 2 seconds and 5 + 5 years, which differ from BRD-1 and Operations (SP-SQ21, SP-SQ22).</t>
        </is>
      </c>
      <c r="F15" s="12" t="inlineStr">
        <is>
          <t>The BIBS-wide targets apply to Submitted Policies.</t>
        </is>
      </c>
      <c r="G15" s="12" t="inlineStr">
        <is>
          <t>FRS BRD-12 v1.1, Proposed business rules and clarifications; section 8; also raised as SP-SQ21 (open question), SP-SQ22 (open question), DCR-127 (register item)</t>
        </is>
      </c>
      <c r="H15" s="12" t="inlineStr">
        <is>
          <t>CBG and Non-CBG Marketing - Submitted Policies</t>
        </is>
      </c>
      <c r="I15" s="37" t="n">
        <v>46356</v>
      </c>
      <c r="J15" s="12" t="inlineStr">
        <is>
          <t>Medium</t>
        </is>
      </c>
      <c r="K15" s="38" t="inlineStr">
        <is>
          <t>Open</t>
        </is>
      </c>
      <c r="L15" s="12" t="n"/>
      <c r="M15" s="12" t="n"/>
    </row>
    <row r="16">
      <c r="A16" s="12" t="inlineStr">
        <is>
          <t>CLR-SP-11</t>
        </is>
      </c>
      <c r="B16" s="12" t="inlineStr">
        <is>
          <t>BRD-12 Submitted Policies</t>
        </is>
      </c>
      <c r="C16" s="12" t="inlineStr">
        <is>
          <t>Business rule confirmation</t>
        </is>
      </c>
      <c r="D16" s="12" t="inlineStr">
        <is>
          <t>Baseline of this FRS: Confirm in writing that this issue is the approved baseline and add a revision-log entry for the changes.</t>
        </is>
      </c>
      <c r="E16" s="12" t="inlineStr">
        <is>
          <t>The revision log of that issue still ends at v1.3 of 20-Apr-2026, the same version as the earlier e-signed copy, although the requirements were rewritten and renumbered.</t>
        </is>
      </c>
      <c r="F16" s="12" t="inlineStr">
        <is>
          <t>This FRS follows the issue received on 08-Oct-2026 (BRIDSP-01 to 36), signed by all approvers between 22-Apr and 12-May-2026.</t>
        </is>
      </c>
      <c r="G16" s="12" t="inlineStr">
        <is>
          <t>FRS BRD-12 v1.1, Proposed business rules and clarifications; R1; SP-SQ26; also raised as SP-SQ26 (open question)</t>
        </is>
      </c>
      <c r="H16" s="12" t="inlineStr">
        <is>
          <t>Product Owner, Submitted Policies</t>
        </is>
      </c>
      <c r="I16" s="37" t="n">
        <v>46356</v>
      </c>
      <c r="J16" s="12" t="inlineStr">
        <is>
          <t>Medium</t>
        </is>
      </c>
      <c r="K16" s="38" t="inlineStr">
        <is>
          <t>Open</t>
        </is>
      </c>
      <c r="L16" s="12" t="n"/>
      <c r="M16" s="12" t="n"/>
    </row>
    <row r="17">
      <c r="A17" s="12" t="inlineStr">
        <is>
          <t>CLR-SP-12</t>
        </is>
      </c>
      <c r="B17" s="12" t="inlineStr">
        <is>
          <t>BRD-12 Submitted Policies</t>
        </is>
      </c>
      <c r="C17" s="12" t="inlineStr">
        <is>
          <t>Configuration value</t>
        </is>
      </c>
      <c r="D17" s="12" t="inlineStr">
        <is>
          <t>Loan files beyond LAMD: Define LMS and LAD, their layouts, frequency and delivery, and confirm the matching keys and the precedence.</t>
        </is>
      </c>
      <c r="E17" s="12" t="inlineStr">
        <is>
          <t>The BRD now names LMS and LAD next to LAMD without defining them or their precedence.</t>
        </is>
      </c>
      <c r="F17" s="12" t="inlineStr">
        <is>
          <t>LAMD, LMS and LAD are loan reports of one list, each with its layout. Loan records are matched by PN number, then loan application number. When two reports hold the same loan, LAMD is used first, then LMS, then LAD. Unmatched loan records are listed for review.</t>
        </is>
      </c>
      <c r="G17" s="12" t="inlineStr">
        <is>
          <t>FRS BRD-12 v1.1, Proposed business rules and clarifications; BRIDSP-02, 14, 15, 17; FR-SP-030 to 035; SP-SQ27; also raised as SP-SQ27 (open question)</t>
        </is>
      </c>
      <c r="H17" s="12" t="inlineStr">
        <is>
          <t>Product Owner, Submitted Policies</t>
        </is>
      </c>
      <c r="I17" s="37" t="n">
        <v>46356</v>
      </c>
      <c r="J17" s="12" t="inlineStr">
        <is>
          <t>Medium</t>
        </is>
      </c>
      <c r="K17" s="38" t="inlineStr">
        <is>
          <t>Open</t>
        </is>
      </c>
      <c r="L17" s="12" t="n"/>
      <c r="M17" s="12" t="n"/>
    </row>
    <row r="18">
      <c r="A18" s="12" t="inlineStr">
        <is>
          <t>CLR-SP-13</t>
        </is>
      </c>
      <c r="B18" s="12" t="inlineStr">
        <is>
          <t>BRD-12 Submitted Policies</t>
        </is>
      </c>
      <c r="C18" s="12" t="inlineStr">
        <is>
          <t>Report layout</t>
        </is>
      </c>
      <c r="D18" s="12" t="inlineStr">
        <is>
          <t>Monthly expiring and uninsured-loan report: Confirm the source, the rule and the columns.</t>
        </is>
      </c>
      <c r="E18" s="12" t="inlineStr">
        <is>
          <t>The BRD does not say which loan file is the source of the active loans or what counts as an active policy.</t>
        </is>
      </c>
      <c r="F18" s="12" t="inlineStr">
        <is>
          <t>Part 1 lists the accounts whose policy expires in the month; part 2 lists the loans that are Active in the latest loan file of the month and have no policy covering the last day of the month.</t>
        </is>
      </c>
      <c r="G18" s="12" t="inlineStr">
        <is>
          <t>FRS BRD-12 v1.1, Proposed business rules and clarifications; BRIDSP-03; FR-SP-083; SP-SQ28; also raised as SP-SQ28 (open question)</t>
        </is>
      </c>
      <c r="H18" s="12" t="inlineStr">
        <is>
          <t>Product Owner, Submitted Policies</t>
        </is>
      </c>
      <c r="I18" s="37" t="n">
        <v>46356</v>
      </c>
      <c r="J18" s="12" t="inlineStr">
        <is>
          <t>Medium</t>
        </is>
      </c>
      <c r="K18" s="38" t="inlineStr">
        <is>
          <t>Open</t>
        </is>
      </c>
      <c r="L18" s="12" t="n"/>
      <c r="M18" s="12" t="n"/>
    </row>
    <row r="19">
      <c r="A19" s="12" t="inlineStr">
        <is>
          <t>CLR-SP-14</t>
        </is>
      </c>
      <c r="B19" s="12" t="inlineStr">
        <is>
          <t>BRD-12 Submitted Policies</t>
        </is>
      </c>
      <c r="C19" s="12" t="inlineStr">
        <is>
          <t>Business rule confirmation</t>
        </is>
      </c>
      <c r="D19" s="12" t="inlineStr">
        <is>
          <t>Manual renewal tag: Confirm the segments.</t>
        </is>
      </c>
      <c r="E19" s="12" t="inlineStr">
        <is>
          <t>The BRD limits the tag to "a defined segment (i.e. NON CBG Corporate)".</t>
        </is>
      </c>
      <c r="F19" s="12" t="inlineStr">
        <is>
          <t>The manual Renewable / Non-Renewable tag is offered for Non-CBG Corporate records only; the list of segments is a parameter.</t>
        </is>
      </c>
      <c r="G19" s="12" t="inlineStr">
        <is>
          <t>FRS BRD-12 v1.1, Proposed business rules and clarifications; BRIDSP-05; FR-SP-003; SP-SQ31; also raised as SP-SQ31 (open question)</t>
        </is>
      </c>
      <c r="H19" s="12" t="inlineStr">
        <is>
          <t>Product Owner, Submitted Policies</t>
        </is>
      </c>
      <c r="I19" s="37" t="n">
        <v>46356</v>
      </c>
      <c r="J19" s="12" t="inlineStr">
        <is>
          <t>Medium</t>
        </is>
      </c>
      <c r="K19" s="38" t="inlineStr">
        <is>
          <t>Open</t>
        </is>
      </c>
      <c r="L19" s="12" t="n"/>
      <c r="M19" s="12" t="n"/>
    </row>
    <row r="20">
      <c r="A20" s="12" t="inlineStr">
        <is>
          <t>CLR-SP-15</t>
        </is>
      </c>
      <c r="B20" s="12" t="inlineStr">
        <is>
          <t>BRD-12 Submitted Policies</t>
        </is>
      </c>
      <c r="C20" s="12" t="inlineStr">
        <is>
          <t>Configuration value</t>
        </is>
      </c>
      <c r="D20" s="12" t="inlineStr">
        <is>
          <t>Proposals with nominated rates and preferred insurer: Confirm that proposals are prepared in Submitted Policies, provide the nominated rate table and the vehicle classifications, and confirm the allowed range of an edited rate.</t>
        </is>
      </c>
      <c r="E20" s="12" t="inlineStr">
        <is>
          <t>The new requirements place proposal creation with the Marketing user of Submitted Policies, while decision D2 gave the renewal of submitted policies to the Renewal module (FRS BRD-6 has no nominated rates).</t>
        </is>
      </c>
      <c r="F20" s="12" t="inlineStr">
        <is>
          <t>Proposals are created in Submitted Policies from the Renewal Work List, one by one or in batches, with the nominated package rates of a maintained table (package, vehicle classification, insurer) that the user may edit with a reason, and with a preferred accredited insurer; the Team Lead releases them and the hand-off passes them to the Renewal module, which keeps the renewal account, hold cover and letters (decision D2).</t>
        </is>
      </c>
      <c r="G20" s="12" t="inlineStr">
        <is>
          <t>FRS BRD-12 v1.1, Proposed business rules and clarifications; BRIDSP-18, 19; FR-SP-066, 067; SP-SQ29; also raised as SP-SQ29 (open question)</t>
        </is>
      </c>
      <c r="H20" s="12" t="inlineStr">
        <is>
          <t>Product Owner, Submitted Policies</t>
        </is>
      </c>
      <c r="I20" s="37" t="n">
        <v>46356</v>
      </c>
      <c r="J20" s="12" t="inlineStr">
        <is>
          <t>Medium</t>
        </is>
      </c>
      <c r="K20" s="38" t="inlineStr">
        <is>
          <t>Open</t>
        </is>
      </c>
      <c r="L20" s="12" t="n"/>
      <c r="M20" s="12" t="n"/>
    </row>
    <row r="21">
      <c r="A21" s="12" t="inlineStr">
        <is>
          <t>CLR-SP-16</t>
        </is>
      </c>
      <c r="B21" s="12" t="inlineStr">
        <is>
          <t>BRD-12 Submitted Policies</t>
        </is>
      </c>
      <c r="C21" s="12" t="inlineStr">
        <is>
          <t>Business rule confirmation</t>
        </is>
      </c>
      <c r="D21" s="12" t="inlineStr">
        <is>
          <t>IAAF number: Confirm the format and the source of the region code.</t>
        </is>
      </c>
      <c r="E21" s="12" t="inlineStr">
        <is>
          <t>The BRD gives a sample format without the source of the region code.</t>
        </is>
      </c>
      <c r="F21" s="12" t="inlineStr">
        <is>
          <t>The IAAF reference is Region Code-Year-Counter, with the region of the referring branch of the record and a counter per region and year.</t>
        </is>
      </c>
      <c r="G21" s="12" t="inlineStr">
        <is>
          <t>FRS BRD-12 v1.1, Proposed business rules and clarifications; BRIDSP-07; FR-SP-040; SP-SQ30; also raised as SP-SQ30 (open question)</t>
        </is>
      </c>
      <c r="H21" s="12" t="inlineStr">
        <is>
          <t>Product Owner, Submitted Policies</t>
        </is>
      </c>
      <c r="I21" s="37" t="n">
        <v>46356</v>
      </c>
      <c r="J21" s="12" t="inlineStr">
        <is>
          <t>Medium</t>
        </is>
      </c>
      <c r="K21" s="38" t="inlineStr">
        <is>
          <t>Open</t>
        </is>
      </c>
      <c r="L21" s="12" t="n"/>
      <c r="M21" s="12" t="n"/>
    </row>
    <row r="22">
      <c r="A22" s="12" t="inlineStr">
        <is>
          <t>CLR-SP-17</t>
        </is>
      </c>
      <c r="B22" s="12" t="inlineStr">
        <is>
          <t>BRD-12 Submitted Policies</t>
        </is>
      </c>
      <c r="C22" s="12" t="inlineStr">
        <is>
          <t>Report layout</t>
        </is>
      </c>
      <c r="D22" s="12" t="inlineStr">
        <is>
          <t>Reports changed in the Report List of 13-May-2026: Confirm (a) to (e).</t>
        </is>
      </c>
      <c r="E22" s="12" t="inlineStr">
        <is>
          <t>The Report List removed two reports and changed the scope of three.</t>
        </is>
      </c>
      <c r="F22" s="12" t="inlineStr">
        <is>
          <t>(a) The Document Processing Fallout report is not in the list: extraction failures join SBM-PROCESS-FALLOUT in Release 2. (b) The Renewable Accounts / Policies report is not in the list: it is replaced by the Renewal Status Report of SBM-CONVERSION. (c) The Renewal Persistency Report is marked Non-CBG Retail: it stays in this catalogue with the listed columns until BDOI names its owner (Submitted Policies or Renewal). (d) The Handling Fee Payment Classification report lists the CLPC payments per account; OTC payments stay tagged by BRIDSP-34. (e) The Sanitation Report becomes the invoice-level list; the earlier count summary is kept as an optional sheet only if BDOI confirms it.</t>
        </is>
      </c>
      <c r="G22" s="12" t="inlineStr">
        <is>
          <t>FRS BRD-12 v1.1, Proposed business rules and clarifications; section 6.1; SP-SQ32; also raised as SP-SQ32 (open question)</t>
        </is>
      </c>
      <c r="H22" s="12" t="inlineStr">
        <is>
          <t>Product Owner, Submitted Policies</t>
        </is>
      </c>
      <c r="I22" s="37" t="n">
        <v>46356</v>
      </c>
      <c r="J22" s="12" t="inlineStr">
        <is>
          <t>Medium</t>
        </is>
      </c>
      <c r="K22" s="38" t="inlineStr">
        <is>
          <t>Open</t>
        </is>
      </c>
      <c r="L22" s="12" t="n"/>
      <c r="M22" s="12" t="n"/>
    </row>
    <row r="23">
      <c r="A23" s="12" t="inlineStr">
        <is>
          <t>CLR-SP-18</t>
        </is>
      </c>
      <c r="B23" s="12" t="inlineStr">
        <is>
          <t>BRD-12 Submitted Policies</t>
        </is>
      </c>
      <c r="C23" s="12" t="inlineStr">
        <is>
          <t>Clarification</t>
        </is>
      </c>
      <c r="D23" s="12" t="inlineStr">
        <is>
          <t>Notification recipients: Provide the first recipient list per event type.</t>
        </is>
      </c>
      <c r="E23" s="12" t="inlineStr">
        <is>
          <t>The BRD now asks for definable recipients.</t>
        </is>
      </c>
      <c r="F23" s="12" t="inlineStr">
        <is>
          <t>The recipients of each event type are defined on a set-up screen (roles, named users, assigned handler or AO, outside addresses, per segment). The exception and fallout notification, "nice to have" in the BRD, is delivered and can be switched off.</t>
        </is>
      </c>
      <c r="G23" s="12" t="inlineStr">
        <is>
          <t>FRS BRD-12 v1.1, Proposed business rules and clarifications; BRIDSP-28; FR-SP-082</t>
        </is>
      </c>
      <c r="H23" s="12" t="inlineStr">
        <is>
          <t>Product Owner, Submitted Policies</t>
        </is>
      </c>
      <c r="I23" s="37" t="n">
        <v>46356</v>
      </c>
      <c r="J23" s="12" t="inlineStr">
        <is>
          <t>Medium</t>
        </is>
      </c>
      <c r="K23" s="38" t="inlineStr">
        <is>
          <t>Open</t>
        </is>
      </c>
      <c r="L23" s="12" t="n"/>
      <c r="M23" s="12" t="n"/>
    </row>
    <row r="24">
      <c r="A24" s="12" t="inlineStr">
        <is>
          <t>SP-SQ05</t>
        </is>
      </c>
      <c r="B24" s="12" t="inlineStr">
        <is>
          <t>BRD-12 Submitted Policies</t>
        </is>
      </c>
      <c r="C24" s="12" t="inlineStr">
        <is>
          <t>Report layout</t>
        </is>
      </c>
      <c r="D24" s="12" t="inlineStr">
        <is>
          <t>Buckets: Complete bucket list, precedence and meaning: RMU is a renewal bucket in the Sanitation report and a non-renewal bucket in BRIDSP-14; FFY likewise; Fully Paid is both an inforced renewal bucket (BRIDSP-15) and "not for renewal" (RL #156); CARI, Bonds, BDOFC, OPM, Sold definitions</t>
        </is>
      </c>
      <c r="E24" s="12" t="inlineStr">
        <is>
          <t>Open point of the FRS (FR-SP-031, 033, 034): the requirement cannot be finalised or tested as BDOI intends until it is answered.</t>
        </is>
      </c>
      <c r="F24" s="12" t="n"/>
      <c r="G24" s="12" t="inlineStr">
        <is>
          <t>FRS BRD-12 v1.1, Open questions SP-SQ05 (affects FR-SP-031, 033, 034); Discrepancy and clarification register v1.2, open question SP-SQ05; baseline BRIDSP-12/14/15, RL #156</t>
        </is>
      </c>
      <c r="H24" s="12" t="inlineStr">
        <is>
          <t>Product Owner, Submitted Policies</t>
        </is>
      </c>
      <c r="I24" s="37" t="n">
        <v>46356</v>
      </c>
      <c r="J24" s="12" t="inlineStr">
        <is>
          <t>Medium</t>
        </is>
      </c>
      <c r="K24" s="38" t="inlineStr">
        <is>
          <t>Open</t>
        </is>
      </c>
      <c r="L24" s="12" t="n"/>
      <c r="M24" s="12" t="n"/>
    </row>
    <row r="25">
      <c r="A25" s="12" t="inlineStr">
        <is>
          <t>SP-SQ08</t>
        </is>
      </c>
      <c r="B25" s="12" t="inlineStr">
        <is>
          <t>BRD-12 Submitted Policies</t>
        </is>
      </c>
      <c r="C25" s="12" t="inlineStr">
        <is>
          <t>Sample document or template</t>
        </is>
      </c>
      <c r="D25" s="12" t="inlineStr">
        <is>
          <t>TOR: TSU approval matrix; acceptance and coverage limits per insurer / product and who maintains them (Product Maintenance?); TOR template; meaning of Released</t>
        </is>
      </c>
      <c r="E25" s="12" t="inlineStr">
        <is>
          <t>Open point of the FRS (FR-SP-050 to 053): the requirement cannot be finalised or tested as BDOI intends until it is answered.</t>
        </is>
      </c>
      <c r="F25" s="12" t="n"/>
      <c r="G25" s="12" t="inlineStr">
        <is>
          <t>FRS BRD-12 v1.1, Open questions SP-SQ08 (affects FR-SP-050 to 053); Discrepancy and clarification register v1.2, open question SP-SQ08; baseline BRIDSP-16-19</t>
        </is>
      </c>
      <c r="H25" s="12" t="inlineStr">
        <is>
          <t>Product Owner, Submitted Policies</t>
        </is>
      </c>
      <c r="I25" s="37" t="n">
        <v>46356</v>
      </c>
      <c r="J25" s="12" t="inlineStr">
        <is>
          <t>Medium</t>
        </is>
      </c>
      <c r="K25" s="38" t="inlineStr">
        <is>
          <t>Open</t>
        </is>
      </c>
      <c r="L25" s="12" t="n"/>
      <c r="M25" s="12" t="n"/>
    </row>
    <row r="26">
      <c r="A26" s="12" t="inlineStr">
        <is>
          <t>SP-SQ13</t>
        </is>
      </c>
      <c r="B26" s="12" t="inlineStr">
        <is>
          <t>BRD-12 Submitted Policies</t>
        </is>
      </c>
      <c r="C26" s="12" t="inlineStr">
        <is>
          <t>Configuration value</t>
        </is>
      </c>
      <c r="D26" s="12" t="inlineStr">
        <is>
          <t>Handling fee: What the handling fee is, who pays it, amount or rate, VAT and OR, GL account, how the Handling Fee record is created (billing list), CBG Motor only?</t>
        </is>
      </c>
      <c r="E26" s="12" t="inlineStr">
        <is>
          <t>Open point of the FRS (FR-SP-070): the requirement cannot be finalised or tested as BDOI intends until it is answered.</t>
        </is>
      </c>
      <c r="F26" s="12" t="inlineStr">
        <is>
          <t>Tagging per BRIDSP-31; disposition in the Collections unapplied view.</t>
        </is>
      </c>
      <c r="G26" s="12" t="inlineStr">
        <is>
          <t>FRS BRD-12 v1.1, Open questions SP-SQ13 (affects FR-SP-070); Discrepancy and clarification register v1.2, open question SP-SQ13; baseline BRIDSP-31; also raised as DCR-126 (register item)</t>
        </is>
      </c>
      <c r="H26" s="12" t="inlineStr">
        <is>
          <t>CBG and Non-CBG Marketing - Submitted Policies</t>
        </is>
      </c>
      <c r="I26" s="37" t="n">
        <v>46356</v>
      </c>
      <c r="J26" s="12" t="inlineStr">
        <is>
          <t>Medium</t>
        </is>
      </c>
      <c r="K26" s="38" t="inlineStr">
        <is>
          <t>Open</t>
        </is>
      </c>
      <c r="L26" s="12" t="n"/>
      <c r="M26" s="12" t="n"/>
    </row>
    <row r="27">
      <c r="A27" s="12" t="inlineStr">
        <is>
          <t>SP-SQ17</t>
        </is>
      </c>
      <c r="B27" s="12" t="inlineStr">
        <is>
          <t>BRD-12 Submitted Policies</t>
        </is>
      </c>
      <c r="C27" s="12" t="inlineStr">
        <is>
          <t>Report layout</t>
        </is>
      </c>
      <c r="D27" s="12" t="inlineStr">
        <is>
          <t>Tags: Meaning of "opportunity tag" and "conversion" in the policy review reports; who may override a rule-set tag</t>
        </is>
      </c>
      <c r="E27" s="12" t="inlineStr">
        <is>
          <t>Open point of the FRS (FR-SP-003): the requirement cannot be finalised or tested as BDOI intends until it is answered.</t>
        </is>
      </c>
      <c r="F27" s="12" t="n"/>
      <c r="G27" s="12" t="inlineStr">
        <is>
          <t>FRS BRD-12 v1.1, Open questions SP-SQ17 (affects FR-SP-003); Discrepancy and clarification register v1.2, open question SP-SQ17; baseline BRIDSP-03, RL #133/#134</t>
        </is>
      </c>
      <c r="H27" s="12" t="inlineStr">
        <is>
          <t>Product Owner, Submitted Policies</t>
        </is>
      </c>
      <c r="I27" s="37" t="n">
        <v>46356</v>
      </c>
      <c r="J27" s="12" t="inlineStr">
        <is>
          <t>Medium</t>
        </is>
      </c>
      <c r="K27" s="38" t="inlineStr">
        <is>
          <t>Open</t>
        </is>
      </c>
      <c r="L27" s="12" t="n"/>
      <c r="M27" s="12" t="n"/>
    </row>
    <row r="28">
      <c r="A28" s="12" t="inlineStr">
        <is>
          <t>SP-SQ19</t>
        </is>
      </c>
      <c r="B28" s="12" t="inlineStr">
        <is>
          <t>BRD-12 Submitted Policies</t>
        </is>
      </c>
      <c r="C28" s="12" t="inlineStr">
        <is>
          <t>Clarification</t>
        </is>
      </c>
      <c r="D28" s="12" t="inlineStr">
        <is>
          <t>Glossary: Expansions of IAAF (given), TOR, RA, NRNS, NAL, SFU, RMEL, RMU, OPM, BDOFC, CARI, FFYMI, SPI, CIU, LAMD, COG, UPP</t>
        </is>
      </c>
      <c r="E28" s="12" t="inlineStr">
        <is>
          <t>Open point of the FRS (Section 1.4): the requirement cannot be finalised or tested as BDOI intends until it is answered.</t>
        </is>
      </c>
      <c r="F28" s="12" t="n"/>
      <c r="G28" s="12" t="inlineStr">
        <is>
          <t>FRS BRD-12 v1.1, Open questions SP-SQ19 (affects Section 1.4); Discrepancy and clarification register v1.2, open question SP-SQ19; baseline whole BRD</t>
        </is>
      </c>
      <c r="H28" s="12" t="inlineStr">
        <is>
          <t>Product Owner, Submitted Policies</t>
        </is>
      </c>
      <c r="I28" s="37" t="n">
        <v>46356</v>
      </c>
      <c r="J28" s="12" t="inlineStr">
        <is>
          <t>Medium</t>
        </is>
      </c>
      <c r="K28" s="38" t="inlineStr">
        <is>
          <t>Open</t>
        </is>
      </c>
      <c r="L28" s="12" t="n"/>
      <c r="M28" s="12" t="n"/>
    </row>
    <row r="29">
      <c r="A29" s="12" t="inlineStr">
        <is>
          <t>SP-SQ23</t>
        </is>
      </c>
      <c r="B29" s="12" t="inlineStr">
        <is>
          <t>BRD-12 Submitted Policies</t>
        </is>
      </c>
      <c r="C29" s="12" t="inlineStr">
        <is>
          <t>Clarification</t>
        </is>
      </c>
      <c r="D29" s="12" t="inlineStr">
        <is>
          <t>Non-CBG Retail: Employee accounts: quotation by the MAO in BIBS quotation module; NRNS "to client (employee)" by e-mail</t>
        </is>
      </c>
      <c r="E29" s="12" t="inlineStr">
        <is>
          <t>Open point of the FRS (FR-SP-060): the requirement cannot be finalised or tested as BDOI intends until it is answered.</t>
        </is>
      </c>
      <c r="F29" s="12" t="n"/>
      <c r="G29" s="12" t="inlineStr">
        <is>
          <t>FRS BRD-12 v1.1, Open questions SP-SQ23 (affects FR-SP-060); Discrepancy and clarification register v1.2, open question SP-SQ23; baseline p.5</t>
        </is>
      </c>
      <c r="H29" s="12" t="inlineStr">
        <is>
          <t>Product Owner, Submitted Policies</t>
        </is>
      </c>
      <c r="I29" s="37" t="n">
        <v>46356</v>
      </c>
      <c r="J29" s="12" t="inlineStr">
        <is>
          <t>Medium</t>
        </is>
      </c>
      <c r="K29" s="38" t="inlineStr">
        <is>
          <t>Open</t>
        </is>
      </c>
      <c r="L29" s="12" t="n"/>
      <c r="M29" s="12" t="n"/>
    </row>
    <row r="30">
      <c r="A30" s="12" t="inlineStr">
        <is>
          <t>SP-SQ24</t>
        </is>
      </c>
      <c r="B30" s="12" t="inlineStr">
        <is>
          <t>BRD-12 Submitted Policies</t>
        </is>
      </c>
      <c r="C30" s="12" t="inlineStr">
        <is>
          <t>Configuration value</t>
        </is>
      </c>
      <c r="D30" s="12" t="inlineStr">
        <is>
          <t>Policy review ageing: Start and end events of the "aging from date of request from the bank to endorsement of BDOI"</t>
        </is>
      </c>
      <c r="E30" s="12" t="inlineStr">
        <is>
          <t>Open point of the FRS (Section 6.1): the requirement cannot be finalised or tested as BDOI intends until it is answered.</t>
        </is>
      </c>
      <c r="F30" s="12" t="n"/>
      <c r="G30" s="12" t="inlineStr">
        <is>
          <t>FRS BRD-12 v1.1, Open questions SP-SQ24 (affects Section 6.1); Discrepancy and clarification register v1.2, open question SP-SQ24; baseline RL #134</t>
        </is>
      </c>
      <c r="H30" s="12" t="inlineStr">
        <is>
          <t>Product Owner, Submitted Policies</t>
        </is>
      </c>
      <c r="I30" s="37" t="n">
        <v>46356</v>
      </c>
      <c r="J30" s="12" t="inlineStr">
        <is>
          <t>Medium</t>
        </is>
      </c>
      <c r="K30" s="38" t="inlineStr">
        <is>
          <t>Open</t>
        </is>
      </c>
      <c r="L30" s="12" t="n"/>
      <c r="M30" s="12" t="n"/>
    </row>
    <row r="31">
      <c r="A31" s="12" t="inlineStr">
        <is>
          <t>DCR-122</t>
        </is>
      </c>
      <c r="B31" s="12" t="inlineStr">
        <is>
          <t>BRD-12 Submitted Policies</t>
        </is>
      </c>
      <c r="C31" s="12" t="inlineStr">
        <is>
          <t>Report layout</t>
        </is>
      </c>
      <c r="D31" s="12" t="inlineStr">
        <is>
          <t>BRIDSP-20 and BRIDSP-30 have identical text, persona and criteria (reports on sanitation, disposition and account classification, with fallout report). Confirm BRIDSP-30 is a duplicate.</t>
        </is>
      </c>
      <c r="E31" s="12" t="inlineStr">
        <is>
          <t>BRIDSP-20 and BRIDSP-30 have identical text, persona and criteria (reports on sanitation, disposition and account classification, with fallout report). Test: duplicate rows.</t>
        </is>
      </c>
      <c r="F31" s="12" t="inlineStr">
        <is>
          <t>One set of reports; both rows point to the same reports.</t>
        </is>
      </c>
      <c r="G31" s="12" t="inlineStr">
        <is>
          <t>Discrepancy and clarification register v1.2, DCR-122 (Data / numbering issue); BRIDSP-20 (p.10); BRIDSP-30 (p.12)</t>
        </is>
      </c>
      <c r="H31" s="12" t="inlineStr">
        <is>
          <t>CBG and Non-CBG Marketing - Submitted Policies</t>
        </is>
      </c>
      <c r="I31" s="37" t="n">
        <v>46356</v>
      </c>
      <c r="J31" s="12" t="inlineStr">
        <is>
          <t>Low</t>
        </is>
      </c>
      <c r="K31" s="38" t="inlineStr">
        <is>
          <t>Open</t>
        </is>
      </c>
      <c r="L31" s="12" t="n"/>
      <c r="M31" s="12" t="n"/>
    </row>
    <row r="32">
      <c r="A32" s="12" t="inlineStr">
        <is>
          <t>DCR-123</t>
        </is>
      </c>
      <c r="B32" s="12" t="inlineStr">
        <is>
          <t>BRD-12 Submitted Policies</t>
        </is>
      </c>
      <c r="C32" s="12" t="inlineStr">
        <is>
          <t>Clarification</t>
        </is>
      </c>
      <c r="D32" s="12" t="inlineStr">
        <is>
          <t>No business goal box is ticked (p.2). BRIDSP-09 carries two blocks of criteria, the second titled "Acceptance Criteria". BRIDSP-27 (booking) is under key capability 2; key-capability numbers do not follow ID order. None; correct in the next revision.</t>
        </is>
      </c>
      <c r="E32" s="12" t="inlineStr">
        <is>
          <t>No business goal box is ticked (p.2). BRIDSP-09 carries two blocks of criteria, the second titled "Acceptance Criteria". BRIDSP-27 (booking) is under key capability 2; key-capability numbers do not follow ID order. None on the system.</t>
        </is>
      </c>
      <c r="F32" s="12" t="inlineStr">
        <is>
          <t>None.</t>
        </is>
      </c>
      <c r="G32" s="12" t="inlineStr">
        <is>
          <t>Discrepancy and clarification register v1.2, DCR-123 (Document quality); Business goals (p.2); BRIDSP-09 (p.9); BRIDSP-24-27 key capability column (p.11-12)</t>
        </is>
      </c>
      <c r="H32" s="12" t="inlineStr">
        <is>
          <t>CBG and Non-CBG Marketing - Submitted Policies</t>
        </is>
      </c>
      <c r="I32" s="37" t="n">
        <v>46356</v>
      </c>
      <c r="J32" s="12" t="inlineStr">
        <is>
          <t>Low</t>
        </is>
      </c>
      <c r="K32" s="38" t="inlineStr">
        <is>
          <t>Open</t>
        </is>
      </c>
      <c r="L32" s="12" t="n"/>
      <c r="M32" s="12" t="n"/>
    </row>
    <row r="33">
      <c r="A33" s="12" t="inlineStr">
        <is>
          <t>DCR-128</t>
        </is>
      </c>
      <c r="B33" s="12" t="inlineStr">
        <is>
          <t>BRD-12 Submitted Policies</t>
        </is>
      </c>
      <c r="C33" s="12" t="inlineStr">
        <is>
          <t>Business rule confirmation</t>
        </is>
      </c>
      <c r="D33" s="12" t="inlineStr">
        <is>
          <t>The file name says "with e-sig MCM 4.24.2026" while the revision log ends at v1.3 on 20-Apr-2026; one BU representative is annotated "medical leave 04/28/26". Confirm v1.3 is the signed version.</t>
        </is>
      </c>
      <c r="E33" s="12" t="inlineStr">
        <is>
          <t>The file name says "with e-sig MCM 4.24.2026" while the revision log ends at v1.3 on 20-Apr-2026; one BU representative is annotated "medical leave 04/28/26". Governance only.</t>
        </is>
      </c>
      <c r="F33" s="12" t="inlineStr">
        <is>
          <t>None.</t>
        </is>
      </c>
      <c r="G33" s="12" t="inlineStr">
        <is>
          <t>Discrepancy and clarification register v1.2, DCR-128 (Document quality); File name; revision log and approval (p.15-16)</t>
        </is>
      </c>
      <c r="H33" s="12" t="inlineStr">
        <is>
          <t>CBG and Non-CBG Marketing - Submitted Policies</t>
        </is>
      </c>
      <c r="I33" s="37" t="n">
        <v>46356</v>
      </c>
      <c r="J33" s="12" t="inlineStr">
        <is>
          <t>Low</t>
        </is>
      </c>
      <c r="K33" s="38" t="inlineStr">
        <is>
          <t>Open</t>
        </is>
      </c>
      <c r="L33" s="12" t="n"/>
      <c r="M33" s="12" t="n"/>
    </row>
    <row r="34">
      <c r="A34" s="12" t="inlineStr">
        <is>
          <t>SO-12-2</t>
        </is>
      </c>
      <c r="B34" s="12" t="inlineStr">
        <is>
          <t>BRD-12 Submitted Policies</t>
        </is>
      </c>
      <c r="C34" s="12" t="inlineStr">
        <is>
          <t>Sign-off</t>
        </is>
      </c>
      <c r="D34" s="12" t="inlineStr">
        <is>
          <t>Approve the test plan of BRD-12 Submitted Policies.</t>
        </is>
      </c>
      <c r="E34" s="12" t="inlineStr">
        <is>
          <t>The signed document fixes the scope for the next step of the plan; a late sign-off moves the dates that follow it.</t>
        </is>
      </c>
      <c r="F34" s="12" t="n"/>
      <c r="G34" s="12" t="inlineStr">
        <is>
          <t>Project plan v1.0 (8-Oct-2026), sign-offs and milestones</t>
        </is>
      </c>
      <c r="H34" s="12" t="inlineStr">
        <is>
          <t>Product Owner, Submitted Policies</t>
        </is>
      </c>
      <c r="I34" s="37" t="n">
        <v>46374</v>
      </c>
      <c r="J34" s="12" t="inlineStr">
        <is>
          <t>High</t>
        </is>
      </c>
      <c r="K34" s="38" t="inlineStr">
        <is>
          <t>Open</t>
        </is>
      </c>
      <c r="L34" s="12" t="n"/>
      <c r="M34" s="12" t="n"/>
    </row>
    <row r="35">
      <c r="A35" s="12" t="inlineStr">
        <is>
          <t>CLR-SP-02</t>
        </is>
      </c>
      <c r="B35" s="12" t="inlineStr">
        <is>
          <t>BRD-12 Submitted Policies</t>
        </is>
      </c>
      <c r="C35" s="12" t="inlineStr">
        <is>
          <t>Integration detail</t>
        </is>
      </c>
      <c r="D35" s="12" t="inlineStr">
        <is>
          <t>Source files: Give the source layouts and confirm that no direct feed is needed (SP-SQ01, SP-SQ02).</t>
        </is>
      </c>
      <c r="E35" s="12" t="inlineStr">
        <is>
          <t>BRIDSP-01 now asks for uploads (Excel, CSV, ODS, PDF); the layouts are still open (SP-SQ01, SP-SQ02).</t>
        </is>
      </c>
      <c r="F35" s="12" t="inlineStr">
        <is>
          <t>Each source (LFS, HLS, CIU, SPI, Loan Booking Report, IA masterlist) is uploaded with its own template as Excel, CSV or ODS; a PDF policy document is attached to its record. No direct feed is provided unless BDOI names one.</t>
        </is>
      </c>
      <c r="G35" s="12" t="inlineStr">
        <is>
          <t>FRS BRD-12 v1.1, Proposed business rules and clarifications; BRIDSP-01; FR-SP-001; also raised as SP-SQ01 (open question), SP-SQ02 (open question)</t>
        </is>
      </c>
      <c r="H35" s="12" t="inlineStr">
        <is>
          <t>BDOI IT with the Product Owner, Submitted Policies</t>
        </is>
      </c>
      <c r="I35" s="37" t="n">
        <v>46418</v>
      </c>
      <c r="J35" s="12" t="inlineStr">
        <is>
          <t>Medium</t>
        </is>
      </c>
      <c r="K35" s="38" t="inlineStr">
        <is>
          <t>Partly answered</t>
        </is>
      </c>
      <c r="L35" s="12" t="n"/>
      <c r="M35" s="12" t="inlineStr">
        <is>
          <t>Answer so far: BRIDSP-01: upload; layouts open.</t>
        </is>
      </c>
    </row>
    <row r="36">
      <c r="A36" s="12" t="inlineStr">
        <is>
          <t>SP-SQ18</t>
        </is>
      </c>
      <c r="B36" s="12" t="inlineStr">
        <is>
          <t>BRD-12 Submitted Policies</t>
        </is>
      </c>
      <c r="C36" s="12" t="inlineStr">
        <is>
          <t>Integration detail</t>
        </is>
      </c>
      <c r="D36" s="12" t="inlineStr">
        <is>
          <t>Penetration: Inputs (LFS Loan Booking Report detailed, IA masterlist), the channel rule (Branch, Dealer, Broker / Direct), the exemption box and the "Hold Cover with Gap" report</t>
        </is>
      </c>
      <c r="E36" s="12" t="inlineStr">
        <is>
          <t>Open point of the FRS (Section 6.1): the requirement cannot be finalised or tested as BDOI intends until it is answered.</t>
        </is>
      </c>
      <c r="F36" s="12" t="n"/>
      <c r="G36" s="12" t="inlineStr">
        <is>
          <t>FRS BRD-12 v1.1, Open questions SP-SQ18 (affects Section 6.1); Discrepancy and clarification register v1.2, open question SP-SQ18; baseline RL #138</t>
        </is>
      </c>
      <c r="H36" s="12" t="inlineStr">
        <is>
          <t>BDOI IT with the Product Owner, Submitted Policies</t>
        </is>
      </c>
      <c r="I36" s="37" t="n">
        <v>46418</v>
      </c>
      <c r="J36" s="12" t="inlineStr">
        <is>
          <t>Medium</t>
        </is>
      </c>
      <c r="K36" s="38" t="inlineStr">
        <is>
          <t>Open</t>
        </is>
      </c>
      <c r="L36" s="12" t="n"/>
      <c r="M36" s="12" t="n"/>
    </row>
    <row r="37">
      <c r="A37" s="12" t="inlineStr">
        <is>
          <t>TD-12</t>
        </is>
      </c>
      <c r="B37" s="12" t="inlineStr">
        <is>
          <t>BRD-12 Submitted Policies</t>
        </is>
      </c>
      <c r="C37" s="12" t="inlineStr">
        <is>
          <t>Test data</t>
        </is>
      </c>
      <c r="D37" s="12" t="inlineStr">
        <is>
          <t>Name the UAT testers of BRD-12 Submitted Policies (at least two per business unit, with their user IDs and group profiles) and provide the business data of the UAT scenarios: the clients, policies, insurers and amounts each scenario of the test plan uses, from the migrated data of Trial migration 3 or as additional cases.</t>
        </is>
      </c>
      <c r="E37" s="12" t="inlineStr">
        <is>
          <t>UAT of Drop 1 runs on migrated data and the production values; testers without access or scenarios without data stop the UAT.</t>
        </is>
      </c>
      <c r="F37" s="12" t="inlineStr">
        <is>
          <t>The test plan (04 workbook of the set) names the scenarios; the BDOI testers choose the cases from the migrated data and add the cases the legacy data does not hold.</t>
        </is>
      </c>
      <c r="G37" s="12" t="inlineStr">
        <is>
          <t>Project plan: dependency DEP-20 (UAT testers), milestone MS-20 (UAT plans, values for UAT and testers, 16-Jul-2027)</t>
        </is>
      </c>
      <c r="H37" s="12" t="inlineStr">
        <is>
          <t>Product Owner, Submitted Policies (UAT testers of the business units)</t>
        </is>
      </c>
      <c r="I37" s="37" t="n">
        <v>46584</v>
      </c>
      <c r="J37" s="12" t="inlineStr">
        <is>
          <t>High</t>
        </is>
      </c>
      <c r="K37" s="38" t="inlineStr">
        <is>
          <t>Open</t>
        </is>
      </c>
      <c r="L37" s="12" t="n"/>
      <c r="M37" s="12" t="n"/>
    </row>
    <row r="38">
      <c r="A38" s="12" t="inlineStr">
        <is>
          <t>CFG-115</t>
        </is>
      </c>
      <c r="B38" s="12" t="inlineStr">
        <is>
          <t>BRD-12 Submitted Policies</t>
        </is>
      </c>
      <c r="C38" s="12" t="inlineStr">
        <is>
          <t>Configuration value</t>
        </is>
      </c>
      <c r="D38" s="12" t="inlineStr">
        <is>
          <t>User scope of Submitted Policies: The segments and units each Submitted Policies user may see</t>
        </is>
      </c>
      <c r="E38" s="12" t="inlineStr">
        <is>
          <t>Needed for: Values for UAT (UAT plans and sign-off forms due 16-Jul-2027; UAT Aug - Dec 2027 runs on the production values).</t>
        </is>
      </c>
      <c r="F38" s="12" t="inlineStr">
        <is>
          <t>Configured on the screen Client &amp; Policy › Submitted Policies › Submitted Policies Setup (sheet Configured on screens of the Master Data and Configuration Upload Templates workbook).</t>
        </is>
      </c>
      <c r="G38" s="12" t="inlineStr">
        <is>
          <t>Drop 0 configuration register CFG-115 (Drop 0 Configuration Inputs v2.0, area Users, roles and approvals)</t>
        </is>
      </c>
      <c r="H38" s="12" t="inlineStr">
        <is>
          <t>Product Owner, Submitted Policies</t>
        </is>
      </c>
      <c r="I38" s="37" t="n">
        <v>46584</v>
      </c>
      <c r="J38" s="12" t="inlineStr">
        <is>
          <t>Medium</t>
        </is>
      </c>
      <c r="K38" s="38" t="inlineStr">
        <is>
          <t>Open</t>
        </is>
      </c>
      <c r="L38" s="12" t="n"/>
      <c r="M38" s="12" t="n"/>
    </row>
    <row r="39">
      <c r="A39" s="12" t="inlineStr">
        <is>
          <t>CFG-125</t>
        </is>
      </c>
      <c r="B39" s="12" t="inlineStr">
        <is>
          <t>BRD-12 Submitted Policies</t>
        </is>
      </c>
      <c r="C39" s="12" t="inlineStr">
        <is>
          <t>Configuration value</t>
        </is>
      </c>
      <c r="D39" s="12" t="inlineStr">
        <is>
          <t>Submitted Policies rules, limits and letters: The processing rules, insurer rules and limits, and the letter rules of Submitted Policies</t>
        </is>
      </c>
      <c r="E39" s="12" t="inlineStr">
        <is>
          <t>Needed for: Values for UAT (UAT plans and sign-off forms due 16-Jul-2027; UAT Aug - Dec 2027 runs on the production values).</t>
        </is>
      </c>
      <c r="F39" s="12" t="inlineStr">
        <is>
          <t>Configured on the screen Client &amp; Policy › Submitted Policies › Submitted Policies Setup (sheet Configured on screens of the Master Data and Configuration Upload Templates workbook).</t>
        </is>
      </c>
      <c r="G39" s="12" t="inlineStr">
        <is>
          <t>Drop 0 configuration register CFG-125 (Drop 0 Configuration Inputs v2.0, area Module rules and set-up)</t>
        </is>
      </c>
      <c r="H39" s="12" t="inlineStr">
        <is>
          <t>Product Owner, Submitted Policies</t>
        </is>
      </c>
      <c r="I39" s="37" t="n">
        <v>46584</v>
      </c>
      <c r="J39" s="12" t="inlineStr">
        <is>
          <t>Medium</t>
        </is>
      </c>
      <c r="K39" s="38" t="inlineStr">
        <is>
          <t>Open</t>
        </is>
      </c>
      <c r="L39" s="12" t="n"/>
      <c r="M39" s="12" t="n"/>
    </row>
    <row r="40">
      <c r="A40" s="12" t="inlineStr">
        <is>
          <t>DOC-09</t>
        </is>
      </c>
      <c r="B40" s="12" t="inlineStr">
        <is>
          <t>BRD-12 Submitted Policies</t>
        </is>
      </c>
      <c r="C40" s="12" t="inlineStr">
        <is>
          <t>Sample document or template</t>
        </is>
      </c>
      <c r="D40" s="12" t="inlineStr">
        <is>
          <t>Documents of Submitted Policies: give the BDOI layout, logo placement and wording of the 6 documents BIBS generates (Insurance Adequacy Assessment Form {{iaafNo}}; No Touch billing statement - {{insurerName}} - {{period}}; Reminder on your policy {{policyNo}}; Renewal notice - policy {{policyNo}}; Renewal proposal - policy {{policyNo}}; Terms of Reference {{torNo}}), as a filled-in sample of each.</t>
        </is>
      </c>
      <c r="E40" s="12" t="inlineStr">
        <is>
          <t>BIBS generates each document from its template; without the BDOI layout the documents keep the proposed layout in SIT and UAT.</t>
        </is>
      </c>
      <c r="F40" s="12" t="inlineStr">
        <is>
          <t>The proposed layouts are reviewed on the Document Templates screen; BDOI marks the changes on a printout or sends its current form.</t>
        </is>
      </c>
      <c r="G40" s="12" t="inlineStr">
        <is>
          <t>Document templates of the platform (Drop 0 Configuration Inputs, Ref Document templates); configuration register CFG-082</t>
        </is>
      </c>
      <c r="H40" s="12" t="inlineStr">
        <is>
          <t>Product Owner, Submitted Policies</t>
        </is>
      </c>
      <c r="I40" s="37" t="n">
        <v>46584</v>
      </c>
      <c r="J40" s="12" t="inlineStr">
        <is>
          <t>Medium</t>
        </is>
      </c>
      <c r="K40" s="38" t="inlineStr">
        <is>
          <t>Open</t>
        </is>
      </c>
      <c r="L40" s="12" t="n"/>
      <c r="M40" s="12" t="inlineStr">
        <is>
          <t>Review sheet Document templates of the Master Data and Configuration Upload Templates workbook.</t>
        </is>
      </c>
    </row>
    <row r="41">
      <c r="A41" s="12" t="inlineStr">
        <is>
          <t>SO-12-3</t>
        </is>
      </c>
      <c r="B41" s="12" t="inlineStr">
        <is>
          <t>BRD-12 Submitted Policies</t>
        </is>
      </c>
      <c r="C41" s="12" t="inlineStr">
        <is>
          <t>Sign-off</t>
        </is>
      </c>
      <c r="D41" s="12" t="inlineStr">
        <is>
          <t>Sign the UAT sign-off certificate of BRD-12 Submitted Policies.</t>
        </is>
      </c>
      <c r="E41" s="12" t="inlineStr">
        <is>
          <t>The signed document fixes the scope for the next step of the plan; a late sign-off moves the dates that follow it.</t>
        </is>
      </c>
      <c r="F41" s="12" t="n"/>
      <c r="G41" s="12" t="inlineStr">
        <is>
          <t>Project plan v1.0 (8-Oct-2026), sign-offs and milestones</t>
        </is>
      </c>
      <c r="H41" s="12" t="inlineStr">
        <is>
          <t>Product Owner, Submitted Policies; BIBS Product Owner</t>
        </is>
      </c>
      <c r="I41" s="37" t="n">
        <v>46738</v>
      </c>
      <c r="J41" s="12" t="inlineStr">
        <is>
          <t>High</t>
        </is>
      </c>
      <c r="K41" s="38" t="inlineStr">
        <is>
          <t>Open</t>
        </is>
      </c>
      <c r="L41" s="12" t="n"/>
      <c r="M41" s="12" t="n"/>
    </row>
  </sheetData>
  <autoFilter ref="A4:M41"/>
  <mergeCells count="1">
    <mergeCell ref="A2:M2"/>
  </mergeCells>
  <conditionalFormatting sqref="K5:K541">
    <cfRule type="cellIs" priority="1" operator="equal" dxfId="0" stopIfTrue="1">
      <formula>"Open"</formula>
    </cfRule>
    <cfRule type="cellIs" priority="2" operator="equal" dxfId="1" stopIfTrue="1">
      <formula>"Answered"</formula>
    </cfRule>
  </conditionalFormatting>
  <conditionalFormatting sqref="A5:M541">
    <cfRule type="expression" priority="3" dxfId="2">
      <formula>AND(MOD(ROW(),2)=0,$A5&lt;&gt;"")</formula>
    </cfRule>
  </conditionalFormatting>
  <conditionalFormatting sqref="K5:K542">
    <cfRule type="cellIs" priority="4" operator="equal" dxfId="3" stopIfTrue="1">
      <formula>"Partly answered"</formula>
    </cfRule>
  </conditionalFormatting>
  <dataValidations count="3">
    <dataValidation sqref="C5:C541" showDropDown="0" showInputMessage="0" showErrorMessage="1" allowBlank="1" errorTitle="Type" error="Choose a value from the list (Type)." type="list">
      <formula1>'_lists'!$AK$1:$AK$10</formula1>
    </dataValidation>
    <dataValidation sqref="J5:J541" showDropDown="0" showInputMessage="0" showErrorMessage="1" allowBlank="1" errorTitle="Priority" error="Choose a value from the list (Priority)." type="list">
      <formula1>'_lists'!$AL$1:$AL$3</formula1>
    </dataValidation>
    <dataValidation sqref="K5:K541" showDropDown="0" showInputMessage="0" showErrorMessage="1" allowBlank="1" errorTitle="Status" error="Choose a value from the list (Status)." type="list">
      <formula1>'_lists'!$AM$1:$AM$3</formula1>
    </dataValidation>
  </dataValidations>
  <printOptions horizontalCentered="1"/>
  <pageMargins left="0.4" right="0.4" top="0.6" bottom="0.6" header="0.5" footer="0.5"/>
  <pageSetup orientation="landscape" paperSize="1" fitToHeight="0" fitToWidth="1"/>
  <headerFooter>
    <oddHeader>&amp;L&amp;8 &amp;K004EA8BDOI Requirements and Inputs by BRD&amp;R&amp;8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7.xml><?xml version="1.0" encoding="utf-8"?>
<worksheet xmlns="http://schemas.openxmlformats.org/spreadsheetml/2006/main">
  <sheetPr>
    <outlinePr summaryBelow="1" summaryRight="1"/>
    <pageSetUpPr fitToPage="1"/>
  </sheetPr>
  <dimension ref="A1:M7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6" customWidth="1" min="3" max="3"/>
    <col width="60" customWidth="1" min="4" max="4"/>
    <col width="46" customWidth="1" min="5" max="5"/>
    <col width="46" customWidth="1" min="6" max="6"/>
    <col width="40" customWidth="1" min="7" max="7"/>
    <col width="26" customWidth="1" min="8" max="8"/>
    <col width="12" customWidth="1" min="9" max="9"/>
    <col width="10" customWidth="1" min="10" max="10"/>
    <col width="14" customWidth="1" min="11" max="11"/>
    <col width="40" customWidth="1" min="12" max="12"/>
    <col width="34" customWidth="1" min="13" max="13"/>
  </cols>
  <sheetData>
    <row r="1" ht="24" customHeight="1">
      <c r="A1" s="34" t="inlineStr">
        <is>
          <t>BRD-13 Data Migration</t>
        </is>
      </c>
    </row>
    <row r="2">
      <c r="A2" s="21" t="inlineStr">
        <is>
          <t>BRD-13 Data Migration: what BDOI provides; owner Program Manager, Business Project Services (Data Migration)</t>
        </is>
      </c>
    </row>
    <row r="3" ht="6" customHeight="1">
      <c r="A3" s="35" t="n"/>
      <c r="B3" s="35" t="n"/>
      <c r="C3" s="35" t="n"/>
      <c r="D3" s="35" t="n"/>
      <c r="E3" s="35" t="n"/>
      <c r="F3" s="35" t="n"/>
      <c r="G3" s="35" t="n"/>
      <c r="H3" s="35" t="n"/>
      <c r="I3" s="35" t="n"/>
      <c r="J3" s="35" t="n"/>
      <c r="K3" s="35" t="n"/>
      <c r="L3" s="35" t="n"/>
      <c r="M3" s="35" t="n"/>
    </row>
    <row r="4" ht="30" customHeight="1">
      <c r="A4" s="36" t="inlineStr">
        <is>
          <t>Ref</t>
        </is>
      </c>
      <c r="B4" s="36" t="inlineStr">
        <is>
          <t>BRD / module</t>
        </is>
      </c>
      <c r="C4" s="36" t="inlineStr">
        <is>
          <t>Type</t>
        </is>
      </c>
      <c r="D4" s="36" t="inlineStr">
        <is>
          <t>What we need from BDOI</t>
        </is>
      </c>
      <c r="E4" s="36" t="inlineStr">
        <is>
          <t>Why / impact if not provided</t>
        </is>
      </c>
      <c r="F4" s="36" t="inlineStr">
        <is>
          <t>Our proposal (if any)</t>
        </is>
      </c>
      <c r="G4" s="36" t="inlineStr">
        <is>
          <t>Source (FRS section / CLR / BRD page)</t>
        </is>
      </c>
      <c r="H4" s="36" t="inlineStr">
        <is>
          <t>BDOI owner (role)</t>
        </is>
      </c>
      <c r="I4" s="36" t="inlineStr">
        <is>
          <t>Needed by</t>
        </is>
      </c>
      <c r="J4" s="36" t="inlineStr">
        <is>
          <t>Priority</t>
        </is>
      </c>
      <c r="K4" s="36" t="inlineStr">
        <is>
          <t>Status</t>
        </is>
      </c>
      <c r="L4" s="36" t="inlineStr">
        <is>
          <t>BDOI response</t>
        </is>
      </c>
      <c r="M4" s="36" t="inlineStr">
        <is>
          <t>Remarks</t>
        </is>
      </c>
    </row>
    <row r="5">
      <c r="A5" s="12" t="inlineStr">
        <is>
          <t>PR-DM-02</t>
        </is>
      </c>
      <c r="B5" s="12" t="inlineStr">
        <is>
          <t>BRD-13 Data Migration</t>
        </is>
      </c>
      <c r="C5" s="12" t="inlineStr">
        <is>
          <t>Business rule confirmation</t>
        </is>
      </c>
      <c r="D5" s="12" t="inlineStr">
        <is>
          <t>Legacy control accounts and Migration Clearing: Comptrollership assigns the codes of the seven accounts in the production chart and confirms the end state of the accounts after the run-off</t>
        </is>
      </c>
      <c r="E5" s="12" t="inlineStr">
        <is>
          <t>The legacy positions run off visibly and apart from new business; Migration Clearing proves that the invoice and payment detail equals the legacy GL</t>
        </is>
      </c>
      <c r="F5" s="12" t="inlineStr">
        <is>
          <t>Separate legacy control accounts hold the positions of the migrated invoices and unapplied payments: Premium Receivable - Legacy (by component), PR 2307 - Legacy, Due to Insurers - Legacy, Commission Receivable - Legacy, Unrealised Commission and Deferred Output VAT - Legacy, Unapplied Collections - Legacy, and a Migration Clearing account that must net to 0.00. The account codes are assigned by Comptrollership in the production chart; the handbook names the accounts only</t>
        </is>
      </c>
      <c r="G5" s="12" t="inlineStr">
        <is>
          <t>Data Migration Handbook BRD-13 v2.1, Proposed business rules and clarifications; decisions DMQ18; also raised as DMQ18 (open decision), DM-Q31 (Drop 0 list item), DCR-197 (register item)</t>
        </is>
      </c>
      <c r="H5" s="12" t="inlineStr">
        <is>
          <t>Head, Comptrollership</t>
        </is>
      </c>
      <c r="I5" s="37" t="n">
        <v>46311</v>
      </c>
      <c r="J5" s="12" t="inlineStr">
        <is>
          <t>High</t>
        </is>
      </c>
      <c r="K5" s="38" t="inlineStr">
        <is>
          <t>Open</t>
        </is>
      </c>
      <c r="L5" s="12" t="n"/>
      <c r="M5" s="12" t="inlineStr">
        <is>
          <t>Also affects BRD-05.</t>
        </is>
      </c>
    </row>
    <row r="6">
      <c r="A6" s="12" t="inlineStr">
        <is>
          <t>PR-DM-05</t>
        </is>
      </c>
      <c r="B6" s="12" t="inlineStr">
        <is>
          <t>BRD-13 Data Migration</t>
        </is>
      </c>
      <c r="C6" s="12" t="inlineStr">
        <is>
          <t>Decision</t>
        </is>
      </c>
      <c r="D6" s="12" t="inlineStr">
        <is>
          <t>Conditional objects F04-F07, P04 and P05: Operations, Claims, Marketing and the EB Head decide per object: carried, completed before the freeze, or out of scope</t>
        </is>
      </c>
      <c r="E6" s="12" t="inlineStr">
        <is>
          <t>Each object is either completed before the freeze or carried, so that no item is lost or processed twice; the uploads of Claims, Submitted Policies and Employee Benefits already exist and need no separate migration layout</t>
        </is>
      </c>
      <c r="F6" s="12" t="inlineStr">
        <is>
          <t>Remittance in flight (F04): complete the legacy batches before the freeze; carry only holds and special remittances that cannot complete. DP billing in process (F05): carried inside the open invoices (F01), no separate file. PDCs, cheque pick-ups and refunds in process (F06): carry the PDCs in the warehouse; complete pick-ups and refunds in legacy before the freeze. Open claims (F07), submitted-policy masterlists (P04) and Employee Benefits programmes (P05): migrated through the uploads of their own modules only if BDOI brings them into scope</t>
        </is>
      </c>
      <c r="G6" s="12" t="inlineStr">
        <is>
          <t>Data Migration Handbook BRD-13 v2.1, Proposed business rules and clarifications; decisions DMQ21, DMQ30, DMQ33; also raised as DMQ21 (open decision), DMQ30 (open decision), DMQ33 (open decision), UA-Q28 (Drop 0 list item), DM-Q06 (Drop 0 list item), DM-Q09 (Drop 0 list item), DM-Q10 (Drop 0 list item), DM-Q11 (Drop 0 list item), DM-Q12 (Drop 0 list item), DCR-157 (register item), DCR-196 (register item)</t>
        </is>
      </c>
      <c r="H6" s="12" t="inlineStr">
        <is>
          <t>Operations - Remittance</t>
        </is>
      </c>
      <c r="I6" s="37" t="n">
        <v>46311</v>
      </c>
      <c r="J6" s="12" t="inlineStr">
        <is>
          <t>High</t>
        </is>
      </c>
      <c r="K6" s="38" t="inlineStr">
        <is>
          <t>Partly answered</t>
        </is>
      </c>
      <c r="L6" s="12" t="n"/>
      <c r="M6" s="12" t="inlineStr">
        <is>
          <t>Answer so far: BRD V0.03 names claims data, submitted policies, endorsements kept outside legacy and in-progress renewal data (1.3), payees (3.1) and claims (14.1) among the data to migrate; proposed positions CLR-DM-05 to CLR-DM-08 await BDOI (DM-Q06, DM-Q09 to DM-Q12). Also affects BRD-04, BRD-05, BRD-06, BRD-07, BRD-12.</t>
        </is>
      </c>
    </row>
    <row r="7">
      <c r="A7" s="12" t="inlineStr">
        <is>
          <t>PR-DM-08</t>
        </is>
      </c>
      <c r="B7" s="12" t="inlineStr">
        <is>
          <t>BRD-13 Data Migration</t>
        </is>
      </c>
      <c r="C7" s="12" t="inlineStr">
        <is>
          <t>Business rule confirmation</t>
        </is>
      </c>
      <c r="D7" s="12" t="inlineStr">
        <is>
          <t>Client scope: 2020 to present: The Product Owner of MBS confirms the period and the filter, and that the daily batches stop at the freeze</t>
        </is>
      </c>
      <c r="E7" s="12" t="inlineStr">
        <is>
          <t>The umbrella BRD asks for clients from 2020 and daily client batches; after the freeze legacy is read-only and BIBS is the client master</t>
        </is>
      </c>
      <c r="F7" s="12" t="inlineStr">
        <is>
          <t>Migrate every client created from 1 January 2020, plus older clients with an in-force policy, an open item or activity since 2020; load them two weeks before go-live and keep them current with daily deltas until the freeze; no client feed after go-live</t>
        </is>
      </c>
      <c r="G7" s="12" t="inlineStr">
        <is>
          <t>Data Migration Handbook BRD-13 v2.1, Proposed business rules and clarifications; decisions DMQ05, DCR-173, DCR-202; also raised as DCR-173 (open decision), DMQ05 (open decision), DCR-202 (open decision), DM-Q15 (Drop 0 list item)</t>
        </is>
      </c>
      <c r="H7" s="12" t="inlineStr">
        <is>
          <t>Product Owner, MBS</t>
        </is>
      </c>
      <c r="I7" s="37" t="n">
        <v>46311</v>
      </c>
      <c r="J7" s="12" t="inlineStr">
        <is>
          <t>High</t>
        </is>
      </c>
      <c r="K7" s="38" t="inlineStr">
        <is>
          <t>Partly answered</t>
        </is>
      </c>
      <c r="L7" s="12" t="n"/>
      <c r="M7" s="12" t="inlineStr">
        <is>
          <t>Also affects BRD-00, BRD-09.</t>
        </is>
      </c>
    </row>
    <row r="8">
      <c r="A8" s="12" t="inlineStr">
        <is>
          <t>PR-DM-11</t>
        </is>
      </c>
      <c r="B8" s="12" t="inlineStr">
        <is>
          <t>BRD-13 Data Migration</t>
        </is>
      </c>
      <c r="C8" s="12" t="inlineStr">
        <is>
          <t>Business rule confirmation</t>
        </is>
      </c>
      <c r="D8" s="12" t="inlineStr">
        <is>
          <t>In-force policy headers: Operations confirms the scope and the header fields</t>
        </is>
      </c>
      <c r="E8" s="12" t="inlineStr">
        <is>
          <t>Headers are needed to find active cover, to endorse legacy invoices and to renew in BIBS; the go-live renewal extraction works only from them</t>
        </is>
      </c>
      <c r="F8" s="12" t="inlineStr">
        <is>
          <t>Migrate the header of every policy in force at go-live (and in every case every expiry from go-live to 31 May 2028 and every renewal term booked in legacy that starts on or after go-live)</t>
        </is>
      </c>
      <c r="G8" s="12" t="inlineStr">
        <is>
          <t>Data Migration Handbook BRD-13 v2.1, Proposed business rules and clarifications; decisions DMQ09, DMQ22; also raised as DMQ09 (open decision), DMQ22 (open decision), DM-Q25 (Drop 0 list item), DCR-194 (register item)</t>
        </is>
      </c>
      <c r="H8" s="12" t="inlineStr">
        <is>
          <t>Head, Operations</t>
        </is>
      </c>
      <c r="I8" s="37" t="n">
        <v>46311</v>
      </c>
      <c r="J8" s="12" t="inlineStr">
        <is>
          <t>High</t>
        </is>
      </c>
      <c r="K8" s="38" t="inlineStr">
        <is>
          <t>Open</t>
        </is>
      </c>
      <c r="L8" s="12" t="n"/>
      <c r="M8" s="12" t="n"/>
    </row>
    <row r="9">
      <c r="A9" s="12" t="inlineStr">
        <is>
          <t>PR-DM-12</t>
        </is>
      </c>
      <c r="B9" s="12" t="inlineStr">
        <is>
          <t>BRD-13 Data Migration</t>
        </is>
      </c>
      <c r="C9" s="12" t="inlineStr">
        <is>
          <t>Business rule confirmation</t>
        </is>
      </c>
      <c r="D9" s="12" t="inlineStr">
        <is>
          <t>Open invoice content: BDOI IT confirms that legacy can give the components and shares, and that EBIX and QPS numbers are unique; Comptrollership gives the commission state per invoice</t>
        </is>
      </c>
      <c r="E9" s="12" t="inlineStr">
        <is>
          <t>The open balance in BIBS must equal the legacy open balance per component so that payments, remittances and reversals work on the right amounts</t>
        </is>
      </c>
      <c r="F9" s="12" t="inlineStr">
        <is>
          <t>Each open invoice is sent with its components (basic premium, DST, premium tax or VAT, LGT, FST, other charges, DTIP, commission, VAT on commission, withholding tax, PR 2307) and their booked, adjusted, paid, remitted and written-off amounts, per insurer share. Invoice numbers are kept; a number found in two source systems is prefixed with the source system</t>
        </is>
      </c>
      <c r="G9" s="12" t="inlineStr">
        <is>
          <t>Data Migration Handbook BRD-13 v2.1, Proposed business rules and clarifications; decisions DMQ10, DMQ11, DMQ12, DMQ13; also raised as DMQ10 (open decision), DMQ11 (open decision), DMQ12 (open decision), DMQ13 (open decision), DM-Q26 (Drop 0 list item), DM-Q27 (Drop 0 list item), DM-Q28 (Drop 0 list item), DCR-207 (register item)</t>
        </is>
      </c>
      <c r="H9" s="12" t="inlineStr">
        <is>
          <t>Operations - Financial Transactions</t>
        </is>
      </c>
      <c r="I9" s="37" t="n">
        <v>46311</v>
      </c>
      <c r="J9" s="12" t="inlineStr">
        <is>
          <t>High</t>
        </is>
      </c>
      <c r="K9" s="38" t="inlineStr">
        <is>
          <t>Open</t>
        </is>
      </c>
      <c r="L9" s="12" t="n"/>
      <c r="M9" s="12" t="inlineStr">
        <is>
          <t>Also affects BRD-04.</t>
        </is>
      </c>
    </row>
    <row r="10">
      <c r="A10" s="12" t="inlineStr">
        <is>
          <t>PR-DM-13</t>
        </is>
      </c>
      <c r="B10" s="12" t="inlineStr">
        <is>
          <t>BRD-13 Data Migration</t>
        </is>
      </c>
      <c r="C10" s="12" t="inlineStr">
        <is>
          <t>Business rule confirmation</t>
        </is>
      </c>
      <c r="D10" s="12" t="inlineStr">
        <is>
          <t>Unapplied payments: Operations - Financial Transactions confirms the receipt handling, the statuses and the matching references</t>
        </is>
      </c>
      <c r="E10" s="12" t="inlineStr">
        <is>
          <t>No duplicate receipt for the same cash; the references the payor gave are used again</t>
        </is>
      </c>
      <c r="F10" s="12" t="inlineStr">
        <is>
          <t>A migrated unapplied payment keeps its legacy AR number and date; no new BIBS AR is issued for money already acknowledged in legacy; it is matched by automatch on its references after every payment upload and hourly</t>
        </is>
      </c>
      <c r="G10" s="12" t="inlineStr">
        <is>
          <t>Data Migration Handbook BRD-13 v2.1, Proposed business rules and clarifications; decisions DMQ14, DMQ15, DMQ17; also raised as DMQ14 (open decision), DMQ15 (open decision), DMQ17 (open decision), DM-Q32 (Drop 0 list item), DCR-204 (register item)</t>
        </is>
      </c>
      <c r="H10" s="12" t="inlineStr">
        <is>
          <t>Operations - Financial Transactions</t>
        </is>
      </c>
      <c r="I10" s="37" t="n">
        <v>46311</v>
      </c>
      <c r="J10" s="12" t="inlineStr">
        <is>
          <t>High</t>
        </is>
      </c>
      <c r="K10" s="38" t="inlineStr">
        <is>
          <t>Open</t>
        </is>
      </c>
      <c r="L10" s="12" t="n"/>
      <c r="M10" s="12" t="inlineStr">
        <is>
          <t>Also affects BRD-02.</t>
        </is>
      </c>
    </row>
    <row r="11">
      <c r="A11" s="12" t="inlineStr">
        <is>
          <t>CLR-DM-01</t>
        </is>
      </c>
      <c r="B11" s="12" t="inlineStr">
        <is>
          <t>BRD-13 Data Migration</t>
        </is>
      </c>
      <c r="C11" s="12" t="inlineStr">
        <is>
          <t>Business rule confirmation</t>
        </is>
      </c>
      <c r="D11" s="12" t="inlineStr">
        <is>
          <t>BRD baseline and the record of agreed deviations: The Program Manager confirms V0.03 as the baseline, its version number (the revision log shows 0.01, 0.02 and an entry of 15 May 2026 without a number) and the annex</t>
        </is>
      </c>
      <c r="E11" s="12" t="inlineStr">
        <is>
          <t>V0.03 was signed in May 2026, before the BDOI answers of 26 September 2026; without one signed record the BRD text and the later answers conflict and test cases cannot be accepted against either</t>
        </is>
      </c>
      <c r="F11" s="12" t="inlineStr">
        <is>
          <t>BRD V0.03 (signed 15 to 19 May 2026) is the baseline of this set and replaces draft v0.01. The BDOI answers of 26 September 2026 (package remapping, January-May 2028 renewals, RMEL sources, year-end cut-over) and the decisions BDOI records on the Proposed rules sheet are listed in one signed annex to V0.03, issued with the BRD-13 sign-off; where the annex differs from the BRD text, the annex prevails</t>
        </is>
      </c>
      <c r="G11" s="12" t="inlineStr">
        <is>
          <t>Data Migration Handbook BRD-13 v2.1, Proposed business rules and clarifications; decisions DM-Q01, DM-Q02, DCR-189; also raised as DCR-189 (open decision), DM-Q01 (Drop 0 list item), DCR-191 (register item)</t>
        </is>
      </c>
      <c r="H11" s="12" t="inlineStr">
        <is>
          <t>Program Manager</t>
        </is>
      </c>
      <c r="I11" s="37" t="n">
        <v>46311</v>
      </c>
      <c r="J11" s="12" t="inlineStr">
        <is>
          <t>High</t>
        </is>
      </c>
      <c r="K11" s="38" t="inlineStr">
        <is>
          <t>Partly answered</t>
        </is>
      </c>
      <c r="L11" s="12" t="n"/>
      <c r="M11" s="12" t="inlineStr">
        <is>
          <t>Answer so far: BRD V0.03 received 8-Oct-2026, signed 15-19 May 2026 after the IT and business walkthroughs; this set is re-based on it (release set v2.1). BDOI confirms V0.03 as the baseline and the annex of agreed deviations (CLR-DM-01, DM-Q01, DM-Q02).</t>
        </is>
      </c>
    </row>
    <row r="12">
      <c r="A12" s="12" t="inlineStr">
        <is>
          <t>CLR-DM-10</t>
        </is>
      </c>
      <c r="B12" s="12" t="inlineStr">
        <is>
          <t>BRD-13 Data Migration</t>
        </is>
      </c>
      <c r="C12" s="12" t="inlineStr">
        <is>
          <t>Business rule confirmation</t>
        </is>
      </c>
      <c r="D12" s="12" t="inlineStr">
        <is>
          <t>Source systems: 'Broker' and EBIX as client master (brid mig 2.1): BDOI IT says what 'Broker' is and which client data ISYS holds; the Product Owner of MBS confirms the survivorship order</t>
        </is>
      </c>
      <c r="E12" s="12" t="inlineStr">
        <is>
          <t>V0.03 declares EBIX the client master and names 'Broker, iSys and QPS' as other sources of client data; 'Broker' is not a system known to the set</t>
        </is>
      </c>
      <c r="F12" s="12" t="inlineStr">
        <is>
          <t>Sources: EBIX (system of record for clients and billing), QPS, ISYS, the Collection Management System and Excel; 'Broker' is added as a source once BDOI IT describes it; one extract per source system per object, matched across systems. Survivorship: EBIX first for identity and billing fields; QPS first for contact fields only where its value is more recent; every losing value kept for review (amends PR-DM-09 on confirmation)</t>
        </is>
      </c>
      <c r="G12" s="12" t="inlineStr">
        <is>
          <t>Data Migration Handbook BRD-13 v2.1, Proposed business rules and clarifications; decisions DM-Q13, DM-Q16, DMQ03, DMQ04; also raised as DMQ03 (open decision), DM-Q13 (Drop 0 list item), DCR-195 (register item)</t>
        </is>
      </c>
      <c r="H12" s="12" t="inlineStr">
        <is>
          <t>BDOI IT</t>
        </is>
      </c>
      <c r="I12" s="37" t="n">
        <v>46311</v>
      </c>
      <c r="J12" s="12" t="inlineStr">
        <is>
          <t>High</t>
        </is>
      </c>
      <c r="K12" s="38" t="inlineStr">
        <is>
          <t>Open</t>
        </is>
      </c>
      <c r="L12" s="12" t="n"/>
      <c r="M12" s="12" t="n"/>
    </row>
    <row r="13">
      <c r="A13" s="12" t="inlineStr">
        <is>
          <t>DM-Q04</t>
        </is>
      </c>
      <c r="B13" s="12" t="inlineStr">
        <is>
          <t>BRD-13 Data Migration</t>
        </is>
      </c>
      <c r="C13" s="12" t="inlineStr">
        <is>
          <t>Decision</t>
        </is>
      </c>
      <c r="D13" s="12" t="inlineStr">
        <is>
          <t>Please confirm that the selective, continuity-focused principle of the BRD still applies (migrate clean master and reference data, carry forward only open financial positions, keep history in read-only legacy or the archive), and that the new V0.03 requirements that mention history are read within it: 1.3 'other data maintained outside the legacy systems', 10.1 'all data from the legacy system should be considered', 13.1 'transaction history and open/closed statuses' and 14.1 'no loss of historical information'..</t>
        </is>
      </c>
      <c r="E13" s="12" t="inlineStr">
        <is>
          <t>New in BRD V0.03. The executive summary (V0.03 p.3) and target state (p.5) are unchanged from V0.01 and say that historical transactions stay in read-only legacy or an archive. The new or changed brid mig 1.3 (p.7-8), 10.1 (p.12), 13.1 (p.14) and 14.1 (p.15) can be read as asking for closed history in BIBS. The handbook is provided on the selective principle (Part A 'Principles' 1-2 and 'What this migration does not do': no conversion of closed transactions, GL history or expired policies). If not provided: The object register, volumes, loaders, reconciliation and the trial-migration timeline change materially if closed history must be loaded into the business tables.</t>
        </is>
      </c>
      <c r="F13" s="12" t="inlineStr">
        <is>
          <t>The selective principle stands. 'History' in 13.1 and 14.1 means the movements of the items that are still open (booked, paid, remitted, adjusted per component), loaded with each item; closed transactions, expired policies and GL history go to the BIBS archive or stay in read-only legacy and are searched in Legacy Inquiry (brid mig 11.1).</t>
        </is>
      </c>
      <c r="G13" s="12" t="inlineStr">
        <is>
          <t>Drop 0 requirements and questions list v1.0 (8-Oct-2026), DM-Q04; BRD Data Migration V0.03 p.3, p.5, p.7-8, p.12, p.14, p.15; Data Migration Handbook v2.0 Part A 'Objectives and principles', 'What this migration does not do'</t>
        </is>
      </c>
      <c r="H13" s="12" t="inlineStr">
        <is>
          <t>Program Manager, Business Project Services; Head, Comptrollership; Head, Operations</t>
        </is>
      </c>
      <c r="I13" s="37" t="n">
        <v>46311</v>
      </c>
      <c r="J13" s="12" t="inlineStr">
        <is>
          <t>High</t>
        </is>
      </c>
      <c r="K13" s="38" t="inlineStr">
        <is>
          <t>Open</t>
        </is>
      </c>
      <c r="L13" s="12" t="n"/>
      <c r="M13" s="12" t="n"/>
    </row>
    <row r="14">
      <c r="A14" s="12" t="inlineStr">
        <is>
          <t>DM-Q07</t>
        </is>
      </c>
      <c r="B14" s="12" t="inlineStr">
        <is>
          <t>BRD-13 Data Migration</t>
        </is>
      </c>
      <c r="C14" s="12" t="inlineStr">
        <is>
          <t>Clarification</t>
        </is>
      </c>
      <c r="D14" s="12" t="inlineStr">
        <is>
          <t>For brd mig 14.2, please tell us: (a) what the e-policies are and where they are held today (e-mail, file shares, insurer portals, a document management system); (b) whether they cover in-force migrated accounts only or also expired ones; (c) the 'unique reference number' to match on (insurer policy number, cover number, account reference number or another key); (d) the volume; (e) whether linking is a one-time load at migration or also applies to e-policies received after go-live for migrated accounts..</t>
        </is>
      </c>
      <c r="E14" s="12" t="inlineStr">
        <is>
          <t>New in BRD V0.03 p.15-16 (brid mig 14.2, persona Placement User, added in revision 0.03). Not covered by the handbook: legacy documents are archived through layout H02 (index file with SHA-256) and shown in Legacy Inquiry, not attached to the migrated accounts. BDOI decided on 26-Sep-2026 that documents are stored in the S3 document store only. Placement and e-policy is a Drop 1 function. If not provided: A new object, layout, matching rule and report are needed; without the answers they cannot be specified or sized.</t>
        </is>
      </c>
      <c r="F14" s="12" t="inlineStr">
        <is>
          <t>One-time load of the e-policies of in-force migrated accounts from an index file (legacy account reference, insurer, insurer policy number, file name, SHA-256) into the BIBS document store, matched on insurer and insurer policy number; unmatched or ambiguous files listed on an exception report with no link made, and an audit report of linked and failed files. E-policies received after go-live are attached through the normal Placement and e-policy function.</t>
        </is>
      </c>
      <c r="G14" s="12" t="inlineStr">
        <is>
          <t>Drop 0 requirements and questions list v1.0 (8-Oct-2026), DM-Q07; BRD Data Migration V0.03 p.15-16 (brid mig 14.2); Data Migration Handbook v2.0 'History, archive and read-only access', layout H02; BDOI drop plan (Drop 1 'Placement &amp; ePolicy'; documents in S3 only)</t>
        </is>
      </c>
      <c r="H14" s="12" t="inlineStr">
        <is>
          <t>Head, Operations (Placement)</t>
        </is>
      </c>
      <c r="I14" s="37" t="n">
        <v>46311</v>
      </c>
      <c r="J14" s="12" t="inlineStr">
        <is>
          <t>High</t>
        </is>
      </c>
      <c r="K14" s="38" t="inlineStr">
        <is>
          <t>Open</t>
        </is>
      </c>
      <c r="L14" s="12" t="n"/>
      <c r="M14" s="12" t="n"/>
    </row>
    <row r="15">
      <c r="A15" s="12" t="inlineStr">
        <is>
          <t>DEP-01</t>
        </is>
      </c>
      <c r="B15" s="12" t="inlineStr">
        <is>
          <t>BRD-13 Data Migration</t>
        </is>
      </c>
      <c r="C15" s="12" t="inlineStr">
        <is>
          <t>Decision</t>
        </is>
      </c>
      <c r="D15" s="12" t="inlineStr">
        <is>
          <t>Answers to the M1 and M2 decisions of the Data Migration set (DEC-02, DEC-03, DEC-11, DEC-12)</t>
        </is>
      </c>
      <c r="E15" s="12" t="inlineStr">
        <is>
          <t>Needed for: Migration layouts and object scope. If late: Layouts frozen late; Trial migration 1 scope reduced.</t>
        </is>
      </c>
      <c r="F15" s="12" t="n"/>
      <c r="G15" s="12" t="inlineStr">
        <is>
          <t>Project plan v1.0 (8-Oct-2026), dependency DEP-01 (Decision)</t>
        </is>
      </c>
      <c r="H15" s="12" t="inlineStr">
        <is>
          <t>BDOI business owners</t>
        </is>
      </c>
      <c r="I15" s="37" t="n">
        <v>46311</v>
      </c>
      <c r="J15" s="12" t="inlineStr">
        <is>
          <t>High</t>
        </is>
      </c>
      <c r="K15" s="38" t="inlineStr">
        <is>
          <t>Open</t>
        </is>
      </c>
      <c r="L15" s="12" t="n"/>
      <c r="M15" s="12" t="n"/>
    </row>
    <row r="16">
      <c r="A16" s="12" t="inlineStr">
        <is>
          <t>PR-DM-22</t>
        </is>
      </c>
      <c r="B16" s="12" t="inlineStr">
        <is>
          <t>BRD-13 Data Migration</t>
        </is>
      </c>
      <c r="C16" s="12" t="inlineStr">
        <is>
          <t>Business rule confirmation</t>
        </is>
      </c>
      <c r="D16" s="12" t="inlineStr">
        <is>
          <t>No write-back to legacy: The Product Owner of MBS confirms</t>
        </is>
      </c>
      <c r="E16" s="12" t="inlineStr">
        <is>
          <t>One system of record per item from the freeze</t>
        </is>
      </c>
      <c r="F16" s="12" t="inlineStr">
        <is>
          <t>After the freeze no client or contact change is written back to QPS or EBIX; legacy is read-only</t>
        </is>
      </c>
      <c r="G16" s="12" t="inlineStr">
        <is>
          <t>Data Migration Handbook BRD-13 v2.1, Proposed business rules and clarifications; decisions DCR-202</t>
        </is>
      </c>
      <c r="H16" s="12" t="inlineStr">
        <is>
          <t>Program Manager, Business Project Services (Data Migration)</t>
        </is>
      </c>
      <c r="I16" s="37" t="n">
        <v>46311</v>
      </c>
      <c r="J16" s="12" t="inlineStr">
        <is>
          <t>Medium</t>
        </is>
      </c>
      <c r="K16" s="38" t="inlineStr">
        <is>
          <t>Open</t>
        </is>
      </c>
      <c r="L16" s="12" t="n"/>
      <c r="M16" s="12" t="n"/>
    </row>
    <row r="17">
      <c r="A17" s="12" t="inlineStr">
        <is>
          <t>PR-DM-23</t>
        </is>
      </c>
      <c r="B17" s="12" t="inlineStr">
        <is>
          <t>BRD-13 Data Migration</t>
        </is>
      </c>
      <c r="C17" s="12" t="inlineStr">
        <is>
          <t>Business rule confirmation</t>
        </is>
      </c>
      <c r="D17" s="12" t="inlineStr">
        <is>
          <t>Treatment of a legacy invoice: Comptrollership and Operations confirm the treatment</t>
        </is>
      </c>
      <c r="E17" s="12" t="inlineStr">
        <is>
          <t>The legacy books stay traceable item by item and the processes after go-live are the ones users already learn for BIBS invoices</t>
        </is>
      </c>
      <c r="F17" s="12" t="inlineStr">
        <is>
          <t>A legacy invoice is not re-booked in BIBS: it enters the Operations ledger with its open balances per component and insurer share, keeps its legacy number, and is processed like a BIBS invoice (payments, remittance, reversals, endorsements) with its postings on the legacy control accounts</t>
        </is>
      </c>
      <c r="G17" s="12" t="inlineStr">
        <is>
          <t>Data Migration Handbook BRD-13 v2.1, Proposed business rules and clarifications; decisions DMQ10, DMQ18</t>
        </is>
      </c>
      <c r="H17" s="12" t="inlineStr">
        <is>
          <t>Program Manager, Business Project Services (Data Migration)</t>
        </is>
      </c>
      <c r="I17" s="37" t="n">
        <v>46311</v>
      </c>
      <c r="J17" s="12" t="inlineStr">
        <is>
          <t>Medium</t>
        </is>
      </c>
      <c r="K17" s="38" t="inlineStr">
        <is>
          <t>Open</t>
        </is>
      </c>
      <c r="L17" s="12" t="n"/>
      <c r="M17" s="12" t="n"/>
    </row>
    <row r="18">
      <c r="A18" s="12" t="inlineStr">
        <is>
          <t>PR-DM-27</t>
        </is>
      </c>
      <c r="B18" s="12" t="inlineStr">
        <is>
          <t>BRD-13 Data Migration</t>
        </is>
      </c>
      <c r="C18" s="12" t="inlineStr">
        <is>
          <t>Business rule confirmation</t>
        </is>
      </c>
      <c r="D18" s="12" t="inlineStr">
        <is>
          <t>Loading through the BIBS functions: The Program Manager confirms the approach</t>
        </is>
      </c>
      <c r="E18" s="12" t="inlineStr">
        <is>
          <t>Migrated data meets the same rules as data keyed on the screens and every load is reconcilable</t>
        </is>
      </c>
      <c r="F18" s="12" t="inlineStr">
        <is>
          <t>Each row is loaded through the same BIBS function that the screens use, so every rule, audit entry and accounting entry applies, without notifications to clients or insurers; each record keeps a cross-reference to its legacy key</t>
        </is>
      </c>
      <c r="G18" s="12" t="inlineStr">
        <is>
          <t>Data Migration Handbook BRD-13 v2.1, Proposed business rules and clarifications; decisions -; also raised as DM-Q51 (Drop 0 list item)</t>
        </is>
      </c>
      <c r="H18" s="12" t="inlineStr">
        <is>
          <t>Program Manager, Business Project Services</t>
        </is>
      </c>
      <c r="I18" s="37" t="n">
        <v>46311</v>
      </c>
      <c r="J18" s="12" t="inlineStr">
        <is>
          <t>Medium</t>
        </is>
      </c>
      <c r="K18" s="38" t="inlineStr">
        <is>
          <t>Open</t>
        </is>
      </c>
      <c r="L18" s="12" t="n"/>
      <c r="M18" s="12" t="n"/>
    </row>
    <row r="19">
      <c r="A19" s="12" t="inlineStr">
        <is>
          <t>CLR-DM-03</t>
        </is>
      </c>
      <c r="B19" s="12" t="inlineStr">
        <is>
          <t>BRD-13 Data Migration</t>
        </is>
      </c>
      <c r="C19" s="12" t="inlineStr">
        <is>
          <t>Business rule confirmation</t>
        </is>
      </c>
      <c r="D19" s="12" t="inlineStr">
        <is>
          <t>History in brid mig 1.3, 10.1, 13.1 and 14.1: The Program Manager, the Head of Comptrollership and the Head of Operations confirm the reading of 'history'</t>
        </is>
      </c>
      <c r="E19" s="12" t="inlineStr">
        <is>
          <t>Loading closed history into the business screens would change the object register, the volumes, the reconciliation and the trial-migration calendar, and contradicts the BRD's own principle</t>
        </is>
      </c>
      <c r="F19" s="12" t="inlineStr">
        <is>
          <t>The selective principle of the BRD (p.3, p.5) stands. 'Transaction history' (13.1) and 'no loss of historical information' (14.1) mean the movements of the items that are still open (booked, paid, remitted, adjusted and written off per component), loaded with each item; the GL beginning balance is the balance-sheet opening at 31 December 2027 per branch and currency, trued up after the legacy close and the audited statements. Closed transactions, expired policies, settled items and GL history go to the BIBS archive or stay in read-only legacy and are searched in Legacy Inquiry (brid mig 11.1). 'Client-related data' means the client master, payout accounts and the client of every open item</t>
        </is>
      </c>
      <c r="G19" s="12" t="inlineStr">
        <is>
          <t>Data Migration Handbook BRD-13 v2.1, Proposed business rules and clarifications; decisions DM-Q04, DM-Q05</t>
        </is>
      </c>
      <c r="H19" s="12" t="inlineStr">
        <is>
          <t>Program Manager, Business Project Services (Data Migration)</t>
        </is>
      </c>
      <c r="I19" s="37" t="n">
        <v>46311</v>
      </c>
      <c r="J19" s="12" t="inlineStr">
        <is>
          <t>Medium</t>
        </is>
      </c>
      <c r="K19" s="38" t="inlineStr">
        <is>
          <t>Open</t>
        </is>
      </c>
      <c r="L19" s="12" t="n"/>
      <c r="M19" s="12" t="n"/>
    </row>
    <row r="20">
      <c r="A20" s="12" t="inlineStr">
        <is>
          <t>CLR-DM-06</t>
        </is>
      </c>
      <c r="B20" s="12" t="inlineStr">
        <is>
          <t>BRD-13 Data Migration</t>
        </is>
      </c>
      <c r="C20" s="12" t="inlineStr">
        <is>
          <t>Business rule confirmation</t>
        </is>
      </c>
      <c r="D20" s="12" t="inlineStr">
        <is>
          <t>Payees (brid mig 3.1): The Product Owner, Comptrollership - Disbursement confirms which payees (insurers, clients for refunds, suppliers), their source and the owner</t>
        </is>
      </c>
      <c r="E20" s="12" t="inlineStr">
        <is>
          <t>V0.03 adds the 'List of Payee details' to the data to map and migrate for disbursement; release set v2.0 held payees as conditional</t>
        </is>
      </c>
      <c r="F20" s="12" t="inlineStr">
        <is>
          <t>Payees (object R09) become Migrate: the active payees are loaded through the payee migration of Disbursement with status Draft until Disbursement submits them; bank account numbers are masked outside production; owner the Product Owner, Comptrollership - Disbursement. Until BDOI confirms, R09 stays Conditional</t>
        </is>
      </c>
      <c r="G20" s="12" t="inlineStr">
        <is>
          <t>Data Migration Handbook BRD-13 v2.1, Proposed business rules and clarifications; decisions DM-Q11, DMQ30</t>
        </is>
      </c>
      <c r="H20" s="12" t="inlineStr">
        <is>
          <t>Program Manager, Business Project Services (Data Migration)</t>
        </is>
      </c>
      <c r="I20" s="37" t="n">
        <v>46311</v>
      </c>
      <c r="J20" s="12" t="inlineStr">
        <is>
          <t>Medium</t>
        </is>
      </c>
      <c r="K20" s="38" t="inlineStr">
        <is>
          <t>Open</t>
        </is>
      </c>
      <c r="L20" s="12" t="n"/>
      <c r="M20" s="12" t="n"/>
    </row>
    <row r="21">
      <c r="A21" s="12" t="inlineStr">
        <is>
          <t>CLR-DM-07</t>
        </is>
      </c>
      <c r="B21" s="12" t="inlineStr">
        <is>
          <t>BRD-13 Data Migration</t>
        </is>
      </c>
      <c r="C21" s="12" t="inlineStr">
        <is>
          <t>Business rule confirmation</t>
        </is>
      </c>
      <c r="D21" s="12" t="inlineStr">
        <is>
          <t>Renewals in progress (second brid mig 12.1, read as 12.2): The Heads of Retail and Corporate Marketing and the Head of the Renewal processing team confirm that the 26 September 2026 answer prevails, or list the stages and data to carry and their source</t>
        </is>
      </c>
      <c r="E21" s="12" t="inlineStr">
        <is>
          <t>V0.03 (signed May 2026) asks that every renewal record in progress is migrated and continued from its last stage; BDOI answered on 26 September 2026 (DMQ37, DMQ38) that the RMEL and dispositions stay in Excel and that no candidate is carried. Carrying stages would need a tracker layout and a stage map that the Excel trackers cannot support reliably before go-live</t>
        </is>
      </c>
      <c r="F21" s="12" t="inlineStr">
        <is>
          <t>The BDOI answer of 26 September 2026 prevails and is recorded in the annex: no renewal in progress is carried from the legacy trackers. A renewal whose new term starts before go-live is placed and booked in legacy before the freeze and migrates as an in-force header; the January-May 2028 expiries are processed in BIBS from the go-live extraction of the migrated headers, with the renewal advices already sent loaded from the trackers (P03) so they are not sent again; renewal premiums received in legacy are carried as unapplied payments (F02); the P03 batch gives the audit trail of loaded, rejected and resubmitted rows with timestamps and errors (FR-DM-126)</t>
        </is>
      </c>
      <c r="G21" s="12" t="inlineStr">
        <is>
          <t>Data Migration Handbook BRD-13 v2.1, Proposed business rules and clarifications; decisions DM-Q08, DMQ37, DMQ38</t>
        </is>
      </c>
      <c r="H21" s="12" t="inlineStr">
        <is>
          <t>Program Manager, Business Project Services (Data Migration)</t>
        </is>
      </c>
      <c r="I21" s="37" t="n">
        <v>46311</v>
      </c>
      <c r="J21" s="12" t="inlineStr">
        <is>
          <t>Medium</t>
        </is>
      </c>
      <c r="K21" s="38" t="inlineStr">
        <is>
          <t>Partly answered</t>
        </is>
      </c>
      <c r="L21" s="12" t="n"/>
      <c r="M21" s="12" t="inlineStr">
        <is>
          <t>Answer so far: BDOI answered on 26 September 2026 (DMQ37, DMQ38) that the RMEL and dispositions stay in Excel and that no candidate is carried.</t>
        </is>
      </c>
    </row>
    <row r="22">
      <c r="A22" s="12" t="inlineStr">
        <is>
          <t>CLR-DM-08</t>
        </is>
      </c>
      <c r="B22" s="12" t="inlineStr">
        <is>
          <t>BRD-13 Data Migration</t>
        </is>
      </c>
      <c r="C22" s="12" t="inlineStr">
        <is>
          <t>Business rule confirmation</t>
        </is>
      </c>
      <c r="D22" s="12" t="inlineStr">
        <is>
          <t>Claims data (brid mig 14.1): The Unit Head, Claims confirms which claims migrate (open only, or closed claims and for how many years), their source and the data owner</t>
        </is>
      </c>
      <c r="E22" s="12" t="inlineStr">
        <is>
          <t>V0.03 makes claims migration a Must have with 'no loss of historical information'; release set v2.0 and the Claims set held open claims as conditional (DMQ30); Claims is in Drop 2 of the BDOI drop plan</t>
        </is>
      </c>
      <c r="F22" s="12" t="inlineStr">
        <is>
          <t>Open claims at the freeze are carried forward through the claims migration upload of the Claims module (object F07 becomes Carry forward), each with its notification, reserve, payments and documents and linked to the legacy policy header (loaded even if the policy has expired) and to the BIBS claim; closed claims are archived and searched in Legacy Inquiry. Claims are first loaded in Trial migration 3 (August 2027), after the Claims SIT. Until BDOI confirms, F07 stays Conditional and FR-DM-130 applies only on confirmation</t>
        </is>
      </c>
      <c r="G22" s="12" t="inlineStr">
        <is>
          <t>Data Migration Handbook BRD-13 v2.1, Proposed business rules and clarifications; decisions DM-Q06, DMQ30</t>
        </is>
      </c>
      <c r="H22" s="12" t="inlineStr">
        <is>
          <t>Program Manager, Business Project Services (Data Migration)</t>
        </is>
      </c>
      <c r="I22" s="37" t="n">
        <v>46311</v>
      </c>
      <c r="J22" s="12" t="inlineStr">
        <is>
          <t>Medium</t>
        </is>
      </c>
      <c r="K22" s="38" t="inlineStr">
        <is>
          <t>Open</t>
        </is>
      </c>
      <c r="L22" s="12" t="n"/>
      <c r="M22" s="12" t="n"/>
    </row>
    <row r="23">
      <c r="A23" s="12" t="inlineStr">
        <is>
          <t>CLR-DM-09</t>
        </is>
      </c>
      <c r="B23" s="12" t="inlineStr">
        <is>
          <t>BRD-13 Data Migration</t>
        </is>
      </c>
      <c r="C23" s="12" t="inlineStr">
        <is>
          <t>Clarification</t>
        </is>
      </c>
      <c r="D23" s="12" t="inlineStr">
        <is>
          <t>E-policies linked to migrated accounts (brid mig 14.2): The Head of Operations (Placement) says where the e-policies are held, which accounts they cover (in force only or also expired), the reference to match on and the volume, and whether the linking is a one-time load</t>
        </is>
      </c>
      <c r="E23" s="12" t="inlineStr">
        <is>
          <t>V0.03 adds the requirement for the Placement User; the handbook had no e-policy object, and the e-policy receipt of New Business works on BIBS placements</t>
        </is>
      </c>
      <c r="F23" s="12" t="inlineStr">
        <is>
          <t>One load of the e-policies of the in-force migrated accounts from an index file (legacy account reference, insurer, insurer policy number, file name, checksum) into the BIBS documents of the account, matched on insurer and insurer policy number; an unmatched or ambiguous file is listed on an exception report and never linked; an audit report lists the linked and failed files with times and reasons (FR-DM-131). E-policies received after go-live are attached through the normal e-policy function of Placement</t>
        </is>
      </c>
      <c r="G23" s="12" t="inlineStr">
        <is>
          <t>Data Migration Handbook BRD-13 v2.1, Proposed business rules and clarifications; decisions DM-Q07</t>
        </is>
      </c>
      <c r="H23" s="12" t="inlineStr">
        <is>
          <t>Program Manager, Business Project Services (Data Migration)</t>
        </is>
      </c>
      <c r="I23" s="37" t="n">
        <v>46311</v>
      </c>
      <c r="J23" s="12" t="inlineStr">
        <is>
          <t>Medium</t>
        </is>
      </c>
      <c r="K23" s="38" t="inlineStr">
        <is>
          <t>Open</t>
        </is>
      </c>
      <c r="L23" s="12" t="n"/>
      <c r="M23" s="12" t="n"/>
    </row>
    <row r="24">
      <c r="A24" s="12" t="inlineStr">
        <is>
          <t>CLR-DM-11</t>
        </is>
      </c>
      <c r="B24" s="12" t="inlineStr">
        <is>
          <t>BRD-13 Data Migration</t>
        </is>
      </c>
      <c r="C24" s="12" t="inlineStr">
        <is>
          <t>Business rule confirmation</t>
        </is>
      </c>
      <c r="D24" s="12" t="inlineStr">
        <is>
          <t>Client scope: 'previous and current clients' (brid mig 2.1): The Product Owner of MBS confirms the period and the filter, or the earlier date</t>
        </is>
      </c>
      <c r="E24" s="12" t="inlineStr">
        <is>
          <t>V0.03 names 'clients with submitted policy and previous and current clients' without a date limit; the umbrella BRD sizes '2020 to present'</t>
        </is>
      </c>
      <c r="F24" s="12" t="inlineStr">
        <is>
          <t>Clients created from 1 January 2020, plus older clients with an in-force policy, an open item, a submitted policy or activity since 2020; prospects excluded; one-time load two weeks before go-live with daily deltas until the freeze; no feed and no write-back after the freeze (PR-DM-08, PR-DM-22)</t>
        </is>
      </c>
      <c r="G24" s="12" t="inlineStr">
        <is>
          <t>Data Migration Handbook BRD-13 v2.1, Proposed business rules and clarifications; decisions DM-Q15, DMQ05, DCR-173</t>
        </is>
      </c>
      <c r="H24" s="12" t="inlineStr">
        <is>
          <t>Program Manager, Business Project Services (Data Migration)</t>
        </is>
      </c>
      <c r="I24" s="37" t="n">
        <v>46311</v>
      </c>
      <c r="J24" s="12" t="inlineStr">
        <is>
          <t>Medium</t>
        </is>
      </c>
      <c r="K24" s="38" t="inlineStr">
        <is>
          <t>Open</t>
        </is>
      </c>
      <c r="L24" s="12" t="n"/>
      <c r="M24" s="12" t="n"/>
    </row>
    <row r="25">
      <c r="A25" s="12" t="inlineStr">
        <is>
          <t>CLR-DM-14</t>
        </is>
      </c>
      <c r="B25" s="12" t="inlineStr">
        <is>
          <t>BRD-13 Data Migration</t>
        </is>
      </c>
      <c r="C25" s="12" t="inlineStr">
        <is>
          <t>Business rule confirmation</t>
        </is>
      </c>
      <c r="D25" s="12" t="inlineStr">
        <is>
          <t>Legacy invoice number on the acknowledgment receipt (brid mig 6.2): Operations - Financial Transactions confirms; BDOI IT confirms that EBIX and QPS numbers are unique and gives the QPS format</t>
        </is>
      </c>
      <c r="E25" s="12" t="inlineStr">
        <is>
          <t>V0.03 says the AR uses the legacy invoice number, 'properly linked to the new core system invoice number'; release set v2.0 does not re-book legacy invoices</t>
        </is>
      </c>
      <c r="F25" s="12" t="inlineStr">
        <is>
          <t>No new invoice number: the legacy number is the BIBS invoice number of a legacy invoice (prefixed with the source system only if EBIX and QPS numbers collide), it is printed on the AR and searchable, and the cross-reference keeps the source system and the legacy number. If BDOI requires a separate BIBS number, one is given at load and both numbers are printed on the AR and searchable</t>
        </is>
      </c>
      <c r="G25" s="12" t="inlineStr">
        <is>
          <t>Data Migration Handbook BRD-13 v2.1, Proposed business rules and clarifications; decisions DM-Q27, DMQ11</t>
        </is>
      </c>
      <c r="H25" s="12" t="inlineStr">
        <is>
          <t>Program Manager, Business Project Services (Data Migration)</t>
        </is>
      </c>
      <c r="I25" s="37" t="n">
        <v>46311</v>
      </c>
      <c r="J25" s="12" t="inlineStr">
        <is>
          <t>Medium</t>
        </is>
      </c>
      <c r="K25" s="38" t="inlineStr">
        <is>
          <t>Open</t>
        </is>
      </c>
      <c r="L25" s="12" t="n"/>
      <c r="M25" s="12" t="n"/>
    </row>
    <row r="26">
      <c r="A26" s="12" t="inlineStr">
        <is>
          <t>CLR-DM-17</t>
        </is>
      </c>
      <c r="B26" s="12" t="inlineStr">
        <is>
          <t>BRD-13 Data Migration</t>
        </is>
      </c>
      <c r="C26" s="12" t="inlineStr">
        <is>
          <t>Business rule confirmation</t>
        </is>
      </c>
      <c r="D26" s="12" t="inlineStr">
        <is>
          <t>Legacy sub-ledgers (brid mig 5.2 to 8.1): The Head of Comptrollership confirms separate legacy control accounts or common sub-ledgers with the origin</t>
        </is>
      </c>
      <c r="E26" s="12" t="inlineStr">
        <is>
          <t>V0.03 no longer writes '(legacy)' after the Premium Receivable, Commission Receivable, DTIP and UPP sub-ledgers; the BRD therefore no longer states the separate legacy sub-ledgers that release set v2.0 cited</t>
        </is>
      </c>
      <c r="F26" s="12" t="inlineStr">
        <is>
          <t>Seven separate legacy control accounts and the Migration Clearing account, which must net to 0.00 (PR-DM-02); codes assigned by Comptrollership; the accounts are closed by Comptrollership when no legacy item is open. If BDOI prefers the common sub-ledgers of new business, the legacy items post there with the origin Migrated and the run-off is reported by origin</t>
        </is>
      </c>
      <c r="G26" s="12" t="inlineStr">
        <is>
          <t>Data Migration Handbook BRD-13 v2.1, Proposed business rules and clarifications; decisions DM-Q31, DMQ18</t>
        </is>
      </c>
      <c r="H26" s="12" t="inlineStr">
        <is>
          <t>Program Manager, Business Project Services (Data Migration)</t>
        </is>
      </c>
      <c r="I26" s="37" t="n">
        <v>46311</v>
      </c>
      <c r="J26" s="12" t="inlineStr">
        <is>
          <t>Medium</t>
        </is>
      </c>
      <c r="K26" s="38" t="inlineStr">
        <is>
          <t>Open</t>
        </is>
      </c>
      <c r="L26" s="12" t="n"/>
      <c r="M26" s="12" t="n"/>
    </row>
    <row r="27">
      <c r="A27" s="12" t="inlineStr">
        <is>
          <t>CLR-DM-18</t>
        </is>
      </c>
      <c r="B27" s="12" t="inlineStr">
        <is>
          <t>BRD-13 Data Migration</t>
        </is>
      </c>
      <c r="C27" s="12" t="inlineStr">
        <is>
          <t>Business rule confirmation</t>
        </is>
      </c>
      <c r="D27" s="12" t="inlineStr">
        <is>
          <t>Negative endorsements with zero premium receivable (brid mig 9.2): The Head of Operations confirms the load of the settled invoices of the current term</t>
        </is>
      </c>
      <c r="E27" s="12" t="inlineStr">
        <is>
          <t>V0.03 asks for negative endorsements 'even those with zero Premium Receivables'; a fully settled invoice is not loaded today and cannot be endorsed</t>
        </is>
      </c>
      <c r="F27" s="12" t="inlineStr">
        <is>
          <t>For every migrated policy header, the legacy invoices of its current term are loaded even when fully settled, with zero open balance and no opening entry, so positive, negative (including zero premium receivable) and non-financial endorsements can reference them; endorsements of legacy invoices are processed only in BIBS from go-live. Until BDOI confirms, object F01 carries the invoices with an open component only</t>
        </is>
      </c>
      <c r="G27" s="12" t="inlineStr">
        <is>
          <t>Data Migration Handbook BRD-13 v2.1, Proposed business rules and clarifications; decisions DM-Q26, DMQ10, DMQ22</t>
        </is>
      </c>
      <c r="H27" s="12" t="inlineStr">
        <is>
          <t>Program Manager, Business Project Services (Data Migration)</t>
        </is>
      </c>
      <c r="I27" s="37" t="n">
        <v>46311</v>
      </c>
      <c r="J27" s="12" t="inlineStr">
        <is>
          <t>Medium</t>
        </is>
      </c>
      <c r="K27" s="38" t="inlineStr">
        <is>
          <t>Open</t>
        </is>
      </c>
      <c r="L27" s="12" t="n"/>
      <c r="M27" s="12" t="n"/>
    </row>
    <row r="28">
      <c r="A28" s="12" t="inlineStr">
        <is>
          <t>PR-DM-06</t>
        </is>
      </c>
      <c r="B28" s="12" t="inlineStr">
        <is>
          <t>BRD-13 Data Migration</t>
        </is>
      </c>
      <c r="C28" s="12" t="inlineStr">
        <is>
          <t>Business rule confirmation</t>
        </is>
      </c>
      <c r="D28" s="12" t="inlineStr">
        <is>
          <t>Approval levels of the legacy batches: Comptrollership confirms the approvers per batch, names top management, and gives the income account and the minimum age of an unapplied payment for the reclassification</t>
        </is>
      </c>
      <c r="E28" s="12" t="inlineStr">
        <is>
          <t>The reclassification to income changes the P&amp;L and needs a management approval; the two reversals move balances between the legacy accounts of one invoice and follow the team-lead approval of the other Cashiering and Commission batches</t>
        </is>
      </c>
      <c r="F28" s="12" t="inlineStr">
        <is>
          <t>Unapplied to Income: requested by a Cashiering user, approved by the Cashiering team lead and then by top management (two different people). Legacy PR 2307 Reversal: requested by a Cashiering user, approved by the Cashiering team lead. DP PR Legacy Reversal: requested by a Commission user, approved by the Commission team lead. In every batch the requester never approves</t>
        </is>
      </c>
      <c r="G28" s="12" t="inlineStr">
        <is>
          <t>Data Migration Handbook BRD-13 v2.1, Proposed business rules and clarifications; decisions DMQ16, DMQ19, DMQ20; also raised as DMQ16 (open decision), DMQ19 (open decision), DMQ20 (open decision), DM-Q29 (Drop 0 list item), DM-Q30 (Drop 0 list item), DM-Q33 (Drop 0 list item), DCR-198 (register item), DCR-205 (register item), DCR-206 (register item)</t>
        </is>
      </c>
      <c r="H28" s="12" t="inlineStr">
        <is>
          <t>Head, Comptrollership</t>
        </is>
      </c>
      <c r="I28" s="37" t="n">
        <v>46325</v>
      </c>
      <c r="J28" s="12" t="inlineStr">
        <is>
          <t>High</t>
        </is>
      </c>
      <c r="K28" s="38" t="inlineStr">
        <is>
          <t>Open</t>
        </is>
      </c>
      <c r="L28" s="12" t="n"/>
      <c r="M28" s="12" t="inlineStr">
        <is>
          <t>Also affects BRD-02, BRD-04.</t>
        </is>
      </c>
    </row>
    <row r="29">
      <c r="A29" s="12" t="inlineStr">
        <is>
          <t>PR-DM-07</t>
        </is>
      </c>
      <c r="B29" s="12" t="inlineStr">
        <is>
          <t>BRD-13 Data Migration</t>
        </is>
      </c>
      <c r="C29" s="12" t="inlineStr">
        <is>
          <t>Business rule confirmation</t>
        </is>
      </c>
      <c r="D29" s="12" t="inlineStr">
        <is>
          <t>Decision rule of an object: The Program Manager confirms the rule and the approver</t>
        </is>
      </c>
      <c r="E29" s="12" t="inlineStr">
        <is>
          <t>The BRD gives the four criteria but not the rule that turns them into a class</t>
        </is>
      </c>
      <c r="F29" s="12" t="inlineStr">
        <is>
          <t>Migrate when the object is needed on Day 1 and is master or reference data; Carry forward when it is an open item BDOI must still act on; Conditional when BDOI states the condition; Archive when it is not needed on Day 1 but must be kept; Excluded otherwise. The Data Migration Lead proposes; the business owner of the object approves (gate G1)</t>
        </is>
      </c>
      <c r="G29" s="12" t="inlineStr">
        <is>
          <t>Data Migration Handbook BRD-13 v2.1, Proposed business rules and clarifications; decisions DMQ02, DMQ01; also raised as DMQ01 (open decision), DMQ02 (open decision), DM-Q20 (Drop 0 list item), DM-Q21 (Drop 0 list item), DCR-192 (register item)</t>
        </is>
      </c>
      <c r="H29" s="12" t="inlineStr">
        <is>
          <t>Program Manager</t>
        </is>
      </c>
      <c r="I29" s="37" t="n">
        <v>46325</v>
      </c>
      <c r="J29" s="12" t="inlineStr">
        <is>
          <t>High</t>
        </is>
      </c>
      <c r="K29" s="38" t="inlineStr">
        <is>
          <t>Open</t>
        </is>
      </c>
      <c r="L29" s="12" t="n"/>
      <c r="M29" s="12" t="n"/>
    </row>
    <row r="30">
      <c r="A30" s="12" t="inlineStr">
        <is>
          <t>PR-DM-09</t>
        </is>
      </c>
      <c r="B30" s="12" t="inlineStr">
        <is>
          <t>BRD-13 Data Migration</t>
        </is>
      </c>
      <c r="C30" s="12" t="inlineStr">
        <is>
          <t>Configuration value</t>
        </is>
      </c>
      <c r="D30" s="12" t="inlineStr">
        <is>
          <t>Client matching keys and thresholds: The Product Owner of MBS confirms the keys (is the bank CIF a key?), the thresholds and the source priority</t>
        </is>
      </c>
      <c r="E30" s="12" t="inlineStr">
        <is>
          <t>One client master without duplicates, with every lost value kept for review</t>
        </is>
      </c>
      <c r="F30" s="12" t="inlineStr">
        <is>
          <t>Keys: TIN; ID type and number; name and birth date; corporate name with registration number; bank CIF if confirmed; e-mail and mobile as soft keys. Pairs scoring 90 or more merge; 60 to 89 go to the Data Steward's review queue; the client load waits until the queue is empty. Per field the first non-blank value wins by source priority (QPS for contact data, EBIX for billing data)</t>
        </is>
      </c>
      <c r="G30" s="12" t="inlineStr">
        <is>
          <t>Data Migration Handbook BRD-13 v2.1, Proposed business rules and clarifications; decisions DMQ04; also raised as DMQ04 (open decision), DM-Q16 (Drop 0 list item)</t>
        </is>
      </c>
      <c r="H30" s="12" t="inlineStr">
        <is>
          <t>Product Owner, MBS</t>
        </is>
      </c>
      <c r="I30" s="37" t="n">
        <v>46325</v>
      </c>
      <c r="J30" s="12" t="inlineStr">
        <is>
          <t>High</t>
        </is>
      </c>
      <c r="K30" s="38" t="inlineStr">
        <is>
          <t>Open</t>
        </is>
      </c>
      <c r="L30" s="12" t="n"/>
      <c r="M30" s="12" t="n"/>
    </row>
    <row r="31">
      <c r="A31" s="12" t="inlineStr">
        <is>
          <t>PR-DM-15</t>
        </is>
      </c>
      <c r="B31" s="12" t="inlineStr">
        <is>
          <t>BRD-13 Data Migration</t>
        </is>
      </c>
      <c r="C31" s="12" t="inlineStr">
        <is>
          <t>Business rule confirmation</t>
        </is>
      </c>
      <c r="D31" s="12" t="inlineStr">
        <is>
          <t>Trial migrations, masking and the dress rehearsal: The Program Manager and Compliance confirm the number of runs and the masking</t>
        </is>
      </c>
      <c r="E31" s="12" t="inlineStr">
        <is>
          <t>Every step of the cut-over is timed and proven on full data before production</t>
        </is>
      </c>
      <c r="F31" s="12" t="inlineStr">
        <is>
          <t>Four trial migrations (April, July, August and October 2027) and a dress rehearsal (November 2027) on masked extracts; masking when the file is received in BIBS; unmasked files never leave production</t>
        </is>
      </c>
      <c r="G31" s="12" t="inlineStr">
        <is>
          <t>Data Migration Handbook BRD-13 v2.1, Proposed business rules and clarifications; decisions DMQ31; also raised as DMQ31 (open decision), DM-Q40 (Drop 0 list item), DM-Q42 (Drop 0 list item)</t>
        </is>
      </c>
      <c r="H31" s="12" t="inlineStr">
        <is>
          <t>Program Manager; Compliance</t>
        </is>
      </c>
      <c r="I31" s="37" t="n">
        <v>46325</v>
      </c>
      <c r="J31" s="12" t="inlineStr">
        <is>
          <t>High</t>
        </is>
      </c>
      <c r="K31" s="38" t="inlineStr">
        <is>
          <t>Open</t>
        </is>
      </c>
      <c r="L31" s="12" t="n"/>
      <c r="M31" s="12" t="n"/>
    </row>
    <row r="32">
      <c r="A32" s="12" t="inlineStr">
        <is>
          <t>PR-DM-24</t>
        </is>
      </c>
      <c r="B32" s="12" t="inlineStr">
        <is>
          <t>BRD-13 Data Migration</t>
        </is>
      </c>
      <c r="C32" s="12" t="inlineStr">
        <is>
          <t>Business rule confirmation</t>
        </is>
      </c>
      <c r="D32" s="12" t="inlineStr">
        <is>
          <t>Package remapping at Renewal sanitation: The Product Owner of Marketing Business System confirms the decision and names the TSU preparer of the map</t>
        </is>
      </c>
      <c r="E32" s="12" t="inlineStr">
        <is>
          <t>BDOI decision of 26 September 2026; no package is guessed at load</t>
        </is>
      </c>
      <c r="F32" s="12" t="inlineStr">
        <is>
          <t>The migration loads the policy headers with the legacy package as given and loads the package code map (object R06) prepared by TSU; each candidate is remapped at the package check of the Renewal sanitation, and a package without a map entry goes to the Exception bucket</t>
        </is>
      </c>
      <c r="G32" s="12" t="inlineStr">
        <is>
          <t>Data Migration Handbook BRD-13 v2.1, Proposed business rules and clarifications; decisions DMQ36; also raised as DMQ36 (open decision), DM-Q02 (Drop 0 list item), DCR-241 (register item)</t>
        </is>
      </c>
      <c r="H32" s="12" t="inlineStr">
        <is>
          <t>Product Owner, MBS; TSU</t>
        </is>
      </c>
      <c r="I32" s="37" t="n">
        <v>46325</v>
      </c>
      <c r="J32" s="12" t="inlineStr">
        <is>
          <t>High</t>
        </is>
      </c>
      <c r="K32" s="38" t="inlineStr">
        <is>
          <t>Answered</t>
        </is>
      </c>
      <c r="L32" s="12" t="n"/>
      <c r="M32" s="12" t="inlineStr">
        <is>
          <t>Answer so far: BDOI 26-Sep-2026 - at sanitation in Renewal, not at migration intake. The migration loads the package code map as reference data only (R06); P01 keeps the legacy package; the package check of the Renewal sanitation sends unmapped packages to the Exception buck; Remapping at sanitation: the Renewal check package remap routes unmapped packages to the Exception bucket for the Renewal processing team; the migration only loads the legacy package code and the PACKAGE code map. (BDOI answer 26-Sep-2026). Also affects BRD-03, BRD-06.</t>
        </is>
      </c>
    </row>
    <row r="33">
      <c r="A33" s="12" t="inlineStr">
        <is>
          <t>PR-DM-25</t>
        </is>
      </c>
      <c r="B33" s="12" t="inlineStr">
        <is>
          <t>BRD-13 Data Migration</t>
        </is>
      </c>
      <c r="C33" s="12" t="inlineStr">
        <is>
          <t>Business rule confirmation</t>
        </is>
      </c>
      <c r="D33" s="12" t="inlineStr">
        <is>
          <t>Renewals of the January-May 2028 expiries: The Heads of Retail and Corporate Marketing and the Head of the Renewal processing team confirm</t>
        </is>
      </c>
      <c r="E33" s="12" t="inlineStr">
        <is>
          <t>BDOI decisions of 26 September 2026; the renewal lead time of the first months is protected</t>
        </is>
      </c>
      <c r="F33" s="12" t="inlineStr">
        <is>
          <t>No renewal cohort is carried from legacy: the expiries from go-live to 31 May 2028 are extracted at go-live and processed in BIBS, January expiries first and flagged Urgent; the renewal advices already sent are loaded from the Excel trackers of the Renewal processing team (object P03) with a maker and a checker</t>
        </is>
      </c>
      <c r="G33" s="12" t="inlineStr">
        <is>
          <t>Data Migration Handbook BRD-13 v2.1, Proposed business rules and clarifications; decisions DMQ26, DMQ37, DMQ38; also raised as DMQ26 (open decision), DMQ37 (open decision), DMQ38 (open decision), DM-Q08 (Drop 0 list item), DCR-240 (register item), DCR-243 (register item)</t>
        </is>
      </c>
      <c r="H33" s="12" t="inlineStr">
        <is>
          <t>Heads, Retail and Corporate Marketing</t>
        </is>
      </c>
      <c r="I33" s="37" t="n">
        <v>46325</v>
      </c>
      <c r="J33" s="12" t="inlineStr">
        <is>
          <t>High</t>
        </is>
      </c>
      <c r="K33" s="38" t="inlineStr">
        <is>
          <t>Answered</t>
        </is>
      </c>
      <c r="L33" s="12" t="n"/>
      <c r="M33" s="12" t="inlineStr">
        <is>
          <t>Answer so far: Answered by DMQ37 (26-Sep-2026) - no cohort is carried; the expiries from T to 31-May-2028 are extracted by BIBS at go-live from the migrated headers; the daily extraction then starts at the expiry of 1-Jun-2028 (extracted 13-Jan-2028); BDOI 26-Sep-2026 - processed in BIBS after go-live; no carried candidates. Go-live extraction of every expiry from T to 31-May-2028 from the migrated headers (P01), prioritised by expiry date, January expiries flagged urgent; RAs already sent by hand loaded as; BDOI 26-Sep-2026 - RMEL and dispositions are kept in Excel; rejected rows are reviewed by the Renewal processing team, maker and checker. Only the RAs already sent are taken from the trackers (XLSX template, rejection report with correction columns, maker-chec. Also affects BRD-00, BRD-06.</t>
        </is>
      </c>
    </row>
    <row r="34">
      <c r="A34" s="12" t="inlineStr">
        <is>
          <t>PR-DM-28</t>
        </is>
      </c>
      <c r="B34" s="12" t="inlineStr">
        <is>
          <t>BRD-13 Data Migration</t>
        </is>
      </c>
      <c r="C34" s="12" t="inlineStr">
        <is>
          <t>Configuration value</t>
        </is>
      </c>
      <c r="D34" s="12" t="inlineStr">
        <is>
          <t>Reconciliation tolerance: Comptrollership confirms the tolerance</t>
        </is>
      </c>
      <c r="E34" s="12" t="inlineStr">
        <is>
          <t>Financial objects must reconcile to the centavo; the BRD gives no tolerance</t>
        </is>
      </c>
      <c r="F34" s="12" t="inlineStr">
        <is>
          <t>An amount difference between the control total, staging and BIBS is a break unless it is within the amount tolerance per currency (proposed 0.00); every break is fixed by a rerun or explained with a reason from the list and approved by the reconciliation approver</t>
        </is>
      </c>
      <c r="G34" s="12" t="inlineStr">
        <is>
          <t>Data Migration Handbook BRD-13 v2.1, Proposed business rules and clarifications; decisions -; also raised as DM-Q48 (Drop 0 list item)</t>
        </is>
      </c>
      <c r="H34" s="12" t="inlineStr">
        <is>
          <t>Head, Comptrollership; data owners</t>
        </is>
      </c>
      <c r="I34" s="37" t="n">
        <v>46325</v>
      </c>
      <c r="J34" s="12" t="inlineStr">
        <is>
          <t>High</t>
        </is>
      </c>
      <c r="K34" s="38" t="inlineStr">
        <is>
          <t>Open</t>
        </is>
      </c>
      <c r="L34" s="12" t="n"/>
      <c r="M34" s="12" t="n"/>
    </row>
    <row r="35">
      <c r="A35" s="12" t="inlineStr">
        <is>
          <t>CLR-DM-19</t>
        </is>
      </c>
      <c r="B35" s="12" t="inlineStr">
        <is>
          <t>BRD-13 Data Migration</t>
        </is>
      </c>
      <c r="C35" s="12" t="inlineStr">
        <is>
          <t>Configuration value</t>
        </is>
      </c>
      <c r="D35" s="12" t="inlineStr">
        <is>
          <t>Prod Recon 'all data from the legacy system' (brid mig 10.1): Operations - Production Reconciliation confirms which changes count, the period, the frequency and the recipients</t>
        </is>
      </c>
      <c r="E35" s="12" t="inlineStr">
        <is>
          <t>V0.03 adds 'all data from the legacy system should be considered' and the Reporting User persona; legacy invoices were reconciled in legacy and are not BIBS production</t>
        </is>
      </c>
      <c r="F35" s="12" t="inlineStr">
        <is>
          <t>The report Changes to Legacy Invoices covers every change to a legacy invoice after load, including payments and remittances, with original, updated and delta values, exportable to Excel; the Reporting User role may run it. The production register covers BIBS bookings only; legacy invoices are added on a separate filter if BDOI requires</t>
        </is>
      </c>
      <c r="G35" s="12" t="inlineStr">
        <is>
          <t>Data Migration Handbook BRD-13 v2.1, Proposed business rules and clarifications; decisions DM-Q36, DMQ23; also raised as DMQ23 (open decision), DM-Q36 (Drop 0 list item)</t>
        </is>
      </c>
      <c r="H35" s="12" t="inlineStr">
        <is>
          <t>Operations - Prod Recon</t>
        </is>
      </c>
      <c r="I35" s="37" t="n">
        <v>46325</v>
      </c>
      <c r="J35" s="12" t="inlineStr">
        <is>
          <t>High</t>
        </is>
      </c>
      <c r="K35" s="38" t="inlineStr">
        <is>
          <t>Open</t>
        </is>
      </c>
      <c r="L35" s="12" t="n"/>
      <c r="M35" s="12" t="n"/>
    </row>
    <row r="36">
      <c r="A36" s="12" t="inlineStr">
        <is>
          <t>DM-Q22</t>
        </is>
      </c>
      <c r="B36" s="12" t="inlineStr">
        <is>
          <t>BRD-13 Data Migration</t>
        </is>
      </c>
      <c r="C36" s="12" t="inlineStr">
        <is>
          <t>Configuration value</t>
        </is>
      </c>
      <c r="D36" s="12" t="inlineStr">
        <is>
          <t>Please name the BDOI Data Migration Lead, the members of the go / no-go board (proposed: Program Manager as chair, Heads of Operations, Comptrollership, Marketing and Compliance, the BDOI IT head, the iorta TechNXT Project Manager) and the reconciliation approver per object. Please also confirm the signatories of the BRD-13 sign-off certificate against the V0.03 approval page: the Unit Head, Analytics and Risk Management is no longer an approver in V0.03, and the BA Unit Head of Business Project Services is added as reviewer..</t>
        </is>
      </c>
      <c r="E36" s="12" t="inlineStr">
        <is>
          <t>Changed in BRD V0.03 p.19-20 (approval page) compared with V0.01 p.15-16. Handbook 'Migration organisation' and RACI; Migration Workbook sheet Sign-off certificate (still lists the V0.01 approvers, including the Unit Head, Analytics and Risk Management for the archive and Legacy Inquiry). If not provided: Sign-off of the set on 30-Oct-2026 and the RACI of the cut-over.</t>
        </is>
      </c>
      <c r="F36" s="12" t="inlineStr">
        <is>
          <t>Signatories aligned to the V0.03 approval page; archive and Legacy Inquiry signed by Compliance; claims objects by the Unit Head, Claims; go / no-go board as proposed.</t>
        </is>
      </c>
      <c r="G36" s="12" t="inlineStr">
        <is>
          <t>Drop 0 requirements and questions list v1.0 (8-Oct-2026), DM-Q22; BRD Data Migration V0.03 p.19-20; BRD Data Migration draft V0.01 p.15-16; Data Migration Handbook v2.0 'Migration organisation', RACI; Migration Workbook v2.0 sheet Sign-off certificate</t>
        </is>
      </c>
      <c r="H36" s="12" t="inlineStr">
        <is>
          <t>Program Manager, Business Project Services</t>
        </is>
      </c>
      <c r="I36" s="37" t="n">
        <v>46325</v>
      </c>
      <c r="J36" s="12" t="inlineStr">
        <is>
          <t>High</t>
        </is>
      </c>
      <c r="K36" s="38" t="inlineStr">
        <is>
          <t>Open</t>
        </is>
      </c>
      <c r="L36" s="12" t="n"/>
      <c r="M36" s="12" t="n"/>
    </row>
    <row r="37">
      <c r="A37" s="12" t="inlineStr">
        <is>
          <t>DM-Q37</t>
        </is>
      </c>
      <c r="B37" s="12" t="inlineStr">
        <is>
          <t>BRD-13 Data Migration</t>
        </is>
      </c>
      <c r="C37" s="12" t="inlineStr">
        <is>
          <t>Clarification</t>
        </is>
      </c>
      <c r="D37" s="12" t="inlineStr">
        <is>
          <t>For new brid mig 10.2, please list the reports that must combine migrated and newly created data (for example from the Report List of 13 May 2026), and confirm how periods before go-live are reported: our proposal is that position reports (receivables, DTIP, commission receivable, UPP, in-force policies, clients) include migrated records by default with an Origin column and filter, while transaction-period reports (production, BIR books and returns) cover BIBS transactions from go-live and FY2027 figures come from legacy..</t>
        </is>
      </c>
      <c r="E37" s="12" t="inlineStr">
        <is>
          <t>New in BRD V0.03 p.13 (brid mig 10.2, added in revision 0.03). The handbook provides the Origin filter only; year-end option A keeps FY2027 books, BIR returns and audit in legacy (assumption A-DM-12); the drop plan lists 'Reports BIR / regulatory (ACCT, Data Migration)' in Drop 1. If not provided: Report specifications of every module must be checked against the rule; BIR reports may otherwise mix FY2027 and FY2028 figures.</t>
        </is>
      </c>
      <c r="F37" s="12" t="inlineStr">
        <is>
          <t>As stated; each report's specification in its module states how migrated records are included.</t>
        </is>
      </c>
      <c r="G37" s="12" t="inlineStr">
        <is>
          <t>Drop 0 requirements and questions list v1.0 (8-Oct-2026), DM-Q37; BRD Data Migration V0.03 p.13 (10.2); Data Migration Handbook v2.0 'How migrated records are marked', assumption A-DM-12; BDOI drop plan (Drop 1 downstream item 6); Report List 05132026</t>
        </is>
      </c>
      <c r="H37" s="12" t="inlineStr">
        <is>
          <t>Product Owner, Marketing Business System; Head, Comptrollership (BIR reports)</t>
        </is>
      </c>
      <c r="I37" s="37" t="n">
        <v>46325</v>
      </c>
      <c r="J37" s="12" t="inlineStr">
        <is>
          <t>High</t>
        </is>
      </c>
      <c r="K37" s="38" t="inlineStr">
        <is>
          <t>Open</t>
        </is>
      </c>
      <c r="L37" s="12" t="n"/>
      <c r="M37" s="12" t="n"/>
    </row>
    <row r="38">
      <c r="A38" s="12" t="inlineStr">
        <is>
          <t>DEP-02</t>
        </is>
      </c>
      <c r="B38" s="12" t="inlineStr">
        <is>
          <t>BRD-13 Data Migration</t>
        </is>
      </c>
      <c r="C38" s="12" t="inlineStr">
        <is>
          <t>Decision</t>
        </is>
      </c>
      <c r="D38" s="12" t="inlineStr">
        <is>
          <t>Position on the Data Migration BRD V0.03 conflicts: renewals in progress (brid mig 12.1 against DMQ37), claims, submitted policies, payees and e-policy linking in scope</t>
        </is>
      </c>
      <c r="E38" s="12" t="inlineStr">
        <is>
          <t>Needed for: Data object register and Handbook v2.1. If late: New layouts after M2; migration effort and trial scope change.</t>
        </is>
      </c>
      <c r="F38" s="12" t="n"/>
      <c r="G38" s="12" t="inlineStr">
        <is>
          <t>Project plan v1.0 (8-Oct-2026), dependency DEP-02 (Decision)</t>
        </is>
      </c>
      <c r="H38" s="12" t="inlineStr">
        <is>
          <t>Program Manager; Head of the Renewal processing team; Head, Comptrollership</t>
        </is>
      </c>
      <c r="I38" s="37" t="n">
        <v>46325</v>
      </c>
      <c r="J38" s="12" t="inlineStr">
        <is>
          <t>High</t>
        </is>
      </c>
      <c r="K38" s="38" t="inlineStr">
        <is>
          <t>Open</t>
        </is>
      </c>
      <c r="L38" s="12" t="n"/>
      <c r="M38" s="12" t="n"/>
    </row>
    <row r="39">
      <c r="A39" s="12" t="inlineStr">
        <is>
          <t>SO-13-1</t>
        </is>
      </c>
      <c r="B39" s="12" t="inlineStr">
        <is>
          <t>BRD-13 Data Migration</t>
        </is>
      </c>
      <c r="C39" s="12" t="inlineStr">
        <is>
          <t>Sign-off</t>
        </is>
      </c>
      <c r="D39" s="12" t="inlineStr">
        <is>
          <t>Sign the BRD-13 Data Migration sign-off set (re-based on BRD V0.03).</t>
        </is>
      </c>
      <c r="E39" s="12" t="inlineStr">
        <is>
          <t>The signed document fixes the scope for the next step of the plan; a late sign-off moves the dates that follow it.</t>
        </is>
      </c>
      <c r="F39" s="12" t="n"/>
      <c r="G39" s="12" t="inlineStr">
        <is>
          <t>Project plan v1.0 (8-Oct-2026), sign-offs and milestones</t>
        </is>
      </c>
      <c r="H39" s="12" t="inlineStr">
        <is>
          <t>Program Manager, Business Project Services; Data Migration Lead; Head, Comptrollership; Head, Operations; BDOI IT</t>
        </is>
      </c>
      <c r="I39" s="37" t="n">
        <v>46325</v>
      </c>
      <c r="J39" s="12" t="inlineStr">
        <is>
          <t>High</t>
        </is>
      </c>
      <c r="K39" s="38" t="inlineStr">
        <is>
          <t>Open</t>
        </is>
      </c>
      <c r="L39" s="12" t="n"/>
      <c r="M39" s="12" t="n"/>
    </row>
    <row r="40">
      <c r="A40" s="12" t="inlineStr">
        <is>
          <t>PR-DM-04</t>
        </is>
      </c>
      <c r="B40" s="12" t="inlineStr">
        <is>
          <t>BRD-13 Data Migration</t>
        </is>
      </c>
      <c r="C40" s="12" t="inlineStr">
        <is>
          <t>Business rule confirmation</t>
        </is>
      </c>
      <c r="D40" s="12" t="inlineStr">
        <is>
          <t>Legacy document folder and read-only links: BDOI IT names the transfer folder and the read-only address of EBIX and QPS; Audit / Compliance confirms per system whether history is archived in BIBS or read in legacy until decommissioning</t>
        </is>
      </c>
      <c r="E40" s="12" t="inlineStr">
        <is>
          <t>History stays retrievable with logged access without converting it into BIBS transactions</t>
        </is>
      </c>
      <c r="F40" s="12" t="inlineStr">
        <is>
          <t>Legacy documents (policies, SOAs, ORs, certificates, letters, KYC files) are copied by BDOI IT into a transfer folder with an index file (layout H02) and a SHA-256 per file; BIBS archives them with their record. Each legacy application stays available read-only until it is decommissioned; its address is shown in Legacy Inquiry for the users who still need it</t>
        </is>
      </c>
      <c r="G40" s="12" t="inlineStr">
        <is>
          <t>Data Migration Handbook BRD-13 v2.1, Proposed business rules and clarifications; decisions DMQ24, DMQ07; also raised as DMQ07 (open decision), DMQ24 (open decision), DM-Q43 (Drop 0 list item)</t>
        </is>
      </c>
      <c r="H40" s="12" t="inlineStr">
        <is>
          <t>Compliance</t>
        </is>
      </c>
      <c r="I40" s="37" t="n">
        <v>46325</v>
      </c>
      <c r="J40" s="12" t="inlineStr">
        <is>
          <t>Medium</t>
        </is>
      </c>
      <c r="K40" s="38" t="inlineStr">
        <is>
          <t>Open</t>
        </is>
      </c>
      <c r="L40" s="12" t="n"/>
      <c r="M40" s="12" t="n"/>
    </row>
    <row r="41">
      <c r="A41" s="12" t="inlineStr">
        <is>
          <t>PR-DM-10</t>
        </is>
      </c>
      <c r="B41" s="12" t="inlineStr">
        <is>
          <t>BRD-13 Data Migration</t>
        </is>
      </c>
      <c r="C41" s="12" t="inlineStr">
        <is>
          <t>Configuration value</t>
        </is>
      </c>
      <c r="D41" s="12" t="inlineStr">
        <is>
          <t>Loading thresholds: Comptrollership and the data owners confirm the two thresholds</t>
        </is>
      </c>
      <c r="E41" s="12" t="inlineStr">
        <is>
          <t>Master data can be completed after go-live; a missing financial item would break the ledger and the reconciliation</t>
        </is>
      </c>
      <c r="F41" s="12" t="inlineStr">
        <is>
          <t>Master data may be loaded with at most 0.5 percent of rows rejected or waived; open invoices, unapplied payments and the trial balance only with no error, or with each excluded row approved by its owner with a manual-entry plan</t>
        </is>
      </c>
      <c r="G41" s="12" t="inlineStr">
        <is>
          <t>Data Migration Handbook BRD-13 v2.1, Proposed business rules and clarifications; decisions DMQ29; also raised as DMQ29 (open decision), DM-Q24 (Drop 0 list item), DM-Q45 (Drop 0 list item)</t>
        </is>
      </c>
      <c r="H41" s="12" t="inlineStr">
        <is>
          <t>Program Manager</t>
        </is>
      </c>
      <c r="I41" s="37" t="n">
        <v>46325</v>
      </c>
      <c r="J41" s="12" t="inlineStr">
        <is>
          <t>Medium</t>
        </is>
      </c>
      <c r="K41" s="38" t="inlineStr">
        <is>
          <t>Open</t>
        </is>
      </c>
      <c r="L41" s="12" t="n"/>
      <c r="M41" s="12" t="n"/>
    </row>
    <row r="42">
      <c r="A42" s="12" t="inlineStr">
        <is>
          <t>PR-DM-14</t>
        </is>
      </c>
      <c r="B42" s="12" t="inlineStr">
        <is>
          <t>BRD-13 Data Migration</t>
        </is>
      </c>
      <c r="C42" s="12" t="inlineStr">
        <is>
          <t>Configuration value</t>
        </is>
      </c>
      <c r="D42" s="12" t="inlineStr">
        <is>
          <t>Foreign-currency openings: Comptrollership confirms the rate</t>
        </is>
      </c>
      <c r="E42" s="12" t="inlineStr">
        <is>
          <t>The legacy receivable is carried at the value in the legacy books</t>
        </is>
      </c>
      <c r="F42" s="12" t="inlineStr">
        <is>
          <t>USD invoices and unapplied payments open at their legacy booking rate; the difference at collection is an exchange difference as for a BIBS invoice</t>
        </is>
      </c>
      <c r="G42" s="12" t="inlineStr">
        <is>
          <t>Data Migration Handbook BRD-13 v2.1, Proposed business rules and clarifications; decisions DMQ35; also raised as DMQ35 (open decision), DM-Q34 (Drop 0 list item)</t>
        </is>
      </c>
      <c r="H42" s="12" t="inlineStr">
        <is>
          <t>Head, Comptrollership</t>
        </is>
      </c>
      <c r="I42" s="37" t="n">
        <v>46325</v>
      </c>
      <c r="J42" s="12" t="inlineStr">
        <is>
          <t>Medium</t>
        </is>
      </c>
      <c r="K42" s="38" t="inlineStr">
        <is>
          <t>Open</t>
        </is>
      </c>
      <c r="L42" s="12" t="n"/>
      <c r="M42" s="12" t="n"/>
    </row>
    <row r="43">
      <c r="A43" s="12" t="inlineStr">
        <is>
          <t>PR-DM-17</t>
        </is>
      </c>
      <c r="B43" s="12" t="inlineStr">
        <is>
          <t>BRD-13 Data Migration</t>
        </is>
      </c>
      <c r="C43" s="12" t="inlineStr">
        <is>
          <t>Business rule confirmation</t>
        </is>
      </c>
      <c r="D43" s="12" t="inlineStr">
        <is>
          <t>Items in process at the freeze: Operations confirms the completion drives and the re-keying list</t>
        </is>
      </c>
      <c r="E43" s="12" t="inlineStr">
        <is>
          <t>No item is lost at the freeze or processed in both systems</t>
        </is>
      </c>
      <c r="F43" s="12" t="inlineStr">
        <is>
          <t>Endorsements, un-booked accounts, placements, cheque pick-ups and refunds in process are completed in legacy before the freeze; what cannot complete is carried (F04, F06) or keyed in BIBS after go-live from a list signed by its owner</t>
        </is>
      </c>
      <c r="G43" s="12" t="inlineStr">
        <is>
          <t>Data Migration Handbook BRD-13 v2.1, Proposed business rules and clarifications; decisions DMQ33, DMQ21</t>
        </is>
      </c>
      <c r="H43" s="12" t="inlineStr">
        <is>
          <t>Program Manager, Business Project Services (Data Migration)</t>
        </is>
      </c>
      <c r="I43" s="37" t="n">
        <v>46325</v>
      </c>
      <c r="J43" s="12" t="inlineStr">
        <is>
          <t>Medium</t>
        </is>
      </c>
      <c r="K43" s="38" t="inlineStr">
        <is>
          <t>Open</t>
        </is>
      </c>
      <c r="L43" s="12" t="n"/>
      <c r="M43" s="12" t="n"/>
    </row>
    <row r="44">
      <c r="A44" s="12" t="inlineStr">
        <is>
          <t>PR-DM-18</t>
        </is>
      </c>
      <c r="B44" s="12" t="inlineStr">
        <is>
          <t>BRD-13 Data Migration</t>
        </is>
      </c>
      <c r="C44" s="12" t="inlineStr">
        <is>
          <t>Business rule confirmation</t>
        </is>
      </c>
      <c r="D44" s="12" t="inlineStr">
        <is>
          <t>Collection state: Collections confirms</t>
        </is>
      </c>
      <c r="E44" s="12" t="inlineStr">
        <is>
          <t>Collectors continue their follow-up without re-keying</t>
        </is>
      </c>
      <c r="F44" s="12" t="inlineStr">
        <is>
          <t>Carry the open dispositions, promises to pay, instalment plans and collector assignments of the open invoices; the history stays in the archive</t>
        </is>
      </c>
      <c r="G44" s="12" t="inlineStr">
        <is>
          <t>Data Migration Handbook BRD-13 v2.1, Proposed business rules and clarifications; decisions DMQ34; also raised as DMQ34 (open decision), DM-Q35 (Drop 0 list item), DCR-203 (register item)</t>
        </is>
      </c>
      <c r="H44" s="12" t="inlineStr">
        <is>
          <t>Head, Operations (Collections)</t>
        </is>
      </c>
      <c r="I44" s="37" t="n">
        <v>46325</v>
      </c>
      <c r="J44" s="12" t="inlineStr">
        <is>
          <t>Medium</t>
        </is>
      </c>
      <c r="K44" s="38" t="inlineStr">
        <is>
          <t>Open</t>
        </is>
      </c>
      <c r="L44" s="12" t="n"/>
      <c r="M44" s="12" t="inlineStr">
        <is>
          <t>Also affects BRD-04.</t>
        </is>
      </c>
    </row>
    <row r="45">
      <c r="A45" s="12" t="inlineStr">
        <is>
          <t>PR-DM-19</t>
        </is>
      </c>
      <c r="B45" s="12" t="inlineStr">
        <is>
          <t>BRD-13 Data Migration</t>
        </is>
      </c>
      <c r="C45" s="12" t="inlineStr">
        <is>
          <t>Business rule confirmation</t>
        </is>
      </c>
      <c r="D45" s="12" t="inlineStr">
        <is>
          <t>Screening of migrated clients: Compliance confirms</t>
        </is>
      </c>
      <c r="E45" s="12" t="inlineStr">
        <is>
          <t>Current results for every client without thousands of screening requests during the load</t>
        </is>
      </c>
      <c r="F45" s="12" t="inlineStr">
        <is>
          <t>No screening per migrated client during the load; one full screening run of all migrated clients before go-live; legacy screening results archived</t>
        </is>
      </c>
      <c r="G45" s="12" t="inlineStr">
        <is>
          <t>Data Migration Handbook BRD-13 v2.1, Proposed business rules and clarifications; decisions DMQ06; also raised as DMQ06 (open decision), DM-Q17 (Drop 0 list item), DCR-208 (register item)</t>
        </is>
      </c>
      <c r="H45" s="12" t="inlineStr">
        <is>
          <t>Compliance</t>
        </is>
      </c>
      <c r="I45" s="37" t="n">
        <v>46325</v>
      </c>
      <c r="J45" s="12" t="inlineStr">
        <is>
          <t>Medium</t>
        </is>
      </c>
      <c r="K45" s="38" t="inlineStr">
        <is>
          <t>Open</t>
        </is>
      </c>
      <c r="L45" s="12" t="n"/>
      <c r="M45" s="12" t="inlineStr">
        <is>
          <t>Also affects BRD-10.</t>
        </is>
      </c>
    </row>
    <row r="46">
      <c r="A46" s="12" t="inlineStr">
        <is>
          <t>PR-DM-20</t>
        </is>
      </c>
      <c r="B46" s="12" t="inlineStr">
        <is>
          <t>BRD-13 Data Migration</t>
        </is>
      </c>
      <c r="C46" s="12" t="inlineStr">
        <is>
          <t>Business rule confirmation</t>
        </is>
      </c>
      <c r="D46" s="12" t="inlineStr">
        <is>
          <t>Retention of the migration evidence: Compliance confirms the retention of the evidence</t>
        </is>
      </c>
      <c r="E46" s="12" t="inlineStr">
        <is>
          <t>The personal data of the extracts is not kept longer than needed while the evidence of the migration stays available for audit</t>
        </is>
      </c>
      <c r="F46" s="12" t="inlineStr">
        <is>
          <t>Staged rows and files are deleted within 5 days of the batch sign-off; counts, hashes, totals, reports and sign-offs are kept 10 years; the archive and its access log follow the retention of historical data (5 years online, 15 years archive)</t>
        </is>
      </c>
      <c r="G46" s="12" t="inlineStr">
        <is>
          <t>Data Migration Handbook BRD-13 v2.1, Proposed business rules and clarifications; decisions DMQ29, DMQ24; also raised as DM-Q44 (Drop 0 list item)</t>
        </is>
      </c>
      <c r="H46" s="12" t="inlineStr">
        <is>
          <t>Compliance; Program Manager, Business Project Services</t>
        </is>
      </c>
      <c r="I46" s="37" t="n">
        <v>46325</v>
      </c>
      <c r="J46" s="12" t="inlineStr">
        <is>
          <t>Medium</t>
        </is>
      </c>
      <c r="K46" s="38" t="inlineStr">
        <is>
          <t>Open</t>
        </is>
      </c>
      <c r="L46" s="12" t="n"/>
      <c r="M46" s="12" t="n"/>
    </row>
    <row r="47">
      <c r="A47" s="12" t="inlineStr">
        <is>
          <t>PR-DM-26</t>
        </is>
      </c>
      <c r="B47" s="12" t="inlineStr">
        <is>
          <t>BRD-13 Data Migration</t>
        </is>
      </c>
      <c r="C47" s="12" t="inlineStr">
        <is>
          <t>Clarification</t>
        </is>
      </c>
      <c r="D47" s="12" t="inlineStr">
        <is>
          <t>Objects outside the migration: The Program Manager decides the scope of each object</t>
        </is>
      </c>
      <c r="E47" s="12" t="inlineStr">
        <is>
          <t>The scope of these objects is open in the BRD</t>
        </is>
      </c>
      <c r="F47" s="12" t="inlineStr">
        <is>
          <t>Open claims, Employee Benefits programmes, the Excel masterlists of submitted policies, payees and users are not migrated until BDOI decides; users are created through User Access requests and legacy user IDs are only mapped; an object brought into scope uses the same layouts, gates and reconciliation</t>
        </is>
      </c>
      <c r="G47" s="12" t="inlineStr">
        <is>
          <t>Data Migration Handbook BRD-13 v2.1, Proposed business rules and clarifications; decisions DMQ30</t>
        </is>
      </c>
      <c r="H47" s="12" t="inlineStr">
        <is>
          <t>Program Manager, Business Project Services (Data Migration)</t>
        </is>
      </c>
      <c r="I47" s="37" t="n">
        <v>46325</v>
      </c>
      <c r="J47" s="12" t="inlineStr">
        <is>
          <t>Medium</t>
        </is>
      </c>
      <c r="K47" s="38" t="inlineStr">
        <is>
          <t>Open</t>
        </is>
      </c>
      <c r="L47" s="12" t="n"/>
      <c r="M47" s="12" t="n"/>
    </row>
    <row r="48">
      <c r="A48" s="12" t="inlineStr">
        <is>
          <t>CLR-DM-02</t>
        </is>
      </c>
      <c r="B48" s="12" t="inlineStr">
        <is>
          <t>BRD-13 Data Migration</t>
        </is>
      </c>
      <c r="C48" s="12" t="inlineStr">
        <is>
          <t>Configuration value</t>
        </is>
      </c>
      <c r="D48" s="12" t="inlineStr">
        <is>
          <t>Requirement numbering of V0.03: The Program Manager confirms the numbers or gives the correct ones in the annex</t>
        </is>
      </c>
      <c r="E48" s="12" t="inlineStr">
        <is>
          <t>Traceability and test cases cannot be keyed on a requirement ID used twice</t>
        </is>
      </c>
      <c r="F48" s="12" t="inlineStr">
        <is>
          <t>Two requirements of V0.03 are numbered brid mig 12.1 (p.13). This set keeps brid mig 12.1 for the cut-over aligned to the RMEL and reads the second one (renewals in progress) as brid mig 12.2. brid mig 14.2 (e-policies) is listed under capability 15, which is not in the list of capabilities (p.6); it is read as part of capability 14 (or as a capability 15 'E-policy linking to migrated accounts'). Capability 7 is read as 'Operations Adjustments'</t>
        </is>
      </c>
      <c r="G48" s="12" t="inlineStr">
        <is>
          <t>Data Migration Handbook BRD-13 v2.1, Proposed business rules and clarifications; decisions DM-Q03</t>
        </is>
      </c>
      <c r="H48" s="12" t="inlineStr">
        <is>
          <t>Program Manager, Business Project Services (Data Migration)</t>
        </is>
      </c>
      <c r="I48" s="37" t="n">
        <v>46325</v>
      </c>
      <c r="J48" s="12" t="inlineStr">
        <is>
          <t>Medium</t>
        </is>
      </c>
      <c r="K48" s="38" t="inlineStr">
        <is>
          <t>Open</t>
        </is>
      </c>
      <c r="L48" s="12" t="n"/>
      <c r="M48" s="12" t="n"/>
    </row>
    <row r="49">
      <c r="A49" s="12" t="inlineStr">
        <is>
          <t>CLR-DM-04</t>
        </is>
      </c>
      <c r="B49" s="12" t="inlineStr">
        <is>
          <t>BRD-13 Data Migration</t>
        </is>
      </c>
      <c r="C49" s="12" t="inlineStr">
        <is>
          <t>Configuration value</t>
        </is>
      </c>
      <c r="D49" s="12" t="inlineStr">
        <is>
          <t>Reconciliation tolerance and 'no material variances': The Head of Comptrollership confirms the 0.00 tolerance, or names the threshold and the objects it applies to</t>
        </is>
      </c>
      <c r="E49" s="12" t="inlineStr">
        <is>
          <t>Open items and the GL opening must reconcile to the centavo so that Migration Clearing nets to 0.00; a materiality threshold would leave unexplained differences on the legacy control accounts</t>
        </is>
      </c>
      <c r="F49" s="12" t="inlineStr">
        <is>
          <t>brid mig 13.1 accepts the accounting data 'with no material variances'. The set keeps an amount tolerance of 0.00 per currency for every object (PR-DM-28) and no materiality threshold: every difference is a break that is fixed by a rerun or explained and approved by the reconciliation approver before gate G5</t>
        </is>
      </c>
      <c r="G49" s="12" t="inlineStr">
        <is>
          <t>Data Migration Handbook BRD-13 v2.1, Proposed business rules and clarifications; decisions DM-Q48</t>
        </is>
      </c>
      <c r="H49" s="12" t="inlineStr">
        <is>
          <t>Program Manager, Business Project Services (Data Migration)</t>
        </is>
      </c>
      <c r="I49" s="37" t="n">
        <v>46325</v>
      </c>
      <c r="J49" s="12" t="inlineStr">
        <is>
          <t>Medium</t>
        </is>
      </c>
      <c r="K49" s="38" t="inlineStr">
        <is>
          <t>Open</t>
        </is>
      </c>
      <c r="L49" s="12" t="n"/>
      <c r="M49" s="12" t="n"/>
    </row>
    <row r="50">
      <c r="A50" s="12" t="inlineStr">
        <is>
          <t>CLR-DM-05</t>
        </is>
      </c>
      <c r="B50" s="12" t="inlineStr">
        <is>
          <t>BRD-13 Data Migration</t>
        </is>
      </c>
      <c r="C50" s="12" t="inlineStr">
        <is>
          <t>Business rule confirmation</t>
        </is>
      </c>
      <c r="D50" s="12" t="inlineStr">
        <is>
          <t>Submitted policies and endorsements kept outside the legacy systems (brid mig 1.3): CBG and Non-CBG Marketing confirm the submitted-policy scope and owners; the Head of Operations identifies the endorsements kept outside legacy and confirms their treatment</t>
        </is>
      </c>
      <c r="E50" s="12" t="inlineStr">
        <is>
          <t>brid mig 1.3 names both among the data to migrate 'not limited to' the legacy systems; release set v2.0 held them as conditional (DMQ30)</t>
        </is>
      </c>
      <c r="F50" s="12" t="inlineStr">
        <is>
          <t>Submitted policies (object P04): the active records of the Excel masterlists are loaded through the masterlist upload of the Submitted Policies module with the same reconciliation and gates, and their clients are part of the client load (C01). Endorsements and adjustments kept outside the legacy systems: completed in legacy before the freeze where possible; the rest keyed in BIBS after go-live against the migrated policy header from a list signed by the Head of Operations; no migration layout. Until BDOI confirms, P04 stays Conditional in the data object register</t>
        </is>
      </c>
      <c r="G50" s="12" t="inlineStr">
        <is>
          <t>Data Migration Handbook BRD-13 v2.1, Proposed business rules and clarifications; decisions DM-Q09, DM-Q10, DMQ30</t>
        </is>
      </c>
      <c r="H50" s="12" t="inlineStr">
        <is>
          <t>Program Manager, Business Project Services (Data Migration)</t>
        </is>
      </c>
      <c r="I50" s="37" t="n">
        <v>46325</v>
      </c>
      <c r="J50" s="12" t="inlineStr">
        <is>
          <t>Medium</t>
        </is>
      </c>
      <c r="K50" s="38" t="inlineStr">
        <is>
          <t>Open</t>
        </is>
      </c>
      <c r="L50" s="12" t="n"/>
      <c r="M50" s="12" t="n"/>
    </row>
    <row r="51">
      <c r="A51" s="12" t="inlineStr">
        <is>
          <t>CLR-DM-12</t>
        </is>
      </c>
      <c r="B51" s="12" t="inlineStr">
        <is>
          <t>BRD-13 Data Migration</t>
        </is>
      </c>
      <c r="C51" s="12" t="inlineStr">
        <is>
          <t>Report layout</t>
        </is>
      </c>
      <c r="D51" s="12" t="inlineStr">
        <is>
          <t>Marking of migrated records (brid mig 1.3): The Product Owner of MBS confirms, or names the documents and reports that must show the marker</t>
        </is>
      </c>
      <c r="E51" s="12" t="inlineStr">
        <is>
          <t>brid mig 1.3 asks for a migration identifier and the originating legacy system on every migrated record</t>
        </is>
      </c>
      <c r="F51" s="12" t="inlineStr">
        <is>
          <t>Every migrated record carries the origin Migrated, its source system, its legacy reference and its migration batch; lists and records show the LEGACY badge; lists that hold migrated records have an Origin filter; exports carry the origin and source system. Printed client documents (statements, receipts) do not show the marker</t>
        </is>
      </c>
      <c r="G51" s="12" t="inlineStr">
        <is>
          <t>Data Migration Handbook BRD-13 v2.1, Proposed business rules and clarifications; decisions DM-Q18</t>
        </is>
      </c>
      <c r="H51" s="12" t="inlineStr">
        <is>
          <t>Program Manager, Business Project Services (Data Migration)</t>
        </is>
      </c>
      <c r="I51" s="37" t="n">
        <v>46325</v>
      </c>
      <c r="J51" s="12" t="inlineStr">
        <is>
          <t>Medium</t>
        </is>
      </c>
      <c r="K51" s="38" t="inlineStr">
        <is>
          <t>Open</t>
        </is>
      </c>
      <c r="L51" s="12" t="n"/>
      <c r="M51" s="12" t="n"/>
    </row>
    <row r="52">
      <c r="A52" s="12" t="inlineStr">
        <is>
          <t>CLR-DM-13</t>
        </is>
      </c>
      <c r="B52" s="12" t="inlineStr">
        <is>
          <t>BRD-13 Data Migration</t>
        </is>
      </c>
      <c r="C52" s="12" t="inlineStr">
        <is>
          <t>Business rule confirmation</t>
        </is>
      </c>
      <c r="D52" s="12" t="inlineStr">
        <is>
          <t>Remigration of fall-out records (brid mig 1.4): The BDOI Data Migration Lead confirms the labels and the rerun window</t>
        </is>
      </c>
      <c r="E52" s="12" t="inlineStr">
        <is>
          <t>The labels and the selection of rows are the only points of brid mig 1.4 not stated by release set v2.0</t>
        </is>
      </c>
      <c r="F52" s="12" t="inlineStr">
        <is>
          <t>Rejected rows are corrected (new extract, new code map version or waiver) and loaded again in a rerun batch linked to the original batch, for all rejected rows or the rows the operator selects; each row shows its result in the rerun (proposed labels 'Migrated on rerun' and 'Failed again'); the run log and the rerun summary give the rows reprocessed, migrated and failed, the times and the error details. A rerun is allowed until the object is accepted (G6) in each cycle; after go-live a financial row that still fails is keyed in BIBS from the manual-entry plan approved by its owner</t>
        </is>
      </c>
      <c r="G52" s="12" t="inlineStr">
        <is>
          <t>Data Migration Handbook BRD-13 v2.1, Proposed business rules and clarifications; decisions DM-Q19</t>
        </is>
      </c>
      <c r="H52" s="12" t="inlineStr">
        <is>
          <t>Program Manager, Business Project Services (Data Migration)</t>
        </is>
      </c>
      <c r="I52" s="37" t="n">
        <v>46325</v>
      </c>
      <c r="J52" s="12" t="inlineStr">
        <is>
          <t>Medium</t>
        </is>
      </c>
      <c r="K52" s="38" t="inlineStr">
        <is>
          <t>Open</t>
        </is>
      </c>
      <c r="L52" s="12" t="n"/>
      <c r="M52" s="12" t="n"/>
    </row>
    <row r="53">
      <c r="A53" s="12" t="inlineStr">
        <is>
          <t>CLR-DM-15</t>
        </is>
      </c>
      <c r="B53" s="12" t="inlineStr">
        <is>
          <t>BRD-13 Data Migration</t>
        </is>
      </c>
      <c r="C53" s="12" t="inlineStr">
        <is>
          <t>Business rule confirmation</t>
        </is>
      </c>
      <c r="D53" s="12" t="inlineStr">
        <is>
          <t>Direct-payment invoices (note of brid mig 6.1): The Head of Comptrollership and Operations confirm how a direct-payment invoice is identified and the meaning of DP PR</t>
        </is>
      </c>
      <c r="E53" s="12" t="inlineStr">
        <is>
          <t>V0.03 notes that the legacy invoice does not tell direct payments from regular bookings</t>
        </is>
      </c>
      <c r="F53" s="12" t="inlineStr">
        <is>
          <t>The direct-payment flag of the legacy invoice extract (F01) is filled only where legacy holds it; the DP PR reversal list comes from the Collections tag 'DP PR for reversal' or an approved list, not from a legacy flag</t>
        </is>
      </c>
      <c r="G53" s="12" t="inlineStr">
        <is>
          <t>Data Migration Handbook BRD-13 v2.1, Proposed business rules and clarifications; decisions DM-Q29, DMQ19</t>
        </is>
      </c>
      <c r="H53" s="12" t="inlineStr">
        <is>
          <t>Program Manager, Business Project Services (Data Migration)</t>
        </is>
      </c>
      <c r="I53" s="37" t="n">
        <v>46325</v>
      </c>
      <c r="J53" s="12" t="inlineStr">
        <is>
          <t>Medium</t>
        </is>
      </c>
      <c r="K53" s="38" t="inlineStr">
        <is>
          <t>Open</t>
        </is>
      </c>
      <c r="L53" s="12" t="n"/>
      <c r="M53" s="12" t="n"/>
    </row>
    <row r="54">
      <c r="A54" s="12" t="inlineStr">
        <is>
          <t>CLR-DM-16</t>
        </is>
      </c>
      <c r="B54" s="12" t="inlineStr">
        <is>
          <t>BRD-13 Data Migration</t>
        </is>
      </c>
      <c r="C54" s="12" t="inlineStr">
        <is>
          <t>Business rule confirmation</t>
        </is>
      </c>
      <c r="D54" s="12" t="inlineStr">
        <is>
          <t>Who requests and approves the DP PR and PR 2307 reversals (brid mig 7.1, 7.2): The Head of Comptrollership and the Head of Operations confirm the requester and approver of each batch and the entries on Commission Receivable</t>
        </is>
      </c>
      <c r="E54" s="12" t="inlineStr">
        <is>
          <t>V0.03 changes the persona of 7.1 to Cashiering / Support Team and of 7.2 to Collections</t>
        </is>
      </c>
      <c r="F54" s="12" t="inlineStr">
        <is>
          <t>Aligned to V0.03: DP PR Legacy Reversal requested by a Cashiering or Support Team user and approved by the Cashiering team lead; Legacy PR 2307 Reversal requested by a Collections user and approved by the Collections team lead; the requester never approves. The screens are unchanged; the access to them follows the role matrix of User Access (BRD-11). The screens of this set are shown with the users of release set v2.0 (Commission user and Cashiering user)</t>
        </is>
      </c>
      <c r="G54" s="12" t="inlineStr">
        <is>
          <t>Data Migration Handbook BRD-13 v2.1, Proposed business rules and clarifications; decisions DM-Q30, DMQ19, DMQ20</t>
        </is>
      </c>
      <c r="H54" s="12" t="inlineStr">
        <is>
          <t>Program Manager, Business Project Services (Data Migration)</t>
        </is>
      </c>
      <c r="I54" s="37" t="n">
        <v>46325</v>
      </c>
      <c r="J54" s="12" t="inlineStr">
        <is>
          <t>Medium</t>
        </is>
      </c>
      <c r="K54" s="38" t="inlineStr">
        <is>
          <t>Open</t>
        </is>
      </c>
      <c r="L54" s="12" t="n"/>
      <c r="M54" s="12" t="n"/>
    </row>
    <row r="55">
      <c r="A55" s="12" t="inlineStr">
        <is>
          <t>CLR-DM-20</t>
        </is>
      </c>
      <c r="B55" s="12" t="inlineStr">
        <is>
          <t>BRD-13 Data Migration</t>
        </is>
      </c>
      <c r="C55" s="12" t="inlineStr">
        <is>
          <t>Report layout</t>
        </is>
      </c>
      <c r="D55" s="12" t="inlineStr">
        <is>
          <t>Reports on migrated and new data (brid mig 10.2): The Product Owner of MBS lists the reports concerned (Report List of 13 May 2026); the Head of Comptrollership confirms the BIR reports</t>
        </is>
      </c>
      <c r="E55" s="12" t="inlineStr">
        <is>
          <t>brid mig 10.2 asks that every report consolidates migrated and new data; reports on periods before go-live would otherwise mix FY2027 legacy figures with FY2028 BIBS figures</t>
        </is>
      </c>
      <c r="F55" s="12" t="inlineStr">
        <is>
          <t>Position reports (receivables, DTIP, commission receivable, unapplied payments, in-force policies, clients) include migrated records by default with an Origin column and filter; transaction-period reports (production, BIR books and returns) cover BIBS transactions from go-live, and FY2027 figures come from legacy; history before go-live is read in Legacy Inquiry. Each report's specification in its module states how migrated records are included (FR-DM-101)</t>
        </is>
      </c>
      <c r="G55" s="12" t="inlineStr">
        <is>
          <t>Data Migration Handbook BRD-13 v2.1, Proposed business rules and clarifications; decisions DM-Q37</t>
        </is>
      </c>
      <c r="H55" s="12" t="inlineStr">
        <is>
          <t>Program Manager, Business Project Services (Data Migration)</t>
        </is>
      </c>
      <c r="I55" s="37" t="n">
        <v>46325</v>
      </c>
      <c r="J55" s="12" t="inlineStr">
        <is>
          <t>Medium</t>
        </is>
      </c>
      <c r="K55" s="38" t="inlineStr">
        <is>
          <t>Open</t>
        </is>
      </c>
      <c r="L55" s="12" t="n"/>
      <c r="M55" s="12" t="n"/>
    </row>
    <row r="56">
      <c r="A56" s="12" t="inlineStr">
        <is>
          <t>DMQ08</t>
        </is>
      </c>
      <c r="B56" s="12" t="inlineStr">
        <is>
          <t>BRD-13 Data Migration</t>
        </is>
      </c>
      <c r="C56" s="12" t="inlineStr">
        <is>
          <t>Clarification</t>
        </is>
      </c>
      <c r="D56" s="12" t="inlineStr">
        <is>
          <t>Code map owners: Owner and signer per map set; MIS fields required</t>
        </is>
      </c>
      <c r="E56" s="12" t="inlineStr">
        <is>
          <t>BRD Data Migration V0.03 p.9 (brid mig 3.1: approved mapping list, unmapped codes reported, mapping versions controlled and signed off) is met by the Code Maps function (maker-checker versions, gate G2). Handbook 'Mapping and code maps', 'Package remapping' (DMQ08, DMQ36 answered 26-Sep-2026, PR-DM-24). If not provided: Trial migration 2 needs approved maps; unmapped codes block every dependent batch.</t>
        </is>
      </c>
      <c r="F56" s="12" t="inlineStr">
        <is>
          <t>Map sets and owners as on the Code maps sheet; data steward prepares, business owner approves; values created in BIBS authorised in their master first; package map prepared by TSU and approved by the Product Owner, MBS.</t>
        </is>
      </c>
      <c r="G56" s="12" t="inlineStr">
        <is>
          <t>Data Migration Handbook BRD-13 v2.1, Open decisions (M2); affects Gate G2; all map sets; also raised as DM-Q23 (Drop 0 list item)</t>
        </is>
      </c>
      <c r="H56" s="12" t="inlineStr">
        <is>
          <t>Product Owner, MBS</t>
        </is>
      </c>
      <c r="I56" s="37" t="n">
        <v>46325</v>
      </c>
      <c r="J56" s="12" t="inlineStr">
        <is>
          <t>Medium</t>
        </is>
      </c>
      <c r="K56" s="38" t="inlineStr">
        <is>
          <t>Open</t>
        </is>
      </c>
      <c r="L56" s="12" t="n"/>
      <c r="M56" s="12" t="n"/>
    </row>
    <row r="57">
      <c r="A57" s="12" t="inlineStr">
        <is>
          <t>DM-Q18</t>
        </is>
      </c>
      <c r="B57" s="12" t="inlineStr">
        <is>
          <t>BRD-13 Data Migration</t>
        </is>
      </c>
      <c r="C57" s="12" t="inlineStr">
        <is>
          <t>Business rule confirmation</t>
        </is>
      </c>
      <c r="D57" s="12" t="inlineStr">
        <is>
          <t>Please confirm that our marking of migrated records meets brid mig 1.3: every migrated record carries the origin 'Migrated', its source system, its legacy reference and its migration batch; lists and records show a LEGACY badge; lists that hold migrated records have an Origin filter. Please say whether the flag must also appear on printed documents (statements, receipts) or on specific reports..</t>
        </is>
      </c>
      <c r="E57" s="12" t="inlineStr">
        <is>
          <t>New in BRD V0.03 p.7-8 (brid mig 1.3: 'clear migration identifier (i.e. migrated flag)' and 'originating legacy system source'). Handbook 'How migrated records are marked' already provides this. If not provided: Screen and report layouts of the migrated records.</t>
        </is>
      </c>
      <c r="F57" s="12" t="inlineStr">
        <is>
          <t>As specified; the flag is shown on screens, lists and exports; printed client documents do not show it.</t>
        </is>
      </c>
      <c r="G57" s="12" t="inlineStr">
        <is>
          <t>Drop 0 requirements and questions list v1.0 (8-Oct-2026), DM-Q18; BRD Data Migration V0.03 p.7-8 (1.3); Data Migration Handbook v2.0 'How migrated records are marked'</t>
        </is>
      </c>
      <c r="H57" s="12" t="inlineStr">
        <is>
          <t>Product Owner, Marketing Business System</t>
        </is>
      </c>
      <c r="I57" s="37" t="n">
        <v>46325</v>
      </c>
      <c r="J57" s="12" t="inlineStr">
        <is>
          <t>Medium</t>
        </is>
      </c>
      <c r="K57" s="38" t="inlineStr">
        <is>
          <t>Open</t>
        </is>
      </c>
      <c r="L57" s="12" t="n"/>
      <c r="M57" s="12" t="n"/>
    </row>
    <row r="58">
      <c r="A58" s="12" t="inlineStr">
        <is>
          <t>DM-Q19</t>
        </is>
      </c>
      <c r="B58" s="12" t="inlineStr">
        <is>
          <t>BRD-13 Data Migration</t>
        </is>
      </c>
      <c r="C58" s="12" t="inlineStr">
        <is>
          <t>Business rule confirmation</t>
        </is>
      </c>
      <c r="D58" s="12" t="inlineStr">
        <is>
          <t>Please confirm that our rerun function meets brid mig 1.4: rejected rows are corrected (new extract, new code map version or waiver) and loaded again in a rerun batch linked to the original batch, with counts, timestamps and error details in the batch log and the reconciliation. Please confirm the row status labels you want (for example 'Migrated on rerun' and 'Failed again') and until when a rerun is allowed: we propose until the object is accepted (G6) in each cycle; after go-live a financial row that still fails is keyed in BIBS from the manual-entry plan approved by its owner..</t>
        </is>
      </c>
      <c r="E58" s="12" t="inlineStr">
        <is>
          <t>New in BRD V0.03 p.8 (brid mig 1.4, remigration of fall-out records 'during or after initial migration'). Handbook 'Load through the BIBS services', functional requirement 'Rerun and roll back a batch', Part C 'Breaks, waivers and exclusions'. If not provided: Status values, messages and the test cases of the rerun function.</t>
        </is>
      </c>
      <c r="F58" s="12" t="inlineStr">
        <is>
          <t>As stated, with the labels BDOI confirms.</t>
        </is>
      </c>
      <c r="G58" s="12" t="inlineStr">
        <is>
          <t>Drop 0 requirements and questions list v1.0 (8-Oct-2026), DM-Q19; BRD Data Migration V0.03 p.8 (1.4); Data Migration Handbook v2.0 'Load through the BIBS services', 'Breaks, waivers and exclusions'</t>
        </is>
      </c>
      <c r="H58" s="12" t="inlineStr">
        <is>
          <t>Data Migration Lead (BDOI)</t>
        </is>
      </c>
      <c r="I58" s="37" t="n">
        <v>46325</v>
      </c>
      <c r="J58" s="12" t="inlineStr">
        <is>
          <t>Medium</t>
        </is>
      </c>
      <c r="K58" s="38" t="inlineStr">
        <is>
          <t>Open</t>
        </is>
      </c>
      <c r="L58" s="12" t="n"/>
      <c r="M58" s="12" t="n"/>
    </row>
    <row r="59">
      <c r="A59" s="12" t="inlineStr">
        <is>
          <t>DM-Q49</t>
        </is>
      </c>
      <c r="B59" s="12" t="inlineStr">
        <is>
          <t>BRD-13 Data Migration</t>
        </is>
      </c>
      <c r="C59" s="12" t="inlineStr">
        <is>
          <t>Business rule confirmation</t>
        </is>
      </c>
      <c r="D59" s="12" t="inlineStr">
        <is>
          <t>Please confirm the acceptance criteria of each object (gate G6): the data owner checks the sample listed on the Reconciliation sign-off sheet on the BIBS screens; for financial objects and client identity fields no error is accepted; for other fields an isolated cosmetic error is recorded with its fix, and two errors of the same kind double the sample and must be fixed before sign-off..</t>
        </is>
      </c>
      <c r="E59" s="12" t="inlineStr">
        <is>
          <t>Handbook Part C 'Business verification on screen (gate G6)', 'Sample plan', 'Acceptance rule'; V0.03 1.3 asks that approved migrated data is 'available, validated and accessible in the target system post-cutover'. If not provided: Gate G6 of every object and the go / no-go criterion 'Day-1 objects accepted'.</t>
        </is>
      </c>
      <c r="F59" s="12" t="inlineStr">
        <is>
          <t>As stated.</t>
        </is>
      </c>
      <c r="G59" s="12" t="inlineStr">
        <is>
          <t>Drop 0 requirements and questions list v1.0 (8-Oct-2026), DM-Q49; BRD Data Migration V0.03 p.7-8 (1.3); Data Migration Handbook v2.0 Part C 'Sample plan', 'Acceptance rule'</t>
        </is>
      </c>
      <c r="H59" s="12" t="inlineStr">
        <is>
          <t>Data owners; Data Migration Lead (BDOI)</t>
        </is>
      </c>
      <c r="I59" s="37" t="n">
        <v>46325</v>
      </c>
      <c r="J59" s="12" t="inlineStr">
        <is>
          <t>Medium</t>
        </is>
      </c>
      <c r="K59" s="38" t="inlineStr">
        <is>
          <t>Open</t>
        </is>
      </c>
      <c r="L59" s="12" t="n"/>
      <c r="M59" s="12" t="n"/>
    </row>
    <row r="60">
      <c r="A60" s="12" t="inlineStr">
        <is>
          <t>DM-Q50</t>
        </is>
      </c>
      <c r="B60" s="12" t="inlineStr">
        <is>
          <t>BRD-13 Data Migration</t>
        </is>
      </c>
      <c r="C60" s="12" t="inlineStr">
        <is>
          <t>Business rule confirmation</t>
        </is>
      </c>
      <c r="D60" s="12" t="inlineStr">
        <is>
          <t>Please confirm how migration issues are handled: severities Critical, High, Medium and Low as defined in the test plan; daily triage; Critical issues resolved within 1 working day and High within 3; no open Critical issue before the next trial migration; hypercare exit with no open Critical or High issue, 10 consecutive business days of clean daily checks and the first month-end close without difference. Please name the BDOI person who logs and triages migration issues with the iorta TechNXT Migration Lead..</t>
        </is>
      </c>
      <c r="E60" s="12" t="inlineStr">
        <is>
          <t>Test plan BRD-13 'Issue management'; Handbook 'Migration cycles' exit criteria, 'Hypercare' and Part D 'Exit criteria'. If not provided: Exit criteria of each cycle and of hypercare.</t>
        </is>
      </c>
      <c r="F60" s="12" t="inlineStr">
        <is>
          <t>As stated; the BDOI Data Migration Lead triages with the iorta TechNXT Migration Lead.</t>
        </is>
      </c>
      <c r="G60" s="12" t="inlineStr">
        <is>
          <t>Drop 0 requirements and questions list v1.0 (8-Oct-2026), DM-Q50; Test Plan BRD-13 v2.0 'Issue management'; Data Migration Handbook v2.0 'Hypercare', Part D 'Exit criteria'</t>
        </is>
      </c>
      <c r="H60" s="12" t="inlineStr">
        <is>
          <t>Data Migration Lead (BDOI); Program Manager, Business Project Services</t>
        </is>
      </c>
      <c r="I60" s="37" t="n">
        <v>46325</v>
      </c>
      <c r="J60" s="12" t="inlineStr">
        <is>
          <t>Medium</t>
        </is>
      </c>
      <c r="K60" s="38" t="inlineStr">
        <is>
          <t>Open</t>
        </is>
      </c>
      <c r="L60" s="12" t="n"/>
      <c r="M60" s="12" t="n"/>
    </row>
    <row r="61">
      <c r="A61" s="12" t="inlineStr">
        <is>
          <t>DM-Q03</t>
        </is>
      </c>
      <c r="B61" s="12" t="inlineStr">
        <is>
          <t>BRD-13 Data Migration</t>
        </is>
      </c>
      <c r="C61" s="12" t="inlineStr">
        <is>
          <t>Clarification</t>
        </is>
      </c>
      <c r="D61" s="12" t="inlineStr">
        <is>
          <t>Please correct or confirm the numbering of V0.03: two requirements are numbered brid mig 12.1 (cut-over aligned to RMEL; migration of in process renewal data), and brid mig 14.2 (e-policy linking) sits under capability 15, which is not in the list of key capabilities (1 to 14). Please also confirm that capability 7 is now 'Operations Adjustments' (it was 'Accounting Adjustments' in V0.01)..</t>
        </is>
      </c>
      <c r="E61" s="12" t="inlineStr">
        <is>
          <t>New in BRD V0.03, p.6 (capability list 1-14), p.13 (two rows brid mig 12.1), p.15 (capability 15, brid mig 14.2). The V0.01 duplicate 'BRID 1.1' is resolved in V0.03 as brid mig 1.1 and 1.2. The cover still reads 'Business Requirements Document (BRD) Template' (register DCR-190). If not provided: Traceability and test cases cannot be keyed on a requirement ID that is used twice.</t>
        </is>
      </c>
      <c r="F61" s="12" t="inlineStr">
        <is>
          <t>The BIBS documents read the second 12.1 as brid mig 12.2 and add capability 15 'E-policy linking to migrated accounts'; the handbook's 1.1a / 1.1b become 1.1 / 1.2. BDOI confirms or gives the correct numbers in the annex.</t>
        </is>
      </c>
      <c r="G61" s="12" t="inlineStr">
        <is>
          <t>Drop 0 requirements and questions list v1.0 (8-Oct-2026), DM-Q03; BRD Data Migration V0.03 p.1, p.6, p.13, p.15; Discrepancy register DCR-190, DCR-191; Data Migration Handbook v2.0 'How to read this handbook', Traceability; also raised as DCR-190 (register item)</t>
        </is>
      </c>
      <c r="H61" s="12" t="inlineStr">
        <is>
          <t>Program Manager, Business Project Services (BRD author)</t>
        </is>
      </c>
      <c r="I61" s="37" t="n">
        <v>46325</v>
      </c>
      <c r="J61" s="12" t="inlineStr">
        <is>
          <t>Low</t>
        </is>
      </c>
      <c r="K61" s="38" t="inlineStr">
        <is>
          <t>Open</t>
        </is>
      </c>
      <c r="L61" s="12" t="n"/>
      <c r="M61" s="12" t="n"/>
    </row>
    <row r="62">
      <c r="A62" s="12" t="inlineStr">
        <is>
          <t>SO-13-4</t>
        </is>
      </c>
      <c r="B62" s="12" t="inlineStr">
        <is>
          <t>BRD-13 Data Migration</t>
        </is>
      </c>
      <c r="C62" s="12" t="inlineStr">
        <is>
          <t>Sign-off</t>
        </is>
      </c>
      <c r="D62" s="12" t="inlineStr">
        <is>
          <t>Approve the test plan of BRD-13 Data Migration.</t>
        </is>
      </c>
      <c r="E62" s="12" t="inlineStr">
        <is>
          <t>The signed document fixes the scope for the next step of the plan; a late sign-off moves the dates that follow it.</t>
        </is>
      </c>
      <c r="F62" s="12" t="n"/>
      <c r="G62" s="12" t="inlineStr">
        <is>
          <t>Project plan v1.0 (8-Oct-2026), sign-offs and milestones</t>
        </is>
      </c>
      <c r="H62" s="12" t="inlineStr">
        <is>
          <t>Program Manager, Business Project Services (Data Migration)</t>
        </is>
      </c>
      <c r="I62" s="37" t="n">
        <v>46374</v>
      </c>
      <c r="J62" s="12" t="inlineStr">
        <is>
          <t>High</t>
        </is>
      </c>
      <c r="K62" s="38" t="inlineStr">
        <is>
          <t>Open</t>
        </is>
      </c>
      <c r="L62" s="12" t="n"/>
      <c r="M62" s="12" t="n"/>
    </row>
    <row r="63">
      <c r="A63" s="12" t="inlineStr">
        <is>
          <t>PR-DM-03</t>
        </is>
      </c>
      <c r="B63" s="12" t="inlineStr">
        <is>
          <t>BRD-13 Data Migration</t>
        </is>
      </c>
      <c r="C63" s="12" t="inlineStr">
        <is>
          <t>Integration detail</t>
        </is>
      </c>
      <c r="D63" s="12" t="inlineStr">
        <is>
          <t>Extract volumes and the secure file drop: BDOI IT confirms the volumes per object, the owner of each extract and whether a secure file drop is set up (host, account, schedule)</t>
        </is>
      </c>
      <c r="E63" s="12" t="inlineStr">
        <is>
          <t>The volumes size the load windows and the dress rehearsal; a single agreed transfer path keeps the files encrypted and logged</t>
        </is>
      </c>
      <c r="F63" s="12" t="inlineStr">
        <is>
          <t>BDOI IT supplies the row count per object and source system with the first full extracts (29 January 2027) and at each trial migration. Files are received through the Extracts screen of the Migration Console until BDOI IT names a secure file drop in the BIBS environment; files are never e-mailed</t>
        </is>
      </c>
      <c r="G63" s="12" t="inlineStr">
        <is>
          <t>Data Migration Handbook BRD-13 v2.1, Proposed business rules and clarifications; decisions DMQ28; also raised as DMQ28 (open decision), DM-Q14 (Drop 0 list item)</t>
        </is>
      </c>
      <c r="H63" s="12" t="inlineStr">
        <is>
          <t>BDOI IT</t>
        </is>
      </c>
      <c r="I63" s="37" t="n">
        <v>46416</v>
      </c>
      <c r="J63" s="12" t="inlineStr">
        <is>
          <t>High</t>
        </is>
      </c>
      <c r="K63" s="38" t="inlineStr">
        <is>
          <t>Open</t>
        </is>
      </c>
      <c r="L63" s="12" t="n"/>
      <c r="M63" s="12" t="n"/>
    </row>
    <row r="64">
      <c r="A64" s="12" t="inlineStr">
        <is>
          <t>DEP-09</t>
        </is>
      </c>
      <c r="B64" s="12" t="inlineStr">
        <is>
          <t>BRD-13 Data Migration</t>
        </is>
      </c>
      <c r="C64" s="12" t="inlineStr">
        <is>
          <t>Master data</t>
        </is>
      </c>
      <c r="D64" s="12" t="inlineStr">
        <is>
          <t>First full extracts with control files and volumes (M3)</t>
        </is>
      </c>
      <c r="E64" s="12" t="inlineStr">
        <is>
          <t>Needed for: Profiling and load sizing. If late: Trial migration 1 on partial data.</t>
        </is>
      </c>
      <c r="F64" s="12" t="n"/>
      <c r="G64" s="12" t="inlineStr">
        <is>
          <t>Project plan v1.0 (8-Oct-2026), dependency DEP-09 (Data)</t>
        </is>
      </c>
      <c r="H64" s="12" t="inlineStr">
        <is>
          <t>BDOI IT</t>
        </is>
      </c>
      <c r="I64" s="37" t="n">
        <v>46416</v>
      </c>
      <c r="J64" s="12" t="inlineStr">
        <is>
          <t>High</t>
        </is>
      </c>
      <c r="K64" s="38" t="inlineStr">
        <is>
          <t>Open</t>
        </is>
      </c>
      <c r="L64" s="12" t="n"/>
      <c r="M64" s="12" t="n"/>
    </row>
    <row r="65">
      <c r="A65" s="12" t="inlineStr">
        <is>
          <t>DM-Q41</t>
        </is>
      </c>
      <c r="B65" s="12" t="inlineStr">
        <is>
          <t>BRD-13 Data Migration</t>
        </is>
      </c>
      <c r="C65" s="12" t="inlineStr">
        <is>
          <t>Integration detail</t>
        </is>
      </c>
      <c r="D65" s="12" t="inlineStr">
        <is>
          <t>Please confirm that extended hours of the non-production environments can be booked for the weekend trial-migration loads and the dress rehearsal (the infrastructure estimate assumes 12 hours a day, 5 days a week), and that a production-sized environment is available for the dress rehearsal in November 2027..</t>
        </is>
      </c>
      <c r="E65" s="12" t="inlineStr">
        <is>
          <t>IER workbook v20, Assumptions item 3 (non-production 12 x 5); register DCR-226; programme alignment question IQ27; Handbook Dependencies D2, D3. If not provided: Trial migrations cannot run as timed rehearsals; dress-rehearsal timings would not hold for production.</t>
        </is>
      </c>
      <c r="F65" s="12" t="inlineStr">
        <is>
          <t>Extended hours booked per trial migration and for the dress rehearsal; dress rehearsal on the Pre-Prod environment.</t>
        </is>
      </c>
      <c r="G65" s="12" t="inlineStr">
        <is>
          <t>Drop 0 requirements and questions list v1.0 (8-Oct-2026), DM-Q41; BDOI IER Workbook v20, Assumptions 3; Discrepancy register DCR-226; Programme Alignment IQ27; Data Migration Handbook v2.0 Dependencies D2, D3; also raised as IQ27 (open question), DCR-226 (register item)</t>
        </is>
      </c>
      <c r="H65" s="12" t="inlineStr">
        <is>
          <t>BDOI IT; BDO Cloud and Digital Operations Engineering</t>
        </is>
      </c>
      <c r="I65" s="37" t="n">
        <v>46416</v>
      </c>
      <c r="J65" s="12" t="inlineStr">
        <is>
          <t>Medium</t>
        </is>
      </c>
      <c r="K65" s="38" t="inlineStr">
        <is>
          <t>Open</t>
        </is>
      </c>
      <c r="L65" s="12" t="n"/>
      <c r="M65" s="12" t="inlineStr">
        <is>
          <t>Also affects BRD-00.</t>
        </is>
      </c>
    </row>
    <row r="66">
      <c r="A66" s="12" t="inlineStr">
        <is>
          <t>DEP-17</t>
        </is>
      </c>
      <c r="B66" s="12" t="inlineStr">
        <is>
          <t>BRD-13 Data Migration</t>
        </is>
      </c>
      <c r="C66" s="12" t="inlineStr">
        <is>
          <t>Master data</t>
        </is>
      </c>
      <c r="D66" s="12" t="inlineStr">
        <is>
          <t>Code maps approved, including the package code map (M5)</t>
        </is>
      </c>
      <c r="E66" s="12" t="inlineStr">
        <is>
          <t>Needed for: Trial migration 2. If late: Trial migration 2 incomplete.</t>
        </is>
      </c>
      <c r="F66" s="12" t="n"/>
      <c r="G66" s="12" t="inlineStr">
        <is>
          <t>Project plan v1.0 (8-Oct-2026), dependency DEP-17 (Data)</t>
        </is>
      </c>
      <c r="H66" s="12" t="inlineStr">
        <is>
          <t>Data owners; TSU</t>
        </is>
      </c>
      <c r="I66" s="37" t="n">
        <v>46556</v>
      </c>
      <c r="J66" s="12" t="inlineStr">
        <is>
          <t>High</t>
        </is>
      </c>
      <c r="K66" s="38" t="inlineStr">
        <is>
          <t>Open</t>
        </is>
      </c>
      <c r="L66" s="12" t="n"/>
      <c r="M66" s="12" t="n"/>
    </row>
    <row r="67">
      <c r="A67" s="12" t="inlineStr">
        <is>
          <t>CFG-024</t>
        </is>
      </c>
      <c r="B67" s="12" t="inlineStr">
        <is>
          <t>BRD-13 Data Migration</t>
        </is>
      </c>
      <c r="C67" s="12" t="inlineStr">
        <is>
          <t>Master data</t>
        </is>
      </c>
      <c r="D67" s="12" t="inlineStr">
        <is>
          <t>Chart of accounts mapping (legacy GL account to BIBS account): The map of every legacy GL account of EBIX and ISYS to a BIBS account; control accounts to Migration Clearing</t>
        </is>
      </c>
      <c r="E67" s="12" t="inlineStr">
        <is>
          <t>Needed for: Code maps approved (M5) (Code maps approved for Trial migration 2, including the package code map).</t>
        </is>
      </c>
      <c r="F67" s="12" t="inlineStr">
        <is>
          <t>Fill in the template R08 of the Master Data and Configuration Upload Templates workbook.</t>
        </is>
      </c>
      <c r="G67" s="12" t="inlineStr">
        <is>
          <t>Drop 0 configuration register CFG-024 (Drop 0 Configuration Inputs v2.0, area Chart of accounts and accounting)</t>
        </is>
      </c>
      <c r="H67" s="12" t="inlineStr">
        <is>
          <t>Program Manager, Business Project Services (Data Migration)</t>
        </is>
      </c>
      <c r="I67" s="37" t="n">
        <v>46556</v>
      </c>
      <c r="J67" s="12" t="inlineStr">
        <is>
          <t>Medium</t>
        </is>
      </c>
      <c r="K67" s="38" t="inlineStr">
        <is>
          <t>Open</t>
        </is>
      </c>
      <c r="L67" s="12" t="n"/>
      <c r="M67" s="12" t="n"/>
    </row>
    <row r="68">
      <c r="A68" s="12" t="inlineStr">
        <is>
          <t>CFG-061</t>
        </is>
      </c>
      <c r="B68" s="12" t="inlineStr">
        <is>
          <t>BRD-13 Data Migration</t>
        </is>
      </c>
      <c r="C68" s="12" t="inlineStr">
        <is>
          <t>Configuration value</t>
        </is>
      </c>
      <c r="D68" s="12" t="inlineStr">
        <is>
          <t>Values of the lists used by migrated records: The legacy values of the lists mapped by the code maps LOV and MIS, and the BIBS value of each</t>
        </is>
      </c>
      <c r="E68" s="12" t="inlineStr">
        <is>
          <t>Needed for: Code maps approved (M5) (Code maps approved for Trial migration 2, including the package code map).</t>
        </is>
      </c>
      <c r="F68" s="12" t="inlineStr">
        <is>
          <t>Fill in the template R01 of the Master Data and Configuration Upload Templates workbook.</t>
        </is>
      </c>
      <c r="G68" s="12" t="inlineStr">
        <is>
          <t>Drop 0 configuration register CFG-061 (Drop 0 Configuration Inputs v2.0, area Lists of values)</t>
        </is>
      </c>
      <c r="H68" s="12" t="inlineStr">
        <is>
          <t>Program Manager, Business Project Services (Data Migration)</t>
        </is>
      </c>
      <c r="I68" s="37" t="n">
        <v>46556</v>
      </c>
      <c r="J68" s="12" t="inlineStr">
        <is>
          <t>Medium</t>
        </is>
      </c>
      <c r="K68" s="38" t="inlineStr">
        <is>
          <t>Open</t>
        </is>
      </c>
      <c r="L68" s="12" t="n"/>
      <c r="M68" s="12" t="n"/>
    </row>
    <row r="69">
      <c r="A69" s="12" t="inlineStr">
        <is>
          <t>CFG-140</t>
        </is>
      </c>
      <c r="B69" s="12" t="inlineStr">
        <is>
          <t>BRD-13 Data Migration</t>
        </is>
      </c>
      <c r="C69" s="12" t="inlineStr">
        <is>
          <t>Configuration value</t>
        </is>
      </c>
      <c r="D69" s="12" t="inlineStr">
        <is>
          <t>Code maps of the reference data: The approved versions of the code maps (branches, sales units, officers, users, cost centres, banks, currencies, dispositions, statuses) that turn legacy codes into BIBS codes</t>
        </is>
      </c>
      <c r="E69" s="12" t="inlineStr">
        <is>
          <t>Needed for: Code maps approved (M5) (Code maps approved for Trial migration 2, including the package code map).</t>
        </is>
      </c>
      <c r="F69" s="12" t="inlineStr">
        <is>
          <t>Fill in the template R01 of the Master Data and Configuration Upload Templates workbook.</t>
        </is>
      </c>
      <c r="G69" s="12" t="inlineStr">
        <is>
          <t>Drop 0 configuration register CFG-140 (Drop 0 Configuration Inputs v2.0, area Data migration reference data)</t>
        </is>
      </c>
      <c r="H69" s="12" t="inlineStr">
        <is>
          <t>Program Manager, Business Project Services (Data Migration)</t>
        </is>
      </c>
      <c r="I69" s="37" t="n">
        <v>46556</v>
      </c>
      <c r="J69" s="12" t="inlineStr">
        <is>
          <t>Medium</t>
        </is>
      </c>
      <c r="K69" s="38" t="inlineStr">
        <is>
          <t>Open</t>
        </is>
      </c>
      <c r="L69" s="12" t="n"/>
      <c r="M69" s="12" t="n"/>
    </row>
    <row r="70">
      <c r="A70" s="12" t="inlineStr">
        <is>
          <t>CFG-141</t>
        </is>
      </c>
      <c r="B70" s="12" t="inlineStr">
        <is>
          <t>BRD-13 Data Migration</t>
        </is>
      </c>
      <c r="C70" s="12" t="inlineStr">
        <is>
          <t>Configuration value</t>
        </is>
      </c>
      <c r="D70" s="12" t="inlineStr">
        <is>
          <t>Branch code map: The map of every legacy branch and invoicing branch to a BIBS branch of CFG-002</t>
        </is>
      </c>
      <c r="E70" s="12" t="inlineStr">
        <is>
          <t>Needed for: Code maps approved (M5) (Code maps approved for Trial migration 2, including the package code map).</t>
        </is>
      </c>
      <c r="F70" s="12" t="inlineStr">
        <is>
          <t>Fill in the template R02 of the Master Data and Configuration Upload Templates workbook.</t>
        </is>
      </c>
      <c r="G70" s="12" t="inlineStr">
        <is>
          <t>Drop 0 configuration register CFG-141 (Drop 0 Configuration Inputs v2.0, area Data migration reference data)</t>
        </is>
      </c>
      <c r="H70" s="12" t="inlineStr">
        <is>
          <t>Program Manager, Business Project Services (Data Migration)</t>
        </is>
      </c>
      <c r="I70" s="37" t="n">
        <v>46556</v>
      </c>
      <c r="J70" s="12" t="inlineStr">
        <is>
          <t>Medium</t>
        </is>
      </c>
      <c r="K70" s="38" t="inlineStr">
        <is>
          <t>Open</t>
        </is>
      </c>
      <c r="L70" s="12" t="n"/>
      <c r="M70" s="12" t="n"/>
    </row>
    <row r="71">
      <c r="A71" s="12" t="inlineStr">
        <is>
          <t>TD-13</t>
        </is>
      </c>
      <c r="B71" s="12" t="inlineStr">
        <is>
          <t>BRD-13 Data Migration</t>
        </is>
      </c>
      <c r="C71" s="12" t="inlineStr">
        <is>
          <t>Test data</t>
        </is>
      </c>
      <c r="D71" s="12" t="inlineStr">
        <is>
          <t>Name the UAT testers of BRD-13 Data Migration (at least two per business unit, with their user IDs and group profiles) and provide the business data of the UAT scenarios: the clients, policies, insurers and amounts each scenario of the test plan uses, from the migrated data of Trial migration 3 or as additional cases.</t>
        </is>
      </c>
      <c r="E71" s="12" t="inlineStr">
        <is>
          <t>UAT of Drop 0 runs on migrated data and the production values; testers without access or scenarios without data stop the UAT.</t>
        </is>
      </c>
      <c r="F71" s="12" t="inlineStr">
        <is>
          <t>The test plan (04 workbook of the set) names the scenarios; the BDOI testers choose the cases from the migrated data and add the cases the legacy data does not hold.</t>
        </is>
      </c>
      <c r="G71" s="12" t="inlineStr">
        <is>
          <t>Project plan: dependency DEP-20 (UAT testers), milestone MS-20 (UAT plans, values for UAT and testers, 16-Jul-2027)</t>
        </is>
      </c>
      <c r="H71" s="12" t="inlineStr">
        <is>
          <t>Program Manager, Business Project Services (Data Migration) (UAT testers of the business units)</t>
        </is>
      </c>
      <c r="I71" s="37" t="n">
        <v>46584</v>
      </c>
      <c r="J71" s="12" t="inlineStr">
        <is>
          <t>High</t>
        </is>
      </c>
      <c r="K71" s="38" t="inlineStr">
        <is>
          <t>Open</t>
        </is>
      </c>
      <c r="L71" s="12" t="n"/>
      <c r="M71" s="12" t="n"/>
    </row>
    <row r="72">
      <c r="A72" s="12" t="inlineStr">
        <is>
          <t>PR-DM-01</t>
        </is>
      </c>
      <c r="B72" s="12" t="inlineStr">
        <is>
          <t>BRD-13 Data Migration</t>
        </is>
      </c>
      <c r="C72" s="12" t="inlineStr">
        <is>
          <t>Decision</t>
        </is>
      </c>
      <c r="D72" s="12" t="inlineStr">
        <is>
          <t>Year-end cut-over: option A or B: Comptrollership confirms option A, or chooses option B, with the date of the December soft close</t>
        </is>
      </c>
      <c r="E72" s="12" t="inlineStr">
        <is>
          <t>One fiscal year per system; no P&amp;L migration; books of accounts and BIR returns are never split inside a year; the go-live stays on the BDOI timeline. Option B moves go-live by three months, splits FY2028 across two systems and needs a month-by-month P&amp;L reconciliation</t>
        </is>
      </c>
      <c r="F72" s="12" t="inlineStr">
        <is>
          <t>Option A: go live on Monday 3 January 2028 at the year-end boundary. Legacy processes to 31 December 2027 and closes FY2027; BIBS opens with the open items at 31 December and a provisional GL opening (balance sheet only, the FY2027 result in retained earnings). The legacy GL stays open only for the FY2027 closing and audit adjustments of named Comptrollership users; each reaches BIBS as an opening-balance adjustment after the legacy close (about mid-January 2028) and after the audited statements (about March-April 2028). Option B (go-live after the first-quarter close, April 2028, with a year-to-date P&amp;L migration) is not proposed; option C (two sets of books in the first quarter) is not proposed</t>
        </is>
      </c>
      <c r="G72" s="12" t="inlineStr">
        <is>
          <t>Data Migration Handbook BRD-13 v2.1, Proposed business rules and clarifications; decisions DMQ39, DMQ25; also raised as DMQ25 (open decision), DMQ39 (open decision), DM-Q05 (Drop 0 list item), DM-Q38 (Drop 0 list item), DM-Q39 (Drop 0 list item), DCR-200 (register item), DCR-242 (register item)</t>
        </is>
      </c>
      <c r="H72" s="12" t="inlineStr">
        <is>
          <t>Program Manager</t>
        </is>
      </c>
      <c r="I72" s="37" t="n">
        <v>46661</v>
      </c>
      <c r="J72" s="12" t="inlineStr">
        <is>
          <t>High</t>
        </is>
      </c>
      <c r="K72" s="38" t="inlineStr">
        <is>
          <t>Partly answered</t>
        </is>
      </c>
      <c r="L72" s="12" t="n"/>
      <c r="M72" s="12" t="inlineStr">
        <is>
          <t>Answer so far: Month answered by the BDOI timeline (26-Sep-2026) - January 2028; full migration and cut-over Nov 2027-Jan 2028. Date 3 January 2028 at the year-end boundary recommended with DMQ39; confirmed by Comptrollership at M6; BDOI 26-Sep-2026, recommendation awaiting Comptrollership confirmation - option A - go-live Mon 3-Jan-2028; legacy closes FY2027; provisional opening TB (balance sheet only) from the preliminary December TB; legacy GL open only for FY2027 closing and audit adj; Go-live of all modules together in January 2028; full migration and cut-over Nov 2027 - Jan 2028. Proposed T Monday 3 January 2028 after the legacy year-end close; freeze, window and year-end handling open (DMQ39, DCR-242). (BDOI timeline and answer A1 (26-Sep. Also affects BRD-00.</t>
        </is>
      </c>
    </row>
    <row r="73">
      <c r="A73" s="12" t="inlineStr">
        <is>
          <t>PR-DM-16</t>
        </is>
      </c>
      <c r="B73" s="12" t="inlineStr">
        <is>
          <t>BRD-13 Data Migration</t>
        </is>
      </c>
      <c r="C73" s="12" t="inlineStr">
        <is>
          <t>Business rule confirmation</t>
        </is>
      </c>
      <c r="D73" s="12" t="inlineStr">
        <is>
          <t>Point of no return: The Program Manager confirms the point of no return and who decides the rollback</t>
        </is>
      </c>
      <c r="E73" s="12" t="inlineStr">
        <is>
          <t>A clear point after which legacy is never reopened for business</t>
        </is>
      </c>
      <c r="F73" s="12" t="inlineStr">
        <is>
          <t>Until the go / no-go decision the rollback restores the snapshot and legacy reopens. After go-live, the point of no return is the end of the first business day (18:00); later issues are fixed forward in BIBS</t>
        </is>
      </c>
      <c r="G73" s="12" t="inlineStr">
        <is>
          <t>Data Migration Handbook BRD-13 v2.1, Proposed business rules and clarifications; decisions DMQ32; also raised as DMQ32 (open decision), DM-Q46 (Drop 0 list item)</t>
        </is>
      </c>
      <c r="H73" s="12" t="inlineStr">
        <is>
          <t>Program Manager</t>
        </is>
      </c>
      <c r="I73" s="37" t="n">
        <v>46661</v>
      </c>
      <c r="J73" s="12" t="inlineStr">
        <is>
          <t>Medium</t>
        </is>
      </c>
      <c r="K73" s="38" t="inlineStr">
        <is>
          <t>Open</t>
        </is>
      </c>
      <c r="L73" s="12" t="n"/>
      <c r="M73" s="12" t="n"/>
    </row>
    <row r="74">
      <c r="A74" s="12" t="inlineStr">
        <is>
          <t>PR-DM-21</t>
        </is>
      </c>
      <c r="B74" s="12" t="inlineStr">
        <is>
          <t>BRD-13 Data Migration</t>
        </is>
      </c>
      <c r="C74" s="12" t="inlineStr">
        <is>
          <t>Business rule confirmation</t>
        </is>
      </c>
      <c r="D74" s="12" t="inlineStr">
        <is>
          <t>Decommissioning of a legacy system: The Program Manager and BDOI IT confirm the criteria and the owner per system</t>
        </is>
      </c>
      <c r="E74" s="12" t="inlineStr">
        <is>
          <t>History and audit evidence stay available; nothing still open depends on the system</t>
        </is>
      </c>
      <c r="F74" s="12" t="inlineStr">
        <is>
          <t>A legacy system is switched off only against a signed checklist: final extracts reconciled, the final opening-balance adjustment reconciled (EBIX, ISYS), archive loaded and reconciled, Legacy Inquiry verified by Audit / Compliance, no open item or claim needing it, access logs archived, retention covered, owners signed</t>
        </is>
      </c>
      <c r="G74" s="12" t="inlineStr">
        <is>
          <t>Data Migration Handbook BRD-13 v2.1, Proposed business rules and clarifications; decisions DMQ27; also raised as DMQ27 (open decision), DM-Q47 (Drop 0 list item)</t>
        </is>
      </c>
      <c r="H74" s="12" t="inlineStr">
        <is>
          <t>Program Manager; BDOI IT</t>
        </is>
      </c>
      <c r="I74" s="37" t="n">
        <v>46661</v>
      </c>
      <c r="J74" s="12" t="inlineStr">
        <is>
          <t>Medium</t>
        </is>
      </c>
      <c r="K74" s="38" t="inlineStr">
        <is>
          <t>Open</t>
        </is>
      </c>
      <c r="L74" s="12" t="n"/>
      <c r="M74" s="12" t="n"/>
    </row>
    <row r="75">
      <c r="A75" s="12" t="inlineStr">
        <is>
          <t>SO-13-2</t>
        </is>
      </c>
      <c r="B75" s="12" t="inlineStr">
        <is>
          <t>BRD-13 Data Migration</t>
        </is>
      </c>
      <c r="C75" s="12" t="inlineStr">
        <is>
          <t>Sign-off</t>
        </is>
      </c>
      <c r="D75" s="12" t="inlineStr">
        <is>
          <t>Sign the dress rehearsal report.</t>
        </is>
      </c>
      <c r="E75" s="12" t="inlineStr">
        <is>
          <t>The signed document fixes the scope for the next step of the plan; a late sign-off moves the dates that follow it.</t>
        </is>
      </c>
      <c r="F75" s="12" t="n"/>
      <c r="G75" s="12" t="inlineStr">
        <is>
          <t>Project plan v1.0 (8-Oct-2026), sign-offs and milestones</t>
        </is>
      </c>
      <c r="H75" s="12" t="inlineStr">
        <is>
          <t>Data Migration Lead</t>
        </is>
      </c>
      <c r="I75" s="37" t="n">
        <v>46717</v>
      </c>
      <c r="J75" s="12" t="inlineStr">
        <is>
          <t>High</t>
        </is>
      </c>
      <c r="K75" s="38" t="inlineStr">
        <is>
          <t>Open</t>
        </is>
      </c>
      <c r="L75" s="12" t="n"/>
      <c r="M75" s="12" t="n"/>
    </row>
    <row r="76">
      <c r="A76" s="12" t="inlineStr">
        <is>
          <t>SO-13-5</t>
        </is>
      </c>
      <c r="B76" s="12" t="inlineStr">
        <is>
          <t>BRD-13 Data Migration</t>
        </is>
      </c>
      <c r="C76" s="12" t="inlineStr">
        <is>
          <t>Sign-off</t>
        </is>
      </c>
      <c r="D76" s="12" t="inlineStr">
        <is>
          <t>Sign the UAT sign-off certificate of BRD-13 Data Migration.</t>
        </is>
      </c>
      <c r="E76" s="12" t="inlineStr">
        <is>
          <t>The signed document fixes the scope for the next step of the plan; a late sign-off moves the dates that follow it.</t>
        </is>
      </c>
      <c r="F76" s="12" t="n"/>
      <c r="G76" s="12" t="inlineStr">
        <is>
          <t>Project plan v1.0 (8-Oct-2026), sign-offs and milestones</t>
        </is>
      </c>
      <c r="H76" s="12" t="inlineStr">
        <is>
          <t>Program Manager, Business Project Services (Data Migration); BIBS Product Owner</t>
        </is>
      </c>
      <c r="I76" s="37" t="n">
        <v>46738</v>
      </c>
      <c r="J76" s="12" t="inlineStr">
        <is>
          <t>High</t>
        </is>
      </c>
      <c r="K76" s="38" t="inlineStr">
        <is>
          <t>Open</t>
        </is>
      </c>
      <c r="L76" s="12" t="n"/>
      <c r="M76" s="12" t="n"/>
    </row>
    <row r="77">
      <c r="A77" s="12" t="inlineStr">
        <is>
          <t>SO-13-3</t>
        </is>
      </c>
      <c r="B77" s="12" t="inlineStr">
        <is>
          <t>BRD-13 Data Migration</t>
        </is>
      </c>
      <c r="C77" s="12" t="inlineStr">
        <is>
          <t>Sign-off</t>
        </is>
      </c>
      <c r="D77" s="12" t="inlineStr">
        <is>
          <t>Sign the reconciliation of the go-live migration and of each true-up.</t>
        </is>
      </c>
      <c r="E77" s="12" t="inlineStr">
        <is>
          <t>The signed document fixes the scope for the next step of the plan; a late sign-off moves the dates that follow it.</t>
        </is>
      </c>
      <c r="F77" s="12" t="n"/>
      <c r="G77" s="12" t="inlineStr">
        <is>
          <t>Project plan v1.0 (8-Oct-2026), sign-offs and milestones</t>
        </is>
      </c>
      <c r="H77" s="12" t="inlineStr">
        <is>
          <t>Head, Comptrollership; Data Migration Lead</t>
        </is>
      </c>
      <c r="I77" s="37" t="n">
        <v>46754</v>
      </c>
      <c r="J77" s="12" t="inlineStr">
        <is>
          <t>High</t>
        </is>
      </c>
      <c r="K77" s="38" t="inlineStr">
        <is>
          <t>Open</t>
        </is>
      </c>
      <c r="L77" s="12" t="n"/>
      <c r="M77" s="12" t="n"/>
    </row>
  </sheetData>
  <autoFilter ref="A4:M77"/>
  <mergeCells count="1">
    <mergeCell ref="A2:M2"/>
  </mergeCells>
  <conditionalFormatting sqref="K5:K577">
    <cfRule type="cellIs" priority="1" operator="equal" dxfId="0" stopIfTrue="1">
      <formula>"Open"</formula>
    </cfRule>
    <cfRule type="cellIs" priority="2" operator="equal" dxfId="1" stopIfTrue="1">
      <formula>"Answered"</formula>
    </cfRule>
  </conditionalFormatting>
  <conditionalFormatting sqref="A5:M577">
    <cfRule type="expression" priority="3" dxfId="2">
      <formula>AND(MOD(ROW(),2)=0,$A5&lt;&gt;"")</formula>
    </cfRule>
  </conditionalFormatting>
  <conditionalFormatting sqref="K5:K578">
    <cfRule type="cellIs" priority="4" operator="equal" dxfId="3" stopIfTrue="1">
      <formula>"Partly answered"</formula>
    </cfRule>
  </conditionalFormatting>
  <dataValidations count="3">
    <dataValidation sqref="C5:C577" showDropDown="0" showInputMessage="0" showErrorMessage="1" allowBlank="1" errorTitle="Type" error="Choose a value from the list (Type)." type="list">
      <formula1>'_lists'!$AN$1:$AN$10</formula1>
    </dataValidation>
    <dataValidation sqref="J5:J577" showDropDown="0" showInputMessage="0" showErrorMessage="1" allowBlank="1" errorTitle="Priority" error="Choose a value from the list (Priority)." type="list">
      <formula1>'_lists'!$AO$1:$AO$3</formula1>
    </dataValidation>
    <dataValidation sqref="K5:K577" showDropDown="0" showInputMessage="0" showErrorMessage="1" allowBlank="1" errorTitle="Status" error="Choose a value from the list (Status)." type="list">
      <formula1>'_lists'!$AP$1:$AP$3</formula1>
    </dataValidation>
  </dataValidations>
  <printOptions horizontalCentered="1"/>
  <pageMargins left="0.4" right="0.4" top="0.6" bottom="0.6" header="0.5" footer="0.5"/>
  <pageSetup orientation="landscape" paperSize="1" fitToHeight="0" fitToWidth="1"/>
  <headerFooter>
    <oddHeader>&amp;L&amp;8 &amp;K004EA8BDOI Requirements and Inputs by BRD&amp;R&amp;8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8.xml><?xml version="1.0" encoding="utf-8"?>
<worksheet xmlns="http://schemas.openxmlformats.org/spreadsheetml/2006/main">
  <sheetPr>
    <outlinePr summaryBelow="1" summaryRight="1"/>
    <pageSetUpPr fitToPage="1"/>
  </sheetPr>
  <dimension ref="A1:M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6" customWidth="1" min="3" max="3"/>
    <col width="60" customWidth="1" min="4" max="4"/>
    <col width="46" customWidth="1" min="5" max="5"/>
    <col width="46" customWidth="1" min="6" max="6"/>
    <col width="40" customWidth="1" min="7" max="7"/>
    <col width="26" customWidth="1" min="8" max="8"/>
    <col width="12" customWidth="1" min="9" max="9"/>
    <col width="10" customWidth="1" min="10" max="10"/>
    <col width="14" customWidth="1" min="11" max="11"/>
    <col width="40" customWidth="1" min="12" max="12"/>
    <col width="34" customWidth="1" min="13" max="13"/>
  </cols>
  <sheetData>
    <row r="1" ht="24" customHeight="1">
      <c r="A1" s="34" t="inlineStr">
        <is>
          <t>RI Reinsurance (phase 2)</t>
        </is>
      </c>
    </row>
    <row r="2">
      <c r="A2" s="21" t="inlineStr">
        <is>
          <t>Phase 2 ReInsurance (phase 2): what BDOI provides; owner BIBS Product Owner with the Head, Operations (Remittance)</t>
        </is>
      </c>
    </row>
    <row r="3" ht="6" customHeight="1">
      <c r="A3" s="35" t="n"/>
      <c r="B3" s="35" t="n"/>
      <c r="C3" s="35" t="n"/>
      <c r="D3" s="35" t="n"/>
      <c r="E3" s="35" t="n"/>
      <c r="F3" s="35" t="n"/>
      <c r="G3" s="35" t="n"/>
      <c r="H3" s="35" t="n"/>
      <c r="I3" s="35" t="n"/>
      <c r="J3" s="35" t="n"/>
      <c r="K3" s="35" t="n"/>
      <c r="L3" s="35" t="n"/>
      <c r="M3" s="35" t="n"/>
    </row>
    <row r="4" ht="30" customHeight="1">
      <c r="A4" s="36" t="inlineStr">
        <is>
          <t>Ref</t>
        </is>
      </c>
      <c r="B4" s="36" t="inlineStr">
        <is>
          <t>BRD / module</t>
        </is>
      </c>
      <c r="C4" s="36" t="inlineStr">
        <is>
          <t>Type</t>
        </is>
      </c>
      <c r="D4" s="36" t="inlineStr">
        <is>
          <t>What we need from BDOI</t>
        </is>
      </c>
      <c r="E4" s="36" t="inlineStr">
        <is>
          <t>Why / impact if not provided</t>
        </is>
      </c>
      <c r="F4" s="36" t="inlineStr">
        <is>
          <t>Our proposal (if any)</t>
        </is>
      </c>
      <c r="G4" s="36" t="inlineStr">
        <is>
          <t>Source (FRS section / CLR / BRD page)</t>
        </is>
      </c>
      <c r="H4" s="36" t="inlineStr">
        <is>
          <t>BDOI owner (role)</t>
        </is>
      </c>
      <c r="I4" s="36" t="inlineStr">
        <is>
          <t>Needed by</t>
        </is>
      </c>
      <c r="J4" s="36" t="inlineStr">
        <is>
          <t>Priority</t>
        </is>
      </c>
      <c r="K4" s="36" t="inlineStr">
        <is>
          <t>Status</t>
        </is>
      </c>
      <c r="L4" s="36" t="inlineStr">
        <is>
          <t>BDOI response</t>
        </is>
      </c>
      <c r="M4" s="36" t="inlineStr">
        <is>
          <t>Remarks</t>
        </is>
      </c>
    </row>
    <row r="5">
      <c r="A5" s="12" t="inlineStr">
        <is>
          <t>IQ20</t>
        </is>
      </c>
      <c r="B5" s="12" t="inlineStr">
        <is>
          <t>ReInsurance (phase 2)</t>
        </is>
      </c>
      <c r="C5" s="12" t="inlineStr">
        <is>
          <t>Clarification</t>
        </is>
      </c>
      <c r="D5" s="12" t="inlineStr">
        <is>
          <t>Reinsurance transactions in Remittance: (Priority 1) Which reinsurance transactions does Remittance handle in Drop 1 (premium received from cedants and remitted to reinsurers, RI claims recoveries), with which accounting? Please send the "Operations BRD (Remittance Addendum)" and "(Cashiering Addendum)" named on the slide.</t>
        </is>
      </c>
      <c r="E5" s="12" t="inlineStr">
        <is>
          <t>Open point of the FRS (FR-OP-030 to 041): the requirement cannot be finalised or tested as BDOI intends until it is answered.</t>
        </is>
      </c>
      <c r="F5" s="12" t="inlineStr">
        <is>
          <t>Handle the named reinsurance transactions in remittance as remittance types with reinsurer counterparties and their own accounting rules; treaty and facultative processing stays phase 2.</t>
        </is>
      </c>
      <c r="G5" s="12" t="inlineStr">
        <is>
          <t>FRS BRD-02 v2.1, Open questions IQ20 (affects FR-OP-030 to 041); Discrepancy and clarification register v1.2, open question IQ20; baseline Drop plan 1.D2, 1.D3; answer A3; also raised as DCR-210 (register item), DCR-215 (register item)</t>
        </is>
      </c>
      <c r="H5" s="12" t="inlineStr">
        <is>
          <t>Operations - Financial Transactions and Processing, with Comptrollership</t>
        </is>
      </c>
      <c r="I5" s="37" t="n">
        <v>46356</v>
      </c>
      <c r="J5" s="12" t="inlineStr">
        <is>
          <t>High</t>
        </is>
      </c>
      <c r="K5" s="38" t="inlineStr">
        <is>
          <t>Open</t>
        </is>
      </c>
      <c r="L5" s="12" t="n"/>
      <c r="M5" s="12" t="inlineStr">
        <is>
          <t>Also affects BRD-00, BRD-02, BRD-04.</t>
        </is>
      </c>
    </row>
    <row r="6">
      <c r="A6" s="12" t="inlineStr">
        <is>
          <t>RI-01</t>
        </is>
      </c>
      <c r="B6" s="12" t="inlineStr">
        <is>
          <t>ReInsurance (phase 2)</t>
        </is>
      </c>
      <c r="C6" s="12" t="inlineStr">
        <is>
          <t>Decision</t>
        </is>
      </c>
      <c r="D6" s="12" t="inlineStr">
        <is>
          <t>Confirm that ReInsurance stays phase 2 and give the planned date of the ReInsurance BRD, so that its FRS can be scheduled after go-live.</t>
        </is>
      </c>
      <c r="E6" s="12" t="inlineStr">
        <is>
          <t>The BDOI drop plan names a Reinsurance BRD for Remittance in Drop 1; BDOI answer A3 places the reinsurance module in phase 2. Without a date, phase 2 cannot be planned or sized.</t>
        </is>
      </c>
      <c r="F6" s="12" t="inlineStr">
        <is>
          <t>ReInsurance (treaty and facultative processing) is phase 2; its BRD is walked through after the go-live of January 2028.</t>
        </is>
      </c>
      <c r="G6" s="12" t="inlineStr">
        <is>
          <t>BDOI answer A3 (26-Sep-2026); programme assumption A-02; drop plan item 1.D3</t>
        </is>
      </c>
      <c r="H6" s="12" t="inlineStr">
        <is>
          <t>BIBS Product Owner</t>
        </is>
      </c>
      <c r="I6" s="37" t="n">
        <v>46356</v>
      </c>
      <c r="J6" s="12" t="inlineStr">
        <is>
          <t>Medium</t>
        </is>
      </c>
      <c r="K6" s="38" t="inlineStr">
        <is>
          <t>Partly answered</t>
        </is>
      </c>
      <c r="L6" s="12" t="n"/>
      <c r="M6" s="12" t="inlineStr">
        <is>
          <t>Answer: BDOI answer A3 of 26-Sep-2026 (reinsurance module in phase 2); the BRD date is still open.</t>
        </is>
      </c>
    </row>
    <row r="7">
      <c r="A7" s="12" t="inlineStr">
        <is>
          <t>RI-03</t>
        </is>
      </c>
      <c r="B7" s="12" t="inlineStr">
        <is>
          <t>ReInsurance (phase 2)</t>
        </is>
      </c>
      <c r="C7" s="12" t="inlineStr">
        <is>
          <t>Report layout</t>
        </is>
      </c>
      <c r="D7" s="12" t="inlineStr">
        <is>
          <t>Confirm that the four Reinsurance reports of the Report List (#112 to #115) are phase 2, or name those needed at go-live with their layouts.</t>
        </is>
      </c>
      <c r="E7" s="12" t="inlineStr">
        <is>
          <t>The Report List asks for Reinsurance reports although no BRD of the current scope covers them.</t>
        </is>
      </c>
      <c r="F7" s="12" t="inlineStr">
        <is>
          <t>The four Reinsurance reports move to phase 2 with the ReInsurance BRD.</t>
        </is>
      </c>
      <c r="G7" s="12" t="inlineStr">
        <is>
          <t>Report List as of 27-Apr-2026, #112 to #115; register DCR-132</t>
        </is>
      </c>
      <c r="H7" s="12" t="inlineStr">
        <is>
          <t>BIBS Product Owner</t>
        </is>
      </c>
      <c r="I7" s="37" t="n">
        <v>46356</v>
      </c>
      <c r="J7" s="12" t="inlineStr">
        <is>
          <t>Low</t>
        </is>
      </c>
      <c r="K7" s="38" t="inlineStr">
        <is>
          <t>Open</t>
        </is>
      </c>
      <c r="L7" s="12" t="n"/>
      <c r="M7" s="12" t="n"/>
    </row>
    <row r="8">
      <c r="A8" s="12" t="inlineStr">
        <is>
          <t>DCR-132</t>
        </is>
      </c>
      <c r="B8" s="12" t="inlineStr">
        <is>
          <t>ReInsurance (phase 2)</t>
        </is>
      </c>
      <c r="C8" s="12" t="inlineStr">
        <is>
          <t>Integration detail</t>
        </is>
      </c>
      <c r="D8" s="12" t="inlineStr">
        <is>
          <t>Is a Reinsurance BRD to follow? What is the TPC System and its feed? Who owns the sustainability reports?</t>
        </is>
      </c>
      <c r="E8" s="12" t="inlineStr">
        <is>
          <t>The Report List asks for reports without a BRD in the pack: Trade Accumulation and Trade Monitoring from a "TPC System" (#131, #132), four Reinsurance reports (#112-115), and sustainability reports with BRD "N/A" (#169, #178). Business: scope. System: no requirements, sources or layouts.</t>
        </is>
      </c>
      <c r="F8" s="12" t="inlineStr">
        <is>
          <t>Out of the first release until a BRD or specification is supplied.</t>
        </is>
      </c>
      <c r="G8" s="12" t="inlineStr">
        <is>
          <t>Discrepancy and clarification register v1.2, DCR-132 (Gap / missing detail); Report List #131 / #132 (p.44); #112-115 (p.37-38); #169, #178 (p.54)</t>
        </is>
      </c>
      <c r="H8" s="12" t="inlineStr">
        <is>
          <t>Report SMEs named in the Report List</t>
        </is>
      </c>
      <c r="I8" s="37" t="n">
        <v>46418</v>
      </c>
      <c r="J8" s="12" t="inlineStr">
        <is>
          <t>High</t>
        </is>
      </c>
      <c r="K8" s="38" t="inlineStr">
        <is>
          <t>Open</t>
        </is>
      </c>
      <c r="L8" s="12" t="n"/>
      <c r="M8" s="12" t="n"/>
    </row>
    <row r="9">
      <c r="A9" s="12" t="inlineStr">
        <is>
          <t>RI-02</t>
        </is>
      </c>
      <c r="B9" s="12" t="inlineStr">
        <is>
          <t>ReInsurance (phase 2)</t>
        </is>
      </c>
      <c r="C9" s="12" t="inlineStr">
        <is>
          <t>Master data</t>
        </is>
      </c>
      <c r="D9" s="12" t="inlineStr">
        <is>
          <t>Name the reinsurers and reinsurance brokers that Remittance pays or collects from in Drop 1, with their codes, TIN, address, bank details and contacts, so that they exist as business partners at go-live.</t>
        </is>
      </c>
      <c r="E9" s="12" t="inlineStr">
        <is>
          <t>Remittance can only record a reinsurance transaction against a counterparty kept as a business partner (type Reinsurer or Reinsurance broker).</t>
        </is>
      </c>
      <c r="F9" s="12" t="inlineStr">
        <is>
          <t>The counterparties are entered on Business Partners from template MD-01 of the master data workbook, with maker-checker.</t>
        </is>
      </c>
      <c r="G9" s="12" t="inlineStr">
        <is>
          <t>Programme alignment IQ20; business partner types of the platform (Reinsurer, Reinsurance broker)</t>
        </is>
      </c>
      <c r="H9" s="12" t="inlineStr">
        <is>
          <t>Head, Operations (Remittance) with the Head, Comptrollership</t>
        </is>
      </c>
      <c r="I9" s="37" t="n">
        <v>46584</v>
      </c>
      <c r="J9" s="12" t="inlineStr">
        <is>
          <t>Medium</t>
        </is>
      </c>
      <c r="K9" s="38" t="inlineStr">
        <is>
          <t>Open</t>
        </is>
      </c>
      <c r="L9" s="12" t="n"/>
      <c r="M9" s="12" t="inlineStr">
        <is>
          <t>Template MD-01 Business partners of the Master Data and Configuration Upload Templates workbook.</t>
        </is>
      </c>
    </row>
  </sheetData>
  <autoFilter ref="A4:M9"/>
  <mergeCells count="1">
    <mergeCell ref="A2:M2"/>
  </mergeCells>
  <conditionalFormatting sqref="K5:K509">
    <cfRule type="cellIs" priority="1" operator="equal" dxfId="0" stopIfTrue="1">
      <formula>"Open"</formula>
    </cfRule>
    <cfRule type="cellIs" priority="2" operator="equal" dxfId="1" stopIfTrue="1">
      <formula>"Answered"</formula>
    </cfRule>
  </conditionalFormatting>
  <conditionalFormatting sqref="A5:M509">
    <cfRule type="expression" priority="3" dxfId="2">
      <formula>AND(MOD(ROW(),2)=0,$A5&lt;&gt;"")</formula>
    </cfRule>
  </conditionalFormatting>
  <conditionalFormatting sqref="K5:K510">
    <cfRule type="cellIs" priority="4" operator="equal" dxfId="3" stopIfTrue="1">
      <formula>"Partly answered"</formula>
    </cfRule>
  </conditionalFormatting>
  <dataValidations count="3">
    <dataValidation sqref="C5:C509" showDropDown="0" showInputMessage="0" showErrorMessage="1" allowBlank="1" errorTitle="Type" error="Choose a value from the list (Type)." type="list">
      <formula1>'_lists'!$AQ$1:$AQ$10</formula1>
    </dataValidation>
    <dataValidation sqref="J5:J509" showDropDown="0" showInputMessage="0" showErrorMessage="1" allowBlank="1" errorTitle="Priority" error="Choose a value from the list (Priority)." type="list">
      <formula1>'_lists'!$AR$1:$AR$3</formula1>
    </dataValidation>
    <dataValidation sqref="K5:K509" showDropDown="0" showInputMessage="0" showErrorMessage="1" allowBlank="1" errorTitle="Status" error="Choose a value from the list (Status)." type="list">
      <formula1>'_lists'!$AS$1:$AS$3</formula1>
    </dataValidation>
  </dataValidations>
  <printOptions horizontalCentered="1"/>
  <pageMargins left="0.4" right="0.4" top="0.6" bottom="0.6" header="0.5" footer="0.5"/>
  <pageSetup orientation="landscape" paperSize="1" fitToHeight="0" fitToWidth="1"/>
  <headerFooter>
    <oddHeader>&amp;L&amp;8 &amp;K004EA8BDOI Requirements and Inputs by BRD&amp;R&amp;8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9.xml><?xml version="1.0" encoding="utf-8"?>
<worksheet xmlns="http://schemas.openxmlformats.org/spreadsheetml/2006/main">
  <sheetPr>
    <outlinePr summaryBelow="1" summaryRight="1"/>
    <pageSetUpPr fitToPage="1"/>
  </sheetPr>
  <dimension ref="A1:D199"/>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34" t="inlineStr">
        <is>
          <t>README – columns of each sheet</t>
        </is>
      </c>
    </row>
    <row r="2">
      <c r="A2" s="19" t="inlineStr">
        <is>
          <t>BDOI Requirements and Inputs by BRD, version 1.0. Drop-down columns accept only the listed values.</t>
        </is>
      </c>
    </row>
    <row r="4">
      <c r="A4" s="10" t="inlineStr">
        <is>
          <t>Sheet</t>
        </is>
      </c>
      <c r="B4" s="10" t="inlineStr">
        <is>
          <t>Column</t>
        </is>
      </c>
      <c r="C4" s="10" t="inlineStr">
        <is>
          <t>Meaning</t>
        </is>
      </c>
      <c r="D4" s="10" t="inlineStr">
        <is>
          <t>Allowed values</t>
        </is>
      </c>
    </row>
    <row r="5">
      <c r="A5" s="12" t="inlineStr">
        <is>
          <t>BRD-00 Cross-cutting</t>
        </is>
      </c>
      <c r="B5" s="26" t="inlineStr">
        <is>
          <t>Ref</t>
        </is>
      </c>
      <c r="C5" s="12" t="inlineStr">
        <is>
          <t>Original ID of the point: CLR clarification of an FRS, PR-DM proposed rule or DMQ decision of the Data Migration set, open question (RQ06, AQ12 ...), register item DCR, Drop 0 list item (PM-Q, UA-Q, DM-Q), configuration item CFG, NFR target, plan dependency DEP, documents DOC, test data TD, sign-off SO, reinsurance RI</t>
        </is>
      </c>
      <c r="D5" s="12" t="inlineStr"/>
    </row>
    <row r="6">
      <c r="A6" s="14" t="inlineStr">
        <is>
          <t>BRD-00 Cross-cutting</t>
        </is>
      </c>
      <c r="B6" s="39" t="inlineStr">
        <is>
          <t>BRD / module</t>
        </is>
      </c>
      <c r="C6" s="14" t="inlineStr">
        <is>
          <t>BRD and module the point belongs to</t>
        </is>
      </c>
      <c r="D6" s="14" t="inlineStr"/>
    </row>
    <row r="7">
      <c r="A7" s="12" t="inlineStr">
        <is>
          <t>BRD-00 Cross-cutting</t>
        </is>
      </c>
      <c r="B7" s="26" t="inlineStr">
        <is>
          <t>Type</t>
        </is>
      </c>
      <c r="C7" s="12" t="inlineStr">
        <is>
          <t>What kind of input is asked for</t>
        </is>
      </c>
      <c r="D7" s="12" t="inlineStr">
        <is>
          <t>Decision, Clarification, Business rule confirmation, Configuration value, Master data, Sample document or template, Report layout, Integration detail, Test data, Sign-off</t>
        </is>
      </c>
    </row>
    <row r="8">
      <c r="A8" s="14" t="inlineStr">
        <is>
          <t>BRD-00 Cross-cutting</t>
        </is>
      </c>
      <c r="B8" s="39" t="inlineStr">
        <is>
          <t>What we need from BDOI</t>
        </is>
      </c>
      <c r="C8" s="14" t="inlineStr">
        <is>
          <t>The decision, answer, value, data or document BDOI provides</t>
        </is>
      </c>
      <c r="D8" s="14" t="inlineStr"/>
    </row>
    <row r="9">
      <c r="A9" s="12" t="inlineStr">
        <is>
          <t>BRD-00 Cross-cutting</t>
        </is>
      </c>
      <c r="B9" s="26" t="inlineStr">
        <is>
          <t>Why / impact if not provided</t>
        </is>
      </c>
      <c r="C9" s="12" t="inlineStr">
        <is>
          <t>Why it is needed and what happens without it</t>
        </is>
      </c>
      <c r="D9" s="12" t="inlineStr"/>
    </row>
    <row r="10">
      <c r="A10" s="14" t="inlineStr">
        <is>
          <t>BRD-00 Cross-cutting</t>
        </is>
      </c>
      <c r="B10" s="39" t="inlineStr">
        <is>
          <t>Our proposal (if any)</t>
        </is>
      </c>
      <c r="C10" s="14" t="inlineStr">
        <is>
          <t>What the project team proposes; it applies as the working assumption until BDOI answers</t>
        </is>
      </c>
      <c r="D10" s="14" t="inlineStr"/>
    </row>
    <row r="11">
      <c r="A11" s="12" t="inlineStr">
        <is>
          <t>BRD-00 Cross-cutting</t>
        </is>
      </c>
      <c r="B11" s="26" t="inlineStr">
        <is>
          <t>Source (FRS section / CLR / BRD page)</t>
        </is>
      </c>
      <c r="C11" s="12" t="inlineStr">
        <is>
          <t>Where the point is raised, with the IDs of the same point in the other documents</t>
        </is>
      </c>
      <c r="D11" s="12" t="inlineStr"/>
    </row>
    <row r="12">
      <c r="A12" s="14" t="inlineStr">
        <is>
          <t>BRD-00 Cross-cutting</t>
        </is>
      </c>
      <c r="B12" s="39" t="inlineStr">
        <is>
          <t>BDOI owner (role)</t>
        </is>
      </c>
      <c r="C12" s="14" t="inlineStr">
        <is>
          <t>Role that answers or provides the input</t>
        </is>
      </c>
      <c r="D12" s="14" t="inlineStr"/>
    </row>
    <row r="13">
      <c r="A13" s="12" t="inlineStr">
        <is>
          <t>BRD-00 Cross-cutting</t>
        </is>
      </c>
      <c r="B13" s="26" t="inlineStr">
        <is>
          <t>Needed by</t>
        </is>
      </c>
      <c r="C13" s="12" t="inlineStr">
        <is>
          <t>Date the input is needed by (project plan of 8-Oct-2026)</t>
        </is>
      </c>
      <c r="D13" s="12" t="inlineStr"/>
    </row>
    <row r="14">
      <c r="A14" s="14" t="inlineStr">
        <is>
          <t>BRD-00 Cross-cutting</t>
        </is>
      </c>
      <c r="B14" s="39" t="inlineStr">
        <is>
          <t>Priority</t>
        </is>
      </c>
      <c r="C14" s="14" t="inlineStr">
        <is>
          <t>High: blocks a sign-off, the set-up or a test window; Medium: needed before UAT; Low: can follow</t>
        </is>
      </c>
      <c r="D14" s="14" t="inlineStr">
        <is>
          <t>High, Medium, Low</t>
        </is>
      </c>
    </row>
    <row r="15">
      <c r="A15" s="12" t="inlineStr">
        <is>
          <t>BRD-00 Cross-cutting</t>
        </is>
      </c>
      <c r="B15" s="26" t="inlineStr">
        <is>
          <t>Status</t>
        </is>
      </c>
      <c r="C15" s="12" t="inlineStr">
        <is>
          <t>Open, Partly answered or Answered (from the latest sources)</t>
        </is>
      </c>
      <c r="D15" s="12" t="inlineStr">
        <is>
          <t>Open, Partly answered, Answered</t>
        </is>
      </c>
    </row>
    <row r="16">
      <c r="A16" s="14" t="inlineStr">
        <is>
          <t>BRD-00 Cross-cutting</t>
        </is>
      </c>
      <c r="B16" s="39" t="inlineStr">
        <is>
          <t>BDOI response</t>
        </is>
      </c>
      <c r="C16" s="14" t="inlineStr">
        <is>
          <t>The answer of BDOI (to fill in)</t>
        </is>
      </c>
      <c r="D16" s="14" t="inlineStr"/>
    </row>
    <row r="17">
      <c r="A17" s="12" t="inlineStr">
        <is>
          <t>BRD-00 Cross-cutting</t>
        </is>
      </c>
      <c r="B17" s="26" t="inlineStr">
        <is>
          <t>Remarks</t>
        </is>
      </c>
      <c r="C17" s="12" t="inlineStr">
        <is>
          <t>Answer so far, other BRDs affected, template to fill in</t>
        </is>
      </c>
      <c r="D17" s="12" t="inlineStr"/>
    </row>
    <row r="18">
      <c r="A18" s="14" t="inlineStr">
        <is>
          <t>BRD-01 New Business</t>
        </is>
      </c>
      <c r="B18" s="39" t="inlineStr">
        <is>
          <t>Ref</t>
        </is>
      </c>
      <c r="C18" s="14" t="inlineStr">
        <is>
          <t>Original ID of the point: CLR clarification of an FRS, PR-DM proposed rule or DMQ decision of the Data Migration set, open question (RQ06, AQ12 ...), register item DCR, Drop 0 list item (PM-Q, UA-Q, DM-Q), configuration item CFG, NFR target, plan dependency DEP, documents DOC, test data TD, sign-off SO, reinsurance RI</t>
        </is>
      </c>
      <c r="D18" s="14" t="inlineStr"/>
    </row>
    <row r="19">
      <c r="A19" s="12" t="inlineStr">
        <is>
          <t>BRD-01 New Business</t>
        </is>
      </c>
      <c r="B19" s="26" t="inlineStr">
        <is>
          <t>BRD / module</t>
        </is>
      </c>
      <c r="C19" s="12" t="inlineStr">
        <is>
          <t>BRD and module the point belongs to</t>
        </is>
      </c>
      <c r="D19" s="12" t="inlineStr"/>
    </row>
    <row r="20">
      <c r="A20" s="14" t="inlineStr">
        <is>
          <t>BRD-01 New Business</t>
        </is>
      </c>
      <c r="B20" s="39" t="inlineStr">
        <is>
          <t>Type</t>
        </is>
      </c>
      <c r="C20" s="14" t="inlineStr">
        <is>
          <t>What kind of input is asked for</t>
        </is>
      </c>
      <c r="D20" s="14" t="inlineStr">
        <is>
          <t>Decision, Clarification, Business rule confirmation, Configuration value, Master data, Sample document or template, Report layout, Integration detail, Test data, Sign-off</t>
        </is>
      </c>
    </row>
    <row r="21">
      <c r="A21" s="12" t="inlineStr">
        <is>
          <t>BRD-01 New Business</t>
        </is>
      </c>
      <c r="B21" s="26" t="inlineStr">
        <is>
          <t>What we need from BDOI</t>
        </is>
      </c>
      <c r="C21" s="12" t="inlineStr">
        <is>
          <t>The decision, answer, value, data or document BDOI provides</t>
        </is>
      </c>
      <c r="D21" s="12" t="inlineStr"/>
    </row>
    <row r="22">
      <c r="A22" s="14" t="inlineStr">
        <is>
          <t>BRD-01 New Business</t>
        </is>
      </c>
      <c r="B22" s="39" t="inlineStr">
        <is>
          <t>Why / impact if not provided</t>
        </is>
      </c>
      <c r="C22" s="14" t="inlineStr">
        <is>
          <t>Why it is needed and what happens without it</t>
        </is>
      </c>
      <c r="D22" s="14" t="inlineStr"/>
    </row>
    <row r="23">
      <c r="A23" s="12" t="inlineStr">
        <is>
          <t>BRD-01 New Business</t>
        </is>
      </c>
      <c r="B23" s="26" t="inlineStr">
        <is>
          <t>Our proposal (if any)</t>
        </is>
      </c>
      <c r="C23" s="12" t="inlineStr">
        <is>
          <t>What the project team proposes; it applies as the working assumption until BDOI answers</t>
        </is>
      </c>
      <c r="D23" s="12" t="inlineStr"/>
    </row>
    <row r="24">
      <c r="A24" s="14" t="inlineStr">
        <is>
          <t>BRD-01 New Business</t>
        </is>
      </c>
      <c r="B24" s="39" t="inlineStr">
        <is>
          <t>Source (FRS section / CLR / BRD page)</t>
        </is>
      </c>
      <c r="C24" s="14" t="inlineStr">
        <is>
          <t>Where the point is raised, with the IDs of the same point in the other documents</t>
        </is>
      </c>
      <c r="D24" s="14" t="inlineStr"/>
    </row>
    <row r="25">
      <c r="A25" s="12" t="inlineStr">
        <is>
          <t>BRD-01 New Business</t>
        </is>
      </c>
      <c r="B25" s="26" t="inlineStr">
        <is>
          <t>BDOI owner (role)</t>
        </is>
      </c>
      <c r="C25" s="12" t="inlineStr">
        <is>
          <t>Role that answers or provides the input</t>
        </is>
      </c>
      <c r="D25" s="12" t="inlineStr"/>
    </row>
    <row r="26">
      <c r="A26" s="14" t="inlineStr">
        <is>
          <t>BRD-01 New Business</t>
        </is>
      </c>
      <c r="B26" s="39" t="inlineStr">
        <is>
          <t>Needed by</t>
        </is>
      </c>
      <c r="C26" s="14" t="inlineStr">
        <is>
          <t>Date the input is needed by (project plan of 8-Oct-2026)</t>
        </is>
      </c>
      <c r="D26" s="14" t="inlineStr"/>
    </row>
    <row r="27">
      <c r="A27" s="12" t="inlineStr">
        <is>
          <t>BRD-01 New Business</t>
        </is>
      </c>
      <c r="B27" s="26" t="inlineStr">
        <is>
          <t>Priority</t>
        </is>
      </c>
      <c r="C27" s="12" t="inlineStr">
        <is>
          <t>High: blocks a sign-off, the set-up or a test window; Medium: needed before UAT; Low: can follow</t>
        </is>
      </c>
      <c r="D27" s="12" t="inlineStr">
        <is>
          <t>High, Medium, Low</t>
        </is>
      </c>
    </row>
    <row r="28">
      <c r="A28" s="14" t="inlineStr">
        <is>
          <t>BRD-01 New Business</t>
        </is>
      </c>
      <c r="B28" s="39" t="inlineStr">
        <is>
          <t>Status</t>
        </is>
      </c>
      <c r="C28" s="14" t="inlineStr">
        <is>
          <t>Open, Partly answered or Answered (from the latest sources)</t>
        </is>
      </c>
      <c r="D28" s="14" t="inlineStr">
        <is>
          <t>Open, Partly answered, Answered</t>
        </is>
      </c>
    </row>
    <row r="29">
      <c r="A29" s="12" t="inlineStr">
        <is>
          <t>BRD-01 New Business</t>
        </is>
      </c>
      <c r="B29" s="26" t="inlineStr">
        <is>
          <t>BDOI response</t>
        </is>
      </c>
      <c r="C29" s="12" t="inlineStr">
        <is>
          <t>The answer of BDOI (to fill in)</t>
        </is>
      </c>
      <c r="D29" s="12" t="inlineStr"/>
    </row>
    <row r="30">
      <c r="A30" s="14" t="inlineStr">
        <is>
          <t>BRD-01 New Business</t>
        </is>
      </c>
      <c r="B30" s="39" t="inlineStr">
        <is>
          <t>Remarks</t>
        </is>
      </c>
      <c r="C30" s="14" t="inlineStr">
        <is>
          <t>Answer so far, other BRDs affected, template to fill in</t>
        </is>
      </c>
      <c r="D30" s="14" t="inlineStr"/>
    </row>
    <row r="31">
      <c r="A31" s="12" t="inlineStr">
        <is>
          <t>BRD-02 Operations</t>
        </is>
      </c>
      <c r="B31" s="26" t="inlineStr">
        <is>
          <t>Ref</t>
        </is>
      </c>
      <c r="C31" s="12" t="inlineStr">
        <is>
          <t>Original ID of the point: CLR clarification of an FRS, PR-DM proposed rule or DMQ decision of the Data Migration set, open question (RQ06, AQ12 ...), register item DCR, Drop 0 list item (PM-Q, UA-Q, DM-Q), configuration item CFG, NFR target, plan dependency DEP, documents DOC, test data TD, sign-off SO, reinsurance RI</t>
        </is>
      </c>
      <c r="D31" s="12" t="inlineStr"/>
    </row>
    <row r="32">
      <c r="A32" s="14" t="inlineStr">
        <is>
          <t>BRD-02 Operations</t>
        </is>
      </c>
      <c r="B32" s="39" t="inlineStr">
        <is>
          <t>BRD / module</t>
        </is>
      </c>
      <c r="C32" s="14" t="inlineStr">
        <is>
          <t>BRD and module the point belongs to</t>
        </is>
      </c>
      <c r="D32" s="14" t="inlineStr"/>
    </row>
    <row r="33">
      <c r="A33" s="12" t="inlineStr">
        <is>
          <t>BRD-02 Operations</t>
        </is>
      </c>
      <c r="B33" s="26" t="inlineStr">
        <is>
          <t>Type</t>
        </is>
      </c>
      <c r="C33" s="12" t="inlineStr">
        <is>
          <t>What kind of input is asked for</t>
        </is>
      </c>
      <c r="D33" s="12" t="inlineStr">
        <is>
          <t>Decision, Clarification, Business rule confirmation, Configuration value, Master data, Sample document or template, Report layout, Integration detail, Test data, Sign-off</t>
        </is>
      </c>
    </row>
    <row r="34">
      <c r="A34" s="14" t="inlineStr">
        <is>
          <t>BRD-02 Operations</t>
        </is>
      </c>
      <c r="B34" s="39" t="inlineStr">
        <is>
          <t>What we need from BDOI</t>
        </is>
      </c>
      <c r="C34" s="14" t="inlineStr">
        <is>
          <t>The decision, answer, value, data or document BDOI provides</t>
        </is>
      </c>
      <c r="D34" s="14" t="inlineStr"/>
    </row>
    <row r="35">
      <c r="A35" s="12" t="inlineStr">
        <is>
          <t>BRD-02 Operations</t>
        </is>
      </c>
      <c r="B35" s="26" t="inlineStr">
        <is>
          <t>Why / impact if not provided</t>
        </is>
      </c>
      <c r="C35" s="12" t="inlineStr">
        <is>
          <t>Why it is needed and what happens without it</t>
        </is>
      </c>
      <c r="D35" s="12" t="inlineStr"/>
    </row>
    <row r="36">
      <c r="A36" s="14" t="inlineStr">
        <is>
          <t>BRD-02 Operations</t>
        </is>
      </c>
      <c r="B36" s="39" t="inlineStr">
        <is>
          <t>Our proposal (if any)</t>
        </is>
      </c>
      <c r="C36" s="14" t="inlineStr">
        <is>
          <t>What the project team proposes; it applies as the working assumption until BDOI answers</t>
        </is>
      </c>
      <c r="D36" s="14" t="inlineStr"/>
    </row>
    <row r="37">
      <c r="A37" s="12" t="inlineStr">
        <is>
          <t>BRD-02 Operations</t>
        </is>
      </c>
      <c r="B37" s="26" t="inlineStr">
        <is>
          <t>Source (FRS section / CLR / BRD page)</t>
        </is>
      </c>
      <c r="C37" s="12" t="inlineStr">
        <is>
          <t>Where the point is raised, with the IDs of the same point in the other documents</t>
        </is>
      </c>
      <c r="D37" s="12" t="inlineStr"/>
    </row>
    <row r="38">
      <c r="A38" s="14" t="inlineStr">
        <is>
          <t>BRD-02 Operations</t>
        </is>
      </c>
      <c r="B38" s="39" t="inlineStr">
        <is>
          <t>BDOI owner (role)</t>
        </is>
      </c>
      <c r="C38" s="14" t="inlineStr">
        <is>
          <t>Role that answers or provides the input</t>
        </is>
      </c>
      <c r="D38" s="14" t="inlineStr"/>
    </row>
    <row r="39">
      <c r="A39" s="12" t="inlineStr">
        <is>
          <t>BRD-02 Operations</t>
        </is>
      </c>
      <c r="B39" s="26" t="inlineStr">
        <is>
          <t>Needed by</t>
        </is>
      </c>
      <c r="C39" s="12" t="inlineStr">
        <is>
          <t>Date the input is needed by (project plan of 8-Oct-2026)</t>
        </is>
      </c>
      <c r="D39" s="12" t="inlineStr"/>
    </row>
    <row r="40">
      <c r="A40" s="14" t="inlineStr">
        <is>
          <t>BRD-02 Operations</t>
        </is>
      </c>
      <c r="B40" s="39" t="inlineStr">
        <is>
          <t>Priority</t>
        </is>
      </c>
      <c r="C40" s="14" t="inlineStr">
        <is>
          <t>High: blocks a sign-off, the set-up or a test window; Medium: needed before UAT; Low: can follow</t>
        </is>
      </c>
      <c r="D40" s="14" t="inlineStr">
        <is>
          <t>High, Medium, Low</t>
        </is>
      </c>
    </row>
    <row r="41">
      <c r="A41" s="12" t="inlineStr">
        <is>
          <t>BRD-02 Operations</t>
        </is>
      </c>
      <c r="B41" s="26" t="inlineStr">
        <is>
          <t>Status</t>
        </is>
      </c>
      <c r="C41" s="12" t="inlineStr">
        <is>
          <t>Open, Partly answered or Answered (from the latest sources)</t>
        </is>
      </c>
      <c r="D41" s="12" t="inlineStr">
        <is>
          <t>Open, Partly answered, Answered</t>
        </is>
      </c>
    </row>
    <row r="42">
      <c r="A42" s="14" t="inlineStr">
        <is>
          <t>BRD-02 Operations</t>
        </is>
      </c>
      <c r="B42" s="39" t="inlineStr">
        <is>
          <t>BDOI response</t>
        </is>
      </c>
      <c r="C42" s="14" t="inlineStr">
        <is>
          <t>The answer of BDOI (to fill in)</t>
        </is>
      </c>
      <c r="D42" s="14" t="inlineStr"/>
    </row>
    <row r="43">
      <c r="A43" s="12" t="inlineStr">
        <is>
          <t>BRD-02 Operations</t>
        </is>
      </c>
      <c r="B43" s="26" t="inlineStr">
        <is>
          <t>Remarks</t>
        </is>
      </c>
      <c r="C43" s="12" t="inlineStr">
        <is>
          <t>Answer so far, other BRDs affected, template to fill in</t>
        </is>
      </c>
      <c r="D43" s="12" t="inlineStr"/>
    </row>
    <row r="44">
      <c r="A44" s="14" t="inlineStr">
        <is>
          <t>BRD-03 Product Maintenance</t>
        </is>
      </c>
      <c r="B44" s="39" t="inlineStr">
        <is>
          <t>Ref</t>
        </is>
      </c>
      <c r="C44" s="14" t="inlineStr">
        <is>
          <t>Original ID of the point: CLR clarification of an FRS, PR-DM proposed rule or DMQ decision of the Data Migration set, open question (RQ06, AQ12 ...), register item DCR, Drop 0 list item (PM-Q, UA-Q, DM-Q), configuration item CFG, NFR target, plan dependency DEP, documents DOC, test data TD, sign-off SO, reinsurance RI</t>
        </is>
      </c>
      <c r="D44" s="14" t="inlineStr"/>
    </row>
    <row r="45">
      <c r="A45" s="12" t="inlineStr">
        <is>
          <t>BRD-03 Product Maintenance</t>
        </is>
      </c>
      <c r="B45" s="26" t="inlineStr">
        <is>
          <t>BRD / module</t>
        </is>
      </c>
      <c r="C45" s="12" t="inlineStr">
        <is>
          <t>BRD and module the point belongs to</t>
        </is>
      </c>
      <c r="D45" s="12" t="inlineStr"/>
    </row>
    <row r="46">
      <c r="A46" s="14" t="inlineStr">
        <is>
          <t>BRD-03 Product Maintenance</t>
        </is>
      </c>
      <c r="B46" s="39" t="inlineStr">
        <is>
          <t>Type</t>
        </is>
      </c>
      <c r="C46" s="14" t="inlineStr">
        <is>
          <t>What kind of input is asked for</t>
        </is>
      </c>
      <c r="D46" s="14" t="inlineStr">
        <is>
          <t>Decision, Clarification, Business rule confirmation, Configuration value, Master data, Sample document or template, Report layout, Integration detail, Test data, Sign-off</t>
        </is>
      </c>
    </row>
    <row r="47">
      <c r="A47" s="12" t="inlineStr">
        <is>
          <t>BRD-03 Product Maintenance</t>
        </is>
      </c>
      <c r="B47" s="26" t="inlineStr">
        <is>
          <t>What we need from BDOI</t>
        </is>
      </c>
      <c r="C47" s="12" t="inlineStr">
        <is>
          <t>The decision, answer, value, data or document BDOI provides</t>
        </is>
      </c>
      <c r="D47" s="12" t="inlineStr"/>
    </row>
    <row r="48">
      <c r="A48" s="14" t="inlineStr">
        <is>
          <t>BRD-03 Product Maintenance</t>
        </is>
      </c>
      <c r="B48" s="39" t="inlineStr">
        <is>
          <t>Why / impact if not provided</t>
        </is>
      </c>
      <c r="C48" s="14" t="inlineStr">
        <is>
          <t>Why it is needed and what happens without it</t>
        </is>
      </c>
      <c r="D48" s="14" t="inlineStr"/>
    </row>
    <row r="49">
      <c r="A49" s="12" t="inlineStr">
        <is>
          <t>BRD-03 Product Maintenance</t>
        </is>
      </c>
      <c r="B49" s="26" t="inlineStr">
        <is>
          <t>Our proposal (if any)</t>
        </is>
      </c>
      <c r="C49" s="12" t="inlineStr">
        <is>
          <t>What the project team proposes; it applies as the working assumption until BDOI answers</t>
        </is>
      </c>
      <c r="D49" s="12" t="inlineStr"/>
    </row>
    <row r="50">
      <c r="A50" s="14" t="inlineStr">
        <is>
          <t>BRD-03 Product Maintenance</t>
        </is>
      </c>
      <c r="B50" s="39" t="inlineStr">
        <is>
          <t>Source (FRS section / CLR / BRD page)</t>
        </is>
      </c>
      <c r="C50" s="14" t="inlineStr">
        <is>
          <t>Where the point is raised, with the IDs of the same point in the other documents</t>
        </is>
      </c>
      <c r="D50" s="14" t="inlineStr"/>
    </row>
    <row r="51">
      <c r="A51" s="12" t="inlineStr">
        <is>
          <t>BRD-03 Product Maintenance</t>
        </is>
      </c>
      <c r="B51" s="26" t="inlineStr">
        <is>
          <t>BDOI owner (role)</t>
        </is>
      </c>
      <c r="C51" s="12" t="inlineStr">
        <is>
          <t>Role that answers or provides the input</t>
        </is>
      </c>
      <c r="D51" s="12" t="inlineStr"/>
    </row>
    <row r="52">
      <c r="A52" s="14" t="inlineStr">
        <is>
          <t>BRD-03 Product Maintenance</t>
        </is>
      </c>
      <c r="B52" s="39" t="inlineStr">
        <is>
          <t>Needed by</t>
        </is>
      </c>
      <c r="C52" s="14" t="inlineStr">
        <is>
          <t>Date the input is needed by (project plan of 8-Oct-2026)</t>
        </is>
      </c>
      <c r="D52" s="14" t="inlineStr"/>
    </row>
    <row r="53">
      <c r="A53" s="12" t="inlineStr">
        <is>
          <t>BRD-03 Product Maintenance</t>
        </is>
      </c>
      <c r="B53" s="26" t="inlineStr">
        <is>
          <t>Priority</t>
        </is>
      </c>
      <c r="C53" s="12" t="inlineStr">
        <is>
          <t>High: blocks a sign-off, the set-up or a test window; Medium: needed before UAT; Low: can follow</t>
        </is>
      </c>
      <c r="D53" s="12" t="inlineStr">
        <is>
          <t>High, Medium, Low</t>
        </is>
      </c>
    </row>
    <row r="54">
      <c r="A54" s="14" t="inlineStr">
        <is>
          <t>BRD-03 Product Maintenance</t>
        </is>
      </c>
      <c r="B54" s="39" t="inlineStr">
        <is>
          <t>Status</t>
        </is>
      </c>
      <c r="C54" s="14" t="inlineStr">
        <is>
          <t>Open, Partly answered or Answered (from the latest sources)</t>
        </is>
      </c>
      <c r="D54" s="14" t="inlineStr">
        <is>
          <t>Open, Partly answered, Answered</t>
        </is>
      </c>
    </row>
    <row r="55">
      <c r="A55" s="12" t="inlineStr">
        <is>
          <t>BRD-03 Product Maintenance</t>
        </is>
      </c>
      <c r="B55" s="26" t="inlineStr">
        <is>
          <t>BDOI response</t>
        </is>
      </c>
      <c r="C55" s="12" t="inlineStr">
        <is>
          <t>The answer of BDOI (to fill in)</t>
        </is>
      </c>
      <c r="D55" s="12" t="inlineStr"/>
    </row>
    <row r="56">
      <c r="A56" s="14" t="inlineStr">
        <is>
          <t>BRD-03 Product Maintenance</t>
        </is>
      </c>
      <c r="B56" s="39" t="inlineStr">
        <is>
          <t>Remarks</t>
        </is>
      </c>
      <c r="C56" s="14" t="inlineStr">
        <is>
          <t>Answer so far, other BRDs affected, template to fill in</t>
        </is>
      </c>
      <c r="D56" s="14" t="inlineStr"/>
    </row>
    <row r="57">
      <c r="A57" s="12" t="inlineStr">
        <is>
          <t>BRD-04 Collections</t>
        </is>
      </c>
      <c r="B57" s="26" t="inlineStr">
        <is>
          <t>Ref</t>
        </is>
      </c>
      <c r="C57" s="12" t="inlineStr">
        <is>
          <t>Original ID of the point: CLR clarification of an FRS, PR-DM proposed rule or DMQ decision of the Data Migration set, open question (RQ06, AQ12 ...), register item DCR, Drop 0 list item (PM-Q, UA-Q, DM-Q), configuration item CFG, NFR target, plan dependency DEP, documents DOC, test data TD, sign-off SO, reinsurance RI</t>
        </is>
      </c>
      <c r="D57" s="12" t="inlineStr"/>
    </row>
    <row r="58">
      <c r="A58" s="14" t="inlineStr">
        <is>
          <t>BRD-04 Collections</t>
        </is>
      </c>
      <c r="B58" s="39" t="inlineStr">
        <is>
          <t>BRD / module</t>
        </is>
      </c>
      <c r="C58" s="14" t="inlineStr">
        <is>
          <t>BRD and module the point belongs to</t>
        </is>
      </c>
      <c r="D58" s="14" t="inlineStr"/>
    </row>
    <row r="59">
      <c r="A59" s="12" t="inlineStr">
        <is>
          <t>BRD-04 Collections</t>
        </is>
      </c>
      <c r="B59" s="26" t="inlineStr">
        <is>
          <t>Type</t>
        </is>
      </c>
      <c r="C59" s="12" t="inlineStr">
        <is>
          <t>What kind of input is asked for</t>
        </is>
      </c>
      <c r="D59" s="12" t="inlineStr">
        <is>
          <t>Decision, Clarification, Business rule confirmation, Configuration value, Master data, Sample document or template, Report layout, Integration detail, Test data, Sign-off</t>
        </is>
      </c>
    </row>
    <row r="60">
      <c r="A60" s="14" t="inlineStr">
        <is>
          <t>BRD-04 Collections</t>
        </is>
      </c>
      <c r="B60" s="39" t="inlineStr">
        <is>
          <t>What we need from BDOI</t>
        </is>
      </c>
      <c r="C60" s="14" t="inlineStr">
        <is>
          <t>The decision, answer, value, data or document BDOI provides</t>
        </is>
      </c>
      <c r="D60" s="14" t="inlineStr"/>
    </row>
    <row r="61">
      <c r="A61" s="12" t="inlineStr">
        <is>
          <t>BRD-04 Collections</t>
        </is>
      </c>
      <c r="B61" s="26" t="inlineStr">
        <is>
          <t>Why / impact if not provided</t>
        </is>
      </c>
      <c r="C61" s="12" t="inlineStr">
        <is>
          <t>Why it is needed and what happens without it</t>
        </is>
      </c>
      <c r="D61" s="12" t="inlineStr"/>
    </row>
    <row r="62">
      <c r="A62" s="14" t="inlineStr">
        <is>
          <t>BRD-04 Collections</t>
        </is>
      </c>
      <c r="B62" s="39" t="inlineStr">
        <is>
          <t>Our proposal (if any)</t>
        </is>
      </c>
      <c r="C62" s="14" t="inlineStr">
        <is>
          <t>What the project team proposes; it applies as the working assumption until BDOI answers</t>
        </is>
      </c>
      <c r="D62" s="14" t="inlineStr"/>
    </row>
    <row r="63">
      <c r="A63" s="12" t="inlineStr">
        <is>
          <t>BRD-04 Collections</t>
        </is>
      </c>
      <c r="B63" s="26" t="inlineStr">
        <is>
          <t>Source (FRS section / CLR / BRD page)</t>
        </is>
      </c>
      <c r="C63" s="12" t="inlineStr">
        <is>
          <t>Where the point is raised, with the IDs of the same point in the other documents</t>
        </is>
      </c>
      <c r="D63" s="12" t="inlineStr"/>
    </row>
    <row r="64">
      <c r="A64" s="14" t="inlineStr">
        <is>
          <t>BRD-04 Collections</t>
        </is>
      </c>
      <c r="B64" s="39" t="inlineStr">
        <is>
          <t>BDOI owner (role)</t>
        </is>
      </c>
      <c r="C64" s="14" t="inlineStr">
        <is>
          <t>Role that answers or provides the input</t>
        </is>
      </c>
      <c r="D64" s="14" t="inlineStr"/>
    </row>
    <row r="65">
      <c r="A65" s="12" t="inlineStr">
        <is>
          <t>BRD-04 Collections</t>
        </is>
      </c>
      <c r="B65" s="26" t="inlineStr">
        <is>
          <t>Needed by</t>
        </is>
      </c>
      <c r="C65" s="12" t="inlineStr">
        <is>
          <t>Date the input is needed by (project plan of 8-Oct-2026)</t>
        </is>
      </c>
      <c r="D65" s="12" t="inlineStr"/>
    </row>
    <row r="66">
      <c r="A66" s="14" t="inlineStr">
        <is>
          <t>BRD-04 Collections</t>
        </is>
      </c>
      <c r="B66" s="39" t="inlineStr">
        <is>
          <t>Priority</t>
        </is>
      </c>
      <c r="C66" s="14" t="inlineStr">
        <is>
          <t>High: blocks a sign-off, the set-up or a test window; Medium: needed before UAT; Low: can follow</t>
        </is>
      </c>
      <c r="D66" s="14" t="inlineStr">
        <is>
          <t>High, Medium, Low</t>
        </is>
      </c>
    </row>
    <row r="67">
      <c r="A67" s="12" t="inlineStr">
        <is>
          <t>BRD-04 Collections</t>
        </is>
      </c>
      <c r="B67" s="26" t="inlineStr">
        <is>
          <t>Status</t>
        </is>
      </c>
      <c r="C67" s="12" t="inlineStr">
        <is>
          <t>Open, Partly answered or Answered (from the latest sources)</t>
        </is>
      </c>
      <c r="D67" s="12" t="inlineStr">
        <is>
          <t>Open, Partly answered, Answered</t>
        </is>
      </c>
    </row>
    <row r="68">
      <c r="A68" s="14" t="inlineStr">
        <is>
          <t>BRD-04 Collections</t>
        </is>
      </c>
      <c r="B68" s="39" t="inlineStr">
        <is>
          <t>BDOI response</t>
        </is>
      </c>
      <c r="C68" s="14" t="inlineStr">
        <is>
          <t>The answer of BDOI (to fill in)</t>
        </is>
      </c>
      <c r="D68" s="14" t="inlineStr"/>
    </row>
    <row r="69">
      <c r="A69" s="12" t="inlineStr">
        <is>
          <t>BRD-04 Collections</t>
        </is>
      </c>
      <c r="B69" s="26" t="inlineStr">
        <is>
          <t>Remarks</t>
        </is>
      </c>
      <c r="C69" s="12" t="inlineStr">
        <is>
          <t>Answer so far, other BRDs affected, template to fill in</t>
        </is>
      </c>
      <c r="D69" s="12" t="inlineStr"/>
    </row>
    <row r="70">
      <c r="A70" s="14" t="inlineStr">
        <is>
          <t>BRD-05 Accounting and ACSL</t>
        </is>
      </c>
      <c r="B70" s="39" t="inlineStr">
        <is>
          <t>Ref</t>
        </is>
      </c>
      <c r="C70" s="14" t="inlineStr">
        <is>
          <t>Original ID of the point: CLR clarification of an FRS, PR-DM proposed rule or DMQ decision of the Data Migration set, open question (RQ06, AQ12 ...), register item DCR, Drop 0 list item (PM-Q, UA-Q, DM-Q), configuration item CFG, NFR target, plan dependency DEP, documents DOC, test data TD, sign-off SO, reinsurance RI</t>
        </is>
      </c>
      <c r="D70" s="14" t="inlineStr"/>
    </row>
    <row r="71">
      <c r="A71" s="12" t="inlineStr">
        <is>
          <t>BRD-05 Accounting and ACSL</t>
        </is>
      </c>
      <c r="B71" s="26" t="inlineStr">
        <is>
          <t>BRD / module</t>
        </is>
      </c>
      <c r="C71" s="12" t="inlineStr">
        <is>
          <t>BRD and module the point belongs to</t>
        </is>
      </c>
      <c r="D71" s="12" t="inlineStr"/>
    </row>
    <row r="72">
      <c r="A72" s="14" t="inlineStr">
        <is>
          <t>BRD-05 Accounting and ACSL</t>
        </is>
      </c>
      <c r="B72" s="39" t="inlineStr">
        <is>
          <t>Type</t>
        </is>
      </c>
      <c r="C72" s="14" t="inlineStr">
        <is>
          <t>What kind of input is asked for</t>
        </is>
      </c>
      <c r="D72" s="14" t="inlineStr">
        <is>
          <t>Decision, Clarification, Business rule confirmation, Configuration value, Master data, Sample document or template, Report layout, Integration detail, Test data, Sign-off</t>
        </is>
      </c>
    </row>
    <row r="73">
      <c r="A73" s="12" t="inlineStr">
        <is>
          <t>BRD-05 Accounting and ACSL</t>
        </is>
      </c>
      <c r="B73" s="26" t="inlineStr">
        <is>
          <t>What we need from BDOI</t>
        </is>
      </c>
      <c r="C73" s="12" t="inlineStr">
        <is>
          <t>The decision, answer, value, data or document BDOI provides</t>
        </is>
      </c>
      <c r="D73" s="12" t="inlineStr"/>
    </row>
    <row r="74">
      <c r="A74" s="14" t="inlineStr">
        <is>
          <t>BRD-05 Accounting and ACSL</t>
        </is>
      </c>
      <c r="B74" s="39" t="inlineStr">
        <is>
          <t>Why / impact if not provided</t>
        </is>
      </c>
      <c r="C74" s="14" t="inlineStr">
        <is>
          <t>Why it is needed and what happens without it</t>
        </is>
      </c>
      <c r="D74" s="14" t="inlineStr"/>
    </row>
    <row r="75">
      <c r="A75" s="12" t="inlineStr">
        <is>
          <t>BRD-05 Accounting and ACSL</t>
        </is>
      </c>
      <c r="B75" s="26" t="inlineStr">
        <is>
          <t>Our proposal (if any)</t>
        </is>
      </c>
      <c r="C75" s="12" t="inlineStr">
        <is>
          <t>What the project team proposes; it applies as the working assumption until BDOI answers</t>
        </is>
      </c>
      <c r="D75" s="12" t="inlineStr"/>
    </row>
    <row r="76">
      <c r="A76" s="14" t="inlineStr">
        <is>
          <t>BRD-05 Accounting and ACSL</t>
        </is>
      </c>
      <c r="B76" s="39" t="inlineStr">
        <is>
          <t>Source (FRS section / CLR / BRD page)</t>
        </is>
      </c>
      <c r="C76" s="14" t="inlineStr">
        <is>
          <t>Where the point is raised, with the IDs of the same point in the other documents</t>
        </is>
      </c>
      <c r="D76" s="14" t="inlineStr"/>
    </row>
    <row r="77">
      <c r="A77" s="12" t="inlineStr">
        <is>
          <t>BRD-05 Accounting and ACSL</t>
        </is>
      </c>
      <c r="B77" s="26" t="inlineStr">
        <is>
          <t>BDOI owner (role)</t>
        </is>
      </c>
      <c r="C77" s="12" t="inlineStr">
        <is>
          <t>Role that answers or provides the input</t>
        </is>
      </c>
      <c r="D77" s="12" t="inlineStr"/>
    </row>
    <row r="78">
      <c r="A78" s="14" t="inlineStr">
        <is>
          <t>BRD-05 Accounting and ACSL</t>
        </is>
      </c>
      <c r="B78" s="39" t="inlineStr">
        <is>
          <t>Needed by</t>
        </is>
      </c>
      <c r="C78" s="14" t="inlineStr">
        <is>
          <t>Date the input is needed by (project plan of 8-Oct-2026)</t>
        </is>
      </c>
      <c r="D78" s="14" t="inlineStr"/>
    </row>
    <row r="79">
      <c r="A79" s="12" t="inlineStr">
        <is>
          <t>BRD-05 Accounting and ACSL</t>
        </is>
      </c>
      <c r="B79" s="26" t="inlineStr">
        <is>
          <t>Priority</t>
        </is>
      </c>
      <c r="C79" s="12" t="inlineStr">
        <is>
          <t>High: blocks a sign-off, the set-up or a test window; Medium: needed before UAT; Low: can follow</t>
        </is>
      </c>
      <c r="D79" s="12" t="inlineStr">
        <is>
          <t>High, Medium, Low</t>
        </is>
      </c>
    </row>
    <row r="80">
      <c r="A80" s="14" t="inlineStr">
        <is>
          <t>BRD-05 Accounting and ACSL</t>
        </is>
      </c>
      <c r="B80" s="39" t="inlineStr">
        <is>
          <t>Status</t>
        </is>
      </c>
      <c r="C80" s="14" t="inlineStr">
        <is>
          <t>Open, Partly answered or Answered (from the latest sources)</t>
        </is>
      </c>
      <c r="D80" s="14" t="inlineStr">
        <is>
          <t>Open, Partly answered, Answered</t>
        </is>
      </c>
    </row>
    <row r="81">
      <c r="A81" s="12" t="inlineStr">
        <is>
          <t>BRD-05 Accounting and ACSL</t>
        </is>
      </c>
      <c r="B81" s="26" t="inlineStr">
        <is>
          <t>BDOI response</t>
        </is>
      </c>
      <c r="C81" s="12" t="inlineStr">
        <is>
          <t>The answer of BDOI (to fill in)</t>
        </is>
      </c>
      <c r="D81" s="12" t="inlineStr"/>
    </row>
    <row r="82">
      <c r="A82" s="14" t="inlineStr">
        <is>
          <t>BRD-05 Accounting and ACSL</t>
        </is>
      </c>
      <c r="B82" s="39" t="inlineStr">
        <is>
          <t>Remarks</t>
        </is>
      </c>
      <c r="C82" s="14" t="inlineStr">
        <is>
          <t>Answer so far, other BRDs affected, template to fill in</t>
        </is>
      </c>
      <c r="D82" s="14" t="inlineStr"/>
    </row>
    <row r="83">
      <c r="A83" s="12" t="inlineStr">
        <is>
          <t>BRD-06 Renewal</t>
        </is>
      </c>
      <c r="B83" s="26" t="inlineStr">
        <is>
          <t>Ref</t>
        </is>
      </c>
      <c r="C83" s="12" t="inlineStr">
        <is>
          <t>Original ID of the point: CLR clarification of an FRS, PR-DM proposed rule or DMQ decision of the Data Migration set, open question (RQ06, AQ12 ...), register item DCR, Drop 0 list item (PM-Q, UA-Q, DM-Q), configuration item CFG, NFR target, plan dependency DEP, documents DOC, test data TD, sign-off SO, reinsurance RI</t>
        </is>
      </c>
      <c r="D83" s="12" t="inlineStr"/>
    </row>
    <row r="84">
      <c r="A84" s="14" t="inlineStr">
        <is>
          <t>BRD-06 Renewal</t>
        </is>
      </c>
      <c r="B84" s="39" t="inlineStr">
        <is>
          <t>BRD / module</t>
        </is>
      </c>
      <c r="C84" s="14" t="inlineStr">
        <is>
          <t>BRD and module the point belongs to</t>
        </is>
      </c>
      <c r="D84" s="14" t="inlineStr"/>
    </row>
    <row r="85">
      <c r="A85" s="12" t="inlineStr">
        <is>
          <t>BRD-06 Renewal</t>
        </is>
      </c>
      <c r="B85" s="26" t="inlineStr">
        <is>
          <t>Type</t>
        </is>
      </c>
      <c r="C85" s="12" t="inlineStr">
        <is>
          <t>What kind of input is asked for</t>
        </is>
      </c>
      <c r="D85" s="12" t="inlineStr">
        <is>
          <t>Decision, Clarification, Business rule confirmation, Configuration value, Master data, Sample document or template, Report layout, Integration detail, Test data, Sign-off</t>
        </is>
      </c>
    </row>
    <row r="86">
      <c r="A86" s="14" t="inlineStr">
        <is>
          <t>BRD-06 Renewal</t>
        </is>
      </c>
      <c r="B86" s="39" t="inlineStr">
        <is>
          <t>What we need from BDOI</t>
        </is>
      </c>
      <c r="C86" s="14" t="inlineStr">
        <is>
          <t>The decision, answer, value, data or document BDOI provides</t>
        </is>
      </c>
      <c r="D86" s="14" t="inlineStr"/>
    </row>
    <row r="87">
      <c r="A87" s="12" t="inlineStr">
        <is>
          <t>BRD-06 Renewal</t>
        </is>
      </c>
      <c r="B87" s="26" t="inlineStr">
        <is>
          <t>Why / impact if not provided</t>
        </is>
      </c>
      <c r="C87" s="12" t="inlineStr">
        <is>
          <t>Why it is needed and what happens without it</t>
        </is>
      </c>
      <c r="D87" s="12" t="inlineStr"/>
    </row>
    <row r="88">
      <c r="A88" s="14" t="inlineStr">
        <is>
          <t>BRD-06 Renewal</t>
        </is>
      </c>
      <c r="B88" s="39" t="inlineStr">
        <is>
          <t>Our proposal (if any)</t>
        </is>
      </c>
      <c r="C88" s="14" t="inlineStr">
        <is>
          <t>What the project team proposes; it applies as the working assumption until BDOI answers</t>
        </is>
      </c>
      <c r="D88" s="14" t="inlineStr"/>
    </row>
    <row r="89">
      <c r="A89" s="12" t="inlineStr">
        <is>
          <t>BRD-06 Renewal</t>
        </is>
      </c>
      <c r="B89" s="26" t="inlineStr">
        <is>
          <t>Source (FRS section / CLR / BRD page)</t>
        </is>
      </c>
      <c r="C89" s="12" t="inlineStr">
        <is>
          <t>Where the point is raised, with the IDs of the same point in the other documents</t>
        </is>
      </c>
      <c r="D89" s="12" t="inlineStr"/>
    </row>
    <row r="90">
      <c r="A90" s="14" t="inlineStr">
        <is>
          <t>BRD-06 Renewal</t>
        </is>
      </c>
      <c r="B90" s="39" t="inlineStr">
        <is>
          <t>BDOI owner (role)</t>
        </is>
      </c>
      <c r="C90" s="14" t="inlineStr">
        <is>
          <t>Role that answers or provides the input</t>
        </is>
      </c>
      <c r="D90" s="14" t="inlineStr"/>
    </row>
    <row r="91">
      <c r="A91" s="12" t="inlineStr">
        <is>
          <t>BRD-06 Renewal</t>
        </is>
      </c>
      <c r="B91" s="26" t="inlineStr">
        <is>
          <t>Needed by</t>
        </is>
      </c>
      <c r="C91" s="12" t="inlineStr">
        <is>
          <t>Date the input is needed by (project plan of 8-Oct-2026)</t>
        </is>
      </c>
      <c r="D91" s="12" t="inlineStr"/>
    </row>
    <row r="92">
      <c r="A92" s="14" t="inlineStr">
        <is>
          <t>BRD-06 Renewal</t>
        </is>
      </c>
      <c r="B92" s="39" t="inlineStr">
        <is>
          <t>Priority</t>
        </is>
      </c>
      <c r="C92" s="14" t="inlineStr">
        <is>
          <t>High: blocks a sign-off, the set-up or a test window; Medium: needed before UAT; Low: can follow</t>
        </is>
      </c>
      <c r="D92" s="14" t="inlineStr">
        <is>
          <t>High, Medium, Low</t>
        </is>
      </c>
    </row>
    <row r="93">
      <c r="A93" s="12" t="inlineStr">
        <is>
          <t>BRD-06 Renewal</t>
        </is>
      </c>
      <c r="B93" s="26" t="inlineStr">
        <is>
          <t>Status</t>
        </is>
      </c>
      <c r="C93" s="12" t="inlineStr">
        <is>
          <t>Open, Partly answered or Answered (from the latest sources)</t>
        </is>
      </c>
      <c r="D93" s="12" t="inlineStr">
        <is>
          <t>Open, Partly answered, Answered</t>
        </is>
      </c>
    </row>
    <row r="94">
      <c r="A94" s="14" t="inlineStr">
        <is>
          <t>BRD-06 Renewal</t>
        </is>
      </c>
      <c r="B94" s="39" t="inlineStr">
        <is>
          <t>BDOI response</t>
        </is>
      </c>
      <c r="C94" s="14" t="inlineStr">
        <is>
          <t>The answer of BDOI (to fill in)</t>
        </is>
      </c>
      <c r="D94" s="14" t="inlineStr"/>
    </row>
    <row r="95">
      <c r="A95" s="12" t="inlineStr">
        <is>
          <t>BRD-06 Renewal</t>
        </is>
      </c>
      <c r="B95" s="26" t="inlineStr">
        <is>
          <t>Remarks</t>
        </is>
      </c>
      <c r="C95" s="12" t="inlineStr">
        <is>
          <t>Answer so far, other BRDs affected, template to fill in</t>
        </is>
      </c>
      <c r="D95" s="12" t="inlineStr"/>
    </row>
    <row r="96">
      <c r="A96" s="14" t="inlineStr">
        <is>
          <t>BRD-07 Claims</t>
        </is>
      </c>
      <c r="B96" s="39" t="inlineStr">
        <is>
          <t>Ref</t>
        </is>
      </c>
      <c r="C96" s="14" t="inlineStr">
        <is>
          <t>Original ID of the point: CLR clarification of an FRS, PR-DM proposed rule or DMQ decision of the Data Migration set, open question (RQ06, AQ12 ...), register item DCR, Drop 0 list item (PM-Q, UA-Q, DM-Q), configuration item CFG, NFR target, plan dependency DEP, documents DOC, test data TD, sign-off SO, reinsurance RI</t>
        </is>
      </c>
      <c r="D96" s="14" t="inlineStr"/>
    </row>
    <row r="97">
      <c r="A97" s="12" t="inlineStr">
        <is>
          <t>BRD-07 Claims</t>
        </is>
      </c>
      <c r="B97" s="26" t="inlineStr">
        <is>
          <t>BRD / module</t>
        </is>
      </c>
      <c r="C97" s="12" t="inlineStr">
        <is>
          <t>BRD and module the point belongs to</t>
        </is>
      </c>
      <c r="D97" s="12" t="inlineStr"/>
    </row>
    <row r="98">
      <c r="A98" s="14" t="inlineStr">
        <is>
          <t>BRD-07 Claims</t>
        </is>
      </c>
      <c r="B98" s="39" t="inlineStr">
        <is>
          <t>Type</t>
        </is>
      </c>
      <c r="C98" s="14" t="inlineStr">
        <is>
          <t>What kind of input is asked for</t>
        </is>
      </c>
      <c r="D98" s="14" t="inlineStr">
        <is>
          <t>Decision, Clarification, Business rule confirmation, Configuration value, Master data, Sample document or template, Report layout, Integration detail, Test data, Sign-off</t>
        </is>
      </c>
    </row>
    <row r="99">
      <c r="A99" s="12" t="inlineStr">
        <is>
          <t>BRD-07 Claims</t>
        </is>
      </c>
      <c r="B99" s="26" t="inlineStr">
        <is>
          <t>What we need from BDOI</t>
        </is>
      </c>
      <c r="C99" s="12" t="inlineStr">
        <is>
          <t>The decision, answer, value, data or document BDOI provides</t>
        </is>
      </c>
      <c r="D99" s="12" t="inlineStr"/>
    </row>
    <row r="100">
      <c r="A100" s="14" t="inlineStr">
        <is>
          <t>BRD-07 Claims</t>
        </is>
      </c>
      <c r="B100" s="39" t="inlineStr">
        <is>
          <t>Why / impact if not provided</t>
        </is>
      </c>
      <c r="C100" s="14" t="inlineStr">
        <is>
          <t>Why it is needed and what happens without it</t>
        </is>
      </c>
      <c r="D100" s="14" t="inlineStr"/>
    </row>
    <row r="101">
      <c r="A101" s="12" t="inlineStr">
        <is>
          <t>BRD-07 Claims</t>
        </is>
      </c>
      <c r="B101" s="26" t="inlineStr">
        <is>
          <t>Our proposal (if any)</t>
        </is>
      </c>
      <c r="C101" s="12" t="inlineStr">
        <is>
          <t>What the project team proposes; it applies as the working assumption until BDOI answers</t>
        </is>
      </c>
      <c r="D101" s="12" t="inlineStr"/>
    </row>
    <row r="102">
      <c r="A102" s="14" t="inlineStr">
        <is>
          <t>BRD-07 Claims</t>
        </is>
      </c>
      <c r="B102" s="39" t="inlineStr">
        <is>
          <t>Source (FRS section / CLR / BRD page)</t>
        </is>
      </c>
      <c r="C102" s="14" t="inlineStr">
        <is>
          <t>Where the point is raised, with the IDs of the same point in the other documents</t>
        </is>
      </c>
      <c r="D102" s="14" t="inlineStr"/>
    </row>
    <row r="103">
      <c r="A103" s="12" t="inlineStr">
        <is>
          <t>BRD-07 Claims</t>
        </is>
      </c>
      <c r="B103" s="26" t="inlineStr">
        <is>
          <t>BDOI owner (role)</t>
        </is>
      </c>
      <c r="C103" s="12" t="inlineStr">
        <is>
          <t>Role that answers or provides the input</t>
        </is>
      </c>
      <c r="D103" s="12" t="inlineStr"/>
    </row>
    <row r="104">
      <c r="A104" s="14" t="inlineStr">
        <is>
          <t>BRD-07 Claims</t>
        </is>
      </c>
      <c r="B104" s="39" t="inlineStr">
        <is>
          <t>Needed by</t>
        </is>
      </c>
      <c r="C104" s="14" t="inlineStr">
        <is>
          <t>Date the input is needed by (project plan of 8-Oct-2026)</t>
        </is>
      </c>
      <c r="D104" s="14" t="inlineStr"/>
    </row>
    <row r="105">
      <c r="A105" s="12" t="inlineStr">
        <is>
          <t>BRD-07 Claims</t>
        </is>
      </c>
      <c r="B105" s="26" t="inlineStr">
        <is>
          <t>Priority</t>
        </is>
      </c>
      <c r="C105" s="12" t="inlineStr">
        <is>
          <t>High: blocks a sign-off, the set-up or a test window; Medium: needed before UAT; Low: can follow</t>
        </is>
      </c>
      <c r="D105" s="12" t="inlineStr">
        <is>
          <t>High, Medium, Low</t>
        </is>
      </c>
    </row>
    <row r="106">
      <c r="A106" s="14" t="inlineStr">
        <is>
          <t>BRD-07 Claims</t>
        </is>
      </c>
      <c r="B106" s="39" t="inlineStr">
        <is>
          <t>Status</t>
        </is>
      </c>
      <c r="C106" s="14" t="inlineStr">
        <is>
          <t>Open, Partly answered or Answered (from the latest sources)</t>
        </is>
      </c>
      <c r="D106" s="14" t="inlineStr">
        <is>
          <t>Open, Partly answered, Answered</t>
        </is>
      </c>
    </row>
    <row r="107">
      <c r="A107" s="12" t="inlineStr">
        <is>
          <t>BRD-07 Claims</t>
        </is>
      </c>
      <c r="B107" s="26" t="inlineStr">
        <is>
          <t>BDOI response</t>
        </is>
      </c>
      <c r="C107" s="12" t="inlineStr">
        <is>
          <t>The answer of BDOI (to fill in)</t>
        </is>
      </c>
      <c r="D107" s="12" t="inlineStr"/>
    </row>
    <row r="108">
      <c r="A108" s="14" t="inlineStr">
        <is>
          <t>BRD-07 Claims</t>
        </is>
      </c>
      <c r="B108" s="39" t="inlineStr">
        <is>
          <t>Remarks</t>
        </is>
      </c>
      <c r="C108" s="14" t="inlineStr">
        <is>
          <t>Answer so far, other BRDs affected, template to fill in</t>
        </is>
      </c>
      <c r="D108" s="14" t="inlineStr"/>
    </row>
    <row r="109">
      <c r="A109" s="12" t="inlineStr">
        <is>
          <t>BRD-08 Employee Benefits</t>
        </is>
      </c>
      <c r="B109" s="26" t="inlineStr">
        <is>
          <t>Ref</t>
        </is>
      </c>
      <c r="C109" s="12" t="inlineStr">
        <is>
          <t>Original ID of the point: CLR clarification of an FRS, PR-DM proposed rule or DMQ decision of the Data Migration set, open question (RQ06, AQ12 ...), register item DCR, Drop 0 list item (PM-Q, UA-Q, DM-Q), configuration item CFG, NFR target, plan dependency DEP, documents DOC, test data TD, sign-off SO, reinsurance RI</t>
        </is>
      </c>
      <c r="D109" s="12" t="inlineStr"/>
    </row>
    <row r="110">
      <c r="A110" s="14" t="inlineStr">
        <is>
          <t>BRD-08 Employee Benefits</t>
        </is>
      </c>
      <c r="B110" s="39" t="inlineStr">
        <is>
          <t>BRD / module</t>
        </is>
      </c>
      <c r="C110" s="14" t="inlineStr">
        <is>
          <t>BRD and module the point belongs to</t>
        </is>
      </c>
      <c r="D110" s="14" t="inlineStr"/>
    </row>
    <row r="111">
      <c r="A111" s="12" t="inlineStr">
        <is>
          <t>BRD-08 Employee Benefits</t>
        </is>
      </c>
      <c r="B111" s="26" t="inlineStr">
        <is>
          <t>Type</t>
        </is>
      </c>
      <c r="C111" s="12" t="inlineStr">
        <is>
          <t>What kind of input is asked for</t>
        </is>
      </c>
      <c r="D111" s="12" t="inlineStr">
        <is>
          <t>Decision, Clarification, Business rule confirmation, Configuration value, Master data, Sample document or template, Report layout, Integration detail, Test data, Sign-off</t>
        </is>
      </c>
    </row>
    <row r="112">
      <c r="A112" s="14" t="inlineStr">
        <is>
          <t>BRD-08 Employee Benefits</t>
        </is>
      </c>
      <c r="B112" s="39" t="inlineStr">
        <is>
          <t>What we need from BDOI</t>
        </is>
      </c>
      <c r="C112" s="14" t="inlineStr">
        <is>
          <t>The decision, answer, value, data or document BDOI provides</t>
        </is>
      </c>
      <c r="D112" s="14" t="inlineStr"/>
    </row>
    <row r="113">
      <c r="A113" s="12" t="inlineStr">
        <is>
          <t>BRD-08 Employee Benefits</t>
        </is>
      </c>
      <c r="B113" s="26" t="inlineStr">
        <is>
          <t>Why / impact if not provided</t>
        </is>
      </c>
      <c r="C113" s="12" t="inlineStr">
        <is>
          <t>Why it is needed and what happens without it</t>
        </is>
      </c>
      <c r="D113" s="12" t="inlineStr"/>
    </row>
    <row r="114">
      <c r="A114" s="14" t="inlineStr">
        <is>
          <t>BRD-08 Employee Benefits</t>
        </is>
      </c>
      <c r="B114" s="39" t="inlineStr">
        <is>
          <t>Our proposal (if any)</t>
        </is>
      </c>
      <c r="C114" s="14" t="inlineStr">
        <is>
          <t>What the project team proposes; it applies as the working assumption until BDOI answers</t>
        </is>
      </c>
      <c r="D114" s="14" t="inlineStr"/>
    </row>
    <row r="115">
      <c r="A115" s="12" t="inlineStr">
        <is>
          <t>BRD-08 Employee Benefits</t>
        </is>
      </c>
      <c r="B115" s="26" t="inlineStr">
        <is>
          <t>Source (FRS section / CLR / BRD page)</t>
        </is>
      </c>
      <c r="C115" s="12" t="inlineStr">
        <is>
          <t>Where the point is raised, with the IDs of the same point in the other documents</t>
        </is>
      </c>
      <c r="D115" s="12" t="inlineStr"/>
    </row>
    <row r="116">
      <c r="A116" s="14" t="inlineStr">
        <is>
          <t>BRD-08 Employee Benefits</t>
        </is>
      </c>
      <c r="B116" s="39" t="inlineStr">
        <is>
          <t>BDOI owner (role)</t>
        </is>
      </c>
      <c r="C116" s="14" t="inlineStr">
        <is>
          <t>Role that answers or provides the input</t>
        </is>
      </c>
      <c r="D116" s="14" t="inlineStr"/>
    </row>
    <row r="117">
      <c r="A117" s="12" t="inlineStr">
        <is>
          <t>BRD-08 Employee Benefits</t>
        </is>
      </c>
      <c r="B117" s="26" t="inlineStr">
        <is>
          <t>Needed by</t>
        </is>
      </c>
      <c r="C117" s="12" t="inlineStr">
        <is>
          <t>Date the input is needed by (project plan of 8-Oct-2026)</t>
        </is>
      </c>
      <c r="D117" s="12" t="inlineStr"/>
    </row>
    <row r="118">
      <c r="A118" s="14" t="inlineStr">
        <is>
          <t>BRD-08 Employee Benefits</t>
        </is>
      </c>
      <c r="B118" s="39" t="inlineStr">
        <is>
          <t>Priority</t>
        </is>
      </c>
      <c r="C118" s="14" t="inlineStr">
        <is>
          <t>High: blocks a sign-off, the set-up or a test window; Medium: needed before UAT; Low: can follow</t>
        </is>
      </c>
      <c r="D118" s="14" t="inlineStr">
        <is>
          <t>High, Medium, Low</t>
        </is>
      </c>
    </row>
    <row r="119">
      <c r="A119" s="12" t="inlineStr">
        <is>
          <t>BRD-08 Employee Benefits</t>
        </is>
      </c>
      <c r="B119" s="26" t="inlineStr">
        <is>
          <t>Status</t>
        </is>
      </c>
      <c r="C119" s="12" t="inlineStr">
        <is>
          <t>Open, Partly answered or Answered (from the latest sources)</t>
        </is>
      </c>
      <c r="D119" s="12" t="inlineStr">
        <is>
          <t>Open, Partly answered, Answered</t>
        </is>
      </c>
    </row>
    <row r="120">
      <c r="A120" s="14" t="inlineStr">
        <is>
          <t>BRD-08 Employee Benefits</t>
        </is>
      </c>
      <c r="B120" s="39" t="inlineStr">
        <is>
          <t>BDOI response</t>
        </is>
      </c>
      <c r="C120" s="14" t="inlineStr">
        <is>
          <t>The answer of BDOI (to fill in)</t>
        </is>
      </c>
      <c r="D120" s="14" t="inlineStr"/>
    </row>
    <row r="121">
      <c r="A121" s="12" t="inlineStr">
        <is>
          <t>BRD-08 Employee Benefits</t>
        </is>
      </c>
      <c r="B121" s="26" t="inlineStr">
        <is>
          <t>Remarks</t>
        </is>
      </c>
      <c r="C121" s="12" t="inlineStr">
        <is>
          <t>Answer so far, other BRDs affected, template to fill in</t>
        </is>
      </c>
      <c r="D121" s="12" t="inlineStr"/>
    </row>
    <row r="122">
      <c r="A122" s="14" t="inlineStr">
        <is>
          <t>BRD-09 Customer Servicing</t>
        </is>
      </c>
      <c r="B122" s="39" t="inlineStr">
        <is>
          <t>Ref</t>
        </is>
      </c>
      <c r="C122" s="14" t="inlineStr">
        <is>
          <t>Original ID of the point: CLR clarification of an FRS, PR-DM proposed rule or DMQ decision of the Data Migration set, open question (RQ06, AQ12 ...), register item DCR, Drop 0 list item (PM-Q, UA-Q, DM-Q), configuration item CFG, NFR target, plan dependency DEP, documents DOC, test data TD, sign-off SO, reinsurance RI</t>
        </is>
      </c>
      <c r="D122" s="14" t="inlineStr"/>
    </row>
    <row r="123">
      <c r="A123" s="12" t="inlineStr">
        <is>
          <t>BRD-09 Customer Servicing</t>
        </is>
      </c>
      <c r="B123" s="26" t="inlineStr">
        <is>
          <t>BRD / module</t>
        </is>
      </c>
      <c r="C123" s="12" t="inlineStr">
        <is>
          <t>BRD and module the point belongs to</t>
        </is>
      </c>
      <c r="D123" s="12" t="inlineStr"/>
    </row>
    <row r="124">
      <c r="A124" s="14" t="inlineStr">
        <is>
          <t>BRD-09 Customer Servicing</t>
        </is>
      </c>
      <c r="B124" s="39" t="inlineStr">
        <is>
          <t>Type</t>
        </is>
      </c>
      <c r="C124" s="14" t="inlineStr">
        <is>
          <t>What kind of input is asked for</t>
        </is>
      </c>
      <c r="D124" s="14" t="inlineStr">
        <is>
          <t>Decision, Clarification, Business rule confirmation, Configuration value, Master data, Sample document or template, Report layout, Integration detail, Test data, Sign-off</t>
        </is>
      </c>
    </row>
    <row r="125">
      <c r="A125" s="12" t="inlineStr">
        <is>
          <t>BRD-09 Customer Servicing</t>
        </is>
      </c>
      <c r="B125" s="26" t="inlineStr">
        <is>
          <t>What we need from BDOI</t>
        </is>
      </c>
      <c r="C125" s="12" t="inlineStr">
        <is>
          <t>The decision, answer, value, data or document BDOI provides</t>
        </is>
      </c>
      <c r="D125" s="12" t="inlineStr"/>
    </row>
    <row r="126">
      <c r="A126" s="14" t="inlineStr">
        <is>
          <t>BRD-09 Customer Servicing</t>
        </is>
      </c>
      <c r="B126" s="39" t="inlineStr">
        <is>
          <t>Why / impact if not provided</t>
        </is>
      </c>
      <c r="C126" s="14" t="inlineStr">
        <is>
          <t>Why it is needed and what happens without it</t>
        </is>
      </c>
      <c r="D126" s="14" t="inlineStr"/>
    </row>
    <row r="127">
      <c r="A127" s="12" t="inlineStr">
        <is>
          <t>BRD-09 Customer Servicing</t>
        </is>
      </c>
      <c r="B127" s="26" t="inlineStr">
        <is>
          <t>Our proposal (if any)</t>
        </is>
      </c>
      <c r="C127" s="12" t="inlineStr">
        <is>
          <t>What the project team proposes; it applies as the working assumption until BDOI answers</t>
        </is>
      </c>
      <c r="D127" s="12" t="inlineStr"/>
    </row>
    <row r="128">
      <c r="A128" s="14" t="inlineStr">
        <is>
          <t>BRD-09 Customer Servicing</t>
        </is>
      </c>
      <c r="B128" s="39" t="inlineStr">
        <is>
          <t>Source (FRS section / CLR / BRD page)</t>
        </is>
      </c>
      <c r="C128" s="14" t="inlineStr">
        <is>
          <t>Where the point is raised, with the IDs of the same point in the other documents</t>
        </is>
      </c>
      <c r="D128" s="14" t="inlineStr"/>
    </row>
    <row r="129">
      <c r="A129" s="12" t="inlineStr">
        <is>
          <t>BRD-09 Customer Servicing</t>
        </is>
      </c>
      <c r="B129" s="26" t="inlineStr">
        <is>
          <t>BDOI owner (role)</t>
        </is>
      </c>
      <c r="C129" s="12" t="inlineStr">
        <is>
          <t>Role that answers or provides the input</t>
        </is>
      </c>
      <c r="D129" s="12" t="inlineStr"/>
    </row>
    <row r="130">
      <c r="A130" s="14" t="inlineStr">
        <is>
          <t>BRD-09 Customer Servicing</t>
        </is>
      </c>
      <c r="B130" s="39" t="inlineStr">
        <is>
          <t>Needed by</t>
        </is>
      </c>
      <c r="C130" s="14" t="inlineStr">
        <is>
          <t>Date the input is needed by (project plan of 8-Oct-2026)</t>
        </is>
      </c>
      <c r="D130" s="14" t="inlineStr"/>
    </row>
    <row r="131">
      <c r="A131" s="12" t="inlineStr">
        <is>
          <t>BRD-09 Customer Servicing</t>
        </is>
      </c>
      <c r="B131" s="26" t="inlineStr">
        <is>
          <t>Priority</t>
        </is>
      </c>
      <c r="C131" s="12" t="inlineStr">
        <is>
          <t>High: blocks a sign-off, the set-up or a test window; Medium: needed before UAT; Low: can follow</t>
        </is>
      </c>
      <c r="D131" s="12" t="inlineStr">
        <is>
          <t>High, Medium, Low</t>
        </is>
      </c>
    </row>
    <row r="132">
      <c r="A132" s="14" t="inlineStr">
        <is>
          <t>BRD-09 Customer Servicing</t>
        </is>
      </c>
      <c r="B132" s="39" t="inlineStr">
        <is>
          <t>Status</t>
        </is>
      </c>
      <c r="C132" s="14" t="inlineStr">
        <is>
          <t>Open, Partly answered or Answered (from the latest sources)</t>
        </is>
      </c>
      <c r="D132" s="14" t="inlineStr">
        <is>
          <t>Open, Partly answered, Answered</t>
        </is>
      </c>
    </row>
    <row r="133">
      <c r="A133" s="12" t="inlineStr">
        <is>
          <t>BRD-09 Customer Servicing</t>
        </is>
      </c>
      <c r="B133" s="26" t="inlineStr">
        <is>
          <t>BDOI response</t>
        </is>
      </c>
      <c r="C133" s="12" t="inlineStr">
        <is>
          <t>The answer of BDOI (to fill in)</t>
        </is>
      </c>
      <c r="D133" s="12" t="inlineStr"/>
    </row>
    <row r="134">
      <c r="A134" s="14" t="inlineStr">
        <is>
          <t>BRD-09 Customer Servicing</t>
        </is>
      </c>
      <c r="B134" s="39" t="inlineStr">
        <is>
          <t>Remarks</t>
        </is>
      </c>
      <c r="C134" s="14" t="inlineStr">
        <is>
          <t>Answer so far, other BRDs affected, template to fill in</t>
        </is>
      </c>
      <c r="D134" s="14" t="inlineStr"/>
    </row>
    <row r="135">
      <c r="A135" s="12" t="inlineStr">
        <is>
          <t>BRD-10 Sanction Screening</t>
        </is>
      </c>
      <c r="B135" s="26" t="inlineStr">
        <is>
          <t>Ref</t>
        </is>
      </c>
      <c r="C135" s="12" t="inlineStr">
        <is>
          <t>Original ID of the point: CLR clarification of an FRS, PR-DM proposed rule or DMQ decision of the Data Migration set, open question (RQ06, AQ12 ...), register item DCR, Drop 0 list item (PM-Q, UA-Q, DM-Q), configuration item CFG, NFR target, plan dependency DEP, documents DOC, test data TD, sign-off SO, reinsurance RI</t>
        </is>
      </c>
      <c r="D135" s="12" t="inlineStr"/>
    </row>
    <row r="136">
      <c r="A136" s="14" t="inlineStr">
        <is>
          <t>BRD-10 Sanction Screening</t>
        </is>
      </c>
      <c r="B136" s="39" t="inlineStr">
        <is>
          <t>BRD / module</t>
        </is>
      </c>
      <c r="C136" s="14" t="inlineStr">
        <is>
          <t>BRD and module the point belongs to</t>
        </is>
      </c>
      <c r="D136" s="14" t="inlineStr"/>
    </row>
    <row r="137">
      <c r="A137" s="12" t="inlineStr">
        <is>
          <t>BRD-10 Sanction Screening</t>
        </is>
      </c>
      <c r="B137" s="26" t="inlineStr">
        <is>
          <t>Type</t>
        </is>
      </c>
      <c r="C137" s="12" t="inlineStr">
        <is>
          <t>What kind of input is asked for</t>
        </is>
      </c>
      <c r="D137" s="12" t="inlineStr">
        <is>
          <t>Decision, Clarification, Business rule confirmation, Configuration value, Master data, Sample document or template, Report layout, Integration detail, Test data, Sign-off</t>
        </is>
      </c>
    </row>
    <row r="138">
      <c r="A138" s="14" t="inlineStr">
        <is>
          <t>BRD-10 Sanction Screening</t>
        </is>
      </c>
      <c r="B138" s="39" t="inlineStr">
        <is>
          <t>What we need from BDOI</t>
        </is>
      </c>
      <c r="C138" s="14" t="inlineStr">
        <is>
          <t>The decision, answer, value, data or document BDOI provides</t>
        </is>
      </c>
      <c r="D138" s="14" t="inlineStr"/>
    </row>
    <row r="139">
      <c r="A139" s="12" t="inlineStr">
        <is>
          <t>BRD-10 Sanction Screening</t>
        </is>
      </c>
      <c r="B139" s="26" t="inlineStr">
        <is>
          <t>Why / impact if not provided</t>
        </is>
      </c>
      <c r="C139" s="12" t="inlineStr">
        <is>
          <t>Why it is needed and what happens without it</t>
        </is>
      </c>
      <c r="D139" s="12" t="inlineStr"/>
    </row>
    <row r="140">
      <c r="A140" s="14" t="inlineStr">
        <is>
          <t>BRD-10 Sanction Screening</t>
        </is>
      </c>
      <c r="B140" s="39" t="inlineStr">
        <is>
          <t>Our proposal (if any)</t>
        </is>
      </c>
      <c r="C140" s="14" t="inlineStr">
        <is>
          <t>What the project team proposes; it applies as the working assumption until BDOI answers</t>
        </is>
      </c>
      <c r="D140" s="14" t="inlineStr"/>
    </row>
    <row r="141">
      <c r="A141" s="12" t="inlineStr">
        <is>
          <t>BRD-10 Sanction Screening</t>
        </is>
      </c>
      <c r="B141" s="26" t="inlineStr">
        <is>
          <t>Source (FRS section / CLR / BRD page)</t>
        </is>
      </c>
      <c r="C141" s="12" t="inlineStr">
        <is>
          <t>Where the point is raised, with the IDs of the same point in the other documents</t>
        </is>
      </c>
      <c r="D141" s="12" t="inlineStr"/>
    </row>
    <row r="142">
      <c r="A142" s="14" t="inlineStr">
        <is>
          <t>BRD-10 Sanction Screening</t>
        </is>
      </c>
      <c r="B142" s="39" t="inlineStr">
        <is>
          <t>BDOI owner (role)</t>
        </is>
      </c>
      <c r="C142" s="14" t="inlineStr">
        <is>
          <t>Role that answers or provides the input</t>
        </is>
      </c>
      <c r="D142" s="14" t="inlineStr"/>
    </row>
    <row r="143">
      <c r="A143" s="12" t="inlineStr">
        <is>
          <t>BRD-10 Sanction Screening</t>
        </is>
      </c>
      <c r="B143" s="26" t="inlineStr">
        <is>
          <t>Needed by</t>
        </is>
      </c>
      <c r="C143" s="12" t="inlineStr">
        <is>
          <t>Date the input is needed by (project plan of 8-Oct-2026)</t>
        </is>
      </c>
      <c r="D143" s="12" t="inlineStr"/>
    </row>
    <row r="144">
      <c r="A144" s="14" t="inlineStr">
        <is>
          <t>BRD-10 Sanction Screening</t>
        </is>
      </c>
      <c r="B144" s="39" t="inlineStr">
        <is>
          <t>Priority</t>
        </is>
      </c>
      <c r="C144" s="14" t="inlineStr">
        <is>
          <t>High: blocks a sign-off, the set-up or a test window; Medium: needed before UAT; Low: can follow</t>
        </is>
      </c>
      <c r="D144" s="14" t="inlineStr">
        <is>
          <t>High, Medium, Low</t>
        </is>
      </c>
    </row>
    <row r="145">
      <c r="A145" s="12" t="inlineStr">
        <is>
          <t>BRD-10 Sanction Screening</t>
        </is>
      </c>
      <c r="B145" s="26" t="inlineStr">
        <is>
          <t>Status</t>
        </is>
      </c>
      <c r="C145" s="12" t="inlineStr">
        <is>
          <t>Open, Partly answered or Answered (from the latest sources)</t>
        </is>
      </c>
      <c r="D145" s="12" t="inlineStr">
        <is>
          <t>Open, Partly answered, Answered</t>
        </is>
      </c>
    </row>
    <row r="146">
      <c r="A146" s="14" t="inlineStr">
        <is>
          <t>BRD-10 Sanction Screening</t>
        </is>
      </c>
      <c r="B146" s="39" t="inlineStr">
        <is>
          <t>BDOI response</t>
        </is>
      </c>
      <c r="C146" s="14" t="inlineStr">
        <is>
          <t>The answer of BDOI (to fill in)</t>
        </is>
      </c>
      <c r="D146" s="14" t="inlineStr"/>
    </row>
    <row r="147">
      <c r="A147" s="12" t="inlineStr">
        <is>
          <t>BRD-10 Sanction Screening</t>
        </is>
      </c>
      <c r="B147" s="26" t="inlineStr">
        <is>
          <t>Remarks</t>
        </is>
      </c>
      <c r="C147" s="12" t="inlineStr">
        <is>
          <t>Answer so far, other BRDs affected, template to fill in</t>
        </is>
      </c>
      <c r="D147" s="12" t="inlineStr"/>
    </row>
    <row r="148">
      <c r="A148" s="14" t="inlineStr">
        <is>
          <t>BRD-11 User Access</t>
        </is>
      </c>
      <c r="B148" s="39" t="inlineStr">
        <is>
          <t>Ref</t>
        </is>
      </c>
      <c r="C148" s="14" t="inlineStr">
        <is>
          <t>Original ID of the point: CLR clarification of an FRS, PR-DM proposed rule or DMQ decision of the Data Migration set, open question (RQ06, AQ12 ...), register item DCR, Drop 0 list item (PM-Q, UA-Q, DM-Q), configuration item CFG, NFR target, plan dependency DEP, documents DOC, test data TD, sign-off SO, reinsurance RI</t>
        </is>
      </c>
      <c r="D148" s="14" t="inlineStr"/>
    </row>
    <row r="149">
      <c r="A149" s="12" t="inlineStr">
        <is>
          <t>BRD-11 User Access</t>
        </is>
      </c>
      <c r="B149" s="26" t="inlineStr">
        <is>
          <t>BRD / module</t>
        </is>
      </c>
      <c r="C149" s="12" t="inlineStr">
        <is>
          <t>BRD and module the point belongs to</t>
        </is>
      </c>
      <c r="D149" s="12" t="inlineStr"/>
    </row>
    <row r="150">
      <c r="A150" s="14" t="inlineStr">
        <is>
          <t>BRD-11 User Access</t>
        </is>
      </c>
      <c r="B150" s="39" t="inlineStr">
        <is>
          <t>Type</t>
        </is>
      </c>
      <c r="C150" s="14" t="inlineStr">
        <is>
          <t>What kind of input is asked for</t>
        </is>
      </c>
      <c r="D150" s="14" t="inlineStr">
        <is>
          <t>Decision, Clarification, Business rule confirmation, Configuration value, Master data, Sample document or template, Report layout, Integration detail, Test data, Sign-off</t>
        </is>
      </c>
    </row>
    <row r="151">
      <c r="A151" s="12" t="inlineStr">
        <is>
          <t>BRD-11 User Access</t>
        </is>
      </c>
      <c r="B151" s="26" t="inlineStr">
        <is>
          <t>What we need from BDOI</t>
        </is>
      </c>
      <c r="C151" s="12" t="inlineStr">
        <is>
          <t>The decision, answer, value, data or document BDOI provides</t>
        </is>
      </c>
      <c r="D151" s="12" t="inlineStr"/>
    </row>
    <row r="152">
      <c r="A152" s="14" t="inlineStr">
        <is>
          <t>BRD-11 User Access</t>
        </is>
      </c>
      <c r="B152" s="39" t="inlineStr">
        <is>
          <t>Why / impact if not provided</t>
        </is>
      </c>
      <c r="C152" s="14" t="inlineStr">
        <is>
          <t>Why it is needed and what happens without it</t>
        </is>
      </c>
      <c r="D152" s="14" t="inlineStr"/>
    </row>
    <row r="153">
      <c r="A153" s="12" t="inlineStr">
        <is>
          <t>BRD-11 User Access</t>
        </is>
      </c>
      <c r="B153" s="26" t="inlineStr">
        <is>
          <t>Our proposal (if any)</t>
        </is>
      </c>
      <c r="C153" s="12" t="inlineStr">
        <is>
          <t>What the project team proposes; it applies as the working assumption until BDOI answers</t>
        </is>
      </c>
      <c r="D153" s="12" t="inlineStr"/>
    </row>
    <row r="154">
      <c r="A154" s="14" t="inlineStr">
        <is>
          <t>BRD-11 User Access</t>
        </is>
      </c>
      <c r="B154" s="39" t="inlineStr">
        <is>
          <t>Source (FRS section / CLR / BRD page)</t>
        </is>
      </c>
      <c r="C154" s="14" t="inlineStr">
        <is>
          <t>Where the point is raised, with the IDs of the same point in the other documents</t>
        </is>
      </c>
      <c r="D154" s="14" t="inlineStr"/>
    </row>
    <row r="155">
      <c r="A155" s="12" t="inlineStr">
        <is>
          <t>BRD-11 User Access</t>
        </is>
      </c>
      <c r="B155" s="26" t="inlineStr">
        <is>
          <t>BDOI owner (role)</t>
        </is>
      </c>
      <c r="C155" s="12" t="inlineStr">
        <is>
          <t>Role that answers or provides the input</t>
        </is>
      </c>
      <c r="D155" s="12" t="inlineStr"/>
    </row>
    <row r="156">
      <c r="A156" s="14" t="inlineStr">
        <is>
          <t>BRD-11 User Access</t>
        </is>
      </c>
      <c r="B156" s="39" t="inlineStr">
        <is>
          <t>Needed by</t>
        </is>
      </c>
      <c r="C156" s="14" t="inlineStr">
        <is>
          <t>Date the input is needed by (project plan of 8-Oct-2026)</t>
        </is>
      </c>
      <c r="D156" s="14" t="inlineStr"/>
    </row>
    <row r="157">
      <c r="A157" s="12" t="inlineStr">
        <is>
          <t>BRD-11 User Access</t>
        </is>
      </c>
      <c r="B157" s="26" t="inlineStr">
        <is>
          <t>Priority</t>
        </is>
      </c>
      <c r="C157" s="12" t="inlineStr">
        <is>
          <t>High: blocks a sign-off, the set-up or a test window; Medium: needed before UAT; Low: can follow</t>
        </is>
      </c>
      <c r="D157" s="12" t="inlineStr">
        <is>
          <t>High, Medium, Low</t>
        </is>
      </c>
    </row>
    <row r="158">
      <c r="A158" s="14" t="inlineStr">
        <is>
          <t>BRD-11 User Access</t>
        </is>
      </c>
      <c r="B158" s="39" t="inlineStr">
        <is>
          <t>Status</t>
        </is>
      </c>
      <c r="C158" s="14" t="inlineStr">
        <is>
          <t>Open, Partly answered or Answered (from the latest sources)</t>
        </is>
      </c>
      <c r="D158" s="14" t="inlineStr">
        <is>
          <t>Open, Partly answered, Answered</t>
        </is>
      </c>
    </row>
    <row r="159">
      <c r="A159" s="12" t="inlineStr">
        <is>
          <t>BRD-11 User Access</t>
        </is>
      </c>
      <c r="B159" s="26" t="inlineStr">
        <is>
          <t>BDOI response</t>
        </is>
      </c>
      <c r="C159" s="12" t="inlineStr">
        <is>
          <t>The answer of BDOI (to fill in)</t>
        </is>
      </c>
      <c r="D159" s="12" t="inlineStr"/>
    </row>
    <row r="160">
      <c r="A160" s="14" t="inlineStr">
        <is>
          <t>BRD-11 User Access</t>
        </is>
      </c>
      <c r="B160" s="39" t="inlineStr">
        <is>
          <t>Remarks</t>
        </is>
      </c>
      <c r="C160" s="14" t="inlineStr">
        <is>
          <t>Answer so far, other BRDs affected, template to fill in</t>
        </is>
      </c>
      <c r="D160" s="14" t="inlineStr"/>
    </row>
    <row r="161">
      <c r="A161" s="12" t="inlineStr">
        <is>
          <t>BRD-12 Submitted Policies</t>
        </is>
      </c>
      <c r="B161" s="26" t="inlineStr">
        <is>
          <t>Ref</t>
        </is>
      </c>
      <c r="C161" s="12" t="inlineStr">
        <is>
          <t>Original ID of the point: CLR clarification of an FRS, PR-DM proposed rule or DMQ decision of the Data Migration set, open question (RQ06, AQ12 ...), register item DCR, Drop 0 list item (PM-Q, UA-Q, DM-Q), configuration item CFG, NFR target, plan dependency DEP, documents DOC, test data TD, sign-off SO, reinsurance RI</t>
        </is>
      </c>
      <c r="D161" s="12" t="inlineStr"/>
    </row>
    <row r="162">
      <c r="A162" s="14" t="inlineStr">
        <is>
          <t>BRD-12 Submitted Policies</t>
        </is>
      </c>
      <c r="B162" s="39" t="inlineStr">
        <is>
          <t>BRD / module</t>
        </is>
      </c>
      <c r="C162" s="14" t="inlineStr">
        <is>
          <t>BRD and module the point belongs to</t>
        </is>
      </c>
      <c r="D162" s="14" t="inlineStr"/>
    </row>
    <row r="163">
      <c r="A163" s="12" t="inlineStr">
        <is>
          <t>BRD-12 Submitted Policies</t>
        </is>
      </c>
      <c r="B163" s="26" t="inlineStr">
        <is>
          <t>Type</t>
        </is>
      </c>
      <c r="C163" s="12" t="inlineStr">
        <is>
          <t>What kind of input is asked for</t>
        </is>
      </c>
      <c r="D163" s="12" t="inlineStr">
        <is>
          <t>Decision, Clarification, Business rule confirmation, Configuration value, Master data, Sample document or template, Report layout, Integration detail, Test data, Sign-off</t>
        </is>
      </c>
    </row>
    <row r="164">
      <c r="A164" s="14" t="inlineStr">
        <is>
          <t>BRD-12 Submitted Policies</t>
        </is>
      </c>
      <c r="B164" s="39" t="inlineStr">
        <is>
          <t>What we need from BDOI</t>
        </is>
      </c>
      <c r="C164" s="14" t="inlineStr">
        <is>
          <t>The decision, answer, value, data or document BDOI provides</t>
        </is>
      </c>
      <c r="D164" s="14" t="inlineStr"/>
    </row>
    <row r="165">
      <c r="A165" s="12" t="inlineStr">
        <is>
          <t>BRD-12 Submitted Policies</t>
        </is>
      </c>
      <c r="B165" s="26" t="inlineStr">
        <is>
          <t>Why / impact if not provided</t>
        </is>
      </c>
      <c r="C165" s="12" t="inlineStr">
        <is>
          <t>Why it is needed and what happens without it</t>
        </is>
      </c>
      <c r="D165" s="12" t="inlineStr"/>
    </row>
    <row r="166">
      <c r="A166" s="14" t="inlineStr">
        <is>
          <t>BRD-12 Submitted Policies</t>
        </is>
      </c>
      <c r="B166" s="39" t="inlineStr">
        <is>
          <t>Our proposal (if any)</t>
        </is>
      </c>
      <c r="C166" s="14" t="inlineStr">
        <is>
          <t>What the project team proposes; it applies as the working assumption until BDOI answers</t>
        </is>
      </c>
      <c r="D166" s="14" t="inlineStr"/>
    </row>
    <row r="167">
      <c r="A167" s="12" t="inlineStr">
        <is>
          <t>BRD-12 Submitted Policies</t>
        </is>
      </c>
      <c r="B167" s="26" t="inlineStr">
        <is>
          <t>Source (FRS section / CLR / BRD page)</t>
        </is>
      </c>
      <c r="C167" s="12" t="inlineStr">
        <is>
          <t>Where the point is raised, with the IDs of the same point in the other documents</t>
        </is>
      </c>
      <c r="D167" s="12" t="inlineStr"/>
    </row>
    <row r="168">
      <c r="A168" s="14" t="inlineStr">
        <is>
          <t>BRD-12 Submitted Policies</t>
        </is>
      </c>
      <c r="B168" s="39" t="inlineStr">
        <is>
          <t>BDOI owner (role)</t>
        </is>
      </c>
      <c r="C168" s="14" t="inlineStr">
        <is>
          <t>Role that answers or provides the input</t>
        </is>
      </c>
      <c r="D168" s="14" t="inlineStr"/>
    </row>
    <row r="169">
      <c r="A169" s="12" t="inlineStr">
        <is>
          <t>BRD-12 Submitted Policies</t>
        </is>
      </c>
      <c r="B169" s="26" t="inlineStr">
        <is>
          <t>Needed by</t>
        </is>
      </c>
      <c r="C169" s="12" t="inlineStr">
        <is>
          <t>Date the input is needed by (project plan of 8-Oct-2026)</t>
        </is>
      </c>
      <c r="D169" s="12" t="inlineStr"/>
    </row>
    <row r="170">
      <c r="A170" s="14" t="inlineStr">
        <is>
          <t>BRD-12 Submitted Policies</t>
        </is>
      </c>
      <c r="B170" s="39" t="inlineStr">
        <is>
          <t>Priority</t>
        </is>
      </c>
      <c r="C170" s="14" t="inlineStr">
        <is>
          <t>High: blocks a sign-off, the set-up or a test window; Medium: needed before UAT; Low: can follow</t>
        </is>
      </c>
      <c r="D170" s="14" t="inlineStr">
        <is>
          <t>High, Medium, Low</t>
        </is>
      </c>
    </row>
    <row r="171">
      <c r="A171" s="12" t="inlineStr">
        <is>
          <t>BRD-12 Submitted Policies</t>
        </is>
      </c>
      <c r="B171" s="26" t="inlineStr">
        <is>
          <t>Status</t>
        </is>
      </c>
      <c r="C171" s="12" t="inlineStr">
        <is>
          <t>Open, Partly answered or Answered (from the latest sources)</t>
        </is>
      </c>
      <c r="D171" s="12" t="inlineStr">
        <is>
          <t>Open, Partly answered, Answered</t>
        </is>
      </c>
    </row>
    <row r="172">
      <c r="A172" s="14" t="inlineStr">
        <is>
          <t>BRD-12 Submitted Policies</t>
        </is>
      </c>
      <c r="B172" s="39" t="inlineStr">
        <is>
          <t>BDOI response</t>
        </is>
      </c>
      <c r="C172" s="14" t="inlineStr">
        <is>
          <t>The answer of BDOI (to fill in)</t>
        </is>
      </c>
      <c r="D172" s="14" t="inlineStr"/>
    </row>
    <row r="173">
      <c r="A173" s="12" t="inlineStr">
        <is>
          <t>BRD-12 Submitted Policies</t>
        </is>
      </c>
      <c r="B173" s="26" t="inlineStr">
        <is>
          <t>Remarks</t>
        </is>
      </c>
      <c r="C173" s="12" t="inlineStr">
        <is>
          <t>Answer so far, other BRDs affected, template to fill in</t>
        </is>
      </c>
      <c r="D173" s="12" t="inlineStr"/>
    </row>
    <row r="174">
      <c r="A174" s="14" t="inlineStr">
        <is>
          <t>BRD-13 Data Migration</t>
        </is>
      </c>
      <c r="B174" s="39" t="inlineStr">
        <is>
          <t>Ref</t>
        </is>
      </c>
      <c r="C174" s="14" t="inlineStr">
        <is>
          <t>Original ID of the point: CLR clarification of an FRS, PR-DM proposed rule or DMQ decision of the Data Migration set, open question (RQ06, AQ12 ...), register item DCR, Drop 0 list item (PM-Q, UA-Q, DM-Q), configuration item CFG, NFR target, plan dependency DEP, documents DOC, test data TD, sign-off SO, reinsurance RI</t>
        </is>
      </c>
      <c r="D174" s="14" t="inlineStr"/>
    </row>
    <row r="175">
      <c r="A175" s="12" t="inlineStr">
        <is>
          <t>BRD-13 Data Migration</t>
        </is>
      </c>
      <c r="B175" s="26" t="inlineStr">
        <is>
          <t>BRD / module</t>
        </is>
      </c>
      <c r="C175" s="12" t="inlineStr">
        <is>
          <t>BRD and module the point belongs to</t>
        </is>
      </c>
      <c r="D175" s="12" t="inlineStr"/>
    </row>
    <row r="176">
      <c r="A176" s="14" t="inlineStr">
        <is>
          <t>BRD-13 Data Migration</t>
        </is>
      </c>
      <c r="B176" s="39" t="inlineStr">
        <is>
          <t>Type</t>
        </is>
      </c>
      <c r="C176" s="14" t="inlineStr">
        <is>
          <t>What kind of input is asked for</t>
        </is>
      </c>
      <c r="D176" s="14" t="inlineStr">
        <is>
          <t>Decision, Clarification, Business rule confirmation, Configuration value, Master data, Sample document or template, Report layout, Integration detail, Test data, Sign-off</t>
        </is>
      </c>
    </row>
    <row r="177">
      <c r="A177" s="12" t="inlineStr">
        <is>
          <t>BRD-13 Data Migration</t>
        </is>
      </c>
      <c r="B177" s="26" t="inlineStr">
        <is>
          <t>What we need from BDOI</t>
        </is>
      </c>
      <c r="C177" s="12" t="inlineStr">
        <is>
          <t>The decision, answer, value, data or document BDOI provides</t>
        </is>
      </c>
      <c r="D177" s="12" t="inlineStr"/>
    </row>
    <row r="178">
      <c r="A178" s="14" t="inlineStr">
        <is>
          <t>BRD-13 Data Migration</t>
        </is>
      </c>
      <c r="B178" s="39" t="inlineStr">
        <is>
          <t>Why / impact if not provided</t>
        </is>
      </c>
      <c r="C178" s="14" t="inlineStr">
        <is>
          <t>Why it is needed and what happens without it</t>
        </is>
      </c>
      <c r="D178" s="14" t="inlineStr"/>
    </row>
    <row r="179">
      <c r="A179" s="12" t="inlineStr">
        <is>
          <t>BRD-13 Data Migration</t>
        </is>
      </c>
      <c r="B179" s="26" t="inlineStr">
        <is>
          <t>Our proposal (if any)</t>
        </is>
      </c>
      <c r="C179" s="12" t="inlineStr">
        <is>
          <t>What the project team proposes; it applies as the working assumption until BDOI answers</t>
        </is>
      </c>
      <c r="D179" s="12" t="inlineStr"/>
    </row>
    <row r="180">
      <c r="A180" s="14" t="inlineStr">
        <is>
          <t>BRD-13 Data Migration</t>
        </is>
      </c>
      <c r="B180" s="39" t="inlineStr">
        <is>
          <t>Source (FRS section / CLR / BRD page)</t>
        </is>
      </c>
      <c r="C180" s="14" t="inlineStr">
        <is>
          <t>Where the point is raised, with the IDs of the same point in the other documents</t>
        </is>
      </c>
      <c r="D180" s="14" t="inlineStr"/>
    </row>
    <row r="181">
      <c r="A181" s="12" t="inlineStr">
        <is>
          <t>BRD-13 Data Migration</t>
        </is>
      </c>
      <c r="B181" s="26" t="inlineStr">
        <is>
          <t>BDOI owner (role)</t>
        </is>
      </c>
      <c r="C181" s="12" t="inlineStr">
        <is>
          <t>Role that answers or provides the input</t>
        </is>
      </c>
      <c r="D181" s="12" t="inlineStr"/>
    </row>
    <row r="182">
      <c r="A182" s="14" t="inlineStr">
        <is>
          <t>BRD-13 Data Migration</t>
        </is>
      </c>
      <c r="B182" s="39" t="inlineStr">
        <is>
          <t>Needed by</t>
        </is>
      </c>
      <c r="C182" s="14" t="inlineStr">
        <is>
          <t>Date the input is needed by (project plan of 8-Oct-2026)</t>
        </is>
      </c>
      <c r="D182" s="14" t="inlineStr"/>
    </row>
    <row r="183">
      <c r="A183" s="12" t="inlineStr">
        <is>
          <t>BRD-13 Data Migration</t>
        </is>
      </c>
      <c r="B183" s="26" t="inlineStr">
        <is>
          <t>Priority</t>
        </is>
      </c>
      <c r="C183" s="12" t="inlineStr">
        <is>
          <t>High: blocks a sign-off, the set-up or a test window; Medium: needed before UAT; Low: can follow</t>
        </is>
      </c>
      <c r="D183" s="12" t="inlineStr">
        <is>
          <t>High, Medium, Low</t>
        </is>
      </c>
    </row>
    <row r="184">
      <c r="A184" s="14" t="inlineStr">
        <is>
          <t>BRD-13 Data Migration</t>
        </is>
      </c>
      <c r="B184" s="39" t="inlineStr">
        <is>
          <t>Status</t>
        </is>
      </c>
      <c r="C184" s="14" t="inlineStr">
        <is>
          <t>Open, Partly answered or Answered (from the latest sources)</t>
        </is>
      </c>
      <c r="D184" s="14" t="inlineStr">
        <is>
          <t>Open, Partly answered, Answered</t>
        </is>
      </c>
    </row>
    <row r="185">
      <c r="A185" s="12" t="inlineStr">
        <is>
          <t>BRD-13 Data Migration</t>
        </is>
      </c>
      <c r="B185" s="26" t="inlineStr">
        <is>
          <t>BDOI response</t>
        </is>
      </c>
      <c r="C185" s="12" t="inlineStr">
        <is>
          <t>The answer of BDOI (to fill in)</t>
        </is>
      </c>
      <c r="D185" s="12" t="inlineStr"/>
    </row>
    <row r="186">
      <c r="A186" s="14" t="inlineStr">
        <is>
          <t>BRD-13 Data Migration</t>
        </is>
      </c>
      <c r="B186" s="39" t="inlineStr">
        <is>
          <t>Remarks</t>
        </is>
      </c>
      <c r="C186" s="14" t="inlineStr">
        <is>
          <t>Answer so far, other BRDs affected, template to fill in</t>
        </is>
      </c>
      <c r="D186" s="14" t="inlineStr"/>
    </row>
    <row r="187">
      <c r="A187" s="12" t="inlineStr">
        <is>
          <t>RI Reinsurance (phase 2)</t>
        </is>
      </c>
      <c r="B187" s="26" t="inlineStr">
        <is>
          <t>Ref</t>
        </is>
      </c>
      <c r="C187" s="12" t="inlineStr">
        <is>
          <t>Original ID of the point: CLR clarification of an FRS, PR-DM proposed rule or DMQ decision of the Data Migration set, open question (RQ06, AQ12 ...), register item DCR, Drop 0 list item (PM-Q, UA-Q, DM-Q), configuration item CFG, NFR target, plan dependency DEP, documents DOC, test data TD, sign-off SO, reinsurance RI</t>
        </is>
      </c>
      <c r="D187" s="12" t="inlineStr"/>
    </row>
    <row r="188">
      <c r="A188" s="14" t="inlineStr">
        <is>
          <t>RI Reinsurance (phase 2)</t>
        </is>
      </c>
      <c r="B188" s="39" t="inlineStr">
        <is>
          <t>BRD / module</t>
        </is>
      </c>
      <c r="C188" s="14" t="inlineStr">
        <is>
          <t>BRD and module the point belongs to</t>
        </is>
      </c>
      <c r="D188" s="14" t="inlineStr"/>
    </row>
    <row r="189">
      <c r="A189" s="12" t="inlineStr">
        <is>
          <t>RI Reinsurance (phase 2)</t>
        </is>
      </c>
      <c r="B189" s="26" t="inlineStr">
        <is>
          <t>Type</t>
        </is>
      </c>
      <c r="C189" s="12" t="inlineStr">
        <is>
          <t>What kind of input is asked for</t>
        </is>
      </c>
      <c r="D189" s="12" t="inlineStr">
        <is>
          <t>Decision, Clarification, Business rule confirmation, Configuration value, Master data, Sample document or template, Report layout, Integration detail, Test data, Sign-off</t>
        </is>
      </c>
    </row>
    <row r="190">
      <c r="A190" s="14" t="inlineStr">
        <is>
          <t>RI Reinsurance (phase 2)</t>
        </is>
      </c>
      <c r="B190" s="39" t="inlineStr">
        <is>
          <t>What we need from BDOI</t>
        </is>
      </c>
      <c r="C190" s="14" t="inlineStr">
        <is>
          <t>The decision, answer, value, data or document BDOI provides</t>
        </is>
      </c>
      <c r="D190" s="14" t="inlineStr"/>
    </row>
    <row r="191">
      <c r="A191" s="12" t="inlineStr">
        <is>
          <t>RI Reinsurance (phase 2)</t>
        </is>
      </c>
      <c r="B191" s="26" t="inlineStr">
        <is>
          <t>Why / impact if not provided</t>
        </is>
      </c>
      <c r="C191" s="12" t="inlineStr">
        <is>
          <t>Why it is needed and what happens without it</t>
        </is>
      </c>
      <c r="D191" s="12" t="inlineStr"/>
    </row>
    <row r="192">
      <c r="A192" s="14" t="inlineStr">
        <is>
          <t>RI Reinsurance (phase 2)</t>
        </is>
      </c>
      <c r="B192" s="39" t="inlineStr">
        <is>
          <t>Our proposal (if any)</t>
        </is>
      </c>
      <c r="C192" s="14" t="inlineStr">
        <is>
          <t>What the project team proposes; it applies as the working assumption until BDOI answers</t>
        </is>
      </c>
      <c r="D192" s="14" t="inlineStr"/>
    </row>
    <row r="193">
      <c r="A193" s="12" t="inlineStr">
        <is>
          <t>RI Reinsurance (phase 2)</t>
        </is>
      </c>
      <c r="B193" s="26" t="inlineStr">
        <is>
          <t>Source (FRS section / CLR / BRD page)</t>
        </is>
      </c>
      <c r="C193" s="12" t="inlineStr">
        <is>
          <t>Where the point is raised, with the IDs of the same point in the other documents</t>
        </is>
      </c>
      <c r="D193" s="12" t="inlineStr"/>
    </row>
    <row r="194">
      <c r="A194" s="14" t="inlineStr">
        <is>
          <t>RI Reinsurance (phase 2)</t>
        </is>
      </c>
      <c r="B194" s="39" t="inlineStr">
        <is>
          <t>BDOI owner (role)</t>
        </is>
      </c>
      <c r="C194" s="14" t="inlineStr">
        <is>
          <t>Role that answers or provides the input</t>
        </is>
      </c>
      <c r="D194" s="14" t="inlineStr"/>
    </row>
    <row r="195">
      <c r="A195" s="12" t="inlineStr">
        <is>
          <t>RI Reinsurance (phase 2)</t>
        </is>
      </c>
      <c r="B195" s="26" t="inlineStr">
        <is>
          <t>Needed by</t>
        </is>
      </c>
      <c r="C195" s="12" t="inlineStr">
        <is>
          <t>Date the input is needed by (project plan of 8-Oct-2026)</t>
        </is>
      </c>
      <c r="D195" s="12" t="inlineStr"/>
    </row>
    <row r="196">
      <c r="A196" s="14" t="inlineStr">
        <is>
          <t>RI Reinsurance (phase 2)</t>
        </is>
      </c>
      <c r="B196" s="39" t="inlineStr">
        <is>
          <t>Priority</t>
        </is>
      </c>
      <c r="C196" s="14" t="inlineStr">
        <is>
          <t>High: blocks a sign-off, the set-up or a test window; Medium: needed before UAT; Low: can follow</t>
        </is>
      </c>
      <c r="D196" s="14" t="inlineStr">
        <is>
          <t>High, Medium, Low</t>
        </is>
      </c>
    </row>
    <row r="197">
      <c r="A197" s="12" t="inlineStr">
        <is>
          <t>RI Reinsurance (phase 2)</t>
        </is>
      </c>
      <c r="B197" s="26" t="inlineStr">
        <is>
          <t>Status</t>
        </is>
      </c>
      <c r="C197" s="12" t="inlineStr">
        <is>
          <t>Open, Partly answered or Answered (from the latest sources)</t>
        </is>
      </c>
      <c r="D197" s="12" t="inlineStr">
        <is>
          <t>Open, Partly answered, Answered</t>
        </is>
      </c>
    </row>
    <row r="198">
      <c r="A198" s="14" t="inlineStr">
        <is>
          <t>RI Reinsurance (phase 2)</t>
        </is>
      </c>
      <c r="B198" s="39" t="inlineStr">
        <is>
          <t>BDOI response</t>
        </is>
      </c>
      <c r="C198" s="14" t="inlineStr">
        <is>
          <t>The answer of BDOI (to fill in)</t>
        </is>
      </c>
      <c r="D198" s="14" t="inlineStr"/>
    </row>
    <row r="199">
      <c r="A199" s="12" t="inlineStr">
        <is>
          <t>RI Reinsurance (phase 2)</t>
        </is>
      </c>
      <c r="B199" s="26" t="inlineStr">
        <is>
          <t>Remarks</t>
        </is>
      </c>
      <c r="C199" s="12" t="inlineStr">
        <is>
          <t>Answer so far, other BRDs affected, template to fill in</t>
        </is>
      </c>
      <c r="D199" s="12" t="inlineStr"/>
    </row>
  </sheetData>
  <autoFilter ref="A4:D199"/>
  <printOptions horizontalCentered="1"/>
  <pageMargins left="0.4" right="0.4" top="0.6" bottom="0.6" header="0.5" footer="0.5"/>
  <pageSetup orientation="landscape" paperSize="1" fitToHeight="0" fitToWidth="1"/>
  <headerFooter>
    <oddHeader>&amp;L&amp;8 &amp;K004EA8BDOI Requirements and Inputs by BRD&amp;R&amp;8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20.xml><?xml version="1.0" encoding="utf-8"?>
<worksheet xmlns="http://schemas.openxmlformats.org/spreadsheetml/2006/main">
  <sheetPr>
    <outlinePr summaryBelow="1" summaryRight="1"/>
    <pageSetUpPr/>
  </sheetPr>
  <dimension ref="A1:AS10"/>
  <sheetViews>
    <sheetView workbookViewId="0">
      <selection activeCell="A1" sqref="A1"/>
    </sheetView>
  </sheetViews>
  <sheetFormatPr baseColWidth="8" defaultRowHeight="15"/>
  <sheetData>
    <row r="1">
      <c r="A1" t="inlineStr">
        <is>
          <t>Decision</t>
        </is>
      </c>
      <c r="B1" t="inlineStr">
        <is>
          <t>High</t>
        </is>
      </c>
      <c r="C1" t="inlineStr">
        <is>
          <t>Open</t>
        </is>
      </c>
      <c r="D1" t="inlineStr">
        <is>
          <t>Decision</t>
        </is>
      </c>
      <c r="E1" t="inlineStr">
        <is>
          <t>High</t>
        </is>
      </c>
      <c r="F1" t="inlineStr">
        <is>
          <t>Open</t>
        </is>
      </c>
      <c r="G1" t="inlineStr">
        <is>
          <t>Decision</t>
        </is>
      </c>
      <c r="H1" t="inlineStr">
        <is>
          <t>High</t>
        </is>
      </c>
      <c r="I1" t="inlineStr">
        <is>
          <t>Open</t>
        </is>
      </c>
      <c r="J1" t="inlineStr">
        <is>
          <t>Decision</t>
        </is>
      </c>
      <c r="K1" t="inlineStr">
        <is>
          <t>High</t>
        </is>
      </c>
      <c r="L1" t="inlineStr">
        <is>
          <t>Open</t>
        </is>
      </c>
      <c r="M1" t="inlineStr">
        <is>
          <t>Decision</t>
        </is>
      </c>
      <c r="N1" t="inlineStr">
        <is>
          <t>High</t>
        </is>
      </c>
      <c r="O1" t="inlineStr">
        <is>
          <t>Open</t>
        </is>
      </c>
      <c r="P1" t="inlineStr">
        <is>
          <t>Decision</t>
        </is>
      </c>
      <c r="Q1" t="inlineStr">
        <is>
          <t>High</t>
        </is>
      </c>
      <c r="R1" t="inlineStr">
        <is>
          <t>Open</t>
        </is>
      </c>
      <c r="S1" t="inlineStr">
        <is>
          <t>Decision</t>
        </is>
      </c>
      <c r="T1" t="inlineStr">
        <is>
          <t>High</t>
        </is>
      </c>
      <c r="U1" t="inlineStr">
        <is>
          <t>Open</t>
        </is>
      </c>
      <c r="V1" t="inlineStr">
        <is>
          <t>Decision</t>
        </is>
      </c>
      <c r="W1" t="inlineStr">
        <is>
          <t>High</t>
        </is>
      </c>
      <c r="X1" t="inlineStr">
        <is>
          <t>Open</t>
        </is>
      </c>
      <c r="Y1" t="inlineStr">
        <is>
          <t>Decision</t>
        </is>
      </c>
      <c r="Z1" t="inlineStr">
        <is>
          <t>High</t>
        </is>
      </c>
      <c r="AA1" t="inlineStr">
        <is>
          <t>Open</t>
        </is>
      </c>
      <c r="AB1" t="inlineStr">
        <is>
          <t>Decision</t>
        </is>
      </c>
      <c r="AC1" t="inlineStr">
        <is>
          <t>High</t>
        </is>
      </c>
      <c r="AD1" t="inlineStr">
        <is>
          <t>Open</t>
        </is>
      </c>
      <c r="AE1" t="inlineStr">
        <is>
          <t>Decision</t>
        </is>
      </c>
      <c r="AF1" t="inlineStr">
        <is>
          <t>High</t>
        </is>
      </c>
      <c r="AG1" t="inlineStr">
        <is>
          <t>Open</t>
        </is>
      </c>
      <c r="AH1" t="inlineStr">
        <is>
          <t>Decision</t>
        </is>
      </c>
      <c r="AI1" t="inlineStr">
        <is>
          <t>High</t>
        </is>
      </c>
      <c r="AJ1" t="inlineStr">
        <is>
          <t>Open</t>
        </is>
      </c>
      <c r="AK1" t="inlineStr">
        <is>
          <t>Decision</t>
        </is>
      </c>
      <c r="AL1" t="inlineStr">
        <is>
          <t>High</t>
        </is>
      </c>
      <c r="AM1" t="inlineStr">
        <is>
          <t>Open</t>
        </is>
      </c>
      <c r="AN1" t="inlineStr">
        <is>
          <t>Decision</t>
        </is>
      </c>
      <c r="AO1" t="inlineStr">
        <is>
          <t>High</t>
        </is>
      </c>
      <c r="AP1" t="inlineStr">
        <is>
          <t>Open</t>
        </is>
      </c>
      <c r="AQ1" t="inlineStr">
        <is>
          <t>Decision</t>
        </is>
      </c>
      <c r="AR1" t="inlineStr">
        <is>
          <t>High</t>
        </is>
      </c>
      <c r="AS1" t="inlineStr">
        <is>
          <t>Open</t>
        </is>
      </c>
    </row>
    <row r="2">
      <c r="A2" t="inlineStr">
        <is>
          <t>Clarification</t>
        </is>
      </c>
      <c r="B2" t="inlineStr">
        <is>
          <t>Medium</t>
        </is>
      </c>
      <c r="C2" t="inlineStr">
        <is>
          <t>Partly answered</t>
        </is>
      </c>
      <c r="D2" t="inlineStr">
        <is>
          <t>Clarification</t>
        </is>
      </c>
      <c r="E2" t="inlineStr">
        <is>
          <t>Medium</t>
        </is>
      </c>
      <c r="F2" t="inlineStr">
        <is>
          <t>Partly answered</t>
        </is>
      </c>
      <c r="G2" t="inlineStr">
        <is>
          <t>Clarification</t>
        </is>
      </c>
      <c r="H2" t="inlineStr">
        <is>
          <t>Medium</t>
        </is>
      </c>
      <c r="I2" t="inlineStr">
        <is>
          <t>Partly answered</t>
        </is>
      </c>
      <c r="J2" t="inlineStr">
        <is>
          <t>Clarification</t>
        </is>
      </c>
      <c r="K2" t="inlineStr">
        <is>
          <t>Medium</t>
        </is>
      </c>
      <c r="L2" t="inlineStr">
        <is>
          <t>Partly answered</t>
        </is>
      </c>
      <c r="M2" t="inlineStr">
        <is>
          <t>Clarification</t>
        </is>
      </c>
      <c r="N2" t="inlineStr">
        <is>
          <t>Medium</t>
        </is>
      </c>
      <c r="O2" t="inlineStr">
        <is>
          <t>Partly answered</t>
        </is>
      </c>
      <c r="P2" t="inlineStr">
        <is>
          <t>Clarification</t>
        </is>
      </c>
      <c r="Q2" t="inlineStr">
        <is>
          <t>Medium</t>
        </is>
      </c>
      <c r="R2" t="inlineStr">
        <is>
          <t>Partly answered</t>
        </is>
      </c>
      <c r="S2" t="inlineStr">
        <is>
          <t>Clarification</t>
        </is>
      </c>
      <c r="T2" t="inlineStr">
        <is>
          <t>Medium</t>
        </is>
      </c>
      <c r="U2" t="inlineStr">
        <is>
          <t>Partly answered</t>
        </is>
      </c>
      <c r="V2" t="inlineStr">
        <is>
          <t>Clarification</t>
        </is>
      </c>
      <c r="W2" t="inlineStr">
        <is>
          <t>Medium</t>
        </is>
      </c>
      <c r="X2" t="inlineStr">
        <is>
          <t>Partly answered</t>
        </is>
      </c>
      <c r="Y2" t="inlineStr">
        <is>
          <t>Clarification</t>
        </is>
      </c>
      <c r="Z2" t="inlineStr">
        <is>
          <t>Medium</t>
        </is>
      </c>
      <c r="AA2" t="inlineStr">
        <is>
          <t>Partly answered</t>
        </is>
      </c>
      <c r="AB2" t="inlineStr">
        <is>
          <t>Clarification</t>
        </is>
      </c>
      <c r="AC2" t="inlineStr">
        <is>
          <t>Medium</t>
        </is>
      </c>
      <c r="AD2" t="inlineStr">
        <is>
          <t>Partly answered</t>
        </is>
      </c>
      <c r="AE2" t="inlineStr">
        <is>
          <t>Clarification</t>
        </is>
      </c>
      <c r="AF2" t="inlineStr">
        <is>
          <t>Medium</t>
        </is>
      </c>
      <c r="AG2" t="inlineStr">
        <is>
          <t>Partly answered</t>
        </is>
      </c>
      <c r="AH2" t="inlineStr">
        <is>
          <t>Clarification</t>
        </is>
      </c>
      <c r="AI2" t="inlineStr">
        <is>
          <t>Medium</t>
        </is>
      </c>
      <c r="AJ2" t="inlineStr">
        <is>
          <t>Partly answered</t>
        </is>
      </c>
      <c r="AK2" t="inlineStr">
        <is>
          <t>Clarification</t>
        </is>
      </c>
      <c r="AL2" t="inlineStr">
        <is>
          <t>Medium</t>
        </is>
      </c>
      <c r="AM2" t="inlineStr">
        <is>
          <t>Partly answered</t>
        </is>
      </c>
      <c r="AN2" t="inlineStr">
        <is>
          <t>Clarification</t>
        </is>
      </c>
      <c r="AO2" t="inlineStr">
        <is>
          <t>Medium</t>
        </is>
      </c>
      <c r="AP2" t="inlineStr">
        <is>
          <t>Partly answered</t>
        </is>
      </c>
      <c r="AQ2" t="inlineStr">
        <is>
          <t>Clarification</t>
        </is>
      </c>
      <c r="AR2" t="inlineStr">
        <is>
          <t>Medium</t>
        </is>
      </c>
      <c r="AS2" t="inlineStr">
        <is>
          <t>Partly answered</t>
        </is>
      </c>
    </row>
    <row r="3">
      <c r="A3" t="inlineStr">
        <is>
          <t>Business rule confirmation</t>
        </is>
      </c>
      <c r="B3" t="inlineStr">
        <is>
          <t>Low</t>
        </is>
      </c>
      <c r="C3" t="inlineStr">
        <is>
          <t>Answered</t>
        </is>
      </c>
      <c r="D3" t="inlineStr">
        <is>
          <t>Business rule confirmation</t>
        </is>
      </c>
      <c r="E3" t="inlineStr">
        <is>
          <t>Low</t>
        </is>
      </c>
      <c r="F3" t="inlineStr">
        <is>
          <t>Answered</t>
        </is>
      </c>
      <c r="G3" t="inlineStr">
        <is>
          <t>Business rule confirmation</t>
        </is>
      </c>
      <c r="H3" t="inlineStr">
        <is>
          <t>Low</t>
        </is>
      </c>
      <c r="I3" t="inlineStr">
        <is>
          <t>Answered</t>
        </is>
      </c>
      <c r="J3" t="inlineStr">
        <is>
          <t>Business rule confirmation</t>
        </is>
      </c>
      <c r="K3" t="inlineStr">
        <is>
          <t>Low</t>
        </is>
      </c>
      <c r="L3" t="inlineStr">
        <is>
          <t>Answered</t>
        </is>
      </c>
      <c r="M3" t="inlineStr">
        <is>
          <t>Business rule confirmation</t>
        </is>
      </c>
      <c r="N3" t="inlineStr">
        <is>
          <t>Low</t>
        </is>
      </c>
      <c r="O3" t="inlineStr">
        <is>
          <t>Answered</t>
        </is>
      </c>
      <c r="P3" t="inlineStr">
        <is>
          <t>Business rule confirmation</t>
        </is>
      </c>
      <c r="Q3" t="inlineStr">
        <is>
          <t>Low</t>
        </is>
      </c>
      <c r="R3" t="inlineStr">
        <is>
          <t>Answered</t>
        </is>
      </c>
      <c r="S3" t="inlineStr">
        <is>
          <t>Business rule confirmation</t>
        </is>
      </c>
      <c r="T3" t="inlineStr">
        <is>
          <t>Low</t>
        </is>
      </c>
      <c r="U3" t="inlineStr">
        <is>
          <t>Answered</t>
        </is>
      </c>
      <c r="V3" t="inlineStr">
        <is>
          <t>Business rule confirmation</t>
        </is>
      </c>
      <c r="W3" t="inlineStr">
        <is>
          <t>Low</t>
        </is>
      </c>
      <c r="X3" t="inlineStr">
        <is>
          <t>Answered</t>
        </is>
      </c>
      <c r="Y3" t="inlineStr">
        <is>
          <t>Business rule confirmation</t>
        </is>
      </c>
      <c r="Z3" t="inlineStr">
        <is>
          <t>Low</t>
        </is>
      </c>
      <c r="AA3" t="inlineStr">
        <is>
          <t>Answered</t>
        </is>
      </c>
      <c r="AB3" t="inlineStr">
        <is>
          <t>Business rule confirmation</t>
        </is>
      </c>
      <c r="AC3" t="inlineStr">
        <is>
          <t>Low</t>
        </is>
      </c>
      <c r="AD3" t="inlineStr">
        <is>
          <t>Answered</t>
        </is>
      </c>
      <c r="AE3" t="inlineStr">
        <is>
          <t>Business rule confirmation</t>
        </is>
      </c>
      <c r="AF3" t="inlineStr">
        <is>
          <t>Low</t>
        </is>
      </c>
      <c r="AG3" t="inlineStr">
        <is>
          <t>Answered</t>
        </is>
      </c>
      <c r="AH3" t="inlineStr">
        <is>
          <t>Business rule confirmation</t>
        </is>
      </c>
      <c r="AI3" t="inlineStr">
        <is>
          <t>Low</t>
        </is>
      </c>
      <c r="AJ3" t="inlineStr">
        <is>
          <t>Answered</t>
        </is>
      </c>
      <c r="AK3" t="inlineStr">
        <is>
          <t>Business rule confirmation</t>
        </is>
      </c>
      <c r="AL3" t="inlineStr">
        <is>
          <t>Low</t>
        </is>
      </c>
      <c r="AM3" t="inlineStr">
        <is>
          <t>Answered</t>
        </is>
      </c>
      <c r="AN3" t="inlineStr">
        <is>
          <t>Business rule confirmation</t>
        </is>
      </c>
      <c r="AO3" t="inlineStr">
        <is>
          <t>Low</t>
        </is>
      </c>
      <c r="AP3" t="inlineStr">
        <is>
          <t>Answered</t>
        </is>
      </c>
      <c r="AQ3" t="inlineStr">
        <is>
          <t>Business rule confirmation</t>
        </is>
      </c>
      <c r="AR3" t="inlineStr">
        <is>
          <t>Low</t>
        </is>
      </c>
      <c r="AS3" t="inlineStr">
        <is>
          <t>Answered</t>
        </is>
      </c>
    </row>
    <row r="4">
      <c r="A4" t="inlineStr">
        <is>
          <t>Configuration value</t>
        </is>
      </c>
      <c r="D4" t="inlineStr">
        <is>
          <t>Configuration value</t>
        </is>
      </c>
      <c r="G4" t="inlineStr">
        <is>
          <t>Configuration value</t>
        </is>
      </c>
      <c r="J4" t="inlineStr">
        <is>
          <t>Configuration value</t>
        </is>
      </c>
      <c r="M4" t="inlineStr">
        <is>
          <t>Configuration value</t>
        </is>
      </c>
      <c r="P4" t="inlineStr">
        <is>
          <t>Configuration value</t>
        </is>
      </c>
      <c r="S4" t="inlineStr">
        <is>
          <t>Configuration value</t>
        </is>
      </c>
      <c r="V4" t="inlineStr">
        <is>
          <t>Configuration value</t>
        </is>
      </c>
      <c r="Y4" t="inlineStr">
        <is>
          <t>Configuration value</t>
        </is>
      </c>
      <c r="AB4" t="inlineStr">
        <is>
          <t>Configuration value</t>
        </is>
      </c>
      <c r="AE4" t="inlineStr">
        <is>
          <t>Configuration value</t>
        </is>
      </c>
      <c r="AH4" t="inlineStr">
        <is>
          <t>Configuration value</t>
        </is>
      </c>
      <c r="AK4" t="inlineStr">
        <is>
          <t>Configuration value</t>
        </is>
      </c>
      <c r="AN4" t="inlineStr">
        <is>
          <t>Configuration value</t>
        </is>
      </c>
      <c r="AQ4" t="inlineStr">
        <is>
          <t>Configuration value</t>
        </is>
      </c>
    </row>
    <row r="5">
      <c r="A5" t="inlineStr">
        <is>
          <t>Master data</t>
        </is>
      </c>
      <c r="D5" t="inlineStr">
        <is>
          <t>Master data</t>
        </is>
      </c>
      <c r="G5" t="inlineStr">
        <is>
          <t>Master data</t>
        </is>
      </c>
      <c r="J5" t="inlineStr">
        <is>
          <t>Master data</t>
        </is>
      </c>
      <c r="M5" t="inlineStr">
        <is>
          <t>Master data</t>
        </is>
      </c>
      <c r="P5" t="inlineStr">
        <is>
          <t>Master data</t>
        </is>
      </c>
      <c r="S5" t="inlineStr">
        <is>
          <t>Master data</t>
        </is>
      </c>
      <c r="V5" t="inlineStr">
        <is>
          <t>Master data</t>
        </is>
      </c>
      <c r="Y5" t="inlineStr">
        <is>
          <t>Master data</t>
        </is>
      </c>
      <c r="AB5" t="inlineStr">
        <is>
          <t>Master data</t>
        </is>
      </c>
      <c r="AE5" t="inlineStr">
        <is>
          <t>Master data</t>
        </is>
      </c>
      <c r="AH5" t="inlineStr">
        <is>
          <t>Master data</t>
        </is>
      </c>
      <c r="AK5" t="inlineStr">
        <is>
          <t>Master data</t>
        </is>
      </c>
      <c r="AN5" t="inlineStr">
        <is>
          <t>Master data</t>
        </is>
      </c>
      <c r="AQ5" t="inlineStr">
        <is>
          <t>Master data</t>
        </is>
      </c>
    </row>
    <row r="6">
      <c r="A6" t="inlineStr">
        <is>
          <t>Sample document or template</t>
        </is>
      </c>
      <c r="D6" t="inlineStr">
        <is>
          <t>Sample document or template</t>
        </is>
      </c>
      <c r="G6" t="inlineStr">
        <is>
          <t>Sample document or template</t>
        </is>
      </c>
      <c r="J6" t="inlineStr">
        <is>
          <t>Sample document or template</t>
        </is>
      </c>
      <c r="M6" t="inlineStr">
        <is>
          <t>Sample document or template</t>
        </is>
      </c>
      <c r="P6" t="inlineStr">
        <is>
          <t>Sample document or template</t>
        </is>
      </c>
      <c r="S6" t="inlineStr">
        <is>
          <t>Sample document or template</t>
        </is>
      </c>
      <c r="V6" t="inlineStr">
        <is>
          <t>Sample document or template</t>
        </is>
      </c>
      <c r="Y6" t="inlineStr">
        <is>
          <t>Sample document or template</t>
        </is>
      </c>
      <c r="AB6" t="inlineStr">
        <is>
          <t>Sample document or template</t>
        </is>
      </c>
      <c r="AE6" t="inlineStr">
        <is>
          <t>Sample document or template</t>
        </is>
      </c>
      <c r="AH6" t="inlineStr">
        <is>
          <t>Sample document or template</t>
        </is>
      </c>
      <c r="AK6" t="inlineStr">
        <is>
          <t>Sample document or template</t>
        </is>
      </c>
      <c r="AN6" t="inlineStr">
        <is>
          <t>Sample document or template</t>
        </is>
      </c>
      <c r="AQ6" t="inlineStr">
        <is>
          <t>Sample document or template</t>
        </is>
      </c>
    </row>
    <row r="7">
      <c r="A7" t="inlineStr">
        <is>
          <t>Report layout</t>
        </is>
      </c>
      <c r="D7" t="inlineStr">
        <is>
          <t>Report layout</t>
        </is>
      </c>
      <c r="G7" t="inlineStr">
        <is>
          <t>Report layout</t>
        </is>
      </c>
      <c r="J7" t="inlineStr">
        <is>
          <t>Report layout</t>
        </is>
      </c>
      <c r="M7" t="inlineStr">
        <is>
          <t>Report layout</t>
        </is>
      </c>
      <c r="P7" t="inlineStr">
        <is>
          <t>Report layout</t>
        </is>
      </c>
      <c r="S7" t="inlineStr">
        <is>
          <t>Report layout</t>
        </is>
      </c>
      <c r="V7" t="inlineStr">
        <is>
          <t>Report layout</t>
        </is>
      </c>
      <c r="Y7" t="inlineStr">
        <is>
          <t>Report layout</t>
        </is>
      </c>
      <c r="AB7" t="inlineStr">
        <is>
          <t>Report layout</t>
        </is>
      </c>
      <c r="AE7" t="inlineStr">
        <is>
          <t>Report layout</t>
        </is>
      </c>
      <c r="AH7" t="inlineStr">
        <is>
          <t>Report layout</t>
        </is>
      </c>
      <c r="AK7" t="inlineStr">
        <is>
          <t>Report layout</t>
        </is>
      </c>
      <c r="AN7" t="inlineStr">
        <is>
          <t>Report layout</t>
        </is>
      </c>
      <c r="AQ7" t="inlineStr">
        <is>
          <t>Report layout</t>
        </is>
      </c>
    </row>
    <row r="8">
      <c r="A8" t="inlineStr">
        <is>
          <t>Integration detail</t>
        </is>
      </c>
      <c r="D8" t="inlineStr">
        <is>
          <t>Integration detail</t>
        </is>
      </c>
      <c r="G8" t="inlineStr">
        <is>
          <t>Integration detail</t>
        </is>
      </c>
      <c r="J8" t="inlineStr">
        <is>
          <t>Integration detail</t>
        </is>
      </c>
      <c r="M8" t="inlineStr">
        <is>
          <t>Integration detail</t>
        </is>
      </c>
      <c r="P8" t="inlineStr">
        <is>
          <t>Integration detail</t>
        </is>
      </c>
      <c r="S8" t="inlineStr">
        <is>
          <t>Integration detail</t>
        </is>
      </c>
      <c r="V8" t="inlineStr">
        <is>
          <t>Integration detail</t>
        </is>
      </c>
      <c r="Y8" t="inlineStr">
        <is>
          <t>Integration detail</t>
        </is>
      </c>
      <c r="AB8" t="inlineStr">
        <is>
          <t>Integration detail</t>
        </is>
      </c>
      <c r="AE8" t="inlineStr">
        <is>
          <t>Integration detail</t>
        </is>
      </c>
      <c r="AH8" t="inlineStr">
        <is>
          <t>Integration detail</t>
        </is>
      </c>
      <c r="AK8" t="inlineStr">
        <is>
          <t>Integration detail</t>
        </is>
      </c>
      <c r="AN8" t="inlineStr">
        <is>
          <t>Integration detail</t>
        </is>
      </c>
      <c r="AQ8" t="inlineStr">
        <is>
          <t>Integration detail</t>
        </is>
      </c>
    </row>
    <row r="9">
      <c r="A9" t="inlineStr">
        <is>
          <t>Test data</t>
        </is>
      </c>
      <c r="D9" t="inlineStr">
        <is>
          <t>Test data</t>
        </is>
      </c>
      <c r="G9" t="inlineStr">
        <is>
          <t>Test data</t>
        </is>
      </c>
      <c r="J9" t="inlineStr">
        <is>
          <t>Test data</t>
        </is>
      </c>
      <c r="M9" t="inlineStr">
        <is>
          <t>Test data</t>
        </is>
      </c>
      <c r="P9" t="inlineStr">
        <is>
          <t>Test data</t>
        </is>
      </c>
      <c r="S9" t="inlineStr">
        <is>
          <t>Test data</t>
        </is>
      </c>
      <c r="V9" t="inlineStr">
        <is>
          <t>Test data</t>
        </is>
      </c>
      <c r="Y9" t="inlineStr">
        <is>
          <t>Test data</t>
        </is>
      </c>
      <c r="AB9" t="inlineStr">
        <is>
          <t>Test data</t>
        </is>
      </c>
      <c r="AE9" t="inlineStr">
        <is>
          <t>Test data</t>
        </is>
      </c>
      <c r="AH9" t="inlineStr">
        <is>
          <t>Test data</t>
        </is>
      </c>
      <c r="AK9" t="inlineStr">
        <is>
          <t>Test data</t>
        </is>
      </c>
      <c r="AN9" t="inlineStr">
        <is>
          <t>Test data</t>
        </is>
      </c>
      <c r="AQ9" t="inlineStr">
        <is>
          <t>Test data</t>
        </is>
      </c>
    </row>
    <row r="10">
      <c r="A10" t="inlineStr">
        <is>
          <t>Sign-off</t>
        </is>
      </c>
      <c r="D10" t="inlineStr">
        <is>
          <t>Sign-off</t>
        </is>
      </c>
      <c r="G10" t="inlineStr">
        <is>
          <t>Sign-off</t>
        </is>
      </c>
      <c r="J10" t="inlineStr">
        <is>
          <t>Sign-off</t>
        </is>
      </c>
      <c r="M10" t="inlineStr">
        <is>
          <t>Sign-off</t>
        </is>
      </c>
      <c r="P10" t="inlineStr">
        <is>
          <t>Sign-off</t>
        </is>
      </c>
      <c r="S10" t="inlineStr">
        <is>
          <t>Sign-off</t>
        </is>
      </c>
      <c r="V10" t="inlineStr">
        <is>
          <t>Sign-off</t>
        </is>
      </c>
      <c r="Y10" t="inlineStr">
        <is>
          <t>Sign-off</t>
        </is>
      </c>
      <c r="AB10" t="inlineStr">
        <is>
          <t>Sign-off</t>
        </is>
      </c>
      <c r="AE10" t="inlineStr">
        <is>
          <t>Sign-off</t>
        </is>
      </c>
      <c r="AH10" t="inlineStr">
        <is>
          <t>Sign-off</t>
        </is>
      </c>
      <c r="AK10" t="inlineStr">
        <is>
          <t>Sign-off</t>
        </is>
      </c>
      <c r="AN10" t="inlineStr">
        <is>
          <t>Sign-off</t>
        </is>
      </c>
      <c r="AQ10" t="inlineStr">
        <is>
          <t>Sign-off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BDOI Requirements and Inputs by BRD</dc:title>
  <dc:subject xmlns:dc="http://purl.org/dc/elements/1.1/">BIBS – BDOI Broker System</dc:subject>
  <dcterms:created xmlns:dcterms="http://purl.org/dc/terms/" xmlns:xsi="http://www.w3.org/2001/XMLSchema-instance" xsi:type="dcterms:W3CDTF">2026-10-08T19:30:25Z</dcterms:created>
  <dcterms:modified xmlns:dcterms="http://purl.org/dc/terms/" xmlns:xsi="http://www.w3.org/2001/XMLSchema-instance" xsi:type="dcterms:W3CDTF">2026-10-08T19:30:28Z</dcterms:modified>
  <cp:keywords>BDOI inputs, BRD-00, BIBS, BDOI</cp:keywords>
</cp:coreProperties>
</file>